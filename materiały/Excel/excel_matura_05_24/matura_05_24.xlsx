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ia.bartos\Documents\MATURY\05_24\excelWydzielone\"/>
    </mc:Choice>
  </mc:AlternateContent>
  <xr:revisionPtr revIDLastSave="0" documentId="13_ncr:1_{08524908-9909-4308-A88B-0672F4925ED3}" xr6:coauthVersionLast="47" xr6:coauthVersionMax="47" xr10:uidLastSave="{00000000-0000-0000-0000-000000000000}"/>
  <bookViews>
    <workbookView xWindow="8610" yWindow="1395" windowWidth="19185" windowHeight="10050" activeTab="5" xr2:uid="{ED697887-1D91-4C3F-89F8-035FF113D8D1}"/>
  </bookViews>
  <sheets>
    <sheet name="jablka" sheetId="3" r:id="rId1"/>
    <sheet name="cennik" sheetId="2" r:id="rId2"/>
    <sheet name="7_1" sheetId="4" r:id="rId3"/>
    <sheet name="7_2" sheetId="5" r:id="rId4"/>
    <sheet name="7_3" sheetId="7" r:id="rId5"/>
    <sheet name="7_4" sheetId="8" r:id="rId6"/>
  </sheets>
  <definedNames>
    <definedName name="ExternalData_1" localSheetId="5" hidden="1">'7_4'!$A$1:$E$2501</definedName>
    <definedName name="ExternalData_1" localSheetId="1" hidden="1">'cennik'!$A$1:$B$17</definedName>
    <definedName name="ExternalData_1" localSheetId="0" hidden="1">jablka!$A$1:$E$2501</definedName>
  </definedNames>
  <calcPr calcId="191029"/>
  <pivotCaches>
    <pivotCache cacheId="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8" l="1"/>
  <c r="K5" i="8"/>
  <c r="K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017" i="8"/>
  <c r="I1018" i="8"/>
  <c r="I1019" i="8"/>
  <c r="I1020" i="8"/>
  <c r="I1021" i="8"/>
  <c r="I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036" i="8"/>
  <c r="I1037" i="8"/>
  <c r="I1038" i="8"/>
  <c r="I1039" i="8"/>
  <c r="I1040" i="8"/>
  <c r="I1041" i="8"/>
  <c r="I1042" i="8"/>
  <c r="I1043" i="8"/>
  <c r="I1044" i="8"/>
  <c r="I1045" i="8"/>
  <c r="I1046" i="8"/>
  <c r="I1047" i="8"/>
  <c r="I1048" i="8"/>
  <c r="I1049" i="8"/>
  <c r="I1050" i="8"/>
  <c r="I1051" i="8"/>
  <c r="I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066" i="8"/>
  <c r="I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I1097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I1128" i="8"/>
  <c r="I1129" i="8"/>
  <c r="I1130" i="8"/>
  <c r="I1131" i="8"/>
  <c r="I1132" i="8"/>
  <c r="I1133" i="8"/>
  <c r="I1134" i="8"/>
  <c r="I1135" i="8"/>
  <c r="I1136" i="8"/>
  <c r="I1137" i="8"/>
  <c r="I1138" i="8"/>
  <c r="I1139" i="8"/>
  <c r="I1140" i="8"/>
  <c r="I1141" i="8"/>
  <c r="I1142" i="8"/>
  <c r="I1143" i="8"/>
  <c r="I1144" i="8"/>
  <c r="I1145" i="8"/>
  <c r="I1146" i="8"/>
  <c r="I1147" i="8"/>
  <c r="I1148" i="8"/>
  <c r="I1149" i="8"/>
  <c r="I1150" i="8"/>
  <c r="I1151" i="8"/>
  <c r="I1152" i="8"/>
  <c r="I1153" i="8"/>
  <c r="I1154" i="8"/>
  <c r="I1155" i="8"/>
  <c r="I1156" i="8"/>
  <c r="I1157" i="8"/>
  <c r="I1158" i="8"/>
  <c r="I1159" i="8"/>
  <c r="I1160" i="8"/>
  <c r="I1161" i="8"/>
  <c r="I1162" i="8"/>
  <c r="I1163" i="8"/>
  <c r="I1164" i="8"/>
  <c r="I1165" i="8"/>
  <c r="I1166" i="8"/>
  <c r="I1167" i="8"/>
  <c r="I1168" i="8"/>
  <c r="I1169" i="8"/>
  <c r="I1170" i="8"/>
  <c r="I1171" i="8"/>
  <c r="I1172" i="8"/>
  <c r="I1173" i="8"/>
  <c r="I1174" i="8"/>
  <c r="I1175" i="8"/>
  <c r="I1176" i="8"/>
  <c r="I1177" i="8"/>
  <c r="I1178" i="8"/>
  <c r="I1179" i="8"/>
  <c r="I1180" i="8"/>
  <c r="I1181" i="8"/>
  <c r="I1182" i="8"/>
  <c r="I1183" i="8"/>
  <c r="I1184" i="8"/>
  <c r="I1185" i="8"/>
  <c r="I1186" i="8"/>
  <c r="I1187" i="8"/>
  <c r="I1188" i="8"/>
  <c r="I1189" i="8"/>
  <c r="I1190" i="8"/>
  <c r="I1191" i="8"/>
  <c r="I1192" i="8"/>
  <c r="I1193" i="8"/>
  <c r="I1194" i="8"/>
  <c r="I1195" i="8"/>
  <c r="I1196" i="8"/>
  <c r="I1197" i="8"/>
  <c r="I1198" i="8"/>
  <c r="I1199" i="8"/>
  <c r="I1200" i="8"/>
  <c r="I1201" i="8"/>
  <c r="I1202" i="8"/>
  <c r="I1203" i="8"/>
  <c r="I1204" i="8"/>
  <c r="I1205" i="8"/>
  <c r="I1206" i="8"/>
  <c r="I1207" i="8"/>
  <c r="I1208" i="8"/>
  <c r="I1209" i="8"/>
  <c r="I1210" i="8"/>
  <c r="I1211" i="8"/>
  <c r="I1212" i="8"/>
  <c r="I1213" i="8"/>
  <c r="I1214" i="8"/>
  <c r="I1215" i="8"/>
  <c r="I1216" i="8"/>
  <c r="I1217" i="8"/>
  <c r="I1218" i="8"/>
  <c r="I1219" i="8"/>
  <c r="I1220" i="8"/>
  <c r="I1221" i="8"/>
  <c r="I1222" i="8"/>
  <c r="I1223" i="8"/>
  <c r="I1224" i="8"/>
  <c r="I1225" i="8"/>
  <c r="I1226" i="8"/>
  <c r="I1227" i="8"/>
  <c r="I1228" i="8"/>
  <c r="I1229" i="8"/>
  <c r="I1230" i="8"/>
  <c r="I1231" i="8"/>
  <c r="I1232" i="8"/>
  <c r="I1233" i="8"/>
  <c r="I1234" i="8"/>
  <c r="I1235" i="8"/>
  <c r="I1236" i="8"/>
  <c r="I1237" i="8"/>
  <c r="I1238" i="8"/>
  <c r="I1239" i="8"/>
  <c r="I1240" i="8"/>
  <c r="I1241" i="8"/>
  <c r="I1242" i="8"/>
  <c r="I1243" i="8"/>
  <c r="I1244" i="8"/>
  <c r="I1245" i="8"/>
  <c r="I1246" i="8"/>
  <c r="I1247" i="8"/>
  <c r="I1248" i="8"/>
  <c r="I1249" i="8"/>
  <c r="I1250" i="8"/>
  <c r="I1251" i="8"/>
  <c r="I1252" i="8"/>
  <c r="I1253" i="8"/>
  <c r="I1254" i="8"/>
  <c r="I1255" i="8"/>
  <c r="I1256" i="8"/>
  <c r="I1257" i="8"/>
  <c r="I1258" i="8"/>
  <c r="I1259" i="8"/>
  <c r="I1260" i="8"/>
  <c r="I1261" i="8"/>
  <c r="I1262" i="8"/>
  <c r="I1263" i="8"/>
  <c r="I1264" i="8"/>
  <c r="I1265" i="8"/>
  <c r="I1266" i="8"/>
  <c r="I1267" i="8"/>
  <c r="I1268" i="8"/>
  <c r="I1269" i="8"/>
  <c r="I1270" i="8"/>
  <c r="I1271" i="8"/>
  <c r="I1272" i="8"/>
  <c r="I1273" i="8"/>
  <c r="I1274" i="8"/>
  <c r="I1275" i="8"/>
  <c r="I1276" i="8"/>
  <c r="I1277" i="8"/>
  <c r="I1278" i="8"/>
  <c r="I1279" i="8"/>
  <c r="I1280" i="8"/>
  <c r="I1281" i="8"/>
  <c r="I1282" i="8"/>
  <c r="I1283" i="8"/>
  <c r="I1284" i="8"/>
  <c r="I1285" i="8"/>
  <c r="I1286" i="8"/>
  <c r="I1287" i="8"/>
  <c r="I1288" i="8"/>
  <c r="I1289" i="8"/>
  <c r="I1290" i="8"/>
  <c r="I1291" i="8"/>
  <c r="I1292" i="8"/>
  <c r="I1293" i="8"/>
  <c r="I1294" i="8"/>
  <c r="I1295" i="8"/>
  <c r="I1296" i="8"/>
  <c r="I1297" i="8"/>
  <c r="I1298" i="8"/>
  <c r="I1299" i="8"/>
  <c r="I1300" i="8"/>
  <c r="I1301" i="8"/>
  <c r="I1302" i="8"/>
  <c r="I1303" i="8"/>
  <c r="I1304" i="8"/>
  <c r="I1305" i="8"/>
  <c r="I1306" i="8"/>
  <c r="I1307" i="8"/>
  <c r="I1308" i="8"/>
  <c r="I1309" i="8"/>
  <c r="I1310" i="8"/>
  <c r="I1311" i="8"/>
  <c r="I1312" i="8"/>
  <c r="I1313" i="8"/>
  <c r="I1314" i="8"/>
  <c r="I1315" i="8"/>
  <c r="I1316" i="8"/>
  <c r="I1317" i="8"/>
  <c r="I1318" i="8"/>
  <c r="I1319" i="8"/>
  <c r="I1320" i="8"/>
  <c r="I1321" i="8"/>
  <c r="I1322" i="8"/>
  <c r="I1323" i="8"/>
  <c r="I1324" i="8"/>
  <c r="I1325" i="8"/>
  <c r="I1326" i="8"/>
  <c r="I1327" i="8"/>
  <c r="I1328" i="8"/>
  <c r="I1329" i="8"/>
  <c r="I1330" i="8"/>
  <c r="I1331" i="8"/>
  <c r="I1332" i="8"/>
  <c r="I1333" i="8"/>
  <c r="I1334" i="8"/>
  <c r="I1335" i="8"/>
  <c r="I1336" i="8"/>
  <c r="I1337" i="8"/>
  <c r="I1338" i="8"/>
  <c r="I1339" i="8"/>
  <c r="I1340" i="8"/>
  <c r="I1341" i="8"/>
  <c r="I1342" i="8"/>
  <c r="I1343" i="8"/>
  <c r="I1344" i="8"/>
  <c r="I1345" i="8"/>
  <c r="I1346" i="8"/>
  <c r="I1347" i="8"/>
  <c r="I1348" i="8"/>
  <c r="I1349" i="8"/>
  <c r="I1350" i="8"/>
  <c r="I1351" i="8"/>
  <c r="I1352" i="8"/>
  <c r="I1353" i="8"/>
  <c r="I1354" i="8"/>
  <c r="I1355" i="8"/>
  <c r="I1356" i="8"/>
  <c r="I1357" i="8"/>
  <c r="I1358" i="8"/>
  <c r="I1359" i="8"/>
  <c r="I1360" i="8"/>
  <c r="I1361" i="8"/>
  <c r="I1362" i="8"/>
  <c r="I1363" i="8"/>
  <c r="I1364" i="8"/>
  <c r="I1365" i="8"/>
  <c r="I1366" i="8"/>
  <c r="I1367" i="8"/>
  <c r="I1368" i="8"/>
  <c r="I1369" i="8"/>
  <c r="I1370" i="8"/>
  <c r="I1371" i="8"/>
  <c r="I1372" i="8"/>
  <c r="I1373" i="8"/>
  <c r="I1374" i="8"/>
  <c r="I1375" i="8"/>
  <c r="I1376" i="8"/>
  <c r="I1377" i="8"/>
  <c r="I1378" i="8"/>
  <c r="I1379" i="8"/>
  <c r="I1380" i="8"/>
  <c r="I1381" i="8"/>
  <c r="I1382" i="8"/>
  <c r="I1383" i="8"/>
  <c r="I1384" i="8"/>
  <c r="I1385" i="8"/>
  <c r="I1386" i="8"/>
  <c r="I1387" i="8"/>
  <c r="I1388" i="8"/>
  <c r="I1389" i="8"/>
  <c r="I1390" i="8"/>
  <c r="I1391" i="8"/>
  <c r="I1392" i="8"/>
  <c r="I1393" i="8"/>
  <c r="I1394" i="8"/>
  <c r="I1395" i="8"/>
  <c r="I1396" i="8"/>
  <c r="I1397" i="8"/>
  <c r="I1398" i="8"/>
  <c r="I1399" i="8"/>
  <c r="I1400" i="8"/>
  <c r="I1401" i="8"/>
  <c r="I1402" i="8"/>
  <c r="I1403" i="8"/>
  <c r="I1404" i="8"/>
  <c r="I1405" i="8"/>
  <c r="I1406" i="8"/>
  <c r="I1407" i="8"/>
  <c r="I1408" i="8"/>
  <c r="I1409" i="8"/>
  <c r="I1410" i="8"/>
  <c r="I1411" i="8"/>
  <c r="I1412" i="8"/>
  <c r="I1413" i="8"/>
  <c r="I1414" i="8"/>
  <c r="I1415" i="8"/>
  <c r="I1416" i="8"/>
  <c r="I1417" i="8"/>
  <c r="I1418" i="8"/>
  <c r="I1419" i="8"/>
  <c r="I1420" i="8"/>
  <c r="I1421" i="8"/>
  <c r="I1422" i="8"/>
  <c r="I1423" i="8"/>
  <c r="I1424" i="8"/>
  <c r="I1425" i="8"/>
  <c r="I1426" i="8"/>
  <c r="I1427" i="8"/>
  <c r="I1428" i="8"/>
  <c r="I1429" i="8"/>
  <c r="I1430" i="8"/>
  <c r="I1431" i="8"/>
  <c r="I1432" i="8"/>
  <c r="I1433" i="8"/>
  <c r="I1434" i="8"/>
  <c r="I1435" i="8"/>
  <c r="I1436" i="8"/>
  <c r="I1437" i="8"/>
  <c r="I1438" i="8"/>
  <c r="I1439" i="8"/>
  <c r="I1440" i="8"/>
  <c r="I1441" i="8"/>
  <c r="I1442" i="8"/>
  <c r="I1443" i="8"/>
  <c r="I1444" i="8"/>
  <c r="I1445" i="8"/>
  <c r="I1446" i="8"/>
  <c r="I1447" i="8"/>
  <c r="I1448" i="8"/>
  <c r="I1449" i="8"/>
  <c r="I1450" i="8"/>
  <c r="I1451" i="8"/>
  <c r="I1452" i="8"/>
  <c r="I1453" i="8"/>
  <c r="I1454" i="8"/>
  <c r="I1455" i="8"/>
  <c r="I1456" i="8"/>
  <c r="I1457" i="8"/>
  <c r="I1458" i="8"/>
  <c r="I1459" i="8"/>
  <c r="I1460" i="8"/>
  <c r="I1461" i="8"/>
  <c r="I1462" i="8"/>
  <c r="I1463" i="8"/>
  <c r="I1464" i="8"/>
  <c r="I1465" i="8"/>
  <c r="I1466" i="8"/>
  <c r="I1467" i="8"/>
  <c r="I1468" i="8"/>
  <c r="I1469" i="8"/>
  <c r="I1470" i="8"/>
  <c r="I1471" i="8"/>
  <c r="I1472" i="8"/>
  <c r="I1473" i="8"/>
  <c r="I1474" i="8"/>
  <c r="I1475" i="8"/>
  <c r="I1476" i="8"/>
  <c r="I1477" i="8"/>
  <c r="I1478" i="8"/>
  <c r="I1479" i="8"/>
  <c r="I1480" i="8"/>
  <c r="I1481" i="8"/>
  <c r="I1482" i="8"/>
  <c r="I1483" i="8"/>
  <c r="I1484" i="8"/>
  <c r="I1485" i="8"/>
  <c r="I1486" i="8"/>
  <c r="I1487" i="8"/>
  <c r="I1488" i="8"/>
  <c r="I1489" i="8"/>
  <c r="I1490" i="8"/>
  <c r="I1491" i="8"/>
  <c r="I1492" i="8"/>
  <c r="I1493" i="8"/>
  <c r="I1494" i="8"/>
  <c r="I1495" i="8"/>
  <c r="I1496" i="8"/>
  <c r="I1497" i="8"/>
  <c r="I1498" i="8"/>
  <c r="I1499" i="8"/>
  <c r="I1500" i="8"/>
  <c r="I1501" i="8"/>
  <c r="I1502" i="8"/>
  <c r="I1503" i="8"/>
  <c r="I1504" i="8"/>
  <c r="I1505" i="8"/>
  <c r="I1506" i="8"/>
  <c r="I1507" i="8"/>
  <c r="I1508" i="8"/>
  <c r="I1509" i="8"/>
  <c r="I1510" i="8"/>
  <c r="I1511" i="8"/>
  <c r="I1512" i="8"/>
  <c r="I1513" i="8"/>
  <c r="I1514" i="8"/>
  <c r="I1515" i="8"/>
  <c r="I1516" i="8"/>
  <c r="I1517" i="8"/>
  <c r="I1518" i="8"/>
  <c r="I1519" i="8"/>
  <c r="I1520" i="8"/>
  <c r="I1521" i="8"/>
  <c r="I1522" i="8"/>
  <c r="I1523" i="8"/>
  <c r="I1524" i="8"/>
  <c r="I1525" i="8"/>
  <c r="I1526" i="8"/>
  <c r="I1527" i="8"/>
  <c r="I1528" i="8"/>
  <c r="I1529" i="8"/>
  <c r="I1530" i="8"/>
  <c r="I1531" i="8"/>
  <c r="I1532" i="8"/>
  <c r="I1533" i="8"/>
  <c r="I1534" i="8"/>
  <c r="I1535" i="8"/>
  <c r="I1536" i="8"/>
  <c r="I1537" i="8"/>
  <c r="I1538" i="8"/>
  <c r="I1539" i="8"/>
  <c r="I1540" i="8"/>
  <c r="I1541" i="8"/>
  <c r="I1542" i="8"/>
  <c r="I1543" i="8"/>
  <c r="I1544" i="8"/>
  <c r="I1545" i="8"/>
  <c r="I1546" i="8"/>
  <c r="I1547" i="8"/>
  <c r="I1548" i="8"/>
  <c r="I1549" i="8"/>
  <c r="I1550" i="8"/>
  <c r="I1551" i="8"/>
  <c r="I1552" i="8"/>
  <c r="I1553" i="8"/>
  <c r="I1554" i="8"/>
  <c r="I1555" i="8"/>
  <c r="I1556" i="8"/>
  <c r="I1557" i="8"/>
  <c r="I1558" i="8"/>
  <c r="I1559" i="8"/>
  <c r="I1560" i="8"/>
  <c r="I1561" i="8"/>
  <c r="I1562" i="8"/>
  <c r="I1563" i="8"/>
  <c r="I1564" i="8"/>
  <c r="I1565" i="8"/>
  <c r="I1566" i="8"/>
  <c r="I1567" i="8"/>
  <c r="I1568" i="8"/>
  <c r="I1569" i="8"/>
  <c r="I1570" i="8"/>
  <c r="I1571" i="8"/>
  <c r="I1572" i="8"/>
  <c r="I1573" i="8"/>
  <c r="I1574" i="8"/>
  <c r="I1575" i="8"/>
  <c r="I1576" i="8"/>
  <c r="I1577" i="8"/>
  <c r="I1578" i="8"/>
  <c r="I1579" i="8"/>
  <c r="I1580" i="8"/>
  <c r="I1581" i="8"/>
  <c r="I1582" i="8"/>
  <c r="I1583" i="8"/>
  <c r="I1584" i="8"/>
  <c r="I1585" i="8"/>
  <c r="I1586" i="8"/>
  <c r="I1587" i="8"/>
  <c r="I1588" i="8"/>
  <c r="I1589" i="8"/>
  <c r="I1590" i="8"/>
  <c r="I1591" i="8"/>
  <c r="I1592" i="8"/>
  <c r="I1593" i="8"/>
  <c r="I1594" i="8"/>
  <c r="I1595" i="8"/>
  <c r="I1596" i="8"/>
  <c r="I1597" i="8"/>
  <c r="I1598" i="8"/>
  <c r="I1599" i="8"/>
  <c r="I1600" i="8"/>
  <c r="I1601" i="8"/>
  <c r="I1602" i="8"/>
  <c r="I1603" i="8"/>
  <c r="I1604" i="8"/>
  <c r="I1605" i="8"/>
  <c r="I1606" i="8"/>
  <c r="I1607" i="8"/>
  <c r="I1608" i="8"/>
  <c r="I1609" i="8"/>
  <c r="I1610" i="8"/>
  <c r="I1611" i="8"/>
  <c r="I1612" i="8"/>
  <c r="I1613" i="8"/>
  <c r="I1614" i="8"/>
  <c r="I1615" i="8"/>
  <c r="I1616" i="8"/>
  <c r="I1617" i="8"/>
  <c r="I1618" i="8"/>
  <c r="I1619" i="8"/>
  <c r="I1620" i="8"/>
  <c r="I1621" i="8"/>
  <c r="I1622" i="8"/>
  <c r="I1623" i="8"/>
  <c r="I1624" i="8"/>
  <c r="I1625" i="8"/>
  <c r="I1626" i="8"/>
  <c r="I1627" i="8"/>
  <c r="I1628" i="8"/>
  <c r="I1629" i="8"/>
  <c r="I1630" i="8"/>
  <c r="I1631" i="8"/>
  <c r="I1632" i="8"/>
  <c r="I1633" i="8"/>
  <c r="I1634" i="8"/>
  <c r="I1635" i="8"/>
  <c r="I1636" i="8"/>
  <c r="I1637" i="8"/>
  <c r="I1638" i="8"/>
  <c r="I1639" i="8"/>
  <c r="I1640" i="8"/>
  <c r="I1641" i="8"/>
  <c r="I1642" i="8"/>
  <c r="I1643" i="8"/>
  <c r="I1644" i="8"/>
  <c r="I1645" i="8"/>
  <c r="I1646" i="8"/>
  <c r="I1647" i="8"/>
  <c r="I1648" i="8"/>
  <c r="I1649" i="8"/>
  <c r="I1650" i="8"/>
  <c r="I1651" i="8"/>
  <c r="I1652" i="8"/>
  <c r="I1653" i="8"/>
  <c r="I1654" i="8"/>
  <c r="I1655" i="8"/>
  <c r="I1656" i="8"/>
  <c r="I1657" i="8"/>
  <c r="I1658" i="8"/>
  <c r="I1659" i="8"/>
  <c r="I1660" i="8"/>
  <c r="I1661" i="8"/>
  <c r="I1662" i="8"/>
  <c r="I1663" i="8"/>
  <c r="I1664" i="8"/>
  <c r="I1665" i="8"/>
  <c r="I1666" i="8"/>
  <c r="I1667" i="8"/>
  <c r="I1668" i="8"/>
  <c r="I1669" i="8"/>
  <c r="I1670" i="8"/>
  <c r="I1671" i="8"/>
  <c r="I1672" i="8"/>
  <c r="I1673" i="8"/>
  <c r="I1674" i="8"/>
  <c r="I1675" i="8"/>
  <c r="I1676" i="8"/>
  <c r="I1677" i="8"/>
  <c r="I1678" i="8"/>
  <c r="I1679" i="8"/>
  <c r="I1680" i="8"/>
  <c r="I1681" i="8"/>
  <c r="I1682" i="8"/>
  <c r="I1683" i="8"/>
  <c r="I1684" i="8"/>
  <c r="I1685" i="8"/>
  <c r="I1686" i="8"/>
  <c r="I1687" i="8"/>
  <c r="I1688" i="8"/>
  <c r="I1689" i="8"/>
  <c r="I1690" i="8"/>
  <c r="I1691" i="8"/>
  <c r="I1692" i="8"/>
  <c r="I1693" i="8"/>
  <c r="I1694" i="8"/>
  <c r="I1695" i="8"/>
  <c r="I1696" i="8"/>
  <c r="I1697" i="8"/>
  <c r="I1698" i="8"/>
  <c r="I1699" i="8"/>
  <c r="I1700" i="8"/>
  <c r="I1701" i="8"/>
  <c r="I1702" i="8"/>
  <c r="I1703" i="8"/>
  <c r="I1704" i="8"/>
  <c r="I1705" i="8"/>
  <c r="I1706" i="8"/>
  <c r="I1707" i="8"/>
  <c r="I1708" i="8"/>
  <c r="I1709" i="8"/>
  <c r="I1710" i="8"/>
  <c r="I1711" i="8"/>
  <c r="I1712" i="8"/>
  <c r="I1713" i="8"/>
  <c r="I1714" i="8"/>
  <c r="I1715" i="8"/>
  <c r="I1716" i="8"/>
  <c r="I1717" i="8"/>
  <c r="I1718" i="8"/>
  <c r="I1719" i="8"/>
  <c r="I1720" i="8"/>
  <c r="I1721" i="8"/>
  <c r="I1722" i="8"/>
  <c r="I1723" i="8"/>
  <c r="I1724" i="8"/>
  <c r="I1725" i="8"/>
  <c r="I1726" i="8"/>
  <c r="I1727" i="8"/>
  <c r="I1728" i="8"/>
  <c r="I1729" i="8"/>
  <c r="I1730" i="8"/>
  <c r="I1731" i="8"/>
  <c r="I1732" i="8"/>
  <c r="I1733" i="8"/>
  <c r="I1734" i="8"/>
  <c r="I1735" i="8"/>
  <c r="I1736" i="8"/>
  <c r="I1737" i="8"/>
  <c r="I1738" i="8"/>
  <c r="I1739" i="8"/>
  <c r="I1740" i="8"/>
  <c r="I1741" i="8"/>
  <c r="I1742" i="8"/>
  <c r="I1743" i="8"/>
  <c r="I1744" i="8"/>
  <c r="I1745" i="8"/>
  <c r="I1746" i="8"/>
  <c r="I1747" i="8"/>
  <c r="I1748" i="8"/>
  <c r="I1749" i="8"/>
  <c r="I1750" i="8"/>
  <c r="I1751" i="8"/>
  <c r="I1752" i="8"/>
  <c r="I1753" i="8"/>
  <c r="I1754" i="8"/>
  <c r="I1755" i="8"/>
  <c r="I1756" i="8"/>
  <c r="I1757" i="8"/>
  <c r="I1758" i="8"/>
  <c r="I1759" i="8"/>
  <c r="I1760" i="8"/>
  <c r="I1761" i="8"/>
  <c r="I1762" i="8"/>
  <c r="I1763" i="8"/>
  <c r="I1764" i="8"/>
  <c r="I1765" i="8"/>
  <c r="I1766" i="8"/>
  <c r="I1767" i="8"/>
  <c r="I1768" i="8"/>
  <c r="I1769" i="8"/>
  <c r="I1770" i="8"/>
  <c r="I1771" i="8"/>
  <c r="I1772" i="8"/>
  <c r="I1773" i="8"/>
  <c r="I1774" i="8"/>
  <c r="I1775" i="8"/>
  <c r="I1776" i="8"/>
  <c r="I1777" i="8"/>
  <c r="I1778" i="8"/>
  <c r="I1779" i="8"/>
  <c r="I1780" i="8"/>
  <c r="I1781" i="8"/>
  <c r="I1782" i="8"/>
  <c r="I1783" i="8"/>
  <c r="I1784" i="8"/>
  <c r="I1785" i="8"/>
  <c r="I1786" i="8"/>
  <c r="I1787" i="8"/>
  <c r="I1788" i="8"/>
  <c r="I1789" i="8"/>
  <c r="I1790" i="8"/>
  <c r="I1791" i="8"/>
  <c r="I1792" i="8"/>
  <c r="I1793" i="8"/>
  <c r="I1794" i="8"/>
  <c r="I1795" i="8"/>
  <c r="I1796" i="8"/>
  <c r="I1797" i="8"/>
  <c r="I1798" i="8"/>
  <c r="I1799" i="8"/>
  <c r="I1800" i="8"/>
  <c r="I1801" i="8"/>
  <c r="I1802" i="8"/>
  <c r="I1803" i="8"/>
  <c r="I1804" i="8"/>
  <c r="I1805" i="8"/>
  <c r="I1806" i="8"/>
  <c r="I1807" i="8"/>
  <c r="I1808" i="8"/>
  <c r="I1809" i="8"/>
  <c r="I1810" i="8"/>
  <c r="I1811" i="8"/>
  <c r="I1812" i="8"/>
  <c r="I1813" i="8"/>
  <c r="I1814" i="8"/>
  <c r="I1815" i="8"/>
  <c r="I1816" i="8"/>
  <c r="I1817" i="8"/>
  <c r="I1818" i="8"/>
  <c r="I1819" i="8"/>
  <c r="I1820" i="8"/>
  <c r="I1821" i="8"/>
  <c r="I1822" i="8"/>
  <c r="I1823" i="8"/>
  <c r="I1824" i="8"/>
  <c r="I1825" i="8"/>
  <c r="I1826" i="8"/>
  <c r="I1827" i="8"/>
  <c r="I1828" i="8"/>
  <c r="I1829" i="8"/>
  <c r="I1830" i="8"/>
  <c r="I1831" i="8"/>
  <c r="I1832" i="8"/>
  <c r="I1833" i="8"/>
  <c r="I1834" i="8"/>
  <c r="I1835" i="8"/>
  <c r="I1836" i="8"/>
  <c r="I1837" i="8"/>
  <c r="I1838" i="8"/>
  <c r="I1839" i="8"/>
  <c r="I1840" i="8"/>
  <c r="I1841" i="8"/>
  <c r="I1842" i="8"/>
  <c r="I1843" i="8"/>
  <c r="I1844" i="8"/>
  <c r="I1845" i="8"/>
  <c r="I1846" i="8"/>
  <c r="I1847" i="8"/>
  <c r="I1848" i="8"/>
  <c r="I1849" i="8"/>
  <c r="I1850" i="8"/>
  <c r="I1851" i="8"/>
  <c r="I1852" i="8"/>
  <c r="I1853" i="8"/>
  <c r="I1854" i="8"/>
  <c r="I1855" i="8"/>
  <c r="I1856" i="8"/>
  <c r="I1857" i="8"/>
  <c r="I1858" i="8"/>
  <c r="I1859" i="8"/>
  <c r="I1860" i="8"/>
  <c r="I1861" i="8"/>
  <c r="I1862" i="8"/>
  <c r="I1863" i="8"/>
  <c r="I1864" i="8"/>
  <c r="I1865" i="8"/>
  <c r="I1866" i="8"/>
  <c r="I1867" i="8"/>
  <c r="I1868" i="8"/>
  <c r="I1869" i="8"/>
  <c r="I1870" i="8"/>
  <c r="I1871" i="8"/>
  <c r="I1872" i="8"/>
  <c r="I1873" i="8"/>
  <c r="I1874" i="8"/>
  <c r="I1875" i="8"/>
  <c r="I1876" i="8"/>
  <c r="I1877" i="8"/>
  <c r="I1878" i="8"/>
  <c r="I1879" i="8"/>
  <c r="I1880" i="8"/>
  <c r="I1881" i="8"/>
  <c r="I1882" i="8"/>
  <c r="I1883" i="8"/>
  <c r="I1884" i="8"/>
  <c r="I1885" i="8"/>
  <c r="I1886" i="8"/>
  <c r="I1887" i="8"/>
  <c r="I1888" i="8"/>
  <c r="I1889" i="8"/>
  <c r="I1890" i="8"/>
  <c r="I1891" i="8"/>
  <c r="I1892" i="8"/>
  <c r="I1893" i="8"/>
  <c r="I1894" i="8"/>
  <c r="I1895" i="8"/>
  <c r="I1896" i="8"/>
  <c r="I1897" i="8"/>
  <c r="I1898" i="8"/>
  <c r="I1899" i="8"/>
  <c r="I1900" i="8"/>
  <c r="I1901" i="8"/>
  <c r="I1902" i="8"/>
  <c r="I1903" i="8"/>
  <c r="I1904" i="8"/>
  <c r="I1905" i="8"/>
  <c r="I1906" i="8"/>
  <c r="I1907" i="8"/>
  <c r="I1908" i="8"/>
  <c r="I1909" i="8"/>
  <c r="I1910" i="8"/>
  <c r="I1911" i="8"/>
  <c r="I1912" i="8"/>
  <c r="I1913" i="8"/>
  <c r="I1914" i="8"/>
  <c r="I1915" i="8"/>
  <c r="I1916" i="8"/>
  <c r="I1917" i="8"/>
  <c r="I1918" i="8"/>
  <c r="I1919" i="8"/>
  <c r="I1920" i="8"/>
  <c r="I1921" i="8"/>
  <c r="I1922" i="8"/>
  <c r="I1923" i="8"/>
  <c r="I1924" i="8"/>
  <c r="I1925" i="8"/>
  <c r="I1926" i="8"/>
  <c r="I1927" i="8"/>
  <c r="I1928" i="8"/>
  <c r="I1929" i="8"/>
  <c r="I1930" i="8"/>
  <c r="I1931" i="8"/>
  <c r="I1932" i="8"/>
  <c r="I1933" i="8"/>
  <c r="I1934" i="8"/>
  <c r="I1935" i="8"/>
  <c r="I1936" i="8"/>
  <c r="I1937" i="8"/>
  <c r="I1938" i="8"/>
  <c r="I1939" i="8"/>
  <c r="I1940" i="8"/>
  <c r="I1941" i="8"/>
  <c r="I1942" i="8"/>
  <c r="I1943" i="8"/>
  <c r="I1944" i="8"/>
  <c r="I1945" i="8"/>
  <c r="I1946" i="8"/>
  <c r="I1947" i="8"/>
  <c r="I1948" i="8"/>
  <c r="I1949" i="8"/>
  <c r="I1950" i="8"/>
  <c r="I1951" i="8"/>
  <c r="I1952" i="8"/>
  <c r="I1953" i="8"/>
  <c r="I1954" i="8"/>
  <c r="I1955" i="8"/>
  <c r="I1956" i="8"/>
  <c r="I1957" i="8"/>
  <c r="I1958" i="8"/>
  <c r="I1959" i="8"/>
  <c r="I1960" i="8"/>
  <c r="I1961" i="8"/>
  <c r="I1962" i="8"/>
  <c r="I1963" i="8"/>
  <c r="I1964" i="8"/>
  <c r="I1965" i="8"/>
  <c r="I1966" i="8"/>
  <c r="I1967" i="8"/>
  <c r="I1968" i="8"/>
  <c r="I1969" i="8"/>
  <c r="I1970" i="8"/>
  <c r="I1971" i="8"/>
  <c r="I1972" i="8"/>
  <c r="I1973" i="8"/>
  <c r="I1974" i="8"/>
  <c r="I1975" i="8"/>
  <c r="I1976" i="8"/>
  <c r="I1977" i="8"/>
  <c r="I1978" i="8"/>
  <c r="I1979" i="8"/>
  <c r="I1980" i="8"/>
  <c r="I1981" i="8"/>
  <c r="I1982" i="8"/>
  <c r="I1983" i="8"/>
  <c r="I1984" i="8"/>
  <c r="I1985" i="8"/>
  <c r="I1986" i="8"/>
  <c r="I1987" i="8"/>
  <c r="I1988" i="8"/>
  <c r="I1989" i="8"/>
  <c r="I1990" i="8"/>
  <c r="I1991" i="8"/>
  <c r="I1992" i="8"/>
  <c r="I1993" i="8"/>
  <c r="I1994" i="8"/>
  <c r="I1995" i="8"/>
  <c r="I1996" i="8"/>
  <c r="I1997" i="8"/>
  <c r="I1998" i="8"/>
  <c r="I1999" i="8"/>
  <c r="I2000" i="8"/>
  <c r="I2001" i="8"/>
  <c r="I2002" i="8"/>
  <c r="I2003" i="8"/>
  <c r="I2004" i="8"/>
  <c r="I2005" i="8"/>
  <c r="I2006" i="8"/>
  <c r="I2007" i="8"/>
  <c r="I2008" i="8"/>
  <c r="I2009" i="8"/>
  <c r="I2010" i="8"/>
  <c r="I2011" i="8"/>
  <c r="I2012" i="8"/>
  <c r="I2013" i="8"/>
  <c r="I2014" i="8"/>
  <c r="I2015" i="8"/>
  <c r="I2016" i="8"/>
  <c r="I2017" i="8"/>
  <c r="I2018" i="8"/>
  <c r="I2019" i="8"/>
  <c r="I2020" i="8"/>
  <c r="I2021" i="8"/>
  <c r="I2022" i="8"/>
  <c r="I2023" i="8"/>
  <c r="I2024" i="8"/>
  <c r="I2025" i="8"/>
  <c r="I2026" i="8"/>
  <c r="I2027" i="8"/>
  <c r="I2028" i="8"/>
  <c r="I2029" i="8"/>
  <c r="I2030" i="8"/>
  <c r="I2031" i="8"/>
  <c r="I2032" i="8"/>
  <c r="I2033" i="8"/>
  <c r="I2034" i="8"/>
  <c r="I2035" i="8"/>
  <c r="I2036" i="8"/>
  <c r="I2037" i="8"/>
  <c r="I2038" i="8"/>
  <c r="I2039" i="8"/>
  <c r="I2040" i="8"/>
  <c r="I2041" i="8"/>
  <c r="I2042" i="8"/>
  <c r="I2043" i="8"/>
  <c r="I2044" i="8"/>
  <c r="I2045" i="8"/>
  <c r="I2046" i="8"/>
  <c r="I2047" i="8"/>
  <c r="I2048" i="8"/>
  <c r="I2049" i="8"/>
  <c r="I2050" i="8"/>
  <c r="I2051" i="8"/>
  <c r="I2052" i="8"/>
  <c r="I2053" i="8"/>
  <c r="I2054" i="8"/>
  <c r="I2055" i="8"/>
  <c r="I2056" i="8"/>
  <c r="I2057" i="8"/>
  <c r="I2058" i="8"/>
  <c r="I2059" i="8"/>
  <c r="I2060" i="8"/>
  <c r="I2061" i="8"/>
  <c r="I2062" i="8"/>
  <c r="I2063" i="8"/>
  <c r="I2064" i="8"/>
  <c r="I2065" i="8"/>
  <c r="I2066" i="8"/>
  <c r="I2067" i="8"/>
  <c r="I2068" i="8"/>
  <c r="I2069" i="8"/>
  <c r="I2070" i="8"/>
  <c r="I2071" i="8"/>
  <c r="I2072" i="8"/>
  <c r="I2073" i="8"/>
  <c r="I2074" i="8"/>
  <c r="I2075" i="8"/>
  <c r="I2076" i="8"/>
  <c r="I2077" i="8"/>
  <c r="I2078" i="8"/>
  <c r="I2079" i="8"/>
  <c r="I2080" i="8"/>
  <c r="I2081" i="8"/>
  <c r="I2082" i="8"/>
  <c r="I2083" i="8"/>
  <c r="I2084" i="8"/>
  <c r="I2085" i="8"/>
  <c r="I2086" i="8"/>
  <c r="I2087" i="8"/>
  <c r="I2088" i="8"/>
  <c r="I2089" i="8"/>
  <c r="I2090" i="8"/>
  <c r="I2091" i="8"/>
  <c r="I2092" i="8"/>
  <c r="I2093" i="8"/>
  <c r="I2094" i="8"/>
  <c r="I2095" i="8"/>
  <c r="I2096" i="8"/>
  <c r="I2097" i="8"/>
  <c r="I2098" i="8"/>
  <c r="I2099" i="8"/>
  <c r="I2100" i="8"/>
  <c r="I2101" i="8"/>
  <c r="I2102" i="8"/>
  <c r="I2103" i="8"/>
  <c r="I2104" i="8"/>
  <c r="I2105" i="8"/>
  <c r="I2106" i="8"/>
  <c r="I2107" i="8"/>
  <c r="I2108" i="8"/>
  <c r="I2109" i="8"/>
  <c r="I2110" i="8"/>
  <c r="I2111" i="8"/>
  <c r="I2112" i="8"/>
  <c r="I2113" i="8"/>
  <c r="I2114" i="8"/>
  <c r="I2115" i="8"/>
  <c r="I2116" i="8"/>
  <c r="I2117" i="8"/>
  <c r="I2118" i="8"/>
  <c r="I2119" i="8"/>
  <c r="I2120" i="8"/>
  <c r="I2121" i="8"/>
  <c r="I2122" i="8"/>
  <c r="I2123" i="8"/>
  <c r="I2124" i="8"/>
  <c r="I2125" i="8"/>
  <c r="I2126" i="8"/>
  <c r="I2127" i="8"/>
  <c r="I2128" i="8"/>
  <c r="I2129" i="8"/>
  <c r="I2130" i="8"/>
  <c r="I2131" i="8"/>
  <c r="I2132" i="8"/>
  <c r="I2133" i="8"/>
  <c r="I2134" i="8"/>
  <c r="I2135" i="8"/>
  <c r="I2136" i="8"/>
  <c r="I2137" i="8"/>
  <c r="I2138" i="8"/>
  <c r="I2139" i="8"/>
  <c r="I2140" i="8"/>
  <c r="I2141" i="8"/>
  <c r="I2142" i="8"/>
  <c r="I2143" i="8"/>
  <c r="I2144" i="8"/>
  <c r="I2145" i="8"/>
  <c r="I2146" i="8"/>
  <c r="I2147" i="8"/>
  <c r="I2148" i="8"/>
  <c r="I2149" i="8"/>
  <c r="I2150" i="8"/>
  <c r="I2151" i="8"/>
  <c r="I2152" i="8"/>
  <c r="I2153" i="8"/>
  <c r="I2154" i="8"/>
  <c r="I2155" i="8"/>
  <c r="I2156" i="8"/>
  <c r="I2157" i="8"/>
  <c r="I2158" i="8"/>
  <c r="I2159" i="8"/>
  <c r="I2160" i="8"/>
  <c r="I2161" i="8"/>
  <c r="I2162" i="8"/>
  <c r="I2163" i="8"/>
  <c r="I2164" i="8"/>
  <c r="I2165" i="8"/>
  <c r="I2166" i="8"/>
  <c r="I2167" i="8"/>
  <c r="I2168" i="8"/>
  <c r="I2169" i="8"/>
  <c r="I2170" i="8"/>
  <c r="I2171" i="8"/>
  <c r="I2172" i="8"/>
  <c r="I2173" i="8"/>
  <c r="I2174" i="8"/>
  <c r="I2175" i="8"/>
  <c r="I2176" i="8"/>
  <c r="I2177" i="8"/>
  <c r="I2178" i="8"/>
  <c r="I2179" i="8"/>
  <c r="I2180" i="8"/>
  <c r="I2181" i="8"/>
  <c r="I2182" i="8"/>
  <c r="I2183" i="8"/>
  <c r="I2184" i="8"/>
  <c r="I2185" i="8"/>
  <c r="I2186" i="8"/>
  <c r="I2187" i="8"/>
  <c r="I2188" i="8"/>
  <c r="I2189" i="8"/>
  <c r="I2190" i="8"/>
  <c r="I2191" i="8"/>
  <c r="I2192" i="8"/>
  <c r="I2193" i="8"/>
  <c r="I2194" i="8"/>
  <c r="I2195" i="8"/>
  <c r="I2196" i="8"/>
  <c r="I2197" i="8"/>
  <c r="I2198" i="8"/>
  <c r="I2199" i="8"/>
  <c r="I2200" i="8"/>
  <c r="I2201" i="8"/>
  <c r="I2202" i="8"/>
  <c r="I2203" i="8"/>
  <c r="I2204" i="8"/>
  <c r="I2205" i="8"/>
  <c r="I2206" i="8"/>
  <c r="I2207" i="8"/>
  <c r="I2208" i="8"/>
  <c r="I2209" i="8"/>
  <c r="I2210" i="8"/>
  <c r="I2211" i="8"/>
  <c r="I2212" i="8"/>
  <c r="I2213" i="8"/>
  <c r="I2214" i="8"/>
  <c r="I2215" i="8"/>
  <c r="I2216" i="8"/>
  <c r="I2217" i="8"/>
  <c r="I2218" i="8"/>
  <c r="I2219" i="8"/>
  <c r="I2220" i="8"/>
  <c r="I2221" i="8"/>
  <c r="I2222" i="8"/>
  <c r="I2223" i="8"/>
  <c r="I2224" i="8"/>
  <c r="I2225" i="8"/>
  <c r="I2226" i="8"/>
  <c r="I2227" i="8"/>
  <c r="I2228" i="8"/>
  <c r="I2229" i="8"/>
  <c r="I2230" i="8"/>
  <c r="I2231" i="8"/>
  <c r="I2232" i="8"/>
  <c r="I2233" i="8"/>
  <c r="I2234" i="8"/>
  <c r="I2235" i="8"/>
  <c r="I2236" i="8"/>
  <c r="I2237" i="8"/>
  <c r="I2238" i="8"/>
  <c r="I2239" i="8"/>
  <c r="I2240" i="8"/>
  <c r="I2241" i="8"/>
  <c r="I2242" i="8"/>
  <c r="I2243" i="8"/>
  <c r="I2244" i="8"/>
  <c r="I2245" i="8"/>
  <c r="I2246" i="8"/>
  <c r="I2247" i="8"/>
  <c r="I2248" i="8"/>
  <c r="I2249" i="8"/>
  <c r="I2250" i="8"/>
  <c r="I2251" i="8"/>
  <c r="I2252" i="8"/>
  <c r="I2253" i="8"/>
  <c r="I2254" i="8"/>
  <c r="I2255" i="8"/>
  <c r="I2256" i="8"/>
  <c r="I2257" i="8"/>
  <c r="I2258" i="8"/>
  <c r="I2259" i="8"/>
  <c r="I2260" i="8"/>
  <c r="I2261" i="8"/>
  <c r="I2262" i="8"/>
  <c r="I2263" i="8"/>
  <c r="I2264" i="8"/>
  <c r="I2265" i="8"/>
  <c r="I2266" i="8"/>
  <c r="I2267" i="8"/>
  <c r="I2268" i="8"/>
  <c r="I2269" i="8"/>
  <c r="I2270" i="8"/>
  <c r="I2271" i="8"/>
  <c r="I2272" i="8"/>
  <c r="I2273" i="8"/>
  <c r="I2274" i="8"/>
  <c r="I2275" i="8"/>
  <c r="I2276" i="8"/>
  <c r="I2277" i="8"/>
  <c r="I2278" i="8"/>
  <c r="I2279" i="8"/>
  <c r="I2280" i="8"/>
  <c r="I2281" i="8"/>
  <c r="I2282" i="8"/>
  <c r="I2283" i="8"/>
  <c r="I2284" i="8"/>
  <c r="I2285" i="8"/>
  <c r="I2286" i="8"/>
  <c r="I2287" i="8"/>
  <c r="I2288" i="8"/>
  <c r="I2289" i="8"/>
  <c r="I2290" i="8"/>
  <c r="I2291" i="8"/>
  <c r="I2292" i="8"/>
  <c r="I2293" i="8"/>
  <c r="I2294" i="8"/>
  <c r="I2295" i="8"/>
  <c r="I2296" i="8"/>
  <c r="I2297" i="8"/>
  <c r="I2298" i="8"/>
  <c r="I2299" i="8"/>
  <c r="I2300" i="8"/>
  <c r="I2301" i="8"/>
  <c r="I2302" i="8"/>
  <c r="I2303" i="8"/>
  <c r="I2304" i="8"/>
  <c r="I2305" i="8"/>
  <c r="I2306" i="8"/>
  <c r="I2307" i="8"/>
  <c r="I2308" i="8"/>
  <c r="I2309" i="8"/>
  <c r="I2310" i="8"/>
  <c r="I2311" i="8"/>
  <c r="I2312" i="8"/>
  <c r="I2313" i="8"/>
  <c r="I2314" i="8"/>
  <c r="I2315" i="8"/>
  <c r="I2316" i="8"/>
  <c r="I2317" i="8"/>
  <c r="I2318" i="8"/>
  <c r="I2319" i="8"/>
  <c r="I2320" i="8"/>
  <c r="I2321" i="8"/>
  <c r="I2322" i="8"/>
  <c r="I2323" i="8"/>
  <c r="I2324" i="8"/>
  <c r="I2325" i="8"/>
  <c r="I2326" i="8"/>
  <c r="I2327" i="8"/>
  <c r="I2328" i="8"/>
  <c r="I2329" i="8"/>
  <c r="I2330" i="8"/>
  <c r="I2331" i="8"/>
  <c r="I2332" i="8"/>
  <c r="I2333" i="8"/>
  <c r="I2334" i="8"/>
  <c r="I2335" i="8"/>
  <c r="I2336" i="8"/>
  <c r="I2337" i="8"/>
  <c r="I2338" i="8"/>
  <c r="I2339" i="8"/>
  <c r="I2340" i="8"/>
  <c r="I2341" i="8"/>
  <c r="I2342" i="8"/>
  <c r="I2343" i="8"/>
  <c r="I2344" i="8"/>
  <c r="I2345" i="8"/>
  <c r="I2346" i="8"/>
  <c r="I2347" i="8"/>
  <c r="I2348" i="8"/>
  <c r="I2349" i="8"/>
  <c r="I2350" i="8"/>
  <c r="I2351" i="8"/>
  <c r="I2352" i="8"/>
  <c r="I2353" i="8"/>
  <c r="I2354" i="8"/>
  <c r="I2355" i="8"/>
  <c r="I2356" i="8"/>
  <c r="I2357" i="8"/>
  <c r="I2358" i="8"/>
  <c r="I2359" i="8"/>
  <c r="I2360" i="8"/>
  <c r="I2361" i="8"/>
  <c r="I2362" i="8"/>
  <c r="I2363" i="8"/>
  <c r="I2364" i="8"/>
  <c r="I2365" i="8"/>
  <c r="I2366" i="8"/>
  <c r="I2367" i="8"/>
  <c r="I2368" i="8"/>
  <c r="I2369" i="8"/>
  <c r="I2370" i="8"/>
  <c r="I2371" i="8"/>
  <c r="I2372" i="8"/>
  <c r="I2373" i="8"/>
  <c r="I2374" i="8"/>
  <c r="I2375" i="8"/>
  <c r="I2376" i="8"/>
  <c r="I2377" i="8"/>
  <c r="I2378" i="8"/>
  <c r="I2379" i="8"/>
  <c r="I2380" i="8"/>
  <c r="I2381" i="8"/>
  <c r="I2382" i="8"/>
  <c r="I2383" i="8"/>
  <c r="I2384" i="8"/>
  <c r="I2385" i="8"/>
  <c r="I2386" i="8"/>
  <c r="I2387" i="8"/>
  <c r="I2388" i="8"/>
  <c r="I2389" i="8"/>
  <c r="I2390" i="8"/>
  <c r="I2391" i="8"/>
  <c r="I2392" i="8"/>
  <c r="I2393" i="8"/>
  <c r="I2394" i="8"/>
  <c r="I2395" i="8"/>
  <c r="I2396" i="8"/>
  <c r="I2397" i="8"/>
  <c r="I2398" i="8"/>
  <c r="I2399" i="8"/>
  <c r="I2400" i="8"/>
  <c r="I2401" i="8"/>
  <c r="I2402" i="8"/>
  <c r="I2403" i="8"/>
  <c r="I2404" i="8"/>
  <c r="I2405" i="8"/>
  <c r="I2406" i="8"/>
  <c r="I2407" i="8"/>
  <c r="I2408" i="8"/>
  <c r="I2409" i="8"/>
  <c r="I2410" i="8"/>
  <c r="I2411" i="8"/>
  <c r="I2412" i="8"/>
  <c r="I2413" i="8"/>
  <c r="I2414" i="8"/>
  <c r="I2415" i="8"/>
  <c r="I2416" i="8"/>
  <c r="I2417" i="8"/>
  <c r="I2418" i="8"/>
  <c r="I2419" i="8"/>
  <c r="I2420" i="8"/>
  <c r="I2421" i="8"/>
  <c r="I2422" i="8"/>
  <c r="I2423" i="8"/>
  <c r="I2424" i="8"/>
  <c r="I2425" i="8"/>
  <c r="I2426" i="8"/>
  <c r="I2427" i="8"/>
  <c r="I2428" i="8"/>
  <c r="I2429" i="8"/>
  <c r="I2430" i="8"/>
  <c r="I2431" i="8"/>
  <c r="I2432" i="8"/>
  <c r="I2433" i="8"/>
  <c r="I2434" i="8"/>
  <c r="I2435" i="8"/>
  <c r="I2436" i="8"/>
  <c r="I2437" i="8"/>
  <c r="I2438" i="8"/>
  <c r="I2439" i="8"/>
  <c r="I2440" i="8"/>
  <c r="I2441" i="8"/>
  <c r="I2442" i="8"/>
  <c r="I2443" i="8"/>
  <c r="I2444" i="8"/>
  <c r="I2445" i="8"/>
  <c r="I2446" i="8"/>
  <c r="I2447" i="8"/>
  <c r="I2448" i="8"/>
  <c r="I2449" i="8"/>
  <c r="I2450" i="8"/>
  <c r="I2451" i="8"/>
  <c r="I2452" i="8"/>
  <c r="I2453" i="8"/>
  <c r="I2454" i="8"/>
  <c r="I2455" i="8"/>
  <c r="I2456" i="8"/>
  <c r="I2457" i="8"/>
  <c r="I2458" i="8"/>
  <c r="I2459" i="8"/>
  <c r="I2460" i="8"/>
  <c r="I2461" i="8"/>
  <c r="I2462" i="8"/>
  <c r="I2463" i="8"/>
  <c r="I2464" i="8"/>
  <c r="I2465" i="8"/>
  <c r="I2466" i="8"/>
  <c r="I2467" i="8"/>
  <c r="I2468" i="8"/>
  <c r="I2469" i="8"/>
  <c r="I2470" i="8"/>
  <c r="I2471" i="8"/>
  <c r="I2472" i="8"/>
  <c r="I2473" i="8"/>
  <c r="I2474" i="8"/>
  <c r="I2475" i="8"/>
  <c r="I2476" i="8"/>
  <c r="I2477" i="8"/>
  <c r="I2478" i="8"/>
  <c r="I2479" i="8"/>
  <c r="I2480" i="8"/>
  <c r="I2481" i="8"/>
  <c r="I2482" i="8"/>
  <c r="I2483" i="8"/>
  <c r="I2484" i="8"/>
  <c r="I2485" i="8"/>
  <c r="I2486" i="8"/>
  <c r="I2487" i="8"/>
  <c r="I2488" i="8"/>
  <c r="I2489" i="8"/>
  <c r="I2490" i="8"/>
  <c r="I2491" i="8"/>
  <c r="I2492" i="8"/>
  <c r="I2493" i="8"/>
  <c r="I2494" i="8"/>
  <c r="I2495" i="8"/>
  <c r="I2496" i="8"/>
  <c r="I2497" i="8"/>
  <c r="I2498" i="8"/>
  <c r="I2499" i="8"/>
  <c r="I2500" i="8"/>
  <c r="I2501" i="8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H757" i="8"/>
  <c r="H758" i="8"/>
  <c r="H759" i="8"/>
  <c r="H760" i="8"/>
  <c r="H761" i="8"/>
  <c r="H762" i="8"/>
  <c r="H763" i="8"/>
  <c r="H764" i="8"/>
  <c r="H765" i="8"/>
  <c r="H766" i="8"/>
  <c r="H767" i="8"/>
  <c r="H768" i="8"/>
  <c r="H769" i="8"/>
  <c r="H770" i="8"/>
  <c r="H771" i="8"/>
  <c r="H772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H789" i="8"/>
  <c r="H790" i="8"/>
  <c r="H791" i="8"/>
  <c r="H792" i="8"/>
  <c r="H793" i="8"/>
  <c r="H794" i="8"/>
  <c r="H795" i="8"/>
  <c r="H796" i="8"/>
  <c r="H797" i="8"/>
  <c r="H798" i="8"/>
  <c r="H799" i="8"/>
  <c r="H800" i="8"/>
  <c r="H801" i="8"/>
  <c r="H802" i="8"/>
  <c r="H803" i="8"/>
  <c r="H804" i="8"/>
  <c r="H805" i="8"/>
  <c r="H806" i="8"/>
  <c r="H807" i="8"/>
  <c r="H808" i="8"/>
  <c r="H809" i="8"/>
  <c r="H810" i="8"/>
  <c r="H811" i="8"/>
  <c r="H812" i="8"/>
  <c r="H813" i="8"/>
  <c r="H814" i="8"/>
  <c r="H815" i="8"/>
  <c r="H816" i="8"/>
  <c r="H817" i="8"/>
  <c r="H818" i="8"/>
  <c r="H819" i="8"/>
  <c r="H820" i="8"/>
  <c r="H821" i="8"/>
  <c r="H822" i="8"/>
  <c r="H823" i="8"/>
  <c r="H824" i="8"/>
  <c r="H825" i="8"/>
  <c r="H826" i="8"/>
  <c r="H827" i="8"/>
  <c r="H828" i="8"/>
  <c r="H829" i="8"/>
  <c r="H830" i="8"/>
  <c r="H831" i="8"/>
  <c r="H832" i="8"/>
  <c r="H833" i="8"/>
  <c r="H834" i="8"/>
  <c r="H835" i="8"/>
  <c r="H836" i="8"/>
  <c r="H837" i="8"/>
  <c r="H838" i="8"/>
  <c r="H839" i="8"/>
  <c r="H840" i="8"/>
  <c r="H841" i="8"/>
  <c r="H842" i="8"/>
  <c r="H843" i="8"/>
  <c r="H844" i="8"/>
  <c r="H845" i="8"/>
  <c r="H846" i="8"/>
  <c r="H847" i="8"/>
  <c r="H848" i="8"/>
  <c r="H849" i="8"/>
  <c r="H850" i="8"/>
  <c r="H851" i="8"/>
  <c r="H852" i="8"/>
  <c r="H853" i="8"/>
  <c r="H854" i="8"/>
  <c r="H855" i="8"/>
  <c r="H856" i="8"/>
  <c r="H857" i="8"/>
  <c r="H858" i="8"/>
  <c r="H859" i="8"/>
  <c r="H860" i="8"/>
  <c r="H861" i="8"/>
  <c r="H862" i="8"/>
  <c r="H863" i="8"/>
  <c r="H864" i="8"/>
  <c r="H865" i="8"/>
  <c r="H866" i="8"/>
  <c r="H867" i="8"/>
  <c r="H868" i="8"/>
  <c r="H869" i="8"/>
  <c r="H870" i="8"/>
  <c r="H871" i="8"/>
  <c r="H872" i="8"/>
  <c r="H873" i="8"/>
  <c r="H874" i="8"/>
  <c r="H875" i="8"/>
  <c r="H876" i="8"/>
  <c r="H877" i="8"/>
  <c r="H878" i="8"/>
  <c r="H879" i="8"/>
  <c r="H880" i="8"/>
  <c r="H881" i="8"/>
  <c r="H882" i="8"/>
  <c r="H883" i="8"/>
  <c r="H884" i="8"/>
  <c r="H885" i="8"/>
  <c r="H886" i="8"/>
  <c r="H887" i="8"/>
  <c r="H888" i="8"/>
  <c r="H889" i="8"/>
  <c r="H890" i="8"/>
  <c r="H891" i="8"/>
  <c r="H892" i="8"/>
  <c r="H893" i="8"/>
  <c r="H894" i="8"/>
  <c r="H895" i="8"/>
  <c r="H896" i="8"/>
  <c r="H897" i="8"/>
  <c r="H898" i="8"/>
  <c r="H899" i="8"/>
  <c r="H900" i="8"/>
  <c r="H901" i="8"/>
  <c r="H902" i="8"/>
  <c r="H903" i="8"/>
  <c r="H904" i="8"/>
  <c r="H905" i="8"/>
  <c r="H906" i="8"/>
  <c r="H907" i="8"/>
  <c r="H908" i="8"/>
  <c r="H909" i="8"/>
  <c r="H910" i="8"/>
  <c r="H911" i="8"/>
  <c r="H912" i="8"/>
  <c r="H913" i="8"/>
  <c r="H914" i="8"/>
  <c r="H915" i="8"/>
  <c r="H916" i="8"/>
  <c r="H917" i="8"/>
  <c r="H918" i="8"/>
  <c r="H919" i="8"/>
  <c r="H920" i="8"/>
  <c r="H921" i="8"/>
  <c r="H922" i="8"/>
  <c r="H923" i="8"/>
  <c r="H924" i="8"/>
  <c r="H925" i="8"/>
  <c r="H926" i="8"/>
  <c r="H927" i="8"/>
  <c r="H928" i="8"/>
  <c r="H929" i="8"/>
  <c r="H930" i="8"/>
  <c r="H931" i="8"/>
  <c r="H932" i="8"/>
  <c r="H933" i="8"/>
  <c r="H934" i="8"/>
  <c r="H935" i="8"/>
  <c r="H936" i="8"/>
  <c r="H937" i="8"/>
  <c r="H938" i="8"/>
  <c r="H939" i="8"/>
  <c r="H940" i="8"/>
  <c r="H941" i="8"/>
  <c r="H942" i="8"/>
  <c r="H943" i="8"/>
  <c r="H944" i="8"/>
  <c r="H945" i="8"/>
  <c r="H946" i="8"/>
  <c r="H947" i="8"/>
  <c r="H948" i="8"/>
  <c r="H949" i="8"/>
  <c r="H950" i="8"/>
  <c r="H951" i="8"/>
  <c r="H952" i="8"/>
  <c r="H953" i="8"/>
  <c r="H954" i="8"/>
  <c r="H955" i="8"/>
  <c r="H956" i="8"/>
  <c r="H957" i="8"/>
  <c r="H958" i="8"/>
  <c r="H959" i="8"/>
  <c r="H960" i="8"/>
  <c r="H961" i="8"/>
  <c r="H962" i="8"/>
  <c r="H963" i="8"/>
  <c r="H964" i="8"/>
  <c r="H965" i="8"/>
  <c r="H966" i="8"/>
  <c r="H967" i="8"/>
  <c r="H968" i="8"/>
  <c r="H969" i="8"/>
  <c r="H970" i="8"/>
  <c r="H971" i="8"/>
  <c r="H972" i="8"/>
  <c r="H973" i="8"/>
  <c r="H974" i="8"/>
  <c r="H975" i="8"/>
  <c r="H976" i="8"/>
  <c r="H977" i="8"/>
  <c r="H978" i="8"/>
  <c r="H979" i="8"/>
  <c r="H980" i="8"/>
  <c r="H981" i="8"/>
  <c r="H982" i="8"/>
  <c r="H983" i="8"/>
  <c r="H984" i="8"/>
  <c r="H985" i="8"/>
  <c r="H986" i="8"/>
  <c r="H987" i="8"/>
  <c r="H988" i="8"/>
  <c r="H989" i="8"/>
  <c r="H990" i="8"/>
  <c r="H991" i="8"/>
  <c r="H992" i="8"/>
  <c r="H993" i="8"/>
  <c r="H994" i="8"/>
  <c r="H995" i="8"/>
  <c r="H996" i="8"/>
  <c r="H997" i="8"/>
  <c r="H998" i="8"/>
  <c r="H999" i="8"/>
  <c r="H1000" i="8"/>
  <c r="H1001" i="8"/>
  <c r="H1002" i="8"/>
  <c r="H1003" i="8"/>
  <c r="H1004" i="8"/>
  <c r="H1005" i="8"/>
  <c r="H1006" i="8"/>
  <c r="H1007" i="8"/>
  <c r="H1008" i="8"/>
  <c r="H1009" i="8"/>
  <c r="H1010" i="8"/>
  <c r="H1011" i="8"/>
  <c r="H1012" i="8"/>
  <c r="H1013" i="8"/>
  <c r="H1014" i="8"/>
  <c r="H1015" i="8"/>
  <c r="H1016" i="8"/>
  <c r="H1017" i="8"/>
  <c r="H1018" i="8"/>
  <c r="H1019" i="8"/>
  <c r="H1020" i="8"/>
  <c r="H1021" i="8"/>
  <c r="H1022" i="8"/>
  <c r="H1023" i="8"/>
  <c r="H1024" i="8"/>
  <c r="H1025" i="8"/>
  <c r="H1026" i="8"/>
  <c r="H1027" i="8"/>
  <c r="H1028" i="8"/>
  <c r="H1029" i="8"/>
  <c r="H1030" i="8"/>
  <c r="H1031" i="8"/>
  <c r="H1032" i="8"/>
  <c r="H1033" i="8"/>
  <c r="H1034" i="8"/>
  <c r="H1035" i="8"/>
  <c r="H1036" i="8"/>
  <c r="H1037" i="8"/>
  <c r="H1038" i="8"/>
  <c r="H1039" i="8"/>
  <c r="H1040" i="8"/>
  <c r="H1041" i="8"/>
  <c r="H1042" i="8"/>
  <c r="H1043" i="8"/>
  <c r="H1044" i="8"/>
  <c r="H1045" i="8"/>
  <c r="H1046" i="8"/>
  <c r="H1047" i="8"/>
  <c r="H1048" i="8"/>
  <c r="H1049" i="8"/>
  <c r="H1050" i="8"/>
  <c r="H1051" i="8"/>
  <c r="H1052" i="8"/>
  <c r="H1053" i="8"/>
  <c r="H1054" i="8"/>
  <c r="H1055" i="8"/>
  <c r="H1056" i="8"/>
  <c r="H1057" i="8"/>
  <c r="H1058" i="8"/>
  <c r="H1059" i="8"/>
  <c r="H1060" i="8"/>
  <c r="H1061" i="8"/>
  <c r="H1062" i="8"/>
  <c r="H1063" i="8"/>
  <c r="H1064" i="8"/>
  <c r="H1065" i="8"/>
  <c r="H1066" i="8"/>
  <c r="H1067" i="8"/>
  <c r="H1068" i="8"/>
  <c r="H1069" i="8"/>
  <c r="H1070" i="8"/>
  <c r="H1071" i="8"/>
  <c r="H1072" i="8"/>
  <c r="H1073" i="8"/>
  <c r="H1074" i="8"/>
  <c r="H1075" i="8"/>
  <c r="H1076" i="8"/>
  <c r="H1077" i="8"/>
  <c r="H1078" i="8"/>
  <c r="H1079" i="8"/>
  <c r="H1080" i="8"/>
  <c r="H1081" i="8"/>
  <c r="H1082" i="8"/>
  <c r="H1083" i="8"/>
  <c r="H1084" i="8"/>
  <c r="H1085" i="8"/>
  <c r="H1086" i="8"/>
  <c r="H1087" i="8"/>
  <c r="H1088" i="8"/>
  <c r="H1089" i="8"/>
  <c r="H1090" i="8"/>
  <c r="H1091" i="8"/>
  <c r="H1092" i="8"/>
  <c r="H1093" i="8"/>
  <c r="H1094" i="8"/>
  <c r="H1095" i="8"/>
  <c r="H1096" i="8"/>
  <c r="H1097" i="8"/>
  <c r="H1098" i="8"/>
  <c r="H1099" i="8"/>
  <c r="H1100" i="8"/>
  <c r="H1101" i="8"/>
  <c r="H1102" i="8"/>
  <c r="H1103" i="8"/>
  <c r="H1104" i="8"/>
  <c r="H1105" i="8"/>
  <c r="H1106" i="8"/>
  <c r="H1107" i="8"/>
  <c r="H1108" i="8"/>
  <c r="H1109" i="8"/>
  <c r="H1110" i="8"/>
  <c r="H1111" i="8"/>
  <c r="H1112" i="8"/>
  <c r="H1113" i="8"/>
  <c r="H1114" i="8"/>
  <c r="H1115" i="8"/>
  <c r="H1116" i="8"/>
  <c r="H1117" i="8"/>
  <c r="H1118" i="8"/>
  <c r="H1119" i="8"/>
  <c r="H1120" i="8"/>
  <c r="H1121" i="8"/>
  <c r="H1122" i="8"/>
  <c r="H1123" i="8"/>
  <c r="H1124" i="8"/>
  <c r="H1125" i="8"/>
  <c r="H1126" i="8"/>
  <c r="H1127" i="8"/>
  <c r="H1128" i="8"/>
  <c r="H1129" i="8"/>
  <c r="H1130" i="8"/>
  <c r="H1131" i="8"/>
  <c r="H1132" i="8"/>
  <c r="H1133" i="8"/>
  <c r="H1134" i="8"/>
  <c r="H1135" i="8"/>
  <c r="H1136" i="8"/>
  <c r="H1137" i="8"/>
  <c r="H1138" i="8"/>
  <c r="H1139" i="8"/>
  <c r="H1140" i="8"/>
  <c r="H1141" i="8"/>
  <c r="H1142" i="8"/>
  <c r="H1143" i="8"/>
  <c r="H1144" i="8"/>
  <c r="H1145" i="8"/>
  <c r="H1146" i="8"/>
  <c r="H1147" i="8"/>
  <c r="H1148" i="8"/>
  <c r="H1149" i="8"/>
  <c r="H1150" i="8"/>
  <c r="H1151" i="8"/>
  <c r="H1152" i="8"/>
  <c r="H1153" i="8"/>
  <c r="H1154" i="8"/>
  <c r="H1155" i="8"/>
  <c r="H1156" i="8"/>
  <c r="H1157" i="8"/>
  <c r="H1158" i="8"/>
  <c r="H1159" i="8"/>
  <c r="H1160" i="8"/>
  <c r="H1161" i="8"/>
  <c r="H1162" i="8"/>
  <c r="H1163" i="8"/>
  <c r="H1164" i="8"/>
  <c r="H1165" i="8"/>
  <c r="H1166" i="8"/>
  <c r="H1167" i="8"/>
  <c r="H1168" i="8"/>
  <c r="H1169" i="8"/>
  <c r="H1170" i="8"/>
  <c r="H1171" i="8"/>
  <c r="H1172" i="8"/>
  <c r="H1173" i="8"/>
  <c r="H1174" i="8"/>
  <c r="H1175" i="8"/>
  <c r="H1176" i="8"/>
  <c r="H1177" i="8"/>
  <c r="H1178" i="8"/>
  <c r="H1179" i="8"/>
  <c r="H1180" i="8"/>
  <c r="H1181" i="8"/>
  <c r="H1182" i="8"/>
  <c r="H1183" i="8"/>
  <c r="H1184" i="8"/>
  <c r="H1185" i="8"/>
  <c r="H1186" i="8"/>
  <c r="H1187" i="8"/>
  <c r="H1188" i="8"/>
  <c r="H1189" i="8"/>
  <c r="H1190" i="8"/>
  <c r="H1191" i="8"/>
  <c r="H1192" i="8"/>
  <c r="H1193" i="8"/>
  <c r="H1194" i="8"/>
  <c r="H1195" i="8"/>
  <c r="H1196" i="8"/>
  <c r="H1197" i="8"/>
  <c r="H1198" i="8"/>
  <c r="H1199" i="8"/>
  <c r="H1200" i="8"/>
  <c r="H1201" i="8"/>
  <c r="H1202" i="8"/>
  <c r="H1203" i="8"/>
  <c r="H1204" i="8"/>
  <c r="H1205" i="8"/>
  <c r="H1206" i="8"/>
  <c r="H1207" i="8"/>
  <c r="H1208" i="8"/>
  <c r="H1209" i="8"/>
  <c r="H1210" i="8"/>
  <c r="H1211" i="8"/>
  <c r="H1212" i="8"/>
  <c r="H1213" i="8"/>
  <c r="H1214" i="8"/>
  <c r="H1215" i="8"/>
  <c r="H1216" i="8"/>
  <c r="H1217" i="8"/>
  <c r="H1218" i="8"/>
  <c r="H1219" i="8"/>
  <c r="H1220" i="8"/>
  <c r="H1221" i="8"/>
  <c r="H1222" i="8"/>
  <c r="H1223" i="8"/>
  <c r="H1224" i="8"/>
  <c r="H1225" i="8"/>
  <c r="H1226" i="8"/>
  <c r="H1227" i="8"/>
  <c r="H1228" i="8"/>
  <c r="H1229" i="8"/>
  <c r="H1230" i="8"/>
  <c r="H1231" i="8"/>
  <c r="H1232" i="8"/>
  <c r="H1233" i="8"/>
  <c r="H1234" i="8"/>
  <c r="H1235" i="8"/>
  <c r="H1236" i="8"/>
  <c r="H1237" i="8"/>
  <c r="H1238" i="8"/>
  <c r="H1239" i="8"/>
  <c r="H1240" i="8"/>
  <c r="H1241" i="8"/>
  <c r="H1242" i="8"/>
  <c r="H1243" i="8"/>
  <c r="H1244" i="8"/>
  <c r="H1245" i="8"/>
  <c r="H1246" i="8"/>
  <c r="H1247" i="8"/>
  <c r="H1248" i="8"/>
  <c r="H1249" i="8"/>
  <c r="H1250" i="8"/>
  <c r="H1251" i="8"/>
  <c r="H1252" i="8"/>
  <c r="H1253" i="8"/>
  <c r="H1254" i="8"/>
  <c r="H1255" i="8"/>
  <c r="H1256" i="8"/>
  <c r="H1257" i="8"/>
  <c r="H1258" i="8"/>
  <c r="H1259" i="8"/>
  <c r="H1260" i="8"/>
  <c r="H1261" i="8"/>
  <c r="H1262" i="8"/>
  <c r="H1263" i="8"/>
  <c r="H1264" i="8"/>
  <c r="H1265" i="8"/>
  <c r="H1266" i="8"/>
  <c r="H1267" i="8"/>
  <c r="H1268" i="8"/>
  <c r="H1269" i="8"/>
  <c r="H1270" i="8"/>
  <c r="H1271" i="8"/>
  <c r="H1272" i="8"/>
  <c r="H1273" i="8"/>
  <c r="H1274" i="8"/>
  <c r="H1275" i="8"/>
  <c r="H1276" i="8"/>
  <c r="H1277" i="8"/>
  <c r="H1278" i="8"/>
  <c r="H1279" i="8"/>
  <c r="H1280" i="8"/>
  <c r="H1281" i="8"/>
  <c r="H1282" i="8"/>
  <c r="H1283" i="8"/>
  <c r="H1284" i="8"/>
  <c r="H1285" i="8"/>
  <c r="H1286" i="8"/>
  <c r="H1287" i="8"/>
  <c r="H1288" i="8"/>
  <c r="H1289" i="8"/>
  <c r="H1290" i="8"/>
  <c r="H1291" i="8"/>
  <c r="H1292" i="8"/>
  <c r="H1293" i="8"/>
  <c r="H1294" i="8"/>
  <c r="H1295" i="8"/>
  <c r="H1296" i="8"/>
  <c r="H1297" i="8"/>
  <c r="H1298" i="8"/>
  <c r="H1299" i="8"/>
  <c r="H1300" i="8"/>
  <c r="H1301" i="8"/>
  <c r="H1302" i="8"/>
  <c r="H1303" i="8"/>
  <c r="H1304" i="8"/>
  <c r="H1305" i="8"/>
  <c r="H1306" i="8"/>
  <c r="H1307" i="8"/>
  <c r="H1308" i="8"/>
  <c r="H1309" i="8"/>
  <c r="H1310" i="8"/>
  <c r="H1311" i="8"/>
  <c r="H1312" i="8"/>
  <c r="H1313" i="8"/>
  <c r="H1314" i="8"/>
  <c r="H1315" i="8"/>
  <c r="H1316" i="8"/>
  <c r="H1317" i="8"/>
  <c r="H1318" i="8"/>
  <c r="H1319" i="8"/>
  <c r="H1320" i="8"/>
  <c r="H1321" i="8"/>
  <c r="H1322" i="8"/>
  <c r="H1323" i="8"/>
  <c r="H1324" i="8"/>
  <c r="H1325" i="8"/>
  <c r="H1326" i="8"/>
  <c r="H1327" i="8"/>
  <c r="H1328" i="8"/>
  <c r="H1329" i="8"/>
  <c r="H1330" i="8"/>
  <c r="H1331" i="8"/>
  <c r="H1332" i="8"/>
  <c r="H1333" i="8"/>
  <c r="H1334" i="8"/>
  <c r="H1335" i="8"/>
  <c r="H1336" i="8"/>
  <c r="H1337" i="8"/>
  <c r="H1338" i="8"/>
  <c r="H1339" i="8"/>
  <c r="H1340" i="8"/>
  <c r="H1341" i="8"/>
  <c r="H1342" i="8"/>
  <c r="H1343" i="8"/>
  <c r="H1344" i="8"/>
  <c r="H1345" i="8"/>
  <c r="H1346" i="8"/>
  <c r="H1347" i="8"/>
  <c r="H1348" i="8"/>
  <c r="H1349" i="8"/>
  <c r="H1350" i="8"/>
  <c r="H1351" i="8"/>
  <c r="H1352" i="8"/>
  <c r="H1353" i="8"/>
  <c r="H1354" i="8"/>
  <c r="H1355" i="8"/>
  <c r="H1356" i="8"/>
  <c r="H1357" i="8"/>
  <c r="H1358" i="8"/>
  <c r="H1359" i="8"/>
  <c r="H1360" i="8"/>
  <c r="H1361" i="8"/>
  <c r="H1362" i="8"/>
  <c r="H1363" i="8"/>
  <c r="H1364" i="8"/>
  <c r="H1365" i="8"/>
  <c r="H1366" i="8"/>
  <c r="H1367" i="8"/>
  <c r="H1368" i="8"/>
  <c r="H1369" i="8"/>
  <c r="H1370" i="8"/>
  <c r="H1371" i="8"/>
  <c r="H1372" i="8"/>
  <c r="H1373" i="8"/>
  <c r="H1374" i="8"/>
  <c r="H1375" i="8"/>
  <c r="H1376" i="8"/>
  <c r="H1377" i="8"/>
  <c r="H1378" i="8"/>
  <c r="H1379" i="8"/>
  <c r="H1380" i="8"/>
  <c r="H1381" i="8"/>
  <c r="H1382" i="8"/>
  <c r="H1383" i="8"/>
  <c r="H1384" i="8"/>
  <c r="H1385" i="8"/>
  <c r="H1386" i="8"/>
  <c r="H1387" i="8"/>
  <c r="H1388" i="8"/>
  <c r="H1389" i="8"/>
  <c r="H1390" i="8"/>
  <c r="H1391" i="8"/>
  <c r="H1392" i="8"/>
  <c r="H1393" i="8"/>
  <c r="H1394" i="8"/>
  <c r="H1395" i="8"/>
  <c r="H1396" i="8"/>
  <c r="H1397" i="8"/>
  <c r="H1398" i="8"/>
  <c r="H1399" i="8"/>
  <c r="H1400" i="8"/>
  <c r="H1401" i="8"/>
  <c r="H1402" i="8"/>
  <c r="H1403" i="8"/>
  <c r="H1404" i="8"/>
  <c r="H1405" i="8"/>
  <c r="H1406" i="8"/>
  <c r="H1407" i="8"/>
  <c r="H1408" i="8"/>
  <c r="H1409" i="8"/>
  <c r="H1410" i="8"/>
  <c r="H1411" i="8"/>
  <c r="H1412" i="8"/>
  <c r="H1413" i="8"/>
  <c r="H1414" i="8"/>
  <c r="H1415" i="8"/>
  <c r="H1416" i="8"/>
  <c r="H1417" i="8"/>
  <c r="H1418" i="8"/>
  <c r="H1419" i="8"/>
  <c r="H1420" i="8"/>
  <c r="H1421" i="8"/>
  <c r="H1422" i="8"/>
  <c r="H1423" i="8"/>
  <c r="H1424" i="8"/>
  <c r="H1425" i="8"/>
  <c r="H1426" i="8"/>
  <c r="H1427" i="8"/>
  <c r="H1428" i="8"/>
  <c r="H1429" i="8"/>
  <c r="H1430" i="8"/>
  <c r="H1431" i="8"/>
  <c r="H1432" i="8"/>
  <c r="H1433" i="8"/>
  <c r="H1434" i="8"/>
  <c r="H1435" i="8"/>
  <c r="H1436" i="8"/>
  <c r="H1437" i="8"/>
  <c r="H1438" i="8"/>
  <c r="H1439" i="8"/>
  <c r="H1440" i="8"/>
  <c r="H1441" i="8"/>
  <c r="H1442" i="8"/>
  <c r="H1443" i="8"/>
  <c r="H1444" i="8"/>
  <c r="H1445" i="8"/>
  <c r="H1446" i="8"/>
  <c r="H1447" i="8"/>
  <c r="H1448" i="8"/>
  <c r="H1449" i="8"/>
  <c r="H1450" i="8"/>
  <c r="H1451" i="8"/>
  <c r="H1452" i="8"/>
  <c r="H1453" i="8"/>
  <c r="H1454" i="8"/>
  <c r="H1455" i="8"/>
  <c r="H1456" i="8"/>
  <c r="H1457" i="8"/>
  <c r="H1458" i="8"/>
  <c r="H1459" i="8"/>
  <c r="H1460" i="8"/>
  <c r="H1461" i="8"/>
  <c r="H1462" i="8"/>
  <c r="H1463" i="8"/>
  <c r="H1464" i="8"/>
  <c r="H1465" i="8"/>
  <c r="H1466" i="8"/>
  <c r="H1467" i="8"/>
  <c r="H1468" i="8"/>
  <c r="H1469" i="8"/>
  <c r="H1470" i="8"/>
  <c r="H1471" i="8"/>
  <c r="H1472" i="8"/>
  <c r="H1473" i="8"/>
  <c r="H1474" i="8"/>
  <c r="H1475" i="8"/>
  <c r="H1476" i="8"/>
  <c r="H1477" i="8"/>
  <c r="H1478" i="8"/>
  <c r="H1479" i="8"/>
  <c r="H1480" i="8"/>
  <c r="H1481" i="8"/>
  <c r="H1482" i="8"/>
  <c r="H1483" i="8"/>
  <c r="H1484" i="8"/>
  <c r="H1485" i="8"/>
  <c r="H1486" i="8"/>
  <c r="H1487" i="8"/>
  <c r="H1488" i="8"/>
  <c r="H1489" i="8"/>
  <c r="H1490" i="8"/>
  <c r="H1491" i="8"/>
  <c r="H1492" i="8"/>
  <c r="H1493" i="8"/>
  <c r="H1494" i="8"/>
  <c r="H1495" i="8"/>
  <c r="H1496" i="8"/>
  <c r="H1497" i="8"/>
  <c r="H1498" i="8"/>
  <c r="H1499" i="8"/>
  <c r="H1500" i="8"/>
  <c r="H1501" i="8"/>
  <c r="H1502" i="8"/>
  <c r="H1503" i="8"/>
  <c r="H1504" i="8"/>
  <c r="H1505" i="8"/>
  <c r="H1506" i="8"/>
  <c r="H1507" i="8"/>
  <c r="H1508" i="8"/>
  <c r="H1509" i="8"/>
  <c r="H1510" i="8"/>
  <c r="H1511" i="8"/>
  <c r="H1512" i="8"/>
  <c r="H1513" i="8"/>
  <c r="H1514" i="8"/>
  <c r="H1515" i="8"/>
  <c r="H1516" i="8"/>
  <c r="H1517" i="8"/>
  <c r="H1518" i="8"/>
  <c r="H1519" i="8"/>
  <c r="H1520" i="8"/>
  <c r="H1521" i="8"/>
  <c r="H1522" i="8"/>
  <c r="H1523" i="8"/>
  <c r="H1524" i="8"/>
  <c r="H1525" i="8"/>
  <c r="H1526" i="8"/>
  <c r="H1527" i="8"/>
  <c r="H1528" i="8"/>
  <c r="H1529" i="8"/>
  <c r="H1530" i="8"/>
  <c r="H1531" i="8"/>
  <c r="H1532" i="8"/>
  <c r="H1533" i="8"/>
  <c r="H1534" i="8"/>
  <c r="H1535" i="8"/>
  <c r="H1536" i="8"/>
  <c r="H1537" i="8"/>
  <c r="H1538" i="8"/>
  <c r="H1539" i="8"/>
  <c r="H1540" i="8"/>
  <c r="H1541" i="8"/>
  <c r="H1542" i="8"/>
  <c r="H1543" i="8"/>
  <c r="H1544" i="8"/>
  <c r="H1545" i="8"/>
  <c r="H1546" i="8"/>
  <c r="H1547" i="8"/>
  <c r="H1548" i="8"/>
  <c r="H1549" i="8"/>
  <c r="H1550" i="8"/>
  <c r="H1551" i="8"/>
  <c r="H1552" i="8"/>
  <c r="H1553" i="8"/>
  <c r="H1554" i="8"/>
  <c r="H1555" i="8"/>
  <c r="H1556" i="8"/>
  <c r="H1557" i="8"/>
  <c r="H1558" i="8"/>
  <c r="H1559" i="8"/>
  <c r="H1560" i="8"/>
  <c r="H1561" i="8"/>
  <c r="H1562" i="8"/>
  <c r="H1563" i="8"/>
  <c r="H1564" i="8"/>
  <c r="H1565" i="8"/>
  <c r="H1566" i="8"/>
  <c r="H1567" i="8"/>
  <c r="H1568" i="8"/>
  <c r="H1569" i="8"/>
  <c r="H1570" i="8"/>
  <c r="H1571" i="8"/>
  <c r="H1572" i="8"/>
  <c r="H1573" i="8"/>
  <c r="H1574" i="8"/>
  <c r="H1575" i="8"/>
  <c r="H1576" i="8"/>
  <c r="H1577" i="8"/>
  <c r="H1578" i="8"/>
  <c r="H1579" i="8"/>
  <c r="H1580" i="8"/>
  <c r="H1581" i="8"/>
  <c r="H1582" i="8"/>
  <c r="H1583" i="8"/>
  <c r="H1584" i="8"/>
  <c r="H1585" i="8"/>
  <c r="H1586" i="8"/>
  <c r="H1587" i="8"/>
  <c r="H1588" i="8"/>
  <c r="H1589" i="8"/>
  <c r="H1590" i="8"/>
  <c r="H1591" i="8"/>
  <c r="H1592" i="8"/>
  <c r="H1593" i="8"/>
  <c r="H1594" i="8"/>
  <c r="H1595" i="8"/>
  <c r="H1596" i="8"/>
  <c r="H1597" i="8"/>
  <c r="H1598" i="8"/>
  <c r="H1599" i="8"/>
  <c r="H1600" i="8"/>
  <c r="H1601" i="8"/>
  <c r="H1602" i="8"/>
  <c r="H1603" i="8"/>
  <c r="H1604" i="8"/>
  <c r="H1605" i="8"/>
  <c r="H1606" i="8"/>
  <c r="H1607" i="8"/>
  <c r="H1608" i="8"/>
  <c r="H1609" i="8"/>
  <c r="H1610" i="8"/>
  <c r="H1611" i="8"/>
  <c r="H1612" i="8"/>
  <c r="H1613" i="8"/>
  <c r="H1614" i="8"/>
  <c r="H1615" i="8"/>
  <c r="H1616" i="8"/>
  <c r="H1617" i="8"/>
  <c r="H1618" i="8"/>
  <c r="H1619" i="8"/>
  <c r="H1620" i="8"/>
  <c r="H1621" i="8"/>
  <c r="H1622" i="8"/>
  <c r="H1623" i="8"/>
  <c r="H1624" i="8"/>
  <c r="H1625" i="8"/>
  <c r="H1626" i="8"/>
  <c r="H1627" i="8"/>
  <c r="H1628" i="8"/>
  <c r="H1629" i="8"/>
  <c r="H1630" i="8"/>
  <c r="H1631" i="8"/>
  <c r="H1632" i="8"/>
  <c r="H1633" i="8"/>
  <c r="H1634" i="8"/>
  <c r="H1635" i="8"/>
  <c r="H1636" i="8"/>
  <c r="H1637" i="8"/>
  <c r="H1638" i="8"/>
  <c r="H1639" i="8"/>
  <c r="H1640" i="8"/>
  <c r="H1641" i="8"/>
  <c r="H1642" i="8"/>
  <c r="H1643" i="8"/>
  <c r="H1644" i="8"/>
  <c r="H1645" i="8"/>
  <c r="H1646" i="8"/>
  <c r="H1647" i="8"/>
  <c r="H1648" i="8"/>
  <c r="H1649" i="8"/>
  <c r="H1650" i="8"/>
  <c r="H1651" i="8"/>
  <c r="H1652" i="8"/>
  <c r="H1653" i="8"/>
  <c r="H1654" i="8"/>
  <c r="H1655" i="8"/>
  <c r="H1656" i="8"/>
  <c r="H1657" i="8"/>
  <c r="H1658" i="8"/>
  <c r="H1659" i="8"/>
  <c r="H1660" i="8"/>
  <c r="H1661" i="8"/>
  <c r="H1662" i="8"/>
  <c r="H1663" i="8"/>
  <c r="H1664" i="8"/>
  <c r="H1665" i="8"/>
  <c r="H1666" i="8"/>
  <c r="H1667" i="8"/>
  <c r="H1668" i="8"/>
  <c r="H1669" i="8"/>
  <c r="H1670" i="8"/>
  <c r="H1671" i="8"/>
  <c r="H1672" i="8"/>
  <c r="H1673" i="8"/>
  <c r="H1674" i="8"/>
  <c r="H1675" i="8"/>
  <c r="H1676" i="8"/>
  <c r="H1677" i="8"/>
  <c r="H1678" i="8"/>
  <c r="H1679" i="8"/>
  <c r="H1680" i="8"/>
  <c r="H1681" i="8"/>
  <c r="H1682" i="8"/>
  <c r="H1683" i="8"/>
  <c r="H1684" i="8"/>
  <c r="H1685" i="8"/>
  <c r="H1686" i="8"/>
  <c r="H1687" i="8"/>
  <c r="H1688" i="8"/>
  <c r="H1689" i="8"/>
  <c r="H1690" i="8"/>
  <c r="H1691" i="8"/>
  <c r="H1692" i="8"/>
  <c r="H1693" i="8"/>
  <c r="H1694" i="8"/>
  <c r="H1695" i="8"/>
  <c r="H1696" i="8"/>
  <c r="H1697" i="8"/>
  <c r="H1698" i="8"/>
  <c r="H1699" i="8"/>
  <c r="H1700" i="8"/>
  <c r="H1701" i="8"/>
  <c r="H1702" i="8"/>
  <c r="H1703" i="8"/>
  <c r="H1704" i="8"/>
  <c r="H1705" i="8"/>
  <c r="H1706" i="8"/>
  <c r="H1707" i="8"/>
  <c r="H1708" i="8"/>
  <c r="H1709" i="8"/>
  <c r="H1710" i="8"/>
  <c r="H1711" i="8"/>
  <c r="H1712" i="8"/>
  <c r="H1713" i="8"/>
  <c r="H1714" i="8"/>
  <c r="H1715" i="8"/>
  <c r="H1716" i="8"/>
  <c r="H1717" i="8"/>
  <c r="H1718" i="8"/>
  <c r="H1719" i="8"/>
  <c r="H1720" i="8"/>
  <c r="H1721" i="8"/>
  <c r="H1722" i="8"/>
  <c r="H1723" i="8"/>
  <c r="H1724" i="8"/>
  <c r="H1725" i="8"/>
  <c r="H1726" i="8"/>
  <c r="H1727" i="8"/>
  <c r="H1728" i="8"/>
  <c r="H1729" i="8"/>
  <c r="H1730" i="8"/>
  <c r="H1731" i="8"/>
  <c r="H1732" i="8"/>
  <c r="H1733" i="8"/>
  <c r="H1734" i="8"/>
  <c r="H1735" i="8"/>
  <c r="H1736" i="8"/>
  <c r="H1737" i="8"/>
  <c r="H1738" i="8"/>
  <c r="H1739" i="8"/>
  <c r="H1740" i="8"/>
  <c r="H1741" i="8"/>
  <c r="H1742" i="8"/>
  <c r="H1743" i="8"/>
  <c r="H1744" i="8"/>
  <c r="H1745" i="8"/>
  <c r="H1746" i="8"/>
  <c r="H1747" i="8"/>
  <c r="H1748" i="8"/>
  <c r="H1749" i="8"/>
  <c r="H1750" i="8"/>
  <c r="H1751" i="8"/>
  <c r="H1752" i="8"/>
  <c r="H1753" i="8"/>
  <c r="H1754" i="8"/>
  <c r="H1755" i="8"/>
  <c r="H1756" i="8"/>
  <c r="H1757" i="8"/>
  <c r="H1758" i="8"/>
  <c r="H1759" i="8"/>
  <c r="H1760" i="8"/>
  <c r="H1761" i="8"/>
  <c r="H1762" i="8"/>
  <c r="H1763" i="8"/>
  <c r="H1764" i="8"/>
  <c r="H1765" i="8"/>
  <c r="H1766" i="8"/>
  <c r="H1767" i="8"/>
  <c r="H1768" i="8"/>
  <c r="H1769" i="8"/>
  <c r="H1770" i="8"/>
  <c r="H1771" i="8"/>
  <c r="H1772" i="8"/>
  <c r="H1773" i="8"/>
  <c r="H1774" i="8"/>
  <c r="H1775" i="8"/>
  <c r="H1776" i="8"/>
  <c r="H1777" i="8"/>
  <c r="H1778" i="8"/>
  <c r="H1779" i="8"/>
  <c r="H1780" i="8"/>
  <c r="H1781" i="8"/>
  <c r="H1782" i="8"/>
  <c r="H1783" i="8"/>
  <c r="H1784" i="8"/>
  <c r="H1785" i="8"/>
  <c r="H1786" i="8"/>
  <c r="H1787" i="8"/>
  <c r="H1788" i="8"/>
  <c r="H1789" i="8"/>
  <c r="H1790" i="8"/>
  <c r="H1791" i="8"/>
  <c r="H1792" i="8"/>
  <c r="H1793" i="8"/>
  <c r="H1794" i="8"/>
  <c r="H1795" i="8"/>
  <c r="H1796" i="8"/>
  <c r="H1797" i="8"/>
  <c r="H1798" i="8"/>
  <c r="H1799" i="8"/>
  <c r="H1800" i="8"/>
  <c r="H1801" i="8"/>
  <c r="H1802" i="8"/>
  <c r="H1803" i="8"/>
  <c r="H1804" i="8"/>
  <c r="H1805" i="8"/>
  <c r="H1806" i="8"/>
  <c r="H1807" i="8"/>
  <c r="H1808" i="8"/>
  <c r="H1809" i="8"/>
  <c r="H1810" i="8"/>
  <c r="H1811" i="8"/>
  <c r="H1812" i="8"/>
  <c r="H1813" i="8"/>
  <c r="H1814" i="8"/>
  <c r="H1815" i="8"/>
  <c r="H1816" i="8"/>
  <c r="H1817" i="8"/>
  <c r="H1818" i="8"/>
  <c r="H1819" i="8"/>
  <c r="H1820" i="8"/>
  <c r="H1821" i="8"/>
  <c r="H1822" i="8"/>
  <c r="H1823" i="8"/>
  <c r="H1824" i="8"/>
  <c r="H1825" i="8"/>
  <c r="H1826" i="8"/>
  <c r="H1827" i="8"/>
  <c r="H1828" i="8"/>
  <c r="H1829" i="8"/>
  <c r="H1830" i="8"/>
  <c r="H1831" i="8"/>
  <c r="H1832" i="8"/>
  <c r="H1833" i="8"/>
  <c r="H1834" i="8"/>
  <c r="H1835" i="8"/>
  <c r="H1836" i="8"/>
  <c r="H1837" i="8"/>
  <c r="H1838" i="8"/>
  <c r="H1839" i="8"/>
  <c r="H1840" i="8"/>
  <c r="H1841" i="8"/>
  <c r="H1842" i="8"/>
  <c r="H1843" i="8"/>
  <c r="H1844" i="8"/>
  <c r="H1845" i="8"/>
  <c r="H1846" i="8"/>
  <c r="H1847" i="8"/>
  <c r="H1848" i="8"/>
  <c r="H1849" i="8"/>
  <c r="H1850" i="8"/>
  <c r="H1851" i="8"/>
  <c r="H1852" i="8"/>
  <c r="H1853" i="8"/>
  <c r="H1854" i="8"/>
  <c r="H1855" i="8"/>
  <c r="H1856" i="8"/>
  <c r="H1857" i="8"/>
  <c r="H1858" i="8"/>
  <c r="H1859" i="8"/>
  <c r="H1860" i="8"/>
  <c r="H1861" i="8"/>
  <c r="H1862" i="8"/>
  <c r="H1863" i="8"/>
  <c r="H1864" i="8"/>
  <c r="H1865" i="8"/>
  <c r="H1866" i="8"/>
  <c r="H1867" i="8"/>
  <c r="H1868" i="8"/>
  <c r="H1869" i="8"/>
  <c r="H1870" i="8"/>
  <c r="H1871" i="8"/>
  <c r="H1872" i="8"/>
  <c r="H1873" i="8"/>
  <c r="H1874" i="8"/>
  <c r="H1875" i="8"/>
  <c r="H1876" i="8"/>
  <c r="H1877" i="8"/>
  <c r="H1878" i="8"/>
  <c r="H1879" i="8"/>
  <c r="H1880" i="8"/>
  <c r="H1881" i="8"/>
  <c r="H1882" i="8"/>
  <c r="H1883" i="8"/>
  <c r="H1884" i="8"/>
  <c r="H1885" i="8"/>
  <c r="H1886" i="8"/>
  <c r="H1887" i="8"/>
  <c r="H1888" i="8"/>
  <c r="H1889" i="8"/>
  <c r="H1890" i="8"/>
  <c r="H1891" i="8"/>
  <c r="H1892" i="8"/>
  <c r="H1893" i="8"/>
  <c r="H1894" i="8"/>
  <c r="H1895" i="8"/>
  <c r="H1896" i="8"/>
  <c r="H1897" i="8"/>
  <c r="H1898" i="8"/>
  <c r="H1899" i="8"/>
  <c r="H1900" i="8"/>
  <c r="H1901" i="8"/>
  <c r="H1902" i="8"/>
  <c r="H1903" i="8"/>
  <c r="H1904" i="8"/>
  <c r="H1905" i="8"/>
  <c r="H1906" i="8"/>
  <c r="H1907" i="8"/>
  <c r="H1908" i="8"/>
  <c r="H1909" i="8"/>
  <c r="H1910" i="8"/>
  <c r="H1911" i="8"/>
  <c r="H1912" i="8"/>
  <c r="H1913" i="8"/>
  <c r="H1914" i="8"/>
  <c r="H1915" i="8"/>
  <c r="H1916" i="8"/>
  <c r="H1917" i="8"/>
  <c r="H1918" i="8"/>
  <c r="H1919" i="8"/>
  <c r="H1920" i="8"/>
  <c r="H1921" i="8"/>
  <c r="H1922" i="8"/>
  <c r="H1923" i="8"/>
  <c r="H1924" i="8"/>
  <c r="H1925" i="8"/>
  <c r="H1926" i="8"/>
  <c r="H1927" i="8"/>
  <c r="H1928" i="8"/>
  <c r="H1929" i="8"/>
  <c r="H1930" i="8"/>
  <c r="H1931" i="8"/>
  <c r="H1932" i="8"/>
  <c r="H1933" i="8"/>
  <c r="H1934" i="8"/>
  <c r="H1935" i="8"/>
  <c r="H1936" i="8"/>
  <c r="H1937" i="8"/>
  <c r="H1938" i="8"/>
  <c r="H1939" i="8"/>
  <c r="H1940" i="8"/>
  <c r="H1941" i="8"/>
  <c r="H1942" i="8"/>
  <c r="H1943" i="8"/>
  <c r="H1944" i="8"/>
  <c r="H1945" i="8"/>
  <c r="H1946" i="8"/>
  <c r="H1947" i="8"/>
  <c r="H1948" i="8"/>
  <c r="H1949" i="8"/>
  <c r="H1950" i="8"/>
  <c r="H1951" i="8"/>
  <c r="H1952" i="8"/>
  <c r="H1953" i="8"/>
  <c r="H1954" i="8"/>
  <c r="H1955" i="8"/>
  <c r="H1956" i="8"/>
  <c r="H1957" i="8"/>
  <c r="H1958" i="8"/>
  <c r="H1959" i="8"/>
  <c r="H1960" i="8"/>
  <c r="H1961" i="8"/>
  <c r="H1962" i="8"/>
  <c r="H1963" i="8"/>
  <c r="H1964" i="8"/>
  <c r="H1965" i="8"/>
  <c r="H1966" i="8"/>
  <c r="H1967" i="8"/>
  <c r="H1968" i="8"/>
  <c r="H1969" i="8"/>
  <c r="H1970" i="8"/>
  <c r="H1971" i="8"/>
  <c r="H1972" i="8"/>
  <c r="H1973" i="8"/>
  <c r="H1974" i="8"/>
  <c r="H1975" i="8"/>
  <c r="H1976" i="8"/>
  <c r="H1977" i="8"/>
  <c r="H1978" i="8"/>
  <c r="H1979" i="8"/>
  <c r="H1980" i="8"/>
  <c r="H1981" i="8"/>
  <c r="H1982" i="8"/>
  <c r="H1983" i="8"/>
  <c r="H1984" i="8"/>
  <c r="H1985" i="8"/>
  <c r="H1986" i="8"/>
  <c r="H1987" i="8"/>
  <c r="H1988" i="8"/>
  <c r="H1989" i="8"/>
  <c r="H1990" i="8"/>
  <c r="H1991" i="8"/>
  <c r="H1992" i="8"/>
  <c r="H1993" i="8"/>
  <c r="H1994" i="8"/>
  <c r="H1995" i="8"/>
  <c r="H1996" i="8"/>
  <c r="H1997" i="8"/>
  <c r="H1998" i="8"/>
  <c r="H1999" i="8"/>
  <c r="H2000" i="8"/>
  <c r="H2001" i="8"/>
  <c r="H2002" i="8"/>
  <c r="H2003" i="8"/>
  <c r="H2004" i="8"/>
  <c r="H2005" i="8"/>
  <c r="H2006" i="8"/>
  <c r="H2007" i="8"/>
  <c r="H2008" i="8"/>
  <c r="H2009" i="8"/>
  <c r="H2010" i="8"/>
  <c r="H2011" i="8"/>
  <c r="H2012" i="8"/>
  <c r="H2013" i="8"/>
  <c r="H2014" i="8"/>
  <c r="H2015" i="8"/>
  <c r="H2016" i="8"/>
  <c r="H2017" i="8"/>
  <c r="H2018" i="8"/>
  <c r="H2019" i="8"/>
  <c r="H2020" i="8"/>
  <c r="H2021" i="8"/>
  <c r="H2022" i="8"/>
  <c r="H2023" i="8"/>
  <c r="H2024" i="8"/>
  <c r="H2025" i="8"/>
  <c r="H2026" i="8"/>
  <c r="H2027" i="8"/>
  <c r="H2028" i="8"/>
  <c r="H2029" i="8"/>
  <c r="H2030" i="8"/>
  <c r="H2031" i="8"/>
  <c r="H2032" i="8"/>
  <c r="H2033" i="8"/>
  <c r="H2034" i="8"/>
  <c r="H2035" i="8"/>
  <c r="H2036" i="8"/>
  <c r="H2037" i="8"/>
  <c r="H2038" i="8"/>
  <c r="H2039" i="8"/>
  <c r="H2040" i="8"/>
  <c r="H2041" i="8"/>
  <c r="H2042" i="8"/>
  <c r="H2043" i="8"/>
  <c r="H2044" i="8"/>
  <c r="H2045" i="8"/>
  <c r="H2046" i="8"/>
  <c r="H2047" i="8"/>
  <c r="H2048" i="8"/>
  <c r="H2049" i="8"/>
  <c r="H2050" i="8"/>
  <c r="H2051" i="8"/>
  <c r="H2052" i="8"/>
  <c r="H2053" i="8"/>
  <c r="H2054" i="8"/>
  <c r="H2055" i="8"/>
  <c r="H2056" i="8"/>
  <c r="H2057" i="8"/>
  <c r="H2058" i="8"/>
  <c r="H2059" i="8"/>
  <c r="H2060" i="8"/>
  <c r="H2061" i="8"/>
  <c r="H2062" i="8"/>
  <c r="H2063" i="8"/>
  <c r="H2064" i="8"/>
  <c r="H2065" i="8"/>
  <c r="H2066" i="8"/>
  <c r="H2067" i="8"/>
  <c r="H2068" i="8"/>
  <c r="H2069" i="8"/>
  <c r="H2070" i="8"/>
  <c r="H2071" i="8"/>
  <c r="H2072" i="8"/>
  <c r="H2073" i="8"/>
  <c r="H2074" i="8"/>
  <c r="H2075" i="8"/>
  <c r="H2076" i="8"/>
  <c r="H2077" i="8"/>
  <c r="H2078" i="8"/>
  <c r="H2079" i="8"/>
  <c r="H2080" i="8"/>
  <c r="H2081" i="8"/>
  <c r="H2082" i="8"/>
  <c r="H2083" i="8"/>
  <c r="H2084" i="8"/>
  <c r="H2085" i="8"/>
  <c r="H2086" i="8"/>
  <c r="H2087" i="8"/>
  <c r="H2088" i="8"/>
  <c r="H2089" i="8"/>
  <c r="H2090" i="8"/>
  <c r="H2091" i="8"/>
  <c r="H2092" i="8"/>
  <c r="H2093" i="8"/>
  <c r="H2094" i="8"/>
  <c r="H2095" i="8"/>
  <c r="H2096" i="8"/>
  <c r="H2097" i="8"/>
  <c r="H2098" i="8"/>
  <c r="H2099" i="8"/>
  <c r="H2100" i="8"/>
  <c r="H2101" i="8"/>
  <c r="H2102" i="8"/>
  <c r="H2103" i="8"/>
  <c r="H2104" i="8"/>
  <c r="H2105" i="8"/>
  <c r="H2106" i="8"/>
  <c r="H2107" i="8"/>
  <c r="H2108" i="8"/>
  <c r="H2109" i="8"/>
  <c r="H2110" i="8"/>
  <c r="H2111" i="8"/>
  <c r="H2112" i="8"/>
  <c r="H2113" i="8"/>
  <c r="H2114" i="8"/>
  <c r="H2115" i="8"/>
  <c r="H2116" i="8"/>
  <c r="H2117" i="8"/>
  <c r="H2118" i="8"/>
  <c r="H2119" i="8"/>
  <c r="H2120" i="8"/>
  <c r="H2121" i="8"/>
  <c r="H2122" i="8"/>
  <c r="H2123" i="8"/>
  <c r="H2124" i="8"/>
  <c r="H2125" i="8"/>
  <c r="H2126" i="8"/>
  <c r="H2127" i="8"/>
  <c r="H2128" i="8"/>
  <c r="H2129" i="8"/>
  <c r="H2130" i="8"/>
  <c r="H2131" i="8"/>
  <c r="H2132" i="8"/>
  <c r="H2133" i="8"/>
  <c r="H2134" i="8"/>
  <c r="H2135" i="8"/>
  <c r="H2136" i="8"/>
  <c r="H2137" i="8"/>
  <c r="H2138" i="8"/>
  <c r="H2139" i="8"/>
  <c r="H2140" i="8"/>
  <c r="H2141" i="8"/>
  <c r="H2142" i="8"/>
  <c r="H2143" i="8"/>
  <c r="H2144" i="8"/>
  <c r="H2145" i="8"/>
  <c r="H2146" i="8"/>
  <c r="H2147" i="8"/>
  <c r="H2148" i="8"/>
  <c r="H2149" i="8"/>
  <c r="H2150" i="8"/>
  <c r="H2151" i="8"/>
  <c r="H2152" i="8"/>
  <c r="H2153" i="8"/>
  <c r="H2154" i="8"/>
  <c r="H2155" i="8"/>
  <c r="H2156" i="8"/>
  <c r="H2157" i="8"/>
  <c r="H2158" i="8"/>
  <c r="H2159" i="8"/>
  <c r="H2160" i="8"/>
  <c r="H2161" i="8"/>
  <c r="H2162" i="8"/>
  <c r="H2163" i="8"/>
  <c r="H2164" i="8"/>
  <c r="H2165" i="8"/>
  <c r="H2166" i="8"/>
  <c r="H2167" i="8"/>
  <c r="H2168" i="8"/>
  <c r="H2169" i="8"/>
  <c r="H2170" i="8"/>
  <c r="H2171" i="8"/>
  <c r="H2172" i="8"/>
  <c r="H2173" i="8"/>
  <c r="H2174" i="8"/>
  <c r="H2175" i="8"/>
  <c r="H2176" i="8"/>
  <c r="H2177" i="8"/>
  <c r="H2178" i="8"/>
  <c r="H2179" i="8"/>
  <c r="H2180" i="8"/>
  <c r="H2181" i="8"/>
  <c r="H2182" i="8"/>
  <c r="H2183" i="8"/>
  <c r="H2184" i="8"/>
  <c r="H2185" i="8"/>
  <c r="H2186" i="8"/>
  <c r="H2187" i="8"/>
  <c r="H2188" i="8"/>
  <c r="H2189" i="8"/>
  <c r="H2190" i="8"/>
  <c r="H2191" i="8"/>
  <c r="H2192" i="8"/>
  <c r="H2193" i="8"/>
  <c r="H2194" i="8"/>
  <c r="H2195" i="8"/>
  <c r="H2196" i="8"/>
  <c r="H2197" i="8"/>
  <c r="H2198" i="8"/>
  <c r="H2199" i="8"/>
  <c r="H2200" i="8"/>
  <c r="H2201" i="8"/>
  <c r="H2202" i="8"/>
  <c r="H2203" i="8"/>
  <c r="H2204" i="8"/>
  <c r="H2205" i="8"/>
  <c r="H2206" i="8"/>
  <c r="H2207" i="8"/>
  <c r="H2208" i="8"/>
  <c r="H2209" i="8"/>
  <c r="H2210" i="8"/>
  <c r="H2211" i="8"/>
  <c r="H2212" i="8"/>
  <c r="H2213" i="8"/>
  <c r="H2214" i="8"/>
  <c r="H2215" i="8"/>
  <c r="H2216" i="8"/>
  <c r="H2217" i="8"/>
  <c r="H2218" i="8"/>
  <c r="H2219" i="8"/>
  <c r="H2220" i="8"/>
  <c r="H2221" i="8"/>
  <c r="H2222" i="8"/>
  <c r="H2223" i="8"/>
  <c r="H2224" i="8"/>
  <c r="H2225" i="8"/>
  <c r="H2226" i="8"/>
  <c r="H2227" i="8"/>
  <c r="H2228" i="8"/>
  <c r="H2229" i="8"/>
  <c r="H2230" i="8"/>
  <c r="H2231" i="8"/>
  <c r="H2232" i="8"/>
  <c r="H2233" i="8"/>
  <c r="H2234" i="8"/>
  <c r="H2235" i="8"/>
  <c r="H2236" i="8"/>
  <c r="H2237" i="8"/>
  <c r="H2238" i="8"/>
  <c r="H2239" i="8"/>
  <c r="H2240" i="8"/>
  <c r="H2241" i="8"/>
  <c r="H2242" i="8"/>
  <c r="H2243" i="8"/>
  <c r="H2244" i="8"/>
  <c r="H2245" i="8"/>
  <c r="H2246" i="8"/>
  <c r="H2247" i="8"/>
  <c r="H2248" i="8"/>
  <c r="H2249" i="8"/>
  <c r="H2250" i="8"/>
  <c r="H2251" i="8"/>
  <c r="H2252" i="8"/>
  <c r="H2253" i="8"/>
  <c r="H2254" i="8"/>
  <c r="H2255" i="8"/>
  <c r="H2256" i="8"/>
  <c r="H2257" i="8"/>
  <c r="H2258" i="8"/>
  <c r="H2259" i="8"/>
  <c r="H2260" i="8"/>
  <c r="H2261" i="8"/>
  <c r="H2262" i="8"/>
  <c r="H2263" i="8"/>
  <c r="H2264" i="8"/>
  <c r="H2265" i="8"/>
  <c r="H2266" i="8"/>
  <c r="H2267" i="8"/>
  <c r="H2268" i="8"/>
  <c r="H2269" i="8"/>
  <c r="H2270" i="8"/>
  <c r="H2271" i="8"/>
  <c r="H2272" i="8"/>
  <c r="H2273" i="8"/>
  <c r="H2274" i="8"/>
  <c r="H2275" i="8"/>
  <c r="H2276" i="8"/>
  <c r="H2277" i="8"/>
  <c r="H2278" i="8"/>
  <c r="H2279" i="8"/>
  <c r="H2280" i="8"/>
  <c r="H2281" i="8"/>
  <c r="H2282" i="8"/>
  <c r="H2283" i="8"/>
  <c r="H2284" i="8"/>
  <c r="H2285" i="8"/>
  <c r="H2286" i="8"/>
  <c r="H2287" i="8"/>
  <c r="H2288" i="8"/>
  <c r="H2289" i="8"/>
  <c r="H2290" i="8"/>
  <c r="H2291" i="8"/>
  <c r="H2292" i="8"/>
  <c r="H2293" i="8"/>
  <c r="H2294" i="8"/>
  <c r="H2295" i="8"/>
  <c r="H2296" i="8"/>
  <c r="H2297" i="8"/>
  <c r="H2298" i="8"/>
  <c r="H2299" i="8"/>
  <c r="H2300" i="8"/>
  <c r="H2301" i="8"/>
  <c r="H2302" i="8"/>
  <c r="H2303" i="8"/>
  <c r="H2304" i="8"/>
  <c r="H2305" i="8"/>
  <c r="H2306" i="8"/>
  <c r="H2307" i="8"/>
  <c r="H2308" i="8"/>
  <c r="H2309" i="8"/>
  <c r="H2310" i="8"/>
  <c r="H2311" i="8"/>
  <c r="H2312" i="8"/>
  <c r="H2313" i="8"/>
  <c r="H2314" i="8"/>
  <c r="H2315" i="8"/>
  <c r="H2316" i="8"/>
  <c r="H2317" i="8"/>
  <c r="H2318" i="8"/>
  <c r="H2319" i="8"/>
  <c r="H2320" i="8"/>
  <c r="H2321" i="8"/>
  <c r="H2322" i="8"/>
  <c r="H2323" i="8"/>
  <c r="H2324" i="8"/>
  <c r="H2325" i="8"/>
  <c r="H2326" i="8"/>
  <c r="H2327" i="8"/>
  <c r="H2328" i="8"/>
  <c r="H2329" i="8"/>
  <c r="H2330" i="8"/>
  <c r="H2331" i="8"/>
  <c r="H2332" i="8"/>
  <c r="H2333" i="8"/>
  <c r="H2334" i="8"/>
  <c r="H2335" i="8"/>
  <c r="H2336" i="8"/>
  <c r="H2337" i="8"/>
  <c r="H2338" i="8"/>
  <c r="H2339" i="8"/>
  <c r="H2340" i="8"/>
  <c r="H2341" i="8"/>
  <c r="H2342" i="8"/>
  <c r="H2343" i="8"/>
  <c r="H2344" i="8"/>
  <c r="H2345" i="8"/>
  <c r="H2346" i="8"/>
  <c r="H2347" i="8"/>
  <c r="H2348" i="8"/>
  <c r="H2349" i="8"/>
  <c r="H2350" i="8"/>
  <c r="H2351" i="8"/>
  <c r="H2352" i="8"/>
  <c r="H2353" i="8"/>
  <c r="H2354" i="8"/>
  <c r="H2355" i="8"/>
  <c r="H2356" i="8"/>
  <c r="H2357" i="8"/>
  <c r="H2358" i="8"/>
  <c r="H2359" i="8"/>
  <c r="H2360" i="8"/>
  <c r="H2361" i="8"/>
  <c r="H2362" i="8"/>
  <c r="H2363" i="8"/>
  <c r="H2364" i="8"/>
  <c r="H2365" i="8"/>
  <c r="H2366" i="8"/>
  <c r="H2367" i="8"/>
  <c r="H2368" i="8"/>
  <c r="H2369" i="8"/>
  <c r="H2370" i="8"/>
  <c r="H2371" i="8"/>
  <c r="H2372" i="8"/>
  <c r="H2373" i="8"/>
  <c r="H2374" i="8"/>
  <c r="H2375" i="8"/>
  <c r="H2376" i="8"/>
  <c r="H2377" i="8"/>
  <c r="H2378" i="8"/>
  <c r="H2379" i="8"/>
  <c r="H2380" i="8"/>
  <c r="H2381" i="8"/>
  <c r="H2382" i="8"/>
  <c r="H2383" i="8"/>
  <c r="H2384" i="8"/>
  <c r="H2385" i="8"/>
  <c r="H2386" i="8"/>
  <c r="H2387" i="8"/>
  <c r="H2388" i="8"/>
  <c r="H2389" i="8"/>
  <c r="H2390" i="8"/>
  <c r="H2391" i="8"/>
  <c r="H2392" i="8"/>
  <c r="H2393" i="8"/>
  <c r="H2394" i="8"/>
  <c r="H2395" i="8"/>
  <c r="H2396" i="8"/>
  <c r="H2397" i="8"/>
  <c r="H2398" i="8"/>
  <c r="H2399" i="8"/>
  <c r="H2400" i="8"/>
  <c r="H2401" i="8"/>
  <c r="H2402" i="8"/>
  <c r="H2403" i="8"/>
  <c r="H2404" i="8"/>
  <c r="H2405" i="8"/>
  <c r="H2406" i="8"/>
  <c r="H2407" i="8"/>
  <c r="H2408" i="8"/>
  <c r="H2409" i="8"/>
  <c r="H2410" i="8"/>
  <c r="H2411" i="8"/>
  <c r="H2412" i="8"/>
  <c r="H2413" i="8"/>
  <c r="H2414" i="8"/>
  <c r="H2415" i="8"/>
  <c r="H2416" i="8"/>
  <c r="H2417" i="8"/>
  <c r="H2418" i="8"/>
  <c r="H2419" i="8"/>
  <c r="H2420" i="8"/>
  <c r="H2421" i="8"/>
  <c r="H2422" i="8"/>
  <c r="H2423" i="8"/>
  <c r="H2424" i="8"/>
  <c r="H2425" i="8"/>
  <c r="H2426" i="8"/>
  <c r="H2427" i="8"/>
  <c r="H2428" i="8"/>
  <c r="H2429" i="8"/>
  <c r="H2430" i="8"/>
  <c r="H2431" i="8"/>
  <c r="H2432" i="8"/>
  <c r="H2433" i="8"/>
  <c r="H2434" i="8"/>
  <c r="H2435" i="8"/>
  <c r="H2436" i="8"/>
  <c r="H2437" i="8"/>
  <c r="H2438" i="8"/>
  <c r="H2439" i="8"/>
  <c r="H2440" i="8"/>
  <c r="H2441" i="8"/>
  <c r="H2442" i="8"/>
  <c r="H2443" i="8"/>
  <c r="H2444" i="8"/>
  <c r="H2445" i="8"/>
  <c r="H2446" i="8"/>
  <c r="H2447" i="8"/>
  <c r="H2448" i="8"/>
  <c r="H2449" i="8"/>
  <c r="H2450" i="8"/>
  <c r="H2451" i="8"/>
  <c r="H2452" i="8"/>
  <c r="H2453" i="8"/>
  <c r="H2454" i="8"/>
  <c r="H2455" i="8"/>
  <c r="H2456" i="8"/>
  <c r="H2457" i="8"/>
  <c r="H2458" i="8"/>
  <c r="H2459" i="8"/>
  <c r="H2460" i="8"/>
  <c r="H2461" i="8"/>
  <c r="H2462" i="8"/>
  <c r="H2463" i="8"/>
  <c r="H2464" i="8"/>
  <c r="H2465" i="8"/>
  <c r="H2466" i="8"/>
  <c r="H2467" i="8"/>
  <c r="H2468" i="8"/>
  <c r="H2469" i="8"/>
  <c r="H2470" i="8"/>
  <c r="H2471" i="8"/>
  <c r="H2472" i="8"/>
  <c r="H2473" i="8"/>
  <c r="H2474" i="8"/>
  <c r="H2475" i="8"/>
  <c r="H2476" i="8"/>
  <c r="H2477" i="8"/>
  <c r="H2478" i="8"/>
  <c r="H2479" i="8"/>
  <c r="H2480" i="8"/>
  <c r="H2481" i="8"/>
  <c r="H2482" i="8"/>
  <c r="H2483" i="8"/>
  <c r="H2484" i="8"/>
  <c r="H2485" i="8"/>
  <c r="H2486" i="8"/>
  <c r="H2487" i="8"/>
  <c r="H2488" i="8"/>
  <c r="H2489" i="8"/>
  <c r="H2490" i="8"/>
  <c r="H2491" i="8"/>
  <c r="H2492" i="8"/>
  <c r="H2493" i="8"/>
  <c r="H2494" i="8"/>
  <c r="H2495" i="8"/>
  <c r="H2496" i="8"/>
  <c r="H2497" i="8"/>
  <c r="H2498" i="8"/>
  <c r="H2499" i="8"/>
  <c r="H2500" i="8"/>
  <c r="H2501" i="8"/>
  <c r="G2" i="8"/>
  <c r="G3" i="8" s="1"/>
  <c r="G4" i="8" s="1"/>
  <c r="G5" i="8" s="1"/>
  <c r="G6" i="8"/>
  <c r="G7" i="8" s="1"/>
  <c r="G8" i="8" s="1"/>
  <c r="G9" i="8"/>
  <c r="G10" i="8" s="1"/>
  <c r="G11" i="8" s="1"/>
  <c r="G12" i="8" s="1"/>
  <c r="G13" i="8" s="1"/>
  <c r="G14" i="8" s="1"/>
  <c r="G15" i="8"/>
  <c r="G16" i="8" s="1"/>
  <c r="G17" i="8" s="1"/>
  <c r="G18" i="8" s="1"/>
  <c r="G19" i="8" s="1"/>
  <c r="G20" i="8" s="1"/>
  <c r="G21" i="8" s="1"/>
  <c r="G22" i="8" s="1"/>
  <c r="G23" i="8"/>
  <c r="G24" i="8" s="1"/>
  <c r="G25" i="8" s="1"/>
  <c r="G26" i="8" s="1"/>
  <c r="G27" i="8" s="1"/>
  <c r="G28" i="8" s="1"/>
  <c r="G29" i="8"/>
  <c r="G30" i="8" s="1"/>
  <c r="G31" i="8" s="1"/>
  <c r="G32" i="8" s="1"/>
  <c r="G33" i="8" s="1"/>
  <c r="G34" i="8" s="1"/>
  <c r="G35" i="8" s="1"/>
  <c r="G36" i="8" s="1"/>
  <c r="G37" i="8"/>
  <c r="G38" i="8" s="1"/>
  <c r="G39" i="8" s="1"/>
  <c r="G40" i="8" s="1"/>
  <c r="G41" i="8" s="1"/>
  <c r="G42" i="8" s="1"/>
  <c r="G43" i="8" s="1"/>
  <c r="G44" i="8" s="1"/>
  <c r="G45" i="8" s="1"/>
  <c r="G46" i="8" s="1"/>
  <c r="G47" i="8" s="1"/>
  <c r="G48" i="8" s="1"/>
  <c r="G49" i="8" s="1"/>
  <c r="G50" i="8" s="1"/>
  <c r="G51" i="8" s="1"/>
  <c r="G52" i="8" s="1"/>
  <c r="G53" i="8" s="1"/>
  <c r="G54" i="8" s="1"/>
  <c r="G55" i="8" s="1"/>
  <c r="G56" i="8"/>
  <c r="G57" i="8"/>
  <c r="G58" i="8" s="1"/>
  <c r="G59" i="8" s="1"/>
  <c r="G60" i="8" s="1"/>
  <c r="G61" i="8" s="1"/>
  <c r="G62" i="8"/>
  <c r="G63" i="8" s="1"/>
  <c r="G64" i="8" s="1"/>
  <c r="G65" i="8" s="1"/>
  <c r="G66" i="8" s="1"/>
  <c r="G67" i="8" s="1"/>
  <c r="G68" i="8" s="1"/>
  <c r="G69" i="8"/>
  <c r="G70" i="8" s="1"/>
  <c r="G71" i="8" s="1"/>
  <c r="G72" i="8" s="1"/>
  <c r="G73" i="8" s="1"/>
  <c r="G74" i="8"/>
  <c r="G75" i="8" s="1"/>
  <c r="G76" i="8" s="1"/>
  <c r="G77" i="8" s="1"/>
  <c r="G78" i="8" s="1"/>
  <c r="G79" i="8" s="1"/>
  <c r="G80" i="8" s="1"/>
  <c r="G81" i="8" s="1"/>
  <c r="G82" i="8" s="1"/>
  <c r="G83" i="8" s="1"/>
  <c r="G84" i="8" s="1"/>
  <c r="G85" i="8"/>
  <c r="G86" i="8" s="1"/>
  <c r="G87" i="8" s="1"/>
  <c r="G88" i="8"/>
  <c r="G89" i="8" s="1"/>
  <c r="G90" i="8"/>
  <c r="G91" i="8" s="1"/>
  <c r="G92" i="8" s="1"/>
  <c r="G93" i="8" s="1"/>
  <c r="G94" i="8" s="1"/>
  <c r="G95" i="8" s="1"/>
  <c r="G96" i="8" s="1"/>
  <c r="G97" i="8" s="1"/>
  <c r="G98" i="8"/>
  <c r="G99" i="8" s="1"/>
  <c r="G100" i="8" s="1"/>
  <c r="G101" i="8" s="1"/>
  <c r="G102" i="8" s="1"/>
  <c r="G103" i="8" s="1"/>
  <c r="G104" i="8" s="1"/>
  <c r="G105" i="8" s="1"/>
  <c r="G106" i="8" s="1"/>
  <c r="G107" i="8"/>
  <c r="G108" i="8" s="1"/>
  <c r="G109" i="8" s="1"/>
  <c r="G110" i="8" s="1"/>
  <c r="G111" i="8" s="1"/>
  <c r="G112" i="8" s="1"/>
  <c r="G113" i="8" s="1"/>
  <c r="G114" i="8" s="1"/>
  <c r="G115" i="8" s="1"/>
  <c r="G116" i="8" s="1"/>
  <c r="G117" i="8" s="1"/>
  <c r="G118" i="8" s="1"/>
  <c r="G119" i="8" s="1"/>
  <c r="G120" i="8" s="1"/>
  <c r="G121" i="8" s="1"/>
  <c r="G122" i="8" s="1"/>
  <c r="G123" i="8" s="1"/>
  <c r="G124" i="8" s="1"/>
  <c r="G125" i="8" s="1"/>
  <c r="G126" i="8" s="1"/>
  <c r="G127" i="8" s="1"/>
  <c r="G128" i="8" s="1"/>
  <c r="G129" i="8" s="1"/>
  <c r="G130" i="8" s="1"/>
  <c r="G131" i="8" s="1"/>
  <c r="G132" i="8" s="1"/>
  <c r="G133" i="8" s="1"/>
  <c r="G134" i="8" s="1"/>
  <c r="G135" i="8" s="1"/>
  <c r="G136" i="8" s="1"/>
  <c r="G137" i="8" s="1"/>
  <c r="G138" i="8" s="1"/>
  <c r="G139" i="8" s="1"/>
  <c r="G140" i="8" s="1"/>
  <c r="G141" i="8" s="1"/>
  <c r="G142" i="8" s="1"/>
  <c r="G143" i="8"/>
  <c r="G144" i="8"/>
  <c r="G145" i="8" s="1"/>
  <c r="G146" i="8" s="1"/>
  <c r="G147" i="8" s="1"/>
  <c r="G148" i="8" s="1"/>
  <c r="G149" i="8" s="1"/>
  <c r="G150" i="8"/>
  <c r="G151" i="8" s="1"/>
  <c r="G152" i="8" s="1"/>
  <c r="G153" i="8" s="1"/>
  <c r="G154" i="8" s="1"/>
  <c r="G155" i="8" s="1"/>
  <c r="G156" i="8" s="1"/>
  <c r="G157" i="8" s="1"/>
  <c r="G158" i="8" s="1"/>
  <c r="G159" i="8" s="1"/>
  <c r="G160" i="8" s="1"/>
  <c r="G161" i="8" s="1"/>
  <c r="G162" i="8" s="1"/>
  <c r="G163" i="8" s="1"/>
  <c r="G164" i="8" s="1"/>
  <c r="G165" i="8" s="1"/>
  <c r="G166" i="8" s="1"/>
  <c r="G167" i="8" s="1"/>
  <c r="G168" i="8" s="1"/>
  <c r="G169" i="8" s="1"/>
  <c r="G170" i="8" s="1"/>
  <c r="G171" i="8" s="1"/>
  <c r="G172" i="8" s="1"/>
  <c r="G173" i="8" s="1"/>
  <c r="G174" i="8" s="1"/>
  <c r="G175" i="8" s="1"/>
  <c r="G176" i="8" s="1"/>
  <c r="G177" i="8" s="1"/>
  <c r="G178" i="8" s="1"/>
  <c r="G179" i="8" s="1"/>
  <c r="G180" i="8" s="1"/>
  <c r="G181" i="8" s="1"/>
  <c r="G182" i="8" s="1"/>
  <c r="G183" i="8" s="1"/>
  <c r="G184" i="8" s="1"/>
  <c r="G185" i="8" s="1"/>
  <c r="G186" i="8" s="1"/>
  <c r="G187" i="8" s="1"/>
  <c r="G188" i="8" s="1"/>
  <c r="G189" i="8"/>
  <c r="G190" i="8"/>
  <c r="G191" i="8"/>
  <c r="G192" i="8"/>
  <c r="G193" i="8" s="1"/>
  <c r="G194" i="8" s="1"/>
  <c r="G195" i="8" s="1"/>
  <c r="G196" i="8" s="1"/>
  <c r="G197" i="8" s="1"/>
  <c r="G198" i="8" s="1"/>
  <c r="G199" i="8" s="1"/>
  <c r="G200" i="8" s="1"/>
  <c r="G201" i="8" s="1"/>
  <c r="G202" i="8" s="1"/>
  <c r="G203" i="8" s="1"/>
  <c r="G204" i="8" s="1"/>
  <c r="G205" i="8" s="1"/>
  <c r="G206" i="8" s="1"/>
  <c r="G207" i="8" s="1"/>
  <c r="G208" i="8" s="1"/>
  <c r="G209" i="8" s="1"/>
  <c r="G210" i="8" s="1"/>
  <c r="G211" i="8" s="1"/>
  <c r="G212" i="8" s="1"/>
  <c r="G213" i="8" s="1"/>
  <c r="G214" i="8" s="1"/>
  <c r="G215" i="8" s="1"/>
  <c r="G216" i="8" s="1"/>
  <c r="G217" i="8" s="1"/>
  <c r="G218" i="8"/>
  <c r="G219" i="8" s="1"/>
  <c r="G220" i="8" s="1"/>
  <c r="G221" i="8" s="1"/>
  <c r="G222" i="8" s="1"/>
  <c r="G223" i="8" s="1"/>
  <c r="G224" i="8" s="1"/>
  <c r="G225" i="8" s="1"/>
  <c r="G226" i="8" s="1"/>
  <c r="G227" i="8" s="1"/>
  <c r="G228" i="8" s="1"/>
  <c r="G229" i="8" s="1"/>
  <c r="G230" i="8" s="1"/>
  <c r="G231" i="8" s="1"/>
  <c r="G232" i="8" s="1"/>
  <c r="G233" i="8" s="1"/>
  <c r="G234" i="8" s="1"/>
  <c r="G235" i="8" s="1"/>
  <c r="G236" i="8" s="1"/>
  <c r="G237" i="8" s="1"/>
  <c r="G238" i="8" s="1"/>
  <c r="G239" i="8" s="1"/>
  <c r="G240" i="8" s="1"/>
  <c r="G241" i="8" s="1"/>
  <c r="G242" i="8" s="1"/>
  <c r="G243" i="8" s="1"/>
  <c r="G244" i="8" s="1"/>
  <c r="G245" i="8" s="1"/>
  <c r="G246" i="8" s="1"/>
  <c r="G247" i="8" s="1"/>
  <c r="G248" i="8" s="1"/>
  <c r="G249" i="8" s="1"/>
  <c r="G250" i="8" s="1"/>
  <c r="G251" i="8" s="1"/>
  <c r="G252" i="8" s="1"/>
  <c r="G253" i="8"/>
  <c r="G254" i="8" s="1"/>
  <c r="G255" i="8" s="1"/>
  <c r="G256" i="8" s="1"/>
  <c r="G257" i="8" s="1"/>
  <c r="G258" i="8"/>
  <c r="G259" i="8" s="1"/>
  <c r="G260" i="8" s="1"/>
  <c r="G261" i="8" s="1"/>
  <c r="G262" i="8" s="1"/>
  <c r="G263" i="8" s="1"/>
  <c r="G264" i="8" s="1"/>
  <c r="G265" i="8"/>
  <c r="G266" i="8"/>
  <c r="G267" i="8" s="1"/>
  <c r="G268" i="8" s="1"/>
  <c r="G269" i="8" s="1"/>
  <c r="G270" i="8" s="1"/>
  <c r="G271" i="8" s="1"/>
  <c r="G272" i="8" s="1"/>
  <c r="G273" i="8" s="1"/>
  <c r="G274" i="8" s="1"/>
  <c r="G275" i="8" s="1"/>
  <c r="G276" i="8" s="1"/>
  <c r="G277" i="8" s="1"/>
  <c r="G278" i="8" s="1"/>
  <c r="G279" i="8" s="1"/>
  <c r="G280" i="8" s="1"/>
  <c r="G281" i="8" s="1"/>
  <c r="G282" i="8" s="1"/>
  <c r="G283" i="8" s="1"/>
  <c r="G284" i="8" s="1"/>
  <c r="G285" i="8" s="1"/>
  <c r="G286" i="8" s="1"/>
  <c r="G287" i="8" s="1"/>
  <c r="G288" i="8" s="1"/>
  <c r="G289" i="8" s="1"/>
  <c r="G290" i="8" s="1"/>
  <c r="G291" i="8" s="1"/>
  <c r="G292" i="8" s="1"/>
  <c r="G293" i="8" s="1"/>
  <c r="G294" i="8" s="1"/>
  <c r="G295" i="8" s="1"/>
  <c r="G296" i="8" s="1"/>
  <c r="G297" i="8" s="1"/>
  <c r="G298" i="8" s="1"/>
  <c r="G299" i="8" s="1"/>
  <c r="G300" i="8" s="1"/>
  <c r="G301" i="8" s="1"/>
  <c r="G302" i="8" s="1"/>
  <c r="G303" i="8" s="1"/>
  <c r="G304" i="8" s="1"/>
  <c r="G305" i="8" s="1"/>
  <c r="G306" i="8" s="1"/>
  <c r="G307" i="8" s="1"/>
  <c r="G308" i="8" s="1"/>
  <c r="G309" i="8" s="1"/>
  <c r="G310" i="8" s="1"/>
  <c r="G311" i="8" s="1"/>
  <c r="G312" i="8" s="1"/>
  <c r="G313" i="8" s="1"/>
  <c r="G314" i="8"/>
  <c r="G315" i="8" s="1"/>
  <c r="G316" i="8" s="1"/>
  <c r="G317" i="8" s="1"/>
  <c r="G318" i="8" s="1"/>
  <c r="G319" i="8" s="1"/>
  <c r="G320" i="8" s="1"/>
  <c r="G321" i="8" s="1"/>
  <c r="G322" i="8" s="1"/>
  <c r="G323" i="8" s="1"/>
  <c r="G324" i="8" s="1"/>
  <c r="G325" i="8" s="1"/>
  <c r="G326" i="8" s="1"/>
  <c r="G327" i="8" s="1"/>
  <c r="G328" i="8" s="1"/>
  <c r="G329" i="8" s="1"/>
  <c r="G330" i="8" s="1"/>
  <c r="G331" i="8" s="1"/>
  <c r="G332" i="8" s="1"/>
  <c r="G333" i="8" s="1"/>
  <c r="G334" i="8" s="1"/>
  <c r="G335" i="8" s="1"/>
  <c r="G336" i="8" s="1"/>
  <c r="G337" i="8" s="1"/>
  <c r="G338" i="8" s="1"/>
  <c r="G339" i="8" s="1"/>
  <c r="G340" i="8" s="1"/>
  <c r="G341" i="8" s="1"/>
  <c r="G342" i="8" s="1"/>
  <c r="G343" i="8" s="1"/>
  <c r="G344" i="8" s="1"/>
  <c r="G345" i="8" s="1"/>
  <c r="G346" i="8" s="1"/>
  <c r="G347" i="8" s="1"/>
  <c r="G348" i="8" s="1"/>
  <c r="G349" i="8" s="1"/>
  <c r="G350" i="8" s="1"/>
  <c r="G351" i="8" s="1"/>
  <c r="G352" i="8" s="1"/>
  <c r="G353" i="8" s="1"/>
  <c r="G354" i="8" s="1"/>
  <c r="G355" i="8" s="1"/>
  <c r="G356" i="8" s="1"/>
  <c r="G357" i="8" s="1"/>
  <c r="G358" i="8" s="1"/>
  <c r="G359" i="8" s="1"/>
  <c r="G360" i="8" s="1"/>
  <c r="G361" i="8" s="1"/>
  <c r="G362" i="8" s="1"/>
  <c r="G363" i="8" s="1"/>
  <c r="G364" i="8"/>
  <c r="G365" i="8" s="1"/>
  <c r="G366" i="8" s="1"/>
  <c r="G367" i="8" s="1"/>
  <c r="G368" i="8" s="1"/>
  <c r="G369" i="8" s="1"/>
  <c r="G370" i="8" s="1"/>
  <c r="G371" i="8" s="1"/>
  <c r="G372" i="8" s="1"/>
  <c r="G373" i="8" s="1"/>
  <c r="G374" i="8" s="1"/>
  <c r="G375" i="8" s="1"/>
  <c r="G376" i="8" s="1"/>
  <c r="G377" i="8" s="1"/>
  <c r="G378" i="8" s="1"/>
  <c r="G379" i="8" s="1"/>
  <c r="G380" i="8" s="1"/>
  <c r="G381" i="8" s="1"/>
  <c r="G382" i="8" s="1"/>
  <c r="G383" i="8" s="1"/>
  <c r="G384" i="8" s="1"/>
  <c r="G385" i="8" s="1"/>
  <c r="G386" i="8" s="1"/>
  <c r="G387" i="8" s="1"/>
  <c r="G388" i="8" s="1"/>
  <c r="G389" i="8" s="1"/>
  <c r="G390" i="8" s="1"/>
  <c r="G391" i="8" s="1"/>
  <c r="G392" i="8" s="1"/>
  <c r="G393" i="8" s="1"/>
  <c r="G394" i="8" s="1"/>
  <c r="G395" i="8" s="1"/>
  <c r="G396" i="8" s="1"/>
  <c r="G397" i="8" s="1"/>
  <c r="G398" i="8" s="1"/>
  <c r="G399" i="8" s="1"/>
  <c r="G400" i="8" s="1"/>
  <c r="G401" i="8" s="1"/>
  <c r="G402" i="8" s="1"/>
  <c r="G403" i="8" s="1"/>
  <c r="G404" i="8" s="1"/>
  <c r="G405" i="8" s="1"/>
  <c r="G406" i="8" s="1"/>
  <c r="G407" i="8" s="1"/>
  <c r="G408" i="8" s="1"/>
  <c r="G409" i="8" s="1"/>
  <c r="G410" i="8" s="1"/>
  <c r="G411" i="8" s="1"/>
  <c r="G412" i="8"/>
  <c r="G413" i="8" s="1"/>
  <c r="G414" i="8"/>
  <c r="G415" i="8" s="1"/>
  <c r="G416" i="8" s="1"/>
  <c r="G417" i="8" s="1"/>
  <c r="G418" i="8" s="1"/>
  <c r="G419" i="8" s="1"/>
  <c r="G420" i="8" s="1"/>
  <c r="G421" i="8" s="1"/>
  <c r="G422" i="8" s="1"/>
  <c r="G423" i="8" s="1"/>
  <c r="G424" i="8"/>
  <c r="G425" i="8" s="1"/>
  <c r="G426" i="8"/>
  <c r="G427" i="8" s="1"/>
  <c r="G428" i="8" s="1"/>
  <c r="G429" i="8"/>
  <c r="G430" i="8" s="1"/>
  <c r="G431" i="8" s="1"/>
  <c r="G432" i="8" s="1"/>
  <c r="G433" i="8" s="1"/>
  <c r="G434" i="8" s="1"/>
  <c r="G435" i="8"/>
  <c r="G436" i="8" s="1"/>
  <c r="G437" i="8" s="1"/>
  <c r="G438" i="8" s="1"/>
  <c r="G439" i="8" s="1"/>
  <c r="G440" i="8" s="1"/>
  <c r="G441" i="8" s="1"/>
  <c r="G442" i="8" s="1"/>
  <c r="G443" i="8"/>
  <c r="G444" i="8" s="1"/>
  <c r="G445" i="8" s="1"/>
  <c r="G446" i="8" s="1"/>
  <c r="G447" i="8" s="1"/>
  <c r="G448" i="8" s="1"/>
  <c r="G449" i="8"/>
  <c r="G450" i="8" s="1"/>
  <c r="G451" i="8" s="1"/>
  <c r="G452" i="8" s="1"/>
  <c r="G453" i="8" s="1"/>
  <c r="G454" i="8" s="1"/>
  <c r="G455" i="8" s="1"/>
  <c r="G456" i="8" s="1"/>
  <c r="G457" i="8" s="1"/>
  <c r="G458" i="8" s="1"/>
  <c r="G459" i="8" s="1"/>
  <c r="G460" i="8" s="1"/>
  <c r="G461" i="8" s="1"/>
  <c r="G462" i="8" s="1"/>
  <c r="G463" i="8" s="1"/>
  <c r="G464" i="8" s="1"/>
  <c r="G465" i="8" s="1"/>
  <c r="G466" i="8" s="1"/>
  <c r="G467" i="8" s="1"/>
  <c r="G468" i="8" s="1"/>
  <c r="G469" i="8" s="1"/>
  <c r="G470" i="8"/>
  <c r="G471" i="8"/>
  <c r="G472" i="8" s="1"/>
  <c r="G473" i="8" s="1"/>
  <c r="G474" i="8" s="1"/>
  <c r="G475" i="8"/>
  <c r="G476" i="8" s="1"/>
  <c r="G477" i="8" s="1"/>
  <c r="G478" i="8" s="1"/>
  <c r="G479" i="8" s="1"/>
  <c r="G480" i="8" s="1"/>
  <c r="G481" i="8" s="1"/>
  <c r="G482" i="8"/>
  <c r="G483" i="8" s="1"/>
  <c r="G484" i="8" s="1"/>
  <c r="G485" i="8" s="1"/>
  <c r="G486" i="8" s="1"/>
  <c r="G487" i="8" s="1"/>
  <c r="G488" i="8" s="1"/>
  <c r="G489" i="8" s="1"/>
  <c r="G490" i="8" s="1"/>
  <c r="G491" i="8" s="1"/>
  <c r="G492" i="8" s="1"/>
  <c r="G493" i="8" s="1"/>
  <c r="G494" i="8" s="1"/>
  <c r="G495" i="8" s="1"/>
  <c r="G496" i="8" s="1"/>
  <c r="G497" i="8" s="1"/>
  <c r="G498" i="8" s="1"/>
  <c r="G499" i="8" s="1"/>
  <c r="G500" i="8" s="1"/>
  <c r="G501" i="8" s="1"/>
  <c r="G502" i="8" s="1"/>
  <c r="G503" i="8" s="1"/>
  <c r="G504" i="8" s="1"/>
  <c r="G505" i="8" s="1"/>
  <c r="G506" i="8" s="1"/>
  <c r="G507" i="8" s="1"/>
  <c r="G508" i="8" s="1"/>
  <c r="G509" i="8" s="1"/>
  <c r="G510" i="8"/>
  <c r="G511" i="8" s="1"/>
  <c r="G512" i="8"/>
  <c r="G513" i="8" s="1"/>
  <c r="G514" i="8" s="1"/>
  <c r="G515" i="8" s="1"/>
  <c r="G516" i="8" s="1"/>
  <c r="G517" i="8" s="1"/>
  <c r="G518" i="8" s="1"/>
  <c r="G519" i="8" s="1"/>
  <c r="G520" i="8" s="1"/>
  <c r="G521" i="8" s="1"/>
  <c r="G522" i="8" s="1"/>
  <c r="G523" i="8" s="1"/>
  <c r="G524" i="8"/>
  <c r="G525" i="8" s="1"/>
  <c r="G526" i="8" s="1"/>
  <c r="G527" i="8" s="1"/>
  <c r="G528" i="8" s="1"/>
  <c r="G529" i="8" s="1"/>
  <c r="G530" i="8" s="1"/>
  <c r="G531" i="8" s="1"/>
  <c r="G532" i="8" s="1"/>
  <c r="G533" i="8" s="1"/>
  <c r="G534" i="8" s="1"/>
  <c r="G535" i="8" s="1"/>
  <c r="G536" i="8" s="1"/>
  <c r="G537" i="8" s="1"/>
  <c r="G538" i="8" s="1"/>
  <c r="G539" i="8" s="1"/>
  <c r="G540" i="8" s="1"/>
  <c r="G541" i="8" s="1"/>
  <c r="G542" i="8" s="1"/>
  <c r="G543" i="8" s="1"/>
  <c r="G544" i="8" s="1"/>
  <c r="G545" i="8" s="1"/>
  <c r="G546" i="8" s="1"/>
  <c r="G547" i="8" s="1"/>
  <c r="G548" i="8" s="1"/>
  <c r="G549" i="8" s="1"/>
  <c r="G550" i="8" s="1"/>
  <c r="G551" i="8" s="1"/>
  <c r="G552" i="8" s="1"/>
  <c r="G553" i="8" s="1"/>
  <c r="G554" i="8" s="1"/>
  <c r="G555" i="8" s="1"/>
  <c r="G556" i="8" s="1"/>
  <c r="G557" i="8" s="1"/>
  <c r="G558" i="8" s="1"/>
  <c r="G559" i="8" s="1"/>
  <c r="G560" i="8" s="1"/>
  <c r="G561" i="8" s="1"/>
  <c r="G562" i="8" s="1"/>
  <c r="G563" i="8" s="1"/>
  <c r="G564" i="8" s="1"/>
  <c r="G565" i="8" s="1"/>
  <c r="G566" i="8" s="1"/>
  <c r="G567" i="8" s="1"/>
  <c r="G568" i="8" s="1"/>
  <c r="G569" i="8"/>
  <c r="G570" i="8" s="1"/>
  <c r="G571" i="8" s="1"/>
  <c r="G572" i="8" s="1"/>
  <c r="G573" i="8"/>
  <c r="G574" i="8" s="1"/>
  <c r="G575" i="8" s="1"/>
  <c r="G576" i="8" s="1"/>
  <c r="G577" i="8" s="1"/>
  <c r="G578" i="8" s="1"/>
  <c r="G579" i="8" s="1"/>
  <c r="G580" i="8"/>
  <c r="G581" i="8" s="1"/>
  <c r="G582" i="8" s="1"/>
  <c r="G583" i="8" s="1"/>
  <c r="G584" i="8" s="1"/>
  <c r="G585" i="8" s="1"/>
  <c r="G586" i="8" s="1"/>
  <c r="G587" i="8" s="1"/>
  <c r="G588" i="8" s="1"/>
  <c r="G589" i="8" s="1"/>
  <c r="G590" i="8" s="1"/>
  <c r="G591" i="8" s="1"/>
  <c r="G592" i="8" s="1"/>
  <c r="G593" i="8" s="1"/>
  <c r="G594" i="8" s="1"/>
  <c r="G595" i="8" s="1"/>
  <c r="G596" i="8" s="1"/>
  <c r="G597" i="8" s="1"/>
  <c r="G598" i="8" s="1"/>
  <c r="G599" i="8" s="1"/>
  <c r="G600" i="8" s="1"/>
  <c r="G601" i="8"/>
  <c r="G602" i="8" s="1"/>
  <c r="G603" i="8"/>
  <c r="G604" i="8" s="1"/>
  <c r="G605" i="8" s="1"/>
  <c r="G606" i="8" s="1"/>
  <c r="G607" i="8" s="1"/>
  <c r="G608" i="8"/>
  <c r="G609" i="8" s="1"/>
  <c r="G610" i="8"/>
  <c r="G611" i="8" s="1"/>
  <c r="G612" i="8" s="1"/>
  <c r="G613" i="8" s="1"/>
  <c r="G614" i="8" s="1"/>
  <c r="G615" i="8" s="1"/>
  <c r="G616" i="8" s="1"/>
  <c r="G617" i="8" s="1"/>
  <c r="G618" i="8" s="1"/>
  <c r="G619" i="8" s="1"/>
  <c r="G620" i="8" s="1"/>
  <c r="G621" i="8" s="1"/>
  <c r="G622" i="8"/>
  <c r="G623" i="8" s="1"/>
  <c r="G624" i="8" s="1"/>
  <c r="G625" i="8" s="1"/>
  <c r="G626" i="8" s="1"/>
  <c r="G627" i="8" s="1"/>
  <c r="G628" i="8" s="1"/>
  <c r="G629" i="8" s="1"/>
  <c r="G630" i="8" s="1"/>
  <c r="G631" i="8" s="1"/>
  <c r="G632" i="8" s="1"/>
  <c r="G633" i="8" s="1"/>
  <c r="G634" i="8" s="1"/>
  <c r="G635" i="8" s="1"/>
  <c r="G636" i="8" s="1"/>
  <c r="G637" i="8" s="1"/>
  <c r="G638" i="8" s="1"/>
  <c r="G639" i="8" s="1"/>
  <c r="G640" i="8" s="1"/>
  <c r="G641" i="8" s="1"/>
  <c r="G642" i="8" s="1"/>
  <c r="G643" i="8" s="1"/>
  <c r="G644" i="8" s="1"/>
  <c r="G645" i="8" s="1"/>
  <c r="G646" i="8" s="1"/>
  <c r="G647" i="8" s="1"/>
  <c r="G648" i="8" s="1"/>
  <c r="G649" i="8" s="1"/>
  <c r="G650" i="8"/>
  <c r="G651" i="8" s="1"/>
  <c r="G652" i="8" s="1"/>
  <c r="G653" i="8" s="1"/>
  <c r="G654" i="8" s="1"/>
  <c r="G655" i="8" s="1"/>
  <c r="G656" i="8" s="1"/>
  <c r="G657" i="8" s="1"/>
  <c r="G658" i="8" s="1"/>
  <c r="G659" i="8" s="1"/>
  <c r="G660" i="8" s="1"/>
  <c r="G661" i="8" s="1"/>
  <c r="G662" i="8" s="1"/>
  <c r="G663" i="8"/>
  <c r="G664" i="8"/>
  <c r="G665" i="8" s="1"/>
  <c r="G666" i="8"/>
  <c r="G667" i="8" s="1"/>
  <c r="G668" i="8" s="1"/>
  <c r="G669" i="8" s="1"/>
  <c r="G670" i="8" s="1"/>
  <c r="G671" i="8" s="1"/>
  <c r="G672" i="8"/>
  <c r="G673" i="8" s="1"/>
  <c r="G674" i="8" s="1"/>
  <c r="G675" i="8" s="1"/>
  <c r="G676" i="8" s="1"/>
  <c r="G677" i="8" s="1"/>
  <c r="G678" i="8" s="1"/>
  <c r="G679" i="8" s="1"/>
  <c r="G680" i="8"/>
  <c r="G681" i="8" s="1"/>
  <c r="G682" i="8" s="1"/>
  <c r="G683" i="8" s="1"/>
  <c r="G684" i="8" s="1"/>
  <c r="G685" i="8" s="1"/>
  <c r="G686" i="8"/>
  <c r="G687" i="8" s="1"/>
  <c r="G688" i="8" s="1"/>
  <c r="G689" i="8" s="1"/>
  <c r="G690" i="8" s="1"/>
  <c r="G691" i="8" s="1"/>
  <c r="G692" i="8" s="1"/>
  <c r="G693" i="8" s="1"/>
  <c r="G694" i="8" s="1"/>
  <c r="G695" i="8" s="1"/>
  <c r="G696" i="8" s="1"/>
  <c r="G697" i="8" s="1"/>
  <c r="G698" i="8" s="1"/>
  <c r="G699" i="8" s="1"/>
  <c r="G700" i="8" s="1"/>
  <c r="G701" i="8" s="1"/>
  <c r="G702" i="8" s="1"/>
  <c r="G703" i="8" s="1"/>
  <c r="G704" i="8" s="1"/>
  <c r="G705" i="8" s="1"/>
  <c r="G706" i="8" s="1"/>
  <c r="G707" i="8" s="1"/>
  <c r="G708" i="8" s="1"/>
  <c r="G709" i="8" s="1"/>
  <c r="G710" i="8" s="1"/>
  <c r="G711" i="8" s="1"/>
  <c r="G712" i="8" s="1"/>
  <c r="G713" i="8" s="1"/>
  <c r="G714" i="8" s="1"/>
  <c r="G715" i="8" s="1"/>
  <c r="G716" i="8"/>
  <c r="G717" i="8" s="1"/>
  <c r="G718" i="8" s="1"/>
  <c r="G719" i="8" s="1"/>
  <c r="G720" i="8"/>
  <c r="G721" i="8" s="1"/>
  <c r="G722" i="8" s="1"/>
  <c r="G723" i="8" s="1"/>
  <c r="G724" i="8" s="1"/>
  <c r="G725" i="8" s="1"/>
  <c r="G726" i="8" s="1"/>
  <c r="G727" i="8"/>
  <c r="G728" i="8" s="1"/>
  <c r="G729" i="8" s="1"/>
  <c r="G730" i="8" s="1"/>
  <c r="G731" i="8" s="1"/>
  <c r="G732" i="8" s="1"/>
  <c r="G733" i="8" s="1"/>
  <c r="G734" i="8" s="1"/>
  <c r="G735" i="8" s="1"/>
  <c r="G736" i="8" s="1"/>
  <c r="G737" i="8" s="1"/>
  <c r="G738" i="8" s="1"/>
  <c r="G739" i="8" s="1"/>
  <c r="G740" i="8" s="1"/>
  <c r="G741" i="8"/>
  <c r="G742" i="8" s="1"/>
  <c r="G743" i="8" s="1"/>
  <c r="G744" i="8" s="1"/>
  <c r="G745" i="8" s="1"/>
  <c r="G746" i="8" s="1"/>
  <c r="G747" i="8" s="1"/>
  <c r="G748" i="8" s="1"/>
  <c r="G749" i="8" s="1"/>
  <c r="G750" i="8" s="1"/>
  <c r="G751" i="8" s="1"/>
  <c r="G752" i="8" s="1"/>
  <c r="G753" i="8" s="1"/>
  <c r="G754" i="8" s="1"/>
  <c r="G755" i="8" s="1"/>
  <c r="G756" i="8" s="1"/>
  <c r="G757" i="8" s="1"/>
  <c r="G758" i="8" s="1"/>
  <c r="G759" i="8" s="1"/>
  <c r="G760" i="8" s="1"/>
  <c r="G761" i="8" s="1"/>
  <c r="G762" i="8" s="1"/>
  <c r="G763" i="8" s="1"/>
  <c r="G764" i="8" s="1"/>
  <c r="G765" i="8" s="1"/>
  <c r="G766" i="8" s="1"/>
  <c r="G767" i="8" s="1"/>
  <c r="G768" i="8" s="1"/>
  <c r="G769" i="8"/>
  <c r="G770" i="8" s="1"/>
  <c r="G771" i="8" s="1"/>
  <c r="G772" i="8" s="1"/>
  <c r="G773" i="8" s="1"/>
  <c r="G774" i="8" s="1"/>
  <c r="G775" i="8" s="1"/>
  <c r="G776" i="8"/>
  <c r="G777" i="8" s="1"/>
  <c r="G778" i="8" s="1"/>
  <c r="G779" i="8" s="1"/>
  <c r="G780" i="8" s="1"/>
  <c r="G781" i="8" s="1"/>
  <c r="G782" i="8" s="1"/>
  <c r="G783" i="8" s="1"/>
  <c r="G784" i="8" s="1"/>
  <c r="G785" i="8" s="1"/>
  <c r="G786" i="8" s="1"/>
  <c r="G787" i="8" s="1"/>
  <c r="G788" i="8" s="1"/>
  <c r="G789" i="8" s="1"/>
  <c r="G790" i="8" s="1"/>
  <c r="G791" i="8" s="1"/>
  <c r="G792" i="8" s="1"/>
  <c r="G793" i="8" s="1"/>
  <c r="G794" i="8" s="1"/>
  <c r="G795" i="8" s="1"/>
  <c r="G796" i="8" s="1"/>
  <c r="G797" i="8" s="1"/>
  <c r="G798" i="8" s="1"/>
  <c r="G799" i="8" s="1"/>
  <c r="G800" i="8" s="1"/>
  <c r="G801" i="8" s="1"/>
  <c r="G802" i="8" s="1"/>
  <c r="G803" i="8" s="1"/>
  <c r="G804" i="8" s="1"/>
  <c r="G805" i="8" s="1"/>
  <c r="G806" i="8" s="1"/>
  <c r="G807" i="8" s="1"/>
  <c r="G808" i="8" s="1"/>
  <c r="G809" i="8" s="1"/>
  <c r="G810" i="8" s="1"/>
  <c r="G811" i="8" s="1"/>
  <c r="G812" i="8" s="1"/>
  <c r="G813" i="8" s="1"/>
  <c r="G814" i="8" s="1"/>
  <c r="G815" i="8" s="1"/>
  <c r="G816" i="8" s="1"/>
  <c r="G817" i="8"/>
  <c r="G818" i="8"/>
  <c r="G819" i="8" s="1"/>
  <c r="G820" i="8"/>
  <c r="G821" i="8" s="1"/>
  <c r="G822" i="8" s="1"/>
  <c r="G823" i="8" s="1"/>
  <c r="G824" i="8" s="1"/>
  <c r="G825" i="8"/>
  <c r="G826" i="8" s="1"/>
  <c r="G827" i="8" s="1"/>
  <c r="G828" i="8" s="1"/>
  <c r="G829" i="8" s="1"/>
  <c r="G830" i="8" s="1"/>
  <c r="G831" i="8" s="1"/>
  <c r="G832" i="8" s="1"/>
  <c r="G833" i="8" s="1"/>
  <c r="G834" i="8" s="1"/>
  <c r="G835" i="8" s="1"/>
  <c r="G836" i="8" s="1"/>
  <c r="G837" i="8" s="1"/>
  <c r="G838" i="8" s="1"/>
  <c r="G839" i="8" s="1"/>
  <c r="G840" i="8" s="1"/>
  <c r="G841" i="8" s="1"/>
  <c r="G842" i="8" s="1"/>
  <c r="G843" i="8" s="1"/>
  <c r="G844" i="8" s="1"/>
  <c r="G845" i="8" s="1"/>
  <c r="G846" i="8" s="1"/>
  <c r="G847" i="8" s="1"/>
  <c r="G848" i="8" s="1"/>
  <c r="G849" i="8" s="1"/>
  <c r="G850" i="8" s="1"/>
  <c r="G851" i="8" s="1"/>
  <c r="G852" i="8" s="1"/>
  <c r="G853" i="8" s="1"/>
  <c r="G854" i="8" s="1"/>
  <c r="G855" i="8" s="1"/>
  <c r="G856" i="8" s="1"/>
  <c r="G857" i="8" s="1"/>
  <c r="G858" i="8" s="1"/>
  <c r="G859" i="8" s="1"/>
  <c r="G860" i="8" s="1"/>
  <c r="G861" i="8" s="1"/>
  <c r="G862" i="8" s="1"/>
  <c r="G863" i="8" s="1"/>
  <c r="G864" i="8" s="1"/>
  <c r="G865" i="8" s="1"/>
  <c r="G866" i="8" s="1"/>
  <c r="G867" i="8" s="1"/>
  <c r="G868" i="8" s="1"/>
  <c r="G869" i="8" s="1"/>
  <c r="G870" i="8" s="1"/>
  <c r="G871" i="8"/>
  <c r="G872" i="8"/>
  <c r="G873" i="8" s="1"/>
  <c r="G874" i="8" s="1"/>
  <c r="G875" i="8" s="1"/>
  <c r="G876" i="8" s="1"/>
  <c r="G877" i="8" s="1"/>
  <c r="G878" i="8" s="1"/>
  <c r="G879" i="8" s="1"/>
  <c r="G880" i="8" s="1"/>
  <c r="G881" i="8"/>
  <c r="G882" i="8" s="1"/>
  <c r="G883" i="8"/>
  <c r="G884" i="8" s="1"/>
  <c r="G885" i="8" s="1"/>
  <c r="G886" i="8" s="1"/>
  <c r="G887" i="8" s="1"/>
  <c r="G888" i="8" s="1"/>
  <c r="G889" i="8" s="1"/>
  <c r="G890" i="8" s="1"/>
  <c r="G891" i="8"/>
  <c r="G892" i="8" s="1"/>
  <c r="G893" i="8" s="1"/>
  <c r="G894" i="8" s="1"/>
  <c r="G895" i="8" s="1"/>
  <c r="G896" i="8" s="1"/>
  <c r="G897" i="8" s="1"/>
  <c r="G898" i="8" s="1"/>
  <c r="G899" i="8" s="1"/>
  <c r="G900" i="8" s="1"/>
  <c r="G901" i="8" s="1"/>
  <c r="G902" i="8"/>
  <c r="G903" i="8" s="1"/>
  <c r="G904" i="8" s="1"/>
  <c r="G905" i="8" s="1"/>
  <c r="G906" i="8" s="1"/>
  <c r="G907" i="8" s="1"/>
  <c r="G908" i="8" s="1"/>
  <c r="G909" i="8" s="1"/>
  <c r="G910" i="8" s="1"/>
  <c r="G911" i="8" s="1"/>
  <c r="G912" i="8" s="1"/>
  <c r="G913" i="8" s="1"/>
  <c r="G914" i="8"/>
  <c r="G915" i="8" s="1"/>
  <c r="G916" i="8"/>
  <c r="G917" i="8" s="1"/>
  <c r="G918" i="8" s="1"/>
  <c r="G919" i="8"/>
  <c r="G920" i="8" s="1"/>
  <c r="G921" i="8" s="1"/>
  <c r="G922" i="8" s="1"/>
  <c r="G923" i="8" s="1"/>
  <c r="G924" i="8" s="1"/>
  <c r="G925" i="8"/>
  <c r="G926" i="8" s="1"/>
  <c r="G927" i="8" s="1"/>
  <c r="G928" i="8" s="1"/>
  <c r="G929" i="8" s="1"/>
  <c r="G930" i="8"/>
  <c r="G931" i="8" s="1"/>
  <c r="G932" i="8" s="1"/>
  <c r="G933" i="8" s="1"/>
  <c r="G934" i="8" s="1"/>
  <c r="G935" i="8" s="1"/>
  <c r="G936" i="8" s="1"/>
  <c r="G937" i="8" s="1"/>
  <c r="G938" i="8" s="1"/>
  <c r="G939" i="8" s="1"/>
  <c r="G940" i="8" s="1"/>
  <c r="G941" i="8" s="1"/>
  <c r="G942" i="8" s="1"/>
  <c r="G943" i="8" s="1"/>
  <c r="G944" i="8" s="1"/>
  <c r="G945" i="8" s="1"/>
  <c r="G946" i="8" s="1"/>
  <c r="G947" i="8" s="1"/>
  <c r="G948" i="8" s="1"/>
  <c r="G949" i="8" s="1"/>
  <c r="G950" i="8" s="1"/>
  <c r="G951" i="8" s="1"/>
  <c r="G952" i="8" s="1"/>
  <c r="G953" i="8" s="1"/>
  <c r="G954" i="8" s="1"/>
  <c r="G955" i="8" s="1"/>
  <c r="G956" i="8" s="1"/>
  <c r="G957" i="8" s="1"/>
  <c r="G958" i="8" s="1"/>
  <c r="G959" i="8"/>
  <c r="G960" i="8"/>
  <c r="G961" i="8" s="1"/>
  <c r="G962" i="8"/>
  <c r="G963" i="8" s="1"/>
  <c r="G964" i="8" s="1"/>
  <c r="G965" i="8" s="1"/>
  <c r="G966" i="8" s="1"/>
  <c r="G967" i="8"/>
  <c r="G968" i="8" s="1"/>
  <c r="G969" i="8" s="1"/>
  <c r="G970" i="8" s="1"/>
  <c r="G971" i="8" s="1"/>
  <c r="G972" i="8" s="1"/>
  <c r="G973" i="8" s="1"/>
  <c r="G974" i="8"/>
  <c r="G975" i="8" s="1"/>
  <c r="G976" i="8" s="1"/>
  <c r="G977" i="8" s="1"/>
  <c r="G978" i="8" s="1"/>
  <c r="G979" i="8" s="1"/>
  <c r="G980" i="8" s="1"/>
  <c r="G981" i="8" s="1"/>
  <c r="G982" i="8" s="1"/>
  <c r="G983" i="8" s="1"/>
  <c r="G984" i="8" s="1"/>
  <c r="G985" i="8" s="1"/>
  <c r="G986" i="8" s="1"/>
  <c r="G987" i="8" s="1"/>
  <c r="G988" i="8" s="1"/>
  <c r="G989" i="8" s="1"/>
  <c r="G990" i="8"/>
  <c r="G991" i="8" s="1"/>
  <c r="G992" i="8" s="1"/>
  <c r="G993" i="8" s="1"/>
  <c r="G994" i="8" s="1"/>
  <c r="G995" i="8" s="1"/>
  <c r="G996" i="8" s="1"/>
  <c r="G997" i="8" s="1"/>
  <c r="G998" i="8" s="1"/>
  <c r="G999" i="8" s="1"/>
  <c r="G1000" i="8" s="1"/>
  <c r="G1001" i="8" s="1"/>
  <c r="G1002" i="8" s="1"/>
  <c r="G1003" i="8" s="1"/>
  <c r="G1004" i="8" s="1"/>
  <c r="G1005" i="8" s="1"/>
  <c r="G1006" i="8" s="1"/>
  <c r="G1007" i="8" s="1"/>
  <c r="G1008" i="8" s="1"/>
  <c r="G1009" i="8" s="1"/>
  <c r="G1010" i="8" s="1"/>
  <c r="G1011" i="8" s="1"/>
  <c r="G1012" i="8"/>
  <c r="G1013" i="8" s="1"/>
  <c r="G1014" i="8" s="1"/>
  <c r="G1015" i="8" s="1"/>
  <c r="G1016" i="8" s="1"/>
  <c r="G1017" i="8"/>
  <c r="G1018" i="8" s="1"/>
  <c r="G1019" i="8" s="1"/>
  <c r="G1020" i="8" s="1"/>
  <c r="G1021" i="8" s="1"/>
  <c r="G1022" i="8"/>
  <c r="G1023" i="8" s="1"/>
  <c r="G1024" i="8" s="1"/>
  <c r="G1025" i="8" s="1"/>
  <c r="G1026" i="8" s="1"/>
  <c r="G1027" i="8" s="1"/>
  <c r="G1028" i="8" s="1"/>
  <c r="G1029" i="8" s="1"/>
  <c r="G1030" i="8" s="1"/>
  <c r="G1031" i="8" s="1"/>
  <c r="G1032" i="8" s="1"/>
  <c r="G1033" i="8" s="1"/>
  <c r="G1034" i="8" s="1"/>
  <c r="G1035" i="8" s="1"/>
  <c r="G1036" i="8" s="1"/>
  <c r="G1037" i="8" s="1"/>
  <c r="G1038" i="8" s="1"/>
  <c r="G1039" i="8" s="1"/>
  <c r="G1040" i="8" s="1"/>
  <c r="G1041" i="8" s="1"/>
  <c r="G1042" i="8" s="1"/>
  <c r="G1043" i="8" s="1"/>
  <c r="G1044" i="8" s="1"/>
  <c r="G1045" i="8" s="1"/>
  <c r="G1046" i="8" s="1"/>
  <c r="G1047" i="8" s="1"/>
  <c r="G1048" i="8" s="1"/>
  <c r="G1049" i="8" s="1"/>
  <c r="G1050" i="8" s="1"/>
  <c r="G1051" i="8" s="1"/>
  <c r="G1052" i="8" s="1"/>
  <c r="G1053" i="8" s="1"/>
  <c r="G1054" i="8" s="1"/>
  <c r="G1055" i="8" s="1"/>
  <c r="G1056" i="8" s="1"/>
  <c r="G1057" i="8" s="1"/>
  <c r="G1058" i="8" s="1"/>
  <c r="G1059" i="8" s="1"/>
  <c r="G1060" i="8" s="1"/>
  <c r="G1061" i="8" s="1"/>
  <c r="G1062" i="8" s="1"/>
  <c r="G1063" i="8" s="1"/>
  <c r="G1064" i="8" s="1"/>
  <c r="G1065" i="8" s="1"/>
  <c r="G1066" i="8"/>
  <c r="G1067" i="8"/>
  <c r="G1068" i="8"/>
  <c r="G1069" i="8" s="1"/>
  <c r="G1070" i="8" s="1"/>
  <c r="G1071" i="8" s="1"/>
  <c r="G1072" i="8" s="1"/>
  <c r="G1073" i="8" s="1"/>
  <c r="G1074" i="8" s="1"/>
  <c r="G1075" i="8" s="1"/>
  <c r="G1076" i="8" s="1"/>
  <c r="G1077" i="8" s="1"/>
  <c r="G1078" i="8" s="1"/>
  <c r="G1079" i="8" s="1"/>
  <c r="G1080" i="8" s="1"/>
  <c r="G1081" i="8" s="1"/>
  <c r="G1082" i="8" s="1"/>
  <c r="G1083" i="8" s="1"/>
  <c r="G1084" i="8" s="1"/>
  <c r="G1085" i="8" s="1"/>
  <c r="G1086" i="8" s="1"/>
  <c r="G1087" i="8" s="1"/>
  <c r="G1088" i="8" s="1"/>
  <c r="G1089" i="8" s="1"/>
  <c r="G1090" i="8" s="1"/>
  <c r="G1091" i="8" s="1"/>
  <c r="G1092" i="8" s="1"/>
  <c r="G1093" i="8" s="1"/>
  <c r="G1094" i="8" s="1"/>
  <c r="G1095" i="8" s="1"/>
  <c r="G1096" i="8" s="1"/>
  <c r="G1097" i="8" s="1"/>
  <c r="G1098" i="8" s="1"/>
  <c r="G1099" i="8" s="1"/>
  <c r="G1100" i="8" s="1"/>
  <c r="G1101" i="8" s="1"/>
  <c r="G1102" i="8" s="1"/>
  <c r="G1103" i="8" s="1"/>
  <c r="G1104" i="8" s="1"/>
  <c r="G1105" i="8" s="1"/>
  <c r="G1106" i="8" s="1"/>
  <c r="G1107" i="8" s="1"/>
  <c r="G1108" i="8" s="1"/>
  <c r="G1109" i="8" s="1"/>
  <c r="G1110" i="8" s="1"/>
  <c r="G1111" i="8" s="1"/>
  <c r="G1112" i="8" s="1"/>
  <c r="G1113" i="8" s="1"/>
  <c r="G1114" i="8" s="1"/>
  <c r="G1115" i="8" s="1"/>
  <c r="G1116" i="8" s="1"/>
  <c r="G1117" i="8" s="1"/>
  <c r="G1118" i="8" s="1"/>
  <c r="G1119" i="8" s="1"/>
  <c r="G1120" i="8" s="1"/>
  <c r="G1121" i="8" s="1"/>
  <c r="G1122" i="8"/>
  <c r="G1123" i="8"/>
  <c r="G1124" i="8"/>
  <c r="G1125" i="8" s="1"/>
  <c r="G1126" i="8" s="1"/>
  <c r="G1127" i="8" s="1"/>
  <c r="G1128" i="8"/>
  <c r="G1129" i="8" s="1"/>
  <c r="G1130" i="8" s="1"/>
  <c r="G1131" i="8" s="1"/>
  <c r="G1132" i="8" s="1"/>
  <c r="G1133" i="8" s="1"/>
  <c r="G1134" i="8" s="1"/>
  <c r="G1135" i="8" s="1"/>
  <c r="G1136" i="8" s="1"/>
  <c r="G1137" i="8" s="1"/>
  <c r="G1138" i="8" s="1"/>
  <c r="G1139" i="8" s="1"/>
  <c r="G1140" i="8" s="1"/>
  <c r="G1141" i="8" s="1"/>
  <c r="G1142" i="8" s="1"/>
  <c r="G1143" i="8" s="1"/>
  <c r="G1144" i="8" s="1"/>
  <c r="G1145" i="8" s="1"/>
  <c r="G1146" i="8" s="1"/>
  <c r="G1147" i="8" s="1"/>
  <c r="G1148" i="8" s="1"/>
  <c r="G1149" i="8" s="1"/>
  <c r="G1150" i="8" s="1"/>
  <c r="G1151" i="8" s="1"/>
  <c r="G1152" i="8" s="1"/>
  <c r="G1153" i="8" s="1"/>
  <c r="G1154" i="8" s="1"/>
  <c r="G1155" i="8" s="1"/>
  <c r="G1156" i="8" s="1"/>
  <c r="G1157" i="8" s="1"/>
  <c r="G1158" i="8" s="1"/>
  <c r="G1159" i="8" s="1"/>
  <c r="G1160" i="8" s="1"/>
  <c r="G1161" i="8" s="1"/>
  <c r="G1162" i="8" s="1"/>
  <c r="G1163" i="8" s="1"/>
  <c r="G1164" i="8" s="1"/>
  <c r="G1165" i="8" s="1"/>
  <c r="G1166" i="8" s="1"/>
  <c r="G1167" i="8" s="1"/>
  <c r="G1168" i="8" s="1"/>
  <c r="G1169" i="8" s="1"/>
  <c r="G1170" i="8" s="1"/>
  <c r="G1171" i="8" s="1"/>
  <c r="G1172" i="8" s="1"/>
  <c r="G1173" i="8" s="1"/>
  <c r="G1174" i="8" s="1"/>
  <c r="G1175" i="8" s="1"/>
  <c r="G1176" i="8" s="1"/>
  <c r="G1177" i="8" s="1"/>
  <c r="G1178" i="8" s="1"/>
  <c r="G1179" i="8" s="1"/>
  <c r="G1180" i="8" s="1"/>
  <c r="G1181" i="8" s="1"/>
  <c r="G1182" i="8" s="1"/>
  <c r="G1183" i="8" s="1"/>
  <c r="G1184" i="8" s="1"/>
  <c r="G1185" i="8" s="1"/>
  <c r="G1186" i="8"/>
  <c r="G1187" i="8" s="1"/>
  <c r="G1188" i="8" s="1"/>
  <c r="G1189" i="8" s="1"/>
  <c r="G1190" i="8" s="1"/>
  <c r="G1191" i="8" s="1"/>
  <c r="G1192" i="8" s="1"/>
  <c r="G1193" i="8" s="1"/>
  <c r="G1194" i="8" s="1"/>
  <c r="G1195" i="8" s="1"/>
  <c r="G1196" i="8" s="1"/>
  <c r="G1197" i="8" s="1"/>
  <c r="G1198" i="8" s="1"/>
  <c r="G1199" i="8" s="1"/>
  <c r="G1200" i="8" s="1"/>
  <c r="G1201" i="8" s="1"/>
  <c r="G1202" i="8" s="1"/>
  <c r="G1203" i="8"/>
  <c r="G1204" i="8" s="1"/>
  <c r="G1205" i="8" s="1"/>
  <c r="G1206" i="8" s="1"/>
  <c r="G1207" i="8" s="1"/>
  <c r="G1208" i="8" s="1"/>
  <c r="G1209" i="8" s="1"/>
  <c r="G1210" i="8" s="1"/>
  <c r="G1211" i="8" s="1"/>
  <c r="G1212" i="8" s="1"/>
  <c r="G1213" i="8" s="1"/>
  <c r="G1214" i="8" s="1"/>
  <c r="G1215" i="8" s="1"/>
  <c r="G1216" i="8" s="1"/>
  <c r="G1217" i="8" s="1"/>
  <c r="G1218" i="8" s="1"/>
  <c r="G1219" i="8" s="1"/>
  <c r="G1220" i="8" s="1"/>
  <c r="G1221" i="8" s="1"/>
  <c r="G1222" i="8" s="1"/>
  <c r="G1223" i="8" s="1"/>
  <c r="G1224" i="8" s="1"/>
  <c r="G1225" i="8" s="1"/>
  <c r="G1226" i="8" s="1"/>
  <c r="G1227" i="8" s="1"/>
  <c r="G1228" i="8" s="1"/>
  <c r="G1229" i="8" s="1"/>
  <c r="G1230" i="8" s="1"/>
  <c r="G1231" i="8" s="1"/>
  <c r="G1232" i="8" s="1"/>
  <c r="G1233" i="8" s="1"/>
  <c r="G1234" i="8" s="1"/>
  <c r="G1235" i="8" s="1"/>
  <c r="G1236" i="8" s="1"/>
  <c r="G1237" i="8" s="1"/>
  <c r="G1238" i="8"/>
  <c r="G1239" i="8"/>
  <c r="G1240" i="8" s="1"/>
  <c r="G1241" i="8"/>
  <c r="G1242" i="8" s="1"/>
  <c r="G1243" i="8"/>
  <c r="G1244" i="8" s="1"/>
  <c r="G1245" i="8" s="1"/>
  <c r="G1246" i="8" s="1"/>
  <c r="G1247" i="8"/>
  <c r="G1248" i="8" s="1"/>
  <c r="G1249" i="8" s="1"/>
  <c r="G1250" i="8" s="1"/>
  <c r="G1251" i="8" s="1"/>
  <c r="G1252" i="8" s="1"/>
  <c r="G1253" i="8"/>
  <c r="G1254" i="8" s="1"/>
  <c r="G1255" i="8" s="1"/>
  <c r="G1256" i="8" s="1"/>
  <c r="G1257" i="8"/>
  <c r="G1258" i="8" s="1"/>
  <c r="G1259" i="8" s="1"/>
  <c r="G1260" i="8" s="1"/>
  <c r="G1261" i="8" s="1"/>
  <c r="G1262" i="8" s="1"/>
  <c r="G1263" i="8" s="1"/>
  <c r="G1264" i="8" s="1"/>
  <c r="G1265" i="8"/>
  <c r="G1266" i="8" s="1"/>
  <c r="G1267" i="8" s="1"/>
  <c r="G1268" i="8" s="1"/>
  <c r="G1269" i="8" s="1"/>
  <c r="G1270" i="8" s="1"/>
  <c r="G1271" i="8" s="1"/>
  <c r="G1272" i="8" s="1"/>
  <c r="G1273" i="8" s="1"/>
  <c r="G1274" i="8" s="1"/>
  <c r="G1275" i="8"/>
  <c r="G1276" i="8" s="1"/>
  <c r="G1277" i="8" s="1"/>
  <c r="G1278" i="8" s="1"/>
  <c r="G1279" i="8" s="1"/>
  <c r="G1280" i="8" s="1"/>
  <c r="G1281" i="8" s="1"/>
  <c r="G1282" i="8" s="1"/>
  <c r="G1283" i="8" s="1"/>
  <c r="G1284" i="8" s="1"/>
  <c r="G1285" i="8" s="1"/>
  <c r="G1286" i="8" s="1"/>
  <c r="G1287" i="8" s="1"/>
  <c r="G1288" i="8"/>
  <c r="G1289" i="8"/>
  <c r="G1290" i="8"/>
  <c r="G1291" i="8" s="1"/>
  <c r="G1292" i="8" s="1"/>
  <c r="G1293" i="8" s="1"/>
  <c r="G1294" i="8" s="1"/>
  <c r="G1295" i="8"/>
  <c r="G1296" i="8" s="1"/>
  <c r="G1297" i="8"/>
  <c r="G1298" i="8" s="1"/>
  <c r="G1299" i="8" s="1"/>
  <c r="G1300" i="8" s="1"/>
  <c r="G1301" i="8"/>
  <c r="G1302" i="8" s="1"/>
  <c r="G1303" i="8" s="1"/>
  <c r="G1304" i="8" s="1"/>
  <c r="G1305" i="8" s="1"/>
  <c r="G1306" i="8" s="1"/>
  <c r="G1307" i="8"/>
  <c r="G1308" i="8" s="1"/>
  <c r="G1309" i="8" s="1"/>
  <c r="G1310" i="8" s="1"/>
  <c r="G1311" i="8" s="1"/>
  <c r="G1312" i="8" s="1"/>
  <c r="G1313" i="8" s="1"/>
  <c r="G1314" i="8" s="1"/>
  <c r="G1315" i="8"/>
  <c r="G1316" i="8" s="1"/>
  <c r="G1317" i="8" s="1"/>
  <c r="G1318" i="8" s="1"/>
  <c r="G1319" i="8" s="1"/>
  <c r="G1320" i="8" s="1"/>
  <c r="G1321" i="8" s="1"/>
  <c r="G1322" i="8" s="1"/>
  <c r="G1323" i="8" s="1"/>
  <c r="G1324" i="8" s="1"/>
  <c r="G1325" i="8" s="1"/>
  <c r="G1326" i="8" s="1"/>
  <c r="G1327" i="8" s="1"/>
  <c r="G1328" i="8" s="1"/>
  <c r="G1329" i="8" s="1"/>
  <c r="G1330" i="8" s="1"/>
  <c r="G1331" i="8" s="1"/>
  <c r="G1332" i="8" s="1"/>
  <c r="G1333" i="8" s="1"/>
  <c r="G1334" i="8" s="1"/>
  <c r="G1335" i="8" s="1"/>
  <c r="G1336" i="8" s="1"/>
  <c r="G1337" i="8" s="1"/>
  <c r="G1338" i="8" s="1"/>
  <c r="G1339" i="8"/>
  <c r="G1340" i="8" s="1"/>
  <c r="G1341" i="8" s="1"/>
  <c r="G1342" i="8" s="1"/>
  <c r="G1343" i="8"/>
  <c r="G1344" i="8" s="1"/>
  <c r="G1345" i="8" s="1"/>
  <c r="G1346" i="8" s="1"/>
  <c r="G1347" i="8" s="1"/>
  <c r="G1348" i="8" s="1"/>
  <c r="G1349" i="8" s="1"/>
  <c r="G1350" i="8" s="1"/>
  <c r="G1351" i="8" s="1"/>
  <c r="G1352" i="8" s="1"/>
  <c r="G1353" i="8" s="1"/>
  <c r="G1354" i="8" s="1"/>
  <c r="G1355" i="8" s="1"/>
  <c r="G1356" i="8" s="1"/>
  <c r="G1357" i="8"/>
  <c r="G1358" i="8" s="1"/>
  <c r="G1359" i="8" s="1"/>
  <c r="G1360" i="8" s="1"/>
  <c r="G1361" i="8" s="1"/>
  <c r="G1362" i="8" s="1"/>
  <c r="G1363" i="8"/>
  <c r="G1364" i="8" s="1"/>
  <c r="G1365" i="8" s="1"/>
  <c r="G1366" i="8" s="1"/>
  <c r="G1367" i="8" s="1"/>
  <c r="G1368" i="8" s="1"/>
  <c r="G1369" i="8" s="1"/>
  <c r="G1370" i="8" s="1"/>
  <c r="G1371" i="8" s="1"/>
  <c r="G1372" i="8" s="1"/>
  <c r="G1373" i="8" s="1"/>
  <c r="G1374" i="8" s="1"/>
  <c r="G1375" i="8" s="1"/>
  <c r="G1376" i="8" s="1"/>
  <c r="G1377" i="8" s="1"/>
  <c r="G1378" i="8" s="1"/>
  <c r="G1379" i="8" s="1"/>
  <c r="G1380" i="8" s="1"/>
  <c r="G1381" i="8" s="1"/>
  <c r="G1382" i="8" s="1"/>
  <c r="G1383" i="8" s="1"/>
  <c r="G1384" i="8" s="1"/>
  <c r="G1385" i="8" s="1"/>
  <c r="G1386" i="8" s="1"/>
  <c r="G1387" i="8" s="1"/>
  <c r="G1388" i="8" s="1"/>
  <c r="G1389" i="8" s="1"/>
  <c r="G1390" i="8" s="1"/>
  <c r="G1391" i="8" s="1"/>
  <c r="G1392" i="8"/>
  <c r="G1393" i="8"/>
  <c r="G1394" i="8" s="1"/>
  <c r="G1395" i="8" s="1"/>
  <c r="G1396" i="8" s="1"/>
  <c r="G1397" i="8" s="1"/>
  <c r="G1398" i="8" s="1"/>
  <c r="G1399" i="8" s="1"/>
  <c r="G1400" i="8" s="1"/>
  <c r="G1401" i="8" s="1"/>
  <c r="G1402" i="8" s="1"/>
  <c r="G1403" i="8" s="1"/>
  <c r="G1404" i="8" s="1"/>
  <c r="G1405" i="8" s="1"/>
  <c r="G1406" i="8" s="1"/>
  <c r="G1407" i="8"/>
  <c r="G1408" i="8" s="1"/>
  <c r="G1409" i="8" s="1"/>
  <c r="G1410" i="8" s="1"/>
  <c r="G1411" i="8" s="1"/>
  <c r="G1412" i="8" s="1"/>
  <c r="G1413" i="8" s="1"/>
  <c r="G1414" i="8" s="1"/>
  <c r="G1415" i="8" s="1"/>
  <c r="G1416" i="8" s="1"/>
  <c r="G1417" i="8" s="1"/>
  <c r="G1418" i="8" s="1"/>
  <c r="G1419" i="8" s="1"/>
  <c r="G1420" i="8" s="1"/>
  <c r="G1421" i="8" s="1"/>
  <c r="G1422" i="8" s="1"/>
  <c r="G1423" i="8" s="1"/>
  <c r="G1424" i="8" s="1"/>
  <c r="G1425" i="8" s="1"/>
  <c r="G1426" i="8" s="1"/>
  <c r="G1427" i="8" s="1"/>
  <c r="G1428" i="8" s="1"/>
  <c r="G1429" i="8" s="1"/>
  <c r="G1430" i="8" s="1"/>
  <c r="G1431" i="8" s="1"/>
  <c r="G1432" i="8" s="1"/>
  <c r="G1433" i="8" s="1"/>
  <c r="G1434" i="8" s="1"/>
  <c r="G1435" i="8" s="1"/>
  <c r="G1436" i="8"/>
  <c r="G1437" i="8"/>
  <c r="G1438" i="8" s="1"/>
  <c r="G1439" i="8" s="1"/>
  <c r="G1440" i="8" s="1"/>
  <c r="G1441" i="8" s="1"/>
  <c r="G1442" i="8" s="1"/>
  <c r="G1443" i="8"/>
  <c r="G1444" i="8" s="1"/>
  <c r="G1445" i="8" s="1"/>
  <c r="G1446" i="8" s="1"/>
  <c r="G1447" i="8" s="1"/>
  <c r="G1448" i="8" s="1"/>
  <c r="G1449" i="8" s="1"/>
  <c r="G1450" i="8" s="1"/>
  <c r="G1451" i="8" s="1"/>
  <c r="G1452" i="8" s="1"/>
  <c r="G1453" i="8" s="1"/>
  <c r="G1454" i="8" s="1"/>
  <c r="G1455" i="8" s="1"/>
  <c r="G1456" i="8" s="1"/>
  <c r="G1457" i="8" s="1"/>
  <c r="G1458" i="8" s="1"/>
  <c r="G1459" i="8" s="1"/>
  <c r="G1460" i="8" s="1"/>
  <c r="G1461" i="8" s="1"/>
  <c r="G1462" i="8" s="1"/>
  <c r="G1463" i="8" s="1"/>
  <c r="G1464" i="8" s="1"/>
  <c r="G1465" i="8" s="1"/>
  <c r="G1466" i="8" s="1"/>
  <c r="G1467" i="8" s="1"/>
  <c r="G1468" i="8" s="1"/>
  <c r="G1469" i="8" s="1"/>
  <c r="G1470" i="8" s="1"/>
  <c r="G1471" i="8" s="1"/>
  <c r="G1472" i="8" s="1"/>
  <c r="G1473" i="8" s="1"/>
  <c r="G1474" i="8" s="1"/>
  <c r="G1475" i="8" s="1"/>
  <c r="G1476" i="8" s="1"/>
  <c r="G1477" i="8" s="1"/>
  <c r="G1478" i="8" s="1"/>
  <c r="G1479" i="8" s="1"/>
  <c r="G1480" i="8" s="1"/>
  <c r="G1481" i="8" s="1"/>
  <c r="G1482" i="8" s="1"/>
  <c r="G1483" i="8" s="1"/>
  <c r="G1484" i="8" s="1"/>
  <c r="G1485" i="8" s="1"/>
  <c r="G1486" i="8" s="1"/>
  <c r="G1487" i="8" s="1"/>
  <c r="G1488" i="8" s="1"/>
  <c r="G1489" i="8" s="1"/>
  <c r="G1490" i="8"/>
  <c r="G1491" i="8"/>
  <c r="G1492" i="8" s="1"/>
  <c r="G1493" i="8"/>
  <c r="G1494" i="8" s="1"/>
  <c r="G1495" i="8" s="1"/>
  <c r="G1496" i="8" s="1"/>
  <c r="G1497" i="8"/>
  <c r="G1498" i="8" s="1"/>
  <c r="G1499" i="8"/>
  <c r="G1500" i="8" s="1"/>
  <c r="G1501" i="8" s="1"/>
  <c r="G1502" i="8" s="1"/>
  <c r="G1503" i="8" s="1"/>
  <c r="G1504" i="8" s="1"/>
  <c r="G1505" i="8" s="1"/>
  <c r="G1506" i="8" s="1"/>
  <c r="G1507" i="8" s="1"/>
  <c r="G1508" i="8" s="1"/>
  <c r="G1509" i="8" s="1"/>
  <c r="G1510" i="8" s="1"/>
  <c r="G1511" i="8" s="1"/>
  <c r="G1512" i="8" s="1"/>
  <c r="G1513" i="8" s="1"/>
  <c r="G1514" i="8" s="1"/>
  <c r="G1515" i="8" s="1"/>
  <c r="G1516" i="8" s="1"/>
  <c r="G1517" i="8" s="1"/>
  <c r="G1518" i="8" s="1"/>
  <c r="G1519" i="8" s="1"/>
  <c r="G1520" i="8" s="1"/>
  <c r="G1521" i="8" s="1"/>
  <c r="G1522" i="8" s="1"/>
  <c r="G1523" i="8" s="1"/>
  <c r="G1524" i="8" s="1"/>
  <c r="G1525" i="8" s="1"/>
  <c r="G1526" i="8" s="1"/>
  <c r="G1527" i="8" s="1"/>
  <c r="G1528" i="8" s="1"/>
  <c r="G1529" i="8" s="1"/>
  <c r="G1530" i="8" s="1"/>
  <c r="G1531" i="8" s="1"/>
  <c r="G1532" i="8" s="1"/>
  <c r="G1533" i="8" s="1"/>
  <c r="G1534" i="8" s="1"/>
  <c r="G1535" i="8" s="1"/>
  <c r="G1536" i="8" s="1"/>
  <c r="G1537" i="8" s="1"/>
  <c r="G1538" i="8" s="1"/>
  <c r="G1539" i="8" s="1"/>
  <c r="G1540" i="8"/>
  <c r="G1541" i="8" s="1"/>
  <c r="G1542" i="8"/>
  <c r="G1543" i="8" s="1"/>
  <c r="G1544" i="8" s="1"/>
  <c r="G1545" i="8" s="1"/>
  <c r="G1546" i="8" s="1"/>
  <c r="G1547" i="8" s="1"/>
  <c r="G1548" i="8" s="1"/>
  <c r="G1549" i="8" s="1"/>
  <c r="G1550" i="8" s="1"/>
  <c r="G1551" i="8"/>
  <c r="G1552" i="8" s="1"/>
  <c r="G1553" i="8" s="1"/>
  <c r="G1554" i="8" s="1"/>
  <c r="G1555" i="8" s="1"/>
  <c r="G1556" i="8" s="1"/>
  <c r="G1557" i="8" s="1"/>
  <c r="G1558" i="8" s="1"/>
  <c r="G1559" i="8" s="1"/>
  <c r="G1560" i="8" s="1"/>
  <c r="G1561" i="8" s="1"/>
  <c r="G1562" i="8" s="1"/>
  <c r="G1563" i="8" s="1"/>
  <c r="G1564" i="8" s="1"/>
  <c r="G1565" i="8" s="1"/>
  <c r="G1566" i="8" s="1"/>
  <c r="G1567" i="8" s="1"/>
  <c r="G1568" i="8" s="1"/>
  <c r="G1569" i="8" s="1"/>
  <c r="G1570" i="8" s="1"/>
  <c r="G1571" i="8" s="1"/>
  <c r="G1572" i="8" s="1"/>
  <c r="G1573" i="8" s="1"/>
  <c r="G1574" i="8" s="1"/>
  <c r="G1575" i="8" s="1"/>
  <c r="G1576" i="8" s="1"/>
  <c r="G1577" i="8" s="1"/>
  <c r="G1578" i="8" s="1"/>
  <c r="G1579" i="8" s="1"/>
  <c r="G1580" i="8" s="1"/>
  <c r="G1581" i="8" s="1"/>
  <c r="G1582" i="8" s="1"/>
  <c r="G1583" i="8" s="1"/>
  <c r="G1584" i="8" s="1"/>
  <c r="G1585" i="8" s="1"/>
  <c r="G1586" i="8" s="1"/>
  <c r="G1587" i="8" s="1"/>
  <c r="G1588" i="8" s="1"/>
  <c r="G1589" i="8" s="1"/>
  <c r="G1590" i="8" s="1"/>
  <c r="G1591" i="8" s="1"/>
  <c r="G1592" i="8" s="1"/>
  <c r="G1593" i="8" s="1"/>
  <c r="G1594" i="8" s="1"/>
  <c r="G1595" i="8"/>
  <c r="G1596" i="8" s="1"/>
  <c r="G1597" i="8"/>
  <c r="G1598" i="8" s="1"/>
  <c r="G1599" i="8"/>
  <c r="G1600" i="8" s="1"/>
  <c r="G1601" i="8" s="1"/>
  <c r="G1602" i="8" s="1"/>
  <c r="G1603" i="8"/>
  <c r="G1604" i="8" s="1"/>
  <c r="G1605" i="8"/>
  <c r="G1606" i="8" s="1"/>
  <c r="G1607" i="8" s="1"/>
  <c r="G1608" i="8"/>
  <c r="G1609" i="8" s="1"/>
  <c r="G1610" i="8" s="1"/>
  <c r="G1611" i="8" s="1"/>
  <c r="G1612" i="8" s="1"/>
  <c r="G1613" i="8" s="1"/>
  <c r="G1614" i="8" s="1"/>
  <c r="G1615" i="8" s="1"/>
  <c r="G1616" i="8" s="1"/>
  <c r="G1617" i="8" s="1"/>
  <c r="G1618" i="8" s="1"/>
  <c r="G1619" i="8" s="1"/>
  <c r="G1620" i="8" s="1"/>
  <c r="G1621" i="8" s="1"/>
  <c r="G1622" i="8" s="1"/>
  <c r="G1623" i="8" s="1"/>
  <c r="G1624" i="8" s="1"/>
  <c r="G1625" i="8" s="1"/>
  <c r="G1626" i="8" s="1"/>
  <c r="G1627" i="8" s="1"/>
  <c r="G1628" i="8" s="1"/>
  <c r="G1629" i="8" s="1"/>
  <c r="G1630" i="8" s="1"/>
  <c r="G1631" i="8" s="1"/>
  <c r="G1632" i="8" s="1"/>
  <c r="G1633" i="8" s="1"/>
  <c r="G1634" i="8" s="1"/>
  <c r="G1635" i="8" s="1"/>
  <c r="G1636" i="8" s="1"/>
  <c r="G1637" i="8" s="1"/>
  <c r="G1638" i="8"/>
  <c r="G1639" i="8" s="1"/>
  <c r="G1640" i="8"/>
  <c r="G1641" i="8" s="1"/>
  <c r="G1642" i="8" s="1"/>
  <c r="G1643" i="8" s="1"/>
  <c r="G1644" i="8" s="1"/>
  <c r="G1645" i="8" s="1"/>
  <c r="G1646" i="8" s="1"/>
  <c r="G1647" i="8" s="1"/>
  <c r="G1648" i="8" s="1"/>
  <c r="G1649" i="8" s="1"/>
  <c r="G1650" i="8" s="1"/>
  <c r="G1651" i="8" s="1"/>
  <c r="G1652" i="8" s="1"/>
  <c r="G1653" i="8" s="1"/>
  <c r="G1654" i="8" s="1"/>
  <c r="G1655" i="8" s="1"/>
  <c r="G1656" i="8" s="1"/>
  <c r="G1657" i="8" s="1"/>
  <c r="G1658" i="8" s="1"/>
  <c r="G1659" i="8" s="1"/>
  <c r="G1660" i="8" s="1"/>
  <c r="G1661" i="8" s="1"/>
  <c r="G1662" i="8" s="1"/>
  <c r="G1663" i="8" s="1"/>
  <c r="G1664" i="8" s="1"/>
  <c r="G1665" i="8" s="1"/>
  <c r="G1666" i="8" s="1"/>
  <c r="G1667" i="8" s="1"/>
  <c r="G1668" i="8" s="1"/>
  <c r="G1669" i="8" s="1"/>
  <c r="G1670" i="8" s="1"/>
  <c r="G1671" i="8" s="1"/>
  <c r="G1672" i="8" s="1"/>
  <c r="G1673" i="8" s="1"/>
  <c r="G1674" i="8" s="1"/>
  <c r="G1675" i="8" s="1"/>
  <c r="G1676" i="8"/>
  <c r="G1677" i="8"/>
  <c r="G1678" i="8" s="1"/>
  <c r="G1679" i="8"/>
  <c r="G1680" i="8" s="1"/>
  <c r="G1681" i="8"/>
  <c r="G1682" i="8" s="1"/>
  <c r="G1683" i="8"/>
  <c r="G1684" i="8" s="1"/>
  <c r="G1685" i="8" s="1"/>
  <c r="G1686" i="8" s="1"/>
  <c r="G1687" i="8" s="1"/>
  <c r="G1688" i="8" s="1"/>
  <c r="G1689" i="8" s="1"/>
  <c r="G1690" i="8" s="1"/>
  <c r="G1691" i="8" s="1"/>
  <c r="G1692" i="8" s="1"/>
  <c r="G1693" i="8" s="1"/>
  <c r="G1694" i="8" s="1"/>
  <c r="G1695" i="8" s="1"/>
  <c r="G1696" i="8" s="1"/>
  <c r="G1697" i="8" s="1"/>
  <c r="G1698" i="8" s="1"/>
  <c r="G1699" i="8" s="1"/>
  <c r="G1700" i="8" s="1"/>
  <c r="G1701" i="8" s="1"/>
  <c r="G1702" i="8" s="1"/>
  <c r="G1703" i="8" s="1"/>
  <c r="G1704" i="8" s="1"/>
  <c r="G1705" i="8" s="1"/>
  <c r="G1706" i="8" s="1"/>
  <c r="G1707" i="8" s="1"/>
  <c r="G1708" i="8" s="1"/>
  <c r="G1709" i="8" s="1"/>
  <c r="G1710" i="8" s="1"/>
  <c r="G1711" i="8" s="1"/>
  <c r="G1712" i="8" s="1"/>
  <c r="G1713" i="8" s="1"/>
  <c r="G1714" i="8" s="1"/>
  <c r="G1715" i="8" s="1"/>
  <c r="G1716" i="8" s="1"/>
  <c r="G1717" i="8" s="1"/>
  <c r="G1718" i="8" s="1"/>
  <c r="G1719" i="8" s="1"/>
  <c r="G1720" i="8" s="1"/>
  <c r="G1721" i="8" s="1"/>
  <c r="G1722" i="8" s="1"/>
  <c r="G1723" i="8" s="1"/>
  <c r="G1724" i="8" s="1"/>
  <c r="G1725" i="8" s="1"/>
  <c r="G1726" i="8" s="1"/>
  <c r="G1727" i="8" s="1"/>
  <c r="G1728" i="8" s="1"/>
  <c r="G1729" i="8" s="1"/>
  <c r="G1730" i="8" s="1"/>
  <c r="G1731" i="8" s="1"/>
  <c r="G1732" i="8" s="1"/>
  <c r="G1733" i="8" s="1"/>
  <c r="G1734" i="8" s="1"/>
  <c r="G1735" i="8" s="1"/>
  <c r="G1736" i="8" s="1"/>
  <c r="G1737" i="8" s="1"/>
  <c r="G1738" i="8" s="1"/>
  <c r="G1739" i="8" s="1"/>
  <c r="G1740" i="8"/>
  <c r="G1741" i="8" s="1"/>
  <c r="G1742" i="8" s="1"/>
  <c r="G1743" i="8" s="1"/>
  <c r="G1744" i="8" s="1"/>
  <c r="G1745" i="8" s="1"/>
  <c r="G1746" i="8" s="1"/>
  <c r="G1747" i="8" s="1"/>
  <c r="G1748" i="8" s="1"/>
  <c r="G1749" i="8" s="1"/>
  <c r="G1750" i="8" s="1"/>
  <c r="G1751" i="8" s="1"/>
  <c r="G1752" i="8" s="1"/>
  <c r="G1753" i="8" s="1"/>
  <c r="G1754" i="8" s="1"/>
  <c r="G1755" i="8" s="1"/>
  <c r="G1756" i="8" s="1"/>
  <c r="G1757" i="8" s="1"/>
  <c r="G1758" i="8" s="1"/>
  <c r="G1759" i="8" s="1"/>
  <c r="G1760" i="8" s="1"/>
  <c r="G1761" i="8" s="1"/>
  <c r="G1762" i="8" s="1"/>
  <c r="G1763" i="8" s="1"/>
  <c r="G1764" i="8" s="1"/>
  <c r="G1765" i="8" s="1"/>
  <c r="G1766" i="8" s="1"/>
  <c r="G1767" i="8" s="1"/>
  <c r="G1768" i="8" s="1"/>
  <c r="G1769" i="8" s="1"/>
  <c r="G1770" i="8" s="1"/>
  <c r="G1771" i="8" s="1"/>
  <c r="G1772" i="8" s="1"/>
  <c r="G1773" i="8" s="1"/>
  <c r="G1774" i="8" s="1"/>
  <c r="G1775" i="8" s="1"/>
  <c r="G1776" i="8" s="1"/>
  <c r="G1777" i="8" s="1"/>
  <c r="G1778" i="8" s="1"/>
  <c r="G1779" i="8" s="1"/>
  <c r="G1780" i="8" s="1"/>
  <c r="G1781" i="8" s="1"/>
  <c r="G1782" i="8" s="1"/>
  <c r="G1783" i="8" s="1"/>
  <c r="G1784" i="8" s="1"/>
  <c r="G1785" i="8" s="1"/>
  <c r="G1786" i="8" s="1"/>
  <c r="G1787" i="8" s="1"/>
  <c r="G1788" i="8" s="1"/>
  <c r="G1789" i="8" s="1"/>
  <c r="G1790" i="8" s="1"/>
  <c r="G1791" i="8" s="1"/>
  <c r="G1792" i="8" s="1"/>
  <c r="G1793" i="8"/>
  <c r="G1794" i="8" s="1"/>
  <c r="G1795" i="8" s="1"/>
  <c r="G1796" i="8"/>
  <c r="G1797" i="8" s="1"/>
  <c r="G1798" i="8"/>
  <c r="G1799" i="8" s="1"/>
  <c r="G1800" i="8" s="1"/>
  <c r="G1801" i="8" s="1"/>
  <c r="G1802" i="8" s="1"/>
  <c r="G1803" i="8" s="1"/>
  <c r="G1804" i="8" s="1"/>
  <c r="G1805" i="8" s="1"/>
  <c r="G1806" i="8" s="1"/>
  <c r="G1807" i="8" s="1"/>
  <c r="G1808" i="8" s="1"/>
  <c r="G1809" i="8" s="1"/>
  <c r="G1810" i="8" s="1"/>
  <c r="G1811" i="8" s="1"/>
  <c r="G1812" i="8" s="1"/>
  <c r="G1813" i="8" s="1"/>
  <c r="G1814" i="8" s="1"/>
  <c r="G1815" i="8" s="1"/>
  <c r="G1816" i="8" s="1"/>
  <c r="G1817" i="8" s="1"/>
  <c r="G1818" i="8" s="1"/>
  <c r="G1819" i="8" s="1"/>
  <c r="G1820" i="8" s="1"/>
  <c r="G1821" i="8" s="1"/>
  <c r="G1822" i="8" s="1"/>
  <c r="G1823" i="8" s="1"/>
  <c r="G1824" i="8" s="1"/>
  <c r="G1825" i="8" s="1"/>
  <c r="G1826" i="8" s="1"/>
  <c r="G1827" i="8" s="1"/>
  <c r="G1828" i="8" s="1"/>
  <c r="G1829" i="8" s="1"/>
  <c r="G1830" i="8" s="1"/>
  <c r="G1831" i="8" s="1"/>
  <c r="G1832" i="8" s="1"/>
  <c r="G1833" i="8" s="1"/>
  <c r="G1834" i="8" s="1"/>
  <c r="G1835" i="8" s="1"/>
  <c r="G1836" i="8" s="1"/>
  <c r="G1837" i="8"/>
  <c r="G1838" i="8"/>
  <c r="G1839" i="8" s="1"/>
  <c r="G1840" i="8"/>
  <c r="G1841" i="8" s="1"/>
  <c r="G1842" i="8" s="1"/>
  <c r="G1843" i="8" s="1"/>
  <c r="G1844" i="8" s="1"/>
  <c r="G1845" i="8" s="1"/>
  <c r="G1846" i="8" s="1"/>
  <c r="G1847" i="8" s="1"/>
  <c r="G1848" i="8" s="1"/>
  <c r="G1849" i="8" s="1"/>
  <c r="G1850" i="8" s="1"/>
  <c r="G1851" i="8" s="1"/>
  <c r="G1852" i="8" s="1"/>
  <c r="G1853" i="8" s="1"/>
  <c r="G1854" i="8" s="1"/>
  <c r="G1855" i="8" s="1"/>
  <c r="G1856" i="8" s="1"/>
  <c r="G1857" i="8" s="1"/>
  <c r="G1858" i="8" s="1"/>
  <c r="G1859" i="8" s="1"/>
  <c r="G1860" i="8" s="1"/>
  <c r="G1861" i="8" s="1"/>
  <c r="G1862" i="8" s="1"/>
  <c r="G1863" i="8" s="1"/>
  <c r="G1864" i="8" s="1"/>
  <c r="G1865" i="8" s="1"/>
  <c r="G1866" i="8" s="1"/>
  <c r="G1867" i="8" s="1"/>
  <c r="G1868" i="8" s="1"/>
  <c r="G1869" i="8" s="1"/>
  <c r="G1870" i="8" s="1"/>
  <c r="G1871" i="8" s="1"/>
  <c r="G1872" i="8" s="1"/>
  <c r="G1873" i="8" s="1"/>
  <c r="G1874" i="8" s="1"/>
  <c r="G1875" i="8" s="1"/>
  <c r="G1876" i="8" s="1"/>
  <c r="G1877" i="8" s="1"/>
  <c r="G1878" i="8" s="1"/>
  <c r="G1879" i="8" s="1"/>
  <c r="G1880" i="8" s="1"/>
  <c r="G1881" i="8" s="1"/>
  <c r="G1882" i="8" s="1"/>
  <c r="G1883" i="8" s="1"/>
  <c r="G1884" i="8" s="1"/>
  <c r="G1885" i="8" s="1"/>
  <c r="G1886" i="8" s="1"/>
  <c r="G1887" i="8" s="1"/>
  <c r="G1888" i="8" s="1"/>
  <c r="G1889" i="8" s="1"/>
  <c r="G1890" i="8" s="1"/>
  <c r="G1891" i="8" s="1"/>
  <c r="G1892" i="8"/>
  <c r="G1893" i="8" s="1"/>
  <c r="G1894" i="8"/>
  <c r="G1895" i="8" s="1"/>
  <c r="G1896" i="8"/>
  <c r="G1897" i="8" s="1"/>
  <c r="G1898" i="8" s="1"/>
  <c r="G1899" i="8" s="1"/>
  <c r="G1900" i="8" s="1"/>
  <c r="G1901" i="8" s="1"/>
  <c r="G1902" i="8" s="1"/>
  <c r="G1903" i="8" s="1"/>
  <c r="G1904" i="8" s="1"/>
  <c r="G1905" i="8" s="1"/>
  <c r="G1906" i="8" s="1"/>
  <c r="G1907" i="8" s="1"/>
  <c r="G1908" i="8" s="1"/>
  <c r="G1909" i="8" s="1"/>
  <c r="G1910" i="8" s="1"/>
  <c r="G1911" i="8" s="1"/>
  <c r="G1912" i="8" s="1"/>
  <c r="G1913" i="8" s="1"/>
  <c r="G1914" i="8" s="1"/>
  <c r="G1915" i="8" s="1"/>
  <c r="G1916" i="8" s="1"/>
  <c r="G1917" i="8" s="1"/>
  <c r="G1918" i="8" s="1"/>
  <c r="G1919" i="8" s="1"/>
  <c r="G1920" i="8" s="1"/>
  <c r="G1921" i="8" s="1"/>
  <c r="G1922" i="8" s="1"/>
  <c r="G1923" i="8" s="1"/>
  <c r="G1924" i="8" s="1"/>
  <c r="G1925" i="8" s="1"/>
  <c r="G1926" i="8" s="1"/>
  <c r="G1927" i="8" s="1"/>
  <c r="G1928" i="8" s="1"/>
  <c r="G1929" i="8" s="1"/>
  <c r="G1930" i="8" s="1"/>
  <c r="G1931" i="8" s="1"/>
  <c r="G1932" i="8" s="1"/>
  <c r="G1933" i="8" s="1"/>
  <c r="G1934" i="8" s="1"/>
  <c r="G1935" i="8" s="1"/>
  <c r="G1936" i="8" s="1"/>
  <c r="G1937" i="8" s="1"/>
  <c r="G1938" i="8" s="1"/>
  <c r="G1939" i="8" s="1"/>
  <c r="G1940" i="8" s="1"/>
  <c r="G1941" i="8"/>
  <c r="G1942" i="8"/>
  <c r="G1943" i="8" s="1"/>
  <c r="G1944" i="8"/>
  <c r="G1945" i="8"/>
  <c r="G1946" i="8" s="1"/>
  <c r="G1947" i="8"/>
  <c r="G1948" i="8" s="1"/>
  <c r="G1949" i="8" s="1"/>
  <c r="G1950" i="8"/>
  <c r="G1951" i="8" s="1"/>
  <c r="G1952" i="8" s="1"/>
  <c r="G1953" i="8" s="1"/>
  <c r="G1954" i="8"/>
  <c r="G1955" i="8" s="1"/>
  <c r="G1956" i="8" s="1"/>
  <c r="G1957" i="8" s="1"/>
  <c r="G1958" i="8" s="1"/>
  <c r="G1959" i="8" s="1"/>
  <c r="G1960" i="8" s="1"/>
  <c r="G1961" i="8" s="1"/>
  <c r="G1962" i="8" s="1"/>
  <c r="G1963" i="8" s="1"/>
  <c r="G1964" i="8" s="1"/>
  <c r="G1965" i="8" s="1"/>
  <c r="G1966" i="8" s="1"/>
  <c r="G1967" i="8" s="1"/>
  <c r="G1968" i="8" s="1"/>
  <c r="G1969" i="8" s="1"/>
  <c r="G1970" i="8" s="1"/>
  <c r="G1971" i="8" s="1"/>
  <c r="G1972" i="8" s="1"/>
  <c r="G1973" i="8" s="1"/>
  <c r="G1974" i="8" s="1"/>
  <c r="G1975" i="8" s="1"/>
  <c r="G1976" i="8" s="1"/>
  <c r="G1977" i="8" s="1"/>
  <c r="G1978" i="8" s="1"/>
  <c r="G1979" i="8" s="1"/>
  <c r="G1980" i="8" s="1"/>
  <c r="G1981" i="8" s="1"/>
  <c r="G1982" i="8" s="1"/>
  <c r="G1983" i="8" s="1"/>
  <c r="G1984" i="8" s="1"/>
  <c r="G1985" i="8" s="1"/>
  <c r="G1986" i="8" s="1"/>
  <c r="G1987" i="8" s="1"/>
  <c r="G1988" i="8" s="1"/>
  <c r="G1989" i="8" s="1"/>
  <c r="G1990" i="8" s="1"/>
  <c r="G1991" i="8"/>
  <c r="G1992" i="8"/>
  <c r="G1993" i="8" s="1"/>
  <c r="G1994" i="8"/>
  <c r="G1995" i="8" s="1"/>
  <c r="G1996" i="8" s="1"/>
  <c r="G1997" i="8" s="1"/>
  <c r="G1998" i="8" s="1"/>
  <c r="G1999" i="8" s="1"/>
  <c r="G2000" i="8" s="1"/>
  <c r="G2001" i="8"/>
  <c r="G2002" i="8" s="1"/>
  <c r="G2003" i="8" s="1"/>
  <c r="G2004" i="8" s="1"/>
  <c r="G2005" i="8" s="1"/>
  <c r="G2006" i="8" s="1"/>
  <c r="G2007" i="8" s="1"/>
  <c r="G2008" i="8" s="1"/>
  <c r="G2009" i="8" s="1"/>
  <c r="G2010" i="8" s="1"/>
  <c r="G2011" i="8" s="1"/>
  <c r="G2012" i="8" s="1"/>
  <c r="G2013" i="8" s="1"/>
  <c r="G2014" i="8" s="1"/>
  <c r="G2015" i="8" s="1"/>
  <c r="G2016" i="8" s="1"/>
  <c r="G2017" i="8" s="1"/>
  <c r="G2018" i="8" s="1"/>
  <c r="G2019" i="8" s="1"/>
  <c r="G2020" i="8" s="1"/>
  <c r="G2021" i="8" s="1"/>
  <c r="G2022" i="8" s="1"/>
  <c r="G2023" i="8" s="1"/>
  <c r="G2024" i="8" s="1"/>
  <c r="G2025" i="8" s="1"/>
  <c r="G2026" i="8" s="1"/>
  <c r="G2027" i="8" s="1"/>
  <c r="G2028" i="8" s="1"/>
  <c r="G2029" i="8" s="1"/>
  <c r="G2030" i="8" s="1"/>
  <c r="G2031" i="8" s="1"/>
  <c r="G2032" i="8" s="1"/>
  <c r="G2033" i="8" s="1"/>
  <c r="G2034" i="8" s="1"/>
  <c r="G2035" i="8" s="1"/>
  <c r="G2036" i="8" s="1"/>
  <c r="G2037" i="8" s="1"/>
  <c r="G2038" i="8" s="1"/>
  <c r="G2039" i="8" s="1"/>
  <c r="G2040" i="8" s="1"/>
  <c r="G2041" i="8" s="1"/>
  <c r="G2042" i="8" s="1"/>
  <c r="G2043" i="8" s="1"/>
  <c r="G2044" i="8" s="1"/>
  <c r="G2045" i="8" s="1"/>
  <c r="G2046" i="8"/>
  <c r="G2047" i="8" s="1"/>
  <c r="G2048" i="8"/>
  <c r="G2049" i="8" s="1"/>
  <c r="G2050" i="8" s="1"/>
  <c r="G2051" i="8" s="1"/>
  <c r="G2052" i="8" s="1"/>
  <c r="G2053" i="8" s="1"/>
  <c r="G2054" i="8" s="1"/>
  <c r="G2055" i="8" s="1"/>
  <c r="G2056" i="8"/>
  <c r="G2057" i="8"/>
  <c r="G2058" i="8" s="1"/>
  <c r="G2059" i="8" s="1"/>
  <c r="G2060" i="8" s="1"/>
  <c r="G2061" i="8" s="1"/>
  <c r="G2062" i="8"/>
  <c r="G2063" i="8" s="1"/>
  <c r="G2064" i="8" s="1"/>
  <c r="G2065" i="8" s="1"/>
  <c r="G2066" i="8" s="1"/>
  <c r="G2067" i="8" s="1"/>
  <c r="G2068" i="8" s="1"/>
  <c r="G2069" i="8" s="1"/>
  <c r="G2070" i="8" s="1"/>
  <c r="G2071" i="8" s="1"/>
  <c r="G2072" i="8" s="1"/>
  <c r="G2073" i="8" s="1"/>
  <c r="G2074" i="8" s="1"/>
  <c r="G2075" i="8" s="1"/>
  <c r="G2076" i="8" s="1"/>
  <c r="G2077" i="8" s="1"/>
  <c r="G2078" i="8" s="1"/>
  <c r="G2079" i="8" s="1"/>
  <c r="G2080" i="8" s="1"/>
  <c r="G2081" i="8" s="1"/>
  <c r="G2082" i="8" s="1"/>
  <c r="G2083" i="8" s="1"/>
  <c r="G2084" i="8" s="1"/>
  <c r="G2085" i="8" s="1"/>
  <c r="G2086" i="8" s="1"/>
  <c r="G2087" i="8" s="1"/>
  <c r="G2088" i="8" s="1"/>
  <c r="G2089" i="8" s="1"/>
  <c r="G2090" i="8" s="1"/>
  <c r="G2091" i="8" s="1"/>
  <c r="G2092" i="8" s="1"/>
  <c r="G2093" i="8"/>
  <c r="G2094" i="8"/>
  <c r="G2095" i="8" s="1"/>
  <c r="G2096" i="8"/>
  <c r="G2097" i="8" s="1"/>
  <c r="G2098" i="8" s="1"/>
  <c r="G2099" i="8" s="1"/>
  <c r="G2100" i="8" s="1"/>
  <c r="G2101" i="8" s="1"/>
  <c r="G2102" i="8" s="1"/>
  <c r="G2103" i="8" s="1"/>
  <c r="G2104" i="8" s="1"/>
  <c r="G2105" i="8" s="1"/>
  <c r="G2106" i="8" s="1"/>
  <c r="G2107" i="8" s="1"/>
  <c r="G2108" i="8" s="1"/>
  <c r="G2109" i="8" s="1"/>
  <c r="G2110" i="8" s="1"/>
  <c r="G2111" i="8" s="1"/>
  <c r="G2112" i="8" s="1"/>
  <c r="G2113" i="8" s="1"/>
  <c r="G2114" i="8" s="1"/>
  <c r="G2115" i="8" s="1"/>
  <c r="G2116" i="8" s="1"/>
  <c r="G2117" i="8" s="1"/>
  <c r="G2118" i="8" s="1"/>
  <c r="G2119" i="8" s="1"/>
  <c r="G2120" i="8" s="1"/>
  <c r="G2121" i="8" s="1"/>
  <c r="G2122" i="8" s="1"/>
  <c r="G2123" i="8" s="1"/>
  <c r="G2124" i="8" s="1"/>
  <c r="G2125" i="8" s="1"/>
  <c r="G2126" i="8" s="1"/>
  <c r="G2127" i="8" s="1"/>
  <c r="G2128" i="8" s="1"/>
  <c r="G2129" i="8" s="1"/>
  <c r="G2130" i="8" s="1"/>
  <c r="G2131" i="8" s="1"/>
  <c r="G2132" i="8" s="1"/>
  <c r="G2133" i="8" s="1"/>
  <c r="G2134" i="8" s="1"/>
  <c r="G2135" i="8" s="1"/>
  <c r="G2136" i="8" s="1"/>
  <c r="G2137" i="8" s="1"/>
  <c r="G2138" i="8" s="1"/>
  <c r="G2139" i="8" s="1"/>
  <c r="G2140" i="8" s="1"/>
  <c r="G2141" i="8" s="1"/>
  <c r="G2142" i="8"/>
  <c r="G2143" i="8"/>
  <c r="G2144" i="8" s="1"/>
  <c r="G2145" i="8" s="1"/>
  <c r="G2146" i="8"/>
  <c r="G2147" i="8" s="1"/>
  <c r="G2148" i="8"/>
  <c r="G2149" i="8" s="1"/>
  <c r="G2150" i="8" s="1"/>
  <c r="G2151" i="8" s="1"/>
  <c r="G2152" i="8" s="1"/>
  <c r="G2153" i="8" s="1"/>
  <c r="G2154" i="8" s="1"/>
  <c r="G2155" i="8" s="1"/>
  <c r="G2156" i="8" s="1"/>
  <c r="G2157" i="8" s="1"/>
  <c r="G2158" i="8" s="1"/>
  <c r="G2159" i="8" s="1"/>
  <c r="G2160" i="8" s="1"/>
  <c r="G2161" i="8" s="1"/>
  <c r="G2162" i="8" s="1"/>
  <c r="G2163" i="8" s="1"/>
  <c r="G2164" i="8" s="1"/>
  <c r="G2165" i="8" s="1"/>
  <c r="G2166" i="8" s="1"/>
  <c r="G2167" i="8" s="1"/>
  <c r="G2168" i="8" s="1"/>
  <c r="G2169" i="8" s="1"/>
  <c r="G2170" i="8" s="1"/>
  <c r="G2171" i="8" s="1"/>
  <c r="G2172" i="8" s="1"/>
  <c r="G2173" i="8" s="1"/>
  <c r="G2174" i="8" s="1"/>
  <c r="G2175" i="8" s="1"/>
  <c r="G2176" i="8" s="1"/>
  <c r="G2177" i="8" s="1"/>
  <c r="G2178" i="8" s="1"/>
  <c r="G2179" i="8" s="1"/>
  <c r="G2180" i="8" s="1"/>
  <c r="G2181" i="8" s="1"/>
  <c r="G2182" i="8"/>
  <c r="G2183" i="8"/>
  <c r="G2184" i="8" s="1"/>
  <c r="G2185" i="8" s="1"/>
  <c r="G2186" i="8" s="1"/>
  <c r="G2187" i="8" s="1"/>
  <c r="G2188" i="8" s="1"/>
  <c r="G2189" i="8" s="1"/>
  <c r="G2190" i="8" s="1"/>
  <c r="G2191" i="8" s="1"/>
  <c r="G2192" i="8" s="1"/>
  <c r="G2193" i="8" s="1"/>
  <c r="G2194" i="8" s="1"/>
  <c r="G2195" i="8" s="1"/>
  <c r="G2196" i="8" s="1"/>
  <c r="G2197" i="8" s="1"/>
  <c r="G2198" i="8" s="1"/>
  <c r="G2199" i="8" s="1"/>
  <c r="G2200" i="8" s="1"/>
  <c r="G2201" i="8" s="1"/>
  <c r="G2202" i="8" s="1"/>
  <c r="G2203" i="8" s="1"/>
  <c r="G2204" i="8" s="1"/>
  <c r="G2205" i="8" s="1"/>
  <c r="G2206" i="8" s="1"/>
  <c r="G2207" i="8" s="1"/>
  <c r="G2208" i="8" s="1"/>
  <c r="G2209" i="8" s="1"/>
  <c r="G2210" i="8" s="1"/>
  <c r="G2211" i="8" s="1"/>
  <c r="G2212" i="8" s="1"/>
  <c r="G2213" i="8" s="1"/>
  <c r="G2214" i="8" s="1"/>
  <c r="G2215" i="8" s="1"/>
  <c r="G2216" i="8" s="1"/>
  <c r="G2217" i="8" s="1"/>
  <c r="G2218" i="8" s="1"/>
  <c r="G2219" i="8" s="1"/>
  <c r="G2220" i="8" s="1"/>
  <c r="G2221" i="8" s="1"/>
  <c r="G2222" i="8" s="1"/>
  <c r="G2223" i="8" s="1"/>
  <c r="G2224" i="8" s="1"/>
  <c r="G2225" i="8" s="1"/>
  <c r="G2226" i="8" s="1"/>
  <c r="G2227" i="8" s="1"/>
  <c r="G2228" i="8" s="1"/>
  <c r="G2229" i="8" s="1"/>
  <c r="G2230" i="8" s="1"/>
  <c r="G2231" i="8" s="1"/>
  <c r="G2232" i="8" s="1"/>
  <c r="G2233" i="8" s="1"/>
  <c r="G2234" i="8" s="1"/>
  <c r="G2235" i="8" s="1"/>
  <c r="G2236" i="8" s="1"/>
  <c r="G2237" i="8" s="1"/>
  <c r="G2238" i="8" s="1"/>
  <c r="G2239" i="8" s="1"/>
  <c r="G2240" i="8" s="1"/>
  <c r="G2241" i="8"/>
  <c r="G2242" i="8"/>
  <c r="G2243" i="8"/>
  <c r="G2244" i="8" s="1"/>
  <c r="G2245" i="8" s="1"/>
  <c r="G2246" i="8" s="1"/>
  <c r="G2247" i="8" s="1"/>
  <c r="G2248" i="8" s="1"/>
  <c r="G2249" i="8" s="1"/>
  <c r="G2250" i="8" s="1"/>
  <c r="G2251" i="8" s="1"/>
  <c r="G2252" i="8" s="1"/>
  <c r="G2253" i="8" s="1"/>
  <c r="G2254" i="8" s="1"/>
  <c r="G2255" i="8" s="1"/>
  <c r="G2256" i="8" s="1"/>
  <c r="G2257" i="8" s="1"/>
  <c r="G2258" i="8" s="1"/>
  <c r="G2259" i="8" s="1"/>
  <c r="G2260" i="8" s="1"/>
  <c r="G2261" i="8" s="1"/>
  <c r="G2262" i="8" s="1"/>
  <c r="G2263" i="8" s="1"/>
  <c r="G2264" i="8" s="1"/>
  <c r="G2265" i="8" s="1"/>
  <c r="G2266" i="8" s="1"/>
  <c r="G2267" i="8" s="1"/>
  <c r="G2268" i="8" s="1"/>
  <c r="G2269" i="8" s="1"/>
  <c r="G2270" i="8" s="1"/>
  <c r="G2271" i="8" s="1"/>
  <c r="G2272" i="8" s="1"/>
  <c r="G2273" i="8" s="1"/>
  <c r="G2274" i="8" s="1"/>
  <c r="G2275" i="8" s="1"/>
  <c r="G2276" i="8" s="1"/>
  <c r="G2277" i="8" s="1"/>
  <c r="G2278" i="8" s="1"/>
  <c r="G2279" i="8" s="1"/>
  <c r="G2280" i="8" s="1"/>
  <c r="G2281" i="8" s="1"/>
  <c r="G2282" i="8" s="1"/>
  <c r="G2283" i="8" s="1"/>
  <c r="G2284" i="8" s="1"/>
  <c r="G2285" i="8" s="1"/>
  <c r="G2286" i="8"/>
  <c r="G2287" i="8"/>
  <c r="G2288" i="8" s="1"/>
  <c r="G2289" i="8"/>
  <c r="G2290" i="8"/>
  <c r="G2291" i="8" s="1"/>
  <c r="G2292" i="8" s="1"/>
  <c r="G2293" i="8" s="1"/>
  <c r="G2294" i="8" s="1"/>
  <c r="G2295" i="8" s="1"/>
  <c r="G2296" i="8" s="1"/>
  <c r="G2297" i="8" s="1"/>
  <c r="G2298" i="8" s="1"/>
  <c r="G2299" i="8" s="1"/>
  <c r="G2300" i="8" s="1"/>
  <c r="G2301" i="8" s="1"/>
  <c r="G2302" i="8" s="1"/>
  <c r="G2303" i="8" s="1"/>
  <c r="G2304" i="8" s="1"/>
  <c r="G2305" i="8" s="1"/>
  <c r="G2306" i="8" s="1"/>
  <c r="G2307" i="8" s="1"/>
  <c r="G2308" i="8" s="1"/>
  <c r="G2309" i="8" s="1"/>
  <c r="G2310" i="8" s="1"/>
  <c r="G2311" i="8" s="1"/>
  <c r="G2312" i="8" s="1"/>
  <c r="G2313" i="8" s="1"/>
  <c r="G2314" i="8" s="1"/>
  <c r="G2315" i="8" s="1"/>
  <c r="G2316" i="8" s="1"/>
  <c r="G2317" i="8" s="1"/>
  <c r="G2318" i="8" s="1"/>
  <c r="G2319" i="8" s="1"/>
  <c r="G2320" i="8" s="1"/>
  <c r="G2321" i="8" s="1"/>
  <c r="G2322" i="8" s="1"/>
  <c r="G2323" i="8" s="1"/>
  <c r="G2324" i="8"/>
  <c r="G2325" i="8"/>
  <c r="G2326" i="8"/>
  <c r="G2327" i="8"/>
  <c r="G2328" i="8" s="1"/>
  <c r="G2329" i="8"/>
  <c r="G2330" i="8" s="1"/>
  <c r="G2331" i="8" s="1"/>
  <c r="G2332" i="8" s="1"/>
  <c r="G2333" i="8" s="1"/>
  <c r="G2334" i="8" s="1"/>
  <c r="G2335" i="8" s="1"/>
  <c r="G2336" i="8" s="1"/>
  <c r="G2337" i="8" s="1"/>
  <c r="G2338" i="8" s="1"/>
  <c r="G2339" i="8" s="1"/>
  <c r="G2340" i="8" s="1"/>
  <c r="G2341" i="8" s="1"/>
  <c r="G2342" i="8" s="1"/>
  <c r="G2343" i="8" s="1"/>
  <c r="G2344" i="8" s="1"/>
  <c r="G2345" i="8" s="1"/>
  <c r="G2346" i="8" s="1"/>
  <c r="G2347" i="8" s="1"/>
  <c r="G2348" i="8" s="1"/>
  <c r="G2349" i="8" s="1"/>
  <c r="G2350" i="8" s="1"/>
  <c r="G2351" i="8" s="1"/>
  <c r="G2352" i="8" s="1"/>
  <c r="G2353" i="8" s="1"/>
  <c r="G2354" i="8" s="1"/>
  <c r="G2355" i="8" s="1"/>
  <c r="G2356" i="8" s="1"/>
  <c r="G2357" i="8" s="1"/>
  <c r="G2358" i="8" s="1"/>
  <c r="G2359" i="8" s="1"/>
  <c r="G2360" i="8" s="1"/>
  <c r="G2361" i="8" s="1"/>
  <c r="G2362" i="8" s="1"/>
  <c r="G2363" i="8" s="1"/>
  <c r="G2364" i="8" s="1"/>
  <c r="G2365" i="8" s="1"/>
  <c r="G2366" i="8"/>
  <c r="G2367" i="8"/>
  <c r="G2368" i="8"/>
  <c r="G2369" i="8" s="1"/>
  <c r="G2370" i="8" s="1"/>
  <c r="G2371" i="8" s="1"/>
  <c r="G2372" i="8" s="1"/>
  <c r="G2373" i="8" s="1"/>
  <c r="G2374" i="8" s="1"/>
  <c r="G2375" i="8" s="1"/>
  <c r="G2376" i="8" s="1"/>
  <c r="G2377" i="8" s="1"/>
  <c r="G2378" i="8" s="1"/>
  <c r="G2379" i="8" s="1"/>
  <c r="G2380" i="8" s="1"/>
  <c r="G2381" i="8" s="1"/>
  <c r="G2382" i="8" s="1"/>
  <c r="G2383" i="8" s="1"/>
  <c r="G2384" i="8" s="1"/>
  <c r="G2385" i="8" s="1"/>
  <c r="G2386" i="8" s="1"/>
  <c r="G2387" i="8" s="1"/>
  <c r="G2388" i="8" s="1"/>
  <c r="G2389" i="8" s="1"/>
  <c r="G2390" i="8" s="1"/>
  <c r="G2391" i="8" s="1"/>
  <c r="G2392" i="8" s="1"/>
  <c r="G2393" i="8" s="1"/>
  <c r="G2394" i="8" s="1"/>
  <c r="G2395" i="8" s="1"/>
  <c r="G2396" i="8" s="1"/>
  <c r="G2397" i="8" s="1"/>
  <c r="G2398" i="8" s="1"/>
  <c r="G2399" i="8" s="1"/>
  <c r="G2400" i="8" s="1"/>
  <c r="G2401" i="8" s="1"/>
  <c r="G2402" i="8" s="1"/>
  <c r="G2403" i="8" s="1"/>
  <c r="G2404" i="8" s="1"/>
  <c r="G2405" i="8" s="1"/>
  <c r="G2406" i="8" s="1"/>
  <c r="G2407" i="8" s="1"/>
  <c r="G2408" i="8" s="1"/>
  <c r="G2409" i="8" s="1"/>
  <c r="G2410" i="8" s="1"/>
  <c r="G2411" i="8" s="1"/>
  <c r="G2412" i="8"/>
  <c r="G2413" i="8"/>
  <c r="G2414" i="8" s="1"/>
  <c r="G2415" i="8" s="1"/>
  <c r="G2416" i="8" s="1"/>
  <c r="G2417" i="8" s="1"/>
  <c r="G2418" i="8" s="1"/>
  <c r="G2419" i="8" s="1"/>
  <c r="G2420" i="8" s="1"/>
  <c r="G2421" i="8" s="1"/>
  <c r="G2422" i="8" s="1"/>
  <c r="G2423" i="8" s="1"/>
  <c r="G2424" i="8" s="1"/>
  <c r="G2425" i="8" s="1"/>
  <c r="G2426" i="8" s="1"/>
  <c r="G2427" i="8" s="1"/>
  <c r="G2428" i="8" s="1"/>
  <c r="G2429" i="8" s="1"/>
  <c r="G2430" i="8" s="1"/>
  <c r="G2431" i="8" s="1"/>
  <c r="G2432" i="8" s="1"/>
  <c r="G2433" i="8" s="1"/>
  <c r="G2434" i="8" s="1"/>
  <c r="G2435" i="8" s="1"/>
  <c r="G2436" i="8" s="1"/>
  <c r="G2437" i="8" s="1"/>
  <c r="G2438" i="8" s="1"/>
  <c r="G2439" i="8" s="1"/>
  <c r="G2440" i="8" s="1"/>
  <c r="G2441" i="8" s="1"/>
  <c r="G2442" i="8" s="1"/>
  <c r="G2443" i="8" s="1"/>
  <c r="G2444" i="8" s="1"/>
  <c r="G2445" i="8" s="1"/>
  <c r="G2446" i="8" s="1"/>
  <c r="G2447" i="8" s="1"/>
  <c r="G2448" i="8" s="1"/>
  <c r="G2449" i="8" s="1"/>
  <c r="G2450" i="8" s="1"/>
  <c r="G2451" i="8" s="1"/>
  <c r="G2452" i="8" s="1"/>
  <c r="G2453" i="8"/>
  <c r="G2454" i="8"/>
  <c r="G2455" i="8" s="1"/>
  <c r="G2456" i="8" s="1"/>
  <c r="G2457" i="8" s="1"/>
  <c r="G2458" i="8" s="1"/>
  <c r="G2459" i="8" s="1"/>
  <c r="G2460" i="8" s="1"/>
  <c r="G2461" i="8" s="1"/>
  <c r="G2462" i="8" s="1"/>
  <c r="G2463" i="8" s="1"/>
  <c r="G2464" i="8" s="1"/>
  <c r="G2465" i="8" s="1"/>
  <c r="G2466" i="8" s="1"/>
  <c r="G2467" i="8" s="1"/>
  <c r="G2468" i="8" s="1"/>
  <c r="G2469" i="8" s="1"/>
  <c r="G2470" i="8" s="1"/>
  <c r="G2471" i="8" s="1"/>
  <c r="G2472" i="8" s="1"/>
  <c r="G2473" i="8" s="1"/>
  <c r="G2474" i="8" s="1"/>
  <c r="G2475" i="8" s="1"/>
  <c r="G2476" i="8" s="1"/>
  <c r="G2477" i="8" s="1"/>
  <c r="G2478" i="8" s="1"/>
  <c r="G2479" i="8" s="1"/>
  <c r="G2480" i="8" s="1"/>
  <c r="G2481" i="8" s="1"/>
  <c r="G2482" i="8" s="1"/>
  <c r="G2483" i="8" s="1"/>
  <c r="G2484" i="8" s="1"/>
  <c r="G2485" i="8" s="1"/>
  <c r="G2486" i="8" s="1"/>
  <c r="G2487" i="8" s="1"/>
  <c r="G2488" i="8" s="1"/>
  <c r="G2489" i="8" s="1"/>
  <c r="G2490" i="8" s="1"/>
  <c r="G2491" i="8" s="1"/>
  <c r="G2492" i="8" s="1"/>
  <c r="G2493" i="8" s="1"/>
  <c r="G2494" i="8" s="1"/>
  <c r="G2495" i="8" s="1"/>
  <c r="G2496" i="8" s="1"/>
  <c r="G2497" i="8" s="1"/>
  <c r="G2498" i="8" s="1"/>
  <c r="G2499" i="8" s="1"/>
  <c r="G2500" i="8" s="1"/>
  <c r="G2501" i="8" s="1"/>
  <c r="F4" i="8"/>
  <c r="AA16" i="7"/>
  <c r="AA15" i="7"/>
  <c r="AA14" i="7"/>
  <c r="AA13" i="7"/>
  <c r="AA12" i="7"/>
  <c r="AA11" i="7"/>
  <c r="AA10" i="7"/>
  <c r="AA9" i="7"/>
  <c r="AA8" i="7"/>
  <c r="AA7" i="7"/>
  <c r="AA6" i="7"/>
  <c r="AA5" i="7"/>
  <c r="Z6" i="7"/>
  <c r="Z7" i="7"/>
  <c r="Z8" i="7"/>
  <c r="Z9" i="7"/>
  <c r="Z10" i="7"/>
  <c r="Z11" i="7"/>
  <c r="Z12" i="7"/>
  <c r="Z13" i="7"/>
  <c r="Z14" i="7"/>
  <c r="Z15" i="7"/>
  <c r="Z16" i="7"/>
  <c r="Z5" i="7"/>
  <c r="V6" i="7"/>
  <c r="V7" i="7"/>
  <c r="V8" i="7"/>
  <c r="V9" i="7"/>
  <c r="V10" i="7"/>
  <c r="V11" i="7"/>
  <c r="V12" i="7"/>
  <c r="V13" i="7"/>
  <c r="V14" i="7"/>
  <c r="V15" i="7"/>
  <c r="V16" i="7"/>
  <c r="V5" i="7"/>
  <c r="U6" i="7"/>
  <c r="U7" i="7"/>
  <c r="U8" i="7"/>
  <c r="U9" i="7"/>
  <c r="U10" i="7"/>
  <c r="U11" i="7"/>
  <c r="U12" i="7"/>
  <c r="U13" i="7"/>
  <c r="U14" i="7"/>
  <c r="U15" i="7"/>
  <c r="U16" i="7"/>
  <c r="U5" i="7"/>
  <c r="F2452" i="8"/>
  <c r="F715" i="8"/>
  <c r="F87" i="8"/>
  <c r="F1435" i="8"/>
  <c r="F662" i="8"/>
  <c r="F55" i="8"/>
  <c r="F607" i="8"/>
  <c r="F768" i="8"/>
  <c r="F1185" i="8"/>
  <c r="F252" i="8"/>
  <c r="F2092" i="8"/>
  <c r="F1011" i="8"/>
  <c r="F1739" i="8"/>
  <c r="F251" i="8"/>
  <c r="F1990" i="8"/>
  <c r="F1891" i="8"/>
  <c r="F1065" i="8"/>
  <c r="F423" i="8"/>
  <c r="F1890" i="8"/>
  <c r="F2451" i="8"/>
  <c r="F1237" i="8"/>
  <c r="F2181" i="8"/>
  <c r="F767" i="8"/>
  <c r="F913" i="8"/>
  <c r="F142" i="8"/>
  <c r="F363" i="8"/>
  <c r="F1489" i="8"/>
  <c r="F1594" i="8"/>
  <c r="F2045" i="8"/>
  <c r="F2411" i="8"/>
  <c r="F2410" i="8"/>
  <c r="F912" i="8"/>
  <c r="F2323" i="8"/>
  <c r="F911" i="8"/>
  <c r="F568" i="8"/>
  <c r="F910" i="8"/>
  <c r="F469" i="8"/>
  <c r="F1488" i="8"/>
  <c r="F1064" i="8"/>
  <c r="F2322" i="8"/>
  <c r="F1593" i="8"/>
  <c r="F509" i="8"/>
  <c r="F1338" i="8"/>
  <c r="F2044" i="8"/>
  <c r="F188" i="8"/>
  <c r="F1063" i="8"/>
  <c r="F2501" i="8"/>
  <c r="F1836" i="8"/>
  <c r="F661" i="8"/>
  <c r="F870" i="8"/>
  <c r="F1889" i="8"/>
  <c r="F2180" i="8"/>
  <c r="F2141" i="8"/>
  <c r="F141" i="8"/>
  <c r="F1738" i="8"/>
  <c r="F1592" i="8"/>
  <c r="F140" i="8"/>
  <c r="F2179" i="8"/>
  <c r="F766" i="8"/>
  <c r="F139" i="8"/>
  <c r="F1062" i="8"/>
  <c r="F2409" i="8"/>
  <c r="F816" i="8"/>
  <c r="F2408" i="8"/>
  <c r="F606" i="8"/>
  <c r="F714" i="8"/>
  <c r="F1737" i="8"/>
  <c r="F2240" i="8"/>
  <c r="F1591" i="8"/>
  <c r="F1989" i="8"/>
  <c r="F86" i="8"/>
  <c r="F2321" i="8"/>
  <c r="F85" i="8"/>
  <c r="F1888" i="8"/>
  <c r="F1236" i="8"/>
  <c r="F1539" i="8"/>
  <c r="F1940" i="8"/>
  <c r="F54" i="8"/>
  <c r="F313" i="8"/>
  <c r="F958" i="8"/>
  <c r="F2239" i="8"/>
  <c r="F362" i="8"/>
  <c r="F713" i="8"/>
  <c r="F2091" i="8"/>
  <c r="F1835" i="8"/>
  <c r="F2090" i="8"/>
  <c r="F2043" i="8"/>
  <c r="F361" i="8"/>
  <c r="F2089" i="8"/>
  <c r="F312" i="8"/>
  <c r="F2088" i="8"/>
  <c r="F2140" i="8"/>
  <c r="F1184" i="8"/>
  <c r="F422" i="8"/>
  <c r="F1538" i="8"/>
  <c r="F1834" i="8"/>
  <c r="F1887" i="8"/>
  <c r="F957" i="8"/>
  <c r="F421" i="8"/>
  <c r="F2238" i="8"/>
  <c r="F84" i="8"/>
  <c r="F1010" i="8"/>
  <c r="F2042" i="8"/>
  <c r="F1487" i="8"/>
  <c r="F2237" i="8"/>
  <c r="F2041" i="8"/>
  <c r="F1183" i="8"/>
  <c r="F1337" i="8"/>
  <c r="F311" i="8"/>
  <c r="F53" i="8"/>
  <c r="F1590" i="8"/>
  <c r="F310" i="8"/>
  <c r="F1939" i="8"/>
  <c r="F83" i="8"/>
  <c r="F1235" i="8"/>
  <c r="F1589" i="8"/>
  <c r="F1061" i="8"/>
  <c r="F1336" i="8"/>
  <c r="F2365" i="8"/>
  <c r="F1287" i="8"/>
  <c r="F309" i="8"/>
  <c r="F1182" i="8"/>
  <c r="F869" i="8"/>
  <c r="F138" i="8"/>
  <c r="F2500" i="8"/>
  <c r="F2040" i="8"/>
  <c r="F1391" i="8"/>
  <c r="F1736" i="8"/>
  <c r="F2364" i="8"/>
  <c r="F2039" i="8"/>
  <c r="F605" i="8"/>
  <c r="F1486" i="8"/>
  <c r="F1234" i="8"/>
  <c r="F2139" i="8"/>
  <c r="F1886" i="8"/>
  <c r="F1233" i="8"/>
  <c r="F1009" i="8"/>
  <c r="F1637" i="8"/>
  <c r="F1675" i="8"/>
  <c r="F765" i="8"/>
  <c r="F2087" i="8"/>
  <c r="F82" i="8"/>
  <c r="F868" i="8"/>
  <c r="F2038" i="8"/>
  <c r="F815" i="8"/>
  <c r="F1286" i="8"/>
  <c r="F420" i="8"/>
  <c r="F1181" i="8"/>
  <c r="F764" i="8"/>
  <c r="F419" i="8"/>
  <c r="F1390" i="8"/>
  <c r="F1121" i="8"/>
  <c r="F2363" i="8"/>
  <c r="F1285" i="8"/>
  <c r="F1284" i="8"/>
  <c r="F308" i="8"/>
  <c r="F137" i="8"/>
  <c r="F1389" i="8"/>
  <c r="F2362" i="8"/>
  <c r="F1485" i="8"/>
  <c r="F1008" i="8"/>
  <c r="F1232" i="8"/>
  <c r="F1885" i="8"/>
  <c r="F307" i="8"/>
  <c r="F2178" i="8"/>
  <c r="F1120" i="8"/>
  <c r="F712" i="8"/>
  <c r="F52" i="8"/>
  <c r="F1735" i="8"/>
  <c r="F2037" i="8"/>
  <c r="F660" i="8"/>
  <c r="F1484" i="8"/>
  <c r="F567" i="8"/>
  <c r="F2138" i="8"/>
  <c r="F867" i="8"/>
  <c r="F1283" i="8"/>
  <c r="F2137" i="8"/>
  <c r="F1938" i="8"/>
  <c r="F306" i="8"/>
  <c r="F866" i="8"/>
  <c r="F1060" i="8"/>
  <c r="F187" i="8"/>
  <c r="F1180" i="8"/>
  <c r="F711" i="8"/>
  <c r="F1937" i="8"/>
  <c r="F1936" i="8"/>
  <c r="F508" i="8"/>
  <c r="F2236" i="8"/>
  <c r="F956" i="8"/>
  <c r="F1588" i="8"/>
  <c r="F1483" i="8"/>
  <c r="F2177" i="8"/>
  <c r="F1119" i="8"/>
  <c r="F51" i="8"/>
  <c r="F1988" i="8"/>
  <c r="F566" i="8"/>
  <c r="F2361" i="8"/>
  <c r="F1335" i="8"/>
  <c r="F1059" i="8"/>
  <c r="F1007" i="8"/>
  <c r="F418" i="8"/>
  <c r="F1987" i="8"/>
  <c r="F250" i="8"/>
  <c r="F955" i="8"/>
  <c r="F186" i="8"/>
  <c r="F1482" i="8"/>
  <c r="F1986" i="8"/>
  <c r="F468" i="8"/>
  <c r="F1231" i="8"/>
  <c r="F2360" i="8"/>
  <c r="F1179" i="8"/>
  <c r="F659" i="8"/>
  <c r="F50" i="8"/>
  <c r="F710" i="8"/>
  <c r="F2359" i="8"/>
  <c r="F658" i="8"/>
  <c r="F909" i="8"/>
  <c r="F2086" i="8"/>
  <c r="F1334" i="8"/>
  <c r="F1118" i="8"/>
  <c r="F2320" i="8"/>
  <c r="F1434" i="8"/>
  <c r="F763" i="8"/>
  <c r="F1674" i="8"/>
  <c r="F865" i="8"/>
  <c r="F2319" i="8"/>
  <c r="F954" i="8"/>
  <c r="F185" i="8"/>
  <c r="F1333" i="8"/>
  <c r="F709" i="8"/>
  <c r="F136" i="8"/>
  <c r="F1935" i="8"/>
  <c r="F1230" i="8"/>
  <c r="F2318" i="8"/>
  <c r="F1117" i="8"/>
  <c r="F1332" i="8"/>
  <c r="F2136" i="8"/>
  <c r="F814" i="8"/>
  <c r="F1481" i="8"/>
  <c r="F1734" i="8"/>
  <c r="F1178" i="8"/>
  <c r="F1792" i="8"/>
  <c r="F1331" i="8"/>
  <c r="F417" i="8"/>
  <c r="F1177" i="8"/>
  <c r="F1884" i="8"/>
  <c r="F604" i="8"/>
  <c r="F565" i="8"/>
  <c r="F1673" i="8"/>
  <c r="F416" i="8"/>
  <c r="F657" i="8"/>
  <c r="F2085" i="8"/>
  <c r="F1791" i="8"/>
  <c r="F564" i="8"/>
  <c r="F1282" i="8"/>
  <c r="F1480" i="8"/>
  <c r="F2235" i="8"/>
  <c r="F360" i="8"/>
  <c r="F2036" i="8"/>
  <c r="F563" i="8"/>
  <c r="F1537" i="8"/>
  <c r="F249" i="8"/>
  <c r="F1733" i="8"/>
  <c r="F1116" i="8"/>
  <c r="F2450" i="8"/>
  <c r="F1790" i="8"/>
  <c r="F1934" i="8"/>
  <c r="F135" i="8"/>
  <c r="F813" i="8"/>
  <c r="F2135" i="8"/>
  <c r="F562" i="8"/>
  <c r="F708" i="8"/>
  <c r="F1433" i="8"/>
  <c r="F2176" i="8"/>
  <c r="F2234" i="8"/>
  <c r="F762" i="8"/>
  <c r="F1587" i="8"/>
  <c r="F2407" i="8"/>
  <c r="F1058" i="8"/>
  <c r="F761" i="8"/>
  <c r="F2084" i="8"/>
  <c r="F1006" i="8"/>
  <c r="F603" i="8"/>
  <c r="F1536" i="8"/>
  <c r="F707" i="8"/>
  <c r="F1833" i="8"/>
  <c r="F2499" i="8"/>
  <c r="F1832" i="8"/>
  <c r="F134" i="8"/>
  <c r="F359" i="8"/>
  <c r="F49" i="8"/>
  <c r="F2175" i="8"/>
  <c r="F1535" i="8"/>
  <c r="F1586" i="8"/>
  <c r="F2083" i="8"/>
  <c r="F305" i="8"/>
  <c r="F602" i="8"/>
  <c r="F1672" i="8"/>
  <c r="F1330" i="8"/>
  <c r="F1005" i="8"/>
  <c r="F1004" i="8"/>
  <c r="F1176" i="8"/>
  <c r="F953" i="8"/>
  <c r="F1831" i="8"/>
  <c r="F2498" i="8"/>
  <c r="F358" i="8"/>
  <c r="F304" i="8"/>
  <c r="F1115" i="8"/>
  <c r="F2497" i="8"/>
  <c r="F1229" i="8"/>
  <c r="F2035" i="8"/>
  <c r="F303" i="8"/>
  <c r="F1057" i="8"/>
  <c r="F1329" i="8"/>
  <c r="F656" i="8"/>
  <c r="F1933" i="8"/>
  <c r="F1789" i="8"/>
  <c r="F1883" i="8"/>
  <c r="F1056" i="8"/>
  <c r="F2134" i="8"/>
  <c r="F1534" i="8"/>
  <c r="F1788" i="8"/>
  <c r="F561" i="8"/>
  <c r="F812" i="8"/>
  <c r="F507" i="8"/>
  <c r="F706" i="8"/>
  <c r="F1114" i="8"/>
  <c r="F2406" i="8"/>
  <c r="F1585" i="8"/>
  <c r="F760" i="8"/>
  <c r="F864" i="8"/>
  <c r="F2034" i="8"/>
  <c r="F2496" i="8"/>
  <c r="F1388" i="8"/>
  <c r="F560" i="8"/>
  <c r="F863" i="8"/>
  <c r="F601" i="8"/>
  <c r="F1584" i="8"/>
  <c r="F133" i="8"/>
  <c r="F1830" i="8"/>
  <c r="F1829" i="8"/>
  <c r="F184" i="8"/>
  <c r="F1985" i="8"/>
  <c r="F705" i="8"/>
  <c r="F811" i="8"/>
  <c r="F2495" i="8"/>
  <c r="F1479" i="8"/>
  <c r="F1882" i="8"/>
  <c r="F862" i="8"/>
  <c r="F1533" i="8"/>
  <c r="F81" i="8"/>
  <c r="F1175" i="8"/>
  <c r="F1636" i="8"/>
  <c r="F1432" i="8"/>
  <c r="F1387" i="8"/>
  <c r="F1828" i="8"/>
  <c r="F952" i="8"/>
  <c r="F704" i="8"/>
  <c r="F183" i="8"/>
  <c r="F1732" i="8"/>
  <c r="F1635" i="8"/>
  <c r="F600" i="8"/>
  <c r="F357" i="8"/>
  <c r="F1386" i="8"/>
  <c r="F2358" i="8"/>
  <c r="F302" i="8"/>
  <c r="F810" i="8"/>
  <c r="F1731" i="8"/>
  <c r="F182" i="8"/>
  <c r="F48" i="8"/>
  <c r="F1478" i="8"/>
  <c r="F1730" i="8"/>
  <c r="F467" i="8"/>
  <c r="F1532" i="8"/>
  <c r="F1671" i="8"/>
  <c r="F1113" i="8"/>
  <c r="F559" i="8"/>
  <c r="F2317" i="8"/>
  <c r="F1385" i="8"/>
  <c r="F1055" i="8"/>
  <c r="F2449" i="8"/>
  <c r="F1112" i="8"/>
  <c r="F1431" i="8"/>
  <c r="F2285" i="8"/>
  <c r="F2174" i="8"/>
  <c r="F1531" i="8"/>
  <c r="F181" i="8"/>
  <c r="F2133" i="8"/>
  <c r="F1430" i="8"/>
  <c r="F1384" i="8"/>
  <c r="F301" i="8"/>
  <c r="F2405" i="8"/>
  <c r="F1634" i="8"/>
  <c r="F809" i="8"/>
  <c r="F2233" i="8"/>
  <c r="F655" i="8"/>
  <c r="F2284" i="8"/>
  <c r="F1984" i="8"/>
  <c r="F1003" i="8"/>
  <c r="F1827" i="8"/>
  <c r="F654" i="8"/>
  <c r="F951" i="8"/>
  <c r="F2132" i="8"/>
  <c r="F558" i="8"/>
  <c r="F2316" i="8"/>
  <c r="F1174" i="8"/>
  <c r="F1228" i="8"/>
  <c r="F808" i="8"/>
  <c r="F1429" i="8"/>
  <c r="F248" i="8"/>
  <c r="F1670" i="8"/>
  <c r="F415" i="8"/>
  <c r="F1054" i="8"/>
  <c r="F1328" i="8"/>
  <c r="F2131" i="8"/>
  <c r="F1633" i="8"/>
  <c r="F1983" i="8"/>
  <c r="F2232" i="8"/>
  <c r="F1881" i="8"/>
  <c r="F1583" i="8"/>
  <c r="F861" i="8"/>
  <c r="F759" i="8"/>
  <c r="F1932" i="8"/>
  <c r="F356" i="8"/>
  <c r="F247" i="8"/>
  <c r="F1327" i="8"/>
  <c r="F807" i="8"/>
  <c r="F703" i="8"/>
  <c r="F2173" i="8"/>
  <c r="F1326" i="8"/>
  <c r="F908" i="8"/>
  <c r="F758" i="8"/>
  <c r="F414" i="8"/>
  <c r="F557" i="8"/>
  <c r="F1281" i="8"/>
  <c r="F2494" i="8"/>
  <c r="F1582" i="8"/>
  <c r="F1053" i="8"/>
  <c r="F47" i="8"/>
  <c r="F1880" i="8"/>
  <c r="F1383" i="8"/>
  <c r="F599" i="8"/>
  <c r="F1002" i="8"/>
  <c r="F556" i="8"/>
  <c r="F246" i="8"/>
  <c r="F1173" i="8"/>
  <c r="F46" i="8"/>
  <c r="F2130" i="8"/>
  <c r="F245" i="8"/>
  <c r="F2357" i="8"/>
  <c r="F1931" i="8"/>
  <c r="F1632" i="8"/>
  <c r="F355" i="8"/>
  <c r="F702" i="8"/>
  <c r="F466" i="8"/>
  <c r="F1631" i="8"/>
  <c r="F907" i="8"/>
  <c r="F1581" i="8"/>
  <c r="F244" i="8"/>
  <c r="F653" i="8"/>
  <c r="F1826" i="8"/>
  <c r="F1172" i="8"/>
  <c r="F2231" i="8"/>
  <c r="F652" i="8"/>
  <c r="F1787" i="8"/>
  <c r="F757" i="8"/>
  <c r="F243" i="8"/>
  <c r="F2493" i="8"/>
  <c r="F1111" i="8"/>
  <c r="F598" i="8"/>
  <c r="F1001" i="8"/>
  <c r="F701" i="8"/>
  <c r="F1171" i="8"/>
  <c r="F1477" i="8"/>
  <c r="F413" i="8"/>
  <c r="F2404" i="8"/>
  <c r="F1110" i="8"/>
  <c r="F1382" i="8"/>
  <c r="F950" i="8"/>
  <c r="F300" i="8"/>
  <c r="F1052" i="8"/>
  <c r="F1227" i="8"/>
  <c r="F2403" i="8"/>
  <c r="F465" i="8"/>
  <c r="F1000" i="8"/>
  <c r="F806" i="8"/>
  <c r="F1476" i="8"/>
  <c r="F299" i="8"/>
  <c r="F1170" i="8"/>
  <c r="F999" i="8"/>
  <c r="F1630" i="8"/>
  <c r="F2315" i="8"/>
  <c r="F1530" i="8"/>
  <c r="F2082" i="8"/>
  <c r="F1629" i="8"/>
  <c r="F2172" i="8"/>
  <c r="F242" i="8"/>
  <c r="F45" i="8"/>
  <c r="F132" i="8"/>
  <c r="F44" i="8"/>
  <c r="F1930" i="8"/>
  <c r="F555" i="8"/>
  <c r="F506" i="8"/>
  <c r="F2448" i="8"/>
  <c r="F1109" i="8"/>
  <c r="F1529" i="8"/>
  <c r="F2356" i="8"/>
  <c r="F1580" i="8"/>
  <c r="F2230" i="8"/>
  <c r="F700" i="8"/>
  <c r="F2492" i="8"/>
  <c r="F554" i="8"/>
  <c r="F1982" i="8"/>
  <c r="F553" i="8"/>
  <c r="F1226" i="8"/>
  <c r="F2129" i="8"/>
  <c r="F1108" i="8"/>
  <c r="F2402" i="8"/>
  <c r="F1225" i="8"/>
  <c r="F597" i="8"/>
  <c r="F1107" i="8"/>
  <c r="F1981" i="8"/>
  <c r="F756" i="8"/>
  <c r="F298" i="8"/>
  <c r="F860" i="8"/>
  <c r="F651" i="8"/>
  <c r="F1169" i="8"/>
  <c r="F1224" i="8"/>
  <c r="F699" i="8"/>
  <c r="F297" i="8"/>
  <c r="F698" i="8"/>
  <c r="F1051" i="8"/>
  <c r="F805" i="8"/>
  <c r="F1106" i="8"/>
  <c r="F1929" i="8"/>
  <c r="F1475" i="8"/>
  <c r="F2491" i="8"/>
  <c r="F1786" i="8"/>
  <c r="F1528" i="8"/>
  <c r="F1879" i="8"/>
  <c r="F180" i="8"/>
  <c r="F998" i="8"/>
  <c r="F2033" i="8"/>
  <c r="F552" i="8"/>
  <c r="F412" i="8"/>
  <c r="F131" i="8"/>
  <c r="F1168" i="8"/>
  <c r="F755" i="8"/>
  <c r="F130" i="8"/>
  <c r="F1105" i="8"/>
  <c r="F1527" i="8"/>
  <c r="F650" i="8"/>
  <c r="F2229" i="8"/>
  <c r="F997" i="8"/>
  <c r="F2171" i="8"/>
  <c r="F2081" i="8"/>
  <c r="F2032" i="8"/>
  <c r="F859" i="8"/>
  <c r="F649" i="8"/>
  <c r="F1050" i="8"/>
  <c r="F1825" i="8"/>
  <c r="F2228" i="8"/>
  <c r="F1474" i="8"/>
  <c r="F1878" i="8"/>
  <c r="F1729" i="8"/>
  <c r="F179" i="8"/>
  <c r="F996" i="8"/>
  <c r="F296" i="8"/>
  <c r="F1980" i="8"/>
  <c r="F1167" i="8"/>
  <c r="F1049" i="8"/>
  <c r="F178" i="8"/>
  <c r="F129" i="8"/>
  <c r="F1785" i="8"/>
  <c r="F354" i="8"/>
  <c r="F858" i="8"/>
  <c r="F1628" i="8"/>
  <c r="F1979" i="8"/>
  <c r="F128" i="8"/>
  <c r="F1824" i="8"/>
  <c r="F2031" i="8"/>
  <c r="F1166" i="8"/>
  <c r="F754" i="8"/>
  <c r="F177" i="8"/>
  <c r="F464" i="8"/>
  <c r="F2227" i="8"/>
  <c r="F1784" i="8"/>
  <c r="F995" i="8"/>
  <c r="F551" i="8"/>
  <c r="F1526" i="8"/>
  <c r="F241" i="8"/>
  <c r="F43" i="8"/>
  <c r="F505" i="8"/>
  <c r="F463" i="8"/>
  <c r="F1165" i="8"/>
  <c r="F295" i="8"/>
  <c r="F80" i="8"/>
  <c r="F2226" i="8"/>
  <c r="F2355" i="8"/>
  <c r="F906" i="8"/>
  <c r="F1473" i="8"/>
  <c r="F804" i="8"/>
  <c r="F1525" i="8"/>
  <c r="F42" i="8"/>
  <c r="F753" i="8"/>
  <c r="F1877" i="8"/>
  <c r="F1627" i="8"/>
  <c r="F240" i="8"/>
  <c r="F1728" i="8"/>
  <c r="F1428" i="8"/>
  <c r="F2225" i="8"/>
  <c r="F550" i="8"/>
  <c r="F994" i="8"/>
  <c r="F2314" i="8"/>
  <c r="F462" i="8"/>
  <c r="F1223" i="8"/>
  <c r="F2283" i="8"/>
  <c r="F1427" i="8"/>
  <c r="F1164" i="8"/>
  <c r="F411" i="8"/>
  <c r="F461" i="8"/>
  <c r="F648" i="8"/>
  <c r="F1524" i="8"/>
  <c r="F803" i="8"/>
  <c r="F1325" i="8"/>
  <c r="F1669" i="8"/>
  <c r="F2128" i="8"/>
  <c r="F2282" i="8"/>
  <c r="F176" i="8"/>
  <c r="F1928" i="8"/>
  <c r="F1579" i="8"/>
  <c r="F2127" i="8"/>
  <c r="F1472" i="8"/>
  <c r="F2224" i="8"/>
  <c r="F79" i="8"/>
  <c r="F647" i="8"/>
  <c r="F752" i="8"/>
  <c r="F175" i="8"/>
  <c r="F2126" i="8"/>
  <c r="F2354" i="8"/>
  <c r="F1104" i="8"/>
  <c r="F410" i="8"/>
  <c r="F1103" i="8"/>
  <c r="F2353" i="8"/>
  <c r="F78" i="8"/>
  <c r="F549" i="8"/>
  <c r="F174" i="8"/>
  <c r="F2125" i="8"/>
  <c r="F2281" i="8"/>
  <c r="F1426" i="8"/>
  <c r="F353" i="8"/>
  <c r="F1324" i="8"/>
  <c r="F2490" i="8"/>
  <c r="F352" i="8"/>
  <c r="F41" i="8"/>
  <c r="F1578" i="8"/>
  <c r="F351" i="8"/>
  <c r="F2124" i="8"/>
  <c r="F2447" i="8"/>
  <c r="F548" i="8"/>
  <c r="F2123" i="8"/>
  <c r="F1727" i="8"/>
  <c r="F40" i="8"/>
  <c r="F239" i="8"/>
  <c r="F1726" i="8"/>
  <c r="F1163" i="8"/>
  <c r="F1048" i="8"/>
  <c r="F2223" i="8"/>
  <c r="F2122" i="8"/>
  <c r="F2489" i="8"/>
  <c r="F2030" i="8"/>
  <c r="F1725" i="8"/>
  <c r="F1626" i="8"/>
  <c r="F1280" i="8"/>
  <c r="F2313" i="8"/>
  <c r="F2170" i="8"/>
  <c r="F39" i="8"/>
  <c r="F409" i="8"/>
  <c r="F173" i="8"/>
  <c r="F905" i="8"/>
  <c r="F2446" i="8"/>
  <c r="F751" i="8"/>
  <c r="F1222" i="8"/>
  <c r="F1783" i="8"/>
  <c r="F294" i="8"/>
  <c r="F1381" i="8"/>
  <c r="F460" i="8"/>
  <c r="F1668" i="8"/>
  <c r="F1279" i="8"/>
  <c r="F1625" i="8"/>
  <c r="F2029" i="8"/>
  <c r="F646" i="8"/>
  <c r="F1978" i="8"/>
  <c r="F1278" i="8"/>
  <c r="F750" i="8"/>
  <c r="F993" i="8"/>
  <c r="F2028" i="8"/>
  <c r="F1782" i="8"/>
  <c r="F2401" i="8"/>
  <c r="F238" i="8"/>
  <c r="F1323" i="8"/>
  <c r="F1221" i="8"/>
  <c r="F697" i="8"/>
  <c r="F2400" i="8"/>
  <c r="F1724" i="8"/>
  <c r="F172" i="8"/>
  <c r="F645" i="8"/>
  <c r="F459" i="8"/>
  <c r="F2169" i="8"/>
  <c r="F1977" i="8"/>
  <c r="F1162" i="8"/>
  <c r="F458" i="8"/>
  <c r="F504" i="8"/>
  <c r="F2352" i="8"/>
  <c r="F2399" i="8"/>
  <c r="F1277" i="8"/>
  <c r="F2222" i="8"/>
  <c r="F2221" i="8"/>
  <c r="F457" i="8"/>
  <c r="F1322" i="8"/>
  <c r="F38" i="8"/>
  <c r="F1161" i="8"/>
  <c r="F596" i="8"/>
  <c r="F802" i="8"/>
  <c r="F1160" i="8"/>
  <c r="F2280" i="8"/>
  <c r="F456" i="8"/>
  <c r="F1927" i="8"/>
  <c r="F1321" i="8"/>
  <c r="F2220" i="8"/>
  <c r="F904" i="8"/>
  <c r="F801" i="8"/>
  <c r="F2027" i="8"/>
  <c r="F857" i="8"/>
  <c r="F2121" i="8"/>
  <c r="F1723" i="8"/>
  <c r="F856" i="8"/>
  <c r="F1976" i="8"/>
  <c r="F2398" i="8"/>
  <c r="F1159" i="8"/>
  <c r="F1823" i="8"/>
  <c r="F408" i="8"/>
  <c r="F1425" i="8"/>
  <c r="F77" i="8"/>
  <c r="F1320" i="8"/>
  <c r="F1380" i="8"/>
  <c r="F1926" i="8"/>
  <c r="F2279" i="8"/>
  <c r="F1276" i="8"/>
  <c r="F2219" i="8"/>
  <c r="F1424" i="8"/>
  <c r="F2278" i="8"/>
  <c r="F1102" i="8"/>
  <c r="F455" i="8"/>
  <c r="F2277" i="8"/>
  <c r="F547" i="8"/>
  <c r="F503" i="8"/>
  <c r="F992" i="8"/>
  <c r="F1876" i="8"/>
  <c r="F2445" i="8"/>
  <c r="F293" i="8"/>
  <c r="F171" i="8"/>
  <c r="F2218" i="8"/>
  <c r="F644" i="8"/>
  <c r="F2168" i="8"/>
  <c r="F1624" i="8"/>
  <c r="F2444" i="8"/>
  <c r="F1925" i="8"/>
  <c r="F37" i="8"/>
  <c r="F1577" i="8"/>
  <c r="F407" i="8"/>
  <c r="F502" i="8"/>
  <c r="F2443" i="8"/>
  <c r="F1319" i="8"/>
  <c r="F350" i="8"/>
  <c r="F1822" i="8"/>
  <c r="F2397" i="8"/>
  <c r="F1423" i="8"/>
  <c r="F1576" i="8"/>
  <c r="F800" i="8"/>
  <c r="F1722" i="8"/>
  <c r="F2026" i="8"/>
  <c r="F454" i="8"/>
  <c r="F903" i="8"/>
  <c r="F1721" i="8"/>
  <c r="F501" i="8"/>
  <c r="F2167" i="8"/>
  <c r="F1101" i="8"/>
  <c r="F2120" i="8"/>
  <c r="F1667" i="8"/>
  <c r="F170" i="8"/>
  <c r="F1875" i="8"/>
  <c r="F2119" i="8"/>
  <c r="F36" i="8"/>
  <c r="F1422" i="8"/>
  <c r="F949" i="8"/>
  <c r="F1421" i="8"/>
  <c r="F35" i="8"/>
  <c r="F1623" i="8"/>
  <c r="F406" i="8"/>
  <c r="F292" i="8"/>
  <c r="F643" i="8"/>
  <c r="F1158" i="8"/>
  <c r="F291" i="8"/>
  <c r="F290" i="8"/>
  <c r="F1157" i="8"/>
  <c r="F1156" i="8"/>
  <c r="F2217" i="8"/>
  <c r="F2351" i="8"/>
  <c r="F237" i="8"/>
  <c r="F2118" i="8"/>
  <c r="F1781" i="8"/>
  <c r="F1047" i="8"/>
  <c r="F2276" i="8"/>
  <c r="F1975" i="8"/>
  <c r="F2396" i="8"/>
  <c r="F76" i="8"/>
  <c r="F1974" i="8"/>
  <c r="F696" i="8"/>
  <c r="F236" i="8"/>
  <c r="F1471" i="8"/>
  <c r="F2117" i="8"/>
  <c r="F948" i="8"/>
  <c r="F289" i="8"/>
  <c r="F75" i="8"/>
  <c r="F500" i="8"/>
  <c r="F1720" i="8"/>
  <c r="F74" i="8"/>
  <c r="F2488" i="8"/>
  <c r="F642" i="8"/>
  <c r="F1973" i="8"/>
  <c r="F1275" i="8"/>
  <c r="F1379" i="8"/>
  <c r="F1274" i="8"/>
  <c r="F349" i="8"/>
  <c r="F1666" i="8"/>
  <c r="F288" i="8"/>
  <c r="F2312" i="8"/>
  <c r="F235" i="8"/>
  <c r="F1821" i="8"/>
  <c r="F2311" i="8"/>
  <c r="F1220" i="8"/>
  <c r="F1273" i="8"/>
  <c r="F499" i="8"/>
  <c r="F169" i="8"/>
  <c r="F947" i="8"/>
  <c r="F1318" i="8"/>
  <c r="F749" i="8"/>
  <c r="F1780" i="8"/>
  <c r="F73" i="8"/>
  <c r="F1719" i="8"/>
  <c r="F1718" i="8"/>
  <c r="F1470" i="8"/>
  <c r="F1272" i="8"/>
  <c r="F1469" i="8"/>
  <c r="F34" i="8"/>
  <c r="F1717" i="8"/>
  <c r="F546" i="8"/>
  <c r="F2025" i="8"/>
  <c r="F799" i="8"/>
  <c r="F2275" i="8"/>
  <c r="F946" i="8"/>
  <c r="F748" i="8"/>
  <c r="F453" i="8"/>
  <c r="F945" i="8"/>
  <c r="F1716" i="8"/>
  <c r="F452" i="8"/>
  <c r="F545" i="8"/>
  <c r="F2442" i="8"/>
  <c r="F168" i="8"/>
  <c r="F2350" i="8"/>
  <c r="F1779" i="8"/>
  <c r="F2349" i="8"/>
  <c r="F544" i="8"/>
  <c r="F1778" i="8"/>
  <c r="F944" i="8"/>
  <c r="F1820" i="8"/>
  <c r="F1155" i="8"/>
  <c r="F1378" i="8"/>
  <c r="F1665" i="8"/>
  <c r="F2274" i="8"/>
  <c r="F1874" i="8"/>
  <c r="F2080" i="8"/>
  <c r="F451" i="8"/>
  <c r="F2273" i="8"/>
  <c r="F1819" i="8"/>
  <c r="F1219" i="8"/>
  <c r="F234" i="8"/>
  <c r="F991" i="8"/>
  <c r="F2216" i="8"/>
  <c r="F33" i="8"/>
  <c r="F498" i="8"/>
  <c r="F1218" i="8"/>
  <c r="F1100" i="8"/>
  <c r="F1099" i="8"/>
  <c r="F167" i="8"/>
  <c r="F233" i="8"/>
  <c r="F902" i="8"/>
  <c r="F348" i="8"/>
  <c r="F1098" i="8"/>
  <c r="F32" i="8"/>
  <c r="F2166" i="8"/>
  <c r="F1468" i="8"/>
  <c r="F595" i="8"/>
  <c r="F1715" i="8"/>
  <c r="F287" i="8"/>
  <c r="F2116" i="8"/>
  <c r="F1046" i="8"/>
  <c r="F497" i="8"/>
  <c r="F2079" i="8"/>
  <c r="F127" i="8"/>
  <c r="F1377" i="8"/>
  <c r="F1523" i="8"/>
  <c r="F232" i="8"/>
  <c r="F2272" i="8"/>
  <c r="F1873" i="8"/>
  <c r="F1420" i="8"/>
  <c r="F1271" i="8"/>
  <c r="F166" i="8"/>
  <c r="F72" i="8"/>
  <c r="F1376" i="8"/>
  <c r="F1972" i="8"/>
  <c r="F1375" i="8"/>
  <c r="F1317" i="8"/>
  <c r="F855" i="8"/>
  <c r="F2441" i="8"/>
  <c r="F1522" i="8"/>
  <c r="F1575" i="8"/>
  <c r="F405" i="8"/>
  <c r="F747" i="8"/>
  <c r="F71" i="8"/>
  <c r="F1622" i="8"/>
  <c r="F1374" i="8"/>
  <c r="F1714" i="8"/>
  <c r="F165" i="8"/>
  <c r="F1419" i="8"/>
  <c r="F2271" i="8"/>
  <c r="F2270" i="8"/>
  <c r="F746" i="8"/>
  <c r="F2348" i="8"/>
  <c r="F1621" i="8"/>
  <c r="F1777" i="8"/>
  <c r="F1971" i="8"/>
  <c r="F2078" i="8"/>
  <c r="F1418" i="8"/>
  <c r="F695" i="8"/>
  <c r="F1818" i="8"/>
  <c r="F2024" i="8"/>
  <c r="F2395" i="8"/>
  <c r="F2487" i="8"/>
  <c r="F1872" i="8"/>
  <c r="F126" i="8"/>
  <c r="F543" i="8"/>
  <c r="F231" i="8"/>
  <c r="F1620" i="8"/>
  <c r="F230" i="8"/>
  <c r="F2023" i="8"/>
  <c r="F31" i="8"/>
  <c r="F798" i="8"/>
  <c r="F1316" i="8"/>
  <c r="F2440" i="8"/>
  <c r="F2394" i="8"/>
  <c r="F1713" i="8"/>
  <c r="F694" i="8"/>
  <c r="F1664" i="8"/>
  <c r="F2269" i="8"/>
  <c r="F2115" i="8"/>
  <c r="F1776" i="8"/>
  <c r="F1217" i="8"/>
  <c r="F1871" i="8"/>
  <c r="F1775" i="8"/>
  <c r="F990" i="8"/>
  <c r="F2114" i="8"/>
  <c r="F1663" i="8"/>
  <c r="F2022" i="8"/>
  <c r="F1097" i="8"/>
  <c r="F542" i="8"/>
  <c r="F2347" i="8"/>
  <c r="F594" i="8"/>
  <c r="F797" i="8"/>
  <c r="F1574" i="8"/>
  <c r="F1573" i="8"/>
  <c r="F1373" i="8"/>
  <c r="F1154" i="8"/>
  <c r="F1662" i="8"/>
  <c r="F989" i="8"/>
  <c r="F2021" i="8"/>
  <c r="F1045" i="8"/>
  <c r="F2268" i="8"/>
  <c r="F745" i="8"/>
  <c r="F1870" i="8"/>
  <c r="F1817" i="8"/>
  <c r="F943" i="8"/>
  <c r="F70" i="8"/>
  <c r="F2165" i="8"/>
  <c r="F1970" i="8"/>
  <c r="F450" i="8"/>
  <c r="F286" i="8"/>
  <c r="F164" i="8"/>
  <c r="F2077" i="8"/>
  <c r="F1372" i="8"/>
  <c r="F449" i="8"/>
  <c r="F693" i="8"/>
  <c r="F125" i="8"/>
  <c r="F541" i="8"/>
  <c r="F593" i="8"/>
  <c r="F1816" i="8"/>
  <c r="F1712" i="8"/>
  <c r="F1216" i="8"/>
  <c r="F1467" i="8"/>
  <c r="F744" i="8"/>
  <c r="F30" i="8"/>
  <c r="F29" i="8"/>
  <c r="F1774" i="8"/>
  <c r="F1315" i="8"/>
  <c r="F285" i="8"/>
  <c r="F1096" i="8"/>
  <c r="F1773" i="8"/>
  <c r="F1711" i="8"/>
  <c r="F2215" i="8"/>
  <c r="F1314" i="8"/>
  <c r="F692" i="8"/>
  <c r="F2164" i="8"/>
  <c r="F2214" i="8"/>
  <c r="F229" i="8"/>
  <c r="F1815" i="8"/>
  <c r="F743" i="8"/>
  <c r="F1466" i="8"/>
  <c r="F284" i="8"/>
  <c r="F641" i="8"/>
  <c r="F2346" i="8"/>
  <c r="F2213" i="8"/>
  <c r="F1417" i="8"/>
  <c r="F691" i="8"/>
  <c r="F742" i="8"/>
  <c r="F163" i="8"/>
  <c r="F2212" i="8"/>
  <c r="F124" i="8"/>
  <c r="F1969" i="8"/>
  <c r="F640" i="8"/>
  <c r="F1095" i="8"/>
  <c r="F162" i="8"/>
  <c r="F2393" i="8"/>
  <c r="F2310" i="8"/>
  <c r="F854" i="8"/>
  <c r="F2267" i="8"/>
  <c r="F404" i="8"/>
  <c r="F1968" i="8"/>
  <c r="F942" i="8"/>
  <c r="F2345" i="8"/>
  <c r="F2076" i="8"/>
  <c r="F1215" i="8"/>
  <c r="F347" i="8"/>
  <c r="F941" i="8"/>
  <c r="F690" i="8"/>
  <c r="F2309" i="8"/>
  <c r="F228" i="8"/>
  <c r="F1572" i="8"/>
  <c r="F741" i="8"/>
  <c r="F123" i="8"/>
  <c r="F2392" i="8"/>
  <c r="F1772" i="8"/>
  <c r="F1214" i="8"/>
  <c r="F283" i="8"/>
  <c r="F592" i="8"/>
  <c r="F1521" i="8"/>
  <c r="F2163" i="8"/>
  <c r="F1571" i="8"/>
  <c r="F28" i="8"/>
  <c r="F1153" i="8"/>
  <c r="F940" i="8"/>
  <c r="F988" i="8"/>
  <c r="F346" i="8"/>
  <c r="F448" i="8"/>
  <c r="F403" i="8"/>
  <c r="F1416" i="8"/>
  <c r="F1371" i="8"/>
  <c r="F987" i="8"/>
  <c r="F1771" i="8"/>
  <c r="F853" i="8"/>
  <c r="F345" i="8"/>
  <c r="F1270" i="8"/>
  <c r="F1869" i="8"/>
  <c r="F591" i="8"/>
  <c r="F1094" i="8"/>
  <c r="F901" i="8"/>
  <c r="F402" i="8"/>
  <c r="F1213" i="8"/>
  <c r="F1868" i="8"/>
  <c r="F1465" i="8"/>
  <c r="F2486" i="8"/>
  <c r="F1770" i="8"/>
  <c r="F1814" i="8"/>
  <c r="F447" i="8"/>
  <c r="F2308" i="8"/>
  <c r="F227" i="8"/>
  <c r="F1570" i="8"/>
  <c r="F1619" i="8"/>
  <c r="F540" i="8"/>
  <c r="F1313" i="8"/>
  <c r="F639" i="8"/>
  <c r="F282" i="8"/>
  <c r="F852" i="8"/>
  <c r="F1370" i="8"/>
  <c r="F2391" i="8"/>
  <c r="F539" i="8"/>
  <c r="F851" i="8"/>
  <c r="F1661" i="8"/>
  <c r="F27" i="8"/>
  <c r="F1967" i="8"/>
  <c r="F689" i="8"/>
  <c r="F2075" i="8"/>
  <c r="F446" i="8"/>
  <c r="F1924" i="8"/>
  <c r="F1923" i="8"/>
  <c r="F638" i="8"/>
  <c r="F1520" i="8"/>
  <c r="F1769" i="8"/>
  <c r="F401" i="8"/>
  <c r="F1618" i="8"/>
  <c r="F1922" i="8"/>
  <c r="F1093" i="8"/>
  <c r="F1966" i="8"/>
  <c r="F1569" i="8"/>
  <c r="F939" i="8"/>
  <c r="F2307" i="8"/>
  <c r="F2485" i="8"/>
  <c r="F1617" i="8"/>
  <c r="F1092" i="8"/>
  <c r="F400" i="8"/>
  <c r="F590" i="8"/>
  <c r="F2439" i="8"/>
  <c r="F1269" i="8"/>
  <c r="F1710" i="8"/>
  <c r="F281" i="8"/>
  <c r="F2211" i="8"/>
  <c r="F740" i="8"/>
  <c r="F1464" i="8"/>
  <c r="F986" i="8"/>
  <c r="F1044" i="8"/>
  <c r="F850" i="8"/>
  <c r="F938" i="8"/>
  <c r="F26" i="8"/>
  <c r="F280" i="8"/>
  <c r="F2390" i="8"/>
  <c r="F2210" i="8"/>
  <c r="F1519" i="8"/>
  <c r="F1518" i="8"/>
  <c r="F1043" i="8"/>
  <c r="F1312" i="8"/>
  <c r="F2209" i="8"/>
  <c r="F1369" i="8"/>
  <c r="F1768" i="8"/>
  <c r="F1767" i="8"/>
  <c r="F399" i="8"/>
  <c r="F589" i="8"/>
  <c r="F122" i="8"/>
  <c r="F496" i="8"/>
  <c r="F1766" i="8"/>
  <c r="F2020" i="8"/>
  <c r="F2344" i="8"/>
  <c r="F1268" i="8"/>
  <c r="F1212" i="8"/>
  <c r="F796" i="8"/>
  <c r="F1568" i="8"/>
  <c r="F1463" i="8"/>
  <c r="F1616" i="8"/>
  <c r="F538" i="8"/>
  <c r="F398" i="8"/>
  <c r="F688" i="8"/>
  <c r="F2208" i="8"/>
  <c r="F1091" i="8"/>
  <c r="F985" i="8"/>
  <c r="F1813" i="8"/>
  <c r="F121" i="8"/>
  <c r="F2484" i="8"/>
  <c r="F226" i="8"/>
  <c r="F2113" i="8"/>
  <c r="F1211" i="8"/>
  <c r="F537" i="8"/>
  <c r="F1415" i="8"/>
  <c r="F900" i="8"/>
  <c r="F1517" i="8"/>
  <c r="F1567" i="8"/>
  <c r="F120" i="8"/>
  <c r="F1462" i="8"/>
  <c r="F899" i="8"/>
  <c r="F1812" i="8"/>
  <c r="F2438" i="8"/>
  <c r="F687" i="8"/>
  <c r="F1765" i="8"/>
  <c r="F2162" i="8"/>
  <c r="F1311" i="8"/>
  <c r="F2343" i="8"/>
  <c r="F1267" i="8"/>
  <c r="F445" i="8"/>
  <c r="F444" i="8"/>
  <c r="F984" i="8"/>
  <c r="F279" i="8"/>
  <c r="F1368" i="8"/>
  <c r="F637" i="8"/>
  <c r="F1461" i="8"/>
  <c r="F1764" i="8"/>
  <c r="F1811" i="8"/>
  <c r="F2019" i="8"/>
  <c r="F849" i="8"/>
  <c r="F1965" i="8"/>
  <c r="F1310" i="8"/>
  <c r="F795" i="8"/>
  <c r="F1566" i="8"/>
  <c r="F898" i="8"/>
  <c r="F1309" i="8"/>
  <c r="F1152" i="8"/>
  <c r="F1810" i="8"/>
  <c r="F848" i="8"/>
  <c r="F2437" i="8"/>
  <c r="F161" i="8"/>
  <c r="F2161" i="8"/>
  <c r="F1921" i="8"/>
  <c r="F1920" i="8"/>
  <c r="F1615" i="8"/>
  <c r="F397" i="8"/>
  <c r="F1919" i="8"/>
  <c r="F1367" i="8"/>
  <c r="F636" i="8"/>
  <c r="F1565" i="8"/>
  <c r="F344" i="8"/>
  <c r="F2074" i="8"/>
  <c r="F2207" i="8"/>
  <c r="F794" i="8"/>
  <c r="F686" i="8"/>
  <c r="F1564" i="8"/>
  <c r="F2483" i="8"/>
  <c r="F685" i="8"/>
  <c r="F2206" i="8"/>
  <c r="F69" i="8"/>
  <c r="F396" i="8"/>
  <c r="F395" i="8"/>
  <c r="F1460" i="8"/>
  <c r="F635" i="8"/>
  <c r="F1459" i="8"/>
  <c r="F1709" i="8"/>
  <c r="F119" i="8"/>
  <c r="F1458" i="8"/>
  <c r="F2018" i="8"/>
  <c r="F1210" i="8"/>
  <c r="F2205" i="8"/>
  <c r="F2204" i="8"/>
  <c r="F2203" i="8"/>
  <c r="F2389" i="8"/>
  <c r="F847" i="8"/>
  <c r="F278" i="8"/>
  <c r="F2112" i="8"/>
  <c r="F1918" i="8"/>
  <c r="F739" i="8"/>
  <c r="F1563" i="8"/>
  <c r="F1414" i="8"/>
  <c r="F2202" i="8"/>
  <c r="F684" i="8"/>
  <c r="F588" i="8"/>
  <c r="F897" i="8"/>
  <c r="F634" i="8"/>
  <c r="F495" i="8"/>
  <c r="F160" i="8"/>
  <c r="F2266" i="8"/>
  <c r="F343" i="8"/>
  <c r="F342" i="8"/>
  <c r="F2306" i="8"/>
  <c r="F587" i="8"/>
  <c r="F2342" i="8"/>
  <c r="F983" i="8"/>
  <c r="F633" i="8"/>
  <c r="F159" i="8"/>
  <c r="F2073" i="8"/>
  <c r="F1366" i="8"/>
  <c r="F158" i="8"/>
  <c r="F738" i="8"/>
  <c r="F982" i="8"/>
  <c r="F118" i="8"/>
  <c r="F1209" i="8"/>
  <c r="F1917" i="8"/>
  <c r="F1413" i="8"/>
  <c r="F937" i="8"/>
  <c r="F1562" i="8"/>
  <c r="F494" i="8"/>
  <c r="F632" i="8"/>
  <c r="F1708" i="8"/>
  <c r="F157" i="8"/>
  <c r="F225" i="8"/>
  <c r="F493" i="8"/>
  <c r="F156" i="8"/>
  <c r="F1412" i="8"/>
  <c r="F1561" i="8"/>
  <c r="F1090" i="8"/>
  <c r="F2072" i="8"/>
  <c r="F117" i="8"/>
  <c r="F1042" i="8"/>
  <c r="F1089" i="8"/>
  <c r="F1660" i="8"/>
  <c r="F1411" i="8"/>
  <c r="F2017" i="8"/>
  <c r="F224" i="8"/>
  <c r="F1659" i="8"/>
  <c r="F1614" i="8"/>
  <c r="F223" i="8"/>
  <c r="F793" i="8"/>
  <c r="F1266" i="8"/>
  <c r="F2388" i="8"/>
  <c r="F341" i="8"/>
  <c r="F1809" i="8"/>
  <c r="F1560" i="8"/>
  <c r="F737" i="8"/>
  <c r="F536" i="8"/>
  <c r="F846" i="8"/>
  <c r="F631" i="8"/>
  <c r="F1808" i="8"/>
  <c r="F2436" i="8"/>
  <c r="F630" i="8"/>
  <c r="F1457" i="8"/>
  <c r="F68" i="8"/>
  <c r="F2201" i="8"/>
  <c r="F845" i="8"/>
  <c r="F340" i="8"/>
  <c r="F936" i="8"/>
  <c r="F1707" i="8"/>
  <c r="F1208" i="8"/>
  <c r="F981" i="8"/>
  <c r="F2016" i="8"/>
  <c r="F394" i="8"/>
  <c r="F1151" i="8"/>
  <c r="F2341" i="8"/>
  <c r="F1041" i="8"/>
  <c r="F1658" i="8"/>
  <c r="F1916" i="8"/>
  <c r="F1706" i="8"/>
  <c r="F1915" i="8"/>
  <c r="F2200" i="8"/>
  <c r="F393" i="8"/>
  <c r="F67" i="8"/>
  <c r="F629" i="8"/>
  <c r="F1613" i="8"/>
  <c r="F1410" i="8"/>
  <c r="F1516" i="8"/>
  <c r="F492" i="8"/>
  <c r="F844" i="8"/>
  <c r="F277" i="8"/>
  <c r="F392" i="8"/>
  <c r="F1040" i="8"/>
  <c r="F1807" i="8"/>
  <c r="F2015" i="8"/>
  <c r="F2014" i="8"/>
  <c r="F2013" i="8"/>
  <c r="F2012" i="8"/>
  <c r="F1763" i="8"/>
  <c r="F843" i="8"/>
  <c r="F2011" i="8"/>
  <c r="F1265" i="8"/>
  <c r="F1762" i="8"/>
  <c r="F116" i="8"/>
  <c r="F443" i="8"/>
  <c r="F115" i="8"/>
  <c r="F1409" i="8"/>
  <c r="F2305" i="8"/>
  <c r="F2482" i="8"/>
  <c r="F535" i="8"/>
  <c r="F534" i="8"/>
  <c r="F1039" i="8"/>
  <c r="F1867" i="8"/>
  <c r="F1308" i="8"/>
  <c r="F792" i="8"/>
  <c r="F1408" i="8"/>
  <c r="F2010" i="8"/>
  <c r="F2340" i="8"/>
  <c r="F1365" i="8"/>
  <c r="F586" i="8"/>
  <c r="F1307" i="8"/>
  <c r="F1559" i="8"/>
  <c r="F2387" i="8"/>
  <c r="F2071" i="8"/>
  <c r="F391" i="8"/>
  <c r="F1558" i="8"/>
  <c r="F896" i="8"/>
  <c r="F1866" i="8"/>
  <c r="F1865" i="8"/>
  <c r="F1612" i="8"/>
  <c r="F1914" i="8"/>
  <c r="F491" i="8"/>
  <c r="F490" i="8"/>
  <c r="F339" i="8"/>
  <c r="F222" i="8"/>
  <c r="F791" i="8"/>
  <c r="F1705" i="8"/>
  <c r="F2111" i="8"/>
  <c r="F2481" i="8"/>
  <c r="F1264" i="8"/>
  <c r="F2435" i="8"/>
  <c r="F980" i="8"/>
  <c r="F1657" i="8"/>
  <c r="F1306" i="8"/>
  <c r="F2160" i="8"/>
  <c r="F979" i="8"/>
  <c r="F628" i="8"/>
  <c r="F1263" i="8"/>
  <c r="F1262" i="8"/>
  <c r="F2386" i="8"/>
  <c r="F736" i="8"/>
  <c r="F1704" i="8"/>
  <c r="F1611" i="8"/>
  <c r="F25" i="8"/>
  <c r="F1806" i="8"/>
  <c r="F1964" i="8"/>
  <c r="F155" i="8"/>
  <c r="F24" i="8"/>
  <c r="F1761" i="8"/>
  <c r="F2339" i="8"/>
  <c r="F1805" i="8"/>
  <c r="F2480" i="8"/>
  <c r="F842" i="8"/>
  <c r="F1207" i="8"/>
  <c r="F1804" i="8"/>
  <c r="F154" i="8"/>
  <c r="F683" i="8"/>
  <c r="F841" i="8"/>
  <c r="F114" i="8"/>
  <c r="F2159" i="8"/>
  <c r="F2265" i="8"/>
  <c r="F390" i="8"/>
  <c r="F585" i="8"/>
  <c r="F2385" i="8"/>
  <c r="F735" i="8"/>
  <c r="F2199" i="8"/>
  <c r="F66" i="8"/>
  <c r="F276" i="8"/>
  <c r="F627" i="8"/>
  <c r="F935" i="8"/>
  <c r="F790" i="8"/>
  <c r="F2070" i="8"/>
  <c r="F1364" i="8"/>
  <c r="F1261" i="8"/>
  <c r="F1088" i="8"/>
  <c r="F1456" i="8"/>
  <c r="F153" i="8"/>
  <c r="F1150" i="8"/>
  <c r="F895" i="8"/>
  <c r="F2434" i="8"/>
  <c r="F442" i="8"/>
  <c r="F221" i="8"/>
  <c r="F2304" i="8"/>
  <c r="F2158" i="8"/>
  <c r="F840" i="8"/>
  <c r="F220" i="8"/>
  <c r="F338" i="8"/>
  <c r="F1455" i="8"/>
  <c r="F152" i="8"/>
  <c r="F389" i="8"/>
  <c r="F2433" i="8"/>
  <c r="F1407" i="8"/>
  <c r="F789" i="8"/>
  <c r="F2264" i="8"/>
  <c r="F1703" i="8"/>
  <c r="F1656" i="8"/>
  <c r="F489" i="8"/>
  <c r="F151" i="8"/>
  <c r="F275" i="8"/>
  <c r="F2432" i="8"/>
  <c r="F978" i="8"/>
  <c r="F1655" i="8"/>
  <c r="F1363" i="8"/>
  <c r="F2479" i="8"/>
  <c r="F1038" i="8"/>
  <c r="F1305" i="8"/>
  <c r="F1557" i="8"/>
  <c r="F2069" i="8"/>
  <c r="F1864" i="8"/>
  <c r="F2384" i="8"/>
  <c r="F388" i="8"/>
  <c r="F65" i="8"/>
  <c r="F1515" i="8"/>
  <c r="F1610" i="8"/>
  <c r="F1362" i="8"/>
  <c r="F1406" i="8"/>
  <c r="F1206" i="8"/>
  <c r="F1702" i="8"/>
  <c r="F1863" i="8"/>
  <c r="F274" i="8"/>
  <c r="F1205" i="8"/>
  <c r="F1454" i="8"/>
  <c r="F839" i="8"/>
  <c r="F1514" i="8"/>
  <c r="F788" i="8"/>
  <c r="F2009" i="8"/>
  <c r="F533" i="8"/>
  <c r="F1204" i="8"/>
  <c r="F934" i="8"/>
  <c r="F1203" i="8"/>
  <c r="F838" i="8"/>
  <c r="F273" i="8"/>
  <c r="F2478" i="8"/>
  <c r="F113" i="8"/>
  <c r="F1202" i="8"/>
  <c r="F1361" i="8"/>
  <c r="F1037" i="8"/>
  <c r="F2477" i="8"/>
  <c r="F626" i="8"/>
  <c r="F734" i="8"/>
  <c r="F1913" i="8"/>
  <c r="F150" i="8"/>
  <c r="F1862" i="8"/>
  <c r="F219" i="8"/>
  <c r="F532" i="8"/>
  <c r="F387" i="8"/>
  <c r="F1963" i="8"/>
  <c r="F1912" i="8"/>
  <c r="F1654" i="8"/>
  <c r="F112" i="8"/>
  <c r="F1087" i="8"/>
  <c r="F2263" i="8"/>
  <c r="F218" i="8"/>
  <c r="F1653" i="8"/>
  <c r="F1513" i="8"/>
  <c r="F2476" i="8"/>
  <c r="F2383" i="8"/>
  <c r="F1652" i="8"/>
  <c r="F682" i="8"/>
  <c r="F2068" i="8"/>
  <c r="F894" i="8"/>
  <c r="F272" i="8"/>
  <c r="F837" i="8"/>
  <c r="F1701" i="8"/>
  <c r="F2110" i="8"/>
  <c r="F2338" i="8"/>
  <c r="F2337" i="8"/>
  <c r="F2109" i="8"/>
  <c r="F386" i="8"/>
  <c r="F1149" i="8"/>
  <c r="F1405" i="8"/>
  <c r="F111" i="8"/>
  <c r="F1036" i="8"/>
  <c r="F2382" i="8"/>
  <c r="F733" i="8"/>
  <c r="F1861" i="8"/>
  <c r="F64" i="8"/>
  <c r="F893" i="8"/>
  <c r="F1512" i="8"/>
  <c r="F1803" i="8"/>
  <c r="F1511" i="8"/>
  <c r="F1304" i="8"/>
  <c r="F23" i="8"/>
  <c r="F2008" i="8"/>
  <c r="F2198" i="8"/>
  <c r="F1260" i="8"/>
  <c r="F2157" i="8"/>
  <c r="F2262" i="8"/>
  <c r="F1556" i="8"/>
  <c r="F441" i="8"/>
  <c r="F217" i="8"/>
  <c r="F531" i="8"/>
  <c r="F1860" i="8"/>
  <c r="F2156" i="8"/>
  <c r="F1859" i="8"/>
  <c r="F1303" i="8"/>
  <c r="F977" i="8"/>
  <c r="F1911" i="8"/>
  <c r="F836" i="8"/>
  <c r="F976" i="8"/>
  <c r="F440" i="8"/>
  <c r="F1148" i="8"/>
  <c r="F1404" i="8"/>
  <c r="F271" i="8"/>
  <c r="F337" i="8"/>
  <c r="F1802" i="8"/>
  <c r="F1201" i="8"/>
  <c r="F1700" i="8"/>
  <c r="F216" i="8"/>
  <c r="F1035" i="8"/>
  <c r="F2197" i="8"/>
  <c r="F215" i="8"/>
  <c r="F1403" i="8"/>
  <c r="F2007" i="8"/>
  <c r="F1086" i="8"/>
  <c r="F1555" i="8"/>
  <c r="F933" i="8"/>
  <c r="F1554" i="8"/>
  <c r="F110" i="8"/>
  <c r="F732" i="8"/>
  <c r="F1085" i="8"/>
  <c r="F2431" i="8"/>
  <c r="F2336" i="8"/>
  <c r="F149" i="8"/>
  <c r="F2381" i="8"/>
  <c r="F1699" i="8"/>
  <c r="F2380" i="8"/>
  <c r="F2335" i="8"/>
  <c r="F1760" i="8"/>
  <c r="F1360" i="8"/>
  <c r="F2155" i="8"/>
  <c r="F1359" i="8"/>
  <c r="F1858" i="8"/>
  <c r="F1759" i="8"/>
  <c r="F2334" i="8"/>
  <c r="F109" i="8"/>
  <c r="F1147" i="8"/>
  <c r="F488" i="8"/>
  <c r="F1801" i="8"/>
  <c r="F1200" i="8"/>
  <c r="F1146" i="8"/>
  <c r="F2430" i="8"/>
  <c r="F108" i="8"/>
  <c r="F1910" i="8"/>
  <c r="F1609" i="8"/>
  <c r="F1857" i="8"/>
  <c r="F1856" i="8"/>
  <c r="F731" i="8"/>
  <c r="F487" i="8"/>
  <c r="F2333" i="8"/>
  <c r="F385" i="8"/>
  <c r="F1800" i="8"/>
  <c r="F2261" i="8"/>
  <c r="F1034" i="8"/>
  <c r="F384" i="8"/>
  <c r="F2475" i="8"/>
  <c r="F892" i="8"/>
  <c r="F1358" i="8"/>
  <c r="F530" i="8"/>
  <c r="F681" i="8"/>
  <c r="F730" i="8"/>
  <c r="F1799" i="8"/>
  <c r="F2379" i="8"/>
  <c r="F1033" i="8"/>
  <c r="F1698" i="8"/>
  <c r="F336" i="8"/>
  <c r="F2332" i="8"/>
  <c r="F680" i="8"/>
  <c r="F335" i="8"/>
  <c r="F2154" i="8"/>
  <c r="F1651" i="8"/>
  <c r="F486" i="8"/>
  <c r="F975" i="8"/>
  <c r="F1608" i="8"/>
  <c r="F439" i="8"/>
  <c r="F1855" i="8"/>
  <c r="F932" i="8"/>
  <c r="F891" i="8"/>
  <c r="F1510" i="8"/>
  <c r="F2108" i="8"/>
  <c r="F1357" i="8"/>
  <c r="F931" i="8"/>
  <c r="F1453" i="8"/>
  <c r="F1259" i="8"/>
  <c r="F1607" i="8"/>
  <c r="F1650" i="8"/>
  <c r="F22" i="8"/>
  <c r="F2429" i="8"/>
  <c r="F787" i="8"/>
  <c r="F930" i="8"/>
  <c r="F1258" i="8"/>
  <c r="F2107" i="8"/>
  <c r="F1356" i="8"/>
  <c r="F729" i="8"/>
  <c r="F2196" i="8"/>
  <c r="F107" i="8"/>
  <c r="F438" i="8"/>
  <c r="F1355" i="8"/>
  <c r="F2428" i="8"/>
  <c r="F835" i="8"/>
  <c r="F728" i="8"/>
  <c r="F2427" i="8"/>
  <c r="F2106" i="8"/>
  <c r="F383" i="8"/>
  <c r="F214" i="8"/>
  <c r="F1452" i="8"/>
  <c r="F2378" i="8"/>
  <c r="F834" i="8"/>
  <c r="F833" i="8"/>
  <c r="F786" i="8"/>
  <c r="F213" i="8"/>
  <c r="F1257" i="8"/>
  <c r="F1553" i="8"/>
  <c r="F2474" i="8"/>
  <c r="F2426" i="8"/>
  <c r="F1697" i="8"/>
  <c r="F1696" i="8"/>
  <c r="F1509" i="8"/>
  <c r="F1758" i="8"/>
  <c r="F1354" i="8"/>
  <c r="F1451" i="8"/>
  <c r="F1508" i="8"/>
  <c r="F679" i="8"/>
  <c r="F1450" i="8"/>
  <c r="F1798" i="8"/>
  <c r="F1757" i="8"/>
  <c r="F2260" i="8"/>
  <c r="F1552" i="8"/>
  <c r="F270" i="8"/>
  <c r="F1145" i="8"/>
  <c r="F1551" i="8"/>
  <c r="F1084" i="8"/>
  <c r="F1797" i="8"/>
  <c r="F890" i="8"/>
  <c r="F269" i="8"/>
  <c r="F1695" i="8"/>
  <c r="F1083" i="8"/>
  <c r="F1032" i="8"/>
  <c r="F1909" i="8"/>
  <c r="F929" i="8"/>
  <c r="F212" i="8"/>
  <c r="F785" i="8"/>
  <c r="F1694" i="8"/>
  <c r="F211" i="8"/>
  <c r="F382" i="8"/>
  <c r="F2105" i="8"/>
  <c r="F1082" i="8"/>
  <c r="F485" i="8"/>
  <c r="F1144" i="8"/>
  <c r="F381" i="8"/>
  <c r="F2104" i="8"/>
  <c r="F484" i="8"/>
  <c r="F1449" i="8"/>
  <c r="F1081" i="8"/>
  <c r="F2303" i="8"/>
  <c r="F63" i="8"/>
  <c r="F678" i="8"/>
  <c r="F148" i="8"/>
  <c r="F380" i="8"/>
  <c r="F889" i="8"/>
  <c r="F2473" i="8"/>
  <c r="F62" i="8"/>
  <c r="F1143" i="8"/>
  <c r="F61" i="8"/>
  <c r="F2006" i="8"/>
  <c r="F677" i="8"/>
  <c r="F529" i="8"/>
  <c r="F483" i="8"/>
  <c r="F1199" i="8"/>
  <c r="F676" i="8"/>
  <c r="F482" i="8"/>
  <c r="F675" i="8"/>
  <c r="F1256" i="8"/>
  <c r="F2195" i="8"/>
  <c r="F1854" i="8"/>
  <c r="F974" i="8"/>
  <c r="F1962" i="8"/>
  <c r="F1198" i="8"/>
  <c r="F2331" i="8"/>
  <c r="F2067" i="8"/>
  <c r="F1142" i="8"/>
  <c r="F1961" i="8"/>
  <c r="F2425" i="8"/>
  <c r="F147" i="8"/>
  <c r="F2005" i="8"/>
  <c r="F2004" i="8"/>
  <c r="F1080" i="8"/>
  <c r="F437" i="8"/>
  <c r="F1693" i="8"/>
  <c r="F832" i="8"/>
  <c r="F2103" i="8"/>
  <c r="F1550" i="8"/>
  <c r="F2472" i="8"/>
  <c r="F1796" i="8"/>
  <c r="F1649" i="8"/>
  <c r="F268" i="8"/>
  <c r="F1255" i="8"/>
  <c r="F2259" i="8"/>
  <c r="F831" i="8"/>
  <c r="F210" i="8"/>
  <c r="F784" i="8"/>
  <c r="F1254" i="8"/>
  <c r="F1507" i="8"/>
  <c r="F436" i="8"/>
  <c r="F2066" i="8"/>
  <c r="F1606" i="8"/>
  <c r="F209" i="8"/>
  <c r="F584" i="8"/>
  <c r="F583" i="8"/>
  <c r="F208" i="8"/>
  <c r="F1756" i="8"/>
  <c r="F2258" i="8"/>
  <c r="F21" i="8"/>
  <c r="F1402" i="8"/>
  <c r="F334" i="8"/>
  <c r="F582" i="8"/>
  <c r="F1141" i="8"/>
  <c r="F20" i="8"/>
  <c r="F333" i="8"/>
  <c r="F1140" i="8"/>
  <c r="F973" i="8"/>
  <c r="F2257" i="8"/>
  <c r="F1079" i="8"/>
  <c r="F1908" i="8"/>
  <c r="F1078" i="8"/>
  <c r="F2256" i="8"/>
  <c r="F2065" i="8"/>
  <c r="F332" i="8"/>
  <c r="F2153" i="8"/>
  <c r="F1960" i="8"/>
  <c r="F625" i="8"/>
  <c r="F1959" i="8"/>
  <c r="F2471" i="8"/>
  <c r="F1031" i="8"/>
  <c r="F1853" i="8"/>
  <c r="F1077" i="8"/>
  <c r="F1030" i="8"/>
  <c r="F1401" i="8"/>
  <c r="F888" i="8"/>
  <c r="F481" i="8"/>
  <c r="F2255" i="8"/>
  <c r="F1648" i="8"/>
  <c r="F435" i="8"/>
  <c r="F1755" i="8"/>
  <c r="F1506" i="8"/>
  <c r="F1549" i="8"/>
  <c r="F1692" i="8"/>
  <c r="F624" i="8"/>
  <c r="F1852" i="8"/>
  <c r="F887" i="8"/>
  <c r="F2152" i="8"/>
  <c r="F928" i="8"/>
  <c r="F927" i="8"/>
  <c r="F886" i="8"/>
  <c r="F331" i="8"/>
  <c r="F1302" i="8"/>
  <c r="F926" i="8"/>
  <c r="F2470" i="8"/>
  <c r="F2330" i="8"/>
  <c r="F2194" i="8"/>
  <c r="F1139" i="8"/>
  <c r="F2469" i="8"/>
  <c r="F2377" i="8"/>
  <c r="F60" i="8"/>
  <c r="F1253" i="8"/>
  <c r="F207" i="8"/>
  <c r="F1029" i="8"/>
  <c r="F972" i="8"/>
  <c r="F2302" i="8"/>
  <c r="F925" i="8"/>
  <c r="F885" i="8"/>
  <c r="F1197" i="8"/>
  <c r="F1907" i="8"/>
  <c r="F674" i="8"/>
  <c r="F1138" i="8"/>
  <c r="F2376" i="8"/>
  <c r="F1548" i="8"/>
  <c r="F2064" i="8"/>
  <c r="F971" i="8"/>
  <c r="F1958" i="8"/>
  <c r="F330" i="8"/>
  <c r="F1137" i="8"/>
  <c r="F1647" i="8"/>
  <c r="F1353" i="8"/>
  <c r="F1906" i="8"/>
  <c r="F2468" i="8"/>
  <c r="F1851" i="8"/>
  <c r="F1448" i="8"/>
  <c r="F2375" i="8"/>
  <c r="F924" i="8"/>
  <c r="F1905" i="8"/>
  <c r="F2102" i="8"/>
  <c r="F1957" i="8"/>
  <c r="F1252" i="8"/>
  <c r="F329" i="8"/>
  <c r="F1136" i="8"/>
  <c r="F1956" i="8"/>
  <c r="F2193" i="8"/>
  <c r="F2003" i="8"/>
  <c r="F623" i="8"/>
  <c r="F528" i="8"/>
  <c r="F2424" i="8"/>
  <c r="F622" i="8"/>
  <c r="F480" i="8"/>
  <c r="F783" i="8"/>
  <c r="F782" i="8"/>
  <c r="F19" i="8"/>
  <c r="F830" i="8"/>
  <c r="F1955" i="8"/>
  <c r="F328" i="8"/>
  <c r="F1028" i="8"/>
  <c r="F1754" i="8"/>
  <c r="F1904" i="8"/>
  <c r="F581" i="8"/>
  <c r="F2002" i="8"/>
  <c r="F1027" i="8"/>
  <c r="F327" i="8"/>
  <c r="F580" i="8"/>
  <c r="F781" i="8"/>
  <c r="F18" i="8"/>
  <c r="F1076" i="8"/>
  <c r="F2467" i="8"/>
  <c r="F1026" i="8"/>
  <c r="F1251" i="8"/>
  <c r="F2423" i="8"/>
  <c r="F1954" i="8"/>
  <c r="F1850" i="8"/>
  <c r="F970" i="8"/>
  <c r="F1075" i="8"/>
  <c r="F2101" i="8"/>
  <c r="F527" i="8"/>
  <c r="F1753" i="8"/>
  <c r="F1025" i="8"/>
  <c r="F579" i="8"/>
  <c r="F267" i="8"/>
  <c r="F1447" i="8"/>
  <c r="F1953" i="8"/>
  <c r="F526" i="8"/>
  <c r="F1691" i="8"/>
  <c r="F106" i="8"/>
  <c r="F2100" i="8"/>
  <c r="F1301" i="8"/>
  <c r="F673" i="8"/>
  <c r="F266" i="8"/>
  <c r="F1505" i="8"/>
  <c r="F727" i="8"/>
  <c r="F1250" i="8"/>
  <c r="F379" i="8"/>
  <c r="F1135" i="8"/>
  <c r="F1849" i="8"/>
  <c r="F2466" i="8"/>
  <c r="F884" i="8"/>
  <c r="F17" i="8"/>
  <c r="F2151" i="8"/>
  <c r="F2329" i="8"/>
  <c r="F578" i="8"/>
  <c r="F1605" i="8"/>
  <c r="F2301" i="8"/>
  <c r="F829" i="8"/>
  <c r="F1646" i="8"/>
  <c r="F2374" i="8"/>
  <c r="F2328" i="8"/>
  <c r="F206" i="8"/>
  <c r="F2192" i="8"/>
  <c r="F1752" i="8"/>
  <c r="F265" i="8"/>
  <c r="F1952" i="8"/>
  <c r="F780" i="8"/>
  <c r="F621" i="8"/>
  <c r="F779" i="8"/>
  <c r="F1751" i="8"/>
  <c r="F105" i="8"/>
  <c r="F1249" i="8"/>
  <c r="F1504" i="8"/>
  <c r="F1951" i="8"/>
  <c r="F434" i="8"/>
  <c r="F378" i="8"/>
  <c r="F1134" i="8"/>
  <c r="F2099" i="8"/>
  <c r="F1690" i="8"/>
  <c r="F620" i="8"/>
  <c r="F2063" i="8"/>
  <c r="F525" i="8"/>
  <c r="F2300" i="8"/>
  <c r="F1503" i="8"/>
  <c r="F969" i="8"/>
  <c r="F59" i="8"/>
  <c r="F883" i="8"/>
  <c r="F778" i="8"/>
  <c r="F377" i="8"/>
  <c r="F2098" i="8"/>
  <c r="F619" i="8"/>
  <c r="F264" i="8"/>
  <c r="F2191" i="8"/>
  <c r="F882" i="8"/>
  <c r="F1502" i="8"/>
  <c r="F2001" i="8"/>
  <c r="F2190" i="8"/>
  <c r="F1645" i="8"/>
  <c r="F1400" i="8"/>
  <c r="F577" i="8"/>
  <c r="F1750" i="8"/>
  <c r="F376" i="8"/>
  <c r="F1604" i="8"/>
  <c r="F968" i="8"/>
  <c r="F205" i="8"/>
  <c r="F2062" i="8"/>
  <c r="F433" i="8"/>
  <c r="F1603" i="8"/>
  <c r="F1024" i="8"/>
  <c r="F2465" i="8"/>
  <c r="F2299" i="8"/>
  <c r="F524" i="8"/>
  <c r="F726" i="8"/>
  <c r="F2373" i="8"/>
  <c r="F2000" i="8"/>
  <c r="F1023" i="8"/>
  <c r="F2189" i="8"/>
  <c r="F263" i="8"/>
  <c r="F1352" i="8"/>
  <c r="F576" i="8"/>
  <c r="F479" i="8"/>
  <c r="F1248" i="8"/>
  <c r="F2422" i="8"/>
  <c r="F16" i="8"/>
  <c r="F2150" i="8"/>
  <c r="F1689" i="8"/>
  <c r="F2061" i="8"/>
  <c r="F1446" i="8"/>
  <c r="F15" i="8"/>
  <c r="F1399" i="8"/>
  <c r="F2254" i="8"/>
  <c r="F1547" i="8"/>
  <c r="F1950" i="8"/>
  <c r="F104" i="8"/>
  <c r="F1300" i="8"/>
  <c r="F1247" i="8"/>
  <c r="F1949" i="8"/>
  <c r="F1501" i="8"/>
  <c r="F432" i="8"/>
  <c r="F431" i="8"/>
  <c r="F2464" i="8"/>
  <c r="F725" i="8"/>
  <c r="F262" i="8"/>
  <c r="F2097" i="8"/>
  <c r="F1848" i="8"/>
  <c r="F1351" i="8"/>
  <c r="F1299" i="8"/>
  <c r="F1903" i="8"/>
  <c r="F204" i="8"/>
  <c r="F2096" i="8"/>
  <c r="F1196" i="8"/>
  <c r="F1074" i="8"/>
  <c r="F2298" i="8"/>
  <c r="F2463" i="8"/>
  <c r="F1246" i="8"/>
  <c r="F1500" i="8"/>
  <c r="F1948" i="8"/>
  <c r="F923" i="8"/>
  <c r="F375" i="8"/>
  <c r="F1795" i="8"/>
  <c r="F2149" i="8"/>
  <c r="F1298" i="8"/>
  <c r="F1445" i="8"/>
  <c r="F478" i="8"/>
  <c r="F1644" i="8"/>
  <c r="F618" i="8"/>
  <c r="F374" i="8"/>
  <c r="F967" i="8"/>
  <c r="F1073" i="8"/>
  <c r="F777" i="8"/>
  <c r="F966" i="8"/>
  <c r="F1072" i="8"/>
  <c r="F523" i="8"/>
  <c r="F1688" i="8"/>
  <c r="F1602" i="8"/>
  <c r="F326" i="8"/>
  <c r="F1350" i="8"/>
  <c r="F881" i="8"/>
  <c r="F828" i="8"/>
  <c r="F1999" i="8"/>
  <c r="F1998" i="8"/>
  <c r="F2372" i="8"/>
  <c r="F1071" i="8"/>
  <c r="F1349" i="8"/>
  <c r="F103" i="8"/>
  <c r="F1749" i="8"/>
  <c r="F2060" i="8"/>
  <c r="F1643" i="8"/>
  <c r="F146" i="8"/>
  <c r="F1022" i="8"/>
  <c r="F1902" i="8"/>
  <c r="F617" i="8"/>
  <c r="F575" i="8"/>
  <c r="F922" i="8"/>
  <c r="F1947" i="8"/>
  <c r="F203" i="8"/>
  <c r="F202" i="8"/>
  <c r="F430" i="8"/>
  <c r="F373" i="8"/>
  <c r="F574" i="8"/>
  <c r="F261" i="8"/>
  <c r="F724" i="8"/>
  <c r="F2462" i="8"/>
  <c r="F2059" i="8"/>
  <c r="F1245" i="8"/>
  <c r="F1348" i="8"/>
  <c r="F325" i="8"/>
  <c r="F2461" i="8"/>
  <c r="F1297" i="8"/>
  <c r="F1296" i="8"/>
  <c r="F1748" i="8"/>
  <c r="F1997" i="8"/>
  <c r="F477" i="8"/>
  <c r="F2188" i="8"/>
  <c r="F2421" i="8"/>
  <c r="F1601" i="8"/>
  <c r="F372" i="8"/>
  <c r="F2187" i="8"/>
  <c r="F2253" i="8"/>
  <c r="F2420" i="8"/>
  <c r="F965" i="8"/>
  <c r="F1021" i="8"/>
  <c r="F145" i="8"/>
  <c r="F2297" i="8"/>
  <c r="F1244" i="8"/>
  <c r="F1499" i="8"/>
  <c r="F14" i="8"/>
  <c r="F371" i="8"/>
  <c r="F324" i="8"/>
  <c r="F616" i="8"/>
  <c r="F1347" i="8"/>
  <c r="F1133" i="8"/>
  <c r="F144" i="8"/>
  <c r="F1498" i="8"/>
  <c r="F776" i="8"/>
  <c r="F323" i="8"/>
  <c r="F201" i="8"/>
  <c r="F429" i="8"/>
  <c r="F2058" i="8"/>
  <c r="F2148" i="8"/>
  <c r="F2296" i="8"/>
  <c r="F260" i="8"/>
  <c r="F2295" i="8"/>
  <c r="F1444" i="8"/>
  <c r="F615" i="8"/>
  <c r="F428" i="8"/>
  <c r="F522" i="8"/>
  <c r="F370" i="8"/>
  <c r="F672" i="8"/>
  <c r="F775" i="8"/>
  <c r="F1346" i="8"/>
  <c r="F1546" i="8"/>
  <c r="F2095" i="8"/>
  <c r="F1687" i="8"/>
  <c r="F1345" i="8"/>
  <c r="F1195" i="8"/>
  <c r="F614" i="8"/>
  <c r="F102" i="8"/>
  <c r="F259" i="8"/>
  <c r="F2327" i="8"/>
  <c r="F827" i="8"/>
  <c r="F723" i="8"/>
  <c r="F427" i="8"/>
  <c r="F322" i="8"/>
  <c r="F2294" i="8"/>
  <c r="F1132" i="8"/>
  <c r="F1901" i="8"/>
  <c r="F2186" i="8"/>
  <c r="F1443" i="8"/>
  <c r="F13" i="8"/>
  <c r="F200" i="8"/>
  <c r="F1996" i="8"/>
  <c r="F1995" i="8"/>
  <c r="F880" i="8"/>
  <c r="F199" i="8"/>
  <c r="F2293" i="8"/>
  <c r="F12" i="8"/>
  <c r="F2057" i="8"/>
  <c r="F321" i="8"/>
  <c r="F613" i="8"/>
  <c r="F612" i="8"/>
  <c r="F101" i="8"/>
  <c r="F1020" i="8"/>
  <c r="F320" i="8"/>
  <c r="F1642" i="8"/>
  <c r="F774" i="8"/>
  <c r="F521" i="8"/>
  <c r="F1019" i="8"/>
  <c r="F671" i="8"/>
  <c r="F1295" i="8"/>
  <c r="F1900" i="8"/>
  <c r="F826" i="8"/>
  <c r="F100" i="8"/>
  <c r="F2056" i="8"/>
  <c r="F1545" i="8"/>
  <c r="F1243" i="8"/>
  <c r="F2460" i="8"/>
  <c r="F1294" i="8"/>
  <c r="F573" i="8"/>
  <c r="F99" i="8"/>
  <c r="F2371" i="8"/>
  <c r="F1686" i="8"/>
  <c r="F2185" i="8"/>
  <c r="F1899" i="8"/>
  <c r="F773" i="8"/>
  <c r="F1544" i="8"/>
  <c r="F2184" i="8"/>
  <c r="F1398" i="8"/>
  <c r="F2252" i="8"/>
  <c r="F98" i="8"/>
  <c r="F1600" i="8"/>
  <c r="F879" i="8"/>
  <c r="F2251" i="8"/>
  <c r="F1497" i="8"/>
  <c r="F2292" i="8"/>
  <c r="F772" i="8"/>
  <c r="F921" i="8"/>
  <c r="F1242" i="8"/>
  <c r="F722" i="8"/>
  <c r="F520" i="8"/>
  <c r="F198" i="8"/>
  <c r="F1241" i="8"/>
  <c r="F920" i="8"/>
  <c r="F1599" i="8"/>
  <c r="F611" i="8"/>
  <c r="F721" i="8"/>
  <c r="F97" i="8"/>
  <c r="F476" i="8"/>
  <c r="F197" i="8"/>
  <c r="F1946" i="8"/>
  <c r="F1496" i="8"/>
  <c r="F670" i="8"/>
  <c r="F878" i="8"/>
  <c r="F2094" i="8"/>
  <c r="F1194" i="8"/>
  <c r="F1397" i="8"/>
  <c r="F1685" i="8"/>
  <c r="F720" i="8"/>
  <c r="F96" i="8"/>
  <c r="F1018" i="8"/>
  <c r="F1193" i="8"/>
  <c r="F2459" i="8"/>
  <c r="F2458" i="8"/>
  <c r="F2370" i="8"/>
  <c r="F258" i="8"/>
  <c r="F2291" i="8"/>
  <c r="F771" i="8"/>
  <c r="F2183" i="8"/>
  <c r="F1641" i="8"/>
  <c r="F964" i="8"/>
  <c r="F1847" i="8"/>
  <c r="F475" i="8"/>
  <c r="F2369" i="8"/>
  <c r="F1070" i="8"/>
  <c r="F196" i="8"/>
  <c r="F1131" i="8"/>
  <c r="F1747" i="8"/>
  <c r="F319" i="8"/>
  <c r="F1543" i="8"/>
  <c r="F426" i="8"/>
  <c r="F1130" i="8"/>
  <c r="F195" i="8"/>
  <c r="F1017" i="8"/>
  <c r="F825" i="8"/>
  <c r="F824" i="8"/>
  <c r="F1994" i="8"/>
  <c r="F1898" i="8"/>
  <c r="F318" i="8"/>
  <c r="F2290" i="8"/>
  <c r="F1396" i="8"/>
  <c r="F1442" i="8"/>
  <c r="F823" i="8"/>
  <c r="F194" i="8"/>
  <c r="F2055" i="8"/>
  <c r="F1746" i="8"/>
  <c r="F11" i="8"/>
  <c r="F2289" i="8"/>
  <c r="F1293" i="8"/>
  <c r="F95" i="8"/>
  <c r="F1395" i="8"/>
  <c r="F1897" i="8"/>
  <c r="F2250" i="8"/>
  <c r="F1794" i="8"/>
  <c r="F1745" i="8"/>
  <c r="F1846" i="8"/>
  <c r="F1845" i="8"/>
  <c r="F2419" i="8"/>
  <c r="F1684" i="8"/>
  <c r="F519" i="8"/>
  <c r="F257" i="8"/>
  <c r="F1344" i="8"/>
  <c r="F919" i="8"/>
  <c r="F822" i="8"/>
  <c r="F143" i="8"/>
  <c r="F1192" i="8"/>
  <c r="F1744" i="8"/>
  <c r="F1191" i="8"/>
  <c r="F963" i="8"/>
  <c r="F2418" i="8"/>
  <c r="F2249" i="8"/>
  <c r="F1945" i="8"/>
  <c r="F572" i="8"/>
  <c r="F94" i="8"/>
  <c r="F93" i="8"/>
  <c r="F1683" i="8"/>
  <c r="F193" i="8"/>
  <c r="F1896" i="8"/>
  <c r="F1844" i="8"/>
  <c r="F2326" i="8"/>
  <c r="F2248" i="8"/>
  <c r="F1292" i="8"/>
  <c r="F2093" i="8"/>
  <c r="F918" i="8"/>
  <c r="F1343" i="8"/>
  <c r="F877" i="8"/>
  <c r="F518" i="8"/>
  <c r="F1394" i="8"/>
  <c r="F2054" i="8"/>
  <c r="F2053" i="8"/>
  <c r="F1993" i="8"/>
  <c r="F1342" i="8"/>
  <c r="F1441" i="8"/>
  <c r="F821" i="8"/>
  <c r="F1495" i="8"/>
  <c r="F256" i="8"/>
  <c r="F1992" i="8"/>
  <c r="F876" i="8"/>
  <c r="F2147" i="8"/>
  <c r="F1843" i="8"/>
  <c r="F669" i="8"/>
  <c r="F255" i="8"/>
  <c r="F1842" i="8"/>
  <c r="F668" i="8"/>
  <c r="F1291" i="8"/>
  <c r="F517" i="8"/>
  <c r="F317" i="8"/>
  <c r="F2457" i="8"/>
  <c r="F1341" i="8"/>
  <c r="F875" i="8"/>
  <c r="F1240" i="8"/>
  <c r="F516" i="8"/>
  <c r="F1682" i="8"/>
  <c r="F2052" i="8"/>
  <c r="F1239" i="8"/>
  <c r="F1016" i="8"/>
  <c r="F1841" i="8"/>
  <c r="F1681" i="8"/>
  <c r="F1542" i="8"/>
  <c r="F719" i="8"/>
  <c r="F770" i="8"/>
  <c r="F2247" i="8"/>
  <c r="F10" i="8"/>
  <c r="F474" i="8"/>
  <c r="F820" i="8"/>
  <c r="F425" i="8"/>
  <c r="F9" i="8"/>
  <c r="F962" i="8"/>
  <c r="F1895" i="8"/>
  <c r="F1894" i="8"/>
  <c r="F473" i="8"/>
  <c r="F1440" i="8"/>
  <c r="F2417" i="8"/>
  <c r="F2146" i="8"/>
  <c r="F1439" i="8"/>
  <c r="F8" i="8"/>
  <c r="F2456" i="8"/>
  <c r="F472" i="8"/>
  <c r="F1438" i="8"/>
  <c r="F874" i="8"/>
  <c r="F571" i="8"/>
  <c r="F667" i="8"/>
  <c r="F1793" i="8"/>
  <c r="F7" i="8"/>
  <c r="F1129" i="8"/>
  <c r="F92" i="8"/>
  <c r="F1290" i="8"/>
  <c r="F1494" i="8"/>
  <c r="F1015" i="8"/>
  <c r="F666" i="8"/>
  <c r="F718" i="8"/>
  <c r="F1128" i="8"/>
  <c r="F1598" i="8"/>
  <c r="F515" i="8"/>
  <c r="F1190" i="8"/>
  <c r="F2416" i="8"/>
  <c r="F6" i="8"/>
  <c r="F91" i="8"/>
  <c r="F2368" i="8"/>
  <c r="F717" i="8"/>
  <c r="F1437" i="8"/>
  <c r="F665" i="8"/>
  <c r="F664" i="8"/>
  <c r="F2051" i="8"/>
  <c r="F873" i="8"/>
  <c r="F1541" i="8"/>
  <c r="F1743" i="8"/>
  <c r="F5" i="8"/>
  <c r="F1393" i="8"/>
  <c r="F1014" i="8"/>
  <c r="F369" i="8"/>
  <c r="F90" i="8"/>
  <c r="F1127" i="8"/>
  <c r="F368" i="8"/>
  <c r="F1289" i="8"/>
  <c r="F2455" i="8"/>
  <c r="F1640" i="8"/>
  <c r="F192" i="8"/>
  <c r="F191" i="8"/>
  <c r="F961" i="8"/>
  <c r="F1944" i="8"/>
  <c r="F1943" i="8"/>
  <c r="F2415" i="8"/>
  <c r="F2367" i="8"/>
  <c r="F1126" i="8"/>
  <c r="F1493" i="8"/>
  <c r="F1742" i="8"/>
  <c r="F2050" i="8"/>
  <c r="F514" i="8"/>
  <c r="F1013" i="8"/>
  <c r="F1942" i="8"/>
  <c r="F58" i="8"/>
  <c r="F1189" i="8"/>
  <c r="F89" i="8"/>
  <c r="F2246" i="8"/>
  <c r="F819" i="8"/>
  <c r="F1340" i="8"/>
  <c r="F2288" i="8"/>
  <c r="F1012" i="8"/>
  <c r="F1540" i="8"/>
  <c r="F1639" i="8"/>
  <c r="F872" i="8"/>
  <c r="F367" i="8"/>
  <c r="F1188" i="8"/>
  <c r="F2287" i="8"/>
  <c r="F513" i="8"/>
  <c r="F663" i="8"/>
  <c r="F1238" i="8"/>
  <c r="F2454" i="8"/>
  <c r="F471" i="8"/>
  <c r="F1680" i="8"/>
  <c r="F917" i="8"/>
  <c r="F512" i="8"/>
  <c r="F1392" i="8"/>
  <c r="F1492" i="8"/>
  <c r="F2286" i="8"/>
  <c r="F1187" i="8"/>
  <c r="F2414" i="8"/>
  <c r="F316" i="8"/>
  <c r="F511" i="8"/>
  <c r="F2245" i="8"/>
  <c r="F610" i="8"/>
  <c r="F570" i="8"/>
  <c r="F315" i="8"/>
  <c r="F1069" i="8"/>
  <c r="F366" i="8"/>
  <c r="F609" i="8"/>
  <c r="F2145" i="8"/>
  <c r="F1679" i="8"/>
  <c r="F1840" i="8"/>
  <c r="F1741" i="8"/>
  <c r="F57" i="8"/>
  <c r="F1740" i="8"/>
  <c r="F424" i="8"/>
  <c r="F1288" i="8"/>
  <c r="F254" i="8"/>
  <c r="F716" i="8"/>
  <c r="F1893" i="8"/>
  <c r="F314" i="8"/>
  <c r="F1125" i="8"/>
  <c r="F3" i="8"/>
  <c r="F1491" i="8"/>
  <c r="F2453" i="8"/>
  <c r="F2244" i="8"/>
  <c r="F2182" i="8"/>
  <c r="F1068" i="8"/>
  <c r="F2243" i="8"/>
  <c r="F253" i="8"/>
  <c r="F510" i="8"/>
  <c r="F2325" i="8"/>
  <c r="F2049" i="8"/>
  <c r="F88" i="8"/>
  <c r="F1597" i="8"/>
  <c r="F1067" i="8"/>
  <c r="F1186" i="8"/>
  <c r="F1991" i="8"/>
  <c r="F1839" i="8"/>
  <c r="F2366" i="8"/>
  <c r="F2048" i="8"/>
  <c r="F1124" i="8"/>
  <c r="F1838" i="8"/>
  <c r="F818" i="8"/>
  <c r="F916" i="8"/>
  <c r="F2047" i="8"/>
  <c r="F2144" i="8"/>
  <c r="F817" i="8"/>
  <c r="F1490" i="8"/>
  <c r="F769" i="8"/>
  <c r="F2242" i="8"/>
  <c r="F1837" i="8"/>
  <c r="F2143" i="8"/>
  <c r="F871" i="8"/>
  <c r="F56" i="8"/>
  <c r="F365" i="8"/>
  <c r="F2046" i="8"/>
  <c r="F2142" i="8"/>
  <c r="F364" i="8"/>
  <c r="F960" i="8"/>
  <c r="F2" i="8"/>
  <c r="F2324" i="8"/>
  <c r="F2241" i="8"/>
  <c r="F190" i="8"/>
  <c r="F189" i="8"/>
  <c r="F1638" i="8"/>
  <c r="F915" i="8"/>
  <c r="F1436" i="8"/>
  <c r="F959" i="8"/>
  <c r="F1123" i="8"/>
  <c r="F1596" i="8"/>
  <c r="F1892" i="8"/>
  <c r="F914" i="8"/>
  <c r="F2413" i="8"/>
  <c r="F1941" i="8"/>
  <c r="F569" i="8"/>
  <c r="F470" i="8"/>
  <c r="F1678" i="8"/>
  <c r="F1122" i="8"/>
  <c r="F1066" i="8"/>
  <c r="F1677" i="8"/>
  <c r="F1676" i="8"/>
  <c r="F608" i="8"/>
  <c r="F1595" i="8"/>
  <c r="F2412" i="8"/>
  <c r="F1339" i="8"/>
  <c r="E5" i="5"/>
  <c r="F5" i="5" s="1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E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E8A0F9-244D-4FC8-9419-B00B7F0656E6}" keepAlive="1" name="Zapytanie — cennik" description="Połączenie z zapytaniem „cennik” w skoroszycie." type="5" refreshedVersion="8" background="1" saveData="1">
    <dbPr connection="Provider=Microsoft.Mashup.OleDb.1;Data Source=$Workbook$;Location=cennik;Extended Properties=&quot;&quot;" command="SELECT * FROM [cennik]"/>
  </connection>
  <connection id="2" xr16:uid="{6480A3D3-842B-46F1-9C93-376B9D14ABEC}" keepAlive="1" name="Zapytanie — jablka" description="Połączenie z zapytaniem „jablka” w skoroszycie." type="5" refreshedVersion="8" background="1" saveData="1">
    <dbPr connection="Provider=Microsoft.Mashup.OleDb.1;Data Source=$Workbook$;Location=jablka;Extended Properties=&quot;&quot;" command="SELECT * FROM [jablka]"/>
  </connection>
  <connection id="3" xr16:uid="{BB79D170-18A9-49BB-ABD0-32A334ED5AA2}" keepAlive="1" name="Zapytanie — jablka (2)" description="Połączenie z zapytaniem „jablka (2)” w skoroszycie." type="5" refreshedVersion="8" background="1" saveData="1">
    <dbPr connection="Provider=Microsoft.Mashup.OleDb.1;Data Source=$Workbook$;Location=&quot;jablka (2)&quot;;Extended Properties=&quot;&quot;" command="SELECT * FROM [jablka (2)]"/>
  </connection>
</connections>
</file>

<file path=xl/sharedStrings.xml><?xml version="1.0" encoding="utf-8"?>
<sst xmlns="http://schemas.openxmlformats.org/spreadsheetml/2006/main" count="15240" uniqueCount="103">
  <si>
    <t>Alwa</t>
  </si>
  <si>
    <t>Antonowka</t>
  </si>
  <si>
    <t>Cortland</t>
  </si>
  <si>
    <t>Delikates</t>
  </si>
  <si>
    <t>Gala</t>
  </si>
  <si>
    <t>Gloster</t>
  </si>
  <si>
    <t>Idared</t>
  </si>
  <si>
    <t>Jonagold</t>
  </si>
  <si>
    <t>Jonagored</t>
  </si>
  <si>
    <t>Kosztela</t>
  </si>
  <si>
    <t>Ligol</t>
  </si>
  <si>
    <t>Lobo</t>
  </si>
  <si>
    <t>Melba</t>
  </si>
  <si>
    <t>Papierowka</t>
  </si>
  <si>
    <t>Reneta</t>
  </si>
  <si>
    <t>Szampion</t>
  </si>
  <si>
    <t>Z</t>
  </si>
  <si>
    <t>128-29-15-591</t>
  </si>
  <si>
    <t>192-09-72-275</t>
  </si>
  <si>
    <t>140-36-11-559</t>
  </si>
  <si>
    <t>053-79-35-388</t>
  </si>
  <si>
    <t>159-34-45-151</t>
  </si>
  <si>
    <t>093-96-93-428</t>
  </si>
  <si>
    <t>102-48-01-310</t>
  </si>
  <si>
    <t>047-26-54-835</t>
  </si>
  <si>
    <t>050-38-86-889</t>
  </si>
  <si>
    <t>170-89-76-803</t>
  </si>
  <si>
    <t>080-77-49-649</t>
  </si>
  <si>
    <t>170-26-38-135</t>
  </si>
  <si>
    <t>089-90-67-935</t>
  </si>
  <si>
    <t>128-91-02-348</t>
  </si>
  <si>
    <t>153-24-82-022</t>
  </si>
  <si>
    <t>033-49-11-774</t>
  </si>
  <si>
    <t>179-22-38-195</t>
  </si>
  <si>
    <t>180-17-78-339</t>
  </si>
  <si>
    <t>014-02-05-290</t>
  </si>
  <si>
    <t>043-34-53-278</t>
  </si>
  <si>
    <t>178-24-36-171</t>
  </si>
  <si>
    <t>176-54-34-364</t>
  </si>
  <si>
    <t>015-89-55-248</t>
  </si>
  <si>
    <t>080-51-85-809</t>
  </si>
  <si>
    <t>164-61-25-530</t>
  </si>
  <si>
    <t>062-58-80-597</t>
  </si>
  <si>
    <t>131-80-62-556</t>
  </si>
  <si>
    <t>072-92-42-932</t>
  </si>
  <si>
    <t>182-72-86-381</t>
  </si>
  <si>
    <t>172-30-09-104</t>
  </si>
  <si>
    <t>105-89-55-029</t>
  </si>
  <si>
    <t>019-98-81-222</t>
  </si>
  <si>
    <t>047-70-78-199</t>
  </si>
  <si>
    <t>035-32-41-072</t>
  </si>
  <si>
    <t>178-41-36-927</t>
  </si>
  <si>
    <t>193-47-03-638</t>
  </si>
  <si>
    <t>039-15-21-087</t>
  </si>
  <si>
    <t>058-15-94-554</t>
  </si>
  <si>
    <t>126-55-91-375</t>
  </si>
  <si>
    <t>045-63-27-114</t>
  </si>
  <si>
    <t>162-82-16-285</t>
  </si>
  <si>
    <t>179-23-02-772</t>
  </si>
  <si>
    <t>128-69-77-900</t>
  </si>
  <si>
    <t>115-65-39-258</t>
  </si>
  <si>
    <t>054-09-46-315</t>
  </si>
  <si>
    <t>138-66-38-929</t>
  </si>
  <si>
    <t>091-99-74-175</t>
  </si>
  <si>
    <t>163-92-64-010</t>
  </si>
  <si>
    <t>177-95-05-373</t>
  </si>
  <si>
    <t>029-43-78-009</t>
  </si>
  <si>
    <t>J</t>
  </si>
  <si>
    <t>L</t>
  </si>
  <si>
    <t>Data sprzedazy</t>
  </si>
  <si>
    <t>Nazwa</t>
  </si>
  <si>
    <t>kod</t>
  </si>
  <si>
    <t>NIP</t>
  </si>
  <si>
    <t>sprzedaż</t>
  </si>
  <si>
    <t>nazwa</t>
  </si>
  <si>
    <t>cena za kg</t>
  </si>
  <si>
    <t>Etykiety wierszy</t>
  </si>
  <si>
    <t>Suma końcowa</t>
  </si>
  <si>
    <t>Suma z sprzedaż</t>
  </si>
  <si>
    <t>Kolumna1</t>
  </si>
  <si>
    <t>Kolumna2</t>
  </si>
  <si>
    <t>przychód</t>
  </si>
  <si>
    <t>max</t>
  </si>
  <si>
    <t>suma</t>
  </si>
  <si>
    <t>Suma z przychód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</si>
  <si>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</si>
  <si>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</si>
  <si>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</si>
  <si>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</si>
  <si>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</si>
  <si>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</si>
  <si>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</si>
  <si>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</si>
  <si>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</si>
  <si>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</si>
  <si>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</si>
  <si>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</si>
  <si>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Etykiety kolumn</t>
  </si>
  <si>
    <t>dot sprz</t>
  </si>
  <si>
    <t>rabat</t>
  </si>
  <si>
    <t>koszt rabat</t>
  </si>
  <si>
    <t>łączną wartość  rabatów</t>
  </si>
  <si>
    <t>ilu transakcjach hurtownia udzieliła rabatu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</si>
</sst>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applyNumberFormat="1" applyFill="1"/>
    <xf numFmtId="0" fontId="0" fillId="3" borderId="0" xfId="0" quotePrefix="1" applyNumberFormat="1" applyFill="1"/>
    <xf numFmtId="0" fontId="0" fillId="3" borderId="0" xfId="0" quotePrefix="1" applyFill="1"/>
  </cellXfs>
  <cellStyles count="1">
    <cellStyle name="Normalny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Najpopularniejsze gatunki w miesiącach 2022 roku 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'7_3'!$Z$5:$Z$16</c:f>
              <c:strCache>
                <c:ptCount val="12"/>
                <c:pt idx="0">
                  <c:v>sty - Gala</c:v>
                </c:pt>
                <c:pt idx="1">
                  <c:v>lut - Gala</c:v>
                </c:pt>
                <c:pt idx="2">
                  <c:v>mar - Jonagored</c:v>
                </c:pt>
                <c:pt idx="3">
                  <c:v>kwi - Gala</c:v>
                </c:pt>
                <c:pt idx="4">
                  <c:v>maj - Gala</c:v>
                </c:pt>
                <c:pt idx="5">
                  <c:v>cze - Reneta</c:v>
                </c:pt>
                <c:pt idx="6">
                  <c:v>lip - Melba</c:v>
                </c:pt>
                <c:pt idx="7">
                  <c:v>sie - Reneta</c:v>
                </c:pt>
                <c:pt idx="8">
                  <c:v>wrz - Reneta</c:v>
                </c:pt>
                <c:pt idx="9">
                  <c:v>paź - Reneta</c:v>
                </c:pt>
                <c:pt idx="10">
                  <c:v>lis - Reneta</c:v>
                </c:pt>
                <c:pt idx="11">
                  <c:v>gru - Jonagored</c:v>
                </c:pt>
              </c:strCache>
            </c:strRef>
          </c:cat>
          <c:val>
            <c:numRef>
              <c:f>'7_3'!$AA$5:$AA$16</c:f>
              <c:numCache>
                <c:formatCode>General</c:formatCode>
                <c:ptCount val="12"/>
                <c:pt idx="0">
                  <c:v>69394</c:v>
                </c:pt>
                <c:pt idx="1">
                  <c:v>67600</c:v>
                </c:pt>
                <c:pt idx="2">
                  <c:v>71244</c:v>
                </c:pt>
                <c:pt idx="3">
                  <c:v>81968</c:v>
                </c:pt>
                <c:pt idx="4">
                  <c:v>68170</c:v>
                </c:pt>
                <c:pt idx="5">
                  <c:v>52113</c:v>
                </c:pt>
                <c:pt idx="6">
                  <c:v>54077</c:v>
                </c:pt>
                <c:pt idx="7">
                  <c:v>54473</c:v>
                </c:pt>
                <c:pt idx="8">
                  <c:v>54606</c:v>
                </c:pt>
                <c:pt idx="9">
                  <c:v>54079</c:v>
                </c:pt>
                <c:pt idx="10">
                  <c:v>54506</c:v>
                </c:pt>
                <c:pt idx="11">
                  <c:v>76949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4-4DAC-A038-59525C8CE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42575"/>
        <c:axId val="126143055"/>
      </c:barChart>
      <c:catAx>
        <c:axId val="126142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miesiac i odmiana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6143055"/>
        <c:crosses val="autoZero"/>
        <c:auto val="1"/>
        <c:lblAlgn val="ctr"/>
        <c:lblOffset val="100"/>
        <c:noMultiLvlLbl val="0"/>
      </c:catAx>
      <c:valAx>
        <c:axId val="12614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baseline="0"/>
                  <a:t>liczba kg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6142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114300</xdr:colOff>
      <xdr:row>20</xdr:row>
      <xdr:rowOff>100012</xdr:rowOff>
    </xdr:from>
    <xdr:to>
      <xdr:col>23</xdr:col>
      <xdr:colOff>28575</xdr:colOff>
      <xdr:row>34</xdr:row>
      <xdr:rowOff>176212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5BD64F1E-45F2-9B9F-1F07-27DE048BF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.bartos" refreshedDate="46092.353645949072" createdVersion="8" refreshedVersion="8" minRefreshableVersion="3" recordCount="2500" xr:uid="{D2EB037B-E7A7-40D8-B480-345F0C85F402}">
  <cacheSource type="worksheet">
    <worksheetSource name="jablka"/>
  </cacheSource>
  <cacheFields count="8">
    <cacheField name="Data sprzedazy" numFmtId="14">
      <sharedItems containsSemiMixedTypes="0" containsNonDate="0" containsDate="1" containsString="0" minDate="2022-01-03T00:00:00" maxDate="2023-01-01T00:00:00" count="312">
        <d v="2022-01-03T00:00:00"/>
        <d v="2022-01-04T00:00:00"/>
        <d v="2022-01-05T00:00:00"/>
        <d v="2022-01-06T00:00:00"/>
        <d v="2022-01-07T00:00:00"/>
        <d v="2022-01-08T00:00:00"/>
        <d v="2022-01-10T00:00:00"/>
        <d v="2022-01-11T00:00:00"/>
        <d v="2022-01-12T00:00:00"/>
        <d v="2022-01-13T00:00:00"/>
        <d v="2022-01-14T00:00:00"/>
        <d v="2022-01-15T00:00:00"/>
        <d v="2022-01-17T00:00:00"/>
        <d v="2022-01-18T00:00:00"/>
        <d v="2022-01-19T00:00:00"/>
        <d v="2022-01-20T00:00:00"/>
        <d v="2022-01-21T00:00:00"/>
        <d v="2022-01-22T00:00:00"/>
        <d v="2022-01-24T00:00:00"/>
        <d v="2022-01-25T00:00:00"/>
        <d v="2022-01-26T00:00:00"/>
        <d v="2022-01-27T00:00:00"/>
        <d v="2022-01-28T00:00:00"/>
        <d v="2022-01-29T00:00:00"/>
        <d v="2022-01-31T00:00:00"/>
        <d v="2022-02-01T00:00:00"/>
        <d v="2022-02-02T00:00:00"/>
        <d v="2022-02-03T00:00:00"/>
        <d v="2022-02-04T00:00:00"/>
        <d v="2022-02-05T00:00:00"/>
        <d v="2022-02-07T00:00:00"/>
        <d v="2022-02-08T00:00:00"/>
        <d v="2022-02-09T00:00:00"/>
        <d v="2022-02-10T00:00:00"/>
        <d v="2022-02-11T00:00:00"/>
        <d v="2022-02-12T00:00:00"/>
        <d v="2022-02-14T00:00:00"/>
        <d v="2022-02-15T00:00:00"/>
        <d v="2022-02-16T00:00:00"/>
        <d v="2022-02-17T00:00:00"/>
        <d v="2022-02-18T00:00:00"/>
        <d v="2022-02-19T00:00:00"/>
        <d v="2022-02-21T00:00:00"/>
        <d v="2022-02-22T00:00:00"/>
        <d v="2022-02-23T00:00:00"/>
        <d v="2022-02-24T00:00:00"/>
        <d v="2022-02-25T00:00:00"/>
        <d v="2022-02-26T00:00:00"/>
        <d v="2022-02-28T00:00:00"/>
        <d v="2022-03-01T00:00:00"/>
        <d v="2022-03-02T00:00:00"/>
        <d v="2022-03-03T00:00:00"/>
        <d v="2022-03-04T00:00:00"/>
        <d v="2022-03-05T00:00:00"/>
        <d v="2022-03-07T00:00:00"/>
        <d v="2022-03-08T00:00:00"/>
        <d v="2022-03-09T00:00:00"/>
        <d v="2022-03-10T00:00:00"/>
        <d v="2022-03-11T00:00:00"/>
        <d v="2022-03-12T00:00:00"/>
        <d v="2022-03-14T00:00:00"/>
        <d v="2022-03-15T00:00:00"/>
        <d v="2022-03-16T00:00:00"/>
        <d v="2022-03-17T00:00:00"/>
        <d v="2022-03-18T00:00:00"/>
        <d v="2022-03-19T00:00:00"/>
        <d v="2022-03-21T00:00:00"/>
        <d v="2022-03-22T00:00:00"/>
        <d v="2022-03-23T00:00:00"/>
        <d v="2022-03-24T00:00:00"/>
        <d v="2022-03-25T00:00:00"/>
        <d v="2022-03-26T00:00:00"/>
        <d v="2022-03-28T00:00:00"/>
        <d v="2022-03-29T00:00:00"/>
        <d v="2022-03-30T00:00:00"/>
        <d v="2022-03-31T00:00:00"/>
        <d v="2022-04-01T00:00:00"/>
        <d v="2022-04-02T00:00:00"/>
        <d v="2022-04-04T00:00:00"/>
        <d v="2022-04-05T00:00:00"/>
        <d v="2022-04-06T00:00:00"/>
        <d v="2022-04-07T00:00:00"/>
        <d v="2022-04-08T00:00:00"/>
        <d v="2022-04-09T00:00:00"/>
        <d v="2022-04-11T00:00:00"/>
        <d v="2022-04-12T00:00:00"/>
        <d v="2022-04-13T00:00:00"/>
        <d v="2022-04-14T00:00:00"/>
        <d v="2022-04-15T00:00:00"/>
        <d v="2022-04-16T00:00:00"/>
        <d v="2022-04-18T00:00:00"/>
        <d v="2022-04-19T00:00:00"/>
        <d v="2022-04-20T00:00:00"/>
        <d v="2022-04-21T00:00:00"/>
        <d v="2022-04-22T00:00:00"/>
        <d v="2022-04-23T00:00:00"/>
        <d v="2022-04-25T00:00:00"/>
        <d v="2022-04-26T00:00:00"/>
        <d v="2022-04-27T00:00:00"/>
        <d v="2022-04-28T00:00:00"/>
        <d v="2022-04-29T00:00:00"/>
        <d v="2022-04-30T00:00:00"/>
        <d v="2022-05-02T00:00:00"/>
        <d v="2022-05-03T00:00:00"/>
        <d v="2022-05-04T00:00:00"/>
        <d v="2022-05-05T00:00:00"/>
        <d v="2022-05-06T00:00:00"/>
        <d v="2022-05-07T00:00:00"/>
        <d v="2022-05-09T00:00:00"/>
        <d v="2022-05-10T00:00:00"/>
        <d v="2022-05-11T00:00:00"/>
        <d v="2022-05-12T00:00:00"/>
        <d v="2022-05-13T00:00:00"/>
        <d v="2022-05-14T00:00:00"/>
        <d v="2022-05-16T00:00:00"/>
        <d v="2022-05-17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6T00:00:00"/>
        <d v="2022-05-27T00:00:00"/>
        <d v="2022-05-28T00:00:00"/>
        <d v="2022-05-30T00:00:00"/>
        <d v="2022-05-31T00:00:00"/>
        <d v="2022-06-01T00:00:00"/>
        <d v="2022-06-02T00:00:00"/>
        <d v="2022-06-03T00:00:00"/>
        <d v="2022-06-04T00:00:00"/>
        <d v="2022-06-06T00:00:00"/>
        <d v="2022-06-07T00:00:00"/>
        <d v="2022-06-08T00:00:00"/>
        <d v="2022-06-09T00:00:00"/>
        <d v="2022-06-10T00:00:00"/>
        <d v="2022-06-11T00:00:00"/>
        <d v="2022-06-13T00:00:00"/>
        <d v="2022-06-14T00:00:00"/>
        <d v="2022-06-15T00:00:00"/>
        <d v="2022-06-16T00:00:00"/>
        <d v="2022-06-17T00:00:00"/>
        <d v="2022-06-18T00:00:00"/>
        <d v="2022-06-20T00:00:00"/>
        <d v="2022-06-21T00:00:00"/>
        <d v="2022-06-22T00:00:00"/>
        <d v="2022-06-23T00:00:00"/>
        <d v="2022-06-24T00:00:00"/>
        <d v="2022-06-25T00:00:00"/>
        <d v="2022-06-27T00:00:00"/>
        <d v="2022-06-28T00:00:00"/>
        <d v="2022-06-29T00:00:00"/>
        <d v="2022-06-30T00:00:00"/>
        <d v="2022-07-01T00:00:00"/>
        <d v="2022-07-02T00:00:00"/>
        <d v="2022-07-04T00:00:00"/>
        <d v="2022-07-05T00:00:00"/>
        <d v="2022-07-06T00:00:00"/>
        <d v="2022-07-07T00:00:00"/>
        <d v="2022-07-08T00:00:00"/>
        <d v="2022-07-09T00:00:00"/>
        <d v="2022-07-11T00:00:00"/>
        <d v="2022-07-12T00:00:00"/>
        <d v="2022-07-13T00:00:00"/>
        <d v="2022-07-14T00:00:00"/>
        <d v="2022-07-15T00:00:00"/>
        <d v="2022-07-16T00:00:00"/>
        <d v="2022-07-18T00:00:00"/>
        <d v="2022-07-19T00:00:00"/>
        <d v="2022-07-20T00:00:00"/>
        <d v="2022-07-21T00:00:00"/>
        <d v="2022-07-22T00:00:00"/>
        <d v="2022-07-23T00:00:00"/>
        <d v="2022-07-25T00:00:00"/>
        <d v="2022-07-26T00:00:00"/>
        <d v="2022-07-27T00:00:00"/>
        <d v="2022-07-28T00:00:00"/>
        <d v="2022-07-29T00:00:00"/>
        <d v="2022-07-30T00:00:00"/>
        <d v="2022-08-01T00:00:00"/>
        <d v="2022-08-02T00:00:00"/>
        <d v="2022-08-03T00:00:00"/>
        <d v="2022-08-04T00:00:00"/>
        <d v="2022-08-05T00:00:00"/>
        <d v="2022-08-06T00:00:00"/>
        <d v="2022-08-08T00:00:00"/>
        <d v="2022-08-09T00:00:00"/>
        <d v="2022-08-10T00:00:00"/>
        <d v="2022-08-11T00:00:00"/>
        <d v="2022-08-12T00:00:00"/>
        <d v="2022-08-13T00:00:00"/>
        <d v="2022-08-15T00:00:00"/>
        <d v="2022-08-16T00:00:00"/>
        <d v="2022-08-17T00:00:00"/>
        <d v="2022-08-18T00:00:00"/>
        <d v="2022-08-19T00:00:00"/>
        <d v="2022-08-20T00:00:00"/>
        <d v="2022-08-22T00:00:00"/>
        <d v="2022-08-23T00:00:00"/>
        <d v="2022-08-24T00:00:00"/>
        <d v="2022-08-25T00:00:00"/>
        <d v="2022-08-26T00:00:00"/>
        <d v="2022-08-27T00:00:00"/>
        <d v="2022-08-29T00:00:00"/>
        <d v="2022-08-30T00:00:00"/>
        <d v="2022-08-31T00:00:00"/>
        <d v="2022-09-01T00:00:00"/>
        <d v="2022-09-02T00:00:00"/>
        <d v="2022-09-03T00:00:00"/>
        <d v="2022-09-05T00:00:00"/>
        <d v="2022-09-06T00:00:00"/>
        <d v="2022-09-07T00:00:00"/>
        <d v="2022-09-08T00:00:00"/>
        <d v="2022-09-09T00:00:00"/>
        <d v="2022-09-10T00:00:00"/>
        <d v="2022-09-12T00:00:00"/>
        <d v="2022-09-13T00:00:00"/>
        <d v="2022-09-14T00:00:00"/>
        <d v="2022-09-15T00:00:00"/>
        <d v="2022-09-16T00:00:00"/>
        <d v="2022-09-17T00:00:00"/>
        <d v="2022-09-19T00:00:00"/>
        <d v="2022-09-20T00:00:00"/>
        <d v="2022-09-21T00:00:00"/>
        <d v="2022-09-22T00:00:00"/>
        <d v="2022-09-23T00:00:00"/>
        <d v="2022-09-24T00:00:00"/>
        <d v="2022-09-26T00:00:00"/>
        <d v="2022-09-27T00:00:00"/>
        <d v="2022-09-28T00:00:00"/>
        <d v="2022-09-29T00:00:00"/>
        <d v="2022-09-30T00:00:00"/>
        <d v="2022-10-01T00:00:00"/>
        <d v="2022-10-03T00:00:00"/>
        <d v="2022-10-04T00:00:00"/>
        <d v="2022-10-05T00:00:00"/>
        <d v="2022-10-06T00:00:00"/>
        <d v="2022-10-07T00:00:00"/>
        <d v="2022-10-08T00:00:00"/>
        <d v="2022-10-10T00:00:00"/>
        <d v="2022-10-11T00:00:00"/>
        <d v="2022-10-12T00:00:00"/>
        <d v="2022-10-13T00:00:00"/>
        <d v="2022-10-14T00:00:00"/>
        <d v="2022-10-15T00:00:00"/>
        <d v="2022-10-17T00:00:00"/>
        <d v="2022-10-18T00:00:00"/>
        <d v="2022-10-19T00:00:00"/>
        <d v="2022-10-20T00:00:00"/>
        <d v="2022-10-21T00:00:00"/>
        <d v="2022-10-22T00:00:00"/>
        <d v="2022-10-24T00:00:00"/>
        <d v="2022-10-25T00:00:00"/>
        <d v="2022-10-26T00:00:00"/>
        <d v="2022-10-27T00:00:00"/>
        <d v="2022-10-28T00:00:00"/>
        <d v="2022-10-29T00:00:00"/>
        <d v="2022-10-31T00:00:00"/>
        <d v="2022-11-01T00:00:00"/>
        <d v="2022-11-02T00:00:00"/>
        <d v="2022-11-03T00:00:00"/>
        <d v="2022-11-04T00:00:00"/>
        <d v="2022-11-05T00:00:00"/>
        <d v="2022-11-07T00:00:00"/>
        <d v="2022-11-08T00:00:00"/>
        <d v="2022-11-09T00:00:00"/>
        <d v="2022-11-10T00:00:00"/>
        <d v="2022-11-11T00:00:00"/>
        <d v="2022-11-12T00:00:00"/>
        <d v="2022-11-14T00:00:00"/>
        <d v="2022-11-15T00:00:00"/>
        <d v="2022-11-16T00:00:00"/>
        <d v="2022-11-17T00:00:00"/>
        <d v="2022-11-18T00:00:00"/>
        <d v="2022-11-19T00:00:00"/>
        <d v="2022-11-21T00:00:00"/>
        <d v="2022-11-22T00:00:00"/>
        <d v="2022-11-23T00:00:00"/>
        <d v="2022-11-24T00:00:00"/>
        <d v="2022-11-25T00:00:00"/>
        <d v="2022-11-26T00:00:00"/>
        <d v="2022-11-28T00:00:00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8T00:00:00"/>
        <d v="2022-12-09T00:00:00"/>
        <d v="2022-12-10T00:00:00"/>
        <d v="2022-12-12T00:00:00"/>
        <d v="2022-12-13T00:00:00"/>
        <d v="2022-12-14T00:00:00"/>
        <d v="2022-12-15T00:00:00"/>
        <d v="2022-12-16T00:00:00"/>
        <d v="2022-12-17T00:00:00"/>
        <d v="2022-12-19T00:00:00"/>
        <d v="2022-12-20T00:00:00"/>
        <d v="2022-12-21T00:00:00"/>
        <d v="2022-12-22T00:00:00"/>
        <d v="2022-12-23T00:00:00"/>
        <d v="2022-12-24T00:00:00"/>
        <d v="2022-12-26T00:00:00"/>
        <d v="2022-12-27T00:00:00"/>
        <d v="2022-12-28T00:00:00"/>
        <d v="2022-12-29T00:00:00"/>
        <d v="2022-12-30T00:00:00"/>
        <d v="2022-12-31T00:00:00"/>
      </sharedItems>
      <fieldGroup par="7"/>
    </cacheField>
    <cacheField name="Nazwa" numFmtId="0">
      <sharedItems count="16">
        <s v="Jonagold"/>
        <s v="Jonagored"/>
        <s v="Alwa"/>
        <s v="Ligol"/>
        <s v="Idared"/>
        <s v="Gala"/>
        <s v="Szampion"/>
        <s v="Gloster"/>
        <s v="Cortland"/>
        <s v="Reneta"/>
        <s v="Melba"/>
        <s v="Papierowka"/>
        <s v="Antonowka"/>
        <s v="Kosztela"/>
        <s v="Delikates"/>
        <s v="Lobo"/>
      </sharedItems>
    </cacheField>
    <cacheField name="kod" numFmtId="0">
      <sharedItems count="3">
        <s v="Z"/>
        <s v="J"/>
        <s v="L"/>
      </sharedItems>
    </cacheField>
    <cacheField name="NIP" numFmtId="0">
      <sharedItems count="50">
        <s v="128-29-15-591"/>
        <s v="192-09-72-275"/>
        <s v="140-36-11-559"/>
        <s v="053-79-35-388"/>
        <s v="159-34-45-151"/>
        <s v="093-96-93-428"/>
        <s v="102-48-01-310"/>
        <s v="047-26-54-835"/>
        <s v="050-38-86-889"/>
        <s v="170-89-76-803"/>
        <s v="080-77-49-649"/>
        <s v="170-26-38-135"/>
        <s v="089-90-67-935"/>
        <s v="128-91-02-348"/>
        <s v="153-24-82-022"/>
        <s v="033-49-11-774"/>
        <s v="179-22-38-195"/>
        <s v="180-17-78-339"/>
        <s v="014-02-05-290"/>
        <s v="043-34-53-278"/>
        <s v="178-24-36-171"/>
        <s v="176-54-34-364"/>
        <s v="015-89-55-248"/>
        <s v="080-51-85-809"/>
        <s v="164-61-25-530"/>
        <s v="062-58-80-597"/>
        <s v="131-80-62-556"/>
        <s v="072-92-42-932"/>
        <s v="182-72-86-381"/>
        <s v="172-30-09-104"/>
        <s v="105-89-55-029"/>
        <s v="019-98-81-222"/>
        <s v="047-70-78-199"/>
        <s v="035-32-41-072"/>
        <s v="178-41-36-927"/>
        <s v="193-47-03-638"/>
        <s v="039-15-21-087"/>
        <s v="058-15-94-554"/>
        <s v="126-55-91-375"/>
        <s v="045-63-27-114"/>
        <s v="162-82-16-285"/>
        <s v="179-23-02-772"/>
        <s v="128-69-77-900"/>
        <s v="115-65-39-258"/>
        <s v="054-09-46-315"/>
        <s v="138-66-38-929"/>
        <s v="091-99-74-175"/>
        <s v="163-92-64-010"/>
        <s v="177-95-05-373"/>
        <s v="029-43-78-009"/>
      </sharedItems>
    </cacheField>
    <cacheField name="sprzedaż" numFmtId="0">
      <sharedItems containsSemiMixedTypes="0" containsString="0" containsNumber="1" containsInteger="1" minValue="10" maxValue="797"/>
    </cacheField>
    <cacheField name="przychód" numFmtId="0">
      <sharedItems containsSemiMixedTypes="0" containsString="0" containsNumber="1" minValue="25" maxValue="2709.7999999999997"/>
    </cacheField>
    <cacheField name="Dni (Data sprzedazy)" numFmtId="0" databaseField="0">
      <fieldGroup base="0">
        <rangePr groupBy="days" startDate="2022-01-03T00:00:00" endDate="2023-01-01T00:00:00"/>
        <groupItems count="368">
          <s v="&lt;3.01.2022"/>
          <s v="1.sty"/>
          <s v="2.sty"/>
          <s v="3.sty"/>
          <s v="4.sty"/>
          <s v="5.sty"/>
          <s v="6.sty"/>
          <s v="7.sty"/>
          <s v="8.sty"/>
          <s v="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1.lut"/>
          <s v="2.lut"/>
          <s v="3.lut"/>
          <s v="4.lut"/>
          <s v="5.lut"/>
          <s v="6.lut"/>
          <s v="7.lut"/>
          <s v="8.lut"/>
          <s v="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kwi"/>
          <s v="2.kwi"/>
          <s v="3.kwi"/>
          <s v="4.kwi"/>
          <s v="5.kwi"/>
          <s v="6.kwi"/>
          <s v="7.kwi"/>
          <s v="8.kwi"/>
          <s v="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1.maj"/>
          <s v="2.maj"/>
          <s v="3.maj"/>
          <s v="4.maj"/>
          <s v="5.maj"/>
          <s v="6.maj"/>
          <s v="7.maj"/>
          <s v="8.maj"/>
          <s v="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1.cze"/>
          <s v="2.cze"/>
          <s v="3.cze"/>
          <s v="4.cze"/>
          <s v="5.cze"/>
          <s v="6.cze"/>
          <s v="7.cze"/>
          <s v="8.cze"/>
          <s v="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1.lip"/>
          <s v="2.lip"/>
          <s v="3.lip"/>
          <s v="4.lip"/>
          <s v="5.lip"/>
          <s v="6.lip"/>
          <s v="7.lip"/>
          <s v="8.lip"/>
          <s v="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1.sie"/>
          <s v="2.sie"/>
          <s v="3.sie"/>
          <s v="4.sie"/>
          <s v="5.sie"/>
          <s v="6.sie"/>
          <s v="7.sie"/>
          <s v="8.sie"/>
          <s v="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1.wrz"/>
          <s v="2.wrz"/>
          <s v="3.wrz"/>
          <s v="4.wrz"/>
          <s v="5.wrz"/>
          <s v="6.wrz"/>
          <s v="7.wrz"/>
          <s v="8.wrz"/>
          <s v="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1.paź"/>
          <s v="2.paź"/>
          <s v="3.paź"/>
          <s v="4.paź"/>
          <s v="5.paź"/>
          <s v="6.paź"/>
          <s v="7.paź"/>
          <s v="8.paź"/>
          <s v="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1.lis"/>
          <s v="2.lis"/>
          <s v="3.lis"/>
          <s v="4.lis"/>
          <s v="5.lis"/>
          <s v="6.lis"/>
          <s v="7.lis"/>
          <s v="8.lis"/>
          <s v="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1.gru"/>
          <s v="2.gru"/>
          <s v="3.gru"/>
          <s v="4.gru"/>
          <s v="5.gru"/>
          <s v="6.gru"/>
          <s v="7.gru"/>
          <s v="8.gru"/>
          <s v="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1.01.2023"/>
        </groupItems>
      </fieldGroup>
    </cacheField>
    <cacheField name="Miesiące (Data sprzedazy)" numFmtId="0" databaseField="0">
      <fieldGroup base="0">
        <rangePr groupBy="months" startDate="2022-01-03T00:00:00" endDate="2023-01-01T00:00:00"/>
        <groupItems count="14">
          <s v="&lt;3.01.2022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.01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x v="0"/>
    <x v="0"/>
    <x v="0"/>
    <x v="0"/>
    <n v="470"/>
    <n v="1598"/>
  </r>
  <r>
    <x v="0"/>
    <x v="0"/>
    <x v="0"/>
    <x v="1"/>
    <n v="410"/>
    <n v="1394"/>
  </r>
  <r>
    <x v="0"/>
    <x v="1"/>
    <x v="0"/>
    <x v="2"/>
    <n v="242"/>
    <n v="847"/>
  </r>
  <r>
    <x v="0"/>
    <x v="1"/>
    <x v="0"/>
    <x v="3"/>
    <n v="533"/>
    <n v="1865.5"/>
  </r>
  <r>
    <x v="0"/>
    <x v="0"/>
    <x v="0"/>
    <x v="4"/>
    <n v="543"/>
    <n v="1846.2"/>
  </r>
  <r>
    <x v="0"/>
    <x v="2"/>
    <x v="0"/>
    <x v="4"/>
    <n v="341"/>
    <n v="988.9"/>
  </r>
  <r>
    <x v="0"/>
    <x v="3"/>
    <x v="0"/>
    <x v="5"/>
    <n v="284"/>
    <n v="965.6"/>
  </r>
  <r>
    <x v="0"/>
    <x v="4"/>
    <x v="0"/>
    <x v="6"/>
    <n v="159"/>
    <n v="540.6"/>
  </r>
  <r>
    <x v="0"/>
    <x v="5"/>
    <x v="0"/>
    <x v="4"/>
    <n v="609"/>
    <n v="2070.6"/>
  </r>
  <r>
    <x v="0"/>
    <x v="4"/>
    <x v="0"/>
    <x v="7"/>
    <n v="464"/>
    <n v="1577.6"/>
  </r>
  <r>
    <x v="0"/>
    <x v="6"/>
    <x v="0"/>
    <x v="8"/>
    <n v="570"/>
    <n v="1368"/>
  </r>
  <r>
    <x v="0"/>
    <x v="7"/>
    <x v="0"/>
    <x v="9"/>
    <n v="222"/>
    <n v="754.8"/>
  </r>
  <r>
    <x v="0"/>
    <x v="5"/>
    <x v="0"/>
    <x v="1"/>
    <n v="720"/>
    <n v="2448"/>
  </r>
  <r>
    <x v="0"/>
    <x v="0"/>
    <x v="0"/>
    <x v="10"/>
    <n v="283"/>
    <n v="962.19999999999993"/>
  </r>
  <r>
    <x v="1"/>
    <x v="6"/>
    <x v="0"/>
    <x v="11"/>
    <n v="204"/>
    <n v="489.59999999999997"/>
  </r>
  <r>
    <x v="1"/>
    <x v="2"/>
    <x v="0"/>
    <x v="2"/>
    <n v="368"/>
    <n v="1067.2"/>
  </r>
  <r>
    <x v="1"/>
    <x v="7"/>
    <x v="0"/>
    <x v="6"/>
    <n v="110"/>
    <n v="374"/>
  </r>
  <r>
    <x v="1"/>
    <x v="6"/>
    <x v="0"/>
    <x v="12"/>
    <n v="534"/>
    <n v="1281.5999999999999"/>
  </r>
  <r>
    <x v="1"/>
    <x v="8"/>
    <x v="0"/>
    <x v="13"/>
    <n v="438"/>
    <n v="1401.6000000000001"/>
  </r>
  <r>
    <x v="1"/>
    <x v="7"/>
    <x v="0"/>
    <x v="10"/>
    <n v="34"/>
    <n v="115.6"/>
  </r>
  <r>
    <x v="1"/>
    <x v="3"/>
    <x v="0"/>
    <x v="14"/>
    <n v="64"/>
    <n v="217.6"/>
  </r>
  <r>
    <x v="1"/>
    <x v="6"/>
    <x v="0"/>
    <x v="15"/>
    <n v="555"/>
    <n v="1332"/>
  </r>
  <r>
    <x v="1"/>
    <x v="1"/>
    <x v="0"/>
    <x v="15"/>
    <n v="640"/>
    <n v="2240"/>
  </r>
  <r>
    <x v="1"/>
    <x v="6"/>
    <x v="0"/>
    <x v="16"/>
    <n v="331"/>
    <n v="794.4"/>
  </r>
  <r>
    <x v="2"/>
    <x v="2"/>
    <x v="0"/>
    <x v="17"/>
    <n v="114"/>
    <n v="330.59999999999997"/>
  </r>
  <r>
    <x v="2"/>
    <x v="3"/>
    <x v="0"/>
    <x v="18"/>
    <n v="110"/>
    <n v="374"/>
  </r>
  <r>
    <x v="2"/>
    <x v="0"/>
    <x v="0"/>
    <x v="12"/>
    <n v="378"/>
    <n v="1285.2"/>
  </r>
  <r>
    <x v="2"/>
    <x v="2"/>
    <x v="0"/>
    <x v="19"/>
    <n v="206"/>
    <n v="597.4"/>
  </r>
  <r>
    <x v="2"/>
    <x v="1"/>
    <x v="0"/>
    <x v="20"/>
    <n v="318"/>
    <n v="1113"/>
  </r>
  <r>
    <x v="2"/>
    <x v="1"/>
    <x v="0"/>
    <x v="21"/>
    <n v="657"/>
    <n v="2299.5"/>
  </r>
  <r>
    <x v="2"/>
    <x v="0"/>
    <x v="0"/>
    <x v="19"/>
    <n v="316"/>
    <n v="1074.3999999999999"/>
  </r>
  <r>
    <x v="2"/>
    <x v="8"/>
    <x v="0"/>
    <x v="22"/>
    <n v="139"/>
    <n v="444.8"/>
  </r>
  <r>
    <x v="3"/>
    <x v="4"/>
    <x v="0"/>
    <x v="23"/>
    <n v="254"/>
    <n v="863.6"/>
  </r>
  <r>
    <x v="3"/>
    <x v="3"/>
    <x v="0"/>
    <x v="20"/>
    <n v="69"/>
    <n v="234.6"/>
  </r>
  <r>
    <x v="4"/>
    <x v="4"/>
    <x v="0"/>
    <x v="24"/>
    <n v="141"/>
    <n v="479.4"/>
  </r>
  <r>
    <x v="4"/>
    <x v="5"/>
    <x v="0"/>
    <x v="16"/>
    <n v="740"/>
    <n v="2516"/>
  </r>
  <r>
    <x v="4"/>
    <x v="5"/>
    <x v="0"/>
    <x v="25"/>
    <n v="715"/>
    <n v="2431"/>
  </r>
  <r>
    <x v="4"/>
    <x v="4"/>
    <x v="0"/>
    <x v="26"/>
    <n v="446"/>
    <n v="1516.3999999999999"/>
  </r>
  <r>
    <x v="4"/>
    <x v="0"/>
    <x v="0"/>
    <x v="27"/>
    <n v="390"/>
    <n v="1326"/>
  </r>
  <r>
    <x v="4"/>
    <x v="2"/>
    <x v="0"/>
    <x v="20"/>
    <n v="455"/>
    <n v="1319.5"/>
  </r>
  <r>
    <x v="4"/>
    <x v="5"/>
    <x v="0"/>
    <x v="21"/>
    <n v="323"/>
    <n v="1098.2"/>
  </r>
  <r>
    <x v="4"/>
    <x v="7"/>
    <x v="0"/>
    <x v="10"/>
    <n v="378"/>
    <n v="1285.2"/>
  </r>
  <r>
    <x v="4"/>
    <x v="7"/>
    <x v="0"/>
    <x v="27"/>
    <n v="115"/>
    <n v="391"/>
  </r>
  <r>
    <x v="5"/>
    <x v="5"/>
    <x v="0"/>
    <x v="24"/>
    <n v="629"/>
    <n v="2138.6"/>
  </r>
  <r>
    <x v="5"/>
    <x v="7"/>
    <x v="0"/>
    <x v="6"/>
    <n v="11"/>
    <n v="37.4"/>
  </r>
  <r>
    <x v="5"/>
    <x v="2"/>
    <x v="0"/>
    <x v="21"/>
    <n v="270"/>
    <n v="783"/>
  </r>
  <r>
    <x v="5"/>
    <x v="4"/>
    <x v="0"/>
    <x v="28"/>
    <n v="139"/>
    <n v="472.59999999999997"/>
  </r>
  <r>
    <x v="5"/>
    <x v="1"/>
    <x v="0"/>
    <x v="24"/>
    <n v="377"/>
    <n v="1319.5"/>
  </r>
  <r>
    <x v="5"/>
    <x v="3"/>
    <x v="0"/>
    <x v="29"/>
    <n v="371"/>
    <n v="1261.3999999999999"/>
  </r>
  <r>
    <x v="5"/>
    <x v="8"/>
    <x v="0"/>
    <x v="30"/>
    <n v="288"/>
    <n v="921.6"/>
  </r>
  <r>
    <x v="5"/>
    <x v="6"/>
    <x v="0"/>
    <x v="5"/>
    <n v="306"/>
    <n v="734.4"/>
  </r>
  <r>
    <x v="5"/>
    <x v="4"/>
    <x v="0"/>
    <x v="2"/>
    <n v="258"/>
    <n v="877.19999999999993"/>
  </r>
  <r>
    <x v="6"/>
    <x v="6"/>
    <x v="0"/>
    <x v="31"/>
    <n v="260"/>
    <n v="624"/>
  </r>
  <r>
    <x v="6"/>
    <x v="4"/>
    <x v="0"/>
    <x v="21"/>
    <n v="103"/>
    <n v="350.2"/>
  </r>
  <r>
    <x v="6"/>
    <x v="3"/>
    <x v="0"/>
    <x v="17"/>
    <n v="127"/>
    <n v="431.8"/>
  </r>
  <r>
    <x v="6"/>
    <x v="8"/>
    <x v="0"/>
    <x v="32"/>
    <n v="32"/>
    <n v="102.4"/>
  </r>
  <r>
    <x v="6"/>
    <x v="3"/>
    <x v="0"/>
    <x v="33"/>
    <n v="196"/>
    <n v="666.4"/>
  </r>
  <r>
    <x v="6"/>
    <x v="4"/>
    <x v="0"/>
    <x v="16"/>
    <n v="120"/>
    <n v="408"/>
  </r>
  <r>
    <x v="6"/>
    <x v="3"/>
    <x v="0"/>
    <x v="5"/>
    <n v="372"/>
    <n v="1264.8"/>
  </r>
  <r>
    <x v="6"/>
    <x v="6"/>
    <x v="0"/>
    <x v="34"/>
    <n v="577"/>
    <n v="1384.8"/>
  </r>
  <r>
    <x v="6"/>
    <x v="7"/>
    <x v="0"/>
    <x v="16"/>
    <n v="88"/>
    <n v="299.2"/>
  </r>
  <r>
    <x v="6"/>
    <x v="8"/>
    <x v="0"/>
    <x v="35"/>
    <n v="266"/>
    <n v="851.2"/>
  </r>
  <r>
    <x v="6"/>
    <x v="2"/>
    <x v="0"/>
    <x v="26"/>
    <n v="85"/>
    <n v="246.5"/>
  </r>
  <r>
    <x v="6"/>
    <x v="0"/>
    <x v="0"/>
    <x v="18"/>
    <n v="695"/>
    <n v="2363"/>
  </r>
  <r>
    <x v="6"/>
    <x v="2"/>
    <x v="0"/>
    <x v="6"/>
    <n v="323"/>
    <n v="936.69999999999993"/>
  </r>
  <r>
    <x v="6"/>
    <x v="6"/>
    <x v="0"/>
    <x v="18"/>
    <n v="232"/>
    <n v="556.79999999999995"/>
  </r>
  <r>
    <x v="6"/>
    <x v="5"/>
    <x v="0"/>
    <x v="36"/>
    <n v="734"/>
    <n v="2495.6"/>
  </r>
  <r>
    <x v="6"/>
    <x v="7"/>
    <x v="0"/>
    <x v="11"/>
    <n v="424"/>
    <n v="1441.6"/>
  </r>
  <r>
    <x v="7"/>
    <x v="4"/>
    <x v="0"/>
    <x v="37"/>
    <n v="254"/>
    <n v="863.6"/>
  </r>
  <r>
    <x v="7"/>
    <x v="8"/>
    <x v="0"/>
    <x v="33"/>
    <n v="193"/>
    <n v="617.6"/>
  </r>
  <r>
    <x v="7"/>
    <x v="7"/>
    <x v="0"/>
    <x v="38"/>
    <n v="13"/>
    <n v="44.199999999999996"/>
  </r>
  <r>
    <x v="7"/>
    <x v="4"/>
    <x v="0"/>
    <x v="39"/>
    <n v="450"/>
    <n v="1530"/>
  </r>
  <r>
    <x v="8"/>
    <x v="1"/>
    <x v="0"/>
    <x v="40"/>
    <n v="356"/>
    <n v="1246"/>
  </r>
  <r>
    <x v="8"/>
    <x v="0"/>
    <x v="0"/>
    <x v="22"/>
    <n v="284"/>
    <n v="965.6"/>
  </r>
  <r>
    <x v="8"/>
    <x v="0"/>
    <x v="0"/>
    <x v="40"/>
    <n v="281"/>
    <n v="955.4"/>
  </r>
  <r>
    <x v="8"/>
    <x v="1"/>
    <x v="0"/>
    <x v="24"/>
    <n v="415"/>
    <n v="1452.5"/>
  </r>
  <r>
    <x v="8"/>
    <x v="1"/>
    <x v="0"/>
    <x v="4"/>
    <n v="627"/>
    <n v="2194.5"/>
  </r>
  <r>
    <x v="8"/>
    <x v="3"/>
    <x v="0"/>
    <x v="20"/>
    <n v="369"/>
    <n v="1254.5999999999999"/>
  </r>
  <r>
    <x v="8"/>
    <x v="2"/>
    <x v="0"/>
    <x v="3"/>
    <n v="89"/>
    <n v="258.09999999999997"/>
  </r>
  <r>
    <x v="8"/>
    <x v="6"/>
    <x v="0"/>
    <x v="19"/>
    <n v="579"/>
    <n v="1389.6"/>
  </r>
  <r>
    <x v="8"/>
    <x v="2"/>
    <x v="0"/>
    <x v="5"/>
    <n v="412"/>
    <n v="1194.8"/>
  </r>
  <r>
    <x v="9"/>
    <x v="1"/>
    <x v="0"/>
    <x v="36"/>
    <n v="403"/>
    <n v="1410.5"/>
  </r>
  <r>
    <x v="9"/>
    <x v="2"/>
    <x v="0"/>
    <x v="8"/>
    <n v="92"/>
    <n v="266.8"/>
  </r>
  <r>
    <x v="9"/>
    <x v="0"/>
    <x v="0"/>
    <x v="3"/>
    <n v="269"/>
    <n v="914.6"/>
  </r>
  <r>
    <x v="9"/>
    <x v="7"/>
    <x v="0"/>
    <x v="16"/>
    <n v="159"/>
    <n v="540.6"/>
  </r>
  <r>
    <x v="10"/>
    <x v="5"/>
    <x v="0"/>
    <x v="32"/>
    <n v="752"/>
    <n v="2556.7999999999997"/>
  </r>
  <r>
    <x v="10"/>
    <x v="6"/>
    <x v="0"/>
    <x v="36"/>
    <n v="408"/>
    <n v="979.19999999999993"/>
  </r>
  <r>
    <x v="10"/>
    <x v="5"/>
    <x v="0"/>
    <x v="1"/>
    <n v="536"/>
    <n v="1822.3999999999999"/>
  </r>
  <r>
    <x v="10"/>
    <x v="7"/>
    <x v="0"/>
    <x v="30"/>
    <n v="47"/>
    <n v="159.79999999999998"/>
  </r>
  <r>
    <x v="10"/>
    <x v="8"/>
    <x v="0"/>
    <x v="41"/>
    <n v="249"/>
    <n v="796.80000000000007"/>
  </r>
  <r>
    <x v="10"/>
    <x v="5"/>
    <x v="0"/>
    <x v="26"/>
    <n v="566"/>
    <n v="1924.3999999999999"/>
  </r>
  <r>
    <x v="10"/>
    <x v="6"/>
    <x v="0"/>
    <x v="42"/>
    <n v="364"/>
    <n v="873.6"/>
  </r>
  <r>
    <x v="10"/>
    <x v="3"/>
    <x v="0"/>
    <x v="32"/>
    <n v="461"/>
    <n v="1567.3999999999999"/>
  </r>
  <r>
    <x v="10"/>
    <x v="2"/>
    <x v="0"/>
    <x v="10"/>
    <n v="256"/>
    <n v="742.4"/>
  </r>
  <r>
    <x v="10"/>
    <x v="8"/>
    <x v="0"/>
    <x v="4"/>
    <n v="94"/>
    <n v="300.8"/>
  </r>
  <r>
    <x v="10"/>
    <x v="6"/>
    <x v="0"/>
    <x v="7"/>
    <n v="115"/>
    <n v="276"/>
  </r>
  <r>
    <x v="10"/>
    <x v="7"/>
    <x v="0"/>
    <x v="35"/>
    <n v="183"/>
    <n v="622.19999999999993"/>
  </r>
  <r>
    <x v="10"/>
    <x v="2"/>
    <x v="0"/>
    <x v="43"/>
    <n v="368"/>
    <n v="1067.2"/>
  </r>
  <r>
    <x v="10"/>
    <x v="1"/>
    <x v="0"/>
    <x v="44"/>
    <n v="463"/>
    <n v="1620.5"/>
  </r>
  <r>
    <x v="11"/>
    <x v="7"/>
    <x v="0"/>
    <x v="32"/>
    <n v="169"/>
    <n v="574.6"/>
  </r>
  <r>
    <x v="11"/>
    <x v="6"/>
    <x v="0"/>
    <x v="41"/>
    <n v="556"/>
    <n v="1334.3999999999999"/>
  </r>
  <r>
    <x v="12"/>
    <x v="5"/>
    <x v="0"/>
    <x v="30"/>
    <n v="583"/>
    <n v="1982.2"/>
  </r>
  <r>
    <x v="12"/>
    <x v="1"/>
    <x v="0"/>
    <x v="19"/>
    <n v="378"/>
    <n v="1323"/>
  </r>
  <r>
    <x v="12"/>
    <x v="6"/>
    <x v="0"/>
    <x v="23"/>
    <n v="374"/>
    <n v="897.6"/>
  </r>
  <r>
    <x v="12"/>
    <x v="8"/>
    <x v="0"/>
    <x v="14"/>
    <n v="308"/>
    <n v="985.6"/>
  </r>
  <r>
    <x v="12"/>
    <x v="6"/>
    <x v="0"/>
    <x v="45"/>
    <n v="240"/>
    <n v="576"/>
  </r>
  <r>
    <x v="12"/>
    <x v="3"/>
    <x v="0"/>
    <x v="46"/>
    <n v="298"/>
    <n v="1013.1999999999999"/>
  </r>
  <r>
    <x v="12"/>
    <x v="3"/>
    <x v="0"/>
    <x v="41"/>
    <n v="272"/>
    <n v="924.8"/>
  </r>
  <r>
    <x v="12"/>
    <x v="0"/>
    <x v="0"/>
    <x v="0"/>
    <n v="430"/>
    <n v="1462"/>
  </r>
  <r>
    <x v="12"/>
    <x v="1"/>
    <x v="0"/>
    <x v="27"/>
    <n v="532"/>
    <n v="1862"/>
  </r>
  <r>
    <x v="12"/>
    <x v="0"/>
    <x v="0"/>
    <x v="16"/>
    <n v="396"/>
    <n v="1346.3999999999999"/>
  </r>
  <r>
    <x v="12"/>
    <x v="4"/>
    <x v="0"/>
    <x v="31"/>
    <n v="88"/>
    <n v="299.2"/>
  </r>
  <r>
    <x v="12"/>
    <x v="0"/>
    <x v="0"/>
    <x v="30"/>
    <n v="520"/>
    <n v="1768"/>
  </r>
  <r>
    <x v="12"/>
    <x v="4"/>
    <x v="0"/>
    <x v="22"/>
    <n v="296"/>
    <n v="1006.4"/>
  </r>
  <r>
    <x v="12"/>
    <x v="3"/>
    <x v="0"/>
    <x v="9"/>
    <n v="400"/>
    <n v="1360"/>
  </r>
  <r>
    <x v="12"/>
    <x v="6"/>
    <x v="0"/>
    <x v="46"/>
    <n v="221"/>
    <n v="530.4"/>
  </r>
  <r>
    <x v="12"/>
    <x v="0"/>
    <x v="0"/>
    <x v="32"/>
    <n v="256"/>
    <n v="870.4"/>
  </r>
  <r>
    <x v="12"/>
    <x v="8"/>
    <x v="0"/>
    <x v="21"/>
    <n v="19"/>
    <n v="60.800000000000004"/>
  </r>
  <r>
    <x v="12"/>
    <x v="2"/>
    <x v="0"/>
    <x v="40"/>
    <n v="378"/>
    <n v="1096.2"/>
  </r>
  <r>
    <x v="13"/>
    <x v="8"/>
    <x v="0"/>
    <x v="26"/>
    <n v="346"/>
    <n v="1107.2"/>
  </r>
  <r>
    <x v="13"/>
    <x v="3"/>
    <x v="0"/>
    <x v="6"/>
    <n v="419"/>
    <n v="1424.6"/>
  </r>
  <r>
    <x v="13"/>
    <x v="0"/>
    <x v="0"/>
    <x v="28"/>
    <n v="211"/>
    <n v="717.4"/>
  </r>
  <r>
    <x v="13"/>
    <x v="5"/>
    <x v="0"/>
    <x v="1"/>
    <n v="577"/>
    <n v="1961.8"/>
  </r>
  <r>
    <x v="13"/>
    <x v="2"/>
    <x v="0"/>
    <x v="9"/>
    <n v="390"/>
    <n v="1131"/>
  </r>
  <r>
    <x v="13"/>
    <x v="4"/>
    <x v="0"/>
    <x v="9"/>
    <n v="15"/>
    <n v="51"/>
  </r>
  <r>
    <x v="13"/>
    <x v="6"/>
    <x v="0"/>
    <x v="12"/>
    <n v="212"/>
    <n v="508.79999999999995"/>
  </r>
  <r>
    <x v="13"/>
    <x v="6"/>
    <x v="0"/>
    <x v="15"/>
    <n v="419"/>
    <n v="1005.5999999999999"/>
  </r>
  <r>
    <x v="14"/>
    <x v="5"/>
    <x v="0"/>
    <x v="15"/>
    <n v="511"/>
    <n v="1737.3999999999999"/>
  </r>
  <r>
    <x v="14"/>
    <x v="7"/>
    <x v="0"/>
    <x v="14"/>
    <n v="447"/>
    <n v="1519.8"/>
  </r>
  <r>
    <x v="14"/>
    <x v="3"/>
    <x v="0"/>
    <x v="35"/>
    <n v="327"/>
    <n v="1111.8"/>
  </r>
  <r>
    <x v="14"/>
    <x v="0"/>
    <x v="0"/>
    <x v="38"/>
    <n v="241"/>
    <n v="819.4"/>
  </r>
  <r>
    <x v="14"/>
    <x v="2"/>
    <x v="0"/>
    <x v="19"/>
    <n v="497"/>
    <n v="1441.3"/>
  </r>
  <r>
    <x v="14"/>
    <x v="8"/>
    <x v="0"/>
    <x v="6"/>
    <n v="111"/>
    <n v="355.20000000000005"/>
  </r>
  <r>
    <x v="14"/>
    <x v="2"/>
    <x v="0"/>
    <x v="31"/>
    <n v="482"/>
    <n v="1397.8"/>
  </r>
  <r>
    <x v="14"/>
    <x v="7"/>
    <x v="0"/>
    <x v="19"/>
    <n v="46"/>
    <n v="156.4"/>
  </r>
  <r>
    <x v="14"/>
    <x v="3"/>
    <x v="0"/>
    <x v="46"/>
    <n v="385"/>
    <n v="1309"/>
  </r>
  <r>
    <x v="14"/>
    <x v="5"/>
    <x v="0"/>
    <x v="42"/>
    <n v="717"/>
    <n v="2437.7999999999997"/>
  </r>
  <r>
    <x v="14"/>
    <x v="7"/>
    <x v="0"/>
    <x v="18"/>
    <n v="11"/>
    <n v="37.4"/>
  </r>
  <r>
    <x v="15"/>
    <x v="4"/>
    <x v="0"/>
    <x v="40"/>
    <n v="135"/>
    <n v="459"/>
  </r>
  <r>
    <x v="15"/>
    <x v="7"/>
    <x v="0"/>
    <x v="45"/>
    <n v="234"/>
    <n v="795.6"/>
  </r>
  <r>
    <x v="15"/>
    <x v="6"/>
    <x v="0"/>
    <x v="23"/>
    <n v="402"/>
    <n v="964.8"/>
  </r>
  <r>
    <x v="15"/>
    <x v="2"/>
    <x v="0"/>
    <x v="21"/>
    <n v="497"/>
    <n v="1441.3"/>
  </r>
  <r>
    <x v="15"/>
    <x v="6"/>
    <x v="0"/>
    <x v="44"/>
    <n v="478"/>
    <n v="1147.2"/>
  </r>
  <r>
    <x v="16"/>
    <x v="0"/>
    <x v="0"/>
    <x v="44"/>
    <n v="361"/>
    <n v="1227.3999999999999"/>
  </r>
  <r>
    <x v="16"/>
    <x v="8"/>
    <x v="0"/>
    <x v="13"/>
    <n v="410"/>
    <n v="1312"/>
  </r>
  <r>
    <x v="16"/>
    <x v="6"/>
    <x v="0"/>
    <x v="37"/>
    <n v="482"/>
    <n v="1156.8"/>
  </r>
  <r>
    <x v="16"/>
    <x v="3"/>
    <x v="0"/>
    <x v="28"/>
    <n v="247"/>
    <n v="839.8"/>
  </r>
  <r>
    <x v="16"/>
    <x v="0"/>
    <x v="0"/>
    <x v="31"/>
    <n v="212"/>
    <n v="720.8"/>
  </r>
  <r>
    <x v="17"/>
    <x v="1"/>
    <x v="0"/>
    <x v="18"/>
    <n v="590"/>
    <n v="2065"/>
  </r>
  <r>
    <x v="17"/>
    <x v="7"/>
    <x v="0"/>
    <x v="1"/>
    <n v="59"/>
    <n v="200.6"/>
  </r>
  <r>
    <x v="18"/>
    <x v="0"/>
    <x v="0"/>
    <x v="30"/>
    <n v="461"/>
    <n v="1567.3999999999999"/>
  </r>
  <r>
    <x v="18"/>
    <x v="0"/>
    <x v="0"/>
    <x v="32"/>
    <n v="341"/>
    <n v="1159.3999999999999"/>
  </r>
  <r>
    <x v="18"/>
    <x v="5"/>
    <x v="0"/>
    <x v="2"/>
    <n v="781"/>
    <n v="2655.4"/>
  </r>
  <r>
    <x v="18"/>
    <x v="7"/>
    <x v="0"/>
    <x v="6"/>
    <n v="132"/>
    <n v="448.8"/>
  </r>
  <r>
    <x v="18"/>
    <x v="3"/>
    <x v="0"/>
    <x v="37"/>
    <n v="23"/>
    <n v="78.2"/>
  </r>
  <r>
    <x v="18"/>
    <x v="1"/>
    <x v="0"/>
    <x v="44"/>
    <n v="424"/>
    <n v="1484"/>
  </r>
  <r>
    <x v="18"/>
    <x v="7"/>
    <x v="0"/>
    <x v="46"/>
    <n v="186"/>
    <n v="632.4"/>
  </r>
  <r>
    <x v="18"/>
    <x v="7"/>
    <x v="0"/>
    <x v="26"/>
    <n v="255"/>
    <n v="867"/>
  </r>
  <r>
    <x v="18"/>
    <x v="4"/>
    <x v="0"/>
    <x v="38"/>
    <n v="113"/>
    <n v="384.2"/>
  </r>
  <r>
    <x v="18"/>
    <x v="5"/>
    <x v="0"/>
    <x v="31"/>
    <n v="407"/>
    <n v="1383.8"/>
  </r>
  <r>
    <x v="18"/>
    <x v="4"/>
    <x v="0"/>
    <x v="6"/>
    <n v="339"/>
    <n v="1152.5999999999999"/>
  </r>
  <r>
    <x v="18"/>
    <x v="1"/>
    <x v="0"/>
    <x v="18"/>
    <n v="374"/>
    <n v="1309"/>
  </r>
  <r>
    <x v="18"/>
    <x v="1"/>
    <x v="0"/>
    <x v="47"/>
    <n v="305"/>
    <n v="1067.5"/>
  </r>
  <r>
    <x v="18"/>
    <x v="0"/>
    <x v="0"/>
    <x v="44"/>
    <n v="621"/>
    <n v="2111.4"/>
  </r>
  <r>
    <x v="18"/>
    <x v="5"/>
    <x v="0"/>
    <x v="8"/>
    <n v="591"/>
    <n v="2009.3999999999999"/>
  </r>
  <r>
    <x v="18"/>
    <x v="4"/>
    <x v="0"/>
    <x v="23"/>
    <n v="136"/>
    <n v="462.4"/>
  </r>
  <r>
    <x v="18"/>
    <x v="2"/>
    <x v="0"/>
    <x v="13"/>
    <n v="305"/>
    <n v="884.5"/>
  </r>
  <r>
    <x v="19"/>
    <x v="0"/>
    <x v="0"/>
    <x v="7"/>
    <n v="447"/>
    <n v="1519.8"/>
  </r>
  <r>
    <x v="19"/>
    <x v="3"/>
    <x v="0"/>
    <x v="35"/>
    <n v="417"/>
    <n v="1417.8"/>
  </r>
  <r>
    <x v="19"/>
    <x v="5"/>
    <x v="0"/>
    <x v="18"/>
    <n v="311"/>
    <n v="1057.3999999999999"/>
  </r>
  <r>
    <x v="20"/>
    <x v="4"/>
    <x v="0"/>
    <x v="13"/>
    <n v="409"/>
    <n v="1390.6"/>
  </r>
  <r>
    <x v="20"/>
    <x v="5"/>
    <x v="0"/>
    <x v="20"/>
    <n v="646"/>
    <n v="2196.4"/>
  </r>
  <r>
    <x v="20"/>
    <x v="0"/>
    <x v="0"/>
    <x v="1"/>
    <n v="460"/>
    <n v="1564"/>
  </r>
  <r>
    <x v="20"/>
    <x v="1"/>
    <x v="0"/>
    <x v="13"/>
    <n v="568"/>
    <n v="1988"/>
  </r>
  <r>
    <x v="20"/>
    <x v="4"/>
    <x v="0"/>
    <x v="7"/>
    <n v="350"/>
    <n v="1190"/>
  </r>
  <r>
    <x v="20"/>
    <x v="4"/>
    <x v="0"/>
    <x v="11"/>
    <n v="367"/>
    <n v="1247.8"/>
  </r>
  <r>
    <x v="20"/>
    <x v="8"/>
    <x v="0"/>
    <x v="11"/>
    <n v="431"/>
    <n v="1379.2"/>
  </r>
  <r>
    <x v="21"/>
    <x v="2"/>
    <x v="0"/>
    <x v="12"/>
    <n v="389"/>
    <n v="1128.0999999999999"/>
  </r>
  <r>
    <x v="21"/>
    <x v="2"/>
    <x v="0"/>
    <x v="18"/>
    <n v="415"/>
    <n v="1203.5"/>
  </r>
  <r>
    <x v="21"/>
    <x v="4"/>
    <x v="0"/>
    <x v="39"/>
    <n v="79"/>
    <n v="268.59999999999997"/>
  </r>
  <r>
    <x v="21"/>
    <x v="4"/>
    <x v="0"/>
    <x v="27"/>
    <n v="257"/>
    <n v="873.8"/>
  </r>
  <r>
    <x v="21"/>
    <x v="1"/>
    <x v="0"/>
    <x v="7"/>
    <n v="625"/>
    <n v="2187.5"/>
  </r>
  <r>
    <x v="22"/>
    <x v="3"/>
    <x v="0"/>
    <x v="18"/>
    <n v="81"/>
    <n v="275.39999999999998"/>
  </r>
  <r>
    <x v="22"/>
    <x v="0"/>
    <x v="0"/>
    <x v="16"/>
    <n v="337"/>
    <n v="1145.8"/>
  </r>
  <r>
    <x v="22"/>
    <x v="2"/>
    <x v="0"/>
    <x v="25"/>
    <n v="12"/>
    <n v="34.799999999999997"/>
  </r>
  <r>
    <x v="23"/>
    <x v="7"/>
    <x v="0"/>
    <x v="37"/>
    <n v="129"/>
    <n v="438.59999999999997"/>
  </r>
  <r>
    <x v="23"/>
    <x v="2"/>
    <x v="0"/>
    <x v="45"/>
    <n v="301"/>
    <n v="872.9"/>
  </r>
  <r>
    <x v="23"/>
    <x v="2"/>
    <x v="0"/>
    <x v="4"/>
    <n v="354"/>
    <n v="1026.5999999999999"/>
  </r>
  <r>
    <x v="23"/>
    <x v="8"/>
    <x v="0"/>
    <x v="24"/>
    <n v="112"/>
    <n v="358.40000000000003"/>
  </r>
  <r>
    <x v="23"/>
    <x v="5"/>
    <x v="0"/>
    <x v="46"/>
    <n v="783"/>
    <n v="2662.2"/>
  </r>
  <r>
    <x v="23"/>
    <x v="2"/>
    <x v="0"/>
    <x v="43"/>
    <n v="299"/>
    <n v="867.1"/>
  </r>
  <r>
    <x v="23"/>
    <x v="4"/>
    <x v="0"/>
    <x v="21"/>
    <n v="145"/>
    <n v="493"/>
  </r>
  <r>
    <x v="24"/>
    <x v="3"/>
    <x v="0"/>
    <x v="4"/>
    <n v="255"/>
    <n v="867"/>
  </r>
  <r>
    <x v="24"/>
    <x v="5"/>
    <x v="0"/>
    <x v="32"/>
    <n v="581"/>
    <n v="1975.3999999999999"/>
  </r>
  <r>
    <x v="24"/>
    <x v="6"/>
    <x v="0"/>
    <x v="43"/>
    <n v="197"/>
    <n v="472.79999999999995"/>
  </r>
  <r>
    <x v="24"/>
    <x v="5"/>
    <x v="0"/>
    <x v="23"/>
    <n v="493"/>
    <n v="1676.2"/>
  </r>
  <r>
    <x v="24"/>
    <x v="6"/>
    <x v="0"/>
    <x v="0"/>
    <n v="321"/>
    <n v="770.4"/>
  </r>
  <r>
    <x v="24"/>
    <x v="2"/>
    <x v="0"/>
    <x v="35"/>
    <n v="18"/>
    <n v="52.199999999999996"/>
  </r>
  <r>
    <x v="24"/>
    <x v="2"/>
    <x v="0"/>
    <x v="36"/>
    <n v="45"/>
    <n v="130.5"/>
  </r>
  <r>
    <x v="24"/>
    <x v="5"/>
    <x v="0"/>
    <x v="32"/>
    <n v="712"/>
    <n v="2420.7999999999997"/>
  </r>
  <r>
    <x v="24"/>
    <x v="0"/>
    <x v="0"/>
    <x v="38"/>
    <n v="317"/>
    <n v="1077.8"/>
  </r>
  <r>
    <x v="24"/>
    <x v="6"/>
    <x v="0"/>
    <x v="44"/>
    <n v="272"/>
    <n v="652.79999999999995"/>
  </r>
  <r>
    <x v="24"/>
    <x v="2"/>
    <x v="0"/>
    <x v="24"/>
    <n v="301"/>
    <n v="872.9"/>
  </r>
  <r>
    <x v="24"/>
    <x v="1"/>
    <x v="0"/>
    <x v="33"/>
    <n v="605"/>
    <n v="2117.5"/>
  </r>
  <r>
    <x v="24"/>
    <x v="8"/>
    <x v="0"/>
    <x v="44"/>
    <n v="283"/>
    <n v="905.6"/>
  </r>
  <r>
    <x v="24"/>
    <x v="4"/>
    <x v="0"/>
    <x v="24"/>
    <n v="361"/>
    <n v="1227.3999999999999"/>
  </r>
  <r>
    <x v="24"/>
    <x v="2"/>
    <x v="0"/>
    <x v="20"/>
    <n v="148"/>
    <n v="429.2"/>
  </r>
  <r>
    <x v="25"/>
    <x v="7"/>
    <x v="0"/>
    <x v="23"/>
    <n v="144"/>
    <n v="489.59999999999997"/>
  </r>
  <r>
    <x v="25"/>
    <x v="6"/>
    <x v="0"/>
    <x v="29"/>
    <n v="206"/>
    <n v="494.4"/>
  </r>
  <r>
    <x v="25"/>
    <x v="8"/>
    <x v="0"/>
    <x v="33"/>
    <n v="412"/>
    <n v="1318.4"/>
  </r>
  <r>
    <x v="25"/>
    <x v="3"/>
    <x v="0"/>
    <x v="26"/>
    <n v="129"/>
    <n v="438.59999999999997"/>
  </r>
  <r>
    <x v="25"/>
    <x v="7"/>
    <x v="0"/>
    <x v="27"/>
    <n v="289"/>
    <n v="982.6"/>
  </r>
  <r>
    <x v="25"/>
    <x v="8"/>
    <x v="0"/>
    <x v="13"/>
    <n v="67"/>
    <n v="214.4"/>
  </r>
  <r>
    <x v="25"/>
    <x v="3"/>
    <x v="0"/>
    <x v="0"/>
    <n v="310"/>
    <n v="1054"/>
  </r>
  <r>
    <x v="25"/>
    <x v="5"/>
    <x v="0"/>
    <x v="29"/>
    <n v="440"/>
    <n v="1496"/>
  </r>
  <r>
    <x v="25"/>
    <x v="4"/>
    <x v="0"/>
    <x v="21"/>
    <n v="341"/>
    <n v="1159.3999999999999"/>
  </r>
  <r>
    <x v="25"/>
    <x v="7"/>
    <x v="0"/>
    <x v="21"/>
    <n v="25"/>
    <n v="85"/>
  </r>
  <r>
    <x v="25"/>
    <x v="5"/>
    <x v="0"/>
    <x v="42"/>
    <n v="508"/>
    <n v="1727.2"/>
  </r>
  <r>
    <x v="26"/>
    <x v="8"/>
    <x v="0"/>
    <x v="32"/>
    <n v="429"/>
    <n v="1372.8000000000002"/>
  </r>
  <r>
    <x v="26"/>
    <x v="3"/>
    <x v="0"/>
    <x v="23"/>
    <n v="100"/>
    <n v="340"/>
  </r>
  <r>
    <x v="26"/>
    <x v="6"/>
    <x v="0"/>
    <x v="0"/>
    <n v="559"/>
    <n v="1341.6"/>
  </r>
  <r>
    <x v="26"/>
    <x v="7"/>
    <x v="0"/>
    <x v="10"/>
    <n v="483"/>
    <n v="1642.2"/>
  </r>
  <r>
    <x v="26"/>
    <x v="5"/>
    <x v="0"/>
    <x v="48"/>
    <n v="481"/>
    <n v="1635.3999999999999"/>
  </r>
  <r>
    <x v="26"/>
    <x v="7"/>
    <x v="0"/>
    <x v="38"/>
    <n v="19"/>
    <n v="64.599999999999994"/>
  </r>
  <r>
    <x v="26"/>
    <x v="1"/>
    <x v="0"/>
    <x v="16"/>
    <n v="344"/>
    <n v="1204"/>
  </r>
  <r>
    <x v="26"/>
    <x v="0"/>
    <x v="0"/>
    <x v="17"/>
    <n v="650"/>
    <n v="2210"/>
  </r>
  <r>
    <x v="27"/>
    <x v="3"/>
    <x v="0"/>
    <x v="24"/>
    <n v="187"/>
    <n v="635.79999999999995"/>
  </r>
  <r>
    <x v="27"/>
    <x v="2"/>
    <x v="0"/>
    <x v="11"/>
    <n v="433"/>
    <n v="1255.7"/>
  </r>
  <r>
    <x v="27"/>
    <x v="4"/>
    <x v="0"/>
    <x v="15"/>
    <n v="180"/>
    <n v="612"/>
  </r>
  <r>
    <x v="27"/>
    <x v="1"/>
    <x v="0"/>
    <x v="4"/>
    <n v="367"/>
    <n v="1284.5"/>
  </r>
  <r>
    <x v="27"/>
    <x v="1"/>
    <x v="0"/>
    <x v="31"/>
    <n v="231"/>
    <n v="808.5"/>
  </r>
  <r>
    <x v="27"/>
    <x v="3"/>
    <x v="0"/>
    <x v="31"/>
    <n v="255"/>
    <n v="867"/>
  </r>
  <r>
    <x v="27"/>
    <x v="1"/>
    <x v="0"/>
    <x v="8"/>
    <n v="551"/>
    <n v="1928.5"/>
  </r>
  <r>
    <x v="28"/>
    <x v="6"/>
    <x v="0"/>
    <x v="9"/>
    <n v="149"/>
    <n v="357.59999999999997"/>
  </r>
  <r>
    <x v="28"/>
    <x v="5"/>
    <x v="0"/>
    <x v="16"/>
    <n v="697"/>
    <n v="2369.7999999999997"/>
  </r>
  <r>
    <x v="28"/>
    <x v="1"/>
    <x v="0"/>
    <x v="1"/>
    <n v="433"/>
    <n v="1515.5"/>
  </r>
  <r>
    <x v="28"/>
    <x v="5"/>
    <x v="0"/>
    <x v="12"/>
    <n v="737"/>
    <n v="2505.7999999999997"/>
  </r>
  <r>
    <x v="28"/>
    <x v="3"/>
    <x v="0"/>
    <x v="30"/>
    <n v="366"/>
    <n v="1244.3999999999999"/>
  </r>
  <r>
    <x v="29"/>
    <x v="2"/>
    <x v="0"/>
    <x v="40"/>
    <n v="90"/>
    <n v="261"/>
  </r>
  <r>
    <x v="29"/>
    <x v="2"/>
    <x v="0"/>
    <x v="30"/>
    <n v="96"/>
    <n v="278.39999999999998"/>
  </r>
  <r>
    <x v="29"/>
    <x v="1"/>
    <x v="0"/>
    <x v="49"/>
    <n v="524"/>
    <n v="1834"/>
  </r>
  <r>
    <x v="29"/>
    <x v="8"/>
    <x v="0"/>
    <x v="27"/>
    <n v="100"/>
    <n v="320"/>
  </r>
  <r>
    <x v="29"/>
    <x v="7"/>
    <x v="0"/>
    <x v="10"/>
    <n v="84"/>
    <n v="285.59999999999997"/>
  </r>
  <r>
    <x v="29"/>
    <x v="3"/>
    <x v="0"/>
    <x v="0"/>
    <n v="388"/>
    <n v="1319.2"/>
  </r>
  <r>
    <x v="29"/>
    <x v="4"/>
    <x v="0"/>
    <x v="33"/>
    <n v="353"/>
    <n v="1200.2"/>
  </r>
  <r>
    <x v="30"/>
    <x v="3"/>
    <x v="0"/>
    <x v="32"/>
    <n v="185"/>
    <n v="629"/>
  </r>
  <r>
    <x v="30"/>
    <x v="0"/>
    <x v="0"/>
    <x v="4"/>
    <n v="388"/>
    <n v="1319.2"/>
  </r>
  <r>
    <x v="30"/>
    <x v="4"/>
    <x v="0"/>
    <x v="1"/>
    <n v="476"/>
    <n v="1618.3999999999999"/>
  </r>
  <r>
    <x v="30"/>
    <x v="5"/>
    <x v="0"/>
    <x v="24"/>
    <n v="330"/>
    <n v="1122"/>
  </r>
  <r>
    <x v="30"/>
    <x v="8"/>
    <x v="0"/>
    <x v="24"/>
    <n v="34"/>
    <n v="108.80000000000001"/>
  </r>
  <r>
    <x v="30"/>
    <x v="3"/>
    <x v="0"/>
    <x v="40"/>
    <n v="44"/>
    <n v="149.6"/>
  </r>
  <r>
    <x v="30"/>
    <x v="5"/>
    <x v="0"/>
    <x v="47"/>
    <n v="602"/>
    <n v="2046.8"/>
  </r>
  <r>
    <x v="30"/>
    <x v="8"/>
    <x v="0"/>
    <x v="16"/>
    <n v="107"/>
    <n v="342.40000000000003"/>
  </r>
  <r>
    <x v="30"/>
    <x v="1"/>
    <x v="0"/>
    <x v="11"/>
    <n v="335"/>
    <n v="1172.5"/>
  </r>
  <r>
    <x v="30"/>
    <x v="5"/>
    <x v="0"/>
    <x v="42"/>
    <n v="317"/>
    <n v="1077.8"/>
  </r>
  <r>
    <x v="30"/>
    <x v="2"/>
    <x v="0"/>
    <x v="31"/>
    <n v="49"/>
    <n v="142.1"/>
  </r>
  <r>
    <x v="30"/>
    <x v="0"/>
    <x v="0"/>
    <x v="38"/>
    <n v="578"/>
    <n v="1965.2"/>
  </r>
  <r>
    <x v="30"/>
    <x v="4"/>
    <x v="0"/>
    <x v="41"/>
    <n v="238"/>
    <n v="809.19999999999993"/>
  </r>
  <r>
    <x v="30"/>
    <x v="5"/>
    <x v="0"/>
    <x v="18"/>
    <n v="675"/>
    <n v="2295"/>
  </r>
  <r>
    <x v="30"/>
    <x v="5"/>
    <x v="0"/>
    <x v="40"/>
    <n v="477"/>
    <n v="1621.8"/>
  </r>
  <r>
    <x v="30"/>
    <x v="1"/>
    <x v="0"/>
    <x v="21"/>
    <n v="413"/>
    <n v="1445.5"/>
  </r>
  <r>
    <x v="30"/>
    <x v="0"/>
    <x v="0"/>
    <x v="15"/>
    <n v="421"/>
    <n v="1431.3999999999999"/>
  </r>
  <r>
    <x v="31"/>
    <x v="5"/>
    <x v="0"/>
    <x v="27"/>
    <n v="356"/>
    <n v="1210.3999999999999"/>
  </r>
  <r>
    <x v="31"/>
    <x v="7"/>
    <x v="0"/>
    <x v="13"/>
    <n v="341"/>
    <n v="1159.3999999999999"/>
  </r>
  <r>
    <x v="31"/>
    <x v="0"/>
    <x v="0"/>
    <x v="42"/>
    <n v="409"/>
    <n v="1390.6"/>
  </r>
  <r>
    <x v="31"/>
    <x v="5"/>
    <x v="0"/>
    <x v="41"/>
    <n v="353"/>
    <n v="1200.2"/>
  </r>
  <r>
    <x v="31"/>
    <x v="7"/>
    <x v="0"/>
    <x v="36"/>
    <n v="340"/>
    <n v="1156"/>
  </r>
  <r>
    <x v="31"/>
    <x v="6"/>
    <x v="0"/>
    <x v="11"/>
    <n v="191"/>
    <n v="458.4"/>
  </r>
  <r>
    <x v="32"/>
    <x v="7"/>
    <x v="0"/>
    <x v="29"/>
    <n v="170"/>
    <n v="578"/>
  </r>
  <r>
    <x v="32"/>
    <x v="6"/>
    <x v="0"/>
    <x v="27"/>
    <n v="396"/>
    <n v="950.4"/>
  </r>
  <r>
    <x v="32"/>
    <x v="1"/>
    <x v="0"/>
    <x v="27"/>
    <n v="581"/>
    <n v="2033.5"/>
  </r>
  <r>
    <x v="32"/>
    <x v="8"/>
    <x v="0"/>
    <x v="46"/>
    <n v="42"/>
    <n v="134.4"/>
  </r>
  <r>
    <x v="32"/>
    <x v="3"/>
    <x v="0"/>
    <x v="15"/>
    <n v="393"/>
    <n v="1336.2"/>
  </r>
  <r>
    <x v="32"/>
    <x v="8"/>
    <x v="0"/>
    <x v="6"/>
    <n v="333"/>
    <n v="1065.6000000000001"/>
  </r>
  <r>
    <x v="32"/>
    <x v="7"/>
    <x v="0"/>
    <x v="39"/>
    <n v="259"/>
    <n v="880.6"/>
  </r>
  <r>
    <x v="32"/>
    <x v="2"/>
    <x v="0"/>
    <x v="45"/>
    <n v="227"/>
    <n v="658.3"/>
  </r>
  <r>
    <x v="33"/>
    <x v="5"/>
    <x v="0"/>
    <x v="36"/>
    <n v="498"/>
    <n v="1693.2"/>
  </r>
  <r>
    <x v="33"/>
    <x v="8"/>
    <x v="0"/>
    <x v="40"/>
    <n v="308"/>
    <n v="985.6"/>
  </r>
  <r>
    <x v="33"/>
    <x v="2"/>
    <x v="0"/>
    <x v="6"/>
    <n v="46"/>
    <n v="133.4"/>
  </r>
  <r>
    <x v="33"/>
    <x v="0"/>
    <x v="0"/>
    <x v="15"/>
    <n v="331"/>
    <n v="1125.3999999999999"/>
  </r>
  <r>
    <x v="33"/>
    <x v="7"/>
    <x v="0"/>
    <x v="5"/>
    <n v="93"/>
    <n v="316.2"/>
  </r>
  <r>
    <x v="33"/>
    <x v="1"/>
    <x v="0"/>
    <x v="28"/>
    <n v="333"/>
    <n v="1165.5"/>
  </r>
  <r>
    <x v="33"/>
    <x v="4"/>
    <x v="0"/>
    <x v="7"/>
    <n v="421"/>
    <n v="1431.3999999999999"/>
  </r>
  <r>
    <x v="33"/>
    <x v="2"/>
    <x v="0"/>
    <x v="24"/>
    <n v="305"/>
    <n v="884.5"/>
  </r>
  <r>
    <x v="33"/>
    <x v="1"/>
    <x v="0"/>
    <x v="12"/>
    <n v="538"/>
    <n v="1883"/>
  </r>
  <r>
    <x v="34"/>
    <x v="7"/>
    <x v="0"/>
    <x v="14"/>
    <n v="167"/>
    <n v="567.79999999999995"/>
  </r>
  <r>
    <x v="34"/>
    <x v="7"/>
    <x v="0"/>
    <x v="34"/>
    <n v="71"/>
    <n v="241.4"/>
  </r>
  <r>
    <x v="34"/>
    <x v="0"/>
    <x v="0"/>
    <x v="25"/>
    <n v="609"/>
    <n v="2070.6"/>
  </r>
  <r>
    <x v="34"/>
    <x v="1"/>
    <x v="0"/>
    <x v="41"/>
    <n v="573"/>
    <n v="2005.5"/>
  </r>
  <r>
    <x v="34"/>
    <x v="4"/>
    <x v="0"/>
    <x v="33"/>
    <n v="111"/>
    <n v="377.4"/>
  </r>
  <r>
    <x v="34"/>
    <x v="5"/>
    <x v="0"/>
    <x v="28"/>
    <n v="728"/>
    <n v="2475.1999999999998"/>
  </r>
  <r>
    <x v="34"/>
    <x v="3"/>
    <x v="0"/>
    <x v="35"/>
    <n v="99"/>
    <n v="336.59999999999997"/>
  </r>
  <r>
    <x v="34"/>
    <x v="7"/>
    <x v="0"/>
    <x v="35"/>
    <n v="487"/>
    <n v="1655.8"/>
  </r>
  <r>
    <x v="34"/>
    <x v="0"/>
    <x v="0"/>
    <x v="30"/>
    <n v="375"/>
    <n v="1275"/>
  </r>
  <r>
    <x v="35"/>
    <x v="4"/>
    <x v="0"/>
    <x v="46"/>
    <n v="421"/>
    <n v="1431.3999999999999"/>
  </r>
  <r>
    <x v="35"/>
    <x v="8"/>
    <x v="0"/>
    <x v="31"/>
    <n v="163"/>
    <n v="521.6"/>
  </r>
  <r>
    <x v="36"/>
    <x v="3"/>
    <x v="0"/>
    <x v="37"/>
    <n v="489"/>
    <n v="1662.6"/>
  </r>
  <r>
    <x v="36"/>
    <x v="5"/>
    <x v="0"/>
    <x v="4"/>
    <n v="413"/>
    <n v="1404.2"/>
  </r>
  <r>
    <x v="36"/>
    <x v="2"/>
    <x v="0"/>
    <x v="42"/>
    <n v="16"/>
    <n v="46.4"/>
  </r>
  <r>
    <x v="36"/>
    <x v="1"/>
    <x v="0"/>
    <x v="30"/>
    <n v="293"/>
    <n v="1025.5"/>
  </r>
  <r>
    <x v="36"/>
    <x v="2"/>
    <x v="0"/>
    <x v="48"/>
    <n v="128"/>
    <n v="371.2"/>
  </r>
  <r>
    <x v="36"/>
    <x v="1"/>
    <x v="0"/>
    <x v="23"/>
    <n v="579"/>
    <n v="2026.5"/>
  </r>
  <r>
    <x v="36"/>
    <x v="6"/>
    <x v="0"/>
    <x v="44"/>
    <n v="150"/>
    <n v="360"/>
  </r>
  <r>
    <x v="36"/>
    <x v="8"/>
    <x v="0"/>
    <x v="26"/>
    <n v="465"/>
    <n v="1488"/>
  </r>
  <r>
    <x v="36"/>
    <x v="4"/>
    <x v="0"/>
    <x v="9"/>
    <n v="409"/>
    <n v="1390.6"/>
  </r>
  <r>
    <x v="36"/>
    <x v="2"/>
    <x v="0"/>
    <x v="15"/>
    <n v="402"/>
    <n v="1165.8"/>
  </r>
  <r>
    <x v="36"/>
    <x v="6"/>
    <x v="0"/>
    <x v="7"/>
    <n v="263"/>
    <n v="631.19999999999993"/>
  </r>
  <r>
    <x v="37"/>
    <x v="7"/>
    <x v="0"/>
    <x v="31"/>
    <n v="301"/>
    <n v="1023.4"/>
  </r>
  <r>
    <x v="37"/>
    <x v="1"/>
    <x v="0"/>
    <x v="37"/>
    <n v="603"/>
    <n v="2110.5"/>
  </r>
  <r>
    <x v="37"/>
    <x v="7"/>
    <x v="0"/>
    <x v="3"/>
    <n v="475"/>
    <n v="1615"/>
  </r>
  <r>
    <x v="37"/>
    <x v="0"/>
    <x v="0"/>
    <x v="2"/>
    <n v="387"/>
    <n v="1315.8"/>
  </r>
  <r>
    <x v="37"/>
    <x v="6"/>
    <x v="0"/>
    <x v="10"/>
    <n v="574"/>
    <n v="1377.6"/>
  </r>
  <r>
    <x v="37"/>
    <x v="8"/>
    <x v="0"/>
    <x v="43"/>
    <n v="294"/>
    <n v="940.80000000000007"/>
  </r>
  <r>
    <x v="37"/>
    <x v="5"/>
    <x v="0"/>
    <x v="15"/>
    <n v="753"/>
    <n v="2560.1999999999998"/>
  </r>
  <r>
    <x v="37"/>
    <x v="4"/>
    <x v="0"/>
    <x v="32"/>
    <n v="154"/>
    <n v="523.6"/>
  </r>
  <r>
    <x v="37"/>
    <x v="8"/>
    <x v="0"/>
    <x v="37"/>
    <n v="281"/>
    <n v="899.2"/>
  </r>
  <r>
    <x v="38"/>
    <x v="2"/>
    <x v="0"/>
    <x v="43"/>
    <n v="25"/>
    <n v="72.5"/>
  </r>
  <r>
    <x v="38"/>
    <x v="5"/>
    <x v="0"/>
    <x v="10"/>
    <n v="463"/>
    <n v="1574.2"/>
  </r>
  <r>
    <x v="38"/>
    <x v="8"/>
    <x v="0"/>
    <x v="25"/>
    <n v="221"/>
    <n v="707.2"/>
  </r>
  <r>
    <x v="38"/>
    <x v="5"/>
    <x v="0"/>
    <x v="41"/>
    <n v="780"/>
    <n v="2652"/>
  </r>
  <r>
    <x v="38"/>
    <x v="6"/>
    <x v="0"/>
    <x v="26"/>
    <n v="542"/>
    <n v="1300.8"/>
  </r>
  <r>
    <x v="38"/>
    <x v="6"/>
    <x v="0"/>
    <x v="16"/>
    <n v="231"/>
    <n v="554.4"/>
  </r>
  <r>
    <x v="38"/>
    <x v="0"/>
    <x v="0"/>
    <x v="23"/>
    <n v="510"/>
    <n v="1734"/>
  </r>
  <r>
    <x v="38"/>
    <x v="0"/>
    <x v="0"/>
    <x v="2"/>
    <n v="384"/>
    <n v="1305.5999999999999"/>
  </r>
  <r>
    <x v="38"/>
    <x v="8"/>
    <x v="0"/>
    <x v="31"/>
    <n v="39"/>
    <n v="124.80000000000001"/>
  </r>
  <r>
    <x v="38"/>
    <x v="8"/>
    <x v="0"/>
    <x v="16"/>
    <n v="241"/>
    <n v="771.2"/>
  </r>
  <r>
    <x v="39"/>
    <x v="8"/>
    <x v="0"/>
    <x v="42"/>
    <n v="477"/>
    <n v="1526.4"/>
  </r>
  <r>
    <x v="39"/>
    <x v="0"/>
    <x v="0"/>
    <x v="34"/>
    <n v="543"/>
    <n v="1846.2"/>
  </r>
  <r>
    <x v="39"/>
    <x v="4"/>
    <x v="0"/>
    <x v="45"/>
    <n v="424"/>
    <n v="1441.6"/>
  </r>
  <r>
    <x v="39"/>
    <x v="5"/>
    <x v="0"/>
    <x v="25"/>
    <n v="522"/>
    <n v="1774.8"/>
  </r>
  <r>
    <x v="39"/>
    <x v="1"/>
    <x v="0"/>
    <x v="11"/>
    <n v="227"/>
    <n v="794.5"/>
  </r>
  <r>
    <x v="39"/>
    <x v="8"/>
    <x v="0"/>
    <x v="34"/>
    <n v="293"/>
    <n v="937.6"/>
  </r>
  <r>
    <x v="40"/>
    <x v="4"/>
    <x v="0"/>
    <x v="4"/>
    <n v="408"/>
    <n v="1387.2"/>
  </r>
  <r>
    <x v="40"/>
    <x v="5"/>
    <x v="0"/>
    <x v="28"/>
    <n v="315"/>
    <n v="1071"/>
  </r>
  <r>
    <x v="40"/>
    <x v="1"/>
    <x v="0"/>
    <x v="31"/>
    <n v="610"/>
    <n v="2135"/>
  </r>
  <r>
    <x v="40"/>
    <x v="4"/>
    <x v="0"/>
    <x v="8"/>
    <n v="483"/>
    <n v="1642.2"/>
  </r>
  <r>
    <x v="40"/>
    <x v="3"/>
    <x v="0"/>
    <x v="38"/>
    <n v="243"/>
    <n v="826.19999999999993"/>
  </r>
  <r>
    <x v="41"/>
    <x v="6"/>
    <x v="0"/>
    <x v="35"/>
    <n v="272"/>
    <n v="652.79999999999995"/>
  </r>
  <r>
    <x v="41"/>
    <x v="8"/>
    <x v="0"/>
    <x v="43"/>
    <n v="398"/>
    <n v="1273.6000000000001"/>
  </r>
  <r>
    <x v="41"/>
    <x v="4"/>
    <x v="0"/>
    <x v="45"/>
    <n v="90"/>
    <n v="306"/>
  </r>
  <r>
    <x v="41"/>
    <x v="8"/>
    <x v="0"/>
    <x v="21"/>
    <n v="176"/>
    <n v="563.20000000000005"/>
  </r>
  <r>
    <x v="41"/>
    <x v="2"/>
    <x v="0"/>
    <x v="31"/>
    <n v="342"/>
    <n v="991.8"/>
  </r>
  <r>
    <x v="41"/>
    <x v="7"/>
    <x v="0"/>
    <x v="27"/>
    <n v="456"/>
    <n v="1550.3999999999999"/>
  </r>
  <r>
    <x v="41"/>
    <x v="5"/>
    <x v="0"/>
    <x v="11"/>
    <n v="483"/>
    <n v="1642.2"/>
  </r>
  <r>
    <x v="41"/>
    <x v="1"/>
    <x v="0"/>
    <x v="38"/>
    <n v="682"/>
    <n v="2387"/>
  </r>
  <r>
    <x v="42"/>
    <x v="8"/>
    <x v="0"/>
    <x v="44"/>
    <n v="430"/>
    <n v="1376"/>
  </r>
  <r>
    <x v="42"/>
    <x v="2"/>
    <x v="0"/>
    <x v="46"/>
    <n v="85"/>
    <n v="246.5"/>
  </r>
  <r>
    <x v="42"/>
    <x v="1"/>
    <x v="0"/>
    <x v="32"/>
    <n v="292"/>
    <n v="1022"/>
  </r>
  <r>
    <x v="42"/>
    <x v="6"/>
    <x v="0"/>
    <x v="25"/>
    <n v="408"/>
    <n v="979.19999999999993"/>
  </r>
  <r>
    <x v="42"/>
    <x v="0"/>
    <x v="0"/>
    <x v="14"/>
    <n v="680"/>
    <n v="2312"/>
  </r>
  <r>
    <x v="42"/>
    <x v="7"/>
    <x v="0"/>
    <x v="36"/>
    <n v="372"/>
    <n v="1264.8"/>
  </r>
  <r>
    <x v="42"/>
    <x v="5"/>
    <x v="0"/>
    <x v="46"/>
    <n v="454"/>
    <n v="1543.6"/>
  </r>
  <r>
    <x v="42"/>
    <x v="5"/>
    <x v="0"/>
    <x v="31"/>
    <n v="354"/>
    <n v="1203.5999999999999"/>
  </r>
  <r>
    <x v="42"/>
    <x v="6"/>
    <x v="0"/>
    <x v="3"/>
    <n v="316"/>
    <n v="758.4"/>
  </r>
  <r>
    <x v="42"/>
    <x v="6"/>
    <x v="0"/>
    <x v="3"/>
    <n v="377"/>
    <n v="904.8"/>
  </r>
  <r>
    <x v="42"/>
    <x v="0"/>
    <x v="0"/>
    <x v="36"/>
    <n v="692"/>
    <n v="2352.7999999999997"/>
  </r>
  <r>
    <x v="42"/>
    <x v="2"/>
    <x v="0"/>
    <x v="21"/>
    <n v="435"/>
    <n v="1261.5"/>
  </r>
  <r>
    <x v="42"/>
    <x v="3"/>
    <x v="0"/>
    <x v="18"/>
    <n v="130"/>
    <n v="442"/>
  </r>
  <r>
    <x v="42"/>
    <x v="3"/>
    <x v="0"/>
    <x v="41"/>
    <n v="74"/>
    <n v="251.6"/>
  </r>
  <r>
    <x v="42"/>
    <x v="3"/>
    <x v="0"/>
    <x v="15"/>
    <n v="205"/>
    <n v="697"/>
  </r>
  <r>
    <x v="42"/>
    <x v="2"/>
    <x v="0"/>
    <x v="23"/>
    <n v="332"/>
    <n v="962.8"/>
  </r>
  <r>
    <x v="42"/>
    <x v="2"/>
    <x v="0"/>
    <x v="29"/>
    <n v="67"/>
    <n v="194.29999999999998"/>
  </r>
  <r>
    <x v="43"/>
    <x v="4"/>
    <x v="0"/>
    <x v="29"/>
    <n v="447"/>
    <n v="1519.8"/>
  </r>
  <r>
    <x v="43"/>
    <x v="2"/>
    <x v="0"/>
    <x v="15"/>
    <n v="112"/>
    <n v="324.8"/>
  </r>
  <r>
    <x v="43"/>
    <x v="1"/>
    <x v="0"/>
    <x v="18"/>
    <n v="599"/>
    <n v="2096.5"/>
  </r>
  <r>
    <x v="43"/>
    <x v="1"/>
    <x v="0"/>
    <x v="13"/>
    <n v="235"/>
    <n v="822.5"/>
  </r>
  <r>
    <x v="43"/>
    <x v="6"/>
    <x v="0"/>
    <x v="34"/>
    <n v="155"/>
    <n v="372"/>
  </r>
  <r>
    <x v="43"/>
    <x v="7"/>
    <x v="0"/>
    <x v="11"/>
    <n v="141"/>
    <n v="479.4"/>
  </r>
  <r>
    <x v="43"/>
    <x v="3"/>
    <x v="0"/>
    <x v="6"/>
    <n v="316"/>
    <n v="1074.3999999999999"/>
  </r>
  <r>
    <x v="44"/>
    <x v="1"/>
    <x v="0"/>
    <x v="41"/>
    <n v="510"/>
    <n v="1785"/>
  </r>
  <r>
    <x v="44"/>
    <x v="0"/>
    <x v="0"/>
    <x v="36"/>
    <n v="576"/>
    <n v="1958.3999999999999"/>
  </r>
  <r>
    <x v="44"/>
    <x v="0"/>
    <x v="0"/>
    <x v="39"/>
    <n v="390"/>
    <n v="1326"/>
  </r>
  <r>
    <x v="44"/>
    <x v="6"/>
    <x v="0"/>
    <x v="37"/>
    <n v="305"/>
    <n v="732"/>
  </r>
  <r>
    <x v="44"/>
    <x v="2"/>
    <x v="0"/>
    <x v="27"/>
    <n v="395"/>
    <n v="1145.5"/>
  </r>
  <r>
    <x v="44"/>
    <x v="5"/>
    <x v="0"/>
    <x v="17"/>
    <n v="448"/>
    <n v="1523.2"/>
  </r>
  <r>
    <x v="44"/>
    <x v="0"/>
    <x v="0"/>
    <x v="33"/>
    <n v="448"/>
    <n v="1523.2"/>
  </r>
  <r>
    <x v="45"/>
    <x v="2"/>
    <x v="0"/>
    <x v="31"/>
    <n v="418"/>
    <n v="1212.2"/>
  </r>
  <r>
    <x v="45"/>
    <x v="6"/>
    <x v="0"/>
    <x v="3"/>
    <n v="328"/>
    <n v="787.19999999999993"/>
  </r>
  <r>
    <x v="45"/>
    <x v="1"/>
    <x v="0"/>
    <x v="30"/>
    <n v="578"/>
    <n v="2023"/>
  </r>
  <r>
    <x v="45"/>
    <x v="3"/>
    <x v="0"/>
    <x v="0"/>
    <n v="418"/>
    <n v="1421.2"/>
  </r>
  <r>
    <x v="46"/>
    <x v="5"/>
    <x v="0"/>
    <x v="4"/>
    <n v="678"/>
    <n v="2305.1999999999998"/>
  </r>
  <r>
    <x v="46"/>
    <x v="0"/>
    <x v="0"/>
    <x v="48"/>
    <n v="685"/>
    <n v="2329"/>
  </r>
  <r>
    <x v="46"/>
    <x v="3"/>
    <x v="0"/>
    <x v="45"/>
    <n v="126"/>
    <n v="428.4"/>
  </r>
  <r>
    <x v="46"/>
    <x v="2"/>
    <x v="0"/>
    <x v="0"/>
    <n v="133"/>
    <n v="385.7"/>
  </r>
  <r>
    <x v="46"/>
    <x v="5"/>
    <x v="0"/>
    <x v="25"/>
    <n v="603"/>
    <n v="2050.1999999999998"/>
  </r>
  <r>
    <x v="47"/>
    <x v="7"/>
    <x v="0"/>
    <x v="44"/>
    <n v="491"/>
    <n v="1669.3999999999999"/>
  </r>
  <r>
    <x v="47"/>
    <x v="2"/>
    <x v="0"/>
    <x v="19"/>
    <n v="133"/>
    <n v="385.7"/>
  </r>
  <r>
    <x v="47"/>
    <x v="1"/>
    <x v="0"/>
    <x v="32"/>
    <n v="628"/>
    <n v="2198"/>
  </r>
  <r>
    <x v="47"/>
    <x v="8"/>
    <x v="0"/>
    <x v="39"/>
    <n v="413"/>
    <n v="1321.6000000000001"/>
  </r>
  <r>
    <x v="47"/>
    <x v="5"/>
    <x v="0"/>
    <x v="3"/>
    <n v="556"/>
    <n v="1890.3999999999999"/>
  </r>
  <r>
    <x v="48"/>
    <x v="5"/>
    <x v="0"/>
    <x v="13"/>
    <n v="459"/>
    <n v="1560.6"/>
  </r>
  <r>
    <x v="48"/>
    <x v="0"/>
    <x v="0"/>
    <x v="41"/>
    <n v="332"/>
    <n v="1128.8"/>
  </r>
  <r>
    <x v="48"/>
    <x v="5"/>
    <x v="0"/>
    <x v="33"/>
    <n v="489"/>
    <n v="1662.6"/>
  </r>
  <r>
    <x v="48"/>
    <x v="6"/>
    <x v="0"/>
    <x v="41"/>
    <n v="172"/>
    <n v="412.8"/>
  </r>
  <r>
    <x v="48"/>
    <x v="0"/>
    <x v="0"/>
    <x v="20"/>
    <n v="674"/>
    <n v="2291.6"/>
  </r>
  <r>
    <x v="48"/>
    <x v="4"/>
    <x v="0"/>
    <x v="21"/>
    <n v="209"/>
    <n v="710.6"/>
  </r>
  <r>
    <x v="48"/>
    <x v="3"/>
    <x v="0"/>
    <x v="39"/>
    <n v="177"/>
    <n v="601.79999999999995"/>
  </r>
  <r>
    <x v="48"/>
    <x v="2"/>
    <x v="0"/>
    <x v="15"/>
    <n v="14"/>
    <n v="40.6"/>
  </r>
  <r>
    <x v="48"/>
    <x v="7"/>
    <x v="0"/>
    <x v="36"/>
    <n v="36"/>
    <n v="122.39999999999999"/>
  </r>
  <r>
    <x v="48"/>
    <x v="6"/>
    <x v="0"/>
    <x v="25"/>
    <n v="480"/>
    <n v="1152"/>
  </r>
  <r>
    <x v="48"/>
    <x v="8"/>
    <x v="0"/>
    <x v="26"/>
    <n v="65"/>
    <n v="208"/>
  </r>
  <r>
    <x v="48"/>
    <x v="8"/>
    <x v="0"/>
    <x v="49"/>
    <n v="322"/>
    <n v="1030.4000000000001"/>
  </r>
  <r>
    <x v="49"/>
    <x v="7"/>
    <x v="0"/>
    <x v="6"/>
    <n v="466"/>
    <n v="1584.3999999999999"/>
  </r>
  <r>
    <x v="49"/>
    <x v="4"/>
    <x v="0"/>
    <x v="0"/>
    <n v="100"/>
    <n v="340"/>
  </r>
  <r>
    <x v="49"/>
    <x v="0"/>
    <x v="0"/>
    <x v="3"/>
    <n v="337"/>
    <n v="1145.8"/>
  </r>
  <r>
    <x v="49"/>
    <x v="3"/>
    <x v="0"/>
    <x v="36"/>
    <n v="302"/>
    <n v="1026.8"/>
  </r>
  <r>
    <x v="49"/>
    <x v="0"/>
    <x v="0"/>
    <x v="19"/>
    <n v="223"/>
    <n v="758.19999999999993"/>
  </r>
  <r>
    <x v="49"/>
    <x v="0"/>
    <x v="0"/>
    <x v="18"/>
    <n v="320"/>
    <n v="1088"/>
  </r>
  <r>
    <x v="49"/>
    <x v="5"/>
    <x v="0"/>
    <x v="26"/>
    <n v="329"/>
    <n v="1118.5999999999999"/>
  </r>
  <r>
    <x v="49"/>
    <x v="6"/>
    <x v="0"/>
    <x v="43"/>
    <n v="321"/>
    <n v="770.4"/>
  </r>
  <r>
    <x v="49"/>
    <x v="8"/>
    <x v="0"/>
    <x v="41"/>
    <n v="123"/>
    <n v="393.6"/>
  </r>
  <r>
    <x v="49"/>
    <x v="1"/>
    <x v="0"/>
    <x v="49"/>
    <n v="560"/>
    <n v="1960"/>
  </r>
  <r>
    <x v="50"/>
    <x v="6"/>
    <x v="0"/>
    <x v="46"/>
    <n v="536"/>
    <n v="1286.3999999999999"/>
  </r>
  <r>
    <x v="50"/>
    <x v="1"/>
    <x v="0"/>
    <x v="12"/>
    <n v="345"/>
    <n v="1207.5"/>
  </r>
  <r>
    <x v="50"/>
    <x v="6"/>
    <x v="0"/>
    <x v="1"/>
    <n v="238"/>
    <n v="571.19999999999993"/>
  </r>
  <r>
    <x v="50"/>
    <x v="7"/>
    <x v="0"/>
    <x v="16"/>
    <n v="12"/>
    <n v="40.799999999999997"/>
  </r>
  <r>
    <x v="50"/>
    <x v="6"/>
    <x v="0"/>
    <x v="34"/>
    <n v="488"/>
    <n v="1171.2"/>
  </r>
  <r>
    <x v="50"/>
    <x v="1"/>
    <x v="0"/>
    <x v="19"/>
    <n v="537"/>
    <n v="1879.5"/>
  </r>
  <r>
    <x v="50"/>
    <x v="7"/>
    <x v="0"/>
    <x v="2"/>
    <n v="86"/>
    <n v="292.39999999999998"/>
  </r>
  <r>
    <x v="50"/>
    <x v="7"/>
    <x v="0"/>
    <x v="1"/>
    <n v="478"/>
    <n v="1625.2"/>
  </r>
  <r>
    <x v="51"/>
    <x v="6"/>
    <x v="0"/>
    <x v="34"/>
    <n v="263"/>
    <n v="631.19999999999993"/>
  </r>
  <r>
    <x v="51"/>
    <x v="6"/>
    <x v="0"/>
    <x v="7"/>
    <n v="438"/>
    <n v="1051.2"/>
  </r>
  <r>
    <x v="51"/>
    <x v="2"/>
    <x v="0"/>
    <x v="29"/>
    <n v="39"/>
    <n v="113.1"/>
  </r>
  <r>
    <x v="51"/>
    <x v="3"/>
    <x v="0"/>
    <x v="40"/>
    <n v="426"/>
    <n v="1448.3999999999999"/>
  </r>
  <r>
    <x v="51"/>
    <x v="2"/>
    <x v="0"/>
    <x v="38"/>
    <n v="426"/>
    <n v="1235.3999999999999"/>
  </r>
  <r>
    <x v="51"/>
    <x v="3"/>
    <x v="0"/>
    <x v="38"/>
    <n v="80"/>
    <n v="272"/>
  </r>
  <r>
    <x v="51"/>
    <x v="1"/>
    <x v="0"/>
    <x v="35"/>
    <n v="394"/>
    <n v="1379"/>
  </r>
  <r>
    <x v="51"/>
    <x v="8"/>
    <x v="0"/>
    <x v="36"/>
    <n v="393"/>
    <n v="1257.6000000000001"/>
  </r>
  <r>
    <x v="51"/>
    <x v="2"/>
    <x v="0"/>
    <x v="0"/>
    <n v="488"/>
    <n v="1415.2"/>
  </r>
  <r>
    <x v="52"/>
    <x v="6"/>
    <x v="0"/>
    <x v="43"/>
    <n v="563"/>
    <n v="1351.2"/>
  </r>
  <r>
    <x v="52"/>
    <x v="1"/>
    <x v="0"/>
    <x v="21"/>
    <n v="436"/>
    <n v="1526"/>
  </r>
  <r>
    <x v="52"/>
    <x v="1"/>
    <x v="0"/>
    <x v="35"/>
    <n v="668"/>
    <n v="2338"/>
  </r>
  <r>
    <x v="52"/>
    <x v="7"/>
    <x v="0"/>
    <x v="37"/>
    <n v="274"/>
    <n v="931.6"/>
  </r>
  <r>
    <x v="52"/>
    <x v="6"/>
    <x v="0"/>
    <x v="33"/>
    <n v="583"/>
    <n v="1399.2"/>
  </r>
  <r>
    <x v="52"/>
    <x v="3"/>
    <x v="0"/>
    <x v="8"/>
    <n v="224"/>
    <n v="761.6"/>
  </r>
  <r>
    <x v="52"/>
    <x v="7"/>
    <x v="0"/>
    <x v="19"/>
    <n v="364"/>
    <n v="1237.5999999999999"/>
  </r>
  <r>
    <x v="53"/>
    <x v="7"/>
    <x v="0"/>
    <x v="39"/>
    <n v="459"/>
    <n v="1560.6"/>
  </r>
  <r>
    <x v="53"/>
    <x v="1"/>
    <x v="0"/>
    <x v="15"/>
    <n v="244"/>
    <n v="854"/>
  </r>
  <r>
    <x v="53"/>
    <x v="2"/>
    <x v="0"/>
    <x v="15"/>
    <n v="302"/>
    <n v="875.8"/>
  </r>
  <r>
    <x v="53"/>
    <x v="1"/>
    <x v="0"/>
    <x v="9"/>
    <n v="409"/>
    <n v="1431.5"/>
  </r>
  <r>
    <x v="53"/>
    <x v="3"/>
    <x v="0"/>
    <x v="10"/>
    <n v="269"/>
    <n v="914.6"/>
  </r>
  <r>
    <x v="53"/>
    <x v="8"/>
    <x v="0"/>
    <x v="8"/>
    <n v="418"/>
    <n v="1337.6000000000001"/>
  </r>
  <r>
    <x v="53"/>
    <x v="1"/>
    <x v="0"/>
    <x v="3"/>
    <n v="213"/>
    <n v="745.5"/>
  </r>
  <r>
    <x v="53"/>
    <x v="1"/>
    <x v="0"/>
    <x v="11"/>
    <n v="342"/>
    <n v="1197"/>
  </r>
  <r>
    <x v="53"/>
    <x v="1"/>
    <x v="0"/>
    <x v="46"/>
    <n v="495"/>
    <n v="1732.5"/>
  </r>
  <r>
    <x v="53"/>
    <x v="3"/>
    <x v="0"/>
    <x v="49"/>
    <n v="180"/>
    <n v="612"/>
  </r>
  <r>
    <x v="53"/>
    <x v="5"/>
    <x v="0"/>
    <x v="14"/>
    <n v="743"/>
    <n v="2526.1999999999998"/>
  </r>
  <r>
    <x v="54"/>
    <x v="2"/>
    <x v="0"/>
    <x v="21"/>
    <n v="405"/>
    <n v="1174.5"/>
  </r>
  <r>
    <x v="54"/>
    <x v="3"/>
    <x v="0"/>
    <x v="40"/>
    <n v="264"/>
    <n v="897.6"/>
  </r>
  <r>
    <x v="54"/>
    <x v="0"/>
    <x v="0"/>
    <x v="31"/>
    <n v="419"/>
    <n v="1424.6"/>
  </r>
  <r>
    <x v="54"/>
    <x v="8"/>
    <x v="0"/>
    <x v="0"/>
    <n v="85"/>
    <n v="272"/>
  </r>
  <r>
    <x v="54"/>
    <x v="7"/>
    <x v="0"/>
    <x v="5"/>
    <n v="165"/>
    <n v="561"/>
  </r>
  <r>
    <x v="54"/>
    <x v="2"/>
    <x v="0"/>
    <x v="28"/>
    <n v="91"/>
    <n v="263.89999999999998"/>
  </r>
  <r>
    <x v="54"/>
    <x v="6"/>
    <x v="0"/>
    <x v="29"/>
    <n v="573"/>
    <n v="1375.2"/>
  </r>
  <r>
    <x v="55"/>
    <x v="8"/>
    <x v="0"/>
    <x v="29"/>
    <n v="114"/>
    <n v="364.8"/>
  </r>
  <r>
    <x v="55"/>
    <x v="5"/>
    <x v="0"/>
    <x v="27"/>
    <n v="529"/>
    <n v="1798.6"/>
  </r>
  <r>
    <x v="55"/>
    <x v="5"/>
    <x v="0"/>
    <x v="23"/>
    <n v="658"/>
    <n v="2237.1999999999998"/>
  </r>
  <r>
    <x v="55"/>
    <x v="6"/>
    <x v="0"/>
    <x v="0"/>
    <n v="129"/>
    <n v="309.59999999999997"/>
  </r>
  <r>
    <x v="56"/>
    <x v="4"/>
    <x v="0"/>
    <x v="36"/>
    <n v="249"/>
    <n v="846.6"/>
  </r>
  <r>
    <x v="56"/>
    <x v="5"/>
    <x v="0"/>
    <x v="2"/>
    <n v="768"/>
    <n v="2611.1999999999998"/>
  </r>
  <r>
    <x v="56"/>
    <x v="3"/>
    <x v="0"/>
    <x v="4"/>
    <n v="258"/>
    <n v="877.19999999999993"/>
  </r>
  <r>
    <x v="56"/>
    <x v="8"/>
    <x v="0"/>
    <x v="32"/>
    <n v="112"/>
    <n v="358.40000000000003"/>
  </r>
  <r>
    <x v="57"/>
    <x v="8"/>
    <x v="0"/>
    <x v="5"/>
    <n v="497"/>
    <n v="1590.4"/>
  </r>
  <r>
    <x v="57"/>
    <x v="8"/>
    <x v="0"/>
    <x v="12"/>
    <n v="277"/>
    <n v="886.40000000000009"/>
  </r>
  <r>
    <x v="57"/>
    <x v="0"/>
    <x v="0"/>
    <x v="25"/>
    <n v="420"/>
    <n v="1428"/>
  </r>
  <r>
    <x v="57"/>
    <x v="0"/>
    <x v="0"/>
    <x v="5"/>
    <n v="408"/>
    <n v="1387.2"/>
  </r>
  <r>
    <x v="57"/>
    <x v="2"/>
    <x v="0"/>
    <x v="12"/>
    <n v="133"/>
    <n v="385.7"/>
  </r>
  <r>
    <x v="57"/>
    <x v="8"/>
    <x v="0"/>
    <x v="19"/>
    <n v="372"/>
    <n v="1190.4000000000001"/>
  </r>
  <r>
    <x v="57"/>
    <x v="7"/>
    <x v="0"/>
    <x v="3"/>
    <n v="34"/>
    <n v="115.6"/>
  </r>
  <r>
    <x v="58"/>
    <x v="2"/>
    <x v="0"/>
    <x v="14"/>
    <n v="96"/>
    <n v="278.39999999999998"/>
  </r>
  <r>
    <x v="58"/>
    <x v="7"/>
    <x v="0"/>
    <x v="7"/>
    <n v="17"/>
    <n v="57.8"/>
  </r>
  <r>
    <x v="58"/>
    <x v="8"/>
    <x v="0"/>
    <x v="13"/>
    <n v="381"/>
    <n v="1219.2"/>
  </r>
  <r>
    <x v="58"/>
    <x v="0"/>
    <x v="0"/>
    <x v="38"/>
    <n v="482"/>
    <n v="1638.8"/>
  </r>
  <r>
    <x v="58"/>
    <x v="1"/>
    <x v="0"/>
    <x v="20"/>
    <n v="322"/>
    <n v="1127"/>
  </r>
  <r>
    <x v="58"/>
    <x v="1"/>
    <x v="0"/>
    <x v="47"/>
    <n v="614"/>
    <n v="2149"/>
  </r>
  <r>
    <x v="58"/>
    <x v="5"/>
    <x v="0"/>
    <x v="19"/>
    <n v="408"/>
    <n v="1387.2"/>
  </r>
  <r>
    <x v="58"/>
    <x v="7"/>
    <x v="0"/>
    <x v="10"/>
    <n v="81"/>
    <n v="275.39999999999998"/>
  </r>
  <r>
    <x v="58"/>
    <x v="5"/>
    <x v="0"/>
    <x v="9"/>
    <n v="750"/>
    <n v="2550"/>
  </r>
  <r>
    <x v="58"/>
    <x v="4"/>
    <x v="0"/>
    <x v="26"/>
    <n v="127"/>
    <n v="431.8"/>
  </r>
  <r>
    <x v="59"/>
    <x v="1"/>
    <x v="0"/>
    <x v="43"/>
    <n v="324"/>
    <n v="1134"/>
  </r>
  <r>
    <x v="59"/>
    <x v="1"/>
    <x v="0"/>
    <x v="35"/>
    <n v="386"/>
    <n v="1351"/>
  </r>
  <r>
    <x v="59"/>
    <x v="1"/>
    <x v="0"/>
    <x v="41"/>
    <n v="278"/>
    <n v="973"/>
  </r>
  <r>
    <x v="59"/>
    <x v="3"/>
    <x v="0"/>
    <x v="5"/>
    <n v="359"/>
    <n v="1220.5999999999999"/>
  </r>
  <r>
    <x v="59"/>
    <x v="7"/>
    <x v="0"/>
    <x v="30"/>
    <n v="397"/>
    <n v="1349.8"/>
  </r>
  <r>
    <x v="59"/>
    <x v="6"/>
    <x v="0"/>
    <x v="48"/>
    <n v="437"/>
    <n v="1048.8"/>
  </r>
  <r>
    <x v="59"/>
    <x v="2"/>
    <x v="0"/>
    <x v="15"/>
    <n v="53"/>
    <n v="153.69999999999999"/>
  </r>
  <r>
    <x v="60"/>
    <x v="1"/>
    <x v="0"/>
    <x v="11"/>
    <n v="461"/>
    <n v="1613.5"/>
  </r>
  <r>
    <x v="60"/>
    <x v="5"/>
    <x v="0"/>
    <x v="38"/>
    <n v="661"/>
    <n v="2247.4"/>
  </r>
  <r>
    <x v="60"/>
    <x v="5"/>
    <x v="0"/>
    <x v="0"/>
    <n v="506"/>
    <n v="1720.3999999999999"/>
  </r>
  <r>
    <x v="60"/>
    <x v="2"/>
    <x v="0"/>
    <x v="24"/>
    <n v="301"/>
    <n v="872.9"/>
  </r>
  <r>
    <x v="60"/>
    <x v="8"/>
    <x v="0"/>
    <x v="48"/>
    <n v="223"/>
    <n v="713.6"/>
  </r>
  <r>
    <x v="60"/>
    <x v="7"/>
    <x v="0"/>
    <x v="33"/>
    <n v="402"/>
    <n v="1366.8"/>
  </r>
  <r>
    <x v="60"/>
    <x v="0"/>
    <x v="0"/>
    <x v="37"/>
    <n v="454"/>
    <n v="1543.6"/>
  </r>
  <r>
    <x v="60"/>
    <x v="0"/>
    <x v="0"/>
    <x v="35"/>
    <n v="497"/>
    <n v="1689.8"/>
  </r>
  <r>
    <x v="60"/>
    <x v="1"/>
    <x v="0"/>
    <x v="39"/>
    <n v="667"/>
    <n v="2334.5"/>
  </r>
  <r>
    <x v="61"/>
    <x v="1"/>
    <x v="0"/>
    <x v="39"/>
    <n v="231"/>
    <n v="808.5"/>
  </r>
  <r>
    <x v="61"/>
    <x v="0"/>
    <x v="0"/>
    <x v="26"/>
    <n v="469"/>
    <n v="1594.6"/>
  </r>
  <r>
    <x v="61"/>
    <x v="6"/>
    <x v="0"/>
    <x v="9"/>
    <n v="546"/>
    <n v="1310.3999999999999"/>
  </r>
  <r>
    <x v="61"/>
    <x v="0"/>
    <x v="0"/>
    <x v="43"/>
    <n v="408"/>
    <n v="1387.2"/>
  </r>
  <r>
    <x v="61"/>
    <x v="7"/>
    <x v="0"/>
    <x v="38"/>
    <n v="393"/>
    <n v="1336.2"/>
  </r>
  <r>
    <x v="61"/>
    <x v="0"/>
    <x v="0"/>
    <x v="31"/>
    <n v="245"/>
    <n v="833"/>
  </r>
  <r>
    <x v="61"/>
    <x v="7"/>
    <x v="0"/>
    <x v="9"/>
    <n v="68"/>
    <n v="231.2"/>
  </r>
  <r>
    <x v="62"/>
    <x v="3"/>
    <x v="0"/>
    <x v="45"/>
    <n v="182"/>
    <n v="618.79999999999995"/>
  </r>
  <r>
    <x v="62"/>
    <x v="8"/>
    <x v="0"/>
    <x v="16"/>
    <n v="116"/>
    <n v="371.20000000000005"/>
  </r>
  <r>
    <x v="62"/>
    <x v="0"/>
    <x v="0"/>
    <x v="42"/>
    <n v="512"/>
    <n v="1740.8"/>
  </r>
  <r>
    <x v="62"/>
    <x v="4"/>
    <x v="0"/>
    <x v="18"/>
    <n v="344"/>
    <n v="1169.5999999999999"/>
  </r>
  <r>
    <x v="62"/>
    <x v="1"/>
    <x v="0"/>
    <x v="13"/>
    <n v="374"/>
    <n v="1309"/>
  </r>
  <r>
    <x v="62"/>
    <x v="7"/>
    <x v="0"/>
    <x v="21"/>
    <n v="40"/>
    <n v="136"/>
  </r>
  <r>
    <x v="62"/>
    <x v="3"/>
    <x v="0"/>
    <x v="4"/>
    <n v="243"/>
    <n v="826.19999999999993"/>
  </r>
  <r>
    <x v="62"/>
    <x v="5"/>
    <x v="0"/>
    <x v="20"/>
    <n v="405"/>
    <n v="1377"/>
  </r>
  <r>
    <x v="63"/>
    <x v="1"/>
    <x v="0"/>
    <x v="18"/>
    <n v="556"/>
    <n v="1946"/>
  </r>
  <r>
    <x v="63"/>
    <x v="2"/>
    <x v="0"/>
    <x v="1"/>
    <n v="138"/>
    <n v="400.2"/>
  </r>
  <r>
    <x v="63"/>
    <x v="5"/>
    <x v="0"/>
    <x v="43"/>
    <n v="709"/>
    <n v="2410.6"/>
  </r>
  <r>
    <x v="63"/>
    <x v="0"/>
    <x v="0"/>
    <x v="7"/>
    <n v="599"/>
    <n v="2036.6"/>
  </r>
  <r>
    <x v="63"/>
    <x v="6"/>
    <x v="0"/>
    <x v="8"/>
    <n v="362"/>
    <n v="868.8"/>
  </r>
  <r>
    <x v="63"/>
    <x v="5"/>
    <x v="0"/>
    <x v="0"/>
    <n v="327"/>
    <n v="1111.8"/>
  </r>
  <r>
    <x v="63"/>
    <x v="0"/>
    <x v="0"/>
    <x v="33"/>
    <n v="264"/>
    <n v="897.6"/>
  </r>
  <r>
    <x v="63"/>
    <x v="4"/>
    <x v="0"/>
    <x v="34"/>
    <n v="495"/>
    <n v="1683"/>
  </r>
  <r>
    <x v="64"/>
    <x v="3"/>
    <x v="0"/>
    <x v="46"/>
    <n v="156"/>
    <n v="530.4"/>
  </r>
  <r>
    <x v="64"/>
    <x v="2"/>
    <x v="0"/>
    <x v="29"/>
    <n v="434"/>
    <n v="1258.5999999999999"/>
  </r>
  <r>
    <x v="64"/>
    <x v="8"/>
    <x v="0"/>
    <x v="28"/>
    <n v="422"/>
    <n v="1350.4"/>
  </r>
  <r>
    <x v="64"/>
    <x v="8"/>
    <x v="0"/>
    <x v="37"/>
    <n v="222"/>
    <n v="710.40000000000009"/>
  </r>
  <r>
    <x v="64"/>
    <x v="4"/>
    <x v="0"/>
    <x v="32"/>
    <n v="364"/>
    <n v="1237.5999999999999"/>
  </r>
  <r>
    <x v="65"/>
    <x v="1"/>
    <x v="0"/>
    <x v="41"/>
    <n v="332"/>
    <n v="1162"/>
  </r>
  <r>
    <x v="65"/>
    <x v="7"/>
    <x v="0"/>
    <x v="35"/>
    <n v="161"/>
    <n v="547.4"/>
  </r>
  <r>
    <x v="66"/>
    <x v="5"/>
    <x v="0"/>
    <x v="46"/>
    <n v="634"/>
    <n v="2155.6"/>
  </r>
  <r>
    <x v="66"/>
    <x v="4"/>
    <x v="0"/>
    <x v="2"/>
    <n v="193"/>
    <n v="656.19999999999993"/>
  </r>
  <r>
    <x v="66"/>
    <x v="0"/>
    <x v="0"/>
    <x v="39"/>
    <n v="249"/>
    <n v="846.6"/>
  </r>
  <r>
    <x v="66"/>
    <x v="3"/>
    <x v="0"/>
    <x v="21"/>
    <n v="276"/>
    <n v="938.4"/>
  </r>
  <r>
    <x v="66"/>
    <x v="5"/>
    <x v="0"/>
    <x v="15"/>
    <n v="603"/>
    <n v="2050.1999999999998"/>
  </r>
  <r>
    <x v="66"/>
    <x v="1"/>
    <x v="0"/>
    <x v="12"/>
    <n v="487"/>
    <n v="1704.5"/>
  </r>
  <r>
    <x v="66"/>
    <x v="8"/>
    <x v="0"/>
    <x v="2"/>
    <n v="276"/>
    <n v="883.2"/>
  </r>
  <r>
    <x v="66"/>
    <x v="3"/>
    <x v="0"/>
    <x v="19"/>
    <n v="73"/>
    <n v="248.2"/>
  </r>
  <r>
    <x v="66"/>
    <x v="8"/>
    <x v="0"/>
    <x v="40"/>
    <n v="182"/>
    <n v="582.4"/>
  </r>
  <r>
    <x v="66"/>
    <x v="8"/>
    <x v="0"/>
    <x v="8"/>
    <n v="51"/>
    <n v="163.20000000000002"/>
  </r>
  <r>
    <x v="66"/>
    <x v="2"/>
    <x v="0"/>
    <x v="42"/>
    <n v="299"/>
    <n v="867.1"/>
  </r>
  <r>
    <x v="66"/>
    <x v="1"/>
    <x v="0"/>
    <x v="14"/>
    <n v="684"/>
    <n v="2394"/>
  </r>
  <r>
    <x v="66"/>
    <x v="0"/>
    <x v="0"/>
    <x v="34"/>
    <n v="627"/>
    <n v="2131.7999999999997"/>
  </r>
  <r>
    <x v="67"/>
    <x v="3"/>
    <x v="0"/>
    <x v="29"/>
    <n v="350"/>
    <n v="1190"/>
  </r>
  <r>
    <x v="67"/>
    <x v="2"/>
    <x v="0"/>
    <x v="26"/>
    <n v="194"/>
    <n v="562.6"/>
  </r>
  <r>
    <x v="67"/>
    <x v="3"/>
    <x v="0"/>
    <x v="23"/>
    <n v="13"/>
    <n v="44.199999999999996"/>
  </r>
  <r>
    <x v="67"/>
    <x v="7"/>
    <x v="0"/>
    <x v="34"/>
    <n v="336"/>
    <n v="1142.3999999999999"/>
  </r>
  <r>
    <x v="67"/>
    <x v="5"/>
    <x v="0"/>
    <x v="33"/>
    <n v="363"/>
    <n v="1234.2"/>
  </r>
  <r>
    <x v="67"/>
    <x v="2"/>
    <x v="0"/>
    <x v="3"/>
    <n v="108"/>
    <n v="313.2"/>
  </r>
  <r>
    <x v="67"/>
    <x v="1"/>
    <x v="0"/>
    <x v="48"/>
    <n v="465"/>
    <n v="1627.5"/>
  </r>
  <r>
    <x v="68"/>
    <x v="6"/>
    <x v="0"/>
    <x v="19"/>
    <n v="490"/>
    <n v="1176"/>
  </r>
  <r>
    <x v="68"/>
    <x v="4"/>
    <x v="0"/>
    <x v="25"/>
    <n v="17"/>
    <n v="57.8"/>
  </r>
  <r>
    <x v="68"/>
    <x v="2"/>
    <x v="0"/>
    <x v="23"/>
    <n v="282"/>
    <n v="817.8"/>
  </r>
  <r>
    <x v="69"/>
    <x v="6"/>
    <x v="0"/>
    <x v="22"/>
    <n v="141"/>
    <n v="338.4"/>
  </r>
  <r>
    <x v="69"/>
    <x v="2"/>
    <x v="0"/>
    <x v="12"/>
    <n v="75"/>
    <n v="217.5"/>
  </r>
  <r>
    <x v="69"/>
    <x v="7"/>
    <x v="0"/>
    <x v="26"/>
    <n v="113"/>
    <n v="384.2"/>
  </r>
  <r>
    <x v="69"/>
    <x v="1"/>
    <x v="0"/>
    <x v="41"/>
    <n v="579"/>
    <n v="2026.5"/>
  </r>
  <r>
    <x v="69"/>
    <x v="6"/>
    <x v="0"/>
    <x v="32"/>
    <n v="123"/>
    <n v="295.2"/>
  </r>
  <r>
    <x v="69"/>
    <x v="1"/>
    <x v="0"/>
    <x v="21"/>
    <n v="281"/>
    <n v="983.5"/>
  </r>
  <r>
    <x v="70"/>
    <x v="8"/>
    <x v="0"/>
    <x v="3"/>
    <n v="117"/>
    <n v="374.40000000000003"/>
  </r>
  <r>
    <x v="70"/>
    <x v="6"/>
    <x v="0"/>
    <x v="4"/>
    <n v="551"/>
    <n v="1322.3999999999999"/>
  </r>
  <r>
    <x v="70"/>
    <x v="8"/>
    <x v="0"/>
    <x v="48"/>
    <n v="314"/>
    <n v="1004.8000000000001"/>
  </r>
  <r>
    <x v="70"/>
    <x v="4"/>
    <x v="0"/>
    <x v="6"/>
    <n v="32"/>
    <n v="108.8"/>
  </r>
  <r>
    <x v="70"/>
    <x v="6"/>
    <x v="0"/>
    <x v="19"/>
    <n v="424"/>
    <n v="1017.5999999999999"/>
  </r>
  <r>
    <x v="70"/>
    <x v="6"/>
    <x v="0"/>
    <x v="39"/>
    <n v="361"/>
    <n v="866.4"/>
  </r>
  <r>
    <x v="71"/>
    <x v="6"/>
    <x v="0"/>
    <x v="9"/>
    <n v="520"/>
    <n v="1248"/>
  </r>
  <r>
    <x v="71"/>
    <x v="3"/>
    <x v="0"/>
    <x v="26"/>
    <n v="49"/>
    <n v="166.6"/>
  </r>
  <r>
    <x v="71"/>
    <x v="7"/>
    <x v="0"/>
    <x v="43"/>
    <n v="106"/>
    <n v="360.4"/>
  </r>
  <r>
    <x v="71"/>
    <x v="3"/>
    <x v="0"/>
    <x v="31"/>
    <n v="93"/>
    <n v="316.2"/>
  </r>
  <r>
    <x v="71"/>
    <x v="5"/>
    <x v="0"/>
    <x v="40"/>
    <n v="681"/>
    <n v="2315.4"/>
  </r>
  <r>
    <x v="71"/>
    <x v="8"/>
    <x v="0"/>
    <x v="25"/>
    <n v="188"/>
    <n v="601.6"/>
  </r>
  <r>
    <x v="71"/>
    <x v="8"/>
    <x v="0"/>
    <x v="3"/>
    <n v="256"/>
    <n v="819.2"/>
  </r>
  <r>
    <x v="71"/>
    <x v="2"/>
    <x v="0"/>
    <x v="25"/>
    <n v="474"/>
    <n v="1374.6"/>
  </r>
  <r>
    <x v="71"/>
    <x v="8"/>
    <x v="0"/>
    <x v="9"/>
    <n v="216"/>
    <n v="691.2"/>
  </r>
  <r>
    <x v="72"/>
    <x v="8"/>
    <x v="0"/>
    <x v="33"/>
    <n v="351"/>
    <n v="1123.2"/>
  </r>
  <r>
    <x v="72"/>
    <x v="0"/>
    <x v="0"/>
    <x v="40"/>
    <n v="498"/>
    <n v="1693.2"/>
  </r>
  <r>
    <x v="72"/>
    <x v="5"/>
    <x v="0"/>
    <x v="34"/>
    <n v="682"/>
    <n v="2318.7999999999997"/>
  </r>
  <r>
    <x v="72"/>
    <x v="3"/>
    <x v="0"/>
    <x v="15"/>
    <n v="329"/>
    <n v="1118.5999999999999"/>
  </r>
  <r>
    <x v="72"/>
    <x v="7"/>
    <x v="0"/>
    <x v="17"/>
    <n v="234"/>
    <n v="795.6"/>
  </r>
  <r>
    <x v="72"/>
    <x v="4"/>
    <x v="0"/>
    <x v="28"/>
    <n v="335"/>
    <n v="1139"/>
  </r>
  <r>
    <x v="72"/>
    <x v="0"/>
    <x v="0"/>
    <x v="14"/>
    <n v="540"/>
    <n v="1836"/>
  </r>
  <r>
    <x v="72"/>
    <x v="6"/>
    <x v="0"/>
    <x v="27"/>
    <n v="580"/>
    <n v="1392"/>
  </r>
  <r>
    <x v="72"/>
    <x v="4"/>
    <x v="0"/>
    <x v="41"/>
    <n v="269"/>
    <n v="914.6"/>
  </r>
  <r>
    <x v="72"/>
    <x v="5"/>
    <x v="0"/>
    <x v="2"/>
    <n v="475"/>
    <n v="1615"/>
  </r>
  <r>
    <x v="72"/>
    <x v="1"/>
    <x v="0"/>
    <x v="8"/>
    <n v="466"/>
    <n v="1631"/>
  </r>
  <r>
    <x v="72"/>
    <x v="7"/>
    <x v="0"/>
    <x v="17"/>
    <n v="22"/>
    <n v="74.8"/>
  </r>
  <r>
    <x v="72"/>
    <x v="7"/>
    <x v="0"/>
    <x v="20"/>
    <n v="407"/>
    <n v="1383.8"/>
  </r>
  <r>
    <x v="72"/>
    <x v="7"/>
    <x v="0"/>
    <x v="18"/>
    <n v="417"/>
    <n v="1417.8"/>
  </r>
  <r>
    <x v="73"/>
    <x v="6"/>
    <x v="0"/>
    <x v="23"/>
    <n v="483"/>
    <n v="1159.2"/>
  </r>
  <r>
    <x v="73"/>
    <x v="1"/>
    <x v="0"/>
    <x v="35"/>
    <n v="291"/>
    <n v="1018.5"/>
  </r>
  <r>
    <x v="73"/>
    <x v="7"/>
    <x v="0"/>
    <x v="24"/>
    <n v="289"/>
    <n v="982.6"/>
  </r>
  <r>
    <x v="73"/>
    <x v="2"/>
    <x v="0"/>
    <x v="6"/>
    <n v="18"/>
    <n v="52.199999999999996"/>
  </r>
  <r>
    <x v="73"/>
    <x v="8"/>
    <x v="0"/>
    <x v="19"/>
    <n v="466"/>
    <n v="1491.2"/>
  </r>
  <r>
    <x v="73"/>
    <x v="5"/>
    <x v="0"/>
    <x v="43"/>
    <n v="722"/>
    <n v="2454.7999999999997"/>
  </r>
  <r>
    <x v="73"/>
    <x v="1"/>
    <x v="0"/>
    <x v="37"/>
    <n v="695"/>
    <n v="2432.5"/>
  </r>
  <r>
    <x v="73"/>
    <x v="8"/>
    <x v="0"/>
    <x v="26"/>
    <n v="273"/>
    <n v="873.6"/>
  </r>
  <r>
    <x v="73"/>
    <x v="1"/>
    <x v="0"/>
    <x v="33"/>
    <n v="593"/>
    <n v="2075.5"/>
  </r>
  <r>
    <x v="73"/>
    <x v="1"/>
    <x v="0"/>
    <x v="44"/>
    <n v="505"/>
    <n v="1767.5"/>
  </r>
  <r>
    <x v="73"/>
    <x v="5"/>
    <x v="0"/>
    <x v="38"/>
    <n v="535"/>
    <n v="1819"/>
  </r>
  <r>
    <x v="73"/>
    <x v="1"/>
    <x v="0"/>
    <x v="48"/>
    <n v="229"/>
    <n v="801.5"/>
  </r>
  <r>
    <x v="73"/>
    <x v="0"/>
    <x v="0"/>
    <x v="31"/>
    <n v="677"/>
    <n v="2301.7999999999997"/>
  </r>
  <r>
    <x v="74"/>
    <x v="5"/>
    <x v="0"/>
    <x v="4"/>
    <n v="384"/>
    <n v="1305.5999999999999"/>
  </r>
  <r>
    <x v="74"/>
    <x v="3"/>
    <x v="0"/>
    <x v="32"/>
    <n v="323"/>
    <n v="1098.2"/>
  </r>
  <r>
    <x v="74"/>
    <x v="8"/>
    <x v="0"/>
    <x v="9"/>
    <n v="218"/>
    <n v="697.6"/>
  </r>
  <r>
    <x v="74"/>
    <x v="7"/>
    <x v="0"/>
    <x v="13"/>
    <n v="218"/>
    <n v="741.19999999999993"/>
  </r>
  <r>
    <x v="75"/>
    <x v="3"/>
    <x v="0"/>
    <x v="33"/>
    <n v="163"/>
    <n v="554.19999999999993"/>
  </r>
  <r>
    <x v="75"/>
    <x v="2"/>
    <x v="0"/>
    <x v="8"/>
    <n v="83"/>
    <n v="240.7"/>
  </r>
  <r>
    <x v="75"/>
    <x v="5"/>
    <x v="0"/>
    <x v="46"/>
    <n v="361"/>
    <n v="1227.3999999999999"/>
  </r>
  <r>
    <x v="75"/>
    <x v="2"/>
    <x v="0"/>
    <x v="40"/>
    <n v="191"/>
    <n v="553.9"/>
  </r>
  <r>
    <x v="75"/>
    <x v="8"/>
    <x v="0"/>
    <x v="32"/>
    <n v="338"/>
    <n v="1081.6000000000001"/>
  </r>
  <r>
    <x v="75"/>
    <x v="7"/>
    <x v="0"/>
    <x v="48"/>
    <n v="399"/>
    <n v="1356.6"/>
  </r>
  <r>
    <x v="75"/>
    <x v="4"/>
    <x v="0"/>
    <x v="5"/>
    <n v="294"/>
    <n v="999.6"/>
  </r>
  <r>
    <x v="75"/>
    <x v="0"/>
    <x v="0"/>
    <x v="12"/>
    <n v="634"/>
    <n v="2155.6"/>
  </r>
  <r>
    <x v="75"/>
    <x v="1"/>
    <x v="0"/>
    <x v="24"/>
    <n v="616"/>
    <n v="2156"/>
  </r>
  <r>
    <x v="76"/>
    <x v="5"/>
    <x v="0"/>
    <x v="9"/>
    <n v="420"/>
    <n v="1428"/>
  </r>
  <r>
    <x v="76"/>
    <x v="0"/>
    <x v="0"/>
    <x v="1"/>
    <n v="284"/>
    <n v="965.6"/>
  </r>
  <r>
    <x v="76"/>
    <x v="7"/>
    <x v="0"/>
    <x v="43"/>
    <n v="129"/>
    <n v="438.59999999999997"/>
  </r>
  <r>
    <x v="76"/>
    <x v="3"/>
    <x v="0"/>
    <x v="46"/>
    <n v="343"/>
    <n v="1166.2"/>
  </r>
  <r>
    <x v="76"/>
    <x v="3"/>
    <x v="0"/>
    <x v="35"/>
    <n v="409"/>
    <n v="1390.6"/>
  </r>
  <r>
    <x v="76"/>
    <x v="5"/>
    <x v="0"/>
    <x v="5"/>
    <n v="609"/>
    <n v="2070.6"/>
  </r>
  <r>
    <x v="76"/>
    <x v="0"/>
    <x v="0"/>
    <x v="18"/>
    <n v="389"/>
    <n v="1322.6"/>
  </r>
  <r>
    <x v="76"/>
    <x v="5"/>
    <x v="0"/>
    <x v="25"/>
    <n v="776"/>
    <n v="2638.4"/>
  </r>
  <r>
    <x v="76"/>
    <x v="7"/>
    <x v="0"/>
    <x v="8"/>
    <n v="399"/>
    <n v="1356.6"/>
  </r>
  <r>
    <x v="76"/>
    <x v="2"/>
    <x v="0"/>
    <x v="36"/>
    <n v="17"/>
    <n v="49.3"/>
  </r>
  <r>
    <x v="77"/>
    <x v="6"/>
    <x v="0"/>
    <x v="46"/>
    <n v="220"/>
    <n v="528"/>
  </r>
  <r>
    <x v="77"/>
    <x v="2"/>
    <x v="0"/>
    <x v="29"/>
    <n v="258"/>
    <n v="748.19999999999993"/>
  </r>
  <r>
    <x v="77"/>
    <x v="5"/>
    <x v="0"/>
    <x v="8"/>
    <n v="406"/>
    <n v="1380.3999999999999"/>
  </r>
  <r>
    <x v="77"/>
    <x v="5"/>
    <x v="0"/>
    <x v="11"/>
    <n v="402"/>
    <n v="1366.8"/>
  </r>
  <r>
    <x v="77"/>
    <x v="3"/>
    <x v="0"/>
    <x v="40"/>
    <n v="264"/>
    <n v="897.6"/>
  </r>
  <r>
    <x v="77"/>
    <x v="7"/>
    <x v="0"/>
    <x v="46"/>
    <n v="433"/>
    <n v="1472.2"/>
  </r>
  <r>
    <x v="77"/>
    <x v="7"/>
    <x v="0"/>
    <x v="36"/>
    <n v="161"/>
    <n v="547.4"/>
  </r>
  <r>
    <x v="77"/>
    <x v="1"/>
    <x v="0"/>
    <x v="9"/>
    <n v="612"/>
    <n v="2142"/>
  </r>
  <r>
    <x v="77"/>
    <x v="1"/>
    <x v="0"/>
    <x v="27"/>
    <n v="372"/>
    <n v="1302"/>
  </r>
  <r>
    <x v="78"/>
    <x v="1"/>
    <x v="0"/>
    <x v="18"/>
    <n v="249"/>
    <n v="871.5"/>
  </r>
  <r>
    <x v="78"/>
    <x v="8"/>
    <x v="0"/>
    <x v="25"/>
    <n v="333"/>
    <n v="1065.6000000000001"/>
  </r>
  <r>
    <x v="78"/>
    <x v="7"/>
    <x v="0"/>
    <x v="25"/>
    <n v="488"/>
    <n v="1659.2"/>
  </r>
  <r>
    <x v="78"/>
    <x v="2"/>
    <x v="0"/>
    <x v="7"/>
    <n v="214"/>
    <n v="620.6"/>
  </r>
  <r>
    <x v="78"/>
    <x v="5"/>
    <x v="0"/>
    <x v="3"/>
    <n v="417"/>
    <n v="1417.8"/>
  </r>
  <r>
    <x v="78"/>
    <x v="0"/>
    <x v="0"/>
    <x v="1"/>
    <n v="534"/>
    <n v="1815.6"/>
  </r>
  <r>
    <x v="78"/>
    <x v="2"/>
    <x v="0"/>
    <x v="32"/>
    <n v="477"/>
    <n v="1383.3"/>
  </r>
  <r>
    <x v="78"/>
    <x v="2"/>
    <x v="0"/>
    <x v="3"/>
    <n v="191"/>
    <n v="553.9"/>
  </r>
  <r>
    <x v="78"/>
    <x v="1"/>
    <x v="0"/>
    <x v="29"/>
    <n v="358"/>
    <n v="1253"/>
  </r>
  <r>
    <x v="78"/>
    <x v="1"/>
    <x v="0"/>
    <x v="34"/>
    <n v="517"/>
    <n v="1809.5"/>
  </r>
  <r>
    <x v="78"/>
    <x v="3"/>
    <x v="0"/>
    <x v="9"/>
    <n v="442"/>
    <n v="1502.8"/>
  </r>
  <r>
    <x v="78"/>
    <x v="3"/>
    <x v="0"/>
    <x v="6"/>
    <n v="33"/>
    <n v="112.2"/>
  </r>
  <r>
    <x v="78"/>
    <x v="3"/>
    <x v="0"/>
    <x v="36"/>
    <n v="56"/>
    <n v="190.4"/>
  </r>
  <r>
    <x v="78"/>
    <x v="7"/>
    <x v="0"/>
    <x v="43"/>
    <n v="60"/>
    <n v="204"/>
  </r>
  <r>
    <x v="78"/>
    <x v="4"/>
    <x v="0"/>
    <x v="9"/>
    <n v="161"/>
    <n v="547.4"/>
  </r>
  <r>
    <x v="78"/>
    <x v="5"/>
    <x v="0"/>
    <x v="48"/>
    <n v="624"/>
    <n v="2121.6"/>
  </r>
  <r>
    <x v="79"/>
    <x v="1"/>
    <x v="0"/>
    <x v="11"/>
    <n v="297"/>
    <n v="1039.5"/>
  </r>
  <r>
    <x v="79"/>
    <x v="5"/>
    <x v="0"/>
    <x v="10"/>
    <n v="342"/>
    <n v="1162.8"/>
  </r>
  <r>
    <x v="79"/>
    <x v="8"/>
    <x v="0"/>
    <x v="28"/>
    <n v="392"/>
    <n v="1254.4000000000001"/>
  </r>
  <r>
    <x v="79"/>
    <x v="2"/>
    <x v="0"/>
    <x v="13"/>
    <n v="178"/>
    <n v="516.19999999999993"/>
  </r>
  <r>
    <x v="79"/>
    <x v="4"/>
    <x v="0"/>
    <x v="24"/>
    <n v="311"/>
    <n v="1057.3999999999999"/>
  </r>
  <r>
    <x v="79"/>
    <x v="1"/>
    <x v="0"/>
    <x v="35"/>
    <n v="293"/>
    <n v="1025.5"/>
  </r>
  <r>
    <x v="79"/>
    <x v="5"/>
    <x v="0"/>
    <x v="11"/>
    <n v="495"/>
    <n v="1683"/>
  </r>
  <r>
    <x v="79"/>
    <x v="3"/>
    <x v="0"/>
    <x v="0"/>
    <n v="374"/>
    <n v="1271.5999999999999"/>
  </r>
  <r>
    <x v="79"/>
    <x v="8"/>
    <x v="0"/>
    <x v="14"/>
    <n v="498"/>
    <n v="1593.6000000000001"/>
  </r>
  <r>
    <x v="79"/>
    <x v="0"/>
    <x v="0"/>
    <x v="6"/>
    <n v="400"/>
    <n v="1360"/>
  </r>
  <r>
    <x v="80"/>
    <x v="1"/>
    <x v="0"/>
    <x v="36"/>
    <n v="571"/>
    <n v="1998.5"/>
  </r>
  <r>
    <x v="80"/>
    <x v="3"/>
    <x v="0"/>
    <x v="9"/>
    <n v="136"/>
    <n v="462.4"/>
  </r>
  <r>
    <x v="80"/>
    <x v="2"/>
    <x v="0"/>
    <x v="12"/>
    <n v="451"/>
    <n v="1307.8999999999999"/>
  </r>
  <r>
    <x v="80"/>
    <x v="8"/>
    <x v="0"/>
    <x v="21"/>
    <n v="217"/>
    <n v="694.40000000000009"/>
  </r>
  <r>
    <x v="80"/>
    <x v="8"/>
    <x v="0"/>
    <x v="45"/>
    <n v="195"/>
    <n v="624"/>
  </r>
  <r>
    <x v="80"/>
    <x v="2"/>
    <x v="0"/>
    <x v="28"/>
    <n v="399"/>
    <n v="1157.0999999999999"/>
  </r>
  <r>
    <x v="80"/>
    <x v="1"/>
    <x v="0"/>
    <x v="6"/>
    <n v="230"/>
    <n v="805"/>
  </r>
  <r>
    <x v="80"/>
    <x v="2"/>
    <x v="0"/>
    <x v="44"/>
    <n v="383"/>
    <n v="1110.7"/>
  </r>
  <r>
    <x v="81"/>
    <x v="2"/>
    <x v="0"/>
    <x v="11"/>
    <n v="12"/>
    <n v="34.799999999999997"/>
  </r>
  <r>
    <x v="81"/>
    <x v="3"/>
    <x v="0"/>
    <x v="30"/>
    <n v="395"/>
    <n v="1343"/>
  </r>
  <r>
    <x v="81"/>
    <x v="5"/>
    <x v="0"/>
    <x v="23"/>
    <n v="710"/>
    <n v="2414"/>
  </r>
  <r>
    <x v="81"/>
    <x v="2"/>
    <x v="0"/>
    <x v="10"/>
    <n v="238"/>
    <n v="690.19999999999993"/>
  </r>
  <r>
    <x v="81"/>
    <x v="2"/>
    <x v="0"/>
    <x v="41"/>
    <n v="498"/>
    <n v="1444.2"/>
  </r>
  <r>
    <x v="81"/>
    <x v="0"/>
    <x v="0"/>
    <x v="12"/>
    <n v="229"/>
    <n v="778.6"/>
  </r>
  <r>
    <x v="81"/>
    <x v="3"/>
    <x v="0"/>
    <x v="46"/>
    <n v="20"/>
    <n v="68"/>
  </r>
  <r>
    <x v="81"/>
    <x v="5"/>
    <x v="0"/>
    <x v="15"/>
    <n v="730"/>
    <n v="2482"/>
  </r>
  <r>
    <x v="81"/>
    <x v="0"/>
    <x v="0"/>
    <x v="43"/>
    <n v="688"/>
    <n v="2339.1999999999998"/>
  </r>
  <r>
    <x v="82"/>
    <x v="6"/>
    <x v="0"/>
    <x v="22"/>
    <n v="379"/>
    <n v="909.6"/>
  </r>
  <r>
    <x v="82"/>
    <x v="5"/>
    <x v="0"/>
    <x v="28"/>
    <n v="582"/>
    <n v="1978.8"/>
  </r>
  <r>
    <x v="82"/>
    <x v="8"/>
    <x v="0"/>
    <x v="35"/>
    <n v="99"/>
    <n v="316.8"/>
  </r>
  <r>
    <x v="82"/>
    <x v="2"/>
    <x v="0"/>
    <x v="6"/>
    <n v="470"/>
    <n v="1363"/>
  </r>
  <r>
    <x v="82"/>
    <x v="5"/>
    <x v="0"/>
    <x v="34"/>
    <n v="620"/>
    <n v="2108"/>
  </r>
  <r>
    <x v="82"/>
    <x v="3"/>
    <x v="0"/>
    <x v="17"/>
    <n v="453"/>
    <n v="1540.2"/>
  </r>
  <r>
    <x v="82"/>
    <x v="2"/>
    <x v="0"/>
    <x v="35"/>
    <n v="270"/>
    <n v="783"/>
  </r>
  <r>
    <x v="82"/>
    <x v="2"/>
    <x v="0"/>
    <x v="10"/>
    <n v="107"/>
    <n v="310.3"/>
  </r>
  <r>
    <x v="82"/>
    <x v="4"/>
    <x v="0"/>
    <x v="38"/>
    <n v="101"/>
    <n v="343.4"/>
  </r>
  <r>
    <x v="82"/>
    <x v="6"/>
    <x v="0"/>
    <x v="36"/>
    <n v="176"/>
    <n v="422.4"/>
  </r>
  <r>
    <x v="83"/>
    <x v="3"/>
    <x v="0"/>
    <x v="23"/>
    <n v="457"/>
    <n v="1553.8"/>
  </r>
  <r>
    <x v="83"/>
    <x v="8"/>
    <x v="0"/>
    <x v="10"/>
    <n v="344"/>
    <n v="1100.8"/>
  </r>
  <r>
    <x v="83"/>
    <x v="8"/>
    <x v="0"/>
    <x v="10"/>
    <n v="294"/>
    <n v="940.80000000000007"/>
  </r>
  <r>
    <x v="83"/>
    <x v="0"/>
    <x v="0"/>
    <x v="20"/>
    <n v="541"/>
    <n v="1839.3999999999999"/>
  </r>
  <r>
    <x v="83"/>
    <x v="5"/>
    <x v="0"/>
    <x v="23"/>
    <n v="454"/>
    <n v="1543.6"/>
  </r>
  <r>
    <x v="83"/>
    <x v="8"/>
    <x v="0"/>
    <x v="24"/>
    <n v="472"/>
    <n v="1510.4"/>
  </r>
  <r>
    <x v="83"/>
    <x v="8"/>
    <x v="0"/>
    <x v="3"/>
    <n v="213"/>
    <n v="681.6"/>
  </r>
  <r>
    <x v="84"/>
    <x v="0"/>
    <x v="0"/>
    <x v="4"/>
    <n v="611"/>
    <n v="2077.4"/>
  </r>
  <r>
    <x v="84"/>
    <x v="5"/>
    <x v="0"/>
    <x v="45"/>
    <n v="771"/>
    <n v="2621.4"/>
  </r>
  <r>
    <x v="84"/>
    <x v="8"/>
    <x v="0"/>
    <x v="26"/>
    <n v="52"/>
    <n v="166.4"/>
  </r>
  <r>
    <x v="84"/>
    <x v="3"/>
    <x v="0"/>
    <x v="40"/>
    <n v="36"/>
    <n v="122.39999999999999"/>
  </r>
  <r>
    <x v="84"/>
    <x v="0"/>
    <x v="0"/>
    <x v="39"/>
    <n v="564"/>
    <n v="1917.6"/>
  </r>
  <r>
    <x v="84"/>
    <x v="6"/>
    <x v="0"/>
    <x v="14"/>
    <n v="428"/>
    <n v="1027.2"/>
  </r>
  <r>
    <x v="84"/>
    <x v="2"/>
    <x v="0"/>
    <x v="16"/>
    <n v="460"/>
    <n v="1334"/>
  </r>
  <r>
    <x v="84"/>
    <x v="1"/>
    <x v="0"/>
    <x v="7"/>
    <n v="633"/>
    <n v="2215.5"/>
  </r>
  <r>
    <x v="84"/>
    <x v="8"/>
    <x v="0"/>
    <x v="23"/>
    <n v="94"/>
    <n v="300.8"/>
  </r>
  <r>
    <x v="84"/>
    <x v="2"/>
    <x v="0"/>
    <x v="42"/>
    <n v="307"/>
    <n v="890.3"/>
  </r>
  <r>
    <x v="84"/>
    <x v="2"/>
    <x v="0"/>
    <x v="46"/>
    <n v="133"/>
    <n v="385.7"/>
  </r>
  <r>
    <x v="84"/>
    <x v="3"/>
    <x v="0"/>
    <x v="5"/>
    <n v="403"/>
    <n v="1370.2"/>
  </r>
  <r>
    <x v="84"/>
    <x v="4"/>
    <x v="0"/>
    <x v="24"/>
    <n v="217"/>
    <n v="737.8"/>
  </r>
  <r>
    <x v="85"/>
    <x v="7"/>
    <x v="0"/>
    <x v="46"/>
    <n v="307"/>
    <n v="1043.8"/>
  </r>
  <r>
    <x v="85"/>
    <x v="8"/>
    <x v="0"/>
    <x v="35"/>
    <n v="253"/>
    <n v="809.6"/>
  </r>
  <r>
    <x v="85"/>
    <x v="1"/>
    <x v="0"/>
    <x v="9"/>
    <n v="334"/>
    <n v="1169"/>
  </r>
  <r>
    <x v="85"/>
    <x v="8"/>
    <x v="0"/>
    <x v="3"/>
    <n v="95"/>
    <n v="304"/>
  </r>
  <r>
    <x v="85"/>
    <x v="5"/>
    <x v="0"/>
    <x v="9"/>
    <n v="547"/>
    <n v="1859.8"/>
  </r>
  <r>
    <x v="85"/>
    <x v="5"/>
    <x v="0"/>
    <x v="20"/>
    <n v="489"/>
    <n v="1662.6"/>
  </r>
  <r>
    <x v="85"/>
    <x v="1"/>
    <x v="0"/>
    <x v="36"/>
    <n v="638"/>
    <n v="2233"/>
  </r>
  <r>
    <x v="86"/>
    <x v="1"/>
    <x v="0"/>
    <x v="21"/>
    <n v="579"/>
    <n v="2026.5"/>
  </r>
  <r>
    <x v="86"/>
    <x v="5"/>
    <x v="0"/>
    <x v="16"/>
    <n v="413"/>
    <n v="1404.2"/>
  </r>
  <r>
    <x v="86"/>
    <x v="3"/>
    <x v="0"/>
    <x v="5"/>
    <n v="200"/>
    <n v="680"/>
  </r>
  <r>
    <x v="86"/>
    <x v="8"/>
    <x v="0"/>
    <x v="11"/>
    <n v="448"/>
    <n v="1433.6000000000001"/>
  </r>
  <r>
    <x v="86"/>
    <x v="6"/>
    <x v="0"/>
    <x v="5"/>
    <n v="274"/>
    <n v="657.6"/>
  </r>
  <r>
    <x v="87"/>
    <x v="1"/>
    <x v="0"/>
    <x v="16"/>
    <n v="598"/>
    <n v="2093"/>
  </r>
  <r>
    <x v="87"/>
    <x v="6"/>
    <x v="0"/>
    <x v="12"/>
    <n v="506"/>
    <n v="1214.3999999999999"/>
  </r>
  <r>
    <x v="87"/>
    <x v="7"/>
    <x v="0"/>
    <x v="6"/>
    <n v="427"/>
    <n v="1451.8"/>
  </r>
  <r>
    <x v="87"/>
    <x v="1"/>
    <x v="0"/>
    <x v="36"/>
    <n v="621"/>
    <n v="2173.5"/>
  </r>
  <r>
    <x v="87"/>
    <x v="8"/>
    <x v="0"/>
    <x v="18"/>
    <n v="397"/>
    <n v="1270.4000000000001"/>
  </r>
  <r>
    <x v="87"/>
    <x v="4"/>
    <x v="0"/>
    <x v="6"/>
    <n v="155"/>
    <n v="527"/>
  </r>
  <r>
    <x v="88"/>
    <x v="6"/>
    <x v="0"/>
    <x v="8"/>
    <n v="550"/>
    <n v="1320"/>
  </r>
  <r>
    <x v="88"/>
    <x v="7"/>
    <x v="0"/>
    <x v="36"/>
    <n v="279"/>
    <n v="948.6"/>
  </r>
  <r>
    <x v="88"/>
    <x v="7"/>
    <x v="0"/>
    <x v="42"/>
    <n v="133"/>
    <n v="452.2"/>
  </r>
  <r>
    <x v="88"/>
    <x v="1"/>
    <x v="0"/>
    <x v="18"/>
    <n v="463"/>
    <n v="1620.5"/>
  </r>
  <r>
    <x v="88"/>
    <x v="0"/>
    <x v="0"/>
    <x v="16"/>
    <n v="474"/>
    <n v="1611.6"/>
  </r>
  <r>
    <x v="88"/>
    <x v="0"/>
    <x v="0"/>
    <x v="40"/>
    <n v="568"/>
    <n v="1931.2"/>
  </r>
  <r>
    <x v="88"/>
    <x v="8"/>
    <x v="0"/>
    <x v="15"/>
    <n v="205"/>
    <n v="656"/>
  </r>
  <r>
    <x v="88"/>
    <x v="8"/>
    <x v="0"/>
    <x v="8"/>
    <n v="412"/>
    <n v="1318.4"/>
  </r>
  <r>
    <x v="88"/>
    <x v="6"/>
    <x v="0"/>
    <x v="8"/>
    <n v="133"/>
    <n v="319.2"/>
  </r>
  <r>
    <x v="88"/>
    <x v="7"/>
    <x v="0"/>
    <x v="15"/>
    <n v="458"/>
    <n v="1557.2"/>
  </r>
  <r>
    <x v="88"/>
    <x v="7"/>
    <x v="0"/>
    <x v="2"/>
    <n v="263"/>
    <n v="894.19999999999993"/>
  </r>
  <r>
    <x v="88"/>
    <x v="0"/>
    <x v="0"/>
    <x v="21"/>
    <n v="682"/>
    <n v="2318.7999999999997"/>
  </r>
  <r>
    <x v="89"/>
    <x v="5"/>
    <x v="0"/>
    <x v="39"/>
    <n v="656"/>
    <n v="2230.4"/>
  </r>
  <r>
    <x v="89"/>
    <x v="3"/>
    <x v="0"/>
    <x v="26"/>
    <n v="465"/>
    <n v="1581"/>
  </r>
  <r>
    <x v="89"/>
    <x v="8"/>
    <x v="0"/>
    <x v="43"/>
    <n v="79"/>
    <n v="252.8"/>
  </r>
  <r>
    <x v="89"/>
    <x v="5"/>
    <x v="0"/>
    <x v="25"/>
    <n v="317"/>
    <n v="1077.8"/>
  </r>
  <r>
    <x v="89"/>
    <x v="7"/>
    <x v="0"/>
    <x v="15"/>
    <n v="376"/>
    <n v="1278.3999999999999"/>
  </r>
  <r>
    <x v="89"/>
    <x v="4"/>
    <x v="0"/>
    <x v="27"/>
    <n v="119"/>
    <n v="404.59999999999997"/>
  </r>
  <r>
    <x v="89"/>
    <x v="7"/>
    <x v="0"/>
    <x v="16"/>
    <n v="305"/>
    <n v="1037"/>
  </r>
  <r>
    <x v="89"/>
    <x v="7"/>
    <x v="0"/>
    <x v="43"/>
    <n v="77"/>
    <n v="261.8"/>
  </r>
  <r>
    <x v="90"/>
    <x v="5"/>
    <x v="0"/>
    <x v="33"/>
    <n v="795"/>
    <n v="2703"/>
  </r>
  <r>
    <x v="90"/>
    <x v="5"/>
    <x v="0"/>
    <x v="14"/>
    <n v="398"/>
    <n v="1353.2"/>
  </r>
  <r>
    <x v="90"/>
    <x v="5"/>
    <x v="0"/>
    <x v="47"/>
    <n v="453"/>
    <n v="1540.2"/>
  </r>
  <r>
    <x v="90"/>
    <x v="1"/>
    <x v="0"/>
    <x v="35"/>
    <n v="218"/>
    <n v="763"/>
  </r>
  <r>
    <x v="90"/>
    <x v="0"/>
    <x v="0"/>
    <x v="45"/>
    <n v="590"/>
    <n v="2006"/>
  </r>
  <r>
    <x v="90"/>
    <x v="5"/>
    <x v="0"/>
    <x v="48"/>
    <n v="426"/>
    <n v="1448.3999999999999"/>
  </r>
  <r>
    <x v="90"/>
    <x v="0"/>
    <x v="0"/>
    <x v="27"/>
    <n v="674"/>
    <n v="2291.6"/>
  </r>
  <r>
    <x v="90"/>
    <x v="8"/>
    <x v="0"/>
    <x v="4"/>
    <n v="500"/>
    <n v="1600"/>
  </r>
  <r>
    <x v="90"/>
    <x v="1"/>
    <x v="0"/>
    <x v="39"/>
    <n v="222"/>
    <n v="777"/>
  </r>
  <r>
    <x v="90"/>
    <x v="2"/>
    <x v="0"/>
    <x v="5"/>
    <n v="440"/>
    <n v="1276"/>
  </r>
  <r>
    <x v="90"/>
    <x v="6"/>
    <x v="0"/>
    <x v="29"/>
    <n v="207"/>
    <n v="496.79999999999995"/>
  </r>
  <r>
    <x v="90"/>
    <x v="1"/>
    <x v="0"/>
    <x v="29"/>
    <n v="481"/>
    <n v="1683.5"/>
  </r>
  <r>
    <x v="90"/>
    <x v="6"/>
    <x v="0"/>
    <x v="49"/>
    <n v="540"/>
    <n v="1296"/>
  </r>
  <r>
    <x v="90"/>
    <x v="5"/>
    <x v="0"/>
    <x v="1"/>
    <n v="616"/>
    <n v="2094.4"/>
  </r>
  <r>
    <x v="90"/>
    <x v="7"/>
    <x v="0"/>
    <x v="9"/>
    <n v="304"/>
    <n v="1033.5999999999999"/>
  </r>
  <r>
    <x v="90"/>
    <x v="5"/>
    <x v="0"/>
    <x v="6"/>
    <n v="359"/>
    <n v="1220.5999999999999"/>
  </r>
  <r>
    <x v="90"/>
    <x v="8"/>
    <x v="0"/>
    <x v="21"/>
    <n v="169"/>
    <n v="540.80000000000007"/>
  </r>
  <r>
    <x v="90"/>
    <x v="2"/>
    <x v="0"/>
    <x v="17"/>
    <n v="277"/>
    <n v="803.3"/>
  </r>
  <r>
    <x v="90"/>
    <x v="8"/>
    <x v="0"/>
    <x v="30"/>
    <n v="271"/>
    <n v="867.2"/>
  </r>
  <r>
    <x v="91"/>
    <x v="4"/>
    <x v="0"/>
    <x v="9"/>
    <n v="474"/>
    <n v="1611.6"/>
  </r>
  <r>
    <x v="91"/>
    <x v="2"/>
    <x v="0"/>
    <x v="12"/>
    <n v="264"/>
    <n v="765.6"/>
  </r>
  <r>
    <x v="91"/>
    <x v="5"/>
    <x v="0"/>
    <x v="24"/>
    <n v="434"/>
    <n v="1475.6"/>
  </r>
  <r>
    <x v="91"/>
    <x v="5"/>
    <x v="0"/>
    <x v="34"/>
    <n v="591"/>
    <n v="2009.3999999999999"/>
  </r>
  <r>
    <x v="91"/>
    <x v="2"/>
    <x v="0"/>
    <x v="43"/>
    <n v="288"/>
    <n v="835.19999999999993"/>
  </r>
  <r>
    <x v="91"/>
    <x v="1"/>
    <x v="0"/>
    <x v="44"/>
    <n v="469"/>
    <n v="1641.5"/>
  </r>
  <r>
    <x v="91"/>
    <x v="6"/>
    <x v="0"/>
    <x v="7"/>
    <n v="390"/>
    <n v="936"/>
  </r>
  <r>
    <x v="91"/>
    <x v="2"/>
    <x v="0"/>
    <x v="44"/>
    <n v="89"/>
    <n v="258.09999999999997"/>
  </r>
  <r>
    <x v="91"/>
    <x v="3"/>
    <x v="0"/>
    <x v="30"/>
    <n v="56"/>
    <n v="190.4"/>
  </r>
  <r>
    <x v="92"/>
    <x v="7"/>
    <x v="0"/>
    <x v="7"/>
    <n v="354"/>
    <n v="1203.5999999999999"/>
  </r>
  <r>
    <x v="92"/>
    <x v="4"/>
    <x v="0"/>
    <x v="32"/>
    <n v="189"/>
    <n v="642.6"/>
  </r>
  <r>
    <x v="92"/>
    <x v="4"/>
    <x v="0"/>
    <x v="44"/>
    <n v="349"/>
    <n v="1186.5999999999999"/>
  </r>
  <r>
    <x v="92"/>
    <x v="2"/>
    <x v="0"/>
    <x v="29"/>
    <n v="393"/>
    <n v="1139.7"/>
  </r>
  <r>
    <x v="92"/>
    <x v="7"/>
    <x v="0"/>
    <x v="22"/>
    <n v="166"/>
    <n v="564.4"/>
  </r>
  <r>
    <x v="93"/>
    <x v="6"/>
    <x v="0"/>
    <x v="6"/>
    <n v="422"/>
    <n v="1012.8"/>
  </r>
  <r>
    <x v="93"/>
    <x v="3"/>
    <x v="0"/>
    <x v="22"/>
    <n v="148"/>
    <n v="503.2"/>
  </r>
  <r>
    <x v="93"/>
    <x v="3"/>
    <x v="0"/>
    <x v="35"/>
    <n v="344"/>
    <n v="1169.5999999999999"/>
  </r>
  <r>
    <x v="93"/>
    <x v="8"/>
    <x v="0"/>
    <x v="23"/>
    <n v="27"/>
    <n v="86.4"/>
  </r>
  <r>
    <x v="93"/>
    <x v="1"/>
    <x v="0"/>
    <x v="19"/>
    <n v="577"/>
    <n v="2019.5"/>
  </r>
  <r>
    <x v="94"/>
    <x v="3"/>
    <x v="0"/>
    <x v="49"/>
    <n v="306"/>
    <n v="1040.3999999999999"/>
  </r>
  <r>
    <x v="94"/>
    <x v="0"/>
    <x v="0"/>
    <x v="44"/>
    <n v="266"/>
    <n v="904.4"/>
  </r>
  <r>
    <x v="94"/>
    <x v="3"/>
    <x v="0"/>
    <x v="22"/>
    <n v="292"/>
    <n v="992.8"/>
  </r>
  <r>
    <x v="94"/>
    <x v="8"/>
    <x v="0"/>
    <x v="41"/>
    <n v="383"/>
    <n v="1225.6000000000001"/>
  </r>
  <r>
    <x v="94"/>
    <x v="7"/>
    <x v="0"/>
    <x v="5"/>
    <n v="356"/>
    <n v="1210.3999999999999"/>
  </r>
  <r>
    <x v="94"/>
    <x v="7"/>
    <x v="0"/>
    <x v="13"/>
    <n v="388"/>
    <n v="1319.2"/>
  </r>
  <r>
    <x v="95"/>
    <x v="2"/>
    <x v="0"/>
    <x v="7"/>
    <n v="246"/>
    <n v="713.4"/>
  </r>
  <r>
    <x v="95"/>
    <x v="5"/>
    <x v="0"/>
    <x v="48"/>
    <n v="710"/>
    <n v="2414"/>
  </r>
  <r>
    <x v="95"/>
    <x v="5"/>
    <x v="0"/>
    <x v="19"/>
    <n v="549"/>
    <n v="1866.6"/>
  </r>
  <r>
    <x v="95"/>
    <x v="1"/>
    <x v="0"/>
    <x v="6"/>
    <n v="580"/>
    <n v="2030"/>
  </r>
  <r>
    <x v="95"/>
    <x v="4"/>
    <x v="0"/>
    <x v="7"/>
    <n v="237"/>
    <n v="805.8"/>
  </r>
  <r>
    <x v="96"/>
    <x v="1"/>
    <x v="0"/>
    <x v="5"/>
    <n v="403"/>
    <n v="1410.5"/>
  </r>
  <r>
    <x v="96"/>
    <x v="8"/>
    <x v="0"/>
    <x v="48"/>
    <n v="415"/>
    <n v="1328"/>
  </r>
  <r>
    <x v="96"/>
    <x v="2"/>
    <x v="0"/>
    <x v="19"/>
    <n v="319"/>
    <n v="925.1"/>
  </r>
  <r>
    <x v="96"/>
    <x v="7"/>
    <x v="0"/>
    <x v="15"/>
    <n v="189"/>
    <n v="642.6"/>
  </r>
  <r>
    <x v="96"/>
    <x v="7"/>
    <x v="0"/>
    <x v="4"/>
    <n v="85"/>
    <n v="289"/>
  </r>
  <r>
    <x v="96"/>
    <x v="0"/>
    <x v="0"/>
    <x v="25"/>
    <n v="448"/>
    <n v="1523.2"/>
  </r>
  <r>
    <x v="96"/>
    <x v="6"/>
    <x v="0"/>
    <x v="15"/>
    <n v="389"/>
    <n v="933.59999999999991"/>
  </r>
  <r>
    <x v="96"/>
    <x v="5"/>
    <x v="0"/>
    <x v="10"/>
    <n v="623"/>
    <n v="2118.1999999999998"/>
  </r>
  <r>
    <x v="96"/>
    <x v="5"/>
    <x v="0"/>
    <x v="11"/>
    <n v="668"/>
    <n v="2271.1999999999998"/>
  </r>
  <r>
    <x v="96"/>
    <x v="6"/>
    <x v="0"/>
    <x v="46"/>
    <n v="178"/>
    <n v="427.2"/>
  </r>
  <r>
    <x v="97"/>
    <x v="7"/>
    <x v="0"/>
    <x v="5"/>
    <n v="338"/>
    <n v="1149.2"/>
  </r>
  <r>
    <x v="97"/>
    <x v="4"/>
    <x v="0"/>
    <x v="4"/>
    <n v="344"/>
    <n v="1169.5999999999999"/>
  </r>
  <r>
    <x v="97"/>
    <x v="0"/>
    <x v="0"/>
    <x v="33"/>
    <n v="415"/>
    <n v="1411"/>
  </r>
  <r>
    <x v="98"/>
    <x v="0"/>
    <x v="0"/>
    <x v="23"/>
    <n v="255"/>
    <n v="867"/>
  </r>
  <r>
    <x v="98"/>
    <x v="8"/>
    <x v="0"/>
    <x v="47"/>
    <n v="150"/>
    <n v="480"/>
  </r>
  <r>
    <x v="98"/>
    <x v="6"/>
    <x v="0"/>
    <x v="5"/>
    <n v="383"/>
    <n v="919.19999999999993"/>
  </r>
  <r>
    <x v="98"/>
    <x v="8"/>
    <x v="0"/>
    <x v="45"/>
    <n v="404"/>
    <n v="1292.8000000000002"/>
  </r>
  <r>
    <x v="98"/>
    <x v="3"/>
    <x v="0"/>
    <x v="6"/>
    <n v="177"/>
    <n v="601.79999999999995"/>
  </r>
  <r>
    <x v="98"/>
    <x v="6"/>
    <x v="0"/>
    <x v="33"/>
    <n v="415"/>
    <n v="996"/>
  </r>
  <r>
    <x v="98"/>
    <x v="0"/>
    <x v="0"/>
    <x v="45"/>
    <n v="475"/>
    <n v="1615"/>
  </r>
  <r>
    <x v="98"/>
    <x v="5"/>
    <x v="0"/>
    <x v="16"/>
    <n v="423"/>
    <n v="1438.2"/>
  </r>
  <r>
    <x v="98"/>
    <x v="6"/>
    <x v="0"/>
    <x v="40"/>
    <n v="487"/>
    <n v="1168.8"/>
  </r>
  <r>
    <x v="98"/>
    <x v="6"/>
    <x v="0"/>
    <x v="47"/>
    <n v="253"/>
    <n v="607.19999999999993"/>
  </r>
  <r>
    <x v="98"/>
    <x v="8"/>
    <x v="0"/>
    <x v="13"/>
    <n v="81"/>
    <n v="259.2"/>
  </r>
  <r>
    <x v="98"/>
    <x v="0"/>
    <x v="0"/>
    <x v="44"/>
    <n v="467"/>
    <n v="1587.8"/>
  </r>
  <r>
    <x v="99"/>
    <x v="7"/>
    <x v="0"/>
    <x v="26"/>
    <n v="156"/>
    <n v="530.4"/>
  </r>
  <r>
    <x v="99"/>
    <x v="1"/>
    <x v="0"/>
    <x v="13"/>
    <n v="303"/>
    <n v="1060.5"/>
  </r>
  <r>
    <x v="99"/>
    <x v="8"/>
    <x v="0"/>
    <x v="0"/>
    <n v="122"/>
    <n v="390.40000000000003"/>
  </r>
  <r>
    <x v="99"/>
    <x v="2"/>
    <x v="0"/>
    <x v="40"/>
    <n v="76"/>
    <n v="220.4"/>
  </r>
  <r>
    <x v="99"/>
    <x v="0"/>
    <x v="0"/>
    <x v="26"/>
    <n v="648"/>
    <n v="2203.1999999999998"/>
  </r>
  <r>
    <x v="99"/>
    <x v="1"/>
    <x v="0"/>
    <x v="4"/>
    <n v="583"/>
    <n v="2040.5"/>
  </r>
  <r>
    <x v="99"/>
    <x v="4"/>
    <x v="0"/>
    <x v="4"/>
    <n v="132"/>
    <n v="448.8"/>
  </r>
  <r>
    <x v="99"/>
    <x v="7"/>
    <x v="0"/>
    <x v="1"/>
    <n v="101"/>
    <n v="343.4"/>
  </r>
  <r>
    <x v="99"/>
    <x v="8"/>
    <x v="0"/>
    <x v="35"/>
    <n v="297"/>
    <n v="950.40000000000009"/>
  </r>
  <r>
    <x v="99"/>
    <x v="8"/>
    <x v="0"/>
    <x v="45"/>
    <n v="390"/>
    <n v="1248"/>
  </r>
  <r>
    <x v="99"/>
    <x v="4"/>
    <x v="0"/>
    <x v="43"/>
    <n v="411"/>
    <n v="1397.3999999999999"/>
  </r>
  <r>
    <x v="100"/>
    <x v="3"/>
    <x v="0"/>
    <x v="15"/>
    <n v="295"/>
    <n v="1003"/>
  </r>
  <r>
    <x v="100"/>
    <x v="3"/>
    <x v="0"/>
    <x v="25"/>
    <n v="359"/>
    <n v="1220.5999999999999"/>
  </r>
  <r>
    <x v="100"/>
    <x v="5"/>
    <x v="0"/>
    <x v="27"/>
    <n v="564"/>
    <n v="1917.6"/>
  </r>
  <r>
    <x v="100"/>
    <x v="5"/>
    <x v="0"/>
    <x v="27"/>
    <n v="557"/>
    <n v="1893.8"/>
  </r>
  <r>
    <x v="100"/>
    <x v="3"/>
    <x v="0"/>
    <x v="28"/>
    <n v="51"/>
    <n v="173.4"/>
  </r>
  <r>
    <x v="100"/>
    <x v="3"/>
    <x v="0"/>
    <x v="13"/>
    <n v="312"/>
    <n v="1060.8"/>
  </r>
  <r>
    <x v="100"/>
    <x v="2"/>
    <x v="0"/>
    <x v="15"/>
    <n v="210"/>
    <n v="609"/>
  </r>
  <r>
    <x v="100"/>
    <x v="6"/>
    <x v="0"/>
    <x v="19"/>
    <n v="271"/>
    <n v="650.4"/>
  </r>
  <r>
    <x v="100"/>
    <x v="2"/>
    <x v="0"/>
    <x v="48"/>
    <n v="358"/>
    <n v="1038.2"/>
  </r>
  <r>
    <x v="101"/>
    <x v="2"/>
    <x v="0"/>
    <x v="1"/>
    <n v="131"/>
    <n v="379.9"/>
  </r>
  <r>
    <x v="101"/>
    <x v="2"/>
    <x v="0"/>
    <x v="37"/>
    <n v="433"/>
    <n v="1255.7"/>
  </r>
  <r>
    <x v="101"/>
    <x v="2"/>
    <x v="0"/>
    <x v="27"/>
    <n v="368"/>
    <n v="1067.2"/>
  </r>
  <r>
    <x v="101"/>
    <x v="5"/>
    <x v="0"/>
    <x v="1"/>
    <n v="458"/>
    <n v="1557.2"/>
  </r>
  <r>
    <x v="101"/>
    <x v="2"/>
    <x v="0"/>
    <x v="0"/>
    <n v="255"/>
    <n v="739.5"/>
  </r>
  <r>
    <x v="101"/>
    <x v="0"/>
    <x v="0"/>
    <x v="39"/>
    <n v="291"/>
    <n v="989.4"/>
  </r>
  <r>
    <x v="102"/>
    <x v="3"/>
    <x v="0"/>
    <x v="31"/>
    <n v="490"/>
    <n v="1666"/>
  </r>
  <r>
    <x v="102"/>
    <x v="1"/>
    <x v="0"/>
    <x v="34"/>
    <n v="516"/>
    <n v="1806"/>
  </r>
  <r>
    <x v="102"/>
    <x v="5"/>
    <x v="0"/>
    <x v="37"/>
    <n v="350"/>
    <n v="1190"/>
  </r>
  <r>
    <x v="102"/>
    <x v="6"/>
    <x v="0"/>
    <x v="0"/>
    <n v="463"/>
    <n v="1111.2"/>
  </r>
  <r>
    <x v="102"/>
    <x v="2"/>
    <x v="0"/>
    <x v="48"/>
    <n v="421"/>
    <n v="1220.8999999999999"/>
  </r>
  <r>
    <x v="102"/>
    <x v="5"/>
    <x v="0"/>
    <x v="43"/>
    <n v="797"/>
    <n v="2709.7999999999997"/>
  </r>
  <r>
    <x v="102"/>
    <x v="1"/>
    <x v="0"/>
    <x v="10"/>
    <n v="535"/>
    <n v="1872.5"/>
  </r>
  <r>
    <x v="102"/>
    <x v="3"/>
    <x v="0"/>
    <x v="25"/>
    <n v="395"/>
    <n v="1343"/>
  </r>
  <r>
    <x v="102"/>
    <x v="6"/>
    <x v="0"/>
    <x v="1"/>
    <n v="368"/>
    <n v="883.19999999999993"/>
  </r>
  <r>
    <x v="102"/>
    <x v="8"/>
    <x v="0"/>
    <x v="18"/>
    <n v="52"/>
    <n v="166.4"/>
  </r>
  <r>
    <x v="102"/>
    <x v="7"/>
    <x v="0"/>
    <x v="14"/>
    <n v="146"/>
    <n v="496.4"/>
  </r>
  <r>
    <x v="102"/>
    <x v="7"/>
    <x v="0"/>
    <x v="2"/>
    <n v="195"/>
    <n v="663"/>
  </r>
  <r>
    <x v="103"/>
    <x v="5"/>
    <x v="0"/>
    <x v="43"/>
    <n v="513"/>
    <n v="1744.2"/>
  </r>
  <r>
    <x v="103"/>
    <x v="6"/>
    <x v="0"/>
    <x v="13"/>
    <n v="219"/>
    <n v="525.6"/>
  </r>
  <r>
    <x v="103"/>
    <x v="5"/>
    <x v="0"/>
    <x v="10"/>
    <n v="457"/>
    <n v="1553.8"/>
  </r>
  <r>
    <x v="103"/>
    <x v="8"/>
    <x v="0"/>
    <x v="0"/>
    <n v="266"/>
    <n v="851.2"/>
  </r>
  <r>
    <x v="103"/>
    <x v="2"/>
    <x v="0"/>
    <x v="48"/>
    <n v="410"/>
    <n v="1189"/>
  </r>
  <r>
    <x v="103"/>
    <x v="0"/>
    <x v="0"/>
    <x v="26"/>
    <n v="339"/>
    <n v="1152.5999999999999"/>
  </r>
  <r>
    <x v="104"/>
    <x v="7"/>
    <x v="0"/>
    <x v="23"/>
    <n v="143"/>
    <n v="486.2"/>
  </r>
  <r>
    <x v="104"/>
    <x v="5"/>
    <x v="0"/>
    <x v="10"/>
    <n v="745"/>
    <n v="2533"/>
  </r>
  <r>
    <x v="104"/>
    <x v="0"/>
    <x v="0"/>
    <x v="24"/>
    <n v="266"/>
    <n v="904.4"/>
  </r>
  <r>
    <x v="104"/>
    <x v="1"/>
    <x v="0"/>
    <x v="39"/>
    <n v="504"/>
    <n v="1764"/>
  </r>
  <r>
    <x v="105"/>
    <x v="2"/>
    <x v="0"/>
    <x v="2"/>
    <n v="53"/>
    <n v="153.69999999999999"/>
  </r>
  <r>
    <x v="105"/>
    <x v="3"/>
    <x v="0"/>
    <x v="12"/>
    <n v="87"/>
    <n v="295.8"/>
  </r>
  <r>
    <x v="105"/>
    <x v="2"/>
    <x v="0"/>
    <x v="7"/>
    <n v="423"/>
    <n v="1226.7"/>
  </r>
  <r>
    <x v="105"/>
    <x v="6"/>
    <x v="0"/>
    <x v="14"/>
    <n v="252"/>
    <n v="604.79999999999995"/>
  </r>
  <r>
    <x v="105"/>
    <x v="3"/>
    <x v="0"/>
    <x v="20"/>
    <n v="438"/>
    <n v="1489.2"/>
  </r>
  <r>
    <x v="105"/>
    <x v="0"/>
    <x v="0"/>
    <x v="36"/>
    <n v="623"/>
    <n v="2118.1999999999998"/>
  </r>
  <r>
    <x v="105"/>
    <x v="5"/>
    <x v="0"/>
    <x v="44"/>
    <n v="548"/>
    <n v="1863.2"/>
  </r>
  <r>
    <x v="106"/>
    <x v="4"/>
    <x v="0"/>
    <x v="17"/>
    <n v="47"/>
    <n v="159.79999999999998"/>
  </r>
  <r>
    <x v="106"/>
    <x v="6"/>
    <x v="0"/>
    <x v="36"/>
    <n v="233"/>
    <n v="559.19999999999993"/>
  </r>
  <r>
    <x v="106"/>
    <x v="8"/>
    <x v="0"/>
    <x v="4"/>
    <n v="398"/>
    <n v="1273.6000000000001"/>
  </r>
  <r>
    <x v="106"/>
    <x v="3"/>
    <x v="0"/>
    <x v="46"/>
    <n v="120"/>
    <n v="408"/>
  </r>
  <r>
    <x v="107"/>
    <x v="4"/>
    <x v="0"/>
    <x v="28"/>
    <n v="129"/>
    <n v="438.59999999999997"/>
  </r>
  <r>
    <x v="107"/>
    <x v="3"/>
    <x v="0"/>
    <x v="47"/>
    <n v="73"/>
    <n v="248.2"/>
  </r>
  <r>
    <x v="107"/>
    <x v="7"/>
    <x v="0"/>
    <x v="37"/>
    <n v="12"/>
    <n v="40.799999999999997"/>
  </r>
  <r>
    <x v="107"/>
    <x v="2"/>
    <x v="0"/>
    <x v="44"/>
    <n v="120"/>
    <n v="348"/>
  </r>
  <r>
    <x v="108"/>
    <x v="7"/>
    <x v="0"/>
    <x v="32"/>
    <n v="44"/>
    <n v="149.6"/>
  </r>
  <r>
    <x v="108"/>
    <x v="4"/>
    <x v="0"/>
    <x v="0"/>
    <n v="80"/>
    <n v="272"/>
  </r>
  <r>
    <x v="108"/>
    <x v="3"/>
    <x v="0"/>
    <x v="23"/>
    <n v="171"/>
    <n v="581.4"/>
  </r>
  <r>
    <x v="108"/>
    <x v="8"/>
    <x v="0"/>
    <x v="35"/>
    <n v="132"/>
    <n v="422.40000000000003"/>
  </r>
  <r>
    <x v="108"/>
    <x v="8"/>
    <x v="0"/>
    <x v="19"/>
    <n v="171"/>
    <n v="547.20000000000005"/>
  </r>
  <r>
    <x v="108"/>
    <x v="0"/>
    <x v="0"/>
    <x v="46"/>
    <n v="527"/>
    <n v="1791.8"/>
  </r>
  <r>
    <x v="108"/>
    <x v="1"/>
    <x v="0"/>
    <x v="16"/>
    <n v="533"/>
    <n v="1865.5"/>
  </r>
  <r>
    <x v="108"/>
    <x v="3"/>
    <x v="0"/>
    <x v="47"/>
    <n v="401"/>
    <n v="1363.3999999999999"/>
  </r>
  <r>
    <x v="108"/>
    <x v="1"/>
    <x v="0"/>
    <x v="19"/>
    <n v="625"/>
    <n v="2187.5"/>
  </r>
  <r>
    <x v="108"/>
    <x v="8"/>
    <x v="0"/>
    <x v="17"/>
    <n v="195"/>
    <n v="624"/>
  </r>
  <r>
    <x v="108"/>
    <x v="1"/>
    <x v="0"/>
    <x v="7"/>
    <n v="376"/>
    <n v="1316"/>
  </r>
  <r>
    <x v="108"/>
    <x v="6"/>
    <x v="0"/>
    <x v="37"/>
    <n v="525"/>
    <n v="1260"/>
  </r>
  <r>
    <x v="108"/>
    <x v="1"/>
    <x v="0"/>
    <x v="24"/>
    <n v="641"/>
    <n v="2243.5"/>
  </r>
  <r>
    <x v="108"/>
    <x v="5"/>
    <x v="0"/>
    <x v="24"/>
    <n v="533"/>
    <n v="1812.2"/>
  </r>
  <r>
    <x v="108"/>
    <x v="5"/>
    <x v="0"/>
    <x v="2"/>
    <n v="558"/>
    <n v="1897.2"/>
  </r>
  <r>
    <x v="108"/>
    <x v="8"/>
    <x v="0"/>
    <x v="11"/>
    <n v="165"/>
    <n v="528"/>
  </r>
  <r>
    <x v="108"/>
    <x v="4"/>
    <x v="0"/>
    <x v="31"/>
    <n v="45"/>
    <n v="153"/>
  </r>
  <r>
    <x v="108"/>
    <x v="7"/>
    <x v="0"/>
    <x v="1"/>
    <n v="55"/>
    <n v="187"/>
  </r>
  <r>
    <x v="108"/>
    <x v="3"/>
    <x v="0"/>
    <x v="6"/>
    <n v="47"/>
    <n v="159.79999999999998"/>
  </r>
  <r>
    <x v="109"/>
    <x v="5"/>
    <x v="0"/>
    <x v="30"/>
    <n v="329"/>
    <n v="1118.5999999999999"/>
  </r>
  <r>
    <x v="109"/>
    <x v="3"/>
    <x v="0"/>
    <x v="47"/>
    <n v="347"/>
    <n v="1179.8"/>
  </r>
  <r>
    <x v="109"/>
    <x v="1"/>
    <x v="0"/>
    <x v="7"/>
    <n v="521"/>
    <n v="1823.5"/>
  </r>
  <r>
    <x v="109"/>
    <x v="6"/>
    <x v="0"/>
    <x v="6"/>
    <n v="172"/>
    <n v="412.8"/>
  </r>
  <r>
    <x v="109"/>
    <x v="0"/>
    <x v="0"/>
    <x v="31"/>
    <n v="410"/>
    <n v="1394"/>
  </r>
  <r>
    <x v="110"/>
    <x v="5"/>
    <x v="0"/>
    <x v="17"/>
    <n v="437"/>
    <n v="1485.8"/>
  </r>
  <r>
    <x v="110"/>
    <x v="4"/>
    <x v="0"/>
    <x v="40"/>
    <n v="446"/>
    <n v="1516.3999999999999"/>
  </r>
  <r>
    <x v="110"/>
    <x v="2"/>
    <x v="0"/>
    <x v="24"/>
    <n v="224"/>
    <n v="649.6"/>
  </r>
  <r>
    <x v="110"/>
    <x v="0"/>
    <x v="0"/>
    <x v="0"/>
    <n v="402"/>
    <n v="1366.8"/>
  </r>
  <r>
    <x v="110"/>
    <x v="6"/>
    <x v="0"/>
    <x v="20"/>
    <n v="259"/>
    <n v="621.6"/>
  </r>
  <r>
    <x v="110"/>
    <x v="3"/>
    <x v="0"/>
    <x v="0"/>
    <n v="393"/>
    <n v="1336.2"/>
  </r>
  <r>
    <x v="110"/>
    <x v="5"/>
    <x v="0"/>
    <x v="40"/>
    <n v="447"/>
    <n v="1519.8"/>
  </r>
  <r>
    <x v="111"/>
    <x v="7"/>
    <x v="0"/>
    <x v="17"/>
    <n v="171"/>
    <n v="581.4"/>
  </r>
  <r>
    <x v="111"/>
    <x v="4"/>
    <x v="0"/>
    <x v="28"/>
    <n v="340"/>
    <n v="1156"/>
  </r>
  <r>
    <x v="111"/>
    <x v="8"/>
    <x v="0"/>
    <x v="4"/>
    <n v="237"/>
    <n v="758.40000000000009"/>
  </r>
  <r>
    <x v="111"/>
    <x v="5"/>
    <x v="0"/>
    <x v="28"/>
    <n v="794"/>
    <n v="2699.6"/>
  </r>
  <r>
    <x v="112"/>
    <x v="1"/>
    <x v="0"/>
    <x v="49"/>
    <n v="237"/>
    <n v="829.5"/>
  </r>
  <r>
    <x v="112"/>
    <x v="1"/>
    <x v="0"/>
    <x v="17"/>
    <n v="555"/>
    <n v="1942.5"/>
  </r>
  <r>
    <x v="112"/>
    <x v="2"/>
    <x v="0"/>
    <x v="1"/>
    <n v="303"/>
    <n v="878.69999999999993"/>
  </r>
  <r>
    <x v="112"/>
    <x v="0"/>
    <x v="0"/>
    <x v="5"/>
    <n v="394"/>
    <n v="1339.6"/>
  </r>
  <r>
    <x v="112"/>
    <x v="4"/>
    <x v="0"/>
    <x v="37"/>
    <n v="391"/>
    <n v="1329.3999999999999"/>
  </r>
  <r>
    <x v="112"/>
    <x v="4"/>
    <x v="0"/>
    <x v="31"/>
    <n v="91"/>
    <n v="309.39999999999998"/>
  </r>
  <r>
    <x v="112"/>
    <x v="8"/>
    <x v="0"/>
    <x v="45"/>
    <n v="223"/>
    <n v="713.6"/>
  </r>
  <r>
    <x v="113"/>
    <x v="0"/>
    <x v="0"/>
    <x v="10"/>
    <n v="550"/>
    <n v="1870"/>
  </r>
  <r>
    <x v="113"/>
    <x v="4"/>
    <x v="0"/>
    <x v="45"/>
    <n v="97"/>
    <n v="329.8"/>
  </r>
  <r>
    <x v="113"/>
    <x v="8"/>
    <x v="0"/>
    <x v="5"/>
    <n v="190"/>
    <n v="608"/>
  </r>
  <r>
    <x v="113"/>
    <x v="5"/>
    <x v="0"/>
    <x v="29"/>
    <n v="650"/>
    <n v="2210"/>
  </r>
  <r>
    <x v="113"/>
    <x v="6"/>
    <x v="0"/>
    <x v="42"/>
    <n v="323"/>
    <n v="775.19999999999993"/>
  </r>
  <r>
    <x v="113"/>
    <x v="7"/>
    <x v="0"/>
    <x v="15"/>
    <n v="279"/>
    <n v="948.6"/>
  </r>
  <r>
    <x v="113"/>
    <x v="1"/>
    <x v="0"/>
    <x v="34"/>
    <n v="346"/>
    <n v="1211"/>
  </r>
  <r>
    <x v="113"/>
    <x v="8"/>
    <x v="0"/>
    <x v="46"/>
    <n v="358"/>
    <n v="1145.6000000000001"/>
  </r>
  <r>
    <x v="113"/>
    <x v="4"/>
    <x v="0"/>
    <x v="15"/>
    <n v="17"/>
    <n v="57.8"/>
  </r>
  <r>
    <x v="114"/>
    <x v="0"/>
    <x v="0"/>
    <x v="4"/>
    <n v="594"/>
    <n v="2019.6"/>
  </r>
  <r>
    <x v="114"/>
    <x v="5"/>
    <x v="0"/>
    <x v="30"/>
    <n v="770"/>
    <n v="2618"/>
  </r>
  <r>
    <x v="114"/>
    <x v="5"/>
    <x v="0"/>
    <x v="47"/>
    <n v="397"/>
    <n v="1349.8"/>
  </r>
  <r>
    <x v="114"/>
    <x v="8"/>
    <x v="0"/>
    <x v="36"/>
    <n v="193"/>
    <n v="617.6"/>
  </r>
  <r>
    <x v="114"/>
    <x v="3"/>
    <x v="0"/>
    <x v="33"/>
    <n v="381"/>
    <n v="1295.3999999999999"/>
  </r>
  <r>
    <x v="114"/>
    <x v="7"/>
    <x v="0"/>
    <x v="42"/>
    <n v="74"/>
    <n v="251.6"/>
  </r>
  <r>
    <x v="114"/>
    <x v="7"/>
    <x v="0"/>
    <x v="6"/>
    <n v="458"/>
    <n v="1557.2"/>
  </r>
  <r>
    <x v="114"/>
    <x v="6"/>
    <x v="0"/>
    <x v="39"/>
    <n v="126"/>
    <n v="302.39999999999998"/>
  </r>
  <r>
    <x v="114"/>
    <x v="4"/>
    <x v="0"/>
    <x v="12"/>
    <n v="58"/>
    <n v="197.2"/>
  </r>
  <r>
    <x v="114"/>
    <x v="6"/>
    <x v="0"/>
    <x v="27"/>
    <n v="206"/>
    <n v="494.4"/>
  </r>
  <r>
    <x v="114"/>
    <x v="1"/>
    <x v="0"/>
    <x v="11"/>
    <n v="380"/>
    <n v="1330"/>
  </r>
  <r>
    <x v="114"/>
    <x v="4"/>
    <x v="0"/>
    <x v="12"/>
    <n v="428"/>
    <n v="1455.2"/>
  </r>
  <r>
    <x v="115"/>
    <x v="7"/>
    <x v="0"/>
    <x v="38"/>
    <n v="43"/>
    <n v="146.19999999999999"/>
  </r>
  <r>
    <x v="115"/>
    <x v="0"/>
    <x v="0"/>
    <x v="24"/>
    <n v="357"/>
    <n v="1213.8"/>
  </r>
  <r>
    <x v="115"/>
    <x v="0"/>
    <x v="0"/>
    <x v="20"/>
    <n v="490"/>
    <n v="1666"/>
  </r>
  <r>
    <x v="115"/>
    <x v="5"/>
    <x v="0"/>
    <x v="24"/>
    <n v="592"/>
    <n v="2012.8"/>
  </r>
  <r>
    <x v="116"/>
    <x v="5"/>
    <x v="0"/>
    <x v="32"/>
    <n v="685"/>
    <n v="2329"/>
  </r>
  <r>
    <x v="116"/>
    <x v="8"/>
    <x v="0"/>
    <x v="15"/>
    <n v="404"/>
    <n v="1292.8000000000002"/>
  </r>
  <r>
    <x v="116"/>
    <x v="8"/>
    <x v="0"/>
    <x v="39"/>
    <n v="109"/>
    <n v="348.8"/>
  </r>
  <r>
    <x v="116"/>
    <x v="4"/>
    <x v="0"/>
    <x v="45"/>
    <n v="454"/>
    <n v="1543.6"/>
  </r>
  <r>
    <x v="116"/>
    <x v="3"/>
    <x v="0"/>
    <x v="16"/>
    <n v="206"/>
    <n v="700.4"/>
  </r>
  <r>
    <x v="116"/>
    <x v="6"/>
    <x v="0"/>
    <x v="20"/>
    <n v="585"/>
    <n v="1404"/>
  </r>
  <r>
    <x v="116"/>
    <x v="5"/>
    <x v="0"/>
    <x v="43"/>
    <n v="697"/>
    <n v="2369.7999999999997"/>
  </r>
  <r>
    <x v="116"/>
    <x v="7"/>
    <x v="0"/>
    <x v="34"/>
    <n v="176"/>
    <n v="598.4"/>
  </r>
  <r>
    <x v="117"/>
    <x v="0"/>
    <x v="0"/>
    <x v="29"/>
    <n v="383"/>
    <n v="1302.2"/>
  </r>
  <r>
    <x v="117"/>
    <x v="4"/>
    <x v="0"/>
    <x v="18"/>
    <n v="225"/>
    <n v="765"/>
  </r>
  <r>
    <x v="117"/>
    <x v="6"/>
    <x v="0"/>
    <x v="38"/>
    <n v="562"/>
    <n v="1348.8"/>
  </r>
  <r>
    <x v="117"/>
    <x v="5"/>
    <x v="0"/>
    <x v="26"/>
    <n v="387"/>
    <n v="1315.8"/>
  </r>
  <r>
    <x v="118"/>
    <x v="0"/>
    <x v="0"/>
    <x v="47"/>
    <n v="339"/>
    <n v="1152.5999999999999"/>
  </r>
  <r>
    <x v="118"/>
    <x v="7"/>
    <x v="0"/>
    <x v="26"/>
    <n v="456"/>
    <n v="1550.3999999999999"/>
  </r>
  <r>
    <x v="118"/>
    <x v="5"/>
    <x v="0"/>
    <x v="23"/>
    <n v="490"/>
    <n v="1666"/>
  </r>
  <r>
    <x v="118"/>
    <x v="1"/>
    <x v="0"/>
    <x v="22"/>
    <n v="599"/>
    <n v="2096.5"/>
  </r>
  <r>
    <x v="118"/>
    <x v="7"/>
    <x v="0"/>
    <x v="24"/>
    <n v="185"/>
    <n v="629"/>
  </r>
  <r>
    <x v="118"/>
    <x v="5"/>
    <x v="0"/>
    <x v="37"/>
    <n v="670"/>
    <n v="2278"/>
  </r>
  <r>
    <x v="118"/>
    <x v="3"/>
    <x v="0"/>
    <x v="28"/>
    <n v="280"/>
    <n v="952"/>
  </r>
  <r>
    <x v="118"/>
    <x v="7"/>
    <x v="0"/>
    <x v="46"/>
    <n v="211"/>
    <n v="717.4"/>
  </r>
  <r>
    <x v="119"/>
    <x v="6"/>
    <x v="0"/>
    <x v="31"/>
    <n v="136"/>
    <n v="326.39999999999998"/>
  </r>
  <r>
    <x v="119"/>
    <x v="5"/>
    <x v="0"/>
    <x v="42"/>
    <n v="417"/>
    <n v="1417.8"/>
  </r>
  <r>
    <x v="119"/>
    <x v="6"/>
    <x v="0"/>
    <x v="6"/>
    <n v="381"/>
    <n v="914.4"/>
  </r>
  <r>
    <x v="119"/>
    <x v="5"/>
    <x v="0"/>
    <x v="19"/>
    <n v="546"/>
    <n v="1856.3999999999999"/>
  </r>
  <r>
    <x v="119"/>
    <x v="2"/>
    <x v="0"/>
    <x v="48"/>
    <n v="355"/>
    <n v="1029.5"/>
  </r>
  <r>
    <x v="120"/>
    <x v="5"/>
    <x v="0"/>
    <x v="17"/>
    <n v="592"/>
    <n v="2012.8"/>
  </r>
  <r>
    <x v="120"/>
    <x v="5"/>
    <x v="0"/>
    <x v="17"/>
    <n v="519"/>
    <n v="1764.6"/>
  </r>
  <r>
    <x v="120"/>
    <x v="1"/>
    <x v="0"/>
    <x v="48"/>
    <n v="441"/>
    <n v="1543.5"/>
  </r>
  <r>
    <x v="120"/>
    <x v="6"/>
    <x v="0"/>
    <x v="4"/>
    <n v="360"/>
    <n v="864"/>
  </r>
  <r>
    <x v="120"/>
    <x v="1"/>
    <x v="0"/>
    <x v="27"/>
    <n v="675"/>
    <n v="2362.5"/>
  </r>
  <r>
    <x v="120"/>
    <x v="1"/>
    <x v="0"/>
    <x v="33"/>
    <n v="567"/>
    <n v="1984.5"/>
  </r>
  <r>
    <x v="120"/>
    <x v="6"/>
    <x v="0"/>
    <x v="23"/>
    <n v="350"/>
    <n v="840"/>
  </r>
  <r>
    <x v="120"/>
    <x v="5"/>
    <x v="0"/>
    <x v="21"/>
    <n v="379"/>
    <n v="1288.5999999999999"/>
  </r>
  <r>
    <x v="120"/>
    <x v="4"/>
    <x v="0"/>
    <x v="44"/>
    <n v="135"/>
    <n v="459"/>
  </r>
  <r>
    <x v="120"/>
    <x v="6"/>
    <x v="0"/>
    <x v="14"/>
    <n v="502"/>
    <n v="1204.8"/>
  </r>
  <r>
    <x v="121"/>
    <x v="2"/>
    <x v="0"/>
    <x v="28"/>
    <n v="220"/>
    <n v="638"/>
  </r>
  <r>
    <x v="121"/>
    <x v="8"/>
    <x v="0"/>
    <x v="35"/>
    <n v="487"/>
    <n v="1558.4"/>
  </r>
  <r>
    <x v="121"/>
    <x v="5"/>
    <x v="0"/>
    <x v="26"/>
    <n v="578"/>
    <n v="1965.2"/>
  </r>
  <r>
    <x v="121"/>
    <x v="1"/>
    <x v="0"/>
    <x v="14"/>
    <n v="260"/>
    <n v="910"/>
  </r>
  <r>
    <x v="122"/>
    <x v="2"/>
    <x v="0"/>
    <x v="15"/>
    <n v="159"/>
    <n v="461.09999999999997"/>
  </r>
  <r>
    <x v="122"/>
    <x v="4"/>
    <x v="0"/>
    <x v="16"/>
    <n v="446"/>
    <n v="1516.3999999999999"/>
  </r>
  <r>
    <x v="122"/>
    <x v="3"/>
    <x v="0"/>
    <x v="5"/>
    <n v="313"/>
    <n v="1064.2"/>
  </r>
  <r>
    <x v="122"/>
    <x v="7"/>
    <x v="0"/>
    <x v="31"/>
    <n v="81"/>
    <n v="275.39999999999998"/>
  </r>
  <r>
    <x v="122"/>
    <x v="1"/>
    <x v="0"/>
    <x v="14"/>
    <n v="226"/>
    <n v="791"/>
  </r>
  <r>
    <x v="123"/>
    <x v="5"/>
    <x v="0"/>
    <x v="11"/>
    <n v="385"/>
    <n v="1309"/>
  </r>
  <r>
    <x v="123"/>
    <x v="4"/>
    <x v="0"/>
    <x v="9"/>
    <n v="308"/>
    <n v="1047.2"/>
  </r>
  <r>
    <x v="123"/>
    <x v="7"/>
    <x v="0"/>
    <x v="19"/>
    <n v="68"/>
    <n v="231.2"/>
  </r>
  <r>
    <x v="123"/>
    <x v="1"/>
    <x v="0"/>
    <x v="32"/>
    <n v="467"/>
    <n v="1634.5"/>
  </r>
  <r>
    <x v="123"/>
    <x v="2"/>
    <x v="0"/>
    <x v="15"/>
    <n v="465"/>
    <n v="1348.5"/>
  </r>
  <r>
    <x v="123"/>
    <x v="2"/>
    <x v="0"/>
    <x v="24"/>
    <n v="484"/>
    <n v="1403.6"/>
  </r>
  <r>
    <x v="124"/>
    <x v="6"/>
    <x v="0"/>
    <x v="49"/>
    <n v="384"/>
    <n v="921.59999999999991"/>
  </r>
  <r>
    <x v="124"/>
    <x v="1"/>
    <x v="0"/>
    <x v="11"/>
    <n v="296"/>
    <n v="1036"/>
  </r>
  <r>
    <x v="124"/>
    <x v="1"/>
    <x v="0"/>
    <x v="37"/>
    <n v="396"/>
    <n v="1386"/>
  </r>
  <r>
    <x v="124"/>
    <x v="3"/>
    <x v="0"/>
    <x v="3"/>
    <n v="37"/>
    <n v="125.8"/>
  </r>
  <r>
    <x v="124"/>
    <x v="0"/>
    <x v="0"/>
    <x v="35"/>
    <n v="315"/>
    <n v="1071"/>
  </r>
  <r>
    <x v="124"/>
    <x v="6"/>
    <x v="0"/>
    <x v="46"/>
    <n v="526"/>
    <n v="1262.3999999999999"/>
  </r>
  <r>
    <x v="124"/>
    <x v="4"/>
    <x v="0"/>
    <x v="0"/>
    <n v="433"/>
    <n v="1472.2"/>
  </r>
  <r>
    <x v="124"/>
    <x v="2"/>
    <x v="0"/>
    <x v="30"/>
    <n v="452"/>
    <n v="1310.8"/>
  </r>
  <r>
    <x v="124"/>
    <x v="3"/>
    <x v="0"/>
    <x v="31"/>
    <n v="117"/>
    <n v="397.8"/>
  </r>
  <r>
    <x v="124"/>
    <x v="1"/>
    <x v="0"/>
    <x v="35"/>
    <n v="355"/>
    <n v="1242.5"/>
  </r>
  <r>
    <x v="125"/>
    <x v="4"/>
    <x v="0"/>
    <x v="33"/>
    <n v="228"/>
    <n v="775.19999999999993"/>
  </r>
  <r>
    <x v="125"/>
    <x v="6"/>
    <x v="0"/>
    <x v="27"/>
    <n v="477"/>
    <n v="1144.8"/>
  </r>
  <r>
    <x v="125"/>
    <x v="1"/>
    <x v="0"/>
    <x v="30"/>
    <n v="636"/>
    <n v="2226"/>
  </r>
  <r>
    <x v="125"/>
    <x v="1"/>
    <x v="0"/>
    <x v="10"/>
    <n v="319"/>
    <n v="1116.5"/>
  </r>
  <r>
    <x v="125"/>
    <x v="8"/>
    <x v="0"/>
    <x v="30"/>
    <n v="18"/>
    <n v="57.6"/>
  </r>
  <r>
    <x v="125"/>
    <x v="6"/>
    <x v="0"/>
    <x v="32"/>
    <n v="542"/>
    <n v="1300.8"/>
  </r>
  <r>
    <x v="126"/>
    <x v="4"/>
    <x v="0"/>
    <x v="29"/>
    <n v="321"/>
    <n v="1091.3999999999999"/>
  </r>
  <r>
    <x v="126"/>
    <x v="5"/>
    <x v="0"/>
    <x v="25"/>
    <n v="359"/>
    <n v="1220.5999999999999"/>
  </r>
  <r>
    <x v="126"/>
    <x v="6"/>
    <x v="0"/>
    <x v="26"/>
    <n v="164"/>
    <n v="393.59999999999997"/>
  </r>
  <r>
    <x v="126"/>
    <x v="4"/>
    <x v="0"/>
    <x v="27"/>
    <n v="461"/>
    <n v="1567.3999999999999"/>
  </r>
  <r>
    <x v="126"/>
    <x v="8"/>
    <x v="0"/>
    <x v="13"/>
    <n v="173"/>
    <n v="553.6"/>
  </r>
  <r>
    <x v="126"/>
    <x v="7"/>
    <x v="0"/>
    <x v="30"/>
    <n v="463"/>
    <n v="1574.2"/>
  </r>
  <r>
    <x v="126"/>
    <x v="8"/>
    <x v="0"/>
    <x v="33"/>
    <n v="143"/>
    <n v="457.6"/>
  </r>
  <r>
    <x v="126"/>
    <x v="4"/>
    <x v="0"/>
    <x v="24"/>
    <n v="405"/>
    <n v="1377"/>
  </r>
  <r>
    <x v="126"/>
    <x v="2"/>
    <x v="0"/>
    <x v="4"/>
    <n v="99"/>
    <n v="287.09999999999997"/>
  </r>
  <r>
    <x v="126"/>
    <x v="6"/>
    <x v="0"/>
    <x v="30"/>
    <n v="234"/>
    <n v="561.6"/>
  </r>
  <r>
    <x v="126"/>
    <x v="0"/>
    <x v="0"/>
    <x v="42"/>
    <n v="532"/>
    <n v="1808.8"/>
  </r>
  <r>
    <x v="126"/>
    <x v="4"/>
    <x v="0"/>
    <x v="0"/>
    <n v="294"/>
    <n v="999.6"/>
  </r>
  <r>
    <x v="126"/>
    <x v="0"/>
    <x v="0"/>
    <x v="2"/>
    <n v="637"/>
    <n v="2165.7999999999997"/>
  </r>
  <r>
    <x v="126"/>
    <x v="3"/>
    <x v="0"/>
    <x v="26"/>
    <n v="258"/>
    <n v="877.19999999999993"/>
  </r>
  <r>
    <x v="126"/>
    <x v="1"/>
    <x v="0"/>
    <x v="22"/>
    <n v="674"/>
    <n v="2359"/>
  </r>
  <r>
    <x v="126"/>
    <x v="1"/>
    <x v="0"/>
    <x v="19"/>
    <n v="449"/>
    <n v="1571.5"/>
  </r>
  <r>
    <x v="127"/>
    <x v="1"/>
    <x v="0"/>
    <x v="28"/>
    <n v="413"/>
    <n v="1445.5"/>
  </r>
  <r>
    <x v="127"/>
    <x v="1"/>
    <x v="0"/>
    <x v="24"/>
    <n v="676"/>
    <n v="2366"/>
  </r>
  <r>
    <x v="127"/>
    <x v="5"/>
    <x v="0"/>
    <x v="21"/>
    <n v="409"/>
    <n v="1390.6"/>
  </r>
  <r>
    <x v="127"/>
    <x v="5"/>
    <x v="0"/>
    <x v="45"/>
    <n v="777"/>
    <n v="2641.7999999999997"/>
  </r>
  <r>
    <x v="127"/>
    <x v="8"/>
    <x v="0"/>
    <x v="38"/>
    <n v="49"/>
    <n v="156.80000000000001"/>
  </r>
  <r>
    <x v="127"/>
    <x v="5"/>
    <x v="0"/>
    <x v="46"/>
    <n v="575"/>
    <n v="1955"/>
  </r>
  <r>
    <x v="127"/>
    <x v="2"/>
    <x v="0"/>
    <x v="35"/>
    <n v="219"/>
    <n v="635.1"/>
  </r>
  <r>
    <x v="128"/>
    <x v="9"/>
    <x v="1"/>
    <x v="0"/>
    <n v="342"/>
    <n v="1197"/>
  </r>
  <r>
    <x v="128"/>
    <x v="10"/>
    <x v="2"/>
    <x v="14"/>
    <n v="447"/>
    <n v="1206.9000000000001"/>
  </r>
  <r>
    <x v="128"/>
    <x v="11"/>
    <x v="2"/>
    <x v="12"/>
    <n v="234"/>
    <n v="748.80000000000007"/>
  </r>
  <r>
    <x v="128"/>
    <x v="11"/>
    <x v="2"/>
    <x v="1"/>
    <n v="434"/>
    <n v="1388.8000000000002"/>
  </r>
  <r>
    <x v="128"/>
    <x v="11"/>
    <x v="2"/>
    <x v="33"/>
    <n v="428"/>
    <n v="1369.6000000000001"/>
  </r>
  <r>
    <x v="128"/>
    <x v="9"/>
    <x v="1"/>
    <x v="49"/>
    <n v="380"/>
    <n v="1330"/>
  </r>
  <r>
    <x v="128"/>
    <x v="11"/>
    <x v="2"/>
    <x v="7"/>
    <n v="354"/>
    <n v="1132.8"/>
  </r>
  <r>
    <x v="128"/>
    <x v="9"/>
    <x v="1"/>
    <x v="14"/>
    <n v="31"/>
    <n v="108.5"/>
  </r>
  <r>
    <x v="128"/>
    <x v="10"/>
    <x v="2"/>
    <x v="4"/>
    <n v="37"/>
    <n v="99.9"/>
  </r>
  <r>
    <x v="128"/>
    <x v="10"/>
    <x v="2"/>
    <x v="16"/>
    <n v="463"/>
    <n v="1250.1000000000001"/>
  </r>
  <r>
    <x v="129"/>
    <x v="10"/>
    <x v="2"/>
    <x v="25"/>
    <n v="499"/>
    <n v="1347.3000000000002"/>
  </r>
  <r>
    <x v="129"/>
    <x v="11"/>
    <x v="2"/>
    <x v="42"/>
    <n v="481"/>
    <n v="1539.2"/>
  </r>
  <r>
    <x v="129"/>
    <x v="10"/>
    <x v="2"/>
    <x v="1"/>
    <n v="174"/>
    <n v="469.8"/>
  </r>
  <r>
    <x v="129"/>
    <x v="9"/>
    <x v="1"/>
    <x v="19"/>
    <n v="45"/>
    <n v="157.5"/>
  </r>
  <r>
    <x v="129"/>
    <x v="10"/>
    <x v="2"/>
    <x v="49"/>
    <n v="324"/>
    <n v="874.80000000000007"/>
  </r>
  <r>
    <x v="129"/>
    <x v="10"/>
    <x v="2"/>
    <x v="13"/>
    <n v="94"/>
    <n v="253.8"/>
  </r>
  <r>
    <x v="129"/>
    <x v="9"/>
    <x v="1"/>
    <x v="36"/>
    <n v="453"/>
    <n v="1585.5"/>
  </r>
  <r>
    <x v="129"/>
    <x v="11"/>
    <x v="2"/>
    <x v="15"/>
    <n v="410"/>
    <n v="1312"/>
  </r>
  <r>
    <x v="130"/>
    <x v="9"/>
    <x v="1"/>
    <x v="27"/>
    <n v="181"/>
    <n v="633.5"/>
  </r>
  <r>
    <x v="130"/>
    <x v="11"/>
    <x v="2"/>
    <x v="20"/>
    <n v="303"/>
    <n v="969.6"/>
  </r>
  <r>
    <x v="130"/>
    <x v="11"/>
    <x v="2"/>
    <x v="41"/>
    <n v="256"/>
    <n v="819.2"/>
  </r>
  <r>
    <x v="130"/>
    <x v="11"/>
    <x v="2"/>
    <x v="15"/>
    <n v="201"/>
    <n v="643.20000000000005"/>
  </r>
  <r>
    <x v="130"/>
    <x v="9"/>
    <x v="1"/>
    <x v="39"/>
    <n v="473"/>
    <n v="1655.5"/>
  </r>
  <r>
    <x v="130"/>
    <x v="10"/>
    <x v="2"/>
    <x v="1"/>
    <n v="289"/>
    <n v="780.30000000000007"/>
  </r>
  <r>
    <x v="131"/>
    <x v="11"/>
    <x v="2"/>
    <x v="23"/>
    <n v="377"/>
    <n v="1206.4000000000001"/>
  </r>
  <r>
    <x v="131"/>
    <x v="10"/>
    <x v="2"/>
    <x v="6"/>
    <n v="300"/>
    <n v="810"/>
  </r>
  <r>
    <x v="131"/>
    <x v="10"/>
    <x v="2"/>
    <x v="49"/>
    <n v="198"/>
    <n v="534.6"/>
  </r>
  <r>
    <x v="131"/>
    <x v="10"/>
    <x v="2"/>
    <x v="13"/>
    <n v="86"/>
    <n v="232.20000000000002"/>
  </r>
  <r>
    <x v="131"/>
    <x v="10"/>
    <x v="2"/>
    <x v="5"/>
    <n v="101"/>
    <n v="272.70000000000005"/>
  </r>
  <r>
    <x v="131"/>
    <x v="10"/>
    <x v="2"/>
    <x v="43"/>
    <n v="235"/>
    <n v="634.5"/>
  </r>
  <r>
    <x v="132"/>
    <x v="10"/>
    <x v="2"/>
    <x v="0"/>
    <n v="245"/>
    <n v="661.5"/>
  </r>
  <r>
    <x v="132"/>
    <x v="9"/>
    <x v="1"/>
    <x v="21"/>
    <n v="204"/>
    <n v="714"/>
  </r>
  <r>
    <x v="132"/>
    <x v="9"/>
    <x v="1"/>
    <x v="25"/>
    <n v="30"/>
    <n v="105"/>
  </r>
  <r>
    <x v="132"/>
    <x v="10"/>
    <x v="2"/>
    <x v="10"/>
    <n v="50"/>
    <n v="135"/>
  </r>
  <r>
    <x v="132"/>
    <x v="11"/>
    <x v="2"/>
    <x v="3"/>
    <n v="58"/>
    <n v="185.60000000000002"/>
  </r>
  <r>
    <x v="132"/>
    <x v="11"/>
    <x v="2"/>
    <x v="33"/>
    <n v="290"/>
    <n v="928"/>
  </r>
  <r>
    <x v="132"/>
    <x v="9"/>
    <x v="1"/>
    <x v="22"/>
    <n v="426"/>
    <n v="1491"/>
  </r>
  <r>
    <x v="132"/>
    <x v="10"/>
    <x v="2"/>
    <x v="34"/>
    <n v="384"/>
    <n v="1036.8000000000002"/>
  </r>
  <r>
    <x v="132"/>
    <x v="10"/>
    <x v="2"/>
    <x v="37"/>
    <n v="102"/>
    <n v="275.40000000000003"/>
  </r>
  <r>
    <x v="132"/>
    <x v="10"/>
    <x v="2"/>
    <x v="28"/>
    <n v="448"/>
    <n v="1209.6000000000001"/>
  </r>
  <r>
    <x v="132"/>
    <x v="11"/>
    <x v="2"/>
    <x v="8"/>
    <n v="476"/>
    <n v="1523.2"/>
  </r>
  <r>
    <x v="132"/>
    <x v="10"/>
    <x v="2"/>
    <x v="19"/>
    <n v="287"/>
    <n v="774.90000000000009"/>
  </r>
  <r>
    <x v="132"/>
    <x v="9"/>
    <x v="1"/>
    <x v="16"/>
    <n v="482"/>
    <n v="1687"/>
  </r>
  <r>
    <x v="132"/>
    <x v="10"/>
    <x v="2"/>
    <x v="20"/>
    <n v="258"/>
    <n v="696.6"/>
  </r>
  <r>
    <x v="132"/>
    <x v="10"/>
    <x v="2"/>
    <x v="31"/>
    <n v="321"/>
    <n v="866.7"/>
  </r>
  <r>
    <x v="132"/>
    <x v="11"/>
    <x v="2"/>
    <x v="27"/>
    <n v="339"/>
    <n v="1084.8"/>
  </r>
  <r>
    <x v="133"/>
    <x v="9"/>
    <x v="1"/>
    <x v="44"/>
    <n v="466"/>
    <n v="1631"/>
  </r>
  <r>
    <x v="134"/>
    <x v="11"/>
    <x v="2"/>
    <x v="49"/>
    <n v="377"/>
    <n v="1206.4000000000001"/>
  </r>
  <r>
    <x v="134"/>
    <x v="11"/>
    <x v="2"/>
    <x v="47"/>
    <n v="201"/>
    <n v="643.20000000000005"/>
  </r>
  <r>
    <x v="134"/>
    <x v="9"/>
    <x v="1"/>
    <x v="30"/>
    <n v="97"/>
    <n v="339.5"/>
  </r>
  <r>
    <x v="134"/>
    <x v="11"/>
    <x v="2"/>
    <x v="27"/>
    <n v="256"/>
    <n v="819.2"/>
  </r>
  <r>
    <x v="134"/>
    <x v="9"/>
    <x v="1"/>
    <x v="35"/>
    <n v="402"/>
    <n v="1407"/>
  </r>
  <r>
    <x v="134"/>
    <x v="10"/>
    <x v="2"/>
    <x v="47"/>
    <n v="169"/>
    <n v="456.3"/>
  </r>
  <r>
    <x v="134"/>
    <x v="10"/>
    <x v="2"/>
    <x v="17"/>
    <n v="183"/>
    <n v="494.1"/>
  </r>
  <r>
    <x v="134"/>
    <x v="11"/>
    <x v="2"/>
    <x v="40"/>
    <n v="200"/>
    <n v="640"/>
  </r>
  <r>
    <x v="134"/>
    <x v="11"/>
    <x v="2"/>
    <x v="18"/>
    <n v="325"/>
    <n v="1040"/>
  </r>
  <r>
    <x v="135"/>
    <x v="9"/>
    <x v="1"/>
    <x v="49"/>
    <n v="286"/>
    <n v="1001"/>
  </r>
  <r>
    <x v="135"/>
    <x v="9"/>
    <x v="1"/>
    <x v="9"/>
    <n v="366"/>
    <n v="1281"/>
  </r>
  <r>
    <x v="135"/>
    <x v="9"/>
    <x v="1"/>
    <x v="47"/>
    <n v="483"/>
    <n v="1690.5"/>
  </r>
  <r>
    <x v="135"/>
    <x v="9"/>
    <x v="1"/>
    <x v="18"/>
    <n v="52"/>
    <n v="182"/>
  </r>
  <r>
    <x v="135"/>
    <x v="11"/>
    <x v="2"/>
    <x v="2"/>
    <n v="454"/>
    <n v="1452.8000000000002"/>
  </r>
  <r>
    <x v="136"/>
    <x v="10"/>
    <x v="2"/>
    <x v="4"/>
    <n v="483"/>
    <n v="1304.1000000000001"/>
  </r>
  <r>
    <x v="136"/>
    <x v="10"/>
    <x v="2"/>
    <x v="37"/>
    <n v="55"/>
    <n v="148.5"/>
  </r>
  <r>
    <x v="136"/>
    <x v="11"/>
    <x v="2"/>
    <x v="28"/>
    <n v="113"/>
    <n v="361.6"/>
  </r>
  <r>
    <x v="136"/>
    <x v="10"/>
    <x v="2"/>
    <x v="43"/>
    <n v="321"/>
    <n v="866.7"/>
  </r>
  <r>
    <x v="136"/>
    <x v="11"/>
    <x v="2"/>
    <x v="43"/>
    <n v="437"/>
    <n v="1398.4"/>
  </r>
  <r>
    <x v="137"/>
    <x v="10"/>
    <x v="2"/>
    <x v="3"/>
    <n v="363"/>
    <n v="980.1"/>
  </r>
  <r>
    <x v="137"/>
    <x v="9"/>
    <x v="1"/>
    <x v="12"/>
    <n v="39"/>
    <n v="136.5"/>
  </r>
  <r>
    <x v="137"/>
    <x v="9"/>
    <x v="1"/>
    <x v="20"/>
    <n v="221"/>
    <n v="773.5"/>
  </r>
  <r>
    <x v="138"/>
    <x v="11"/>
    <x v="2"/>
    <x v="38"/>
    <n v="27"/>
    <n v="86.4"/>
  </r>
  <r>
    <x v="138"/>
    <x v="11"/>
    <x v="2"/>
    <x v="14"/>
    <n v="466"/>
    <n v="1491.2"/>
  </r>
  <r>
    <x v="138"/>
    <x v="9"/>
    <x v="1"/>
    <x v="12"/>
    <n v="89"/>
    <n v="311.5"/>
  </r>
  <r>
    <x v="138"/>
    <x v="10"/>
    <x v="2"/>
    <x v="1"/>
    <n v="182"/>
    <n v="491.40000000000003"/>
  </r>
  <r>
    <x v="138"/>
    <x v="10"/>
    <x v="2"/>
    <x v="43"/>
    <n v="140"/>
    <n v="378"/>
  </r>
  <r>
    <x v="138"/>
    <x v="9"/>
    <x v="1"/>
    <x v="35"/>
    <n v="107"/>
    <n v="374.5"/>
  </r>
  <r>
    <x v="138"/>
    <x v="10"/>
    <x v="2"/>
    <x v="48"/>
    <n v="392"/>
    <n v="1058.4000000000001"/>
  </r>
  <r>
    <x v="138"/>
    <x v="9"/>
    <x v="1"/>
    <x v="4"/>
    <n v="221"/>
    <n v="773.5"/>
  </r>
  <r>
    <x v="138"/>
    <x v="11"/>
    <x v="2"/>
    <x v="25"/>
    <n v="230"/>
    <n v="736"/>
  </r>
  <r>
    <x v="138"/>
    <x v="11"/>
    <x v="2"/>
    <x v="15"/>
    <n v="301"/>
    <n v="963.2"/>
  </r>
  <r>
    <x v="138"/>
    <x v="10"/>
    <x v="2"/>
    <x v="36"/>
    <n v="366"/>
    <n v="988.2"/>
  </r>
  <r>
    <x v="138"/>
    <x v="9"/>
    <x v="1"/>
    <x v="7"/>
    <n v="73"/>
    <n v="255.5"/>
  </r>
  <r>
    <x v="138"/>
    <x v="10"/>
    <x v="2"/>
    <x v="7"/>
    <n v="302"/>
    <n v="815.40000000000009"/>
  </r>
  <r>
    <x v="138"/>
    <x v="10"/>
    <x v="2"/>
    <x v="11"/>
    <n v="449"/>
    <n v="1212.3000000000002"/>
  </r>
  <r>
    <x v="139"/>
    <x v="9"/>
    <x v="1"/>
    <x v="2"/>
    <n v="428"/>
    <n v="1498"/>
  </r>
  <r>
    <x v="139"/>
    <x v="10"/>
    <x v="2"/>
    <x v="24"/>
    <n v="285"/>
    <n v="769.5"/>
  </r>
  <r>
    <x v="139"/>
    <x v="9"/>
    <x v="1"/>
    <x v="24"/>
    <n v="400"/>
    <n v="1400"/>
  </r>
  <r>
    <x v="139"/>
    <x v="10"/>
    <x v="2"/>
    <x v="23"/>
    <n v="86"/>
    <n v="232.20000000000002"/>
  </r>
  <r>
    <x v="139"/>
    <x v="9"/>
    <x v="1"/>
    <x v="45"/>
    <n v="441"/>
    <n v="1543.5"/>
  </r>
  <r>
    <x v="140"/>
    <x v="11"/>
    <x v="2"/>
    <x v="19"/>
    <n v="73"/>
    <n v="233.60000000000002"/>
  </r>
  <r>
    <x v="140"/>
    <x v="11"/>
    <x v="2"/>
    <x v="21"/>
    <n v="35"/>
    <n v="112"/>
  </r>
  <r>
    <x v="140"/>
    <x v="11"/>
    <x v="2"/>
    <x v="28"/>
    <n v="206"/>
    <n v="659.2"/>
  </r>
  <r>
    <x v="140"/>
    <x v="10"/>
    <x v="2"/>
    <x v="45"/>
    <n v="100"/>
    <n v="270"/>
  </r>
  <r>
    <x v="140"/>
    <x v="9"/>
    <x v="1"/>
    <x v="38"/>
    <n v="69"/>
    <n v="241.5"/>
  </r>
  <r>
    <x v="140"/>
    <x v="9"/>
    <x v="1"/>
    <x v="8"/>
    <n v="372"/>
    <n v="1302"/>
  </r>
  <r>
    <x v="140"/>
    <x v="9"/>
    <x v="1"/>
    <x v="0"/>
    <n v="59"/>
    <n v="206.5"/>
  </r>
  <r>
    <x v="141"/>
    <x v="11"/>
    <x v="2"/>
    <x v="17"/>
    <n v="345"/>
    <n v="1104"/>
  </r>
  <r>
    <x v="141"/>
    <x v="10"/>
    <x v="2"/>
    <x v="29"/>
    <n v="28"/>
    <n v="75.600000000000009"/>
  </r>
  <r>
    <x v="141"/>
    <x v="11"/>
    <x v="2"/>
    <x v="42"/>
    <n v="343"/>
    <n v="1097.6000000000001"/>
  </r>
  <r>
    <x v="141"/>
    <x v="9"/>
    <x v="1"/>
    <x v="25"/>
    <n v="498"/>
    <n v="1743"/>
  </r>
  <r>
    <x v="142"/>
    <x v="11"/>
    <x v="2"/>
    <x v="38"/>
    <n v="160"/>
    <n v="512"/>
  </r>
  <r>
    <x v="142"/>
    <x v="10"/>
    <x v="2"/>
    <x v="24"/>
    <n v="269"/>
    <n v="726.30000000000007"/>
  </r>
  <r>
    <x v="142"/>
    <x v="11"/>
    <x v="2"/>
    <x v="46"/>
    <n v="314"/>
    <n v="1004.8000000000001"/>
  </r>
  <r>
    <x v="142"/>
    <x v="11"/>
    <x v="2"/>
    <x v="32"/>
    <n v="451"/>
    <n v="1443.2"/>
  </r>
  <r>
    <x v="142"/>
    <x v="9"/>
    <x v="1"/>
    <x v="32"/>
    <n v="414"/>
    <n v="1449"/>
  </r>
  <r>
    <x v="142"/>
    <x v="10"/>
    <x v="2"/>
    <x v="35"/>
    <n v="93"/>
    <n v="251.10000000000002"/>
  </r>
  <r>
    <x v="142"/>
    <x v="10"/>
    <x v="2"/>
    <x v="41"/>
    <n v="282"/>
    <n v="761.40000000000009"/>
  </r>
  <r>
    <x v="142"/>
    <x v="11"/>
    <x v="2"/>
    <x v="42"/>
    <n v="137"/>
    <n v="438.40000000000003"/>
  </r>
  <r>
    <x v="142"/>
    <x v="9"/>
    <x v="1"/>
    <x v="31"/>
    <n v="491"/>
    <n v="1718.5"/>
  </r>
  <r>
    <x v="142"/>
    <x v="9"/>
    <x v="1"/>
    <x v="39"/>
    <n v="32"/>
    <n v="112"/>
  </r>
  <r>
    <x v="143"/>
    <x v="11"/>
    <x v="2"/>
    <x v="31"/>
    <n v="315"/>
    <n v="1008"/>
  </r>
  <r>
    <x v="143"/>
    <x v="10"/>
    <x v="2"/>
    <x v="40"/>
    <n v="43"/>
    <n v="116.10000000000001"/>
  </r>
  <r>
    <x v="143"/>
    <x v="11"/>
    <x v="2"/>
    <x v="43"/>
    <n v="256"/>
    <n v="819.2"/>
  </r>
  <r>
    <x v="143"/>
    <x v="11"/>
    <x v="2"/>
    <x v="29"/>
    <n v="38"/>
    <n v="121.60000000000001"/>
  </r>
  <r>
    <x v="143"/>
    <x v="10"/>
    <x v="2"/>
    <x v="27"/>
    <n v="492"/>
    <n v="1328.4"/>
  </r>
  <r>
    <x v="143"/>
    <x v="9"/>
    <x v="1"/>
    <x v="40"/>
    <n v="206"/>
    <n v="721"/>
  </r>
  <r>
    <x v="143"/>
    <x v="9"/>
    <x v="1"/>
    <x v="29"/>
    <n v="252"/>
    <n v="882"/>
  </r>
  <r>
    <x v="143"/>
    <x v="9"/>
    <x v="1"/>
    <x v="29"/>
    <n v="397"/>
    <n v="1389.5"/>
  </r>
  <r>
    <x v="143"/>
    <x v="10"/>
    <x v="2"/>
    <x v="29"/>
    <n v="295"/>
    <n v="796.5"/>
  </r>
  <r>
    <x v="144"/>
    <x v="10"/>
    <x v="2"/>
    <x v="29"/>
    <n v="12"/>
    <n v="32.400000000000006"/>
  </r>
  <r>
    <x v="144"/>
    <x v="10"/>
    <x v="2"/>
    <x v="47"/>
    <n v="14"/>
    <n v="37.800000000000004"/>
  </r>
  <r>
    <x v="144"/>
    <x v="11"/>
    <x v="2"/>
    <x v="46"/>
    <n v="177"/>
    <n v="566.4"/>
  </r>
  <r>
    <x v="144"/>
    <x v="11"/>
    <x v="2"/>
    <x v="19"/>
    <n v="103"/>
    <n v="329.6"/>
  </r>
  <r>
    <x v="145"/>
    <x v="9"/>
    <x v="1"/>
    <x v="33"/>
    <n v="440"/>
    <n v="1540"/>
  </r>
  <r>
    <x v="145"/>
    <x v="9"/>
    <x v="1"/>
    <x v="27"/>
    <n v="287"/>
    <n v="1004.5"/>
  </r>
  <r>
    <x v="145"/>
    <x v="11"/>
    <x v="2"/>
    <x v="7"/>
    <n v="55"/>
    <n v="176"/>
  </r>
  <r>
    <x v="145"/>
    <x v="11"/>
    <x v="2"/>
    <x v="26"/>
    <n v="83"/>
    <n v="265.60000000000002"/>
  </r>
  <r>
    <x v="145"/>
    <x v="11"/>
    <x v="2"/>
    <x v="42"/>
    <n v="75"/>
    <n v="240"/>
  </r>
  <r>
    <x v="145"/>
    <x v="11"/>
    <x v="2"/>
    <x v="2"/>
    <n v="358"/>
    <n v="1145.6000000000001"/>
  </r>
  <r>
    <x v="146"/>
    <x v="10"/>
    <x v="2"/>
    <x v="3"/>
    <n v="288"/>
    <n v="777.6"/>
  </r>
  <r>
    <x v="146"/>
    <x v="11"/>
    <x v="2"/>
    <x v="22"/>
    <n v="266"/>
    <n v="851.2"/>
  </r>
  <r>
    <x v="146"/>
    <x v="9"/>
    <x v="1"/>
    <x v="19"/>
    <n v="480"/>
    <n v="1680"/>
  </r>
  <r>
    <x v="146"/>
    <x v="9"/>
    <x v="1"/>
    <x v="34"/>
    <n v="174"/>
    <n v="609"/>
  </r>
  <r>
    <x v="146"/>
    <x v="9"/>
    <x v="1"/>
    <x v="11"/>
    <n v="247"/>
    <n v="864.5"/>
  </r>
  <r>
    <x v="147"/>
    <x v="11"/>
    <x v="2"/>
    <x v="4"/>
    <n v="461"/>
    <n v="1475.2"/>
  </r>
  <r>
    <x v="147"/>
    <x v="10"/>
    <x v="2"/>
    <x v="11"/>
    <n v="230"/>
    <n v="621"/>
  </r>
  <r>
    <x v="147"/>
    <x v="9"/>
    <x v="1"/>
    <x v="14"/>
    <n v="339"/>
    <n v="1186.5"/>
  </r>
  <r>
    <x v="147"/>
    <x v="11"/>
    <x v="2"/>
    <x v="46"/>
    <n v="435"/>
    <n v="1392"/>
  </r>
  <r>
    <x v="147"/>
    <x v="9"/>
    <x v="1"/>
    <x v="17"/>
    <n v="352"/>
    <n v="1232"/>
  </r>
  <r>
    <x v="147"/>
    <x v="10"/>
    <x v="2"/>
    <x v="6"/>
    <n v="345"/>
    <n v="931.50000000000011"/>
  </r>
  <r>
    <x v="147"/>
    <x v="10"/>
    <x v="2"/>
    <x v="19"/>
    <n v="124"/>
    <n v="334.8"/>
  </r>
  <r>
    <x v="147"/>
    <x v="9"/>
    <x v="1"/>
    <x v="29"/>
    <n v="189"/>
    <n v="661.5"/>
  </r>
  <r>
    <x v="147"/>
    <x v="11"/>
    <x v="2"/>
    <x v="12"/>
    <n v="115"/>
    <n v="368"/>
  </r>
  <r>
    <x v="148"/>
    <x v="9"/>
    <x v="1"/>
    <x v="30"/>
    <n v="485"/>
    <n v="1697.5"/>
  </r>
  <r>
    <x v="148"/>
    <x v="9"/>
    <x v="1"/>
    <x v="4"/>
    <n v="330"/>
    <n v="1155"/>
  </r>
  <r>
    <x v="148"/>
    <x v="11"/>
    <x v="2"/>
    <x v="10"/>
    <n v="53"/>
    <n v="169.60000000000002"/>
  </r>
  <r>
    <x v="148"/>
    <x v="10"/>
    <x v="2"/>
    <x v="36"/>
    <n v="264"/>
    <n v="712.80000000000007"/>
  </r>
  <r>
    <x v="148"/>
    <x v="9"/>
    <x v="1"/>
    <x v="27"/>
    <n v="166"/>
    <n v="581"/>
  </r>
  <r>
    <x v="148"/>
    <x v="10"/>
    <x v="2"/>
    <x v="34"/>
    <n v="277"/>
    <n v="747.90000000000009"/>
  </r>
  <r>
    <x v="148"/>
    <x v="9"/>
    <x v="1"/>
    <x v="22"/>
    <n v="249"/>
    <n v="871.5"/>
  </r>
  <r>
    <x v="148"/>
    <x v="9"/>
    <x v="1"/>
    <x v="13"/>
    <n v="109"/>
    <n v="381.5"/>
  </r>
  <r>
    <x v="148"/>
    <x v="9"/>
    <x v="1"/>
    <x v="3"/>
    <n v="337"/>
    <n v="1179.5"/>
  </r>
  <r>
    <x v="148"/>
    <x v="10"/>
    <x v="2"/>
    <x v="1"/>
    <n v="58"/>
    <n v="156.60000000000002"/>
  </r>
  <r>
    <x v="148"/>
    <x v="10"/>
    <x v="2"/>
    <x v="47"/>
    <n v="473"/>
    <n v="1277.1000000000001"/>
  </r>
  <r>
    <x v="148"/>
    <x v="10"/>
    <x v="2"/>
    <x v="3"/>
    <n v="269"/>
    <n v="726.30000000000007"/>
  </r>
  <r>
    <x v="148"/>
    <x v="11"/>
    <x v="2"/>
    <x v="27"/>
    <n v="52"/>
    <n v="166.4"/>
  </r>
  <r>
    <x v="148"/>
    <x v="11"/>
    <x v="2"/>
    <x v="32"/>
    <n v="384"/>
    <n v="1228.8000000000002"/>
  </r>
  <r>
    <x v="149"/>
    <x v="11"/>
    <x v="2"/>
    <x v="37"/>
    <n v="320"/>
    <n v="1024"/>
  </r>
  <r>
    <x v="149"/>
    <x v="9"/>
    <x v="1"/>
    <x v="45"/>
    <n v="269"/>
    <n v="941.5"/>
  </r>
  <r>
    <x v="149"/>
    <x v="9"/>
    <x v="1"/>
    <x v="47"/>
    <n v="387"/>
    <n v="1354.5"/>
  </r>
  <r>
    <x v="149"/>
    <x v="11"/>
    <x v="2"/>
    <x v="36"/>
    <n v="452"/>
    <n v="1446.4"/>
  </r>
  <r>
    <x v="149"/>
    <x v="10"/>
    <x v="2"/>
    <x v="28"/>
    <n v="61"/>
    <n v="164.70000000000002"/>
  </r>
  <r>
    <x v="149"/>
    <x v="9"/>
    <x v="1"/>
    <x v="43"/>
    <n v="52"/>
    <n v="182"/>
  </r>
  <r>
    <x v="149"/>
    <x v="11"/>
    <x v="2"/>
    <x v="25"/>
    <n v="182"/>
    <n v="582.4"/>
  </r>
  <r>
    <x v="149"/>
    <x v="11"/>
    <x v="2"/>
    <x v="15"/>
    <n v="50"/>
    <n v="160"/>
  </r>
  <r>
    <x v="150"/>
    <x v="10"/>
    <x v="2"/>
    <x v="2"/>
    <n v="200"/>
    <n v="540"/>
  </r>
  <r>
    <x v="150"/>
    <x v="11"/>
    <x v="2"/>
    <x v="14"/>
    <n v="132"/>
    <n v="422.40000000000003"/>
  </r>
  <r>
    <x v="150"/>
    <x v="9"/>
    <x v="1"/>
    <x v="15"/>
    <n v="44"/>
    <n v="154"/>
  </r>
  <r>
    <x v="150"/>
    <x v="10"/>
    <x v="2"/>
    <x v="29"/>
    <n v="65"/>
    <n v="175.5"/>
  </r>
  <r>
    <x v="150"/>
    <x v="10"/>
    <x v="2"/>
    <x v="42"/>
    <n v="183"/>
    <n v="494.1"/>
  </r>
  <r>
    <x v="150"/>
    <x v="10"/>
    <x v="2"/>
    <x v="14"/>
    <n v="403"/>
    <n v="1088.1000000000001"/>
  </r>
  <r>
    <x v="150"/>
    <x v="11"/>
    <x v="2"/>
    <x v="5"/>
    <n v="132"/>
    <n v="422.40000000000003"/>
  </r>
  <r>
    <x v="150"/>
    <x v="10"/>
    <x v="2"/>
    <x v="46"/>
    <n v="177"/>
    <n v="477.90000000000003"/>
  </r>
  <r>
    <x v="150"/>
    <x v="11"/>
    <x v="2"/>
    <x v="31"/>
    <n v="499"/>
    <n v="1596.8000000000002"/>
  </r>
  <r>
    <x v="150"/>
    <x v="10"/>
    <x v="2"/>
    <x v="21"/>
    <n v="20"/>
    <n v="54"/>
  </r>
  <r>
    <x v="150"/>
    <x v="9"/>
    <x v="1"/>
    <x v="5"/>
    <n v="181"/>
    <n v="633.5"/>
  </r>
  <r>
    <x v="150"/>
    <x v="9"/>
    <x v="1"/>
    <x v="45"/>
    <n v="315"/>
    <n v="1102.5"/>
  </r>
  <r>
    <x v="150"/>
    <x v="10"/>
    <x v="2"/>
    <x v="42"/>
    <n v="126"/>
    <n v="340.20000000000005"/>
  </r>
  <r>
    <x v="151"/>
    <x v="9"/>
    <x v="1"/>
    <x v="49"/>
    <n v="317"/>
    <n v="1109.5"/>
  </r>
  <r>
    <x v="151"/>
    <x v="9"/>
    <x v="1"/>
    <x v="7"/>
    <n v="495"/>
    <n v="1732.5"/>
  </r>
  <r>
    <x v="151"/>
    <x v="11"/>
    <x v="2"/>
    <x v="15"/>
    <n v="87"/>
    <n v="278.40000000000003"/>
  </r>
  <r>
    <x v="151"/>
    <x v="9"/>
    <x v="1"/>
    <x v="49"/>
    <n v="126"/>
    <n v="441"/>
  </r>
  <r>
    <x v="151"/>
    <x v="10"/>
    <x v="2"/>
    <x v="4"/>
    <n v="177"/>
    <n v="477.90000000000003"/>
  </r>
  <r>
    <x v="151"/>
    <x v="11"/>
    <x v="2"/>
    <x v="3"/>
    <n v="439"/>
    <n v="1404.8000000000002"/>
  </r>
  <r>
    <x v="151"/>
    <x v="9"/>
    <x v="1"/>
    <x v="7"/>
    <n v="266"/>
    <n v="931"/>
  </r>
  <r>
    <x v="151"/>
    <x v="11"/>
    <x v="2"/>
    <x v="45"/>
    <n v="330"/>
    <n v="1056"/>
  </r>
  <r>
    <x v="151"/>
    <x v="10"/>
    <x v="2"/>
    <x v="10"/>
    <n v="29"/>
    <n v="78.300000000000011"/>
  </r>
  <r>
    <x v="151"/>
    <x v="10"/>
    <x v="2"/>
    <x v="42"/>
    <n v="249"/>
    <n v="672.30000000000007"/>
  </r>
  <r>
    <x v="151"/>
    <x v="9"/>
    <x v="1"/>
    <x v="11"/>
    <n v="364"/>
    <n v="1274"/>
  </r>
  <r>
    <x v="151"/>
    <x v="9"/>
    <x v="1"/>
    <x v="30"/>
    <n v="208"/>
    <n v="728"/>
  </r>
  <r>
    <x v="151"/>
    <x v="11"/>
    <x v="2"/>
    <x v="31"/>
    <n v="139"/>
    <n v="444.8"/>
  </r>
  <r>
    <x v="151"/>
    <x v="9"/>
    <x v="1"/>
    <x v="12"/>
    <n v="377"/>
    <n v="1319.5"/>
  </r>
  <r>
    <x v="152"/>
    <x v="9"/>
    <x v="1"/>
    <x v="37"/>
    <n v="25"/>
    <n v="87.5"/>
  </r>
  <r>
    <x v="152"/>
    <x v="10"/>
    <x v="2"/>
    <x v="49"/>
    <n v="246"/>
    <n v="664.2"/>
  </r>
  <r>
    <x v="152"/>
    <x v="11"/>
    <x v="2"/>
    <x v="0"/>
    <n v="210"/>
    <n v="672"/>
  </r>
  <r>
    <x v="152"/>
    <x v="10"/>
    <x v="2"/>
    <x v="21"/>
    <n v="330"/>
    <n v="891.00000000000011"/>
  </r>
  <r>
    <x v="152"/>
    <x v="11"/>
    <x v="2"/>
    <x v="49"/>
    <n v="493"/>
    <n v="1577.6000000000001"/>
  </r>
  <r>
    <x v="152"/>
    <x v="9"/>
    <x v="1"/>
    <x v="3"/>
    <n v="461"/>
    <n v="1613.5"/>
  </r>
  <r>
    <x v="152"/>
    <x v="11"/>
    <x v="2"/>
    <x v="12"/>
    <n v="148"/>
    <n v="473.6"/>
  </r>
  <r>
    <x v="152"/>
    <x v="11"/>
    <x v="2"/>
    <x v="17"/>
    <n v="19"/>
    <n v="60.800000000000004"/>
  </r>
  <r>
    <x v="152"/>
    <x v="9"/>
    <x v="1"/>
    <x v="8"/>
    <n v="456"/>
    <n v="1596"/>
  </r>
  <r>
    <x v="153"/>
    <x v="11"/>
    <x v="2"/>
    <x v="41"/>
    <n v="201"/>
    <n v="643.20000000000005"/>
  </r>
  <r>
    <x v="153"/>
    <x v="10"/>
    <x v="2"/>
    <x v="36"/>
    <n v="276"/>
    <n v="745.2"/>
  </r>
  <r>
    <x v="153"/>
    <x v="9"/>
    <x v="1"/>
    <x v="36"/>
    <n v="126"/>
    <n v="441"/>
  </r>
  <r>
    <x v="153"/>
    <x v="10"/>
    <x v="2"/>
    <x v="16"/>
    <n v="25"/>
    <n v="67.5"/>
  </r>
  <r>
    <x v="153"/>
    <x v="10"/>
    <x v="2"/>
    <x v="49"/>
    <n v="280"/>
    <n v="756"/>
  </r>
  <r>
    <x v="153"/>
    <x v="10"/>
    <x v="2"/>
    <x v="7"/>
    <n v="66"/>
    <n v="178.20000000000002"/>
  </r>
  <r>
    <x v="153"/>
    <x v="11"/>
    <x v="2"/>
    <x v="3"/>
    <n v="314"/>
    <n v="1004.8000000000001"/>
  </r>
  <r>
    <x v="154"/>
    <x v="10"/>
    <x v="2"/>
    <x v="23"/>
    <n v="298"/>
    <n v="804.6"/>
  </r>
  <r>
    <x v="154"/>
    <x v="9"/>
    <x v="1"/>
    <x v="8"/>
    <n v="191"/>
    <n v="668.5"/>
  </r>
  <r>
    <x v="154"/>
    <x v="10"/>
    <x v="2"/>
    <x v="44"/>
    <n v="412"/>
    <n v="1112.4000000000001"/>
  </r>
  <r>
    <x v="154"/>
    <x v="10"/>
    <x v="2"/>
    <x v="34"/>
    <n v="126"/>
    <n v="340.20000000000005"/>
  </r>
  <r>
    <x v="154"/>
    <x v="9"/>
    <x v="1"/>
    <x v="42"/>
    <n v="466"/>
    <n v="1631"/>
  </r>
  <r>
    <x v="154"/>
    <x v="11"/>
    <x v="2"/>
    <x v="45"/>
    <n v="117"/>
    <n v="374.40000000000003"/>
  </r>
  <r>
    <x v="154"/>
    <x v="9"/>
    <x v="1"/>
    <x v="37"/>
    <n v="16"/>
    <n v="56"/>
  </r>
  <r>
    <x v="154"/>
    <x v="10"/>
    <x v="2"/>
    <x v="11"/>
    <n v="52"/>
    <n v="140.4"/>
  </r>
  <r>
    <x v="154"/>
    <x v="9"/>
    <x v="1"/>
    <x v="48"/>
    <n v="338"/>
    <n v="1183"/>
  </r>
  <r>
    <x v="154"/>
    <x v="9"/>
    <x v="1"/>
    <x v="33"/>
    <n v="472"/>
    <n v="1652"/>
  </r>
  <r>
    <x v="154"/>
    <x v="11"/>
    <x v="2"/>
    <x v="27"/>
    <n v="438"/>
    <n v="1401.6000000000001"/>
  </r>
  <r>
    <x v="155"/>
    <x v="10"/>
    <x v="2"/>
    <x v="28"/>
    <n v="392"/>
    <n v="1058.4000000000001"/>
  </r>
  <r>
    <x v="155"/>
    <x v="11"/>
    <x v="2"/>
    <x v="34"/>
    <n v="128"/>
    <n v="409.6"/>
  </r>
  <r>
    <x v="155"/>
    <x v="9"/>
    <x v="1"/>
    <x v="34"/>
    <n v="27"/>
    <n v="94.5"/>
  </r>
  <r>
    <x v="155"/>
    <x v="11"/>
    <x v="2"/>
    <x v="34"/>
    <n v="363"/>
    <n v="1161.6000000000001"/>
  </r>
  <r>
    <x v="155"/>
    <x v="10"/>
    <x v="2"/>
    <x v="30"/>
    <n v="105"/>
    <n v="283.5"/>
  </r>
  <r>
    <x v="155"/>
    <x v="9"/>
    <x v="1"/>
    <x v="29"/>
    <n v="377"/>
    <n v="1319.5"/>
  </r>
  <r>
    <x v="155"/>
    <x v="11"/>
    <x v="2"/>
    <x v="13"/>
    <n v="277"/>
    <n v="886.40000000000009"/>
  </r>
  <r>
    <x v="156"/>
    <x v="10"/>
    <x v="2"/>
    <x v="31"/>
    <n v="453"/>
    <n v="1223.1000000000001"/>
  </r>
  <r>
    <x v="156"/>
    <x v="10"/>
    <x v="2"/>
    <x v="4"/>
    <n v="33"/>
    <n v="89.100000000000009"/>
  </r>
  <r>
    <x v="156"/>
    <x v="11"/>
    <x v="2"/>
    <x v="13"/>
    <n v="165"/>
    <n v="528"/>
  </r>
  <r>
    <x v="156"/>
    <x v="11"/>
    <x v="2"/>
    <x v="3"/>
    <n v="265"/>
    <n v="848"/>
  </r>
  <r>
    <x v="156"/>
    <x v="9"/>
    <x v="1"/>
    <x v="13"/>
    <n v="179"/>
    <n v="626.5"/>
  </r>
  <r>
    <x v="156"/>
    <x v="11"/>
    <x v="2"/>
    <x v="19"/>
    <n v="178"/>
    <n v="569.6"/>
  </r>
  <r>
    <x v="156"/>
    <x v="10"/>
    <x v="2"/>
    <x v="19"/>
    <n v="326"/>
    <n v="880.2"/>
  </r>
  <r>
    <x v="156"/>
    <x v="9"/>
    <x v="1"/>
    <x v="22"/>
    <n v="239"/>
    <n v="836.5"/>
  </r>
  <r>
    <x v="156"/>
    <x v="9"/>
    <x v="1"/>
    <x v="34"/>
    <n v="183"/>
    <n v="640.5"/>
  </r>
  <r>
    <x v="156"/>
    <x v="9"/>
    <x v="1"/>
    <x v="44"/>
    <n v="124"/>
    <n v="434"/>
  </r>
  <r>
    <x v="156"/>
    <x v="10"/>
    <x v="2"/>
    <x v="35"/>
    <n v="227"/>
    <n v="612.90000000000009"/>
  </r>
  <r>
    <x v="156"/>
    <x v="10"/>
    <x v="2"/>
    <x v="45"/>
    <n v="445"/>
    <n v="1201.5"/>
  </r>
  <r>
    <x v="156"/>
    <x v="10"/>
    <x v="2"/>
    <x v="44"/>
    <n v="407"/>
    <n v="1098.9000000000001"/>
  </r>
  <r>
    <x v="156"/>
    <x v="9"/>
    <x v="1"/>
    <x v="25"/>
    <n v="307"/>
    <n v="1074.5"/>
  </r>
  <r>
    <x v="157"/>
    <x v="11"/>
    <x v="2"/>
    <x v="34"/>
    <n v="83"/>
    <n v="265.60000000000002"/>
  </r>
  <r>
    <x v="157"/>
    <x v="10"/>
    <x v="2"/>
    <x v="21"/>
    <n v="151"/>
    <n v="407.70000000000005"/>
  </r>
  <r>
    <x v="157"/>
    <x v="11"/>
    <x v="2"/>
    <x v="36"/>
    <n v="374"/>
    <n v="1196.8"/>
  </r>
  <r>
    <x v="157"/>
    <x v="11"/>
    <x v="2"/>
    <x v="45"/>
    <n v="409"/>
    <n v="1308.8000000000002"/>
  </r>
  <r>
    <x v="157"/>
    <x v="10"/>
    <x v="2"/>
    <x v="3"/>
    <n v="179"/>
    <n v="483.3"/>
  </r>
  <r>
    <x v="157"/>
    <x v="11"/>
    <x v="2"/>
    <x v="0"/>
    <n v="103"/>
    <n v="329.6"/>
  </r>
  <r>
    <x v="157"/>
    <x v="10"/>
    <x v="2"/>
    <x v="11"/>
    <n v="152"/>
    <n v="410.40000000000003"/>
  </r>
  <r>
    <x v="157"/>
    <x v="9"/>
    <x v="1"/>
    <x v="19"/>
    <n v="74"/>
    <n v="259"/>
  </r>
  <r>
    <x v="158"/>
    <x v="9"/>
    <x v="1"/>
    <x v="2"/>
    <n v="385"/>
    <n v="1347.5"/>
  </r>
  <r>
    <x v="158"/>
    <x v="9"/>
    <x v="1"/>
    <x v="11"/>
    <n v="324"/>
    <n v="1134"/>
  </r>
  <r>
    <x v="158"/>
    <x v="10"/>
    <x v="2"/>
    <x v="11"/>
    <n v="252"/>
    <n v="680.40000000000009"/>
  </r>
  <r>
    <x v="158"/>
    <x v="11"/>
    <x v="2"/>
    <x v="20"/>
    <n v="329"/>
    <n v="1052.8"/>
  </r>
  <r>
    <x v="158"/>
    <x v="11"/>
    <x v="2"/>
    <x v="49"/>
    <n v="239"/>
    <n v="764.80000000000007"/>
  </r>
  <r>
    <x v="158"/>
    <x v="11"/>
    <x v="2"/>
    <x v="1"/>
    <n v="433"/>
    <n v="1385.6000000000001"/>
  </r>
  <r>
    <x v="158"/>
    <x v="10"/>
    <x v="2"/>
    <x v="27"/>
    <n v="240"/>
    <n v="648"/>
  </r>
  <r>
    <x v="158"/>
    <x v="9"/>
    <x v="1"/>
    <x v="47"/>
    <n v="60"/>
    <n v="210"/>
  </r>
  <r>
    <x v="159"/>
    <x v="9"/>
    <x v="1"/>
    <x v="6"/>
    <n v="182"/>
    <n v="637"/>
  </r>
  <r>
    <x v="159"/>
    <x v="10"/>
    <x v="2"/>
    <x v="38"/>
    <n v="213"/>
    <n v="575.1"/>
  </r>
  <r>
    <x v="159"/>
    <x v="10"/>
    <x v="2"/>
    <x v="23"/>
    <n v="329"/>
    <n v="888.30000000000007"/>
  </r>
  <r>
    <x v="159"/>
    <x v="10"/>
    <x v="2"/>
    <x v="45"/>
    <n v="442"/>
    <n v="1193.4000000000001"/>
  </r>
  <r>
    <x v="160"/>
    <x v="9"/>
    <x v="1"/>
    <x v="25"/>
    <n v="317"/>
    <n v="1109.5"/>
  </r>
  <r>
    <x v="160"/>
    <x v="10"/>
    <x v="2"/>
    <x v="38"/>
    <n v="441"/>
    <n v="1190.7"/>
  </r>
  <r>
    <x v="160"/>
    <x v="9"/>
    <x v="1"/>
    <x v="9"/>
    <n v="228"/>
    <n v="798"/>
  </r>
  <r>
    <x v="160"/>
    <x v="9"/>
    <x v="1"/>
    <x v="27"/>
    <n v="233"/>
    <n v="815.5"/>
  </r>
  <r>
    <x v="160"/>
    <x v="11"/>
    <x v="2"/>
    <x v="29"/>
    <n v="85"/>
    <n v="272"/>
  </r>
  <r>
    <x v="161"/>
    <x v="9"/>
    <x v="1"/>
    <x v="47"/>
    <n v="215"/>
    <n v="752.5"/>
  </r>
  <r>
    <x v="161"/>
    <x v="10"/>
    <x v="2"/>
    <x v="40"/>
    <n v="58"/>
    <n v="156.60000000000002"/>
  </r>
  <r>
    <x v="161"/>
    <x v="9"/>
    <x v="1"/>
    <x v="13"/>
    <n v="161"/>
    <n v="563.5"/>
  </r>
  <r>
    <x v="161"/>
    <x v="9"/>
    <x v="1"/>
    <x v="3"/>
    <n v="479"/>
    <n v="1676.5"/>
  </r>
  <r>
    <x v="162"/>
    <x v="9"/>
    <x v="1"/>
    <x v="0"/>
    <n v="147"/>
    <n v="514.5"/>
  </r>
  <r>
    <x v="162"/>
    <x v="9"/>
    <x v="1"/>
    <x v="33"/>
    <n v="223"/>
    <n v="780.5"/>
  </r>
  <r>
    <x v="162"/>
    <x v="11"/>
    <x v="2"/>
    <x v="12"/>
    <n v="62"/>
    <n v="198.4"/>
  </r>
  <r>
    <x v="162"/>
    <x v="9"/>
    <x v="1"/>
    <x v="39"/>
    <n v="163"/>
    <n v="570.5"/>
  </r>
  <r>
    <x v="162"/>
    <x v="9"/>
    <x v="1"/>
    <x v="39"/>
    <n v="463"/>
    <n v="1620.5"/>
  </r>
  <r>
    <x v="162"/>
    <x v="11"/>
    <x v="2"/>
    <x v="43"/>
    <n v="353"/>
    <n v="1129.6000000000001"/>
  </r>
  <r>
    <x v="162"/>
    <x v="10"/>
    <x v="2"/>
    <x v="17"/>
    <n v="427"/>
    <n v="1152.9000000000001"/>
  </r>
  <r>
    <x v="162"/>
    <x v="11"/>
    <x v="2"/>
    <x v="38"/>
    <n v="149"/>
    <n v="476.8"/>
  </r>
  <r>
    <x v="162"/>
    <x v="9"/>
    <x v="1"/>
    <x v="20"/>
    <n v="69"/>
    <n v="241.5"/>
  </r>
  <r>
    <x v="162"/>
    <x v="11"/>
    <x v="2"/>
    <x v="40"/>
    <n v="310"/>
    <n v="992"/>
  </r>
  <r>
    <x v="162"/>
    <x v="10"/>
    <x v="2"/>
    <x v="44"/>
    <n v="155"/>
    <n v="418.5"/>
  </r>
  <r>
    <x v="162"/>
    <x v="10"/>
    <x v="2"/>
    <x v="1"/>
    <n v="231"/>
    <n v="623.70000000000005"/>
  </r>
  <r>
    <x v="162"/>
    <x v="10"/>
    <x v="2"/>
    <x v="47"/>
    <n v="170"/>
    <n v="459.00000000000006"/>
  </r>
  <r>
    <x v="163"/>
    <x v="11"/>
    <x v="2"/>
    <x v="23"/>
    <n v="342"/>
    <n v="1094.4000000000001"/>
  </r>
  <r>
    <x v="163"/>
    <x v="10"/>
    <x v="2"/>
    <x v="13"/>
    <n v="343"/>
    <n v="926.1"/>
  </r>
  <r>
    <x v="163"/>
    <x v="10"/>
    <x v="2"/>
    <x v="31"/>
    <n v="221"/>
    <n v="596.70000000000005"/>
  </r>
  <r>
    <x v="163"/>
    <x v="11"/>
    <x v="2"/>
    <x v="45"/>
    <n v="405"/>
    <n v="1296"/>
  </r>
  <r>
    <x v="163"/>
    <x v="9"/>
    <x v="1"/>
    <x v="26"/>
    <n v="238"/>
    <n v="833"/>
  </r>
  <r>
    <x v="163"/>
    <x v="9"/>
    <x v="1"/>
    <x v="23"/>
    <n v="497"/>
    <n v="1739.5"/>
  </r>
  <r>
    <x v="164"/>
    <x v="10"/>
    <x v="2"/>
    <x v="42"/>
    <n v="438"/>
    <n v="1182.6000000000001"/>
  </r>
  <r>
    <x v="164"/>
    <x v="10"/>
    <x v="2"/>
    <x v="32"/>
    <n v="150"/>
    <n v="405"/>
  </r>
  <r>
    <x v="164"/>
    <x v="9"/>
    <x v="1"/>
    <x v="30"/>
    <n v="396"/>
    <n v="1386"/>
  </r>
  <r>
    <x v="164"/>
    <x v="9"/>
    <x v="1"/>
    <x v="48"/>
    <n v="233"/>
    <n v="815.5"/>
  </r>
  <r>
    <x v="164"/>
    <x v="9"/>
    <x v="1"/>
    <x v="15"/>
    <n v="104"/>
    <n v="364"/>
  </r>
  <r>
    <x v="164"/>
    <x v="9"/>
    <x v="1"/>
    <x v="35"/>
    <n v="236"/>
    <n v="826"/>
  </r>
  <r>
    <x v="164"/>
    <x v="11"/>
    <x v="2"/>
    <x v="31"/>
    <n v="276"/>
    <n v="883.2"/>
  </r>
  <r>
    <x v="165"/>
    <x v="11"/>
    <x v="2"/>
    <x v="47"/>
    <n v="130"/>
    <n v="416"/>
  </r>
  <r>
    <x v="165"/>
    <x v="10"/>
    <x v="2"/>
    <x v="12"/>
    <n v="275"/>
    <n v="742.5"/>
  </r>
  <r>
    <x v="165"/>
    <x v="10"/>
    <x v="2"/>
    <x v="5"/>
    <n v="373"/>
    <n v="1007.1"/>
  </r>
  <r>
    <x v="165"/>
    <x v="9"/>
    <x v="1"/>
    <x v="34"/>
    <n v="408"/>
    <n v="1428"/>
  </r>
  <r>
    <x v="166"/>
    <x v="11"/>
    <x v="2"/>
    <x v="44"/>
    <n v="414"/>
    <n v="1324.8000000000002"/>
  </r>
  <r>
    <x v="166"/>
    <x v="10"/>
    <x v="2"/>
    <x v="19"/>
    <n v="313"/>
    <n v="845.1"/>
  </r>
  <r>
    <x v="166"/>
    <x v="9"/>
    <x v="1"/>
    <x v="32"/>
    <n v="227"/>
    <n v="794.5"/>
  </r>
  <r>
    <x v="166"/>
    <x v="10"/>
    <x v="2"/>
    <x v="2"/>
    <n v="144"/>
    <n v="388.8"/>
  </r>
  <r>
    <x v="166"/>
    <x v="10"/>
    <x v="2"/>
    <x v="13"/>
    <n v="230"/>
    <n v="621"/>
  </r>
  <r>
    <x v="166"/>
    <x v="10"/>
    <x v="2"/>
    <x v="45"/>
    <n v="249"/>
    <n v="672.30000000000007"/>
  </r>
  <r>
    <x v="166"/>
    <x v="11"/>
    <x v="2"/>
    <x v="25"/>
    <n v="421"/>
    <n v="1347.2"/>
  </r>
  <r>
    <x v="167"/>
    <x v="11"/>
    <x v="2"/>
    <x v="30"/>
    <n v="296"/>
    <n v="947.2"/>
  </r>
  <r>
    <x v="167"/>
    <x v="11"/>
    <x v="2"/>
    <x v="43"/>
    <n v="30"/>
    <n v="96"/>
  </r>
  <r>
    <x v="167"/>
    <x v="10"/>
    <x v="2"/>
    <x v="17"/>
    <n v="162"/>
    <n v="437.40000000000003"/>
  </r>
  <r>
    <x v="167"/>
    <x v="9"/>
    <x v="1"/>
    <x v="29"/>
    <n v="326"/>
    <n v="1141"/>
  </r>
  <r>
    <x v="167"/>
    <x v="10"/>
    <x v="2"/>
    <x v="40"/>
    <n v="302"/>
    <n v="815.40000000000009"/>
  </r>
  <r>
    <x v="167"/>
    <x v="10"/>
    <x v="2"/>
    <x v="7"/>
    <n v="355"/>
    <n v="958.50000000000011"/>
  </r>
  <r>
    <x v="168"/>
    <x v="10"/>
    <x v="2"/>
    <x v="31"/>
    <n v="403"/>
    <n v="1088.1000000000001"/>
  </r>
  <r>
    <x v="168"/>
    <x v="9"/>
    <x v="1"/>
    <x v="8"/>
    <n v="77"/>
    <n v="269.5"/>
  </r>
  <r>
    <x v="168"/>
    <x v="10"/>
    <x v="2"/>
    <x v="19"/>
    <n v="365"/>
    <n v="985.50000000000011"/>
  </r>
  <r>
    <x v="168"/>
    <x v="10"/>
    <x v="2"/>
    <x v="40"/>
    <n v="43"/>
    <n v="116.10000000000001"/>
  </r>
  <r>
    <x v="168"/>
    <x v="10"/>
    <x v="2"/>
    <x v="40"/>
    <n v="230"/>
    <n v="621"/>
  </r>
  <r>
    <x v="168"/>
    <x v="9"/>
    <x v="1"/>
    <x v="0"/>
    <n v="99"/>
    <n v="346.5"/>
  </r>
  <r>
    <x v="168"/>
    <x v="10"/>
    <x v="2"/>
    <x v="34"/>
    <n v="224"/>
    <n v="604.80000000000007"/>
  </r>
  <r>
    <x v="168"/>
    <x v="10"/>
    <x v="2"/>
    <x v="38"/>
    <n v="316"/>
    <n v="853.2"/>
  </r>
  <r>
    <x v="168"/>
    <x v="10"/>
    <x v="2"/>
    <x v="46"/>
    <n v="293"/>
    <n v="791.1"/>
  </r>
  <r>
    <x v="168"/>
    <x v="10"/>
    <x v="2"/>
    <x v="26"/>
    <n v="28"/>
    <n v="75.600000000000009"/>
  </r>
  <r>
    <x v="168"/>
    <x v="11"/>
    <x v="2"/>
    <x v="26"/>
    <n v="21"/>
    <n v="67.2"/>
  </r>
  <r>
    <x v="168"/>
    <x v="10"/>
    <x v="2"/>
    <x v="34"/>
    <n v="110"/>
    <n v="297"/>
  </r>
  <r>
    <x v="168"/>
    <x v="10"/>
    <x v="2"/>
    <x v="28"/>
    <n v="230"/>
    <n v="621"/>
  </r>
  <r>
    <x v="168"/>
    <x v="10"/>
    <x v="2"/>
    <x v="33"/>
    <n v="407"/>
    <n v="1098.9000000000001"/>
  </r>
  <r>
    <x v="168"/>
    <x v="9"/>
    <x v="1"/>
    <x v="18"/>
    <n v="343"/>
    <n v="1200.5"/>
  </r>
  <r>
    <x v="168"/>
    <x v="11"/>
    <x v="2"/>
    <x v="10"/>
    <n v="120"/>
    <n v="384"/>
  </r>
  <r>
    <x v="168"/>
    <x v="9"/>
    <x v="1"/>
    <x v="27"/>
    <n v="37"/>
    <n v="129.5"/>
  </r>
  <r>
    <x v="169"/>
    <x v="9"/>
    <x v="1"/>
    <x v="46"/>
    <n v="201"/>
    <n v="703.5"/>
  </r>
  <r>
    <x v="169"/>
    <x v="11"/>
    <x v="2"/>
    <x v="12"/>
    <n v="389"/>
    <n v="1244.8000000000002"/>
  </r>
  <r>
    <x v="169"/>
    <x v="11"/>
    <x v="2"/>
    <x v="13"/>
    <n v="485"/>
    <n v="1552"/>
  </r>
  <r>
    <x v="169"/>
    <x v="10"/>
    <x v="2"/>
    <x v="37"/>
    <n v="52"/>
    <n v="140.4"/>
  </r>
  <r>
    <x v="170"/>
    <x v="11"/>
    <x v="2"/>
    <x v="34"/>
    <n v="33"/>
    <n v="105.60000000000001"/>
  </r>
  <r>
    <x v="170"/>
    <x v="11"/>
    <x v="2"/>
    <x v="33"/>
    <n v="119"/>
    <n v="380.8"/>
  </r>
  <r>
    <x v="170"/>
    <x v="11"/>
    <x v="2"/>
    <x v="4"/>
    <n v="455"/>
    <n v="1456"/>
  </r>
  <r>
    <x v="170"/>
    <x v="11"/>
    <x v="2"/>
    <x v="43"/>
    <n v="498"/>
    <n v="1593.6000000000001"/>
  </r>
  <r>
    <x v="170"/>
    <x v="11"/>
    <x v="2"/>
    <x v="1"/>
    <n v="280"/>
    <n v="896"/>
  </r>
  <r>
    <x v="170"/>
    <x v="9"/>
    <x v="1"/>
    <x v="8"/>
    <n v="154"/>
    <n v="539"/>
  </r>
  <r>
    <x v="170"/>
    <x v="10"/>
    <x v="2"/>
    <x v="19"/>
    <n v="397"/>
    <n v="1071.9000000000001"/>
  </r>
  <r>
    <x v="170"/>
    <x v="11"/>
    <x v="2"/>
    <x v="5"/>
    <n v="352"/>
    <n v="1126.4000000000001"/>
  </r>
  <r>
    <x v="170"/>
    <x v="11"/>
    <x v="2"/>
    <x v="2"/>
    <n v="147"/>
    <n v="470.40000000000003"/>
  </r>
  <r>
    <x v="170"/>
    <x v="9"/>
    <x v="1"/>
    <x v="35"/>
    <n v="303"/>
    <n v="1060.5"/>
  </r>
  <r>
    <x v="171"/>
    <x v="11"/>
    <x v="2"/>
    <x v="41"/>
    <n v="153"/>
    <n v="489.6"/>
  </r>
  <r>
    <x v="171"/>
    <x v="9"/>
    <x v="1"/>
    <x v="10"/>
    <n v="73"/>
    <n v="255.5"/>
  </r>
  <r>
    <x v="171"/>
    <x v="9"/>
    <x v="1"/>
    <x v="45"/>
    <n v="97"/>
    <n v="339.5"/>
  </r>
  <r>
    <x v="171"/>
    <x v="10"/>
    <x v="2"/>
    <x v="9"/>
    <n v="123"/>
    <n v="332.1"/>
  </r>
  <r>
    <x v="172"/>
    <x v="11"/>
    <x v="2"/>
    <x v="5"/>
    <n v="262"/>
    <n v="838.40000000000009"/>
  </r>
  <r>
    <x v="172"/>
    <x v="10"/>
    <x v="2"/>
    <x v="11"/>
    <n v="345"/>
    <n v="931.50000000000011"/>
  </r>
  <r>
    <x v="172"/>
    <x v="11"/>
    <x v="2"/>
    <x v="2"/>
    <n v="481"/>
    <n v="1539.2"/>
  </r>
  <r>
    <x v="172"/>
    <x v="9"/>
    <x v="1"/>
    <x v="19"/>
    <n v="302"/>
    <n v="1057"/>
  </r>
  <r>
    <x v="172"/>
    <x v="11"/>
    <x v="2"/>
    <x v="40"/>
    <n v="357"/>
    <n v="1142.4000000000001"/>
  </r>
  <r>
    <x v="172"/>
    <x v="10"/>
    <x v="2"/>
    <x v="26"/>
    <n v="192"/>
    <n v="518.40000000000009"/>
  </r>
  <r>
    <x v="172"/>
    <x v="9"/>
    <x v="1"/>
    <x v="3"/>
    <n v="392"/>
    <n v="1372"/>
  </r>
  <r>
    <x v="172"/>
    <x v="10"/>
    <x v="2"/>
    <x v="11"/>
    <n v="147"/>
    <n v="396.90000000000003"/>
  </r>
  <r>
    <x v="172"/>
    <x v="10"/>
    <x v="2"/>
    <x v="11"/>
    <n v="419"/>
    <n v="1131.3000000000002"/>
  </r>
  <r>
    <x v="173"/>
    <x v="9"/>
    <x v="1"/>
    <x v="39"/>
    <n v="347"/>
    <n v="1214.5"/>
  </r>
  <r>
    <x v="173"/>
    <x v="10"/>
    <x v="2"/>
    <x v="21"/>
    <n v="500"/>
    <n v="1350"/>
  </r>
  <r>
    <x v="173"/>
    <x v="11"/>
    <x v="2"/>
    <x v="44"/>
    <n v="126"/>
    <n v="403.20000000000005"/>
  </r>
  <r>
    <x v="173"/>
    <x v="10"/>
    <x v="2"/>
    <x v="9"/>
    <n v="457"/>
    <n v="1233.9000000000001"/>
  </r>
  <r>
    <x v="173"/>
    <x v="9"/>
    <x v="1"/>
    <x v="18"/>
    <n v="449"/>
    <n v="1571.5"/>
  </r>
  <r>
    <x v="173"/>
    <x v="10"/>
    <x v="2"/>
    <x v="14"/>
    <n v="310"/>
    <n v="837"/>
  </r>
  <r>
    <x v="174"/>
    <x v="9"/>
    <x v="1"/>
    <x v="27"/>
    <n v="214"/>
    <n v="749"/>
  </r>
  <r>
    <x v="174"/>
    <x v="10"/>
    <x v="2"/>
    <x v="32"/>
    <n v="432"/>
    <n v="1166.4000000000001"/>
  </r>
  <r>
    <x v="174"/>
    <x v="10"/>
    <x v="2"/>
    <x v="28"/>
    <n v="81"/>
    <n v="218.70000000000002"/>
  </r>
  <r>
    <x v="174"/>
    <x v="10"/>
    <x v="2"/>
    <x v="0"/>
    <n v="180"/>
    <n v="486.00000000000006"/>
  </r>
  <r>
    <x v="174"/>
    <x v="11"/>
    <x v="2"/>
    <x v="27"/>
    <n v="68"/>
    <n v="217.60000000000002"/>
  </r>
  <r>
    <x v="174"/>
    <x v="9"/>
    <x v="1"/>
    <x v="33"/>
    <n v="333"/>
    <n v="1165.5"/>
  </r>
  <r>
    <x v="174"/>
    <x v="11"/>
    <x v="2"/>
    <x v="3"/>
    <n v="112"/>
    <n v="358.40000000000003"/>
  </r>
  <r>
    <x v="174"/>
    <x v="10"/>
    <x v="2"/>
    <x v="38"/>
    <n v="54"/>
    <n v="145.80000000000001"/>
  </r>
  <r>
    <x v="174"/>
    <x v="9"/>
    <x v="1"/>
    <x v="32"/>
    <n v="316"/>
    <n v="1106"/>
  </r>
  <r>
    <x v="174"/>
    <x v="10"/>
    <x v="2"/>
    <x v="2"/>
    <n v="497"/>
    <n v="1341.9"/>
  </r>
  <r>
    <x v="174"/>
    <x v="10"/>
    <x v="2"/>
    <x v="45"/>
    <n v="227"/>
    <n v="612.90000000000009"/>
  </r>
  <r>
    <x v="174"/>
    <x v="9"/>
    <x v="1"/>
    <x v="15"/>
    <n v="419"/>
    <n v="1466.5"/>
  </r>
  <r>
    <x v="174"/>
    <x v="11"/>
    <x v="2"/>
    <x v="41"/>
    <n v="380"/>
    <n v="1216"/>
  </r>
  <r>
    <x v="174"/>
    <x v="11"/>
    <x v="2"/>
    <x v="39"/>
    <n v="314"/>
    <n v="1004.8000000000001"/>
  </r>
  <r>
    <x v="175"/>
    <x v="11"/>
    <x v="2"/>
    <x v="47"/>
    <n v="254"/>
    <n v="812.80000000000007"/>
  </r>
  <r>
    <x v="175"/>
    <x v="11"/>
    <x v="2"/>
    <x v="40"/>
    <n v="453"/>
    <n v="1449.6000000000001"/>
  </r>
  <r>
    <x v="175"/>
    <x v="9"/>
    <x v="1"/>
    <x v="35"/>
    <n v="252"/>
    <n v="882"/>
  </r>
  <r>
    <x v="175"/>
    <x v="11"/>
    <x v="2"/>
    <x v="13"/>
    <n v="243"/>
    <n v="777.6"/>
  </r>
  <r>
    <x v="176"/>
    <x v="11"/>
    <x v="2"/>
    <x v="24"/>
    <n v="430"/>
    <n v="1376"/>
  </r>
  <r>
    <x v="176"/>
    <x v="10"/>
    <x v="2"/>
    <x v="30"/>
    <n v="435"/>
    <n v="1174.5"/>
  </r>
  <r>
    <x v="176"/>
    <x v="11"/>
    <x v="2"/>
    <x v="19"/>
    <n v="428"/>
    <n v="1369.6000000000001"/>
  </r>
  <r>
    <x v="176"/>
    <x v="10"/>
    <x v="2"/>
    <x v="23"/>
    <n v="408"/>
    <n v="1101.6000000000001"/>
  </r>
  <r>
    <x v="176"/>
    <x v="9"/>
    <x v="1"/>
    <x v="5"/>
    <n v="40"/>
    <n v="140"/>
  </r>
  <r>
    <x v="176"/>
    <x v="11"/>
    <x v="2"/>
    <x v="8"/>
    <n v="215"/>
    <n v="688"/>
  </r>
  <r>
    <x v="176"/>
    <x v="9"/>
    <x v="1"/>
    <x v="24"/>
    <n v="474"/>
    <n v="1659"/>
  </r>
  <r>
    <x v="176"/>
    <x v="10"/>
    <x v="2"/>
    <x v="43"/>
    <n v="97"/>
    <n v="261.90000000000003"/>
  </r>
  <r>
    <x v="176"/>
    <x v="9"/>
    <x v="1"/>
    <x v="36"/>
    <n v="155"/>
    <n v="542.5"/>
  </r>
  <r>
    <x v="177"/>
    <x v="9"/>
    <x v="1"/>
    <x v="27"/>
    <n v="184"/>
    <n v="644"/>
  </r>
  <r>
    <x v="177"/>
    <x v="11"/>
    <x v="2"/>
    <x v="40"/>
    <n v="457"/>
    <n v="1462.4"/>
  </r>
  <r>
    <x v="177"/>
    <x v="9"/>
    <x v="1"/>
    <x v="12"/>
    <n v="185"/>
    <n v="647.5"/>
  </r>
  <r>
    <x v="177"/>
    <x v="10"/>
    <x v="2"/>
    <x v="0"/>
    <n v="183"/>
    <n v="494.1"/>
  </r>
  <r>
    <x v="177"/>
    <x v="11"/>
    <x v="2"/>
    <x v="42"/>
    <n v="127"/>
    <n v="406.40000000000003"/>
  </r>
  <r>
    <x v="177"/>
    <x v="10"/>
    <x v="2"/>
    <x v="19"/>
    <n v="259"/>
    <n v="699.30000000000007"/>
  </r>
  <r>
    <x v="177"/>
    <x v="11"/>
    <x v="2"/>
    <x v="39"/>
    <n v="334"/>
    <n v="1068.8"/>
  </r>
  <r>
    <x v="178"/>
    <x v="10"/>
    <x v="2"/>
    <x v="36"/>
    <n v="177"/>
    <n v="477.90000000000003"/>
  </r>
  <r>
    <x v="178"/>
    <x v="9"/>
    <x v="1"/>
    <x v="12"/>
    <n v="438"/>
    <n v="1533"/>
  </r>
  <r>
    <x v="178"/>
    <x v="10"/>
    <x v="2"/>
    <x v="10"/>
    <n v="82"/>
    <n v="221.4"/>
  </r>
  <r>
    <x v="178"/>
    <x v="10"/>
    <x v="2"/>
    <x v="6"/>
    <n v="18"/>
    <n v="48.6"/>
  </r>
  <r>
    <x v="178"/>
    <x v="10"/>
    <x v="2"/>
    <x v="18"/>
    <n v="434"/>
    <n v="1171.8000000000002"/>
  </r>
  <r>
    <x v="178"/>
    <x v="9"/>
    <x v="1"/>
    <x v="45"/>
    <n v="485"/>
    <n v="1697.5"/>
  </r>
  <r>
    <x v="178"/>
    <x v="10"/>
    <x v="2"/>
    <x v="20"/>
    <n v="420"/>
    <n v="1134"/>
  </r>
  <r>
    <x v="178"/>
    <x v="11"/>
    <x v="2"/>
    <x v="26"/>
    <n v="353"/>
    <n v="1129.6000000000001"/>
  </r>
  <r>
    <x v="179"/>
    <x v="11"/>
    <x v="2"/>
    <x v="8"/>
    <n v="157"/>
    <n v="502.40000000000003"/>
  </r>
  <r>
    <x v="179"/>
    <x v="11"/>
    <x v="2"/>
    <x v="33"/>
    <n v="430"/>
    <n v="1376"/>
  </r>
  <r>
    <x v="179"/>
    <x v="10"/>
    <x v="2"/>
    <x v="30"/>
    <n v="441"/>
    <n v="1190.7"/>
  </r>
  <r>
    <x v="179"/>
    <x v="9"/>
    <x v="1"/>
    <x v="40"/>
    <n v="248"/>
    <n v="868"/>
  </r>
  <r>
    <x v="179"/>
    <x v="9"/>
    <x v="1"/>
    <x v="28"/>
    <n v="66"/>
    <n v="231"/>
  </r>
  <r>
    <x v="179"/>
    <x v="10"/>
    <x v="2"/>
    <x v="31"/>
    <n v="86"/>
    <n v="232.20000000000002"/>
  </r>
  <r>
    <x v="179"/>
    <x v="10"/>
    <x v="2"/>
    <x v="37"/>
    <n v="267"/>
    <n v="720.90000000000009"/>
  </r>
  <r>
    <x v="179"/>
    <x v="10"/>
    <x v="2"/>
    <x v="45"/>
    <n v="40"/>
    <n v="108"/>
  </r>
  <r>
    <x v="179"/>
    <x v="11"/>
    <x v="2"/>
    <x v="15"/>
    <n v="171"/>
    <n v="547.20000000000005"/>
  </r>
  <r>
    <x v="179"/>
    <x v="10"/>
    <x v="2"/>
    <x v="41"/>
    <n v="190"/>
    <n v="513"/>
  </r>
  <r>
    <x v="179"/>
    <x v="11"/>
    <x v="2"/>
    <x v="44"/>
    <n v="125"/>
    <n v="400"/>
  </r>
  <r>
    <x v="179"/>
    <x v="10"/>
    <x v="2"/>
    <x v="10"/>
    <n v="346"/>
    <n v="934.2"/>
  </r>
  <r>
    <x v="179"/>
    <x v="11"/>
    <x v="2"/>
    <x v="36"/>
    <n v="346"/>
    <n v="1107.2"/>
  </r>
  <r>
    <x v="179"/>
    <x v="11"/>
    <x v="2"/>
    <x v="30"/>
    <n v="22"/>
    <n v="70.400000000000006"/>
  </r>
  <r>
    <x v="180"/>
    <x v="10"/>
    <x v="2"/>
    <x v="21"/>
    <n v="450"/>
    <n v="1215"/>
  </r>
  <r>
    <x v="180"/>
    <x v="11"/>
    <x v="2"/>
    <x v="17"/>
    <n v="18"/>
    <n v="57.6"/>
  </r>
  <r>
    <x v="180"/>
    <x v="11"/>
    <x v="2"/>
    <x v="10"/>
    <n v="108"/>
    <n v="345.6"/>
  </r>
  <r>
    <x v="180"/>
    <x v="11"/>
    <x v="2"/>
    <x v="9"/>
    <n v="321"/>
    <n v="1027.2"/>
  </r>
  <r>
    <x v="180"/>
    <x v="10"/>
    <x v="2"/>
    <x v="19"/>
    <n v="165"/>
    <n v="445.50000000000006"/>
  </r>
  <r>
    <x v="180"/>
    <x v="11"/>
    <x v="2"/>
    <x v="16"/>
    <n v="418"/>
    <n v="1337.6000000000001"/>
  </r>
  <r>
    <x v="180"/>
    <x v="11"/>
    <x v="2"/>
    <x v="27"/>
    <n v="109"/>
    <n v="348.8"/>
  </r>
  <r>
    <x v="180"/>
    <x v="9"/>
    <x v="1"/>
    <x v="41"/>
    <n v="297"/>
    <n v="1039.5"/>
  </r>
  <r>
    <x v="180"/>
    <x v="9"/>
    <x v="1"/>
    <x v="28"/>
    <n v="284"/>
    <n v="994"/>
  </r>
  <r>
    <x v="180"/>
    <x v="9"/>
    <x v="1"/>
    <x v="49"/>
    <n v="381"/>
    <n v="1333.5"/>
  </r>
  <r>
    <x v="180"/>
    <x v="11"/>
    <x v="2"/>
    <x v="5"/>
    <n v="317"/>
    <n v="1014.4000000000001"/>
  </r>
  <r>
    <x v="180"/>
    <x v="9"/>
    <x v="1"/>
    <x v="3"/>
    <n v="429"/>
    <n v="1501.5"/>
  </r>
  <r>
    <x v="180"/>
    <x v="11"/>
    <x v="2"/>
    <x v="9"/>
    <n v="203"/>
    <n v="649.6"/>
  </r>
  <r>
    <x v="181"/>
    <x v="9"/>
    <x v="1"/>
    <x v="31"/>
    <n v="166"/>
    <n v="581"/>
  </r>
  <r>
    <x v="181"/>
    <x v="11"/>
    <x v="2"/>
    <x v="34"/>
    <n v="312"/>
    <n v="998.40000000000009"/>
  </r>
  <r>
    <x v="181"/>
    <x v="9"/>
    <x v="1"/>
    <x v="49"/>
    <n v="118"/>
    <n v="413"/>
  </r>
  <r>
    <x v="181"/>
    <x v="9"/>
    <x v="1"/>
    <x v="37"/>
    <n v="115"/>
    <n v="402.5"/>
  </r>
  <r>
    <x v="181"/>
    <x v="11"/>
    <x v="2"/>
    <x v="44"/>
    <n v="333"/>
    <n v="1065.6000000000001"/>
  </r>
  <r>
    <x v="181"/>
    <x v="9"/>
    <x v="1"/>
    <x v="42"/>
    <n v="162"/>
    <n v="567"/>
  </r>
  <r>
    <x v="181"/>
    <x v="9"/>
    <x v="1"/>
    <x v="34"/>
    <n v="70"/>
    <n v="245"/>
  </r>
  <r>
    <x v="181"/>
    <x v="11"/>
    <x v="2"/>
    <x v="17"/>
    <n v="232"/>
    <n v="742.40000000000009"/>
  </r>
  <r>
    <x v="181"/>
    <x v="11"/>
    <x v="2"/>
    <x v="3"/>
    <n v="39"/>
    <n v="124.80000000000001"/>
  </r>
  <r>
    <x v="181"/>
    <x v="11"/>
    <x v="2"/>
    <x v="33"/>
    <n v="43"/>
    <n v="137.6"/>
  </r>
  <r>
    <x v="181"/>
    <x v="10"/>
    <x v="2"/>
    <x v="13"/>
    <n v="398"/>
    <n v="1074.6000000000001"/>
  </r>
  <r>
    <x v="182"/>
    <x v="10"/>
    <x v="2"/>
    <x v="37"/>
    <n v="113"/>
    <n v="305.10000000000002"/>
  </r>
  <r>
    <x v="182"/>
    <x v="11"/>
    <x v="2"/>
    <x v="47"/>
    <n v="128"/>
    <n v="409.6"/>
  </r>
  <r>
    <x v="182"/>
    <x v="9"/>
    <x v="1"/>
    <x v="15"/>
    <n v="184"/>
    <n v="644"/>
  </r>
  <r>
    <x v="182"/>
    <x v="9"/>
    <x v="1"/>
    <x v="34"/>
    <n v="437"/>
    <n v="1529.5"/>
  </r>
  <r>
    <x v="183"/>
    <x v="10"/>
    <x v="2"/>
    <x v="20"/>
    <n v="465"/>
    <n v="1255.5"/>
  </r>
  <r>
    <x v="183"/>
    <x v="11"/>
    <x v="2"/>
    <x v="44"/>
    <n v="143"/>
    <n v="457.6"/>
  </r>
  <r>
    <x v="183"/>
    <x v="11"/>
    <x v="2"/>
    <x v="38"/>
    <n v="14"/>
    <n v="44.800000000000004"/>
  </r>
  <r>
    <x v="183"/>
    <x v="9"/>
    <x v="1"/>
    <x v="34"/>
    <n v="150"/>
    <n v="525"/>
  </r>
  <r>
    <x v="183"/>
    <x v="10"/>
    <x v="2"/>
    <x v="4"/>
    <n v="237"/>
    <n v="639.90000000000009"/>
  </r>
  <r>
    <x v="183"/>
    <x v="11"/>
    <x v="2"/>
    <x v="40"/>
    <n v="220"/>
    <n v="704"/>
  </r>
  <r>
    <x v="183"/>
    <x v="9"/>
    <x v="1"/>
    <x v="5"/>
    <n v="283"/>
    <n v="990.5"/>
  </r>
  <r>
    <x v="183"/>
    <x v="11"/>
    <x v="2"/>
    <x v="33"/>
    <n v="18"/>
    <n v="57.6"/>
  </r>
  <r>
    <x v="184"/>
    <x v="11"/>
    <x v="2"/>
    <x v="38"/>
    <n v="54"/>
    <n v="172.8"/>
  </r>
  <r>
    <x v="184"/>
    <x v="10"/>
    <x v="2"/>
    <x v="40"/>
    <n v="378"/>
    <n v="1020.6"/>
  </r>
  <r>
    <x v="184"/>
    <x v="10"/>
    <x v="2"/>
    <x v="18"/>
    <n v="104"/>
    <n v="280.8"/>
  </r>
  <r>
    <x v="184"/>
    <x v="9"/>
    <x v="1"/>
    <x v="18"/>
    <n v="146"/>
    <n v="511"/>
  </r>
  <r>
    <x v="185"/>
    <x v="10"/>
    <x v="2"/>
    <x v="37"/>
    <n v="137"/>
    <n v="369.90000000000003"/>
  </r>
  <r>
    <x v="185"/>
    <x v="11"/>
    <x v="2"/>
    <x v="13"/>
    <n v="489"/>
    <n v="1564.8000000000002"/>
  </r>
  <r>
    <x v="185"/>
    <x v="9"/>
    <x v="1"/>
    <x v="30"/>
    <n v="259"/>
    <n v="906.5"/>
  </r>
  <r>
    <x v="185"/>
    <x v="10"/>
    <x v="2"/>
    <x v="4"/>
    <n v="105"/>
    <n v="283.5"/>
  </r>
  <r>
    <x v="185"/>
    <x v="9"/>
    <x v="1"/>
    <x v="47"/>
    <n v="337"/>
    <n v="1179.5"/>
  </r>
  <r>
    <x v="185"/>
    <x v="9"/>
    <x v="1"/>
    <x v="8"/>
    <n v="169"/>
    <n v="591.5"/>
  </r>
  <r>
    <x v="185"/>
    <x v="10"/>
    <x v="2"/>
    <x v="32"/>
    <n v="23"/>
    <n v="62.1"/>
  </r>
  <r>
    <x v="185"/>
    <x v="10"/>
    <x v="2"/>
    <x v="31"/>
    <n v="353"/>
    <n v="953.1"/>
  </r>
  <r>
    <x v="185"/>
    <x v="11"/>
    <x v="2"/>
    <x v="44"/>
    <n v="49"/>
    <n v="156.80000000000001"/>
  </r>
  <r>
    <x v="185"/>
    <x v="11"/>
    <x v="2"/>
    <x v="39"/>
    <n v="421"/>
    <n v="1347.2"/>
  </r>
  <r>
    <x v="186"/>
    <x v="11"/>
    <x v="2"/>
    <x v="0"/>
    <n v="373"/>
    <n v="1193.6000000000001"/>
  </r>
  <r>
    <x v="186"/>
    <x v="9"/>
    <x v="1"/>
    <x v="21"/>
    <n v="459"/>
    <n v="1606.5"/>
  </r>
  <r>
    <x v="186"/>
    <x v="9"/>
    <x v="1"/>
    <x v="49"/>
    <n v="139"/>
    <n v="486.5"/>
  </r>
  <r>
    <x v="186"/>
    <x v="10"/>
    <x v="2"/>
    <x v="33"/>
    <n v="55"/>
    <n v="148.5"/>
  </r>
  <r>
    <x v="186"/>
    <x v="11"/>
    <x v="2"/>
    <x v="39"/>
    <n v="230"/>
    <n v="736"/>
  </r>
  <r>
    <x v="186"/>
    <x v="9"/>
    <x v="1"/>
    <x v="9"/>
    <n v="177"/>
    <n v="619.5"/>
  </r>
  <r>
    <x v="186"/>
    <x v="10"/>
    <x v="2"/>
    <x v="20"/>
    <n v="499"/>
    <n v="1347.3000000000002"/>
  </r>
  <r>
    <x v="186"/>
    <x v="9"/>
    <x v="1"/>
    <x v="22"/>
    <n v="10"/>
    <n v="35"/>
  </r>
  <r>
    <x v="186"/>
    <x v="9"/>
    <x v="1"/>
    <x v="10"/>
    <n v="327"/>
    <n v="1144.5"/>
  </r>
  <r>
    <x v="186"/>
    <x v="9"/>
    <x v="1"/>
    <x v="47"/>
    <n v="424"/>
    <n v="1484"/>
  </r>
  <r>
    <x v="186"/>
    <x v="11"/>
    <x v="2"/>
    <x v="24"/>
    <n v="389"/>
    <n v="1244.8000000000002"/>
  </r>
  <r>
    <x v="186"/>
    <x v="9"/>
    <x v="1"/>
    <x v="37"/>
    <n v="290"/>
    <n v="1015"/>
  </r>
  <r>
    <x v="186"/>
    <x v="10"/>
    <x v="2"/>
    <x v="16"/>
    <n v="244"/>
    <n v="658.80000000000007"/>
  </r>
  <r>
    <x v="186"/>
    <x v="9"/>
    <x v="1"/>
    <x v="46"/>
    <n v="122"/>
    <n v="427"/>
  </r>
  <r>
    <x v="186"/>
    <x v="11"/>
    <x v="2"/>
    <x v="29"/>
    <n v="250"/>
    <n v="800"/>
  </r>
  <r>
    <x v="186"/>
    <x v="11"/>
    <x v="2"/>
    <x v="12"/>
    <n v="388"/>
    <n v="1241.6000000000001"/>
  </r>
  <r>
    <x v="186"/>
    <x v="10"/>
    <x v="2"/>
    <x v="14"/>
    <n v="55"/>
    <n v="148.5"/>
  </r>
  <r>
    <x v="186"/>
    <x v="11"/>
    <x v="2"/>
    <x v="6"/>
    <n v="173"/>
    <n v="553.6"/>
  </r>
  <r>
    <x v="186"/>
    <x v="11"/>
    <x v="2"/>
    <x v="0"/>
    <n v="52"/>
    <n v="166.4"/>
  </r>
  <r>
    <x v="186"/>
    <x v="10"/>
    <x v="2"/>
    <x v="45"/>
    <n v="133"/>
    <n v="359.1"/>
  </r>
  <r>
    <x v="186"/>
    <x v="9"/>
    <x v="1"/>
    <x v="45"/>
    <n v="22"/>
    <n v="77"/>
  </r>
  <r>
    <x v="187"/>
    <x v="10"/>
    <x v="2"/>
    <x v="25"/>
    <n v="51"/>
    <n v="137.70000000000002"/>
  </r>
  <r>
    <x v="187"/>
    <x v="9"/>
    <x v="1"/>
    <x v="8"/>
    <n v="357"/>
    <n v="1249.5"/>
  </r>
  <r>
    <x v="187"/>
    <x v="11"/>
    <x v="2"/>
    <x v="17"/>
    <n v="277"/>
    <n v="886.40000000000009"/>
  </r>
  <r>
    <x v="187"/>
    <x v="10"/>
    <x v="2"/>
    <x v="32"/>
    <n v="179"/>
    <n v="483.3"/>
  </r>
  <r>
    <x v="187"/>
    <x v="11"/>
    <x v="2"/>
    <x v="5"/>
    <n v="300"/>
    <n v="960"/>
  </r>
  <r>
    <x v="187"/>
    <x v="9"/>
    <x v="1"/>
    <x v="29"/>
    <n v="334"/>
    <n v="1169"/>
  </r>
  <r>
    <x v="187"/>
    <x v="10"/>
    <x v="2"/>
    <x v="14"/>
    <n v="175"/>
    <n v="472.50000000000006"/>
  </r>
  <r>
    <x v="187"/>
    <x v="11"/>
    <x v="2"/>
    <x v="48"/>
    <n v="54"/>
    <n v="172.8"/>
  </r>
  <r>
    <x v="187"/>
    <x v="10"/>
    <x v="2"/>
    <x v="12"/>
    <n v="48"/>
    <n v="129.60000000000002"/>
  </r>
  <r>
    <x v="188"/>
    <x v="10"/>
    <x v="2"/>
    <x v="40"/>
    <n v="34"/>
    <n v="91.800000000000011"/>
  </r>
  <r>
    <x v="188"/>
    <x v="10"/>
    <x v="2"/>
    <x v="24"/>
    <n v="369"/>
    <n v="996.30000000000007"/>
  </r>
  <r>
    <x v="188"/>
    <x v="9"/>
    <x v="1"/>
    <x v="30"/>
    <n v="291"/>
    <n v="1018.5"/>
  </r>
  <r>
    <x v="188"/>
    <x v="9"/>
    <x v="1"/>
    <x v="40"/>
    <n v="274"/>
    <n v="959"/>
  </r>
  <r>
    <x v="188"/>
    <x v="10"/>
    <x v="2"/>
    <x v="48"/>
    <n v="57"/>
    <n v="153.9"/>
  </r>
  <r>
    <x v="188"/>
    <x v="11"/>
    <x v="2"/>
    <x v="16"/>
    <n v="458"/>
    <n v="1465.6000000000001"/>
  </r>
  <r>
    <x v="188"/>
    <x v="10"/>
    <x v="2"/>
    <x v="14"/>
    <n v="37"/>
    <n v="99.9"/>
  </r>
  <r>
    <x v="188"/>
    <x v="10"/>
    <x v="2"/>
    <x v="44"/>
    <n v="419"/>
    <n v="1131.3000000000002"/>
  </r>
  <r>
    <x v="188"/>
    <x v="10"/>
    <x v="2"/>
    <x v="4"/>
    <n v="388"/>
    <n v="1047.6000000000001"/>
  </r>
  <r>
    <x v="189"/>
    <x v="11"/>
    <x v="2"/>
    <x v="28"/>
    <n v="271"/>
    <n v="867.2"/>
  </r>
  <r>
    <x v="189"/>
    <x v="9"/>
    <x v="1"/>
    <x v="1"/>
    <n v="196"/>
    <n v="686"/>
  </r>
  <r>
    <x v="189"/>
    <x v="10"/>
    <x v="2"/>
    <x v="38"/>
    <n v="102"/>
    <n v="275.40000000000003"/>
  </r>
  <r>
    <x v="189"/>
    <x v="11"/>
    <x v="2"/>
    <x v="25"/>
    <n v="309"/>
    <n v="988.80000000000007"/>
  </r>
  <r>
    <x v="189"/>
    <x v="10"/>
    <x v="2"/>
    <x v="18"/>
    <n v="34"/>
    <n v="91.800000000000011"/>
  </r>
  <r>
    <x v="189"/>
    <x v="9"/>
    <x v="1"/>
    <x v="29"/>
    <n v="406"/>
    <n v="1421"/>
  </r>
  <r>
    <x v="190"/>
    <x v="11"/>
    <x v="2"/>
    <x v="15"/>
    <n v="281"/>
    <n v="899.2"/>
  </r>
  <r>
    <x v="190"/>
    <x v="11"/>
    <x v="2"/>
    <x v="2"/>
    <n v="179"/>
    <n v="572.80000000000007"/>
  </r>
  <r>
    <x v="190"/>
    <x v="10"/>
    <x v="2"/>
    <x v="15"/>
    <n v="472"/>
    <n v="1274.4000000000001"/>
  </r>
  <r>
    <x v="190"/>
    <x v="9"/>
    <x v="1"/>
    <x v="32"/>
    <n v="413"/>
    <n v="1445.5"/>
  </r>
  <r>
    <x v="190"/>
    <x v="9"/>
    <x v="1"/>
    <x v="31"/>
    <n v="238"/>
    <n v="833"/>
  </r>
  <r>
    <x v="190"/>
    <x v="11"/>
    <x v="2"/>
    <x v="24"/>
    <n v="175"/>
    <n v="560"/>
  </r>
  <r>
    <x v="191"/>
    <x v="9"/>
    <x v="1"/>
    <x v="35"/>
    <n v="475"/>
    <n v="1662.5"/>
  </r>
  <r>
    <x v="191"/>
    <x v="9"/>
    <x v="1"/>
    <x v="28"/>
    <n v="56"/>
    <n v="196"/>
  </r>
  <r>
    <x v="191"/>
    <x v="9"/>
    <x v="1"/>
    <x v="29"/>
    <n v="284"/>
    <n v="994"/>
  </r>
  <r>
    <x v="191"/>
    <x v="10"/>
    <x v="2"/>
    <x v="47"/>
    <n v="271"/>
    <n v="731.7"/>
  </r>
  <r>
    <x v="191"/>
    <x v="11"/>
    <x v="2"/>
    <x v="44"/>
    <n v="51"/>
    <n v="163.20000000000002"/>
  </r>
  <r>
    <x v="192"/>
    <x v="9"/>
    <x v="1"/>
    <x v="42"/>
    <n v="448"/>
    <n v="1568"/>
  </r>
  <r>
    <x v="192"/>
    <x v="10"/>
    <x v="2"/>
    <x v="21"/>
    <n v="285"/>
    <n v="769.5"/>
  </r>
  <r>
    <x v="192"/>
    <x v="9"/>
    <x v="1"/>
    <x v="9"/>
    <n v="43"/>
    <n v="150.5"/>
  </r>
  <r>
    <x v="192"/>
    <x v="11"/>
    <x v="2"/>
    <x v="40"/>
    <n v="274"/>
    <n v="876.80000000000007"/>
  </r>
  <r>
    <x v="192"/>
    <x v="10"/>
    <x v="2"/>
    <x v="2"/>
    <n v="57"/>
    <n v="153.9"/>
  </r>
  <r>
    <x v="192"/>
    <x v="11"/>
    <x v="2"/>
    <x v="17"/>
    <n v="95"/>
    <n v="304"/>
  </r>
  <r>
    <x v="192"/>
    <x v="9"/>
    <x v="1"/>
    <x v="37"/>
    <n v="312"/>
    <n v="1092"/>
  </r>
  <r>
    <x v="192"/>
    <x v="11"/>
    <x v="2"/>
    <x v="16"/>
    <n v="270"/>
    <n v="864"/>
  </r>
  <r>
    <x v="192"/>
    <x v="10"/>
    <x v="2"/>
    <x v="16"/>
    <n v="292"/>
    <n v="788.40000000000009"/>
  </r>
  <r>
    <x v="192"/>
    <x v="9"/>
    <x v="1"/>
    <x v="42"/>
    <n v="98"/>
    <n v="343"/>
  </r>
  <r>
    <x v="192"/>
    <x v="10"/>
    <x v="2"/>
    <x v="49"/>
    <n v="427"/>
    <n v="1152.9000000000001"/>
  </r>
  <r>
    <x v="192"/>
    <x v="9"/>
    <x v="1"/>
    <x v="4"/>
    <n v="473"/>
    <n v="1655.5"/>
  </r>
  <r>
    <x v="192"/>
    <x v="11"/>
    <x v="2"/>
    <x v="0"/>
    <n v="465"/>
    <n v="1488"/>
  </r>
  <r>
    <x v="192"/>
    <x v="10"/>
    <x v="2"/>
    <x v="2"/>
    <n v="284"/>
    <n v="766.80000000000007"/>
  </r>
  <r>
    <x v="192"/>
    <x v="10"/>
    <x v="2"/>
    <x v="22"/>
    <n v="231"/>
    <n v="623.70000000000005"/>
  </r>
  <r>
    <x v="192"/>
    <x v="11"/>
    <x v="2"/>
    <x v="37"/>
    <n v="241"/>
    <n v="771.2"/>
  </r>
  <r>
    <x v="193"/>
    <x v="9"/>
    <x v="1"/>
    <x v="19"/>
    <n v="189"/>
    <n v="661.5"/>
  </r>
  <r>
    <x v="193"/>
    <x v="11"/>
    <x v="2"/>
    <x v="45"/>
    <n v="354"/>
    <n v="1132.8"/>
  </r>
  <r>
    <x v="193"/>
    <x v="9"/>
    <x v="1"/>
    <x v="26"/>
    <n v="466"/>
    <n v="1631"/>
  </r>
  <r>
    <x v="194"/>
    <x v="11"/>
    <x v="2"/>
    <x v="1"/>
    <n v="420"/>
    <n v="1344"/>
  </r>
  <r>
    <x v="194"/>
    <x v="10"/>
    <x v="2"/>
    <x v="27"/>
    <n v="219"/>
    <n v="591.30000000000007"/>
  </r>
  <r>
    <x v="194"/>
    <x v="11"/>
    <x v="2"/>
    <x v="38"/>
    <n v="30"/>
    <n v="96"/>
  </r>
  <r>
    <x v="194"/>
    <x v="11"/>
    <x v="2"/>
    <x v="0"/>
    <n v="274"/>
    <n v="876.80000000000007"/>
  </r>
  <r>
    <x v="195"/>
    <x v="9"/>
    <x v="1"/>
    <x v="9"/>
    <n v="472"/>
    <n v="1652"/>
  </r>
  <r>
    <x v="195"/>
    <x v="9"/>
    <x v="1"/>
    <x v="0"/>
    <n v="100"/>
    <n v="350"/>
  </r>
  <r>
    <x v="195"/>
    <x v="10"/>
    <x v="2"/>
    <x v="22"/>
    <n v="315"/>
    <n v="850.5"/>
  </r>
  <r>
    <x v="195"/>
    <x v="10"/>
    <x v="2"/>
    <x v="49"/>
    <n v="438"/>
    <n v="1182.6000000000001"/>
  </r>
  <r>
    <x v="195"/>
    <x v="11"/>
    <x v="2"/>
    <x v="43"/>
    <n v="335"/>
    <n v="1072"/>
  </r>
  <r>
    <x v="195"/>
    <x v="9"/>
    <x v="1"/>
    <x v="42"/>
    <n v="266"/>
    <n v="931"/>
  </r>
  <r>
    <x v="196"/>
    <x v="10"/>
    <x v="2"/>
    <x v="24"/>
    <n v="143"/>
    <n v="386.1"/>
  </r>
  <r>
    <x v="196"/>
    <x v="9"/>
    <x v="1"/>
    <x v="16"/>
    <n v="244"/>
    <n v="854"/>
  </r>
  <r>
    <x v="196"/>
    <x v="9"/>
    <x v="1"/>
    <x v="15"/>
    <n v="66"/>
    <n v="231"/>
  </r>
  <r>
    <x v="196"/>
    <x v="9"/>
    <x v="1"/>
    <x v="26"/>
    <n v="61"/>
    <n v="213.5"/>
  </r>
  <r>
    <x v="196"/>
    <x v="11"/>
    <x v="2"/>
    <x v="0"/>
    <n v="490"/>
    <n v="1568"/>
  </r>
  <r>
    <x v="196"/>
    <x v="11"/>
    <x v="2"/>
    <x v="31"/>
    <n v="67"/>
    <n v="214.4"/>
  </r>
  <r>
    <x v="196"/>
    <x v="9"/>
    <x v="1"/>
    <x v="21"/>
    <n v="66"/>
    <n v="231"/>
  </r>
  <r>
    <x v="197"/>
    <x v="10"/>
    <x v="2"/>
    <x v="7"/>
    <n v="383"/>
    <n v="1034.1000000000001"/>
  </r>
  <r>
    <x v="197"/>
    <x v="10"/>
    <x v="2"/>
    <x v="46"/>
    <n v="261"/>
    <n v="704.7"/>
  </r>
  <r>
    <x v="197"/>
    <x v="10"/>
    <x v="2"/>
    <x v="48"/>
    <n v="466"/>
    <n v="1258.2"/>
  </r>
  <r>
    <x v="197"/>
    <x v="10"/>
    <x v="2"/>
    <x v="33"/>
    <n v="305"/>
    <n v="823.5"/>
  </r>
  <r>
    <x v="197"/>
    <x v="9"/>
    <x v="1"/>
    <x v="4"/>
    <n v="223"/>
    <n v="780.5"/>
  </r>
  <r>
    <x v="197"/>
    <x v="10"/>
    <x v="2"/>
    <x v="8"/>
    <n v="426"/>
    <n v="1150.2"/>
  </r>
  <r>
    <x v="197"/>
    <x v="9"/>
    <x v="1"/>
    <x v="13"/>
    <n v="147"/>
    <n v="514.5"/>
  </r>
  <r>
    <x v="198"/>
    <x v="9"/>
    <x v="1"/>
    <x v="20"/>
    <n v="285"/>
    <n v="997.5"/>
  </r>
  <r>
    <x v="198"/>
    <x v="10"/>
    <x v="2"/>
    <x v="18"/>
    <n v="240"/>
    <n v="648"/>
  </r>
  <r>
    <x v="198"/>
    <x v="9"/>
    <x v="1"/>
    <x v="5"/>
    <n v="219"/>
    <n v="766.5"/>
  </r>
  <r>
    <x v="198"/>
    <x v="10"/>
    <x v="2"/>
    <x v="36"/>
    <n v="249"/>
    <n v="672.30000000000007"/>
  </r>
  <r>
    <x v="198"/>
    <x v="10"/>
    <x v="2"/>
    <x v="23"/>
    <n v="490"/>
    <n v="1323"/>
  </r>
  <r>
    <x v="198"/>
    <x v="11"/>
    <x v="2"/>
    <x v="15"/>
    <n v="239"/>
    <n v="764.80000000000007"/>
  </r>
  <r>
    <x v="198"/>
    <x v="11"/>
    <x v="2"/>
    <x v="49"/>
    <n v="136"/>
    <n v="435.20000000000005"/>
  </r>
  <r>
    <x v="198"/>
    <x v="9"/>
    <x v="1"/>
    <x v="5"/>
    <n v="201"/>
    <n v="703.5"/>
  </r>
  <r>
    <x v="198"/>
    <x v="10"/>
    <x v="2"/>
    <x v="5"/>
    <n v="387"/>
    <n v="1044.9000000000001"/>
  </r>
  <r>
    <x v="198"/>
    <x v="11"/>
    <x v="2"/>
    <x v="30"/>
    <n v="330"/>
    <n v="1056"/>
  </r>
  <r>
    <x v="198"/>
    <x v="9"/>
    <x v="1"/>
    <x v="7"/>
    <n v="383"/>
    <n v="1340.5"/>
  </r>
  <r>
    <x v="198"/>
    <x v="9"/>
    <x v="1"/>
    <x v="18"/>
    <n v="217"/>
    <n v="759.5"/>
  </r>
  <r>
    <x v="198"/>
    <x v="9"/>
    <x v="1"/>
    <x v="34"/>
    <n v="495"/>
    <n v="1732.5"/>
  </r>
  <r>
    <x v="199"/>
    <x v="10"/>
    <x v="2"/>
    <x v="12"/>
    <n v="472"/>
    <n v="1274.4000000000001"/>
  </r>
  <r>
    <x v="200"/>
    <x v="11"/>
    <x v="2"/>
    <x v="15"/>
    <n v="108"/>
    <n v="345.6"/>
  </r>
  <r>
    <x v="200"/>
    <x v="10"/>
    <x v="2"/>
    <x v="30"/>
    <n v="445"/>
    <n v="1201.5"/>
  </r>
  <r>
    <x v="200"/>
    <x v="11"/>
    <x v="2"/>
    <x v="47"/>
    <n v="277"/>
    <n v="886.40000000000009"/>
  </r>
  <r>
    <x v="200"/>
    <x v="11"/>
    <x v="2"/>
    <x v="16"/>
    <n v="356"/>
    <n v="1139.2"/>
  </r>
  <r>
    <x v="201"/>
    <x v="9"/>
    <x v="1"/>
    <x v="39"/>
    <n v="306"/>
    <n v="1071"/>
  </r>
  <r>
    <x v="201"/>
    <x v="9"/>
    <x v="1"/>
    <x v="21"/>
    <n v="435"/>
    <n v="1522.5"/>
  </r>
  <r>
    <x v="202"/>
    <x v="10"/>
    <x v="2"/>
    <x v="24"/>
    <n v="248"/>
    <n v="669.6"/>
  </r>
  <r>
    <x v="202"/>
    <x v="11"/>
    <x v="2"/>
    <x v="16"/>
    <n v="332"/>
    <n v="1062.4000000000001"/>
  </r>
  <r>
    <x v="202"/>
    <x v="10"/>
    <x v="2"/>
    <x v="14"/>
    <n v="96"/>
    <n v="259.20000000000005"/>
  </r>
  <r>
    <x v="202"/>
    <x v="10"/>
    <x v="2"/>
    <x v="0"/>
    <n v="191"/>
    <n v="515.70000000000005"/>
  </r>
  <r>
    <x v="202"/>
    <x v="11"/>
    <x v="2"/>
    <x v="6"/>
    <n v="335"/>
    <n v="1072"/>
  </r>
  <r>
    <x v="202"/>
    <x v="9"/>
    <x v="1"/>
    <x v="47"/>
    <n v="287"/>
    <n v="1004.5"/>
  </r>
  <r>
    <x v="202"/>
    <x v="9"/>
    <x v="1"/>
    <x v="10"/>
    <n v="392"/>
    <n v="1372"/>
  </r>
  <r>
    <x v="202"/>
    <x v="10"/>
    <x v="2"/>
    <x v="40"/>
    <n v="246"/>
    <n v="664.2"/>
  </r>
  <r>
    <x v="202"/>
    <x v="9"/>
    <x v="1"/>
    <x v="32"/>
    <n v="15"/>
    <n v="52.5"/>
  </r>
  <r>
    <x v="202"/>
    <x v="9"/>
    <x v="1"/>
    <x v="17"/>
    <n v="234"/>
    <n v="819"/>
  </r>
  <r>
    <x v="203"/>
    <x v="9"/>
    <x v="1"/>
    <x v="40"/>
    <n v="235"/>
    <n v="822.5"/>
  </r>
  <r>
    <x v="203"/>
    <x v="10"/>
    <x v="2"/>
    <x v="17"/>
    <n v="432"/>
    <n v="1166.4000000000001"/>
  </r>
  <r>
    <x v="203"/>
    <x v="9"/>
    <x v="1"/>
    <x v="49"/>
    <n v="391"/>
    <n v="1368.5"/>
  </r>
  <r>
    <x v="203"/>
    <x v="11"/>
    <x v="2"/>
    <x v="1"/>
    <n v="471"/>
    <n v="1507.2"/>
  </r>
  <r>
    <x v="204"/>
    <x v="11"/>
    <x v="2"/>
    <x v="32"/>
    <n v="411"/>
    <n v="1315.2"/>
  </r>
  <r>
    <x v="204"/>
    <x v="9"/>
    <x v="1"/>
    <x v="39"/>
    <n v="473"/>
    <n v="1655.5"/>
  </r>
  <r>
    <x v="204"/>
    <x v="10"/>
    <x v="2"/>
    <x v="4"/>
    <n v="279"/>
    <n v="753.30000000000007"/>
  </r>
  <r>
    <x v="204"/>
    <x v="9"/>
    <x v="1"/>
    <x v="10"/>
    <n v="302"/>
    <n v="1057"/>
  </r>
  <r>
    <x v="204"/>
    <x v="11"/>
    <x v="2"/>
    <x v="39"/>
    <n v="191"/>
    <n v="611.20000000000005"/>
  </r>
  <r>
    <x v="204"/>
    <x v="10"/>
    <x v="2"/>
    <x v="37"/>
    <n v="143"/>
    <n v="386.1"/>
  </r>
  <r>
    <x v="204"/>
    <x v="11"/>
    <x v="2"/>
    <x v="10"/>
    <n v="328"/>
    <n v="1049.6000000000001"/>
  </r>
  <r>
    <x v="204"/>
    <x v="10"/>
    <x v="2"/>
    <x v="16"/>
    <n v="429"/>
    <n v="1158.3000000000002"/>
  </r>
  <r>
    <x v="204"/>
    <x v="10"/>
    <x v="2"/>
    <x v="25"/>
    <n v="293"/>
    <n v="791.1"/>
  </r>
  <r>
    <x v="204"/>
    <x v="9"/>
    <x v="1"/>
    <x v="29"/>
    <n v="44"/>
    <n v="154"/>
  </r>
  <r>
    <x v="204"/>
    <x v="10"/>
    <x v="2"/>
    <x v="32"/>
    <n v="401"/>
    <n v="1082.7"/>
  </r>
  <r>
    <x v="204"/>
    <x v="11"/>
    <x v="2"/>
    <x v="4"/>
    <n v="448"/>
    <n v="1433.6000000000001"/>
  </r>
  <r>
    <x v="204"/>
    <x v="11"/>
    <x v="2"/>
    <x v="18"/>
    <n v="319"/>
    <n v="1020.8000000000001"/>
  </r>
  <r>
    <x v="204"/>
    <x v="10"/>
    <x v="2"/>
    <x v="13"/>
    <n v="62"/>
    <n v="167.4"/>
  </r>
  <r>
    <x v="204"/>
    <x v="11"/>
    <x v="2"/>
    <x v="43"/>
    <n v="350"/>
    <n v="1120"/>
  </r>
  <r>
    <x v="205"/>
    <x v="9"/>
    <x v="1"/>
    <x v="13"/>
    <n v="146"/>
    <n v="511"/>
  </r>
  <r>
    <x v="205"/>
    <x v="11"/>
    <x v="2"/>
    <x v="4"/>
    <n v="205"/>
    <n v="656"/>
  </r>
  <r>
    <x v="205"/>
    <x v="11"/>
    <x v="2"/>
    <x v="4"/>
    <n v="289"/>
    <n v="924.80000000000007"/>
  </r>
  <r>
    <x v="205"/>
    <x v="9"/>
    <x v="1"/>
    <x v="22"/>
    <n v="438"/>
    <n v="1533"/>
  </r>
  <r>
    <x v="205"/>
    <x v="10"/>
    <x v="2"/>
    <x v="40"/>
    <n v="447"/>
    <n v="1206.9000000000001"/>
  </r>
  <r>
    <x v="205"/>
    <x v="11"/>
    <x v="2"/>
    <x v="37"/>
    <n v="379"/>
    <n v="1212.8"/>
  </r>
  <r>
    <x v="205"/>
    <x v="10"/>
    <x v="2"/>
    <x v="38"/>
    <n v="74"/>
    <n v="199.8"/>
  </r>
  <r>
    <x v="205"/>
    <x v="9"/>
    <x v="1"/>
    <x v="10"/>
    <n v="421"/>
    <n v="1473.5"/>
  </r>
  <r>
    <x v="205"/>
    <x v="10"/>
    <x v="2"/>
    <x v="49"/>
    <n v="228"/>
    <n v="615.6"/>
  </r>
  <r>
    <x v="205"/>
    <x v="10"/>
    <x v="2"/>
    <x v="7"/>
    <n v="444"/>
    <n v="1198.8000000000002"/>
  </r>
  <r>
    <x v="205"/>
    <x v="9"/>
    <x v="1"/>
    <x v="43"/>
    <n v="180"/>
    <n v="630"/>
  </r>
  <r>
    <x v="206"/>
    <x v="10"/>
    <x v="2"/>
    <x v="30"/>
    <n v="210"/>
    <n v="567"/>
  </r>
  <r>
    <x v="206"/>
    <x v="10"/>
    <x v="2"/>
    <x v="41"/>
    <n v="385"/>
    <n v="1039.5"/>
  </r>
  <r>
    <x v="206"/>
    <x v="10"/>
    <x v="2"/>
    <x v="47"/>
    <n v="362"/>
    <n v="977.40000000000009"/>
  </r>
  <r>
    <x v="206"/>
    <x v="10"/>
    <x v="2"/>
    <x v="15"/>
    <n v="66"/>
    <n v="178.20000000000002"/>
  </r>
  <r>
    <x v="207"/>
    <x v="12"/>
    <x v="1"/>
    <x v="41"/>
    <n v="398"/>
    <n v="1273.6000000000001"/>
  </r>
  <r>
    <x v="207"/>
    <x v="12"/>
    <x v="1"/>
    <x v="33"/>
    <n v="223"/>
    <n v="713.6"/>
  </r>
  <r>
    <x v="207"/>
    <x v="13"/>
    <x v="1"/>
    <x v="14"/>
    <n v="267"/>
    <n v="667.5"/>
  </r>
  <r>
    <x v="207"/>
    <x v="9"/>
    <x v="1"/>
    <x v="36"/>
    <n v="99"/>
    <n v="346.5"/>
  </r>
  <r>
    <x v="207"/>
    <x v="14"/>
    <x v="1"/>
    <x v="43"/>
    <n v="301"/>
    <n v="963.2"/>
  </r>
  <r>
    <x v="207"/>
    <x v="9"/>
    <x v="1"/>
    <x v="0"/>
    <n v="332"/>
    <n v="1162"/>
  </r>
  <r>
    <x v="207"/>
    <x v="9"/>
    <x v="1"/>
    <x v="43"/>
    <n v="328"/>
    <n v="1148"/>
  </r>
  <r>
    <x v="208"/>
    <x v="12"/>
    <x v="1"/>
    <x v="9"/>
    <n v="217"/>
    <n v="694.40000000000009"/>
  </r>
  <r>
    <x v="208"/>
    <x v="12"/>
    <x v="1"/>
    <x v="3"/>
    <n v="93"/>
    <n v="297.60000000000002"/>
  </r>
  <r>
    <x v="208"/>
    <x v="9"/>
    <x v="1"/>
    <x v="35"/>
    <n v="179"/>
    <n v="626.5"/>
  </r>
  <r>
    <x v="208"/>
    <x v="14"/>
    <x v="1"/>
    <x v="22"/>
    <n v="474"/>
    <n v="1516.8000000000002"/>
  </r>
  <r>
    <x v="208"/>
    <x v="14"/>
    <x v="1"/>
    <x v="4"/>
    <n v="269"/>
    <n v="860.80000000000007"/>
  </r>
  <r>
    <x v="208"/>
    <x v="15"/>
    <x v="1"/>
    <x v="7"/>
    <n v="271"/>
    <n v="677.5"/>
  </r>
  <r>
    <x v="208"/>
    <x v="14"/>
    <x v="1"/>
    <x v="22"/>
    <n v="118"/>
    <n v="377.6"/>
  </r>
  <r>
    <x v="208"/>
    <x v="9"/>
    <x v="1"/>
    <x v="33"/>
    <n v="251"/>
    <n v="878.5"/>
  </r>
  <r>
    <x v="208"/>
    <x v="9"/>
    <x v="1"/>
    <x v="10"/>
    <n v="275"/>
    <n v="962.5"/>
  </r>
  <r>
    <x v="208"/>
    <x v="15"/>
    <x v="1"/>
    <x v="48"/>
    <n v="136"/>
    <n v="340"/>
  </r>
  <r>
    <x v="209"/>
    <x v="13"/>
    <x v="1"/>
    <x v="13"/>
    <n v="366"/>
    <n v="915"/>
  </r>
  <r>
    <x v="209"/>
    <x v="9"/>
    <x v="1"/>
    <x v="15"/>
    <n v="357"/>
    <n v="1249.5"/>
  </r>
  <r>
    <x v="209"/>
    <x v="12"/>
    <x v="1"/>
    <x v="44"/>
    <n v="261"/>
    <n v="835.2"/>
  </r>
  <r>
    <x v="209"/>
    <x v="12"/>
    <x v="1"/>
    <x v="9"/>
    <n v="176"/>
    <n v="563.20000000000005"/>
  </r>
  <r>
    <x v="209"/>
    <x v="12"/>
    <x v="1"/>
    <x v="22"/>
    <n v="58"/>
    <n v="185.60000000000002"/>
  </r>
  <r>
    <x v="209"/>
    <x v="9"/>
    <x v="1"/>
    <x v="28"/>
    <n v="99"/>
    <n v="346.5"/>
  </r>
  <r>
    <x v="210"/>
    <x v="13"/>
    <x v="1"/>
    <x v="9"/>
    <n v="143"/>
    <n v="357.5"/>
  </r>
  <r>
    <x v="210"/>
    <x v="13"/>
    <x v="1"/>
    <x v="16"/>
    <n v="470"/>
    <n v="1175"/>
  </r>
  <r>
    <x v="210"/>
    <x v="9"/>
    <x v="1"/>
    <x v="46"/>
    <n v="132"/>
    <n v="462"/>
  </r>
  <r>
    <x v="210"/>
    <x v="13"/>
    <x v="1"/>
    <x v="40"/>
    <n v="38"/>
    <n v="95"/>
  </r>
  <r>
    <x v="210"/>
    <x v="14"/>
    <x v="1"/>
    <x v="48"/>
    <n v="471"/>
    <n v="1507.2"/>
  </r>
  <r>
    <x v="210"/>
    <x v="14"/>
    <x v="1"/>
    <x v="15"/>
    <n v="340"/>
    <n v="1088"/>
  </r>
  <r>
    <x v="210"/>
    <x v="14"/>
    <x v="1"/>
    <x v="17"/>
    <n v="167"/>
    <n v="534.4"/>
  </r>
  <r>
    <x v="210"/>
    <x v="15"/>
    <x v="1"/>
    <x v="34"/>
    <n v="498"/>
    <n v="1245"/>
  </r>
  <r>
    <x v="210"/>
    <x v="12"/>
    <x v="1"/>
    <x v="6"/>
    <n v="461"/>
    <n v="1475.2"/>
  </r>
  <r>
    <x v="210"/>
    <x v="15"/>
    <x v="1"/>
    <x v="6"/>
    <n v="437"/>
    <n v="1092.5"/>
  </r>
  <r>
    <x v="210"/>
    <x v="9"/>
    <x v="1"/>
    <x v="33"/>
    <n v="429"/>
    <n v="1501.5"/>
  </r>
  <r>
    <x v="210"/>
    <x v="13"/>
    <x v="1"/>
    <x v="33"/>
    <n v="447"/>
    <n v="1117.5"/>
  </r>
  <r>
    <x v="210"/>
    <x v="14"/>
    <x v="1"/>
    <x v="6"/>
    <n v="211"/>
    <n v="675.2"/>
  </r>
  <r>
    <x v="210"/>
    <x v="9"/>
    <x v="1"/>
    <x v="3"/>
    <n v="207"/>
    <n v="724.5"/>
  </r>
  <r>
    <x v="211"/>
    <x v="9"/>
    <x v="1"/>
    <x v="33"/>
    <n v="210"/>
    <n v="735"/>
  </r>
  <r>
    <x v="211"/>
    <x v="14"/>
    <x v="1"/>
    <x v="19"/>
    <n v="34"/>
    <n v="108.80000000000001"/>
  </r>
  <r>
    <x v="211"/>
    <x v="15"/>
    <x v="1"/>
    <x v="2"/>
    <n v="222"/>
    <n v="555"/>
  </r>
  <r>
    <x v="211"/>
    <x v="15"/>
    <x v="1"/>
    <x v="18"/>
    <n v="20"/>
    <n v="50"/>
  </r>
  <r>
    <x v="211"/>
    <x v="9"/>
    <x v="1"/>
    <x v="42"/>
    <n v="132"/>
    <n v="462"/>
  </r>
  <r>
    <x v="211"/>
    <x v="12"/>
    <x v="1"/>
    <x v="10"/>
    <n v="29"/>
    <n v="92.800000000000011"/>
  </r>
  <r>
    <x v="211"/>
    <x v="15"/>
    <x v="1"/>
    <x v="42"/>
    <n v="246"/>
    <n v="615"/>
  </r>
  <r>
    <x v="211"/>
    <x v="14"/>
    <x v="1"/>
    <x v="18"/>
    <n v="331"/>
    <n v="1059.2"/>
  </r>
  <r>
    <x v="211"/>
    <x v="13"/>
    <x v="1"/>
    <x v="48"/>
    <n v="167"/>
    <n v="417.5"/>
  </r>
  <r>
    <x v="211"/>
    <x v="12"/>
    <x v="1"/>
    <x v="24"/>
    <n v="22"/>
    <n v="70.400000000000006"/>
  </r>
  <r>
    <x v="212"/>
    <x v="14"/>
    <x v="1"/>
    <x v="49"/>
    <n v="28"/>
    <n v="89.600000000000009"/>
  </r>
  <r>
    <x v="212"/>
    <x v="14"/>
    <x v="1"/>
    <x v="14"/>
    <n v="18"/>
    <n v="57.6"/>
  </r>
  <r>
    <x v="212"/>
    <x v="9"/>
    <x v="1"/>
    <x v="48"/>
    <n v="266"/>
    <n v="931"/>
  </r>
  <r>
    <x v="212"/>
    <x v="13"/>
    <x v="1"/>
    <x v="5"/>
    <n v="358"/>
    <n v="895"/>
  </r>
  <r>
    <x v="212"/>
    <x v="9"/>
    <x v="1"/>
    <x v="20"/>
    <n v="416"/>
    <n v="1456"/>
  </r>
  <r>
    <x v="212"/>
    <x v="9"/>
    <x v="1"/>
    <x v="7"/>
    <n v="17"/>
    <n v="59.5"/>
  </r>
  <r>
    <x v="212"/>
    <x v="15"/>
    <x v="1"/>
    <x v="4"/>
    <n v="229"/>
    <n v="572.5"/>
  </r>
  <r>
    <x v="212"/>
    <x v="13"/>
    <x v="1"/>
    <x v="23"/>
    <n v="291"/>
    <n v="727.5"/>
  </r>
  <r>
    <x v="213"/>
    <x v="15"/>
    <x v="1"/>
    <x v="39"/>
    <n v="348"/>
    <n v="870"/>
  </r>
  <r>
    <x v="213"/>
    <x v="12"/>
    <x v="1"/>
    <x v="29"/>
    <n v="328"/>
    <n v="1049.6000000000001"/>
  </r>
  <r>
    <x v="213"/>
    <x v="9"/>
    <x v="1"/>
    <x v="4"/>
    <n v="286"/>
    <n v="1001"/>
  </r>
  <r>
    <x v="213"/>
    <x v="9"/>
    <x v="1"/>
    <x v="25"/>
    <n v="334"/>
    <n v="1169"/>
  </r>
  <r>
    <x v="213"/>
    <x v="15"/>
    <x v="1"/>
    <x v="45"/>
    <n v="386"/>
    <n v="965"/>
  </r>
  <r>
    <x v="213"/>
    <x v="13"/>
    <x v="1"/>
    <x v="42"/>
    <n v="405"/>
    <n v="1012.5"/>
  </r>
  <r>
    <x v="213"/>
    <x v="13"/>
    <x v="1"/>
    <x v="28"/>
    <n v="53"/>
    <n v="132.5"/>
  </r>
  <r>
    <x v="213"/>
    <x v="9"/>
    <x v="1"/>
    <x v="47"/>
    <n v="180"/>
    <n v="630"/>
  </r>
  <r>
    <x v="213"/>
    <x v="15"/>
    <x v="1"/>
    <x v="36"/>
    <n v="94"/>
    <n v="235"/>
  </r>
  <r>
    <x v="213"/>
    <x v="14"/>
    <x v="1"/>
    <x v="38"/>
    <n v="346"/>
    <n v="1107.2"/>
  </r>
  <r>
    <x v="213"/>
    <x v="15"/>
    <x v="1"/>
    <x v="1"/>
    <n v="396"/>
    <n v="990"/>
  </r>
  <r>
    <x v="213"/>
    <x v="13"/>
    <x v="1"/>
    <x v="7"/>
    <n v="397"/>
    <n v="992.5"/>
  </r>
  <r>
    <x v="214"/>
    <x v="9"/>
    <x v="1"/>
    <x v="19"/>
    <n v="434"/>
    <n v="1519"/>
  </r>
  <r>
    <x v="214"/>
    <x v="9"/>
    <x v="1"/>
    <x v="45"/>
    <n v="492"/>
    <n v="1722"/>
  </r>
  <r>
    <x v="214"/>
    <x v="9"/>
    <x v="1"/>
    <x v="18"/>
    <n v="398"/>
    <n v="1393"/>
  </r>
  <r>
    <x v="214"/>
    <x v="15"/>
    <x v="1"/>
    <x v="11"/>
    <n v="354"/>
    <n v="885"/>
  </r>
  <r>
    <x v="214"/>
    <x v="14"/>
    <x v="1"/>
    <x v="1"/>
    <n v="391"/>
    <n v="1251.2"/>
  </r>
  <r>
    <x v="214"/>
    <x v="15"/>
    <x v="1"/>
    <x v="2"/>
    <n v="268"/>
    <n v="670"/>
  </r>
  <r>
    <x v="214"/>
    <x v="15"/>
    <x v="1"/>
    <x v="20"/>
    <n v="203"/>
    <n v="507.5"/>
  </r>
  <r>
    <x v="214"/>
    <x v="14"/>
    <x v="1"/>
    <x v="3"/>
    <n v="380"/>
    <n v="1216"/>
  </r>
  <r>
    <x v="214"/>
    <x v="9"/>
    <x v="1"/>
    <x v="34"/>
    <n v="481"/>
    <n v="1683.5"/>
  </r>
  <r>
    <x v="215"/>
    <x v="9"/>
    <x v="1"/>
    <x v="49"/>
    <n v="161"/>
    <n v="563.5"/>
  </r>
  <r>
    <x v="215"/>
    <x v="9"/>
    <x v="1"/>
    <x v="33"/>
    <n v="410"/>
    <n v="1435"/>
  </r>
  <r>
    <x v="215"/>
    <x v="13"/>
    <x v="1"/>
    <x v="1"/>
    <n v="108"/>
    <n v="270"/>
  </r>
  <r>
    <x v="215"/>
    <x v="9"/>
    <x v="1"/>
    <x v="24"/>
    <n v="458"/>
    <n v="1603"/>
  </r>
  <r>
    <x v="215"/>
    <x v="12"/>
    <x v="1"/>
    <x v="12"/>
    <n v="129"/>
    <n v="412.8"/>
  </r>
  <r>
    <x v="216"/>
    <x v="12"/>
    <x v="1"/>
    <x v="7"/>
    <n v="227"/>
    <n v="726.40000000000009"/>
  </r>
  <r>
    <x v="216"/>
    <x v="13"/>
    <x v="1"/>
    <x v="32"/>
    <n v="370"/>
    <n v="925"/>
  </r>
  <r>
    <x v="216"/>
    <x v="12"/>
    <x v="1"/>
    <x v="16"/>
    <n v="18"/>
    <n v="57.6"/>
  </r>
  <r>
    <x v="216"/>
    <x v="9"/>
    <x v="1"/>
    <x v="39"/>
    <n v="398"/>
    <n v="1393"/>
  </r>
  <r>
    <x v="216"/>
    <x v="9"/>
    <x v="1"/>
    <x v="5"/>
    <n v="401"/>
    <n v="1403.5"/>
  </r>
  <r>
    <x v="216"/>
    <x v="14"/>
    <x v="1"/>
    <x v="16"/>
    <n v="443"/>
    <n v="1417.6000000000001"/>
  </r>
  <r>
    <x v="216"/>
    <x v="9"/>
    <x v="1"/>
    <x v="42"/>
    <n v="29"/>
    <n v="101.5"/>
  </r>
  <r>
    <x v="216"/>
    <x v="9"/>
    <x v="1"/>
    <x v="34"/>
    <n v="433"/>
    <n v="1515.5"/>
  </r>
  <r>
    <x v="216"/>
    <x v="14"/>
    <x v="1"/>
    <x v="43"/>
    <n v="80"/>
    <n v="256"/>
  </r>
  <r>
    <x v="216"/>
    <x v="14"/>
    <x v="1"/>
    <x v="16"/>
    <n v="83"/>
    <n v="265.60000000000002"/>
  </r>
  <r>
    <x v="217"/>
    <x v="9"/>
    <x v="1"/>
    <x v="11"/>
    <n v="420"/>
    <n v="1470"/>
  </r>
  <r>
    <x v="217"/>
    <x v="9"/>
    <x v="1"/>
    <x v="0"/>
    <n v="404"/>
    <n v="1414"/>
  </r>
  <r>
    <x v="217"/>
    <x v="9"/>
    <x v="1"/>
    <x v="38"/>
    <n v="401"/>
    <n v="1403.5"/>
  </r>
  <r>
    <x v="217"/>
    <x v="12"/>
    <x v="1"/>
    <x v="22"/>
    <n v="423"/>
    <n v="1353.6000000000001"/>
  </r>
  <r>
    <x v="217"/>
    <x v="13"/>
    <x v="1"/>
    <x v="42"/>
    <n v="201"/>
    <n v="502.5"/>
  </r>
  <r>
    <x v="218"/>
    <x v="14"/>
    <x v="1"/>
    <x v="19"/>
    <n v="393"/>
    <n v="1257.6000000000001"/>
  </r>
  <r>
    <x v="218"/>
    <x v="12"/>
    <x v="1"/>
    <x v="47"/>
    <n v="455"/>
    <n v="1456"/>
  </r>
  <r>
    <x v="219"/>
    <x v="13"/>
    <x v="1"/>
    <x v="6"/>
    <n v="345"/>
    <n v="862.5"/>
  </r>
  <r>
    <x v="219"/>
    <x v="13"/>
    <x v="1"/>
    <x v="28"/>
    <n v="260"/>
    <n v="650"/>
  </r>
  <r>
    <x v="219"/>
    <x v="15"/>
    <x v="1"/>
    <x v="9"/>
    <n v="203"/>
    <n v="507.5"/>
  </r>
  <r>
    <x v="219"/>
    <x v="15"/>
    <x v="1"/>
    <x v="27"/>
    <n v="334"/>
    <n v="835"/>
  </r>
  <r>
    <x v="219"/>
    <x v="15"/>
    <x v="1"/>
    <x v="4"/>
    <n v="284"/>
    <n v="710"/>
  </r>
  <r>
    <x v="219"/>
    <x v="9"/>
    <x v="1"/>
    <x v="48"/>
    <n v="487"/>
    <n v="1704.5"/>
  </r>
  <r>
    <x v="219"/>
    <x v="14"/>
    <x v="1"/>
    <x v="27"/>
    <n v="138"/>
    <n v="441.6"/>
  </r>
  <r>
    <x v="219"/>
    <x v="15"/>
    <x v="1"/>
    <x v="29"/>
    <n v="196"/>
    <n v="490"/>
  </r>
  <r>
    <x v="220"/>
    <x v="14"/>
    <x v="1"/>
    <x v="25"/>
    <n v="355"/>
    <n v="1136"/>
  </r>
  <r>
    <x v="220"/>
    <x v="14"/>
    <x v="1"/>
    <x v="23"/>
    <n v="348"/>
    <n v="1113.6000000000001"/>
  </r>
  <r>
    <x v="220"/>
    <x v="9"/>
    <x v="1"/>
    <x v="34"/>
    <n v="15"/>
    <n v="52.5"/>
  </r>
  <r>
    <x v="220"/>
    <x v="12"/>
    <x v="1"/>
    <x v="38"/>
    <n v="475"/>
    <n v="1520"/>
  </r>
  <r>
    <x v="220"/>
    <x v="9"/>
    <x v="1"/>
    <x v="11"/>
    <n v="234"/>
    <n v="819"/>
  </r>
  <r>
    <x v="220"/>
    <x v="9"/>
    <x v="1"/>
    <x v="39"/>
    <n v="198"/>
    <n v="693"/>
  </r>
  <r>
    <x v="221"/>
    <x v="9"/>
    <x v="1"/>
    <x v="16"/>
    <n v="459"/>
    <n v="1606.5"/>
  </r>
  <r>
    <x v="221"/>
    <x v="9"/>
    <x v="1"/>
    <x v="6"/>
    <n v="299"/>
    <n v="1046.5"/>
  </r>
  <r>
    <x v="221"/>
    <x v="15"/>
    <x v="1"/>
    <x v="25"/>
    <n v="138"/>
    <n v="345"/>
  </r>
  <r>
    <x v="221"/>
    <x v="13"/>
    <x v="1"/>
    <x v="8"/>
    <n v="173"/>
    <n v="432.5"/>
  </r>
  <r>
    <x v="221"/>
    <x v="9"/>
    <x v="1"/>
    <x v="6"/>
    <n v="126"/>
    <n v="441"/>
  </r>
  <r>
    <x v="221"/>
    <x v="9"/>
    <x v="1"/>
    <x v="18"/>
    <n v="88"/>
    <n v="308"/>
  </r>
  <r>
    <x v="221"/>
    <x v="15"/>
    <x v="1"/>
    <x v="38"/>
    <n v="129"/>
    <n v="322.5"/>
  </r>
  <r>
    <x v="221"/>
    <x v="14"/>
    <x v="1"/>
    <x v="39"/>
    <n v="325"/>
    <n v="1040"/>
  </r>
  <r>
    <x v="221"/>
    <x v="9"/>
    <x v="1"/>
    <x v="34"/>
    <n v="324"/>
    <n v="1134"/>
  </r>
  <r>
    <x v="221"/>
    <x v="9"/>
    <x v="1"/>
    <x v="34"/>
    <n v="497"/>
    <n v="1739.5"/>
  </r>
  <r>
    <x v="222"/>
    <x v="14"/>
    <x v="1"/>
    <x v="43"/>
    <n v="62"/>
    <n v="198.4"/>
  </r>
  <r>
    <x v="222"/>
    <x v="13"/>
    <x v="1"/>
    <x v="28"/>
    <n v="164"/>
    <n v="410"/>
  </r>
  <r>
    <x v="222"/>
    <x v="12"/>
    <x v="1"/>
    <x v="17"/>
    <n v="101"/>
    <n v="323.20000000000005"/>
  </r>
  <r>
    <x v="222"/>
    <x v="13"/>
    <x v="1"/>
    <x v="7"/>
    <n v="37"/>
    <n v="92.5"/>
  </r>
  <r>
    <x v="222"/>
    <x v="9"/>
    <x v="1"/>
    <x v="39"/>
    <n v="200"/>
    <n v="700"/>
  </r>
  <r>
    <x v="222"/>
    <x v="9"/>
    <x v="1"/>
    <x v="6"/>
    <n v="303"/>
    <n v="1060.5"/>
  </r>
  <r>
    <x v="222"/>
    <x v="15"/>
    <x v="1"/>
    <x v="9"/>
    <n v="325"/>
    <n v="812.5"/>
  </r>
  <r>
    <x v="222"/>
    <x v="15"/>
    <x v="1"/>
    <x v="20"/>
    <n v="394"/>
    <n v="985"/>
  </r>
  <r>
    <x v="222"/>
    <x v="13"/>
    <x v="1"/>
    <x v="39"/>
    <n v="353"/>
    <n v="882.5"/>
  </r>
  <r>
    <x v="222"/>
    <x v="9"/>
    <x v="1"/>
    <x v="3"/>
    <n v="432"/>
    <n v="1512"/>
  </r>
  <r>
    <x v="222"/>
    <x v="14"/>
    <x v="1"/>
    <x v="49"/>
    <n v="306"/>
    <n v="979.2"/>
  </r>
  <r>
    <x v="222"/>
    <x v="9"/>
    <x v="1"/>
    <x v="4"/>
    <n v="82"/>
    <n v="287"/>
  </r>
  <r>
    <x v="223"/>
    <x v="15"/>
    <x v="1"/>
    <x v="28"/>
    <n v="498"/>
    <n v="1245"/>
  </r>
  <r>
    <x v="223"/>
    <x v="13"/>
    <x v="1"/>
    <x v="44"/>
    <n v="82"/>
    <n v="205"/>
  </r>
  <r>
    <x v="224"/>
    <x v="12"/>
    <x v="1"/>
    <x v="30"/>
    <n v="215"/>
    <n v="688"/>
  </r>
  <r>
    <x v="224"/>
    <x v="13"/>
    <x v="1"/>
    <x v="38"/>
    <n v="107"/>
    <n v="267.5"/>
  </r>
  <r>
    <x v="224"/>
    <x v="13"/>
    <x v="1"/>
    <x v="15"/>
    <n v="399"/>
    <n v="997.5"/>
  </r>
  <r>
    <x v="224"/>
    <x v="12"/>
    <x v="1"/>
    <x v="28"/>
    <n v="307"/>
    <n v="982.40000000000009"/>
  </r>
  <r>
    <x v="224"/>
    <x v="14"/>
    <x v="1"/>
    <x v="40"/>
    <n v="211"/>
    <n v="675.2"/>
  </r>
  <r>
    <x v="224"/>
    <x v="12"/>
    <x v="1"/>
    <x v="29"/>
    <n v="401"/>
    <n v="1283.2"/>
  </r>
  <r>
    <x v="224"/>
    <x v="14"/>
    <x v="1"/>
    <x v="12"/>
    <n v="164"/>
    <n v="524.80000000000007"/>
  </r>
  <r>
    <x v="224"/>
    <x v="9"/>
    <x v="1"/>
    <x v="37"/>
    <n v="281"/>
    <n v="983.5"/>
  </r>
  <r>
    <x v="224"/>
    <x v="9"/>
    <x v="1"/>
    <x v="43"/>
    <n v="236"/>
    <n v="826"/>
  </r>
  <r>
    <x v="224"/>
    <x v="13"/>
    <x v="1"/>
    <x v="9"/>
    <n v="458"/>
    <n v="1145"/>
  </r>
  <r>
    <x v="224"/>
    <x v="14"/>
    <x v="1"/>
    <x v="3"/>
    <n v="136"/>
    <n v="435.20000000000005"/>
  </r>
  <r>
    <x v="224"/>
    <x v="9"/>
    <x v="1"/>
    <x v="29"/>
    <n v="150"/>
    <n v="525"/>
  </r>
  <r>
    <x v="225"/>
    <x v="14"/>
    <x v="1"/>
    <x v="2"/>
    <n v="263"/>
    <n v="841.6"/>
  </r>
  <r>
    <x v="225"/>
    <x v="14"/>
    <x v="1"/>
    <x v="43"/>
    <n v="24"/>
    <n v="76.800000000000011"/>
  </r>
  <r>
    <x v="225"/>
    <x v="12"/>
    <x v="1"/>
    <x v="14"/>
    <n v="374"/>
    <n v="1196.8"/>
  </r>
  <r>
    <x v="225"/>
    <x v="12"/>
    <x v="1"/>
    <x v="39"/>
    <n v="101"/>
    <n v="323.20000000000005"/>
  </r>
  <r>
    <x v="225"/>
    <x v="12"/>
    <x v="1"/>
    <x v="0"/>
    <n v="156"/>
    <n v="499.20000000000005"/>
  </r>
  <r>
    <x v="225"/>
    <x v="9"/>
    <x v="1"/>
    <x v="33"/>
    <n v="481"/>
    <n v="1683.5"/>
  </r>
  <r>
    <x v="225"/>
    <x v="9"/>
    <x v="1"/>
    <x v="40"/>
    <n v="464"/>
    <n v="1624"/>
  </r>
  <r>
    <x v="225"/>
    <x v="15"/>
    <x v="1"/>
    <x v="30"/>
    <n v="449"/>
    <n v="1122.5"/>
  </r>
  <r>
    <x v="225"/>
    <x v="13"/>
    <x v="1"/>
    <x v="37"/>
    <n v="290"/>
    <n v="725"/>
  </r>
  <r>
    <x v="225"/>
    <x v="13"/>
    <x v="1"/>
    <x v="1"/>
    <n v="165"/>
    <n v="412.5"/>
  </r>
  <r>
    <x v="225"/>
    <x v="9"/>
    <x v="1"/>
    <x v="23"/>
    <n v="446"/>
    <n v="1561"/>
  </r>
  <r>
    <x v="226"/>
    <x v="14"/>
    <x v="1"/>
    <x v="49"/>
    <n v="149"/>
    <n v="476.8"/>
  </r>
  <r>
    <x v="226"/>
    <x v="9"/>
    <x v="1"/>
    <x v="19"/>
    <n v="242"/>
    <n v="847"/>
  </r>
  <r>
    <x v="226"/>
    <x v="14"/>
    <x v="1"/>
    <x v="18"/>
    <n v="370"/>
    <n v="1184"/>
  </r>
  <r>
    <x v="226"/>
    <x v="9"/>
    <x v="1"/>
    <x v="20"/>
    <n v="364"/>
    <n v="1274"/>
  </r>
  <r>
    <x v="226"/>
    <x v="9"/>
    <x v="1"/>
    <x v="41"/>
    <n v="56"/>
    <n v="196"/>
  </r>
  <r>
    <x v="226"/>
    <x v="13"/>
    <x v="1"/>
    <x v="43"/>
    <n v="294"/>
    <n v="735"/>
  </r>
  <r>
    <x v="226"/>
    <x v="9"/>
    <x v="1"/>
    <x v="2"/>
    <n v="305"/>
    <n v="1067.5"/>
  </r>
  <r>
    <x v="226"/>
    <x v="9"/>
    <x v="1"/>
    <x v="4"/>
    <n v="333"/>
    <n v="1165.5"/>
  </r>
  <r>
    <x v="226"/>
    <x v="14"/>
    <x v="1"/>
    <x v="29"/>
    <n v="198"/>
    <n v="633.6"/>
  </r>
  <r>
    <x v="226"/>
    <x v="14"/>
    <x v="1"/>
    <x v="35"/>
    <n v="477"/>
    <n v="1526.4"/>
  </r>
  <r>
    <x v="226"/>
    <x v="15"/>
    <x v="1"/>
    <x v="48"/>
    <n v="32"/>
    <n v="80"/>
  </r>
  <r>
    <x v="227"/>
    <x v="9"/>
    <x v="1"/>
    <x v="34"/>
    <n v="417"/>
    <n v="1459.5"/>
  </r>
  <r>
    <x v="227"/>
    <x v="14"/>
    <x v="1"/>
    <x v="46"/>
    <n v="342"/>
    <n v="1094.4000000000001"/>
  </r>
  <r>
    <x v="227"/>
    <x v="12"/>
    <x v="1"/>
    <x v="6"/>
    <n v="485"/>
    <n v="1552"/>
  </r>
  <r>
    <x v="227"/>
    <x v="14"/>
    <x v="1"/>
    <x v="4"/>
    <n v="89"/>
    <n v="284.8"/>
  </r>
  <r>
    <x v="227"/>
    <x v="13"/>
    <x v="1"/>
    <x v="15"/>
    <n v="26"/>
    <n v="65"/>
  </r>
  <r>
    <x v="227"/>
    <x v="14"/>
    <x v="1"/>
    <x v="18"/>
    <n v="298"/>
    <n v="953.6"/>
  </r>
  <r>
    <x v="228"/>
    <x v="12"/>
    <x v="1"/>
    <x v="4"/>
    <n v="57"/>
    <n v="182.4"/>
  </r>
  <r>
    <x v="228"/>
    <x v="13"/>
    <x v="1"/>
    <x v="48"/>
    <n v="21"/>
    <n v="52.5"/>
  </r>
  <r>
    <x v="228"/>
    <x v="14"/>
    <x v="1"/>
    <x v="32"/>
    <n v="444"/>
    <n v="1420.8000000000002"/>
  </r>
  <r>
    <x v="228"/>
    <x v="9"/>
    <x v="1"/>
    <x v="1"/>
    <n v="20"/>
    <n v="70"/>
  </r>
  <r>
    <x v="228"/>
    <x v="14"/>
    <x v="1"/>
    <x v="48"/>
    <n v="104"/>
    <n v="332.8"/>
  </r>
  <r>
    <x v="228"/>
    <x v="9"/>
    <x v="1"/>
    <x v="36"/>
    <n v="469"/>
    <n v="1641.5"/>
  </r>
  <r>
    <x v="228"/>
    <x v="14"/>
    <x v="1"/>
    <x v="45"/>
    <n v="137"/>
    <n v="438.40000000000003"/>
  </r>
  <r>
    <x v="228"/>
    <x v="13"/>
    <x v="1"/>
    <x v="18"/>
    <n v="495"/>
    <n v="1237.5"/>
  </r>
  <r>
    <x v="228"/>
    <x v="12"/>
    <x v="1"/>
    <x v="36"/>
    <n v="247"/>
    <n v="790.40000000000009"/>
  </r>
  <r>
    <x v="228"/>
    <x v="14"/>
    <x v="1"/>
    <x v="35"/>
    <n v="19"/>
    <n v="60.800000000000004"/>
  </r>
  <r>
    <x v="229"/>
    <x v="12"/>
    <x v="1"/>
    <x v="38"/>
    <n v="88"/>
    <n v="281.60000000000002"/>
  </r>
  <r>
    <x v="229"/>
    <x v="12"/>
    <x v="1"/>
    <x v="36"/>
    <n v="269"/>
    <n v="860.80000000000007"/>
  </r>
  <r>
    <x v="229"/>
    <x v="12"/>
    <x v="1"/>
    <x v="42"/>
    <n v="266"/>
    <n v="851.2"/>
  </r>
  <r>
    <x v="229"/>
    <x v="9"/>
    <x v="1"/>
    <x v="16"/>
    <n v="367"/>
    <n v="1284.5"/>
  </r>
  <r>
    <x v="229"/>
    <x v="9"/>
    <x v="1"/>
    <x v="48"/>
    <n v="484"/>
    <n v="1694"/>
  </r>
  <r>
    <x v="229"/>
    <x v="9"/>
    <x v="1"/>
    <x v="49"/>
    <n v="159"/>
    <n v="556.5"/>
  </r>
  <r>
    <x v="229"/>
    <x v="12"/>
    <x v="1"/>
    <x v="32"/>
    <n v="215"/>
    <n v="688"/>
  </r>
  <r>
    <x v="230"/>
    <x v="12"/>
    <x v="1"/>
    <x v="22"/>
    <n v="418"/>
    <n v="1337.6000000000001"/>
  </r>
  <r>
    <x v="230"/>
    <x v="14"/>
    <x v="1"/>
    <x v="17"/>
    <n v="340"/>
    <n v="1088"/>
  </r>
  <r>
    <x v="230"/>
    <x v="13"/>
    <x v="1"/>
    <x v="5"/>
    <n v="289"/>
    <n v="722.5"/>
  </r>
  <r>
    <x v="231"/>
    <x v="15"/>
    <x v="1"/>
    <x v="19"/>
    <n v="364"/>
    <n v="910"/>
  </r>
  <r>
    <x v="231"/>
    <x v="9"/>
    <x v="1"/>
    <x v="5"/>
    <n v="494"/>
    <n v="1729"/>
  </r>
  <r>
    <x v="231"/>
    <x v="9"/>
    <x v="1"/>
    <x v="17"/>
    <n v="226"/>
    <n v="791"/>
  </r>
  <r>
    <x v="231"/>
    <x v="14"/>
    <x v="1"/>
    <x v="48"/>
    <n v="29"/>
    <n v="92.800000000000011"/>
  </r>
  <r>
    <x v="231"/>
    <x v="9"/>
    <x v="1"/>
    <x v="49"/>
    <n v="225"/>
    <n v="787.5"/>
  </r>
  <r>
    <x v="232"/>
    <x v="9"/>
    <x v="1"/>
    <x v="37"/>
    <n v="128"/>
    <n v="448"/>
  </r>
  <r>
    <x v="232"/>
    <x v="12"/>
    <x v="1"/>
    <x v="3"/>
    <n v="333"/>
    <n v="1065.6000000000001"/>
  </r>
  <r>
    <x v="232"/>
    <x v="9"/>
    <x v="1"/>
    <x v="22"/>
    <n v="291"/>
    <n v="1018.5"/>
  </r>
  <r>
    <x v="232"/>
    <x v="9"/>
    <x v="1"/>
    <x v="34"/>
    <n v="397"/>
    <n v="1389.5"/>
  </r>
  <r>
    <x v="232"/>
    <x v="9"/>
    <x v="1"/>
    <x v="13"/>
    <n v="253"/>
    <n v="885.5"/>
  </r>
  <r>
    <x v="233"/>
    <x v="9"/>
    <x v="1"/>
    <x v="48"/>
    <n v="137"/>
    <n v="479.5"/>
  </r>
  <r>
    <x v="233"/>
    <x v="9"/>
    <x v="1"/>
    <x v="45"/>
    <n v="198"/>
    <n v="693"/>
  </r>
  <r>
    <x v="233"/>
    <x v="9"/>
    <x v="1"/>
    <x v="11"/>
    <n v="338"/>
    <n v="1183"/>
  </r>
  <r>
    <x v="233"/>
    <x v="12"/>
    <x v="1"/>
    <x v="49"/>
    <n v="226"/>
    <n v="723.2"/>
  </r>
  <r>
    <x v="233"/>
    <x v="12"/>
    <x v="1"/>
    <x v="16"/>
    <n v="280"/>
    <n v="896"/>
  </r>
  <r>
    <x v="233"/>
    <x v="14"/>
    <x v="1"/>
    <x v="48"/>
    <n v="415"/>
    <n v="1328"/>
  </r>
  <r>
    <x v="233"/>
    <x v="14"/>
    <x v="1"/>
    <x v="14"/>
    <n v="187"/>
    <n v="598.4"/>
  </r>
  <r>
    <x v="233"/>
    <x v="9"/>
    <x v="1"/>
    <x v="38"/>
    <n v="174"/>
    <n v="609"/>
  </r>
  <r>
    <x v="233"/>
    <x v="14"/>
    <x v="1"/>
    <x v="25"/>
    <n v="471"/>
    <n v="1507.2"/>
  </r>
  <r>
    <x v="233"/>
    <x v="14"/>
    <x v="1"/>
    <x v="26"/>
    <n v="131"/>
    <n v="419.20000000000005"/>
  </r>
  <r>
    <x v="234"/>
    <x v="13"/>
    <x v="1"/>
    <x v="3"/>
    <n v="238"/>
    <n v="595"/>
  </r>
  <r>
    <x v="234"/>
    <x v="12"/>
    <x v="1"/>
    <x v="39"/>
    <n v="433"/>
    <n v="1385.6000000000001"/>
  </r>
  <r>
    <x v="234"/>
    <x v="9"/>
    <x v="1"/>
    <x v="19"/>
    <n v="314"/>
    <n v="1099"/>
  </r>
  <r>
    <x v="234"/>
    <x v="12"/>
    <x v="1"/>
    <x v="6"/>
    <n v="90"/>
    <n v="288"/>
  </r>
  <r>
    <x v="234"/>
    <x v="12"/>
    <x v="1"/>
    <x v="42"/>
    <n v="95"/>
    <n v="304"/>
  </r>
  <r>
    <x v="234"/>
    <x v="14"/>
    <x v="1"/>
    <x v="16"/>
    <n v="408"/>
    <n v="1305.6000000000001"/>
  </r>
  <r>
    <x v="234"/>
    <x v="9"/>
    <x v="1"/>
    <x v="30"/>
    <n v="423"/>
    <n v="1480.5"/>
  </r>
  <r>
    <x v="234"/>
    <x v="14"/>
    <x v="1"/>
    <x v="39"/>
    <n v="179"/>
    <n v="572.80000000000007"/>
  </r>
  <r>
    <x v="234"/>
    <x v="14"/>
    <x v="1"/>
    <x v="41"/>
    <n v="400"/>
    <n v="1280"/>
  </r>
  <r>
    <x v="234"/>
    <x v="12"/>
    <x v="1"/>
    <x v="12"/>
    <n v="217"/>
    <n v="694.40000000000009"/>
  </r>
  <r>
    <x v="234"/>
    <x v="13"/>
    <x v="1"/>
    <x v="32"/>
    <n v="46"/>
    <n v="115"/>
  </r>
  <r>
    <x v="234"/>
    <x v="14"/>
    <x v="1"/>
    <x v="34"/>
    <n v="139"/>
    <n v="444.8"/>
  </r>
  <r>
    <x v="234"/>
    <x v="14"/>
    <x v="1"/>
    <x v="42"/>
    <n v="171"/>
    <n v="547.20000000000005"/>
  </r>
  <r>
    <x v="234"/>
    <x v="9"/>
    <x v="1"/>
    <x v="4"/>
    <n v="384"/>
    <n v="1344"/>
  </r>
  <r>
    <x v="234"/>
    <x v="14"/>
    <x v="1"/>
    <x v="15"/>
    <n v="374"/>
    <n v="1196.8"/>
  </r>
  <r>
    <x v="234"/>
    <x v="13"/>
    <x v="1"/>
    <x v="2"/>
    <n v="80"/>
    <n v="200"/>
  </r>
  <r>
    <x v="234"/>
    <x v="12"/>
    <x v="1"/>
    <x v="24"/>
    <n v="243"/>
    <n v="777.6"/>
  </r>
  <r>
    <x v="235"/>
    <x v="12"/>
    <x v="1"/>
    <x v="37"/>
    <n v="84"/>
    <n v="268.8"/>
  </r>
  <r>
    <x v="235"/>
    <x v="9"/>
    <x v="1"/>
    <x v="18"/>
    <n v="35"/>
    <n v="122.5"/>
  </r>
  <r>
    <x v="235"/>
    <x v="9"/>
    <x v="1"/>
    <x v="26"/>
    <n v="337"/>
    <n v="1179.5"/>
  </r>
  <r>
    <x v="235"/>
    <x v="9"/>
    <x v="1"/>
    <x v="25"/>
    <n v="312"/>
    <n v="1092"/>
  </r>
  <r>
    <x v="236"/>
    <x v="14"/>
    <x v="1"/>
    <x v="13"/>
    <n v="107"/>
    <n v="342.40000000000003"/>
  </r>
  <r>
    <x v="236"/>
    <x v="14"/>
    <x v="1"/>
    <x v="23"/>
    <n v="354"/>
    <n v="1132.8"/>
  </r>
  <r>
    <x v="236"/>
    <x v="14"/>
    <x v="1"/>
    <x v="17"/>
    <n v="372"/>
    <n v="1190.4000000000001"/>
  </r>
  <r>
    <x v="236"/>
    <x v="9"/>
    <x v="1"/>
    <x v="34"/>
    <n v="96"/>
    <n v="336"/>
  </r>
  <r>
    <x v="236"/>
    <x v="9"/>
    <x v="1"/>
    <x v="22"/>
    <n v="436"/>
    <n v="1526"/>
  </r>
  <r>
    <x v="236"/>
    <x v="12"/>
    <x v="1"/>
    <x v="33"/>
    <n v="181"/>
    <n v="579.20000000000005"/>
  </r>
  <r>
    <x v="236"/>
    <x v="13"/>
    <x v="1"/>
    <x v="6"/>
    <n v="170"/>
    <n v="425"/>
  </r>
  <r>
    <x v="236"/>
    <x v="12"/>
    <x v="1"/>
    <x v="39"/>
    <n v="132"/>
    <n v="422.40000000000003"/>
  </r>
  <r>
    <x v="236"/>
    <x v="12"/>
    <x v="1"/>
    <x v="7"/>
    <n v="135"/>
    <n v="432"/>
  </r>
  <r>
    <x v="236"/>
    <x v="15"/>
    <x v="1"/>
    <x v="18"/>
    <n v="177"/>
    <n v="442.5"/>
  </r>
  <r>
    <x v="236"/>
    <x v="9"/>
    <x v="1"/>
    <x v="15"/>
    <n v="259"/>
    <n v="906.5"/>
  </r>
  <r>
    <x v="237"/>
    <x v="9"/>
    <x v="1"/>
    <x v="26"/>
    <n v="163"/>
    <n v="570.5"/>
  </r>
  <r>
    <x v="237"/>
    <x v="9"/>
    <x v="1"/>
    <x v="32"/>
    <n v="465"/>
    <n v="1627.5"/>
  </r>
  <r>
    <x v="238"/>
    <x v="12"/>
    <x v="1"/>
    <x v="12"/>
    <n v="252"/>
    <n v="806.40000000000009"/>
  </r>
  <r>
    <x v="238"/>
    <x v="13"/>
    <x v="1"/>
    <x v="40"/>
    <n v="425"/>
    <n v="1062.5"/>
  </r>
  <r>
    <x v="238"/>
    <x v="14"/>
    <x v="1"/>
    <x v="34"/>
    <n v="124"/>
    <n v="396.8"/>
  </r>
  <r>
    <x v="239"/>
    <x v="9"/>
    <x v="1"/>
    <x v="39"/>
    <n v="268"/>
    <n v="938"/>
  </r>
  <r>
    <x v="239"/>
    <x v="13"/>
    <x v="1"/>
    <x v="49"/>
    <n v="460"/>
    <n v="1150"/>
  </r>
  <r>
    <x v="239"/>
    <x v="14"/>
    <x v="1"/>
    <x v="37"/>
    <n v="24"/>
    <n v="76.800000000000011"/>
  </r>
  <r>
    <x v="239"/>
    <x v="13"/>
    <x v="1"/>
    <x v="6"/>
    <n v="466"/>
    <n v="1165"/>
  </r>
  <r>
    <x v="239"/>
    <x v="15"/>
    <x v="1"/>
    <x v="29"/>
    <n v="260"/>
    <n v="650"/>
  </r>
  <r>
    <x v="239"/>
    <x v="15"/>
    <x v="1"/>
    <x v="47"/>
    <n v="343"/>
    <n v="857.5"/>
  </r>
  <r>
    <x v="239"/>
    <x v="9"/>
    <x v="1"/>
    <x v="31"/>
    <n v="430"/>
    <n v="1505"/>
  </r>
  <r>
    <x v="240"/>
    <x v="13"/>
    <x v="1"/>
    <x v="9"/>
    <n v="146"/>
    <n v="365"/>
  </r>
  <r>
    <x v="240"/>
    <x v="12"/>
    <x v="1"/>
    <x v="2"/>
    <n v="400"/>
    <n v="1280"/>
  </r>
  <r>
    <x v="240"/>
    <x v="14"/>
    <x v="1"/>
    <x v="27"/>
    <n v="306"/>
    <n v="979.2"/>
  </r>
  <r>
    <x v="240"/>
    <x v="14"/>
    <x v="1"/>
    <x v="36"/>
    <n v="340"/>
    <n v="1088"/>
  </r>
  <r>
    <x v="240"/>
    <x v="13"/>
    <x v="1"/>
    <x v="40"/>
    <n v="385"/>
    <n v="962.5"/>
  </r>
  <r>
    <x v="240"/>
    <x v="12"/>
    <x v="1"/>
    <x v="31"/>
    <n v="413"/>
    <n v="1321.6000000000001"/>
  </r>
  <r>
    <x v="240"/>
    <x v="12"/>
    <x v="1"/>
    <x v="49"/>
    <n v="343"/>
    <n v="1097.6000000000001"/>
  </r>
  <r>
    <x v="240"/>
    <x v="9"/>
    <x v="1"/>
    <x v="46"/>
    <n v="178"/>
    <n v="623"/>
  </r>
  <r>
    <x v="240"/>
    <x v="9"/>
    <x v="1"/>
    <x v="6"/>
    <n v="492"/>
    <n v="1722"/>
  </r>
  <r>
    <x v="240"/>
    <x v="12"/>
    <x v="1"/>
    <x v="9"/>
    <n v="468"/>
    <n v="1497.6000000000001"/>
  </r>
  <r>
    <x v="240"/>
    <x v="9"/>
    <x v="1"/>
    <x v="33"/>
    <n v="189"/>
    <n v="661.5"/>
  </r>
  <r>
    <x v="241"/>
    <x v="15"/>
    <x v="1"/>
    <x v="12"/>
    <n v="438"/>
    <n v="1095"/>
  </r>
  <r>
    <x v="241"/>
    <x v="15"/>
    <x v="1"/>
    <x v="49"/>
    <n v="305"/>
    <n v="762.5"/>
  </r>
  <r>
    <x v="242"/>
    <x v="9"/>
    <x v="1"/>
    <x v="4"/>
    <n v="141"/>
    <n v="493.5"/>
  </r>
  <r>
    <x v="242"/>
    <x v="9"/>
    <x v="1"/>
    <x v="24"/>
    <n v="238"/>
    <n v="833"/>
  </r>
  <r>
    <x v="242"/>
    <x v="15"/>
    <x v="1"/>
    <x v="13"/>
    <n v="425"/>
    <n v="1062.5"/>
  </r>
  <r>
    <x v="242"/>
    <x v="15"/>
    <x v="1"/>
    <x v="34"/>
    <n v="416"/>
    <n v="1040"/>
  </r>
  <r>
    <x v="242"/>
    <x v="14"/>
    <x v="1"/>
    <x v="47"/>
    <n v="32"/>
    <n v="102.4"/>
  </r>
  <r>
    <x v="242"/>
    <x v="14"/>
    <x v="1"/>
    <x v="46"/>
    <n v="292"/>
    <n v="934.40000000000009"/>
  </r>
  <r>
    <x v="242"/>
    <x v="9"/>
    <x v="1"/>
    <x v="3"/>
    <n v="475"/>
    <n v="1662.5"/>
  </r>
  <r>
    <x v="243"/>
    <x v="13"/>
    <x v="1"/>
    <x v="27"/>
    <n v="478"/>
    <n v="1195"/>
  </r>
  <r>
    <x v="243"/>
    <x v="9"/>
    <x v="1"/>
    <x v="29"/>
    <n v="395"/>
    <n v="1382.5"/>
  </r>
  <r>
    <x v="243"/>
    <x v="13"/>
    <x v="1"/>
    <x v="21"/>
    <n v="234"/>
    <n v="585"/>
  </r>
  <r>
    <x v="243"/>
    <x v="13"/>
    <x v="1"/>
    <x v="20"/>
    <n v="454"/>
    <n v="1135"/>
  </r>
  <r>
    <x v="243"/>
    <x v="13"/>
    <x v="1"/>
    <x v="12"/>
    <n v="379"/>
    <n v="947.5"/>
  </r>
  <r>
    <x v="243"/>
    <x v="15"/>
    <x v="1"/>
    <x v="34"/>
    <n v="17"/>
    <n v="42.5"/>
  </r>
  <r>
    <x v="244"/>
    <x v="13"/>
    <x v="1"/>
    <x v="3"/>
    <n v="232"/>
    <n v="580"/>
  </r>
  <r>
    <x v="244"/>
    <x v="9"/>
    <x v="1"/>
    <x v="26"/>
    <n v="499"/>
    <n v="1746.5"/>
  </r>
  <r>
    <x v="244"/>
    <x v="9"/>
    <x v="1"/>
    <x v="5"/>
    <n v="458"/>
    <n v="1603"/>
  </r>
  <r>
    <x v="244"/>
    <x v="12"/>
    <x v="1"/>
    <x v="31"/>
    <n v="110"/>
    <n v="352"/>
  </r>
  <r>
    <x v="244"/>
    <x v="15"/>
    <x v="1"/>
    <x v="37"/>
    <n v="254"/>
    <n v="635"/>
  </r>
  <r>
    <x v="245"/>
    <x v="13"/>
    <x v="1"/>
    <x v="6"/>
    <n v="346"/>
    <n v="865"/>
  </r>
  <r>
    <x v="245"/>
    <x v="13"/>
    <x v="1"/>
    <x v="31"/>
    <n v="423"/>
    <n v="1057.5"/>
  </r>
  <r>
    <x v="245"/>
    <x v="9"/>
    <x v="1"/>
    <x v="19"/>
    <n v="386"/>
    <n v="1351"/>
  </r>
  <r>
    <x v="245"/>
    <x v="9"/>
    <x v="1"/>
    <x v="32"/>
    <n v="487"/>
    <n v="1704.5"/>
  </r>
  <r>
    <x v="245"/>
    <x v="9"/>
    <x v="1"/>
    <x v="29"/>
    <n v="388"/>
    <n v="1358"/>
  </r>
  <r>
    <x v="245"/>
    <x v="9"/>
    <x v="1"/>
    <x v="12"/>
    <n v="168"/>
    <n v="588"/>
  </r>
  <r>
    <x v="245"/>
    <x v="9"/>
    <x v="1"/>
    <x v="49"/>
    <n v="356"/>
    <n v="1246"/>
  </r>
  <r>
    <x v="246"/>
    <x v="9"/>
    <x v="1"/>
    <x v="24"/>
    <n v="338"/>
    <n v="1183"/>
  </r>
  <r>
    <x v="246"/>
    <x v="12"/>
    <x v="1"/>
    <x v="26"/>
    <n v="86"/>
    <n v="275.2"/>
  </r>
  <r>
    <x v="246"/>
    <x v="14"/>
    <x v="1"/>
    <x v="40"/>
    <n v="251"/>
    <n v="803.2"/>
  </r>
  <r>
    <x v="246"/>
    <x v="15"/>
    <x v="1"/>
    <x v="35"/>
    <n v="30"/>
    <n v="75"/>
  </r>
  <r>
    <x v="246"/>
    <x v="15"/>
    <x v="1"/>
    <x v="13"/>
    <n v="364"/>
    <n v="910"/>
  </r>
  <r>
    <x v="246"/>
    <x v="9"/>
    <x v="1"/>
    <x v="11"/>
    <n v="396"/>
    <n v="1386"/>
  </r>
  <r>
    <x v="246"/>
    <x v="9"/>
    <x v="1"/>
    <x v="5"/>
    <n v="38"/>
    <n v="133"/>
  </r>
  <r>
    <x v="246"/>
    <x v="9"/>
    <x v="1"/>
    <x v="25"/>
    <n v="350"/>
    <n v="1225"/>
  </r>
  <r>
    <x v="246"/>
    <x v="12"/>
    <x v="1"/>
    <x v="46"/>
    <n v="263"/>
    <n v="841.6"/>
  </r>
  <r>
    <x v="246"/>
    <x v="12"/>
    <x v="1"/>
    <x v="44"/>
    <n v="208"/>
    <n v="665.6"/>
  </r>
  <r>
    <x v="246"/>
    <x v="14"/>
    <x v="1"/>
    <x v="33"/>
    <n v="253"/>
    <n v="809.6"/>
  </r>
  <r>
    <x v="246"/>
    <x v="14"/>
    <x v="1"/>
    <x v="44"/>
    <n v="361"/>
    <n v="1155.2"/>
  </r>
  <r>
    <x v="246"/>
    <x v="15"/>
    <x v="1"/>
    <x v="30"/>
    <n v="373"/>
    <n v="932.5"/>
  </r>
  <r>
    <x v="246"/>
    <x v="15"/>
    <x v="1"/>
    <x v="6"/>
    <n v="57"/>
    <n v="142.5"/>
  </r>
  <r>
    <x v="247"/>
    <x v="13"/>
    <x v="1"/>
    <x v="3"/>
    <n v="15"/>
    <n v="37.5"/>
  </r>
  <r>
    <x v="247"/>
    <x v="13"/>
    <x v="1"/>
    <x v="27"/>
    <n v="72"/>
    <n v="180"/>
  </r>
  <r>
    <x v="247"/>
    <x v="14"/>
    <x v="1"/>
    <x v="33"/>
    <n v="269"/>
    <n v="860.80000000000007"/>
  </r>
  <r>
    <x v="247"/>
    <x v="13"/>
    <x v="1"/>
    <x v="37"/>
    <n v="342"/>
    <n v="855"/>
  </r>
  <r>
    <x v="247"/>
    <x v="9"/>
    <x v="1"/>
    <x v="9"/>
    <n v="207"/>
    <n v="724.5"/>
  </r>
  <r>
    <x v="247"/>
    <x v="12"/>
    <x v="1"/>
    <x v="5"/>
    <n v="308"/>
    <n v="985.6"/>
  </r>
  <r>
    <x v="247"/>
    <x v="13"/>
    <x v="1"/>
    <x v="8"/>
    <n v="274"/>
    <n v="685"/>
  </r>
  <r>
    <x v="248"/>
    <x v="12"/>
    <x v="1"/>
    <x v="30"/>
    <n v="26"/>
    <n v="83.2"/>
  </r>
  <r>
    <x v="248"/>
    <x v="9"/>
    <x v="1"/>
    <x v="28"/>
    <n v="490"/>
    <n v="1715"/>
  </r>
  <r>
    <x v="248"/>
    <x v="9"/>
    <x v="1"/>
    <x v="5"/>
    <n v="52"/>
    <n v="182"/>
  </r>
  <r>
    <x v="248"/>
    <x v="14"/>
    <x v="1"/>
    <x v="48"/>
    <n v="457"/>
    <n v="1462.4"/>
  </r>
  <r>
    <x v="248"/>
    <x v="12"/>
    <x v="1"/>
    <x v="30"/>
    <n v="347"/>
    <n v="1110.4000000000001"/>
  </r>
  <r>
    <x v="248"/>
    <x v="15"/>
    <x v="1"/>
    <x v="32"/>
    <n v="24"/>
    <n v="60"/>
  </r>
  <r>
    <x v="248"/>
    <x v="13"/>
    <x v="1"/>
    <x v="9"/>
    <n v="117"/>
    <n v="292.5"/>
  </r>
  <r>
    <x v="249"/>
    <x v="15"/>
    <x v="1"/>
    <x v="32"/>
    <n v="376"/>
    <n v="940"/>
  </r>
  <r>
    <x v="249"/>
    <x v="12"/>
    <x v="1"/>
    <x v="35"/>
    <n v="398"/>
    <n v="1273.6000000000001"/>
  </r>
  <r>
    <x v="250"/>
    <x v="13"/>
    <x v="1"/>
    <x v="44"/>
    <n v="421"/>
    <n v="1052.5"/>
  </r>
  <r>
    <x v="250"/>
    <x v="9"/>
    <x v="1"/>
    <x v="34"/>
    <n v="27"/>
    <n v="94.5"/>
  </r>
  <r>
    <x v="250"/>
    <x v="15"/>
    <x v="1"/>
    <x v="45"/>
    <n v="259"/>
    <n v="647.5"/>
  </r>
  <r>
    <x v="250"/>
    <x v="9"/>
    <x v="1"/>
    <x v="17"/>
    <n v="248"/>
    <n v="868"/>
  </r>
  <r>
    <x v="250"/>
    <x v="14"/>
    <x v="1"/>
    <x v="26"/>
    <n v="415"/>
    <n v="1328"/>
  </r>
  <r>
    <x v="250"/>
    <x v="14"/>
    <x v="1"/>
    <x v="5"/>
    <n v="87"/>
    <n v="278.40000000000003"/>
  </r>
  <r>
    <x v="251"/>
    <x v="14"/>
    <x v="1"/>
    <x v="1"/>
    <n v="142"/>
    <n v="454.40000000000003"/>
  </r>
  <r>
    <x v="251"/>
    <x v="14"/>
    <x v="1"/>
    <x v="7"/>
    <n v="450"/>
    <n v="1440"/>
  </r>
  <r>
    <x v="251"/>
    <x v="14"/>
    <x v="1"/>
    <x v="32"/>
    <n v="357"/>
    <n v="1142.4000000000001"/>
  </r>
  <r>
    <x v="251"/>
    <x v="13"/>
    <x v="1"/>
    <x v="11"/>
    <n v="53"/>
    <n v="132.5"/>
  </r>
  <r>
    <x v="251"/>
    <x v="9"/>
    <x v="1"/>
    <x v="18"/>
    <n v="218"/>
    <n v="763"/>
  </r>
  <r>
    <x v="251"/>
    <x v="9"/>
    <x v="1"/>
    <x v="31"/>
    <n v="396"/>
    <n v="1386"/>
  </r>
  <r>
    <x v="251"/>
    <x v="9"/>
    <x v="1"/>
    <x v="18"/>
    <n v="148"/>
    <n v="518"/>
  </r>
  <r>
    <x v="251"/>
    <x v="13"/>
    <x v="1"/>
    <x v="15"/>
    <n v="315"/>
    <n v="787.5"/>
  </r>
  <r>
    <x v="251"/>
    <x v="9"/>
    <x v="1"/>
    <x v="20"/>
    <n v="102"/>
    <n v="357"/>
  </r>
  <r>
    <x v="252"/>
    <x v="13"/>
    <x v="1"/>
    <x v="2"/>
    <n v="47"/>
    <n v="117.5"/>
  </r>
  <r>
    <x v="252"/>
    <x v="14"/>
    <x v="1"/>
    <x v="21"/>
    <n v="336"/>
    <n v="1075.2"/>
  </r>
  <r>
    <x v="252"/>
    <x v="15"/>
    <x v="1"/>
    <x v="26"/>
    <n v="32"/>
    <n v="80"/>
  </r>
  <r>
    <x v="252"/>
    <x v="13"/>
    <x v="1"/>
    <x v="41"/>
    <n v="23"/>
    <n v="57.5"/>
  </r>
  <r>
    <x v="252"/>
    <x v="12"/>
    <x v="1"/>
    <x v="2"/>
    <n v="217"/>
    <n v="694.40000000000009"/>
  </r>
  <r>
    <x v="252"/>
    <x v="9"/>
    <x v="1"/>
    <x v="12"/>
    <n v="133"/>
    <n v="465.5"/>
  </r>
  <r>
    <x v="252"/>
    <x v="9"/>
    <x v="1"/>
    <x v="6"/>
    <n v="478"/>
    <n v="1673"/>
  </r>
  <r>
    <x v="252"/>
    <x v="12"/>
    <x v="1"/>
    <x v="33"/>
    <n v="281"/>
    <n v="899.2"/>
  </r>
  <r>
    <x v="252"/>
    <x v="9"/>
    <x v="1"/>
    <x v="13"/>
    <n v="167"/>
    <n v="584.5"/>
  </r>
  <r>
    <x v="253"/>
    <x v="9"/>
    <x v="1"/>
    <x v="25"/>
    <n v="69"/>
    <n v="241.5"/>
  </r>
  <r>
    <x v="253"/>
    <x v="13"/>
    <x v="1"/>
    <x v="12"/>
    <n v="455"/>
    <n v="1137.5"/>
  </r>
  <r>
    <x v="253"/>
    <x v="13"/>
    <x v="1"/>
    <x v="39"/>
    <n v="492"/>
    <n v="1230"/>
  </r>
  <r>
    <x v="253"/>
    <x v="9"/>
    <x v="1"/>
    <x v="28"/>
    <n v="339"/>
    <n v="1186.5"/>
  </r>
  <r>
    <x v="254"/>
    <x v="13"/>
    <x v="1"/>
    <x v="30"/>
    <n v="192"/>
    <n v="480"/>
  </r>
  <r>
    <x v="254"/>
    <x v="12"/>
    <x v="1"/>
    <x v="46"/>
    <n v="489"/>
    <n v="1564.8000000000002"/>
  </r>
  <r>
    <x v="254"/>
    <x v="15"/>
    <x v="1"/>
    <x v="33"/>
    <n v="420"/>
    <n v="1050"/>
  </r>
  <r>
    <x v="254"/>
    <x v="9"/>
    <x v="1"/>
    <x v="10"/>
    <n v="369"/>
    <n v="1291.5"/>
  </r>
  <r>
    <x v="255"/>
    <x v="9"/>
    <x v="1"/>
    <x v="0"/>
    <n v="164"/>
    <n v="574"/>
  </r>
  <r>
    <x v="255"/>
    <x v="13"/>
    <x v="1"/>
    <x v="5"/>
    <n v="405"/>
    <n v="1012.5"/>
  </r>
  <r>
    <x v="255"/>
    <x v="9"/>
    <x v="1"/>
    <x v="28"/>
    <n v="251"/>
    <n v="878.5"/>
  </r>
  <r>
    <x v="255"/>
    <x v="12"/>
    <x v="1"/>
    <x v="19"/>
    <n v="316"/>
    <n v="1011.2"/>
  </r>
  <r>
    <x v="255"/>
    <x v="13"/>
    <x v="1"/>
    <x v="13"/>
    <n v="92"/>
    <n v="230"/>
  </r>
  <r>
    <x v="255"/>
    <x v="13"/>
    <x v="1"/>
    <x v="6"/>
    <n v="101"/>
    <n v="252.5"/>
  </r>
  <r>
    <x v="255"/>
    <x v="9"/>
    <x v="1"/>
    <x v="44"/>
    <n v="395"/>
    <n v="1382.5"/>
  </r>
  <r>
    <x v="255"/>
    <x v="14"/>
    <x v="1"/>
    <x v="12"/>
    <n v="365"/>
    <n v="1168"/>
  </r>
  <r>
    <x v="255"/>
    <x v="13"/>
    <x v="1"/>
    <x v="8"/>
    <n v="283"/>
    <n v="707.5"/>
  </r>
  <r>
    <x v="255"/>
    <x v="13"/>
    <x v="1"/>
    <x v="5"/>
    <n v="361"/>
    <n v="902.5"/>
  </r>
  <r>
    <x v="256"/>
    <x v="15"/>
    <x v="1"/>
    <x v="35"/>
    <n v="249"/>
    <n v="622.5"/>
  </r>
  <r>
    <x v="256"/>
    <x v="12"/>
    <x v="1"/>
    <x v="15"/>
    <n v="358"/>
    <n v="1145.6000000000001"/>
  </r>
  <r>
    <x v="256"/>
    <x v="15"/>
    <x v="1"/>
    <x v="37"/>
    <n v="329"/>
    <n v="822.5"/>
  </r>
  <r>
    <x v="256"/>
    <x v="9"/>
    <x v="1"/>
    <x v="40"/>
    <n v="67"/>
    <n v="234.5"/>
  </r>
  <r>
    <x v="256"/>
    <x v="15"/>
    <x v="1"/>
    <x v="3"/>
    <n v="102"/>
    <n v="255"/>
  </r>
  <r>
    <x v="256"/>
    <x v="15"/>
    <x v="1"/>
    <x v="34"/>
    <n v="305"/>
    <n v="762.5"/>
  </r>
  <r>
    <x v="257"/>
    <x v="9"/>
    <x v="1"/>
    <x v="6"/>
    <n v="228"/>
    <n v="798"/>
  </r>
  <r>
    <x v="257"/>
    <x v="12"/>
    <x v="1"/>
    <x v="47"/>
    <n v="86"/>
    <n v="275.2"/>
  </r>
  <r>
    <x v="257"/>
    <x v="9"/>
    <x v="1"/>
    <x v="3"/>
    <n v="133"/>
    <n v="465.5"/>
  </r>
  <r>
    <x v="257"/>
    <x v="9"/>
    <x v="1"/>
    <x v="15"/>
    <n v="226"/>
    <n v="791"/>
  </r>
  <r>
    <x v="257"/>
    <x v="9"/>
    <x v="1"/>
    <x v="45"/>
    <n v="66"/>
    <n v="231"/>
  </r>
  <r>
    <x v="257"/>
    <x v="14"/>
    <x v="1"/>
    <x v="23"/>
    <n v="10"/>
    <n v="32"/>
  </r>
  <r>
    <x v="257"/>
    <x v="15"/>
    <x v="1"/>
    <x v="2"/>
    <n v="80"/>
    <n v="200"/>
  </r>
  <r>
    <x v="257"/>
    <x v="15"/>
    <x v="1"/>
    <x v="39"/>
    <n v="19"/>
    <n v="47.5"/>
  </r>
  <r>
    <x v="257"/>
    <x v="13"/>
    <x v="1"/>
    <x v="44"/>
    <n v="242"/>
    <n v="605"/>
  </r>
  <r>
    <x v="257"/>
    <x v="14"/>
    <x v="1"/>
    <x v="36"/>
    <n v="477"/>
    <n v="1526.4"/>
  </r>
  <r>
    <x v="257"/>
    <x v="14"/>
    <x v="1"/>
    <x v="2"/>
    <n v="344"/>
    <n v="1100.8"/>
  </r>
  <r>
    <x v="257"/>
    <x v="9"/>
    <x v="1"/>
    <x v="11"/>
    <n v="287"/>
    <n v="1004.5"/>
  </r>
  <r>
    <x v="257"/>
    <x v="15"/>
    <x v="1"/>
    <x v="17"/>
    <n v="395"/>
    <n v="987.5"/>
  </r>
  <r>
    <x v="257"/>
    <x v="12"/>
    <x v="1"/>
    <x v="15"/>
    <n v="479"/>
    <n v="1532.8000000000002"/>
  </r>
  <r>
    <x v="257"/>
    <x v="14"/>
    <x v="1"/>
    <x v="48"/>
    <n v="403"/>
    <n v="1289.6000000000001"/>
  </r>
  <r>
    <x v="258"/>
    <x v="14"/>
    <x v="1"/>
    <x v="18"/>
    <n v="38"/>
    <n v="121.60000000000001"/>
  </r>
  <r>
    <x v="258"/>
    <x v="9"/>
    <x v="1"/>
    <x v="6"/>
    <n v="500"/>
    <n v="1750"/>
  </r>
  <r>
    <x v="258"/>
    <x v="15"/>
    <x v="1"/>
    <x v="15"/>
    <n v="174"/>
    <n v="435"/>
  </r>
  <r>
    <x v="258"/>
    <x v="12"/>
    <x v="1"/>
    <x v="32"/>
    <n v="243"/>
    <n v="777.6"/>
  </r>
  <r>
    <x v="258"/>
    <x v="9"/>
    <x v="1"/>
    <x v="12"/>
    <n v="284"/>
    <n v="994"/>
  </r>
  <r>
    <x v="258"/>
    <x v="15"/>
    <x v="1"/>
    <x v="8"/>
    <n v="259"/>
    <n v="647.5"/>
  </r>
  <r>
    <x v="258"/>
    <x v="15"/>
    <x v="1"/>
    <x v="0"/>
    <n v="415"/>
    <n v="1037.5"/>
  </r>
  <r>
    <x v="258"/>
    <x v="13"/>
    <x v="1"/>
    <x v="24"/>
    <n v="194"/>
    <n v="485"/>
  </r>
  <r>
    <x v="258"/>
    <x v="15"/>
    <x v="1"/>
    <x v="18"/>
    <n v="426"/>
    <n v="1065"/>
  </r>
  <r>
    <x v="258"/>
    <x v="14"/>
    <x v="1"/>
    <x v="46"/>
    <n v="41"/>
    <n v="131.20000000000002"/>
  </r>
  <r>
    <x v="258"/>
    <x v="9"/>
    <x v="1"/>
    <x v="45"/>
    <n v="280"/>
    <n v="980"/>
  </r>
  <r>
    <x v="258"/>
    <x v="13"/>
    <x v="1"/>
    <x v="35"/>
    <n v="267"/>
    <n v="667.5"/>
  </r>
  <r>
    <x v="258"/>
    <x v="12"/>
    <x v="1"/>
    <x v="43"/>
    <n v="370"/>
    <n v="1184"/>
  </r>
  <r>
    <x v="258"/>
    <x v="14"/>
    <x v="1"/>
    <x v="32"/>
    <n v="115"/>
    <n v="368"/>
  </r>
  <r>
    <x v="258"/>
    <x v="12"/>
    <x v="1"/>
    <x v="19"/>
    <n v="446"/>
    <n v="1427.2"/>
  </r>
  <r>
    <x v="258"/>
    <x v="13"/>
    <x v="1"/>
    <x v="37"/>
    <n v="127"/>
    <n v="317.5"/>
  </r>
  <r>
    <x v="258"/>
    <x v="13"/>
    <x v="1"/>
    <x v="23"/>
    <n v="246"/>
    <n v="615"/>
  </r>
  <r>
    <x v="258"/>
    <x v="13"/>
    <x v="1"/>
    <x v="38"/>
    <n v="98"/>
    <n v="245"/>
  </r>
  <r>
    <x v="258"/>
    <x v="15"/>
    <x v="1"/>
    <x v="20"/>
    <n v="475"/>
    <n v="1187.5"/>
  </r>
  <r>
    <x v="259"/>
    <x v="9"/>
    <x v="1"/>
    <x v="44"/>
    <n v="444"/>
    <n v="1554"/>
  </r>
  <r>
    <x v="259"/>
    <x v="9"/>
    <x v="1"/>
    <x v="25"/>
    <n v="244"/>
    <n v="854"/>
  </r>
  <r>
    <x v="259"/>
    <x v="15"/>
    <x v="1"/>
    <x v="38"/>
    <n v="424"/>
    <n v="1060"/>
  </r>
  <r>
    <x v="259"/>
    <x v="15"/>
    <x v="1"/>
    <x v="15"/>
    <n v="390"/>
    <n v="975"/>
  </r>
  <r>
    <x v="259"/>
    <x v="12"/>
    <x v="1"/>
    <x v="36"/>
    <n v="128"/>
    <n v="409.6"/>
  </r>
  <r>
    <x v="260"/>
    <x v="14"/>
    <x v="1"/>
    <x v="11"/>
    <n v="190"/>
    <n v="608"/>
  </r>
  <r>
    <x v="260"/>
    <x v="14"/>
    <x v="1"/>
    <x v="37"/>
    <n v="298"/>
    <n v="953.6"/>
  </r>
  <r>
    <x v="260"/>
    <x v="12"/>
    <x v="1"/>
    <x v="27"/>
    <n v="282"/>
    <n v="902.40000000000009"/>
  </r>
  <r>
    <x v="260"/>
    <x v="15"/>
    <x v="1"/>
    <x v="45"/>
    <n v="403"/>
    <n v="1007.5"/>
  </r>
  <r>
    <x v="260"/>
    <x v="12"/>
    <x v="1"/>
    <x v="24"/>
    <n v="327"/>
    <n v="1046.4000000000001"/>
  </r>
  <r>
    <x v="260"/>
    <x v="13"/>
    <x v="1"/>
    <x v="34"/>
    <n v="236"/>
    <n v="590"/>
  </r>
  <r>
    <x v="261"/>
    <x v="12"/>
    <x v="1"/>
    <x v="9"/>
    <n v="413"/>
    <n v="1321.6000000000001"/>
  </r>
  <r>
    <x v="261"/>
    <x v="13"/>
    <x v="1"/>
    <x v="2"/>
    <n v="207"/>
    <n v="517.5"/>
  </r>
  <r>
    <x v="261"/>
    <x v="14"/>
    <x v="1"/>
    <x v="48"/>
    <n v="68"/>
    <n v="217.60000000000002"/>
  </r>
  <r>
    <x v="261"/>
    <x v="9"/>
    <x v="1"/>
    <x v="38"/>
    <n v="169"/>
    <n v="591.5"/>
  </r>
  <r>
    <x v="262"/>
    <x v="14"/>
    <x v="1"/>
    <x v="46"/>
    <n v="179"/>
    <n v="572.80000000000007"/>
  </r>
  <r>
    <x v="262"/>
    <x v="12"/>
    <x v="1"/>
    <x v="19"/>
    <n v="467"/>
    <n v="1494.4"/>
  </r>
  <r>
    <x v="262"/>
    <x v="13"/>
    <x v="1"/>
    <x v="14"/>
    <n v="25"/>
    <n v="62.5"/>
  </r>
  <r>
    <x v="262"/>
    <x v="9"/>
    <x v="1"/>
    <x v="15"/>
    <n v="214"/>
    <n v="749"/>
  </r>
  <r>
    <x v="262"/>
    <x v="9"/>
    <x v="1"/>
    <x v="42"/>
    <n v="401"/>
    <n v="1403.5"/>
  </r>
  <r>
    <x v="262"/>
    <x v="13"/>
    <x v="1"/>
    <x v="25"/>
    <n v="224"/>
    <n v="560"/>
  </r>
  <r>
    <x v="262"/>
    <x v="15"/>
    <x v="1"/>
    <x v="30"/>
    <n v="426"/>
    <n v="1065"/>
  </r>
  <r>
    <x v="262"/>
    <x v="13"/>
    <x v="1"/>
    <x v="6"/>
    <n v="393"/>
    <n v="982.5"/>
  </r>
  <r>
    <x v="262"/>
    <x v="14"/>
    <x v="1"/>
    <x v="41"/>
    <n v="119"/>
    <n v="380.8"/>
  </r>
  <r>
    <x v="262"/>
    <x v="9"/>
    <x v="1"/>
    <x v="32"/>
    <n v="250"/>
    <n v="875"/>
  </r>
  <r>
    <x v="262"/>
    <x v="14"/>
    <x v="1"/>
    <x v="48"/>
    <n v="178"/>
    <n v="569.6"/>
  </r>
  <r>
    <x v="263"/>
    <x v="14"/>
    <x v="1"/>
    <x v="10"/>
    <n v="473"/>
    <n v="1513.6000000000001"/>
  </r>
  <r>
    <x v="263"/>
    <x v="12"/>
    <x v="1"/>
    <x v="3"/>
    <n v="459"/>
    <n v="1468.8000000000002"/>
  </r>
  <r>
    <x v="263"/>
    <x v="9"/>
    <x v="1"/>
    <x v="47"/>
    <n v="333"/>
    <n v="1165.5"/>
  </r>
  <r>
    <x v="263"/>
    <x v="14"/>
    <x v="1"/>
    <x v="12"/>
    <n v="178"/>
    <n v="569.6"/>
  </r>
  <r>
    <x v="263"/>
    <x v="9"/>
    <x v="1"/>
    <x v="9"/>
    <n v="482"/>
    <n v="1687"/>
  </r>
  <r>
    <x v="263"/>
    <x v="12"/>
    <x v="1"/>
    <x v="16"/>
    <n v="443"/>
    <n v="1417.6000000000001"/>
  </r>
  <r>
    <x v="263"/>
    <x v="14"/>
    <x v="1"/>
    <x v="3"/>
    <n v="297"/>
    <n v="950.40000000000009"/>
  </r>
  <r>
    <x v="263"/>
    <x v="14"/>
    <x v="1"/>
    <x v="34"/>
    <n v="279"/>
    <n v="892.80000000000007"/>
  </r>
  <r>
    <x v="264"/>
    <x v="14"/>
    <x v="1"/>
    <x v="25"/>
    <n v="369"/>
    <n v="1180.8"/>
  </r>
  <r>
    <x v="264"/>
    <x v="9"/>
    <x v="1"/>
    <x v="2"/>
    <n v="136"/>
    <n v="476"/>
  </r>
  <r>
    <x v="264"/>
    <x v="12"/>
    <x v="1"/>
    <x v="28"/>
    <n v="23"/>
    <n v="73.600000000000009"/>
  </r>
  <r>
    <x v="264"/>
    <x v="9"/>
    <x v="1"/>
    <x v="33"/>
    <n v="413"/>
    <n v="1445.5"/>
  </r>
  <r>
    <x v="264"/>
    <x v="12"/>
    <x v="1"/>
    <x v="0"/>
    <n v="178"/>
    <n v="569.6"/>
  </r>
  <r>
    <x v="264"/>
    <x v="14"/>
    <x v="1"/>
    <x v="42"/>
    <n v="325"/>
    <n v="1040"/>
  </r>
  <r>
    <x v="264"/>
    <x v="15"/>
    <x v="1"/>
    <x v="48"/>
    <n v="435"/>
    <n v="1087.5"/>
  </r>
  <r>
    <x v="264"/>
    <x v="9"/>
    <x v="1"/>
    <x v="49"/>
    <n v="261"/>
    <n v="913.5"/>
  </r>
  <r>
    <x v="264"/>
    <x v="13"/>
    <x v="1"/>
    <x v="26"/>
    <n v="239"/>
    <n v="597.5"/>
  </r>
  <r>
    <x v="264"/>
    <x v="13"/>
    <x v="1"/>
    <x v="20"/>
    <n v="70"/>
    <n v="175"/>
  </r>
  <r>
    <x v="264"/>
    <x v="13"/>
    <x v="1"/>
    <x v="16"/>
    <n v="454"/>
    <n v="1135"/>
  </r>
  <r>
    <x v="264"/>
    <x v="12"/>
    <x v="1"/>
    <x v="42"/>
    <n v="164"/>
    <n v="524.80000000000007"/>
  </r>
  <r>
    <x v="264"/>
    <x v="12"/>
    <x v="1"/>
    <x v="5"/>
    <n v="488"/>
    <n v="1561.6000000000001"/>
  </r>
  <r>
    <x v="265"/>
    <x v="9"/>
    <x v="1"/>
    <x v="1"/>
    <n v="161"/>
    <n v="563.5"/>
  </r>
  <r>
    <x v="265"/>
    <x v="9"/>
    <x v="1"/>
    <x v="46"/>
    <n v="311"/>
    <n v="1088.5"/>
  </r>
  <r>
    <x v="265"/>
    <x v="14"/>
    <x v="1"/>
    <x v="0"/>
    <n v="351"/>
    <n v="1123.2"/>
  </r>
  <r>
    <x v="265"/>
    <x v="14"/>
    <x v="1"/>
    <x v="41"/>
    <n v="127"/>
    <n v="406.40000000000003"/>
  </r>
  <r>
    <x v="266"/>
    <x v="9"/>
    <x v="1"/>
    <x v="32"/>
    <n v="349"/>
    <n v="1221.5"/>
  </r>
  <r>
    <x v="266"/>
    <x v="15"/>
    <x v="1"/>
    <x v="5"/>
    <n v="244"/>
    <n v="610"/>
  </r>
  <r>
    <x v="266"/>
    <x v="12"/>
    <x v="1"/>
    <x v="14"/>
    <n v="77"/>
    <n v="246.4"/>
  </r>
  <r>
    <x v="266"/>
    <x v="13"/>
    <x v="1"/>
    <x v="26"/>
    <n v="167"/>
    <n v="417.5"/>
  </r>
  <r>
    <x v="266"/>
    <x v="14"/>
    <x v="1"/>
    <x v="39"/>
    <n v="318"/>
    <n v="1017.6"/>
  </r>
  <r>
    <x v="266"/>
    <x v="13"/>
    <x v="1"/>
    <x v="4"/>
    <n v="465"/>
    <n v="1162.5"/>
  </r>
  <r>
    <x v="266"/>
    <x v="9"/>
    <x v="1"/>
    <x v="13"/>
    <n v="94"/>
    <n v="329"/>
  </r>
  <r>
    <x v="267"/>
    <x v="9"/>
    <x v="1"/>
    <x v="18"/>
    <n v="437"/>
    <n v="1529.5"/>
  </r>
  <r>
    <x v="267"/>
    <x v="13"/>
    <x v="1"/>
    <x v="49"/>
    <n v="357"/>
    <n v="892.5"/>
  </r>
  <r>
    <x v="267"/>
    <x v="9"/>
    <x v="1"/>
    <x v="4"/>
    <n v="349"/>
    <n v="1221.5"/>
  </r>
  <r>
    <x v="267"/>
    <x v="15"/>
    <x v="1"/>
    <x v="25"/>
    <n v="407"/>
    <n v="1017.5"/>
  </r>
  <r>
    <x v="267"/>
    <x v="14"/>
    <x v="1"/>
    <x v="33"/>
    <n v="66"/>
    <n v="211.20000000000002"/>
  </r>
  <r>
    <x v="267"/>
    <x v="15"/>
    <x v="1"/>
    <x v="17"/>
    <n v="286"/>
    <n v="715"/>
  </r>
  <r>
    <x v="268"/>
    <x v="13"/>
    <x v="1"/>
    <x v="0"/>
    <n v="415"/>
    <n v="1037.5"/>
  </r>
  <r>
    <x v="268"/>
    <x v="13"/>
    <x v="1"/>
    <x v="36"/>
    <n v="10"/>
    <n v="25"/>
  </r>
  <r>
    <x v="268"/>
    <x v="15"/>
    <x v="1"/>
    <x v="8"/>
    <n v="242"/>
    <n v="605"/>
  </r>
  <r>
    <x v="269"/>
    <x v="12"/>
    <x v="1"/>
    <x v="2"/>
    <n v="487"/>
    <n v="1558.4"/>
  </r>
  <r>
    <x v="269"/>
    <x v="14"/>
    <x v="1"/>
    <x v="4"/>
    <n v="262"/>
    <n v="838.40000000000009"/>
  </r>
  <r>
    <x v="269"/>
    <x v="14"/>
    <x v="1"/>
    <x v="49"/>
    <n v="406"/>
    <n v="1299.2"/>
  </r>
  <r>
    <x v="269"/>
    <x v="14"/>
    <x v="1"/>
    <x v="44"/>
    <n v="172"/>
    <n v="550.4"/>
  </r>
  <r>
    <x v="269"/>
    <x v="12"/>
    <x v="1"/>
    <x v="10"/>
    <n v="52"/>
    <n v="166.4"/>
  </r>
  <r>
    <x v="270"/>
    <x v="9"/>
    <x v="1"/>
    <x v="47"/>
    <n v="223"/>
    <n v="780.5"/>
  </r>
  <r>
    <x v="270"/>
    <x v="9"/>
    <x v="1"/>
    <x v="0"/>
    <n v="65"/>
    <n v="227.5"/>
  </r>
  <r>
    <x v="270"/>
    <x v="9"/>
    <x v="1"/>
    <x v="42"/>
    <n v="405"/>
    <n v="1417.5"/>
  </r>
  <r>
    <x v="270"/>
    <x v="13"/>
    <x v="1"/>
    <x v="2"/>
    <n v="90"/>
    <n v="225"/>
  </r>
  <r>
    <x v="270"/>
    <x v="13"/>
    <x v="1"/>
    <x v="6"/>
    <n v="416"/>
    <n v="1040"/>
  </r>
  <r>
    <x v="270"/>
    <x v="9"/>
    <x v="1"/>
    <x v="22"/>
    <n v="43"/>
    <n v="150.5"/>
  </r>
  <r>
    <x v="270"/>
    <x v="12"/>
    <x v="1"/>
    <x v="26"/>
    <n v="423"/>
    <n v="1353.6000000000001"/>
  </r>
  <r>
    <x v="270"/>
    <x v="9"/>
    <x v="1"/>
    <x v="27"/>
    <n v="172"/>
    <n v="602"/>
  </r>
  <r>
    <x v="270"/>
    <x v="9"/>
    <x v="1"/>
    <x v="24"/>
    <n v="484"/>
    <n v="1694"/>
  </r>
  <r>
    <x v="270"/>
    <x v="14"/>
    <x v="1"/>
    <x v="13"/>
    <n v="401"/>
    <n v="1283.2"/>
  </r>
  <r>
    <x v="270"/>
    <x v="9"/>
    <x v="1"/>
    <x v="35"/>
    <n v="230"/>
    <n v="805"/>
  </r>
  <r>
    <x v="270"/>
    <x v="9"/>
    <x v="1"/>
    <x v="25"/>
    <n v="224"/>
    <n v="784"/>
  </r>
  <r>
    <x v="271"/>
    <x v="12"/>
    <x v="1"/>
    <x v="44"/>
    <n v="264"/>
    <n v="844.80000000000007"/>
  </r>
  <r>
    <x v="271"/>
    <x v="9"/>
    <x v="1"/>
    <x v="9"/>
    <n v="276"/>
    <n v="966"/>
  </r>
  <r>
    <x v="271"/>
    <x v="14"/>
    <x v="1"/>
    <x v="49"/>
    <n v="72"/>
    <n v="230.4"/>
  </r>
  <r>
    <x v="271"/>
    <x v="15"/>
    <x v="1"/>
    <x v="47"/>
    <n v="376"/>
    <n v="940"/>
  </r>
  <r>
    <x v="271"/>
    <x v="15"/>
    <x v="1"/>
    <x v="47"/>
    <n v="494"/>
    <n v="1235"/>
  </r>
  <r>
    <x v="271"/>
    <x v="15"/>
    <x v="1"/>
    <x v="31"/>
    <n v="365"/>
    <n v="912.5"/>
  </r>
  <r>
    <x v="271"/>
    <x v="9"/>
    <x v="1"/>
    <x v="45"/>
    <n v="217"/>
    <n v="759.5"/>
  </r>
  <r>
    <x v="271"/>
    <x v="12"/>
    <x v="1"/>
    <x v="8"/>
    <n v="462"/>
    <n v="1478.4"/>
  </r>
  <r>
    <x v="271"/>
    <x v="15"/>
    <x v="1"/>
    <x v="27"/>
    <n v="465"/>
    <n v="1162.5"/>
  </r>
  <r>
    <x v="272"/>
    <x v="14"/>
    <x v="1"/>
    <x v="32"/>
    <n v="353"/>
    <n v="1129.6000000000001"/>
  </r>
  <r>
    <x v="272"/>
    <x v="9"/>
    <x v="1"/>
    <x v="0"/>
    <n v="376"/>
    <n v="1316"/>
  </r>
  <r>
    <x v="272"/>
    <x v="9"/>
    <x v="1"/>
    <x v="35"/>
    <n v="440"/>
    <n v="1540"/>
  </r>
  <r>
    <x v="272"/>
    <x v="13"/>
    <x v="1"/>
    <x v="29"/>
    <n v="42"/>
    <n v="105"/>
  </r>
  <r>
    <x v="272"/>
    <x v="9"/>
    <x v="1"/>
    <x v="27"/>
    <n v="356"/>
    <n v="1246"/>
  </r>
  <r>
    <x v="272"/>
    <x v="13"/>
    <x v="1"/>
    <x v="37"/>
    <n v="109"/>
    <n v="272.5"/>
  </r>
  <r>
    <x v="272"/>
    <x v="13"/>
    <x v="1"/>
    <x v="45"/>
    <n v="372"/>
    <n v="930"/>
  </r>
  <r>
    <x v="273"/>
    <x v="13"/>
    <x v="1"/>
    <x v="28"/>
    <n v="244"/>
    <n v="610"/>
  </r>
  <r>
    <x v="273"/>
    <x v="14"/>
    <x v="1"/>
    <x v="5"/>
    <n v="469"/>
    <n v="1500.8000000000002"/>
  </r>
  <r>
    <x v="273"/>
    <x v="9"/>
    <x v="1"/>
    <x v="44"/>
    <n v="172"/>
    <n v="602"/>
  </r>
  <r>
    <x v="273"/>
    <x v="9"/>
    <x v="1"/>
    <x v="7"/>
    <n v="452"/>
    <n v="1582"/>
  </r>
  <r>
    <x v="273"/>
    <x v="15"/>
    <x v="1"/>
    <x v="25"/>
    <n v="46"/>
    <n v="115"/>
  </r>
  <r>
    <x v="273"/>
    <x v="9"/>
    <x v="1"/>
    <x v="32"/>
    <n v="288"/>
    <n v="1008"/>
  </r>
  <r>
    <x v="274"/>
    <x v="15"/>
    <x v="1"/>
    <x v="40"/>
    <n v="239"/>
    <n v="597.5"/>
  </r>
  <r>
    <x v="274"/>
    <x v="15"/>
    <x v="1"/>
    <x v="26"/>
    <n v="246"/>
    <n v="615"/>
  </r>
  <r>
    <x v="274"/>
    <x v="15"/>
    <x v="1"/>
    <x v="48"/>
    <n v="238"/>
    <n v="595"/>
  </r>
  <r>
    <x v="274"/>
    <x v="9"/>
    <x v="1"/>
    <x v="46"/>
    <n v="16"/>
    <n v="56"/>
  </r>
  <r>
    <x v="274"/>
    <x v="12"/>
    <x v="1"/>
    <x v="24"/>
    <n v="424"/>
    <n v="1356.8000000000002"/>
  </r>
  <r>
    <x v="274"/>
    <x v="9"/>
    <x v="1"/>
    <x v="40"/>
    <n v="388"/>
    <n v="1358"/>
  </r>
  <r>
    <x v="274"/>
    <x v="14"/>
    <x v="1"/>
    <x v="11"/>
    <n v="462"/>
    <n v="1478.4"/>
  </r>
  <r>
    <x v="274"/>
    <x v="12"/>
    <x v="1"/>
    <x v="3"/>
    <n v="72"/>
    <n v="230.4"/>
  </r>
  <r>
    <x v="274"/>
    <x v="12"/>
    <x v="1"/>
    <x v="38"/>
    <n v="325"/>
    <n v="1040"/>
  </r>
  <r>
    <x v="274"/>
    <x v="15"/>
    <x v="1"/>
    <x v="46"/>
    <n v="417"/>
    <n v="1042.5"/>
  </r>
  <r>
    <x v="275"/>
    <x v="9"/>
    <x v="1"/>
    <x v="33"/>
    <n v="410"/>
    <n v="1435"/>
  </r>
  <r>
    <x v="275"/>
    <x v="9"/>
    <x v="1"/>
    <x v="29"/>
    <n v="341"/>
    <n v="1193.5"/>
  </r>
  <r>
    <x v="275"/>
    <x v="15"/>
    <x v="1"/>
    <x v="30"/>
    <n v="340"/>
    <n v="850"/>
  </r>
  <r>
    <x v="275"/>
    <x v="9"/>
    <x v="1"/>
    <x v="35"/>
    <n v="84"/>
    <n v="294"/>
  </r>
  <r>
    <x v="275"/>
    <x v="15"/>
    <x v="1"/>
    <x v="5"/>
    <n v="396"/>
    <n v="990"/>
  </r>
  <r>
    <x v="275"/>
    <x v="9"/>
    <x v="1"/>
    <x v="33"/>
    <n v="320"/>
    <n v="1120"/>
  </r>
  <r>
    <x v="275"/>
    <x v="9"/>
    <x v="1"/>
    <x v="36"/>
    <n v="189"/>
    <n v="661.5"/>
  </r>
  <r>
    <x v="275"/>
    <x v="15"/>
    <x v="1"/>
    <x v="35"/>
    <n v="16"/>
    <n v="40"/>
  </r>
  <r>
    <x v="275"/>
    <x v="9"/>
    <x v="1"/>
    <x v="47"/>
    <n v="153"/>
    <n v="535.5"/>
  </r>
  <r>
    <x v="275"/>
    <x v="9"/>
    <x v="1"/>
    <x v="10"/>
    <n v="263"/>
    <n v="920.5"/>
  </r>
  <r>
    <x v="275"/>
    <x v="12"/>
    <x v="1"/>
    <x v="6"/>
    <n v="272"/>
    <n v="870.40000000000009"/>
  </r>
  <r>
    <x v="276"/>
    <x v="9"/>
    <x v="1"/>
    <x v="12"/>
    <n v="14"/>
    <n v="49"/>
  </r>
  <r>
    <x v="276"/>
    <x v="9"/>
    <x v="1"/>
    <x v="12"/>
    <n v="283"/>
    <n v="990.5"/>
  </r>
  <r>
    <x v="276"/>
    <x v="9"/>
    <x v="1"/>
    <x v="38"/>
    <n v="424"/>
    <n v="1484"/>
  </r>
  <r>
    <x v="276"/>
    <x v="13"/>
    <x v="1"/>
    <x v="14"/>
    <n v="25"/>
    <n v="62.5"/>
  </r>
  <r>
    <x v="276"/>
    <x v="9"/>
    <x v="1"/>
    <x v="8"/>
    <n v="116"/>
    <n v="406"/>
  </r>
  <r>
    <x v="276"/>
    <x v="9"/>
    <x v="1"/>
    <x v="33"/>
    <n v="124"/>
    <n v="434"/>
  </r>
  <r>
    <x v="276"/>
    <x v="9"/>
    <x v="1"/>
    <x v="21"/>
    <n v="387"/>
    <n v="1354.5"/>
  </r>
  <r>
    <x v="276"/>
    <x v="15"/>
    <x v="1"/>
    <x v="45"/>
    <n v="189"/>
    <n v="472.5"/>
  </r>
  <r>
    <x v="276"/>
    <x v="14"/>
    <x v="1"/>
    <x v="26"/>
    <n v="225"/>
    <n v="720"/>
  </r>
  <r>
    <x v="276"/>
    <x v="14"/>
    <x v="1"/>
    <x v="20"/>
    <n v="435"/>
    <n v="1392"/>
  </r>
  <r>
    <x v="276"/>
    <x v="9"/>
    <x v="1"/>
    <x v="18"/>
    <n v="221"/>
    <n v="773.5"/>
  </r>
  <r>
    <x v="276"/>
    <x v="9"/>
    <x v="1"/>
    <x v="36"/>
    <n v="103"/>
    <n v="360.5"/>
  </r>
  <r>
    <x v="277"/>
    <x v="13"/>
    <x v="1"/>
    <x v="31"/>
    <n v="51"/>
    <n v="127.5"/>
  </r>
  <r>
    <x v="277"/>
    <x v="15"/>
    <x v="1"/>
    <x v="47"/>
    <n v="108"/>
    <n v="270"/>
  </r>
  <r>
    <x v="277"/>
    <x v="12"/>
    <x v="1"/>
    <x v="35"/>
    <n v="173"/>
    <n v="553.6"/>
  </r>
  <r>
    <x v="277"/>
    <x v="15"/>
    <x v="1"/>
    <x v="47"/>
    <n v="310"/>
    <n v="775"/>
  </r>
  <r>
    <x v="277"/>
    <x v="14"/>
    <x v="1"/>
    <x v="44"/>
    <n v="110"/>
    <n v="352"/>
  </r>
  <r>
    <x v="277"/>
    <x v="9"/>
    <x v="1"/>
    <x v="26"/>
    <n v="307"/>
    <n v="1074.5"/>
  </r>
  <r>
    <x v="277"/>
    <x v="13"/>
    <x v="1"/>
    <x v="8"/>
    <n v="453"/>
    <n v="1132.5"/>
  </r>
  <r>
    <x v="277"/>
    <x v="13"/>
    <x v="1"/>
    <x v="12"/>
    <n v="10"/>
    <n v="25"/>
  </r>
  <r>
    <x v="277"/>
    <x v="9"/>
    <x v="1"/>
    <x v="21"/>
    <n v="453"/>
    <n v="1585.5"/>
  </r>
  <r>
    <x v="277"/>
    <x v="12"/>
    <x v="1"/>
    <x v="37"/>
    <n v="108"/>
    <n v="345.6"/>
  </r>
  <r>
    <x v="277"/>
    <x v="14"/>
    <x v="1"/>
    <x v="46"/>
    <n v="213"/>
    <n v="681.6"/>
  </r>
  <r>
    <x v="278"/>
    <x v="15"/>
    <x v="1"/>
    <x v="28"/>
    <n v="454"/>
    <n v="1135"/>
  </r>
  <r>
    <x v="278"/>
    <x v="9"/>
    <x v="1"/>
    <x v="45"/>
    <n v="301"/>
    <n v="1053.5"/>
  </r>
  <r>
    <x v="278"/>
    <x v="9"/>
    <x v="1"/>
    <x v="37"/>
    <n v="411"/>
    <n v="1438.5"/>
  </r>
  <r>
    <x v="278"/>
    <x v="14"/>
    <x v="1"/>
    <x v="34"/>
    <n v="418"/>
    <n v="1337.6000000000001"/>
  </r>
  <r>
    <x v="278"/>
    <x v="12"/>
    <x v="1"/>
    <x v="20"/>
    <n v="149"/>
    <n v="476.8"/>
  </r>
  <r>
    <x v="278"/>
    <x v="15"/>
    <x v="1"/>
    <x v="42"/>
    <n v="231"/>
    <n v="577.5"/>
  </r>
  <r>
    <x v="278"/>
    <x v="14"/>
    <x v="1"/>
    <x v="44"/>
    <n v="495"/>
    <n v="1584"/>
  </r>
  <r>
    <x v="278"/>
    <x v="14"/>
    <x v="1"/>
    <x v="32"/>
    <n v="107"/>
    <n v="342.40000000000003"/>
  </r>
  <r>
    <x v="279"/>
    <x v="14"/>
    <x v="1"/>
    <x v="48"/>
    <n v="150"/>
    <n v="480"/>
  </r>
  <r>
    <x v="279"/>
    <x v="9"/>
    <x v="1"/>
    <x v="25"/>
    <n v="363"/>
    <n v="1270.5"/>
  </r>
  <r>
    <x v="279"/>
    <x v="9"/>
    <x v="1"/>
    <x v="31"/>
    <n v="48"/>
    <n v="168"/>
  </r>
  <r>
    <x v="279"/>
    <x v="15"/>
    <x v="1"/>
    <x v="11"/>
    <n v="479"/>
    <n v="1197.5"/>
  </r>
  <r>
    <x v="279"/>
    <x v="9"/>
    <x v="1"/>
    <x v="40"/>
    <n v="215"/>
    <n v="752.5"/>
  </r>
  <r>
    <x v="279"/>
    <x v="14"/>
    <x v="1"/>
    <x v="1"/>
    <n v="226"/>
    <n v="723.2"/>
  </r>
  <r>
    <x v="279"/>
    <x v="9"/>
    <x v="1"/>
    <x v="5"/>
    <n v="257"/>
    <n v="899.5"/>
  </r>
  <r>
    <x v="280"/>
    <x v="9"/>
    <x v="1"/>
    <x v="4"/>
    <n v="44"/>
    <n v="154"/>
  </r>
  <r>
    <x v="280"/>
    <x v="9"/>
    <x v="1"/>
    <x v="15"/>
    <n v="426"/>
    <n v="1491"/>
  </r>
  <r>
    <x v="280"/>
    <x v="9"/>
    <x v="1"/>
    <x v="26"/>
    <n v="46"/>
    <n v="161"/>
  </r>
  <r>
    <x v="280"/>
    <x v="13"/>
    <x v="1"/>
    <x v="32"/>
    <n v="73"/>
    <n v="182.5"/>
  </r>
  <r>
    <x v="280"/>
    <x v="12"/>
    <x v="1"/>
    <x v="29"/>
    <n v="132"/>
    <n v="422.40000000000003"/>
  </r>
  <r>
    <x v="280"/>
    <x v="9"/>
    <x v="1"/>
    <x v="36"/>
    <n v="461"/>
    <n v="1613.5"/>
  </r>
  <r>
    <x v="280"/>
    <x v="12"/>
    <x v="1"/>
    <x v="34"/>
    <n v="210"/>
    <n v="672"/>
  </r>
  <r>
    <x v="280"/>
    <x v="14"/>
    <x v="1"/>
    <x v="13"/>
    <n v="258"/>
    <n v="825.6"/>
  </r>
  <r>
    <x v="280"/>
    <x v="14"/>
    <x v="1"/>
    <x v="43"/>
    <n v="369"/>
    <n v="1180.8"/>
  </r>
  <r>
    <x v="280"/>
    <x v="13"/>
    <x v="1"/>
    <x v="32"/>
    <n v="11"/>
    <n v="27.5"/>
  </r>
  <r>
    <x v="281"/>
    <x v="9"/>
    <x v="1"/>
    <x v="40"/>
    <n v="248"/>
    <n v="868"/>
  </r>
  <r>
    <x v="281"/>
    <x v="15"/>
    <x v="1"/>
    <x v="21"/>
    <n v="173"/>
    <n v="432.5"/>
  </r>
  <r>
    <x v="281"/>
    <x v="13"/>
    <x v="1"/>
    <x v="3"/>
    <n v="85"/>
    <n v="212.5"/>
  </r>
  <r>
    <x v="281"/>
    <x v="15"/>
    <x v="1"/>
    <x v="19"/>
    <n v="350"/>
    <n v="875"/>
  </r>
  <r>
    <x v="281"/>
    <x v="9"/>
    <x v="1"/>
    <x v="14"/>
    <n v="85"/>
    <n v="297.5"/>
  </r>
  <r>
    <x v="282"/>
    <x v="9"/>
    <x v="1"/>
    <x v="32"/>
    <n v="262"/>
    <n v="917"/>
  </r>
  <r>
    <x v="282"/>
    <x v="13"/>
    <x v="1"/>
    <x v="8"/>
    <n v="389"/>
    <n v="972.5"/>
  </r>
  <r>
    <x v="282"/>
    <x v="9"/>
    <x v="1"/>
    <x v="24"/>
    <n v="338"/>
    <n v="1183"/>
  </r>
  <r>
    <x v="282"/>
    <x v="9"/>
    <x v="1"/>
    <x v="6"/>
    <n v="497"/>
    <n v="1739.5"/>
  </r>
  <r>
    <x v="282"/>
    <x v="12"/>
    <x v="1"/>
    <x v="19"/>
    <n v="160"/>
    <n v="512"/>
  </r>
  <r>
    <x v="282"/>
    <x v="15"/>
    <x v="1"/>
    <x v="38"/>
    <n v="476"/>
    <n v="1190"/>
  </r>
  <r>
    <x v="282"/>
    <x v="14"/>
    <x v="1"/>
    <x v="40"/>
    <n v="345"/>
    <n v="1104"/>
  </r>
  <r>
    <x v="282"/>
    <x v="9"/>
    <x v="1"/>
    <x v="6"/>
    <n v="393"/>
    <n v="1375.5"/>
  </r>
  <r>
    <x v="282"/>
    <x v="14"/>
    <x v="1"/>
    <x v="4"/>
    <n v="158"/>
    <n v="505.6"/>
  </r>
  <r>
    <x v="282"/>
    <x v="14"/>
    <x v="1"/>
    <x v="13"/>
    <n v="86"/>
    <n v="275.2"/>
  </r>
  <r>
    <x v="282"/>
    <x v="14"/>
    <x v="1"/>
    <x v="25"/>
    <n v="100"/>
    <n v="320"/>
  </r>
  <r>
    <x v="282"/>
    <x v="9"/>
    <x v="1"/>
    <x v="48"/>
    <n v="205"/>
    <n v="717.5"/>
  </r>
  <r>
    <x v="282"/>
    <x v="12"/>
    <x v="1"/>
    <x v="38"/>
    <n v="374"/>
    <n v="1196.8"/>
  </r>
  <r>
    <x v="282"/>
    <x v="13"/>
    <x v="1"/>
    <x v="5"/>
    <n v="118"/>
    <n v="295"/>
  </r>
  <r>
    <x v="282"/>
    <x v="15"/>
    <x v="1"/>
    <x v="41"/>
    <n v="370"/>
    <n v="925"/>
  </r>
  <r>
    <x v="282"/>
    <x v="14"/>
    <x v="1"/>
    <x v="30"/>
    <n v="362"/>
    <n v="1158.4000000000001"/>
  </r>
  <r>
    <x v="282"/>
    <x v="9"/>
    <x v="1"/>
    <x v="11"/>
    <n v="369"/>
    <n v="1291.5"/>
  </r>
  <r>
    <x v="283"/>
    <x v="9"/>
    <x v="1"/>
    <x v="31"/>
    <n v="339"/>
    <n v="1186.5"/>
  </r>
  <r>
    <x v="283"/>
    <x v="12"/>
    <x v="1"/>
    <x v="44"/>
    <n v="17"/>
    <n v="54.400000000000006"/>
  </r>
  <r>
    <x v="283"/>
    <x v="12"/>
    <x v="1"/>
    <x v="38"/>
    <n v="271"/>
    <n v="867.2"/>
  </r>
  <r>
    <x v="284"/>
    <x v="9"/>
    <x v="1"/>
    <x v="49"/>
    <n v="322"/>
    <n v="1127"/>
  </r>
  <r>
    <x v="284"/>
    <x v="9"/>
    <x v="1"/>
    <x v="10"/>
    <n v="58"/>
    <n v="203"/>
  </r>
  <r>
    <x v="284"/>
    <x v="14"/>
    <x v="1"/>
    <x v="41"/>
    <n v="372"/>
    <n v="1190.4000000000001"/>
  </r>
  <r>
    <x v="284"/>
    <x v="15"/>
    <x v="1"/>
    <x v="27"/>
    <n v="301"/>
    <n v="752.5"/>
  </r>
  <r>
    <x v="285"/>
    <x v="3"/>
    <x v="0"/>
    <x v="14"/>
    <n v="181"/>
    <n v="615.4"/>
  </r>
  <r>
    <x v="285"/>
    <x v="6"/>
    <x v="0"/>
    <x v="37"/>
    <n v="160"/>
    <n v="384"/>
  </r>
  <r>
    <x v="285"/>
    <x v="3"/>
    <x v="0"/>
    <x v="42"/>
    <n v="219"/>
    <n v="744.6"/>
  </r>
  <r>
    <x v="285"/>
    <x v="2"/>
    <x v="0"/>
    <x v="41"/>
    <n v="296"/>
    <n v="858.4"/>
  </r>
  <r>
    <x v="285"/>
    <x v="7"/>
    <x v="0"/>
    <x v="5"/>
    <n v="458"/>
    <n v="1557.2"/>
  </r>
  <r>
    <x v="285"/>
    <x v="3"/>
    <x v="0"/>
    <x v="38"/>
    <n v="446"/>
    <n v="1516.3999999999999"/>
  </r>
  <r>
    <x v="285"/>
    <x v="7"/>
    <x v="0"/>
    <x v="21"/>
    <n v="377"/>
    <n v="1281.8"/>
  </r>
  <r>
    <x v="285"/>
    <x v="8"/>
    <x v="0"/>
    <x v="23"/>
    <n v="480"/>
    <n v="1536"/>
  </r>
  <r>
    <x v="285"/>
    <x v="6"/>
    <x v="0"/>
    <x v="3"/>
    <n v="397"/>
    <n v="952.8"/>
  </r>
  <r>
    <x v="285"/>
    <x v="0"/>
    <x v="0"/>
    <x v="17"/>
    <n v="648"/>
    <n v="2203.1999999999998"/>
  </r>
  <r>
    <x v="286"/>
    <x v="4"/>
    <x v="0"/>
    <x v="44"/>
    <n v="458"/>
    <n v="1557.2"/>
  </r>
  <r>
    <x v="286"/>
    <x v="5"/>
    <x v="0"/>
    <x v="18"/>
    <n v="714"/>
    <n v="2427.6"/>
  </r>
  <r>
    <x v="286"/>
    <x v="7"/>
    <x v="0"/>
    <x v="3"/>
    <n v="207"/>
    <n v="703.8"/>
  </r>
  <r>
    <x v="286"/>
    <x v="8"/>
    <x v="0"/>
    <x v="6"/>
    <n v="277"/>
    <n v="886.40000000000009"/>
  </r>
  <r>
    <x v="286"/>
    <x v="7"/>
    <x v="0"/>
    <x v="17"/>
    <n v="394"/>
    <n v="1339.6"/>
  </r>
  <r>
    <x v="286"/>
    <x v="1"/>
    <x v="0"/>
    <x v="30"/>
    <n v="418"/>
    <n v="1463"/>
  </r>
  <r>
    <x v="286"/>
    <x v="0"/>
    <x v="0"/>
    <x v="39"/>
    <n v="398"/>
    <n v="1353.2"/>
  </r>
  <r>
    <x v="286"/>
    <x v="1"/>
    <x v="0"/>
    <x v="9"/>
    <n v="223"/>
    <n v="780.5"/>
  </r>
  <r>
    <x v="286"/>
    <x v="7"/>
    <x v="0"/>
    <x v="13"/>
    <n v="90"/>
    <n v="306"/>
  </r>
  <r>
    <x v="287"/>
    <x v="5"/>
    <x v="0"/>
    <x v="49"/>
    <n v="778"/>
    <n v="2645.2"/>
  </r>
  <r>
    <x v="287"/>
    <x v="0"/>
    <x v="0"/>
    <x v="10"/>
    <n v="582"/>
    <n v="1978.8"/>
  </r>
  <r>
    <x v="287"/>
    <x v="7"/>
    <x v="0"/>
    <x v="15"/>
    <n v="218"/>
    <n v="741.19999999999993"/>
  </r>
  <r>
    <x v="287"/>
    <x v="7"/>
    <x v="0"/>
    <x v="9"/>
    <n v="290"/>
    <n v="986"/>
  </r>
  <r>
    <x v="287"/>
    <x v="3"/>
    <x v="0"/>
    <x v="19"/>
    <n v="437"/>
    <n v="1485.8"/>
  </r>
  <r>
    <x v="288"/>
    <x v="1"/>
    <x v="0"/>
    <x v="12"/>
    <n v="469"/>
    <n v="1641.5"/>
  </r>
  <r>
    <x v="288"/>
    <x v="2"/>
    <x v="0"/>
    <x v="46"/>
    <n v="33"/>
    <n v="95.7"/>
  </r>
  <r>
    <x v="288"/>
    <x v="3"/>
    <x v="0"/>
    <x v="38"/>
    <n v="79"/>
    <n v="268.59999999999997"/>
  </r>
  <r>
    <x v="288"/>
    <x v="1"/>
    <x v="0"/>
    <x v="17"/>
    <n v="332"/>
    <n v="1162"/>
  </r>
  <r>
    <x v="288"/>
    <x v="6"/>
    <x v="0"/>
    <x v="32"/>
    <n v="132"/>
    <n v="316.8"/>
  </r>
  <r>
    <x v="288"/>
    <x v="1"/>
    <x v="0"/>
    <x v="9"/>
    <n v="547"/>
    <n v="1914.5"/>
  </r>
  <r>
    <x v="288"/>
    <x v="3"/>
    <x v="0"/>
    <x v="18"/>
    <n v="295"/>
    <n v="1003"/>
  </r>
  <r>
    <x v="288"/>
    <x v="0"/>
    <x v="0"/>
    <x v="5"/>
    <n v="540"/>
    <n v="1836"/>
  </r>
  <r>
    <x v="288"/>
    <x v="0"/>
    <x v="0"/>
    <x v="20"/>
    <n v="222"/>
    <n v="754.8"/>
  </r>
  <r>
    <x v="288"/>
    <x v="3"/>
    <x v="0"/>
    <x v="13"/>
    <n v="394"/>
    <n v="1339.6"/>
  </r>
  <r>
    <x v="288"/>
    <x v="2"/>
    <x v="0"/>
    <x v="45"/>
    <n v="325"/>
    <n v="942.5"/>
  </r>
  <r>
    <x v="289"/>
    <x v="6"/>
    <x v="0"/>
    <x v="10"/>
    <n v="457"/>
    <n v="1096.8"/>
  </r>
  <r>
    <x v="289"/>
    <x v="4"/>
    <x v="0"/>
    <x v="34"/>
    <n v="64"/>
    <n v="217.6"/>
  </r>
  <r>
    <x v="289"/>
    <x v="0"/>
    <x v="0"/>
    <x v="7"/>
    <n v="298"/>
    <n v="1013.1999999999999"/>
  </r>
  <r>
    <x v="289"/>
    <x v="0"/>
    <x v="0"/>
    <x v="11"/>
    <n v="606"/>
    <n v="2060.4"/>
  </r>
  <r>
    <x v="289"/>
    <x v="1"/>
    <x v="0"/>
    <x v="11"/>
    <n v="276"/>
    <n v="966"/>
  </r>
  <r>
    <x v="289"/>
    <x v="6"/>
    <x v="0"/>
    <x v="44"/>
    <n v="142"/>
    <n v="340.8"/>
  </r>
  <r>
    <x v="289"/>
    <x v="2"/>
    <x v="0"/>
    <x v="6"/>
    <n v="263"/>
    <n v="762.69999999999993"/>
  </r>
  <r>
    <x v="289"/>
    <x v="7"/>
    <x v="0"/>
    <x v="49"/>
    <n v="81"/>
    <n v="275.39999999999998"/>
  </r>
  <r>
    <x v="289"/>
    <x v="3"/>
    <x v="0"/>
    <x v="46"/>
    <n v="347"/>
    <n v="1179.8"/>
  </r>
  <r>
    <x v="289"/>
    <x v="1"/>
    <x v="0"/>
    <x v="27"/>
    <n v="443"/>
    <n v="1550.5"/>
  </r>
  <r>
    <x v="289"/>
    <x v="8"/>
    <x v="0"/>
    <x v="33"/>
    <n v="261"/>
    <n v="835.2"/>
  </r>
  <r>
    <x v="290"/>
    <x v="1"/>
    <x v="0"/>
    <x v="11"/>
    <n v="389"/>
    <n v="1361.5"/>
  </r>
  <r>
    <x v="290"/>
    <x v="8"/>
    <x v="0"/>
    <x v="48"/>
    <n v="279"/>
    <n v="892.80000000000007"/>
  </r>
  <r>
    <x v="290"/>
    <x v="7"/>
    <x v="0"/>
    <x v="43"/>
    <n v="402"/>
    <n v="1366.8"/>
  </r>
  <r>
    <x v="290"/>
    <x v="8"/>
    <x v="0"/>
    <x v="27"/>
    <n v="343"/>
    <n v="1097.6000000000001"/>
  </r>
  <r>
    <x v="290"/>
    <x v="4"/>
    <x v="0"/>
    <x v="48"/>
    <n v="36"/>
    <n v="122.39999999999999"/>
  </r>
  <r>
    <x v="290"/>
    <x v="0"/>
    <x v="0"/>
    <x v="32"/>
    <n v="454"/>
    <n v="1543.6"/>
  </r>
  <r>
    <x v="290"/>
    <x v="7"/>
    <x v="0"/>
    <x v="13"/>
    <n v="281"/>
    <n v="955.4"/>
  </r>
  <r>
    <x v="290"/>
    <x v="0"/>
    <x v="0"/>
    <x v="3"/>
    <n v="501"/>
    <n v="1703.3999999999999"/>
  </r>
  <r>
    <x v="290"/>
    <x v="4"/>
    <x v="0"/>
    <x v="29"/>
    <n v="22"/>
    <n v="74.8"/>
  </r>
  <r>
    <x v="290"/>
    <x v="7"/>
    <x v="0"/>
    <x v="4"/>
    <n v="247"/>
    <n v="839.8"/>
  </r>
  <r>
    <x v="291"/>
    <x v="5"/>
    <x v="0"/>
    <x v="18"/>
    <n v="406"/>
    <n v="1380.3999999999999"/>
  </r>
  <r>
    <x v="291"/>
    <x v="7"/>
    <x v="0"/>
    <x v="44"/>
    <n v="382"/>
    <n v="1298.8"/>
  </r>
  <r>
    <x v="291"/>
    <x v="7"/>
    <x v="0"/>
    <x v="5"/>
    <n v="322"/>
    <n v="1094.8"/>
  </r>
  <r>
    <x v="291"/>
    <x v="4"/>
    <x v="0"/>
    <x v="20"/>
    <n v="393"/>
    <n v="1336.2"/>
  </r>
  <r>
    <x v="291"/>
    <x v="7"/>
    <x v="0"/>
    <x v="33"/>
    <n v="109"/>
    <n v="370.59999999999997"/>
  </r>
  <r>
    <x v="291"/>
    <x v="1"/>
    <x v="0"/>
    <x v="24"/>
    <n v="421"/>
    <n v="1473.5"/>
  </r>
  <r>
    <x v="292"/>
    <x v="2"/>
    <x v="0"/>
    <x v="30"/>
    <n v="462"/>
    <n v="1339.8"/>
  </r>
  <r>
    <x v="292"/>
    <x v="2"/>
    <x v="0"/>
    <x v="12"/>
    <n v="263"/>
    <n v="762.69999999999993"/>
  </r>
  <r>
    <x v="292"/>
    <x v="7"/>
    <x v="0"/>
    <x v="13"/>
    <n v="65"/>
    <n v="221"/>
  </r>
  <r>
    <x v="292"/>
    <x v="6"/>
    <x v="0"/>
    <x v="17"/>
    <n v="148"/>
    <n v="355.2"/>
  </r>
  <r>
    <x v="293"/>
    <x v="3"/>
    <x v="0"/>
    <x v="0"/>
    <n v="489"/>
    <n v="1662.6"/>
  </r>
  <r>
    <x v="293"/>
    <x v="1"/>
    <x v="0"/>
    <x v="31"/>
    <n v="490"/>
    <n v="1715"/>
  </r>
  <r>
    <x v="293"/>
    <x v="0"/>
    <x v="0"/>
    <x v="33"/>
    <n v="561"/>
    <n v="1907.3999999999999"/>
  </r>
  <r>
    <x v="293"/>
    <x v="5"/>
    <x v="0"/>
    <x v="43"/>
    <n v="465"/>
    <n v="1581"/>
  </r>
  <r>
    <x v="293"/>
    <x v="6"/>
    <x v="0"/>
    <x v="43"/>
    <n v="585"/>
    <n v="1404"/>
  </r>
  <r>
    <x v="293"/>
    <x v="6"/>
    <x v="0"/>
    <x v="17"/>
    <n v="579"/>
    <n v="1389.6"/>
  </r>
  <r>
    <x v="293"/>
    <x v="6"/>
    <x v="0"/>
    <x v="5"/>
    <n v="382"/>
    <n v="916.8"/>
  </r>
  <r>
    <x v="294"/>
    <x v="0"/>
    <x v="0"/>
    <x v="0"/>
    <n v="224"/>
    <n v="761.6"/>
  </r>
  <r>
    <x v="294"/>
    <x v="6"/>
    <x v="0"/>
    <x v="19"/>
    <n v="303"/>
    <n v="727.19999999999993"/>
  </r>
  <r>
    <x v="294"/>
    <x v="7"/>
    <x v="0"/>
    <x v="37"/>
    <n v="238"/>
    <n v="809.19999999999993"/>
  </r>
  <r>
    <x v="294"/>
    <x v="6"/>
    <x v="0"/>
    <x v="6"/>
    <n v="464"/>
    <n v="1113.5999999999999"/>
  </r>
  <r>
    <x v="294"/>
    <x v="5"/>
    <x v="0"/>
    <x v="19"/>
    <n v="579"/>
    <n v="1968.6"/>
  </r>
  <r>
    <x v="294"/>
    <x v="4"/>
    <x v="0"/>
    <x v="43"/>
    <n v="70"/>
    <n v="238"/>
  </r>
  <r>
    <x v="294"/>
    <x v="1"/>
    <x v="0"/>
    <x v="25"/>
    <n v="654"/>
    <n v="2289"/>
  </r>
  <r>
    <x v="294"/>
    <x v="0"/>
    <x v="0"/>
    <x v="29"/>
    <n v="364"/>
    <n v="1237.5999999999999"/>
  </r>
  <r>
    <x v="294"/>
    <x v="1"/>
    <x v="0"/>
    <x v="27"/>
    <n v="670"/>
    <n v="2345"/>
  </r>
  <r>
    <x v="294"/>
    <x v="6"/>
    <x v="0"/>
    <x v="22"/>
    <n v="419"/>
    <n v="1005.5999999999999"/>
  </r>
  <r>
    <x v="294"/>
    <x v="2"/>
    <x v="0"/>
    <x v="21"/>
    <n v="161"/>
    <n v="466.9"/>
  </r>
  <r>
    <x v="294"/>
    <x v="0"/>
    <x v="0"/>
    <x v="37"/>
    <n v="317"/>
    <n v="1077.8"/>
  </r>
  <r>
    <x v="294"/>
    <x v="8"/>
    <x v="0"/>
    <x v="14"/>
    <n v="404"/>
    <n v="1292.8000000000002"/>
  </r>
  <r>
    <x v="295"/>
    <x v="6"/>
    <x v="0"/>
    <x v="2"/>
    <n v="459"/>
    <n v="1101.5999999999999"/>
  </r>
  <r>
    <x v="295"/>
    <x v="2"/>
    <x v="0"/>
    <x v="12"/>
    <n v="26"/>
    <n v="75.399999999999991"/>
  </r>
  <r>
    <x v="295"/>
    <x v="1"/>
    <x v="0"/>
    <x v="30"/>
    <n v="389"/>
    <n v="1361.5"/>
  </r>
  <r>
    <x v="295"/>
    <x v="7"/>
    <x v="0"/>
    <x v="24"/>
    <n v="318"/>
    <n v="1081.2"/>
  </r>
  <r>
    <x v="295"/>
    <x v="2"/>
    <x v="0"/>
    <x v="48"/>
    <n v="333"/>
    <n v="965.69999999999993"/>
  </r>
  <r>
    <x v="295"/>
    <x v="5"/>
    <x v="0"/>
    <x v="30"/>
    <n v="477"/>
    <n v="1621.8"/>
  </r>
  <r>
    <x v="295"/>
    <x v="5"/>
    <x v="0"/>
    <x v="13"/>
    <n v="567"/>
    <n v="1927.8"/>
  </r>
  <r>
    <x v="295"/>
    <x v="3"/>
    <x v="0"/>
    <x v="8"/>
    <n v="256"/>
    <n v="870.4"/>
  </r>
  <r>
    <x v="295"/>
    <x v="2"/>
    <x v="0"/>
    <x v="29"/>
    <n v="377"/>
    <n v="1093.3"/>
  </r>
  <r>
    <x v="295"/>
    <x v="4"/>
    <x v="0"/>
    <x v="17"/>
    <n v="275"/>
    <n v="935"/>
  </r>
  <r>
    <x v="296"/>
    <x v="3"/>
    <x v="0"/>
    <x v="4"/>
    <n v="205"/>
    <n v="697"/>
  </r>
  <r>
    <x v="296"/>
    <x v="8"/>
    <x v="0"/>
    <x v="0"/>
    <n v="346"/>
    <n v="1107.2"/>
  </r>
  <r>
    <x v="296"/>
    <x v="5"/>
    <x v="0"/>
    <x v="29"/>
    <n v="432"/>
    <n v="1468.8"/>
  </r>
  <r>
    <x v="296"/>
    <x v="6"/>
    <x v="0"/>
    <x v="35"/>
    <n v="153"/>
    <n v="367.2"/>
  </r>
  <r>
    <x v="296"/>
    <x v="0"/>
    <x v="0"/>
    <x v="31"/>
    <n v="394"/>
    <n v="1339.6"/>
  </r>
  <r>
    <x v="297"/>
    <x v="8"/>
    <x v="0"/>
    <x v="27"/>
    <n v="106"/>
    <n v="339.20000000000005"/>
  </r>
  <r>
    <x v="297"/>
    <x v="6"/>
    <x v="0"/>
    <x v="6"/>
    <n v="578"/>
    <n v="1387.2"/>
  </r>
  <r>
    <x v="297"/>
    <x v="1"/>
    <x v="0"/>
    <x v="33"/>
    <n v="337"/>
    <n v="1179.5"/>
  </r>
  <r>
    <x v="297"/>
    <x v="4"/>
    <x v="0"/>
    <x v="43"/>
    <n v="223"/>
    <n v="758.19999999999993"/>
  </r>
  <r>
    <x v="297"/>
    <x v="3"/>
    <x v="0"/>
    <x v="17"/>
    <n v="254"/>
    <n v="863.6"/>
  </r>
  <r>
    <x v="297"/>
    <x v="3"/>
    <x v="0"/>
    <x v="38"/>
    <n v="335"/>
    <n v="1139"/>
  </r>
  <r>
    <x v="297"/>
    <x v="4"/>
    <x v="0"/>
    <x v="46"/>
    <n v="167"/>
    <n v="567.79999999999995"/>
  </r>
  <r>
    <x v="297"/>
    <x v="3"/>
    <x v="0"/>
    <x v="45"/>
    <n v="416"/>
    <n v="1414.3999999999999"/>
  </r>
  <r>
    <x v="298"/>
    <x v="8"/>
    <x v="0"/>
    <x v="30"/>
    <n v="25"/>
    <n v="80"/>
  </r>
  <r>
    <x v="298"/>
    <x v="4"/>
    <x v="0"/>
    <x v="22"/>
    <n v="301"/>
    <n v="1023.4"/>
  </r>
  <r>
    <x v="298"/>
    <x v="1"/>
    <x v="0"/>
    <x v="11"/>
    <n v="681"/>
    <n v="2383.5"/>
  </r>
  <r>
    <x v="298"/>
    <x v="1"/>
    <x v="0"/>
    <x v="33"/>
    <n v="686"/>
    <n v="2401"/>
  </r>
  <r>
    <x v="298"/>
    <x v="6"/>
    <x v="0"/>
    <x v="45"/>
    <n v="359"/>
    <n v="861.6"/>
  </r>
  <r>
    <x v="298"/>
    <x v="4"/>
    <x v="0"/>
    <x v="18"/>
    <n v="72"/>
    <n v="244.79999999999998"/>
  </r>
  <r>
    <x v="298"/>
    <x v="6"/>
    <x v="0"/>
    <x v="33"/>
    <n v="442"/>
    <n v="1060.8"/>
  </r>
  <r>
    <x v="298"/>
    <x v="5"/>
    <x v="0"/>
    <x v="38"/>
    <n v="645"/>
    <n v="2193"/>
  </r>
  <r>
    <x v="298"/>
    <x v="6"/>
    <x v="0"/>
    <x v="6"/>
    <n v="417"/>
    <n v="1000.8"/>
  </r>
  <r>
    <x v="298"/>
    <x v="0"/>
    <x v="0"/>
    <x v="29"/>
    <n v="464"/>
    <n v="1577.6"/>
  </r>
  <r>
    <x v="299"/>
    <x v="2"/>
    <x v="0"/>
    <x v="34"/>
    <n v="470"/>
    <n v="1363"/>
  </r>
  <r>
    <x v="299"/>
    <x v="2"/>
    <x v="0"/>
    <x v="13"/>
    <n v="39"/>
    <n v="113.1"/>
  </r>
  <r>
    <x v="299"/>
    <x v="8"/>
    <x v="0"/>
    <x v="29"/>
    <n v="96"/>
    <n v="307.20000000000005"/>
  </r>
  <r>
    <x v="299"/>
    <x v="4"/>
    <x v="0"/>
    <x v="12"/>
    <n v="438"/>
    <n v="1489.2"/>
  </r>
  <r>
    <x v="299"/>
    <x v="1"/>
    <x v="0"/>
    <x v="22"/>
    <n v="413"/>
    <n v="1445.5"/>
  </r>
  <r>
    <x v="299"/>
    <x v="2"/>
    <x v="0"/>
    <x v="34"/>
    <n v="153"/>
    <n v="443.7"/>
  </r>
  <r>
    <x v="300"/>
    <x v="3"/>
    <x v="0"/>
    <x v="19"/>
    <n v="418"/>
    <n v="1421.2"/>
  </r>
  <r>
    <x v="300"/>
    <x v="3"/>
    <x v="0"/>
    <x v="10"/>
    <n v="340"/>
    <n v="1156"/>
  </r>
  <r>
    <x v="300"/>
    <x v="4"/>
    <x v="0"/>
    <x v="24"/>
    <n v="452"/>
    <n v="1536.8"/>
  </r>
  <r>
    <x v="300"/>
    <x v="8"/>
    <x v="0"/>
    <x v="47"/>
    <n v="482"/>
    <n v="1542.4"/>
  </r>
  <r>
    <x v="300"/>
    <x v="0"/>
    <x v="0"/>
    <x v="26"/>
    <n v="283"/>
    <n v="962.19999999999993"/>
  </r>
  <r>
    <x v="300"/>
    <x v="3"/>
    <x v="0"/>
    <x v="19"/>
    <n v="272"/>
    <n v="924.8"/>
  </r>
  <r>
    <x v="300"/>
    <x v="2"/>
    <x v="0"/>
    <x v="6"/>
    <n v="170"/>
    <n v="493"/>
  </r>
  <r>
    <x v="300"/>
    <x v="2"/>
    <x v="0"/>
    <x v="48"/>
    <n v="417"/>
    <n v="1209.3"/>
  </r>
  <r>
    <x v="300"/>
    <x v="1"/>
    <x v="0"/>
    <x v="21"/>
    <n v="512"/>
    <n v="1792"/>
  </r>
  <r>
    <x v="300"/>
    <x v="2"/>
    <x v="0"/>
    <x v="33"/>
    <n v="261"/>
    <n v="756.9"/>
  </r>
  <r>
    <x v="300"/>
    <x v="2"/>
    <x v="0"/>
    <x v="21"/>
    <n v="137"/>
    <n v="397.3"/>
  </r>
  <r>
    <x v="300"/>
    <x v="4"/>
    <x v="0"/>
    <x v="36"/>
    <n v="338"/>
    <n v="1149.2"/>
  </r>
  <r>
    <x v="300"/>
    <x v="1"/>
    <x v="0"/>
    <x v="29"/>
    <n v="221"/>
    <n v="773.5"/>
  </r>
  <r>
    <x v="300"/>
    <x v="3"/>
    <x v="0"/>
    <x v="21"/>
    <n v="204"/>
    <n v="693.6"/>
  </r>
  <r>
    <x v="300"/>
    <x v="8"/>
    <x v="0"/>
    <x v="47"/>
    <n v="243"/>
    <n v="777.6"/>
  </r>
  <r>
    <x v="300"/>
    <x v="0"/>
    <x v="0"/>
    <x v="21"/>
    <n v="430"/>
    <n v="1462"/>
  </r>
  <r>
    <x v="301"/>
    <x v="8"/>
    <x v="0"/>
    <x v="44"/>
    <n v="337"/>
    <n v="1078.4000000000001"/>
  </r>
  <r>
    <x v="301"/>
    <x v="5"/>
    <x v="0"/>
    <x v="36"/>
    <n v="689"/>
    <n v="2342.6"/>
  </r>
  <r>
    <x v="301"/>
    <x v="8"/>
    <x v="0"/>
    <x v="34"/>
    <n v="206"/>
    <n v="659.2"/>
  </r>
  <r>
    <x v="301"/>
    <x v="7"/>
    <x v="0"/>
    <x v="10"/>
    <n v="369"/>
    <n v="1254.5999999999999"/>
  </r>
  <r>
    <x v="301"/>
    <x v="0"/>
    <x v="0"/>
    <x v="33"/>
    <n v="590"/>
    <n v="2006"/>
  </r>
  <r>
    <x v="301"/>
    <x v="7"/>
    <x v="0"/>
    <x v="18"/>
    <n v="356"/>
    <n v="1210.3999999999999"/>
  </r>
  <r>
    <x v="301"/>
    <x v="5"/>
    <x v="0"/>
    <x v="11"/>
    <n v="366"/>
    <n v="1244.3999999999999"/>
  </r>
  <r>
    <x v="302"/>
    <x v="2"/>
    <x v="0"/>
    <x v="26"/>
    <n v="216"/>
    <n v="626.4"/>
  </r>
  <r>
    <x v="302"/>
    <x v="1"/>
    <x v="0"/>
    <x v="30"/>
    <n v="320"/>
    <n v="1120"/>
  </r>
  <r>
    <x v="302"/>
    <x v="8"/>
    <x v="0"/>
    <x v="24"/>
    <n v="165"/>
    <n v="528"/>
  </r>
  <r>
    <x v="302"/>
    <x v="3"/>
    <x v="0"/>
    <x v="22"/>
    <n v="68"/>
    <n v="231.2"/>
  </r>
  <r>
    <x v="302"/>
    <x v="4"/>
    <x v="0"/>
    <x v="41"/>
    <n v="298"/>
    <n v="1013.1999999999999"/>
  </r>
  <r>
    <x v="302"/>
    <x v="0"/>
    <x v="0"/>
    <x v="22"/>
    <n v="487"/>
    <n v="1655.8"/>
  </r>
  <r>
    <x v="303"/>
    <x v="0"/>
    <x v="0"/>
    <x v="9"/>
    <n v="494"/>
    <n v="1679.6"/>
  </r>
  <r>
    <x v="303"/>
    <x v="1"/>
    <x v="0"/>
    <x v="45"/>
    <n v="420"/>
    <n v="1470"/>
  </r>
  <r>
    <x v="303"/>
    <x v="7"/>
    <x v="0"/>
    <x v="34"/>
    <n v="69"/>
    <n v="234.6"/>
  </r>
  <r>
    <x v="303"/>
    <x v="4"/>
    <x v="0"/>
    <x v="4"/>
    <n v="454"/>
    <n v="1543.6"/>
  </r>
  <r>
    <x v="304"/>
    <x v="5"/>
    <x v="0"/>
    <x v="44"/>
    <n v="549"/>
    <n v="1866.6"/>
  </r>
  <r>
    <x v="304"/>
    <x v="5"/>
    <x v="0"/>
    <x v="8"/>
    <n v="665"/>
    <n v="2261"/>
  </r>
  <r>
    <x v="304"/>
    <x v="7"/>
    <x v="0"/>
    <x v="28"/>
    <n v="287"/>
    <n v="975.8"/>
  </r>
  <r>
    <x v="304"/>
    <x v="0"/>
    <x v="0"/>
    <x v="25"/>
    <n v="412"/>
    <n v="1400.8"/>
  </r>
  <r>
    <x v="304"/>
    <x v="6"/>
    <x v="0"/>
    <x v="28"/>
    <n v="298"/>
    <n v="715.19999999999993"/>
  </r>
  <r>
    <x v="304"/>
    <x v="1"/>
    <x v="0"/>
    <x v="46"/>
    <n v="572"/>
    <n v="2002"/>
  </r>
  <r>
    <x v="305"/>
    <x v="5"/>
    <x v="0"/>
    <x v="31"/>
    <n v="510"/>
    <n v="1734"/>
  </r>
  <r>
    <x v="305"/>
    <x v="8"/>
    <x v="0"/>
    <x v="37"/>
    <n v="368"/>
    <n v="1177.6000000000001"/>
  </r>
  <r>
    <x v="305"/>
    <x v="7"/>
    <x v="0"/>
    <x v="20"/>
    <n v="91"/>
    <n v="309.39999999999998"/>
  </r>
  <r>
    <x v="305"/>
    <x v="1"/>
    <x v="0"/>
    <x v="31"/>
    <n v="367"/>
    <n v="1284.5"/>
  </r>
  <r>
    <x v="306"/>
    <x v="3"/>
    <x v="0"/>
    <x v="45"/>
    <n v="380"/>
    <n v="1292"/>
  </r>
  <r>
    <x v="306"/>
    <x v="1"/>
    <x v="0"/>
    <x v="4"/>
    <n v="512"/>
    <n v="1792"/>
  </r>
  <r>
    <x v="306"/>
    <x v="1"/>
    <x v="0"/>
    <x v="31"/>
    <n v="449"/>
    <n v="1571.5"/>
  </r>
  <r>
    <x v="306"/>
    <x v="5"/>
    <x v="0"/>
    <x v="48"/>
    <n v="662"/>
    <n v="2250.7999999999997"/>
  </r>
  <r>
    <x v="306"/>
    <x v="3"/>
    <x v="0"/>
    <x v="20"/>
    <n v="312"/>
    <n v="1060.8"/>
  </r>
  <r>
    <x v="306"/>
    <x v="3"/>
    <x v="0"/>
    <x v="24"/>
    <n v="205"/>
    <n v="697"/>
  </r>
  <r>
    <x v="306"/>
    <x v="1"/>
    <x v="0"/>
    <x v="27"/>
    <n v="321"/>
    <n v="1123.5"/>
  </r>
  <r>
    <x v="306"/>
    <x v="1"/>
    <x v="0"/>
    <x v="3"/>
    <n v="219"/>
    <n v="766.5"/>
  </r>
  <r>
    <x v="306"/>
    <x v="7"/>
    <x v="0"/>
    <x v="47"/>
    <n v="172"/>
    <n v="584.79999999999995"/>
  </r>
  <r>
    <x v="306"/>
    <x v="4"/>
    <x v="0"/>
    <x v="35"/>
    <n v="424"/>
    <n v="1441.6"/>
  </r>
  <r>
    <x v="306"/>
    <x v="8"/>
    <x v="0"/>
    <x v="46"/>
    <n v="401"/>
    <n v="1283.2"/>
  </r>
  <r>
    <x v="306"/>
    <x v="4"/>
    <x v="0"/>
    <x v="49"/>
    <n v="409"/>
    <n v="1390.6"/>
  </r>
  <r>
    <x v="306"/>
    <x v="3"/>
    <x v="0"/>
    <x v="29"/>
    <n v="311"/>
    <n v="1057.3999999999999"/>
  </r>
  <r>
    <x v="306"/>
    <x v="4"/>
    <x v="0"/>
    <x v="38"/>
    <n v="75"/>
    <n v="255"/>
  </r>
  <r>
    <x v="306"/>
    <x v="6"/>
    <x v="0"/>
    <x v="7"/>
    <n v="286"/>
    <n v="686.4"/>
  </r>
  <r>
    <x v="306"/>
    <x v="4"/>
    <x v="0"/>
    <x v="45"/>
    <n v="78"/>
    <n v="265.2"/>
  </r>
  <r>
    <x v="306"/>
    <x v="1"/>
    <x v="0"/>
    <x v="41"/>
    <n v="334"/>
    <n v="1169"/>
  </r>
  <r>
    <x v="306"/>
    <x v="0"/>
    <x v="0"/>
    <x v="46"/>
    <n v="648"/>
    <n v="2203.1999999999998"/>
  </r>
  <r>
    <x v="306"/>
    <x v="8"/>
    <x v="0"/>
    <x v="13"/>
    <n v="131"/>
    <n v="419.20000000000005"/>
  </r>
  <r>
    <x v="306"/>
    <x v="3"/>
    <x v="0"/>
    <x v="39"/>
    <n v="106"/>
    <n v="360.4"/>
  </r>
  <r>
    <x v="306"/>
    <x v="0"/>
    <x v="0"/>
    <x v="23"/>
    <n v="553"/>
    <n v="1880.2"/>
  </r>
  <r>
    <x v="306"/>
    <x v="5"/>
    <x v="0"/>
    <x v="32"/>
    <n v="562"/>
    <n v="1910.8"/>
  </r>
  <r>
    <x v="307"/>
    <x v="3"/>
    <x v="0"/>
    <x v="23"/>
    <n v="444"/>
    <n v="1509.6"/>
  </r>
  <r>
    <x v="307"/>
    <x v="4"/>
    <x v="0"/>
    <x v="41"/>
    <n v="162"/>
    <n v="550.79999999999995"/>
  </r>
  <r>
    <x v="307"/>
    <x v="3"/>
    <x v="0"/>
    <x v="23"/>
    <n v="70"/>
    <n v="238"/>
  </r>
  <r>
    <x v="307"/>
    <x v="8"/>
    <x v="0"/>
    <x v="28"/>
    <n v="496"/>
    <n v="1587.2"/>
  </r>
  <r>
    <x v="307"/>
    <x v="8"/>
    <x v="0"/>
    <x v="28"/>
    <n v="287"/>
    <n v="918.40000000000009"/>
  </r>
  <r>
    <x v="307"/>
    <x v="3"/>
    <x v="0"/>
    <x v="29"/>
    <n v="407"/>
    <n v="1383.8"/>
  </r>
  <r>
    <x v="308"/>
    <x v="3"/>
    <x v="0"/>
    <x v="45"/>
    <n v="361"/>
    <n v="1227.3999999999999"/>
  </r>
  <r>
    <x v="308"/>
    <x v="6"/>
    <x v="0"/>
    <x v="13"/>
    <n v="154"/>
    <n v="369.59999999999997"/>
  </r>
  <r>
    <x v="308"/>
    <x v="1"/>
    <x v="0"/>
    <x v="36"/>
    <n v="395"/>
    <n v="1382.5"/>
  </r>
  <r>
    <x v="308"/>
    <x v="3"/>
    <x v="0"/>
    <x v="31"/>
    <n v="480"/>
    <n v="1632"/>
  </r>
  <r>
    <x v="308"/>
    <x v="5"/>
    <x v="0"/>
    <x v="23"/>
    <n v="447"/>
    <n v="1519.8"/>
  </r>
  <r>
    <x v="308"/>
    <x v="3"/>
    <x v="0"/>
    <x v="37"/>
    <n v="313"/>
    <n v="1064.2"/>
  </r>
  <r>
    <x v="308"/>
    <x v="2"/>
    <x v="0"/>
    <x v="20"/>
    <n v="33"/>
    <n v="95.7"/>
  </r>
  <r>
    <x v="309"/>
    <x v="1"/>
    <x v="0"/>
    <x v="30"/>
    <n v="509"/>
    <n v="1781.5"/>
  </r>
  <r>
    <x v="309"/>
    <x v="4"/>
    <x v="0"/>
    <x v="1"/>
    <n v="445"/>
    <n v="1513"/>
  </r>
  <r>
    <x v="309"/>
    <x v="8"/>
    <x v="0"/>
    <x v="24"/>
    <n v="219"/>
    <n v="700.80000000000007"/>
  </r>
  <r>
    <x v="309"/>
    <x v="6"/>
    <x v="0"/>
    <x v="19"/>
    <n v="354"/>
    <n v="849.6"/>
  </r>
  <r>
    <x v="310"/>
    <x v="0"/>
    <x v="0"/>
    <x v="46"/>
    <n v="593"/>
    <n v="2016.2"/>
  </r>
  <r>
    <x v="310"/>
    <x v="2"/>
    <x v="0"/>
    <x v="24"/>
    <n v="210"/>
    <n v="609"/>
  </r>
  <r>
    <x v="310"/>
    <x v="4"/>
    <x v="0"/>
    <x v="9"/>
    <n v="200"/>
    <n v="680"/>
  </r>
  <r>
    <x v="310"/>
    <x v="5"/>
    <x v="0"/>
    <x v="15"/>
    <n v="403"/>
    <n v="1370.2"/>
  </r>
  <r>
    <x v="310"/>
    <x v="4"/>
    <x v="0"/>
    <x v="4"/>
    <n v="173"/>
    <n v="588.19999999999993"/>
  </r>
  <r>
    <x v="310"/>
    <x v="4"/>
    <x v="0"/>
    <x v="12"/>
    <n v="307"/>
    <n v="1043.8"/>
  </r>
  <r>
    <x v="310"/>
    <x v="7"/>
    <x v="0"/>
    <x v="21"/>
    <n v="389"/>
    <n v="1322.6"/>
  </r>
  <r>
    <x v="311"/>
    <x v="1"/>
    <x v="0"/>
    <x v="15"/>
    <n v="436"/>
    <n v="1526"/>
  </r>
  <r>
    <x v="311"/>
    <x v="8"/>
    <x v="0"/>
    <x v="6"/>
    <n v="79"/>
    <n v="252.8"/>
  </r>
  <r>
    <x v="311"/>
    <x v="0"/>
    <x v="0"/>
    <x v="37"/>
    <n v="241"/>
    <n v="819.4"/>
  </r>
  <r>
    <x v="311"/>
    <x v="2"/>
    <x v="0"/>
    <x v="8"/>
    <n v="118"/>
    <n v="342.2"/>
  </r>
  <r>
    <x v="311"/>
    <x v="4"/>
    <x v="0"/>
    <x v="18"/>
    <n v="383"/>
    <n v="1302.2"/>
  </r>
  <r>
    <x v="311"/>
    <x v="5"/>
    <x v="0"/>
    <x v="3"/>
    <n v="629"/>
    <n v="2138.6"/>
  </r>
  <r>
    <x v="311"/>
    <x v="2"/>
    <x v="0"/>
    <x v="42"/>
    <n v="402"/>
    <n v="1165.8"/>
  </r>
  <r>
    <x v="311"/>
    <x v="3"/>
    <x v="0"/>
    <x v="22"/>
    <n v="169"/>
    <n v="574.6"/>
  </r>
  <r>
    <x v="311"/>
    <x v="7"/>
    <x v="0"/>
    <x v="44"/>
    <n v="281"/>
    <n v="955.4"/>
  </r>
  <r>
    <x v="311"/>
    <x v="5"/>
    <x v="0"/>
    <x v="1"/>
    <n v="388"/>
    <n v="1319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CC520-91CF-45F4-8872-2AA94B66298C}" name="Tabela przestawna1" cacheId="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54" firstHeaderRow="1" firstDataRow="1" firstDataCol="1" rowPageCount="1" colPageCount="1"/>
  <pivotFields count="8">
    <pivotField numFmtId="14" showAll="0">
      <items count="3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showAll="0"/>
    <pivotField axis="axisPage" showAll="0">
      <items count="4">
        <item x="1"/>
        <item x="2"/>
        <item x="0"/>
        <item t="default"/>
      </items>
    </pivotField>
    <pivotField axis="axisRow" showAll="0">
      <items count="51">
        <item x="18"/>
        <item x="22"/>
        <item x="31"/>
        <item x="49"/>
        <item x="15"/>
        <item x="33"/>
        <item x="36"/>
        <item x="19"/>
        <item x="39"/>
        <item x="7"/>
        <item x="32"/>
        <item x="8"/>
        <item x="3"/>
        <item x="44"/>
        <item x="37"/>
        <item x="25"/>
        <item x="27"/>
        <item x="23"/>
        <item x="10"/>
        <item x="12"/>
        <item x="46"/>
        <item x="5"/>
        <item x="6"/>
        <item x="30"/>
        <item x="43"/>
        <item x="38"/>
        <item x="0"/>
        <item x="42"/>
        <item x="13"/>
        <item x="26"/>
        <item x="45"/>
        <item x="2"/>
        <item x="14"/>
        <item x="4"/>
        <item x="40"/>
        <item x="47"/>
        <item x="24"/>
        <item x="11"/>
        <item x="9"/>
        <item x="29"/>
        <item x="21"/>
        <item x="48"/>
        <item x="20"/>
        <item x="34"/>
        <item x="16"/>
        <item x="41"/>
        <item x="17"/>
        <item x="28"/>
        <item x="1"/>
        <item x="35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pageFields count="1">
    <pageField fld="2" item="2" hier="-1"/>
  </pageFields>
  <dataFields count="1">
    <dataField name="Suma z sprzedaż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239994-89AA-47E6-857B-054111069796}" name="Tabela przestawna2" cacheId="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20" firstHeaderRow="1" firstDataRow="1" firstDataCol="1"/>
  <pivotFields count="8">
    <pivotField numFmtId="14" showAll="0">
      <items count="3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axis="axisRow" showAll="0">
      <items count="17">
        <item x="2"/>
        <item x="12"/>
        <item x="8"/>
        <item x="14"/>
        <item x="5"/>
        <item x="7"/>
        <item x="4"/>
        <item x="0"/>
        <item x="1"/>
        <item x="13"/>
        <item x="3"/>
        <item x="15"/>
        <item x="10"/>
        <item x="11"/>
        <item x="9"/>
        <item x="6"/>
        <item t="default"/>
      </items>
    </pivotField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a z przychód" fld="5" baseField="0" baseItem="0"/>
  </dataFields>
  <formats count="3">
    <format dxfId="5">
      <pivotArea collapsedLevelsAreSubtotals="1" fieldPosition="0">
        <references count="1">
          <reference field="1" count="1">
            <x v="14"/>
          </reference>
        </references>
      </pivotArea>
    </format>
    <format dxfId="4">
      <pivotArea dataOnly="0" labelOnly="1" fieldPosition="0">
        <references count="1">
          <reference field="1" count="1">
            <x v="14"/>
          </reference>
        </references>
      </pivotArea>
    </format>
    <format dxfId="3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0B50D-D79C-4A41-8FA1-82BD0D95B10B}" name="Tabela przestawna4" cacheId="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R17" firstHeaderRow="1" firstDataRow="2" firstDataCol="1"/>
  <pivotFields count="8">
    <pivotField numFmtId="14" showAll="0">
      <items count="3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axis="axisCol" showAll="0">
      <items count="17">
        <item x="2"/>
        <item x="12"/>
        <item x="8"/>
        <item x="14"/>
        <item x="5"/>
        <item x="7"/>
        <item x="4"/>
        <item x="0"/>
        <item x="1"/>
        <item x="13"/>
        <item x="3"/>
        <item x="15"/>
        <item x="10"/>
        <item x="11"/>
        <item x="9"/>
        <item x="6"/>
        <item t="default"/>
      </items>
    </pivotField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Suma z sprzedaż" fld="4" baseField="0" baseItem="0"/>
  </dataFields>
  <conditionalFormats count="6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6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</reference>
            <reference field="7" count="1">
              <x v="6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6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</reference>
            <reference field="7" count="1">
              <x v="5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6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</reference>
            <reference field="7" count="1">
              <x v="4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6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</reference>
            <reference field="7" count="1">
              <x v="3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6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</reference>
            <reference field="7" count="1">
              <x v="2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6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</reference>
            <reference field="7" count="1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191F8A7-AE3B-4495-8BEC-D36E9BB63496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dataBound="0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4B24819-3D03-434A-889F-0FE35ED8A644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1F1CFED-D612-4A16-BD85-78EB79BC617C}" autoFormatId="16" applyNumberFormats="0" applyBorderFormats="0" applyFontFormats="0" applyPatternFormats="0" applyAlignmentFormats="0" applyWidthHeightFormats="0">
  <queryTableRefresh nextId="10" unboundColumnsRight="4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327EE9-759C-4F85-A6A1-B1E8D1BCFB07}" name="jablka" displayName="jablka" ref="A1:F2501" tableType="queryTable" totalsRowShown="0">
  <autoFilter ref="A1:F2501" xr:uid="{59327EE9-759C-4F85-A6A1-B1E8D1BCFB07}"/>
  <tableColumns count="6">
    <tableColumn id="1" xr3:uid="{466917E1-C38A-4B1B-BB3C-6B5AAE1005BC}" uniqueName="1" name="Data sprzedazy" queryTableFieldId="1" dataDxfId="11"/>
    <tableColumn id="2" xr3:uid="{9A30E4D7-65AD-4091-ACA6-C6D0CBDEA443}" uniqueName="2" name="Nazwa" queryTableFieldId="2" dataDxfId="10"/>
    <tableColumn id="3" xr3:uid="{693DD0D1-4A1E-409D-8612-FF31B847CFD9}" uniqueName="3" name="kod" queryTableFieldId="3" dataDxfId="9"/>
    <tableColumn id="4" xr3:uid="{50465858-FBB9-450D-A637-761F74A5173B}" uniqueName="4" name="NIP" queryTableFieldId="4" dataDxfId="8"/>
    <tableColumn id="5" xr3:uid="{54F78C1C-F6CC-4CC2-A2A0-EB26952A2AED}" uniqueName="5" name="sprzedaż" queryTableFieldId="5"/>
    <tableColumn id="6" xr3:uid="{07CA57D4-31DD-4B4D-AB84-3193FB2EDFDA}" uniqueName="6" name="przychód" queryTableFieldId="6" dataDxfId="7">
      <calculatedColumnFormula>VLOOKUP(jablka[[#This Row],[Nazwa]],cennik[],2,0) * jablka[[#This Row],[sprzedaż]]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4A3C6E-422E-432F-B8AC-46C0DE3E4530}" name="cennik" displayName="cennik" ref="A1:B17" tableType="queryTable" totalsRowShown="0">
  <autoFilter ref="A1:B17" xr:uid="{2D4A3C6E-422E-432F-B8AC-46C0DE3E4530}"/>
  <tableColumns count="2">
    <tableColumn id="1" xr3:uid="{9DDD859C-1149-4CA5-996B-94A7BB9082B5}" uniqueName="1" name="nazwa" queryTableFieldId="1" dataDxfId="6"/>
    <tableColumn id="2" xr3:uid="{3C827F83-CB34-485C-852D-0120DDC0FBC6}" uniqueName="2" name="cena za kg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A34249-58F7-461C-88B8-A4E9C56B6CFC}" name="Tabela3" displayName="Tabela3" ref="E4:F54" totalsRowShown="0">
  <autoFilter ref="E4:F54" xr:uid="{99A34249-58F7-461C-88B8-A4E9C56B6CFC}"/>
  <sortState xmlns:xlrd2="http://schemas.microsoft.com/office/spreadsheetml/2017/richdata2" ref="E5:F54">
    <sortCondition descending="1" ref="F4:F54"/>
  </sortState>
  <tableColumns count="2">
    <tableColumn id="1" xr3:uid="{23869D22-D480-4028-926F-1FF16F2870FE}" name="Kolumna1"/>
    <tableColumn id="2" xr3:uid="{C7828FF6-D9BF-40BB-B2F5-11DE33D178A6}" name="Kolumna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B062F3-7BCC-49B0-8431-35D6933D7ADD}" name="jablka5" displayName="jablka5" ref="A1:I2501" tableType="queryTable" totalsRowShown="0">
  <autoFilter ref="A1:I2501" xr:uid="{59327EE9-759C-4F85-A6A1-B1E8D1BCFB07}"/>
  <sortState xmlns:xlrd2="http://schemas.microsoft.com/office/spreadsheetml/2017/richdata2" ref="A2:I2501">
    <sortCondition ref="D1:D2501"/>
  </sortState>
  <tableColumns count="9">
    <tableColumn id="1" xr3:uid="{A930833A-7377-4B99-B3E7-8D0C2C88F94F}" uniqueName="1" name="Data sprzedazy" queryTableFieldId="1" dataDxfId="16"/>
    <tableColumn id="2" xr3:uid="{B272CB78-E6E9-4BEE-AC88-5777719EBCD0}" uniqueName="2" name="Nazwa" queryTableFieldId="2" dataDxfId="15"/>
    <tableColumn id="3" xr3:uid="{77FA023A-3E13-475C-A7B3-61D14E3B36DD}" uniqueName="3" name="kod" queryTableFieldId="3" dataDxfId="14"/>
    <tableColumn id="4" xr3:uid="{73A5760C-2F7B-4218-B872-497E3F0F8A9C}" uniqueName="4" name="NIP" queryTableFieldId="4" dataDxfId="13"/>
    <tableColumn id="5" xr3:uid="{9D117144-C612-4BBB-971E-CA3AD1A1C3DF}" uniqueName="5" name="sprzedaż" queryTableFieldId="5"/>
    <tableColumn id="6" xr3:uid="{BFD98026-F014-4127-83C5-52B8FB7EA80B}" uniqueName="6" name="przychód" queryTableFieldId="6" dataDxfId="12">
      <calculatedColumnFormula>VLOOKUP(jablka5[[#This Row],[Nazwa]],cennik[],2,0) * jablka5[[#This Row],[sprzedaż]]</calculatedColumnFormula>
    </tableColumn>
    <tableColumn id="7" xr3:uid="{93F884BA-B6D4-4036-BD8B-7201205D2C30}" uniqueName="7" name="dot sprz" queryTableFieldId="7" dataDxfId="2">
      <calculatedColumnFormula>IF(jablka5[[#This Row],[NIP]]=D1,jablka5[[#This Row],[sprzedaż]]+G1,jablka5[[#This Row],[sprzedaż]])</calculatedColumnFormula>
    </tableColumn>
    <tableColumn id="8" xr3:uid="{68E16B0B-0981-458B-BF99-7B175200BA4B}" uniqueName="8" name="rabat" queryTableFieldId="8" dataDxfId="1">
      <calculatedColumnFormula>IF(jablka5[[#This Row],[dot sprz]]&lt;15000,0,IF(jablka5[[#This Row],[dot sprz]]&lt;20000,5,10))</calculatedColumnFormula>
    </tableColumn>
    <tableColumn id="9" xr3:uid="{947CB4F6-7274-4DF1-B152-8684EB6144E9}" uniqueName="9" name="koszt rabat" queryTableFieldId="9" dataDxfId="0">
      <calculatedColumnFormula>jablka5[[#This Row],[rabat]]*jablka5[[#This Row],[sprzedaż]]/100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D2ADB-86B7-4ECA-BD88-0E6827BEC09E}">
  <dimension ref="A1:F2501"/>
  <sheetViews>
    <sheetView topLeftCell="A2" zoomScale="115" zoomScaleNormal="115" workbookViewId="0">
      <selection activeCell="D9" sqref="D9"/>
    </sheetView>
  </sheetViews>
  <sheetFormatPr defaultRowHeight="15" x14ac:dyDescent="0.25"/>
  <cols>
    <col min="1" max="1" width="16.85546875" bestFit="1" customWidth="1"/>
    <col min="2" max="2" width="11.42578125" bestFit="1" customWidth="1"/>
    <col min="3" max="3" width="6.5703125" bestFit="1" customWidth="1"/>
    <col min="4" max="4" width="14.140625" bestFit="1" customWidth="1"/>
    <col min="5" max="5" width="11.140625" bestFit="1" customWidth="1"/>
    <col min="6" max="6" width="11.42578125" bestFit="1" customWidth="1"/>
  </cols>
  <sheetData>
    <row r="1" spans="1:6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81</v>
      </c>
    </row>
    <row r="2" spans="1:6" x14ac:dyDescent="0.25">
      <c r="A2" s="2">
        <v>44564</v>
      </c>
      <c r="B2" s="1" t="s">
        <v>7</v>
      </c>
      <c r="C2" s="1" t="s">
        <v>16</v>
      </c>
      <c r="D2" s="1" t="s">
        <v>17</v>
      </c>
      <c r="E2">
        <v>470</v>
      </c>
      <c r="F2" s="1">
        <f>VLOOKUP(jablka[[#This Row],[Nazwa]],cennik[],2,0) * jablka[[#This Row],[sprzedaż]]</f>
        <v>1598</v>
      </c>
    </row>
    <row r="3" spans="1:6" x14ac:dyDescent="0.25">
      <c r="A3" s="2">
        <v>44564</v>
      </c>
      <c r="B3" s="1" t="s">
        <v>7</v>
      </c>
      <c r="C3" s="1" t="s">
        <v>16</v>
      </c>
      <c r="D3" s="1" t="s">
        <v>18</v>
      </c>
      <c r="E3">
        <v>410</v>
      </c>
      <c r="F3" s="1">
        <f>VLOOKUP(jablka[[#This Row],[Nazwa]],cennik[],2,0) * jablka[[#This Row],[sprzedaż]]</f>
        <v>1394</v>
      </c>
    </row>
    <row r="4" spans="1:6" x14ac:dyDescent="0.25">
      <c r="A4" s="2">
        <v>44564</v>
      </c>
      <c r="B4" s="1" t="s">
        <v>8</v>
      </c>
      <c r="C4" s="1" t="s">
        <v>16</v>
      </c>
      <c r="D4" s="1" t="s">
        <v>19</v>
      </c>
      <c r="E4">
        <v>242</v>
      </c>
      <c r="F4" s="1">
        <f>VLOOKUP(jablka[[#This Row],[Nazwa]],cennik[],2,0) * jablka[[#This Row],[sprzedaż]]</f>
        <v>847</v>
      </c>
    </row>
    <row r="5" spans="1:6" x14ac:dyDescent="0.25">
      <c r="A5" s="2">
        <v>44564</v>
      </c>
      <c r="B5" s="1" t="s">
        <v>8</v>
      </c>
      <c r="C5" s="1" t="s">
        <v>16</v>
      </c>
      <c r="D5" s="1" t="s">
        <v>20</v>
      </c>
      <c r="E5">
        <v>533</v>
      </c>
      <c r="F5" s="1">
        <f>VLOOKUP(jablka[[#This Row],[Nazwa]],cennik[],2,0) * jablka[[#This Row],[sprzedaż]]</f>
        <v>1865.5</v>
      </c>
    </row>
    <row r="6" spans="1:6" x14ac:dyDescent="0.25">
      <c r="A6" s="2">
        <v>44564</v>
      </c>
      <c r="B6" s="1" t="s">
        <v>7</v>
      </c>
      <c r="C6" s="1" t="s">
        <v>16</v>
      </c>
      <c r="D6" s="1" t="s">
        <v>21</v>
      </c>
      <c r="E6">
        <v>543</v>
      </c>
      <c r="F6" s="1">
        <f>VLOOKUP(jablka[[#This Row],[Nazwa]],cennik[],2,0) * jablka[[#This Row],[sprzedaż]]</f>
        <v>1846.2</v>
      </c>
    </row>
    <row r="7" spans="1:6" x14ac:dyDescent="0.25">
      <c r="A7" s="2">
        <v>44564</v>
      </c>
      <c r="B7" s="1" t="s">
        <v>0</v>
      </c>
      <c r="C7" s="1" t="s">
        <v>16</v>
      </c>
      <c r="D7" s="1" t="s">
        <v>21</v>
      </c>
      <c r="E7">
        <v>341</v>
      </c>
      <c r="F7" s="1">
        <f>VLOOKUP(jablka[[#This Row],[Nazwa]],cennik[],2,0) * jablka[[#This Row],[sprzedaż]]</f>
        <v>988.9</v>
      </c>
    </row>
    <row r="8" spans="1:6" x14ac:dyDescent="0.25">
      <c r="A8" s="2">
        <v>44564</v>
      </c>
      <c r="B8" s="1" t="s">
        <v>10</v>
      </c>
      <c r="C8" s="1" t="s">
        <v>16</v>
      </c>
      <c r="D8" s="1" t="s">
        <v>22</v>
      </c>
      <c r="E8">
        <v>284</v>
      </c>
      <c r="F8" s="1">
        <f>VLOOKUP(jablka[[#This Row],[Nazwa]],cennik[],2,0) * jablka[[#This Row],[sprzedaż]]</f>
        <v>965.6</v>
      </c>
    </row>
    <row r="9" spans="1:6" x14ac:dyDescent="0.25">
      <c r="A9" s="2">
        <v>44564</v>
      </c>
      <c r="B9" s="1" t="s">
        <v>6</v>
      </c>
      <c r="C9" s="1" t="s">
        <v>16</v>
      </c>
      <c r="D9" s="1" t="s">
        <v>23</v>
      </c>
      <c r="E9">
        <v>159</v>
      </c>
      <c r="F9" s="1">
        <f>VLOOKUP(jablka[[#This Row],[Nazwa]],cennik[],2,0) * jablka[[#This Row],[sprzedaż]]</f>
        <v>540.6</v>
      </c>
    </row>
    <row r="10" spans="1:6" x14ac:dyDescent="0.25">
      <c r="A10" s="2">
        <v>44564</v>
      </c>
      <c r="B10" s="1" t="s">
        <v>4</v>
      </c>
      <c r="C10" s="1" t="s">
        <v>16</v>
      </c>
      <c r="D10" s="1" t="s">
        <v>21</v>
      </c>
      <c r="E10">
        <v>609</v>
      </c>
      <c r="F10" s="1">
        <f>VLOOKUP(jablka[[#This Row],[Nazwa]],cennik[],2,0) * jablka[[#This Row],[sprzedaż]]</f>
        <v>2070.6</v>
      </c>
    </row>
    <row r="11" spans="1:6" x14ac:dyDescent="0.25">
      <c r="A11" s="2">
        <v>44564</v>
      </c>
      <c r="B11" s="1" t="s">
        <v>6</v>
      </c>
      <c r="C11" s="1" t="s">
        <v>16</v>
      </c>
      <c r="D11" s="1" t="s">
        <v>24</v>
      </c>
      <c r="E11">
        <v>464</v>
      </c>
      <c r="F11" s="1">
        <f>VLOOKUP(jablka[[#This Row],[Nazwa]],cennik[],2,0) * jablka[[#This Row],[sprzedaż]]</f>
        <v>1577.6</v>
      </c>
    </row>
    <row r="12" spans="1:6" x14ac:dyDescent="0.25">
      <c r="A12" s="2">
        <v>44564</v>
      </c>
      <c r="B12" s="1" t="s">
        <v>15</v>
      </c>
      <c r="C12" s="1" t="s">
        <v>16</v>
      </c>
      <c r="D12" s="1" t="s">
        <v>25</v>
      </c>
      <c r="E12">
        <v>570</v>
      </c>
      <c r="F12" s="1">
        <f>VLOOKUP(jablka[[#This Row],[Nazwa]],cennik[],2,0) * jablka[[#This Row],[sprzedaż]]</f>
        <v>1368</v>
      </c>
    </row>
    <row r="13" spans="1:6" x14ac:dyDescent="0.25">
      <c r="A13" s="2">
        <v>44564</v>
      </c>
      <c r="B13" s="1" t="s">
        <v>5</v>
      </c>
      <c r="C13" s="1" t="s">
        <v>16</v>
      </c>
      <c r="D13" s="1" t="s">
        <v>26</v>
      </c>
      <c r="E13">
        <v>222</v>
      </c>
      <c r="F13" s="1">
        <f>VLOOKUP(jablka[[#This Row],[Nazwa]],cennik[],2,0) * jablka[[#This Row],[sprzedaż]]</f>
        <v>754.8</v>
      </c>
    </row>
    <row r="14" spans="1:6" x14ac:dyDescent="0.25">
      <c r="A14" s="2">
        <v>44564</v>
      </c>
      <c r="B14" s="1" t="s">
        <v>4</v>
      </c>
      <c r="C14" s="1" t="s">
        <v>16</v>
      </c>
      <c r="D14" s="1" t="s">
        <v>18</v>
      </c>
      <c r="E14">
        <v>720</v>
      </c>
      <c r="F14" s="1">
        <f>VLOOKUP(jablka[[#This Row],[Nazwa]],cennik[],2,0) * jablka[[#This Row],[sprzedaż]]</f>
        <v>2448</v>
      </c>
    </row>
    <row r="15" spans="1:6" x14ac:dyDescent="0.25">
      <c r="A15" s="2">
        <v>44564</v>
      </c>
      <c r="B15" s="1" t="s">
        <v>7</v>
      </c>
      <c r="C15" s="1" t="s">
        <v>16</v>
      </c>
      <c r="D15" s="1" t="s">
        <v>27</v>
      </c>
      <c r="E15">
        <v>283</v>
      </c>
      <c r="F15" s="1">
        <f>VLOOKUP(jablka[[#This Row],[Nazwa]],cennik[],2,0) * jablka[[#This Row],[sprzedaż]]</f>
        <v>962.19999999999993</v>
      </c>
    </row>
    <row r="16" spans="1:6" x14ac:dyDescent="0.25">
      <c r="A16" s="2">
        <v>44565</v>
      </c>
      <c r="B16" s="1" t="s">
        <v>15</v>
      </c>
      <c r="C16" s="1" t="s">
        <v>16</v>
      </c>
      <c r="D16" s="1" t="s">
        <v>28</v>
      </c>
      <c r="E16">
        <v>204</v>
      </c>
      <c r="F16" s="1">
        <f>VLOOKUP(jablka[[#This Row],[Nazwa]],cennik[],2,0) * jablka[[#This Row],[sprzedaż]]</f>
        <v>489.59999999999997</v>
      </c>
    </row>
    <row r="17" spans="1:6" x14ac:dyDescent="0.25">
      <c r="A17" s="2">
        <v>44565</v>
      </c>
      <c r="B17" s="1" t="s">
        <v>0</v>
      </c>
      <c r="C17" s="1" t="s">
        <v>16</v>
      </c>
      <c r="D17" s="1" t="s">
        <v>19</v>
      </c>
      <c r="E17">
        <v>368</v>
      </c>
      <c r="F17" s="1">
        <f>VLOOKUP(jablka[[#This Row],[Nazwa]],cennik[],2,0) * jablka[[#This Row],[sprzedaż]]</f>
        <v>1067.2</v>
      </c>
    </row>
    <row r="18" spans="1:6" x14ac:dyDescent="0.25">
      <c r="A18" s="2">
        <v>44565</v>
      </c>
      <c r="B18" s="1" t="s">
        <v>5</v>
      </c>
      <c r="C18" s="1" t="s">
        <v>16</v>
      </c>
      <c r="D18" s="1" t="s">
        <v>23</v>
      </c>
      <c r="E18">
        <v>110</v>
      </c>
      <c r="F18" s="1">
        <f>VLOOKUP(jablka[[#This Row],[Nazwa]],cennik[],2,0) * jablka[[#This Row],[sprzedaż]]</f>
        <v>374</v>
      </c>
    </row>
    <row r="19" spans="1:6" x14ac:dyDescent="0.25">
      <c r="A19" s="2">
        <v>44565</v>
      </c>
      <c r="B19" s="1" t="s">
        <v>15</v>
      </c>
      <c r="C19" s="1" t="s">
        <v>16</v>
      </c>
      <c r="D19" s="1" t="s">
        <v>29</v>
      </c>
      <c r="E19">
        <v>534</v>
      </c>
      <c r="F19" s="1">
        <f>VLOOKUP(jablka[[#This Row],[Nazwa]],cennik[],2,0) * jablka[[#This Row],[sprzedaż]]</f>
        <v>1281.5999999999999</v>
      </c>
    </row>
    <row r="20" spans="1:6" x14ac:dyDescent="0.25">
      <c r="A20" s="2">
        <v>44565</v>
      </c>
      <c r="B20" s="1" t="s">
        <v>2</v>
      </c>
      <c r="C20" s="1" t="s">
        <v>16</v>
      </c>
      <c r="D20" s="1" t="s">
        <v>30</v>
      </c>
      <c r="E20">
        <v>438</v>
      </c>
      <c r="F20" s="1">
        <f>VLOOKUP(jablka[[#This Row],[Nazwa]],cennik[],2,0) * jablka[[#This Row],[sprzedaż]]</f>
        <v>1401.6000000000001</v>
      </c>
    </row>
    <row r="21" spans="1:6" x14ac:dyDescent="0.25">
      <c r="A21" s="2">
        <v>44565</v>
      </c>
      <c r="B21" s="1" t="s">
        <v>5</v>
      </c>
      <c r="C21" s="1" t="s">
        <v>16</v>
      </c>
      <c r="D21" s="1" t="s">
        <v>27</v>
      </c>
      <c r="E21">
        <v>34</v>
      </c>
      <c r="F21" s="1">
        <f>VLOOKUP(jablka[[#This Row],[Nazwa]],cennik[],2,0) * jablka[[#This Row],[sprzedaż]]</f>
        <v>115.6</v>
      </c>
    </row>
    <row r="22" spans="1:6" x14ac:dyDescent="0.25">
      <c r="A22" s="2">
        <v>44565</v>
      </c>
      <c r="B22" s="1" t="s">
        <v>10</v>
      </c>
      <c r="C22" s="1" t="s">
        <v>16</v>
      </c>
      <c r="D22" s="1" t="s">
        <v>31</v>
      </c>
      <c r="E22">
        <v>64</v>
      </c>
      <c r="F22" s="1">
        <f>VLOOKUP(jablka[[#This Row],[Nazwa]],cennik[],2,0) * jablka[[#This Row],[sprzedaż]]</f>
        <v>217.6</v>
      </c>
    </row>
    <row r="23" spans="1:6" x14ac:dyDescent="0.25">
      <c r="A23" s="2">
        <v>44565</v>
      </c>
      <c r="B23" s="1" t="s">
        <v>15</v>
      </c>
      <c r="C23" s="1" t="s">
        <v>16</v>
      </c>
      <c r="D23" s="1" t="s">
        <v>32</v>
      </c>
      <c r="E23">
        <v>555</v>
      </c>
      <c r="F23" s="1">
        <f>VLOOKUP(jablka[[#This Row],[Nazwa]],cennik[],2,0) * jablka[[#This Row],[sprzedaż]]</f>
        <v>1332</v>
      </c>
    </row>
    <row r="24" spans="1:6" x14ac:dyDescent="0.25">
      <c r="A24" s="2">
        <v>44565</v>
      </c>
      <c r="B24" s="1" t="s">
        <v>8</v>
      </c>
      <c r="C24" s="1" t="s">
        <v>16</v>
      </c>
      <c r="D24" s="1" t="s">
        <v>32</v>
      </c>
      <c r="E24">
        <v>640</v>
      </c>
      <c r="F24" s="1">
        <f>VLOOKUP(jablka[[#This Row],[Nazwa]],cennik[],2,0) * jablka[[#This Row],[sprzedaż]]</f>
        <v>2240</v>
      </c>
    </row>
    <row r="25" spans="1:6" x14ac:dyDescent="0.25">
      <c r="A25" s="2">
        <v>44565</v>
      </c>
      <c r="B25" s="1" t="s">
        <v>15</v>
      </c>
      <c r="C25" s="1" t="s">
        <v>16</v>
      </c>
      <c r="D25" s="1" t="s">
        <v>33</v>
      </c>
      <c r="E25">
        <v>331</v>
      </c>
      <c r="F25" s="1">
        <f>VLOOKUP(jablka[[#This Row],[Nazwa]],cennik[],2,0) * jablka[[#This Row],[sprzedaż]]</f>
        <v>794.4</v>
      </c>
    </row>
    <row r="26" spans="1:6" x14ac:dyDescent="0.25">
      <c r="A26" s="2">
        <v>44566</v>
      </c>
      <c r="B26" s="1" t="s">
        <v>0</v>
      </c>
      <c r="C26" s="1" t="s">
        <v>16</v>
      </c>
      <c r="D26" s="1" t="s">
        <v>34</v>
      </c>
      <c r="E26">
        <v>114</v>
      </c>
      <c r="F26" s="1">
        <f>VLOOKUP(jablka[[#This Row],[Nazwa]],cennik[],2,0) * jablka[[#This Row],[sprzedaż]]</f>
        <v>330.59999999999997</v>
      </c>
    </row>
    <row r="27" spans="1:6" x14ac:dyDescent="0.25">
      <c r="A27" s="2">
        <v>44566</v>
      </c>
      <c r="B27" s="1" t="s">
        <v>10</v>
      </c>
      <c r="C27" s="1" t="s">
        <v>16</v>
      </c>
      <c r="D27" s="1" t="s">
        <v>35</v>
      </c>
      <c r="E27">
        <v>110</v>
      </c>
      <c r="F27" s="1">
        <f>VLOOKUP(jablka[[#This Row],[Nazwa]],cennik[],2,0) * jablka[[#This Row],[sprzedaż]]</f>
        <v>374</v>
      </c>
    </row>
    <row r="28" spans="1:6" x14ac:dyDescent="0.25">
      <c r="A28" s="2">
        <v>44566</v>
      </c>
      <c r="B28" s="1" t="s">
        <v>7</v>
      </c>
      <c r="C28" s="1" t="s">
        <v>16</v>
      </c>
      <c r="D28" s="1" t="s">
        <v>29</v>
      </c>
      <c r="E28">
        <v>378</v>
      </c>
      <c r="F28" s="1">
        <f>VLOOKUP(jablka[[#This Row],[Nazwa]],cennik[],2,0) * jablka[[#This Row],[sprzedaż]]</f>
        <v>1285.2</v>
      </c>
    </row>
    <row r="29" spans="1:6" x14ac:dyDescent="0.25">
      <c r="A29" s="2">
        <v>44566</v>
      </c>
      <c r="B29" s="1" t="s">
        <v>0</v>
      </c>
      <c r="C29" s="1" t="s">
        <v>16</v>
      </c>
      <c r="D29" s="1" t="s">
        <v>36</v>
      </c>
      <c r="E29">
        <v>206</v>
      </c>
      <c r="F29" s="1">
        <f>VLOOKUP(jablka[[#This Row],[Nazwa]],cennik[],2,0) * jablka[[#This Row],[sprzedaż]]</f>
        <v>597.4</v>
      </c>
    </row>
    <row r="30" spans="1:6" x14ac:dyDescent="0.25">
      <c r="A30" s="2">
        <v>44566</v>
      </c>
      <c r="B30" s="1" t="s">
        <v>8</v>
      </c>
      <c r="C30" s="1" t="s">
        <v>16</v>
      </c>
      <c r="D30" s="1" t="s">
        <v>37</v>
      </c>
      <c r="E30">
        <v>318</v>
      </c>
      <c r="F30" s="1">
        <f>VLOOKUP(jablka[[#This Row],[Nazwa]],cennik[],2,0) * jablka[[#This Row],[sprzedaż]]</f>
        <v>1113</v>
      </c>
    </row>
    <row r="31" spans="1:6" x14ac:dyDescent="0.25">
      <c r="A31" s="2">
        <v>44566</v>
      </c>
      <c r="B31" s="1" t="s">
        <v>8</v>
      </c>
      <c r="C31" s="1" t="s">
        <v>16</v>
      </c>
      <c r="D31" s="1" t="s">
        <v>38</v>
      </c>
      <c r="E31">
        <v>657</v>
      </c>
      <c r="F31" s="1">
        <f>VLOOKUP(jablka[[#This Row],[Nazwa]],cennik[],2,0) * jablka[[#This Row],[sprzedaż]]</f>
        <v>2299.5</v>
      </c>
    </row>
    <row r="32" spans="1:6" x14ac:dyDescent="0.25">
      <c r="A32" s="2">
        <v>44566</v>
      </c>
      <c r="B32" s="1" t="s">
        <v>7</v>
      </c>
      <c r="C32" s="1" t="s">
        <v>16</v>
      </c>
      <c r="D32" s="1" t="s">
        <v>36</v>
      </c>
      <c r="E32">
        <v>316</v>
      </c>
      <c r="F32" s="1">
        <f>VLOOKUP(jablka[[#This Row],[Nazwa]],cennik[],2,0) * jablka[[#This Row],[sprzedaż]]</f>
        <v>1074.3999999999999</v>
      </c>
    </row>
    <row r="33" spans="1:6" x14ac:dyDescent="0.25">
      <c r="A33" s="2">
        <v>44566</v>
      </c>
      <c r="B33" s="1" t="s">
        <v>2</v>
      </c>
      <c r="C33" s="1" t="s">
        <v>16</v>
      </c>
      <c r="D33" s="1" t="s">
        <v>39</v>
      </c>
      <c r="E33">
        <v>139</v>
      </c>
      <c r="F33" s="1">
        <f>VLOOKUP(jablka[[#This Row],[Nazwa]],cennik[],2,0) * jablka[[#This Row],[sprzedaż]]</f>
        <v>444.8</v>
      </c>
    </row>
    <row r="34" spans="1:6" x14ac:dyDescent="0.25">
      <c r="A34" s="2">
        <v>44567</v>
      </c>
      <c r="B34" s="1" t="s">
        <v>6</v>
      </c>
      <c r="C34" s="1" t="s">
        <v>16</v>
      </c>
      <c r="D34" s="1" t="s">
        <v>40</v>
      </c>
      <c r="E34">
        <v>254</v>
      </c>
      <c r="F34" s="1">
        <f>VLOOKUP(jablka[[#This Row],[Nazwa]],cennik[],2,0) * jablka[[#This Row],[sprzedaż]]</f>
        <v>863.6</v>
      </c>
    </row>
    <row r="35" spans="1:6" x14ac:dyDescent="0.25">
      <c r="A35" s="2">
        <v>44567</v>
      </c>
      <c r="B35" s="1" t="s">
        <v>10</v>
      </c>
      <c r="C35" s="1" t="s">
        <v>16</v>
      </c>
      <c r="D35" s="1" t="s">
        <v>37</v>
      </c>
      <c r="E35">
        <v>69</v>
      </c>
      <c r="F35" s="1">
        <f>VLOOKUP(jablka[[#This Row],[Nazwa]],cennik[],2,0) * jablka[[#This Row],[sprzedaż]]</f>
        <v>234.6</v>
      </c>
    </row>
    <row r="36" spans="1:6" x14ac:dyDescent="0.25">
      <c r="A36" s="2">
        <v>44568</v>
      </c>
      <c r="B36" s="1" t="s">
        <v>6</v>
      </c>
      <c r="C36" s="1" t="s">
        <v>16</v>
      </c>
      <c r="D36" s="1" t="s">
        <v>41</v>
      </c>
      <c r="E36">
        <v>141</v>
      </c>
      <c r="F36" s="1">
        <f>VLOOKUP(jablka[[#This Row],[Nazwa]],cennik[],2,0) * jablka[[#This Row],[sprzedaż]]</f>
        <v>479.4</v>
      </c>
    </row>
    <row r="37" spans="1:6" x14ac:dyDescent="0.25">
      <c r="A37" s="2">
        <v>44568</v>
      </c>
      <c r="B37" s="1" t="s">
        <v>4</v>
      </c>
      <c r="C37" s="1" t="s">
        <v>16</v>
      </c>
      <c r="D37" s="1" t="s">
        <v>33</v>
      </c>
      <c r="E37">
        <v>740</v>
      </c>
      <c r="F37" s="1">
        <f>VLOOKUP(jablka[[#This Row],[Nazwa]],cennik[],2,0) * jablka[[#This Row],[sprzedaż]]</f>
        <v>2516</v>
      </c>
    </row>
    <row r="38" spans="1:6" x14ac:dyDescent="0.25">
      <c r="A38" s="2">
        <v>44568</v>
      </c>
      <c r="B38" s="1" t="s">
        <v>4</v>
      </c>
      <c r="C38" s="1" t="s">
        <v>16</v>
      </c>
      <c r="D38" s="1" t="s">
        <v>42</v>
      </c>
      <c r="E38">
        <v>715</v>
      </c>
      <c r="F38" s="1">
        <f>VLOOKUP(jablka[[#This Row],[Nazwa]],cennik[],2,0) * jablka[[#This Row],[sprzedaż]]</f>
        <v>2431</v>
      </c>
    </row>
    <row r="39" spans="1:6" x14ac:dyDescent="0.25">
      <c r="A39" s="2">
        <v>44568</v>
      </c>
      <c r="B39" s="1" t="s">
        <v>6</v>
      </c>
      <c r="C39" s="1" t="s">
        <v>16</v>
      </c>
      <c r="D39" s="1" t="s">
        <v>43</v>
      </c>
      <c r="E39">
        <v>446</v>
      </c>
      <c r="F39" s="1">
        <f>VLOOKUP(jablka[[#This Row],[Nazwa]],cennik[],2,0) * jablka[[#This Row],[sprzedaż]]</f>
        <v>1516.3999999999999</v>
      </c>
    </row>
    <row r="40" spans="1:6" x14ac:dyDescent="0.25">
      <c r="A40" s="2">
        <v>44568</v>
      </c>
      <c r="B40" s="1" t="s">
        <v>7</v>
      </c>
      <c r="C40" s="1" t="s">
        <v>16</v>
      </c>
      <c r="D40" s="1" t="s">
        <v>44</v>
      </c>
      <c r="E40">
        <v>390</v>
      </c>
      <c r="F40" s="1">
        <f>VLOOKUP(jablka[[#This Row],[Nazwa]],cennik[],2,0) * jablka[[#This Row],[sprzedaż]]</f>
        <v>1326</v>
      </c>
    </row>
    <row r="41" spans="1:6" x14ac:dyDescent="0.25">
      <c r="A41" s="2">
        <v>44568</v>
      </c>
      <c r="B41" s="1" t="s">
        <v>0</v>
      </c>
      <c r="C41" s="1" t="s">
        <v>16</v>
      </c>
      <c r="D41" s="1" t="s">
        <v>37</v>
      </c>
      <c r="E41">
        <v>455</v>
      </c>
      <c r="F41" s="1">
        <f>VLOOKUP(jablka[[#This Row],[Nazwa]],cennik[],2,0) * jablka[[#This Row],[sprzedaż]]</f>
        <v>1319.5</v>
      </c>
    </row>
    <row r="42" spans="1:6" x14ac:dyDescent="0.25">
      <c r="A42" s="2">
        <v>44568</v>
      </c>
      <c r="B42" s="1" t="s">
        <v>4</v>
      </c>
      <c r="C42" s="1" t="s">
        <v>16</v>
      </c>
      <c r="D42" s="1" t="s">
        <v>38</v>
      </c>
      <c r="E42">
        <v>323</v>
      </c>
      <c r="F42" s="1">
        <f>VLOOKUP(jablka[[#This Row],[Nazwa]],cennik[],2,0) * jablka[[#This Row],[sprzedaż]]</f>
        <v>1098.2</v>
      </c>
    </row>
    <row r="43" spans="1:6" x14ac:dyDescent="0.25">
      <c r="A43" s="2">
        <v>44568</v>
      </c>
      <c r="B43" s="1" t="s">
        <v>5</v>
      </c>
      <c r="C43" s="1" t="s">
        <v>16</v>
      </c>
      <c r="D43" s="1" t="s">
        <v>27</v>
      </c>
      <c r="E43">
        <v>378</v>
      </c>
      <c r="F43" s="1">
        <f>VLOOKUP(jablka[[#This Row],[Nazwa]],cennik[],2,0) * jablka[[#This Row],[sprzedaż]]</f>
        <v>1285.2</v>
      </c>
    </row>
    <row r="44" spans="1:6" x14ac:dyDescent="0.25">
      <c r="A44" s="2">
        <v>44568</v>
      </c>
      <c r="B44" s="1" t="s">
        <v>5</v>
      </c>
      <c r="C44" s="1" t="s">
        <v>16</v>
      </c>
      <c r="D44" s="1" t="s">
        <v>44</v>
      </c>
      <c r="E44">
        <v>115</v>
      </c>
      <c r="F44" s="1">
        <f>VLOOKUP(jablka[[#This Row],[Nazwa]],cennik[],2,0) * jablka[[#This Row],[sprzedaż]]</f>
        <v>391</v>
      </c>
    </row>
    <row r="45" spans="1:6" x14ac:dyDescent="0.25">
      <c r="A45" s="2">
        <v>44569</v>
      </c>
      <c r="B45" s="1" t="s">
        <v>4</v>
      </c>
      <c r="C45" s="1" t="s">
        <v>16</v>
      </c>
      <c r="D45" s="1" t="s">
        <v>41</v>
      </c>
      <c r="E45">
        <v>629</v>
      </c>
      <c r="F45" s="1">
        <f>VLOOKUP(jablka[[#This Row],[Nazwa]],cennik[],2,0) * jablka[[#This Row],[sprzedaż]]</f>
        <v>2138.6</v>
      </c>
    </row>
    <row r="46" spans="1:6" x14ac:dyDescent="0.25">
      <c r="A46" s="2">
        <v>44569</v>
      </c>
      <c r="B46" s="1" t="s">
        <v>5</v>
      </c>
      <c r="C46" s="1" t="s">
        <v>16</v>
      </c>
      <c r="D46" s="1" t="s">
        <v>23</v>
      </c>
      <c r="E46">
        <v>11</v>
      </c>
      <c r="F46" s="1">
        <f>VLOOKUP(jablka[[#This Row],[Nazwa]],cennik[],2,0) * jablka[[#This Row],[sprzedaż]]</f>
        <v>37.4</v>
      </c>
    </row>
    <row r="47" spans="1:6" x14ac:dyDescent="0.25">
      <c r="A47" s="2">
        <v>44569</v>
      </c>
      <c r="B47" s="1" t="s">
        <v>0</v>
      </c>
      <c r="C47" s="1" t="s">
        <v>16</v>
      </c>
      <c r="D47" s="1" t="s">
        <v>38</v>
      </c>
      <c r="E47">
        <v>270</v>
      </c>
      <c r="F47" s="1">
        <f>VLOOKUP(jablka[[#This Row],[Nazwa]],cennik[],2,0) * jablka[[#This Row],[sprzedaż]]</f>
        <v>783</v>
      </c>
    </row>
    <row r="48" spans="1:6" x14ac:dyDescent="0.25">
      <c r="A48" s="2">
        <v>44569</v>
      </c>
      <c r="B48" s="1" t="s">
        <v>6</v>
      </c>
      <c r="C48" s="1" t="s">
        <v>16</v>
      </c>
      <c r="D48" s="1" t="s">
        <v>45</v>
      </c>
      <c r="E48">
        <v>139</v>
      </c>
      <c r="F48" s="1">
        <f>VLOOKUP(jablka[[#This Row],[Nazwa]],cennik[],2,0) * jablka[[#This Row],[sprzedaż]]</f>
        <v>472.59999999999997</v>
      </c>
    </row>
    <row r="49" spans="1:6" x14ac:dyDescent="0.25">
      <c r="A49" s="2">
        <v>44569</v>
      </c>
      <c r="B49" s="1" t="s">
        <v>8</v>
      </c>
      <c r="C49" s="1" t="s">
        <v>16</v>
      </c>
      <c r="D49" s="1" t="s">
        <v>41</v>
      </c>
      <c r="E49">
        <v>377</v>
      </c>
      <c r="F49" s="1">
        <f>VLOOKUP(jablka[[#This Row],[Nazwa]],cennik[],2,0) * jablka[[#This Row],[sprzedaż]]</f>
        <v>1319.5</v>
      </c>
    </row>
    <row r="50" spans="1:6" x14ac:dyDescent="0.25">
      <c r="A50" s="2">
        <v>44569</v>
      </c>
      <c r="B50" s="1" t="s">
        <v>10</v>
      </c>
      <c r="C50" s="1" t="s">
        <v>16</v>
      </c>
      <c r="D50" s="1" t="s">
        <v>46</v>
      </c>
      <c r="E50">
        <v>371</v>
      </c>
      <c r="F50" s="1">
        <f>VLOOKUP(jablka[[#This Row],[Nazwa]],cennik[],2,0) * jablka[[#This Row],[sprzedaż]]</f>
        <v>1261.3999999999999</v>
      </c>
    </row>
    <row r="51" spans="1:6" x14ac:dyDescent="0.25">
      <c r="A51" s="2">
        <v>44569</v>
      </c>
      <c r="B51" s="1" t="s">
        <v>2</v>
      </c>
      <c r="C51" s="1" t="s">
        <v>16</v>
      </c>
      <c r="D51" s="1" t="s">
        <v>47</v>
      </c>
      <c r="E51">
        <v>288</v>
      </c>
      <c r="F51" s="1">
        <f>VLOOKUP(jablka[[#This Row],[Nazwa]],cennik[],2,0) * jablka[[#This Row],[sprzedaż]]</f>
        <v>921.6</v>
      </c>
    </row>
    <row r="52" spans="1:6" x14ac:dyDescent="0.25">
      <c r="A52" s="2">
        <v>44569</v>
      </c>
      <c r="B52" s="1" t="s">
        <v>15</v>
      </c>
      <c r="C52" s="1" t="s">
        <v>16</v>
      </c>
      <c r="D52" s="1" t="s">
        <v>22</v>
      </c>
      <c r="E52">
        <v>306</v>
      </c>
      <c r="F52" s="1">
        <f>VLOOKUP(jablka[[#This Row],[Nazwa]],cennik[],2,0) * jablka[[#This Row],[sprzedaż]]</f>
        <v>734.4</v>
      </c>
    </row>
    <row r="53" spans="1:6" x14ac:dyDescent="0.25">
      <c r="A53" s="2">
        <v>44569</v>
      </c>
      <c r="B53" s="1" t="s">
        <v>6</v>
      </c>
      <c r="C53" s="1" t="s">
        <v>16</v>
      </c>
      <c r="D53" s="1" t="s">
        <v>19</v>
      </c>
      <c r="E53">
        <v>258</v>
      </c>
      <c r="F53" s="1">
        <f>VLOOKUP(jablka[[#This Row],[Nazwa]],cennik[],2,0) * jablka[[#This Row],[sprzedaż]]</f>
        <v>877.19999999999993</v>
      </c>
    </row>
    <row r="54" spans="1:6" x14ac:dyDescent="0.25">
      <c r="A54" s="2">
        <v>44571</v>
      </c>
      <c r="B54" s="1" t="s">
        <v>15</v>
      </c>
      <c r="C54" s="1" t="s">
        <v>16</v>
      </c>
      <c r="D54" s="1" t="s">
        <v>48</v>
      </c>
      <c r="E54">
        <v>260</v>
      </c>
      <c r="F54" s="1">
        <f>VLOOKUP(jablka[[#This Row],[Nazwa]],cennik[],2,0) * jablka[[#This Row],[sprzedaż]]</f>
        <v>624</v>
      </c>
    </row>
    <row r="55" spans="1:6" x14ac:dyDescent="0.25">
      <c r="A55" s="2">
        <v>44571</v>
      </c>
      <c r="B55" s="1" t="s">
        <v>6</v>
      </c>
      <c r="C55" s="1" t="s">
        <v>16</v>
      </c>
      <c r="D55" s="1" t="s">
        <v>38</v>
      </c>
      <c r="E55">
        <v>103</v>
      </c>
      <c r="F55" s="1">
        <f>VLOOKUP(jablka[[#This Row],[Nazwa]],cennik[],2,0) * jablka[[#This Row],[sprzedaż]]</f>
        <v>350.2</v>
      </c>
    </row>
    <row r="56" spans="1:6" x14ac:dyDescent="0.25">
      <c r="A56" s="2">
        <v>44571</v>
      </c>
      <c r="B56" s="1" t="s">
        <v>10</v>
      </c>
      <c r="C56" s="1" t="s">
        <v>16</v>
      </c>
      <c r="D56" s="1" t="s">
        <v>34</v>
      </c>
      <c r="E56">
        <v>127</v>
      </c>
      <c r="F56" s="1">
        <f>VLOOKUP(jablka[[#This Row],[Nazwa]],cennik[],2,0) * jablka[[#This Row],[sprzedaż]]</f>
        <v>431.8</v>
      </c>
    </row>
    <row r="57" spans="1:6" x14ac:dyDescent="0.25">
      <c r="A57" s="2">
        <v>44571</v>
      </c>
      <c r="B57" s="1" t="s">
        <v>2</v>
      </c>
      <c r="C57" s="1" t="s">
        <v>16</v>
      </c>
      <c r="D57" s="1" t="s">
        <v>49</v>
      </c>
      <c r="E57">
        <v>32</v>
      </c>
      <c r="F57" s="1">
        <f>VLOOKUP(jablka[[#This Row],[Nazwa]],cennik[],2,0) * jablka[[#This Row],[sprzedaż]]</f>
        <v>102.4</v>
      </c>
    </row>
    <row r="58" spans="1:6" x14ac:dyDescent="0.25">
      <c r="A58" s="2">
        <v>44571</v>
      </c>
      <c r="B58" s="1" t="s">
        <v>10</v>
      </c>
      <c r="C58" s="1" t="s">
        <v>16</v>
      </c>
      <c r="D58" s="1" t="s">
        <v>50</v>
      </c>
      <c r="E58">
        <v>196</v>
      </c>
      <c r="F58" s="1">
        <f>VLOOKUP(jablka[[#This Row],[Nazwa]],cennik[],2,0) * jablka[[#This Row],[sprzedaż]]</f>
        <v>666.4</v>
      </c>
    </row>
    <row r="59" spans="1:6" x14ac:dyDescent="0.25">
      <c r="A59" s="2">
        <v>44571</v>
      </c>
      <c r="B59" s="1" t="s">
        <v>6</v>
      </c>
      <c r="C59" s="1" t="s">
        <v>16</v>
      </c>
      <c r="D59" s="1" t="s">
        <v>33</v>
      </c>
      <c r="E59">
        <v>120</v>
      </c>
      <c r="F59" s="1">
        <f>VLOOKUP(jablka[[#This Row],[Nazwa]],cennik[],2,0) * jablka[[#This Row],[sprzedaż]]</f>
        <v>408</v>
      </c>
    </row>
    <row r="60" spans="1:6" x14ac:dyDescent="0.25">
      <c r="A60" s="2">
        <v>44571</v>
      </c>
      <c r="B60" s="1" t="s">
        <v>10</v>
      </c>
      <c r="C60" s="1" t="s">
        <v>16</v>
      </c>
      <c r="D60" s="1" t="s">
        <v>22</v>
      </c>
      <c r="E60">
        <v>372</v>
      </c>
      <c r="F60" s="1">
        <f>VLOOKUP(jablka[[#This Row],[Nazwa]],cennik[],2,0) * jablka[[#This Row],[sprzedaż]]</f>
        <v>1264.8</v>
      </c>
    </row>
    <row r="61" spans="1:6" x14ac:dyDescent="0.25">
      <c r="A61" s="2">
        <v>44571</v>
      </c>
      <c r="B61" s="1" t="s">
        <v>15</v>
      </c>
      <c r="C61" s="1" t="s">
        <v>16</v>
      </c>
      <c r="D61" s="1" t="s">
        <v>51</v>
      </c>
      <c r="E61">
        <v>577</v>
      </c>
      <c r="F61" s="1">
        <f>VLOOKUP(jablka[[#This Row],[Nazwa]],cennik[],2,0) * jablka[[#This Row],[sprzedaż]]</f>
        <v>1384.8</v>
      </c>
    </row>
    <row r="62" spans="1:6" x14ac:dyDescent="0.25">
      <c r="A62" s="2">
        <v>44571</v>
      </c>
      <c r="B62" s="1" t="s">
        <v>5</v>
      </c>
      <c r="C62" s="1" t="s">
        <v>16</v>
      </c>
      <c r="D62" s="1" t="s">
        <v>33</v>
      </c>
      <c r="E62">
        <v>88</v>
      </c>
      <c r="F62" s="1">
        <f>VLOOKUP(jablka[[#This Row],[Nazwa]],cennik[],2,0) * jablka[[#This Row],[sprzedaż]]</f>
        <v>299.2</v>
      </c>
    </row>
    <row r="63" spans="1:6" x14ac:dyDescent="0.25">
      <c r="A63" s="2">
        <v>44571</v>
      </c>
      <c r="B63" s="1" t="s">
        <v>2</v>
      </c>
      <c r="C63" s="1" t="s">
        <v>16</v>
      </c>
      <c r="D63" s="1" t="s">
        <v>52</v>
      </c>
      <c r="E63">
        <v>266</v>
      </c>
      <c r="F63" s="1">
        <f>VLOOKUP(jablka[[#This Row],[Nazwa]],cennik[],2,0) * jablka[[#This Row],[sprzedaż]]</f>
        <v>851.2</v>
      </c>
    </row>
    <row r="64" spans="1:6" x14ac:dyDescent="0.25">
      <c r="A64" s="2">
        <v>44571</v>
      </c>
      <c r="B64" s="1" t="s">
        <v>0</v>
      </c>
      <c r="C64" s="1" t="s">
        <v>16</v>
      </c>
      <c r="D64" s="1" t="s">
        <v>43</v>
      </c>
      <c r="E64">
        <v>85</v>
      </c>
      <c r="F64" s="1">
        <f>VLOOKUP(jablka[[#This Row],[Nazwa]],cennik[],2,0) * jablka[[#This Row],[sprzedaż]]</f>
        <v>246.5</v>
      </c>
    </row>
    <row r="65" spans="1:6" x14ac:dyDescent="0.25">
      <c r="A65" s="2">
        <v>44571</v>
      </c>
      <c r="B65" s="1" t="s">
        <v>7</v>
      </c>
      <c r="C65" s="1" t="s">
        <v>16</v>
      </c>
      <c r="D65" s="1" t="s">
        <v>35</v>
      </c>
      <c r="E65">
        <v>695</v>
      </c>
      <c r="F65" s="1">
        <f>VLOOKUP(jablka[[#This Row],[Nazwa]],cennik[],2,0) * jablka[[#This Row],[sprzedaż]]</f>
        <v>2363</v>
      </c>
    </row>
    <row r="66" spans="1:6" x14ac:dyDescent="0.25">
      <c r="A66" s="2">
        <v>44571</v>
      </c>
      <c r="B66" s="1" t="s">
        <v>0</v>
      </c>
      <c r="C66" s="1" t="s">
        <v>16</v>
      </c>
      <c r="D66" s="1" t="s">
        <v>23</v>
      </c>
      <c r="E66">
        <v>323</v>
      </c>
      <c r="F66" s="1">
        <f>VLOOKUP(jablka[[#This Row],[Nazwa]],cennik[],2,0) * jablka[[#This Row],[sprzedaż]]</f>
        <v>936.69999999999993</v>
      </c>
    </row>
    <row r="67" spans="1:6" x14ac:dyDescent="0.25">
      <c r="A67" s="2">
        <v>44571</v>
      </c>
      <c r="B67" s="1" t="s">
        <v>15</v>
      </c>
      <c r="C67" s="1" t="s">
        <v>16</v>
      </c>
      <c r="D67" s="1" t="s">
        <v>35</v>
      </c>
      <c r="E67">
        <v>232</v>
      </c>
      <c r="F67" s="1">
        <f>VLOOKUP(jablka[[#This Row],[Nazwa]],cennik[],2,0) * jablka[[#This Row],[sprzedaż]]</f>
        <v>556.79999999999995</v>
      </c>
    </row>
    <row r="68" spans="1:6" x14ac:dyDescent="0.25">
      <c r="A68" s="2">
        <v>44571</v>
      </c>
      <c r="B68" s="1" t="s">
        <v>4</v>
      </c>
      <c r="C68" s="1" t="s">
        <v>16</v>
      </c>
      <c r="D68" s="1" t="s">
        <v>53</v>
      </c>
      <c r="E68">
        <v>734</v>
      </c>
      <c r="F68" s="1">
        <f>VLOOKUP(jablka[[#This Row],[Nazwa]],cennik[],2,0) * jablka[[#This Row],[sprzedaż]]</f>
        <v>2495.6</v>
      </c>
    </row>
    <row r="69" spans="1:6" x14ac:dyDescent="0.25">
      <c r="A69" s="2">
        <v>44571</v>
      </c>
      <c r="B69" s="1" t="s">
        <v>5</v>
      </c>
      <c r="C69" s="1" t="s">
        <v>16</v>
      </c>
      <c r="D69" s="1" t="s">
        <v>28</v>
      </c>
      <c r="E69">
        <v>424</v>
      </c>
      <c r="F69" s="1">
        <f>VLOOKUP(jablka[[#This Row],[Nazwa]],cennik[],2,0) * jablka[[#This Row],[sprzedaż]]</f>
        <v>1441.6</v>
      </c>
    </row>
    <row r="70" spans="1:6" x14ac:dyDescent="0.25">
      <c r="A70" s="2">
        <v>44572</v>
      </c>
      <c r="B70" s="1" t="s">
        <v>6</v>
      </c>
      <c r="C70" s="1" t="s">
        <v>16</v>
      </c>
      <c r="D70" s="1" t="s">
        <v>54</v>
      </c>
      <c r="E70">
        <v>254</v>
      </c>
      <c r="F70" s="1">
        <f>VLOOKUP(jablka[[#This Row],[Nazwa]],cennik[],2,0) * jablka[[#This Row],[sprzedaż]]</f>
        <v>863.6</v>
      </c>
    </row>
    <row r="71" spans="1:6" x14ac:dyDescent="0.25">
      <c r="A71" s="2">
        <v>44572</v>
      </c>
      <c r="B71" s="1" t="s">
        <v>2</v>
      </c>
      <c r="C71" s="1" t="s">
        <v>16</v>
      </c>
      <c r="D71" s="1" t="s">
        <v>50</v>
      </c>
      <c r="E71">
        <v>193</v>
      </c>
      <c r="F71" s="1">
        <f>VLOOKUP(jablka[[#This Row],[Nazwa]],cennik[],2,0) * jablka[[#This Row],[sprzedaż]]</f>
        <v>617.6</v>
      </c>
    </row>
    <row r="72" spans="1:6" x14ac:dyDescent="0.25">
      <c r="A72" s="2">
        <v>44572</v>
      </c>
      <c r="B72" s="1" t="s">
        <v>5</v>
      </c>
      <c r="C72" s="1" t="s">
        <v>16</v>
      </c>
      <c r="D72" s="1" t="s">
        <v>55</v>
      </c>
      <c r="E72">
        <v>13</v>
      </c>
      <c r="F72" s="1">
        <f>VLOOKUP(jablka[[#This Row],[Nazwa]],cennik[],2,0) * jablka[[#This Row],[sprzedaż]]</f>
        <v>44.199999999999996</v>
      </c>
    </row>
    <row r="73" spans="1:6" x14ac:dyDescent="0.25">
      <c r="A73" s="2">
        <v>44572</v>
      </c>
      <c r="B73" s="1" t="s">
        <v>6</v>
      </c>
      <c r="C73" s="1" t="s">
        <v>16</v>
      </c>
      <c r="D73" s="1" t="s">
        <v>56</v>
      </c>
      <c r="E73">
        <v>450</v>
      </c>
      <c r="F73" s="1">
        <f>VLOOKUP(jablka[[#This Row],[Nazwa]],cennik[],2,0) * jablka[[#This Row],[sprzedaż]]</f>
        <v>1530</v>
      </c>
    </row>
    <row r="74" spans="1:6" x14ac:dyDescent="0.25">
      <c r="A74" s="2">
        <v>44573</v>
      </c>
      <c r="B74" s="1" t="s">
        <v>8</v>
      </c>
      <c r="C74" s="1" t="s">
        <v>16</v>
      </c>
      <c r="D74" s="1" t="s">
        <v>57</v>
      </c>
      <c r="E74">
        <v>356</v>
      </c>
      <c r="F74" s="1">
        <f>VLOOKUP(jablka[[#This Row],[Nazwa]],cennik[],2,0) * jablka[[#This Row],[sprzedaż]]</f>
        <v>1246</v>
      </c>
    </row>
    <row r="75" spans="1:6" x14ac:dyDescent="0.25">
      <c r="A75" s="2">
        <v>44573</v>
      </c>
      <c r="B75" s="1" t="s">
        <v>7</v>
      </c>
      <c r="C75" s="1" t="s">
        <v>16</v>
      </c>
      <c r="D75" s="1" t="s">
        <v>39</v>
      </c>
      <c r="E75">
        <v>284</v>
      </c>
      <c r="F75" s="1">
        <f>VLOOKUP(jablka[[#This Row],[Nazwa]],cennik[],2,0) * jablka[[#This Row],[sprzedaż]]</f>
        <v>965.6</v>
      </c>
    </row>
    <row r="76" spans="1:6" x14ac:dyDescent="0.25">
      <c r="A76" s="2">
        <v>44573</v>
      </c>
      <c r="B76" s="1" t="s">
        <v>7</v>
      </c>
      <c r="C76" s="1" t="s">
        <v>16</v>
      </c>
      <c r="D76" s="1" t="s">
        <v>57</v>
      </c>
      <c r="E76">
        <v>281</v>
      </c>
      <c r="F76" s="1">
        <f>VLOOKUP(jablka[[#This Row],[Nazwa]],cennik[],2,0) * jablka[[#This Row],[sprzedaż]]</f>
        <v>955.4</v>
      </c>
    </row>
    <row r="77" spans="1:6" x14ac:dyDescent="0.25">
      <c r="A77" s="2">
        <v>44573</v>
      </c>
      <c r="B77" s="1" t="s">
        <v>8</v>
      </c>
      <c r="C77" s="1" t="s">
        <v>16</v>
      </c>
      <c r="D77" s="1" t="s">
        <v>41</v>
      </c>
      <c r="E77">
        <v>415</v>
      </c>
      <c r="F77" s="1">
        <f>VLOOKUP(jablka[[#This Row],[Nazwa]],cennik[],2,0) * jablka[[#This Row],[sprzedaż]]</f>
        <v>1452.5</v>
      </c>
    </row>
    <row r="78" spans="1:6" x14ac:dyDescent="0.25">
      <c r="A78" s="2">
        <v>44573</v>
      </c>
      <c r="B78" s="1" t="s">
        <v>8</v>
      </c>
      <c r="C78" s="1" t="s">
        <v>16</v>
      </c>
      <c r="D78" s="1" t="s">
        <v>21</v>
      </c>
      <c r="E78">
        <v>627</v>
      </c>
      <c r="F78" s="1">
        <f>VLOOKUP(jablka[[#This Row],[Nazwa]],cennik[],2,0) * jablka[[#This Row],[sprzedaż]]</f>
        <v>2194.5</v>
      </c>
    </row>
    <row r="79" spans="1:6" x14ac:dyDescent="0.25">
      <c r="A79" s="2">
        <v>44573</v>
      </c>
      <c r="B79" s="1" t="s">
        <v>10</v>
      </c>
      <c r="C79" s="1" t="s">
        <v>16</v>
      </c>
      <c r="D79" s="1" t="s">
        <v>37</v>
      </c>
      <c r="E79">
        <v>369</v>
      </c>
      <c r="F79" s="1">
        <f>VLOOKUP(jablka[[#This Row],[Nazwa]],cennik[],2,0) * jablka[[#This Row],[sprzedaż]]</f>
        <v>1254.5999999999999</v>
      </c>
    </row>
    <row r="80" spans="1:6" x14ac:dyDescent="0.25">
      <c r="A80" s="2">
        <v>44573</v>
      </c>
      <c r="B80" s="1" t="s">
        <v>0</v>
      </c>
      <c r="C80" s="1" t="s">
        <v>16</v>
      </c>
      <c r="D80" s="1" t="s">
        <v>20</v>
      </c>
      <c r="E80">
        <v>89</v>
      </c>
      <c r="F80" s="1">
        <f>VLOOKUP(jablka[[#This Row],[Nazwa]],cennik[],2,0) * jablka[[#This Row],[sprzedaż]]</f>
        <v>258.09999999999997</v>
      </c>
    </row>
    <row r="81" spans="1:6" x14ac:dyDescent="0.25">
      <c r="A81" s="2">
        <v>44573</v>
      </c>
      <c r="B81" s="1" t="s">
        <v>15</v>
      </c>
      <c r="C81" s="1" t="s">
        <v>16</v>
      </c>
      <c r="D81" s="1" t="s">
        <v>36</v>
      </c>
      <c r="E81">
        <v>579</v>
      </c>
      <c r="F81" s="1">
        <f>VLOOKUP(jablka[[#This Row],[Nazwa]],cennik[],2,0) * jablka[[#This Row],[sprzedaż]]</f>
        <v>1389.6</v>
      </c>
    </row>
    <row r="82" spans="1:6" x14ac:dyDescent="0.25">
      <c r="A82" s="2">
        <v>44573</v>
      </c>
      <c r="B82" s="1" t="s">
        <v>0</v>
      </c>
      <c r="C82" s="1" t="s">
        <v>16</v>
      </c>
      <c r="D82" s="1" t="s">
        <v>22</v>
      </c>
      <c r="E82">
        <v>412</v>
      </c>
      <c r="F82" s="1">
        <f>VLOOKUP(jablka[[#This Row],[Nazwa]],cennik[],2,0) * jablka[[#This Row],[sprzedaż]]</f>
        <v>1194.8</v>
      </c>
    </row>
    <row r="83" spans="1:6" x14ac:dyDescent="0.25">
      <c r="A83" s="2">
        <v>44574</v>
      </c>
      <c r="B83" s="1" t="s">
        <v>8</v>
      </c>
      <c r="C83" s="1" t="s">
        <v>16</v>
      </c>
      <c r="D83" s="1" t="s">
        <v>53</v>
      </c>
      <c r="E83">
        <v>403</v>
      </c>
      <c r="F83" s="1">
        <f>VLOOKUP(jablka[[#This Row],[Nazwa]],cennik[],2,0) * jablka[[#This Row],[sprzedaż]]</f>
        <v>1410.5</v>
      </c>
    </row>
    <row r="84" spans="1:6" x14ac:dyDescent="0.25">
      <c r="A84" s="2">
        <v>44574</v>
      </c>
      <c r="B84" s="1" t="s">
        <v>0</v>
      </c>
      <c r="C84" s="1" t="s">
        <v>16</v>
      </c>
      <c r="D84" s="1" t="s">
        <v>25</v>
      </c>
      <c r="E84">
        <v>92</v>
      </c>
      <c r="F84" s="1">
        <f>VLOOKUP(jablka[[#This Row],[Nazwa]],cennik[],2,0) * jablka[[#This Row],[sprzedaż]]</f>
        <v>266.8</v>
      </c>
    </row>
    <row r="85" spans="1:6" x14ac:dyDescent="0.25">
      <c r="A85" s="2">
        <v>44574</v>
      </c>
      <c r="B85" s="1" t="s">
        <v>7</v>
      </c>
      <c r="C85" s="1" t="s">
        <v>16</v>
      </c>
      <c r="D85" s="1" t="s">
        <v>20</v>
      </c>
      <c r="E85">
        <v>269</v>
      </c>
      <c r="F85" s="1">
        <f>VLOOKUP(jablka[[#This Row],[Nazwa]],cennik[],2,0) * jablka[[#This Row],[sprzedaż]]</f>
        <v>914.6</v>
      </c>
    </row>
    <row r="86" spans="1:6" x14ac:dyDescent="0.25">
      <c r="A86" s="2">
        <v>44574</v>
      </c>
      <c r="B86" s="1" t="s">
        <v>5</v>
      </c>
      <c r="C86" s="1" t="s">
        <v>16</v>
      </c>
      <c r="D86" s="1" t="s">
        <v>33</v>
      </c>
      <c r="E86">
        <v>159</v>
      </c>
      <c r="F86" s="1">
        <f>VLOOKUP(jablka[[#This Row],[Nazwa]],cennik[],2,0) * jablka[[#This Row],[sprzedaż]]</f>
        <v>540.6</v>
      </c>
    </row>
    <row r="87" spans="1:6" x14ac:dyDescent="0.25">
      <c r="A87" s="2">
        <v>44575</v>
      </c>
      <c r="B87" s="1" t="s">
        <v>4</v>
      </c>
      <c r="C87" s="1" t="s">
        <v>16</v>
      </c>
      <c r="D87" s="1" t="s">
        <v>49</v>
      </c>
      <c r="E87">
        <v>752</v>
      </c>
      <c r="F87" s="1">
        <f>VLOOKUP(jablka[[#This Row],[Nazwa]],cennik[],2,0) * jablka[[#This Row],[sprzedaż]]</f>
        <v>2556.7999999999997</v>
      </c>
    </row>
    <row r="88" spans="1:6" x14ac:dyDescent="0.25">
      <c r="A88" s="2">
        <v>44575</v>
      </c>
      <c r="B88" s="1" t="s">
        <v>15</v>
      </c>
      <c r="C88" s="1" t="s">
        <v>16</v>
      </c>
      <c r="D88" s="1" t="s">
        <v>53</v>
      </c>
      <c r="E88">
        <v>408</v>
      </c>
      <c r="F88" s="1">
        <f>VLOOKUP(jablka[[#This Row],[Nazwa]],cennik[],2,0) * jablka[[#This Row],[sprzedaż]]</f>
        <v>979.19999999999993</v>
      </c>
    </row>
    <row r="89" spans="1:6" x14ac:dyDescent="0.25">
      <c r="A89" s="2">
        <v>44575</v>
      </c>
      <c r="B89" s="1" t="s">
        <v>4</v>
      </c>
      <c r="C89" s="1" t="s">
        <v>16</v>
      </c>
      <c r="D89" s="1" t="s">
        <v>18</v>
      </c>
      <c r="E89">
        <v>536</v>
      </c>
      <c r="F89" s="1">
        <f>VLOOKUP(jablka[[#This Row],[Nazwa]],cennik[],2,0) * jablka[[#This Row],[sprzedaż]]</f>
        <v>1822.3999999999999</v>
      </c>
    </row>
    <row r="90" spans="1:6" x14ac:dyDescent="0.25">
      <c r="A90" s="2">
        <v>44575</v>
      </c>
      <c r="B90" s="1" t="s">
        <v>5</v>
      </c>
      <c r="C90" s="1" t="s">
        <v>16</v>
      </c>
      <c r="D90" s="1" t="s">
        <v>47</v>
      </c>
      <c r="E90">
        <v>47</v>
      </c>
      <c r="F90" s="1">
        <f>VLOOKUP(jablka[[#This Row],[Nazwa]],cennik[],2,0) * jablka[[#This Row],[sprzedaż]]</f>
        <v>159.79999999999998</v>
      </c>
    </row>
    <row r="91" spans="1:6" x14ac:dyDescent="0.25">
      <c r="A91" s="2">
        <v>44575</v>
      </c>
      <c r="B91" s="1" t="s">
        <v>2</v>
      </c>
      <c r="C91" s="1" t="s">
        <v>16</v>
      </c>
      <c r="D91" s="1" t="s">
        <v>58</v>
      </c>
      <c r="E91">
        <v>249</v>
      </c>
      <c r="F91" s="1">
        <f>VLOOKUP(jablka[[#This Row],[Nazwa]],cennik[],2,0) * jablka[[#This Row],[sprzedaż]]</f>
        <v>796.80000000000007</v>
      </c>
    </row>
    <row r="92" spans="1:6" x14ac:dyDescent="0.25">
      <c r="A92" s="2">
        <v>44575</v>
      </c>
      <c r="B92" s="1" t="s">
        <v>4</v>
      </c>
      <c r="C92" s="1" t="s">
        <v>16</v>
      </c>
      <c r="D92" s="1" t="s">
        <v>43</v>
      </c>
      <c r="E92">
        <v>566</v>
      </c>
      <c r="F92" s="1">
        <f>VLOOKUP(jablka[[#This Row],[Nazwa]],cennik[],2,0) * jablka[[#This Row],[sprzedaż]]</f>
        <v>1924.3999999999999</v>
      </c>
    </row>
    <row r="93" spans="1:6" x14ac:dyDescent="0.25">
      <c r="A93" s="2">
        <v>44575</v>
      </c>
      <c r="B93" s="1" t="s">
        <v>15</v>
      </c>
      <c r="C93" s="1" t="s">
        <v>16</v>
      </c>
      <c r="D93" s="1" t="s">
        <v>59</v>
      </c>
      <c r="E93">
        <v>364</v>
      </c>
      <c r="F93" s="1">
        <f>VLOOKUP(jablka[[#This Row],[Nazwa]],cennik[],2,0) * jablka[[#This Row],[sprzedaż]]</f>
        <v>873.6</v>
      </c>
    </row>
    <row r="94" spans="1:6" x14ac:dyDescent="0.25">
      <c r="A94" s="2">
        <v>44575</v>
      </c>
      <c r="B94" s="1" t="s">
        <v>10</v>
      </c>
      <c r="C94" s="1" t="s">
        <v>16</v>
      </c>
      <c r="D94" s="1" t="s">
        <v>49</v>
      </c>
      <c r="E94">
        <v>461</v>
      </c>
      <c r="F94" s="1">
        <f>VLOOKUP(jablka[[#This Row],[Nazwa]],cennik[],2,0) * jablka[[#This Row],[sprzedaż]]</f>
        <v>1567.3999999999999</v>
      </c>
    </row>
    <row r="95" spans="1:6" x14ac:dyDescent="0.25">
      <c r="A95" s="2">
        <v>44575</v>
      </c>
      <c r="B95" s="1" t="s">
        <v>0</v>
      </c>
      <c r="C95" s="1" t="s">
        <v>16</v>
      </c>
      <c r="D95" s="1" t="s">
        <v>27</v>
      </c>
      <c r="E95">
        <v>256</v>
      </c>
      <c r="F95" s="1">
        <f>VLOOKUP(jablka[[#This Row],[Nazwa]],cennik[],2,0) * jablka[[#This Row],[sprzedaż]]</f>
        <v>742.4</v>
      </c>
    </row>
    <row r="96" spans="1:6" x14ac:dyDescent="0.25">
      <c r="A96" s="2">
        <v>44575</v>
      </c>
      <c r="B96" s="1" t="s">
        <v>2</v>
      </c>
      <c r="C96" s="1" t="s">
        <v>16</v>
      </c>
      <c r="D96" s="1" t="s">
        <v>21</v>
      </c>
      <c r="E96">
        <v>94</v>
      </c>
      <c r="F96" s="1">
        <f>VLOOKUP(jablka[[#This Row],[Nazwa]],cennik[],2,0) * jablka[[#This Row],[sprzedaż]]</f>
        <v>300.8</v>
      </c>
    </row>
    <row r="97" spans="1:6" x14ac:dyDescent="0.25">
      <c r="A97" s="2">
        <v>44575</v>
      </c>
      <c r="B97" s="1" t="s">
        <v>15</v>
      </c>
      <c r="C97" s="1" t="s">
        <v>16</v>
      </c>
      <c r="D97" s="1" t="s">
        <v>24</v>
      </c>
      <c r="E97">
        <v>115</v>
      </c>
      <c r="F97" s="1">
        <f>VLOOKUP(jablka[[#This Row],[Nazwa]],cennik[],2,0) * jablka[[#This Row],[sprzedaż]]</f>
        <v>276</v>
      </c>
    </row>
    <row r="98" spans="1:6" x14ac:dyDescent="0.25">
      <c r="A98" s="2">
        <v>44575</v>
      </c>
      <c r="B98" s="1" t="s">
        <v>5</v>
      </c>
      <c r="C98" s="1" t="s">
        <v>16</v>
      </c>
      <c r="D98" s="1" t="s">
        <v>52</v>
      </c>
      <c r="E98">
        <v>183</v>
      </c>
      <c r="F98" s="1">
        <f>VLOOKUP(jablka[[#This Row],[Nazwa]],cennik[],2,0) * jablka[[#This Row],[sprzedaż]]</f>
        <v>622.19999999999993</v>
      </c>
    </row>
    <row r="99" spans="1:6" x14ac:dyDescent="0.25">
      <c r="A99" s="2">
        <v>44575</v>
      </c>
      <c r="B99" s="1" t="s">
        <v>0</v>
      </c>
      <c r="C99" s="1" t="s">
        <v>16</v>
      </c>
      <c r="D99" s="1" t="s">
        <v>60</v>
      </c>
      <c r="E99">
        <v>368</v>
      </c>
      <c r="F99" s="1">
        <f>VLOOKUP(jablka[[#This Row],[Nazwa]],cennik[],2,0) * jablka[[#This Row],[sprzedaż]]</f>
        <v>1067.2</v>
      </c>
    </row>
    <row r="100" spans="1:6" x14ac:dyDescent="0.25">
      <c r="A100" s="2">
        <v>44575</v>
      </c>
      <c r="B100" s="1" t="s">
        <v>8</v>
      </c>
      <c r="C100" s="1" t="s">
        <v>16</v>
      </c>
      <c r="D100" s="1" t="s">
        <v>61</v>
      </c>
      <c r="E100">
        <v>463</v>
      </c>
      <c r="F100" s="1">
        <f>VLOOKUP(jablka[[#This Row],[Nazwa]],cennik[],2,0) * jablka[[#This Row],[sprzedaż]]</f>
        <v>1620.5</v>
      </c>
    </row>
    <row r="101" spans="1:6" x14ac:dyDescent="0.25">
      <c r="A101" s="2">
        <v>44576</v>
      </c>
      <c r="B101" s="1" t="s">
        <v>5</v>
      </c>
      <c r="C101" s="1" t="s">
        <v>16</v>
      </c>
      <c r="D101" s="1" t="s">
        <v>49</v>
      </c>
      <c r="E101">
        <v>169</v>
      </c>
      <c r="F101" s="1">
        <f>VLOOKUP(jablka[[#This Row],[Nazwa]],cennik[],2,0) * jablka[[#This Row],[sprzedaż]]</f>
        <v>574.6</v>
      </c>
    </row>
    <row r="102" spans="1:6" x14ac:dyDescent="0.25">
      <c r="A102" s="2">
        <v>44576</v>
      </c>
      <c r="B102" s="1" t="s">
        <v>15</v>
      </c>
      <c r="C102" s="1" t="s">
        <v>16</v>
      </c>
      <c r="D102" s="1" t="s">
        <v>58</v>
      </c>
      <c r="E102">
        <v>556</v>
      </c>
      <c r="F102" s="1">
        <f>VLOOKUP(jablka[[#This Row],[Nazwa]],cennik[],2,0) * jablka[[#This Row],[sprzedaż]]</f>
        <v>1334.3999999999999</v>
      </c>
    </row>
    <row r="103" spans="1:6" x14ac:dyDescent="0.25">
      <c r="A103" s="2">
        <v>44578</v>
      </c>
      <c r="B103" s="1" t="s">
        <v>4</v>
      </c>
      <c r="C103" s="1" t="s">
        <v>16</v>
      </c>
      <c r="D103" s="1" t="s">
        <v>47</v>
      </c>
      <c r="E103">
        <v>583</v>
      </c>
      <c r="F103" s="1">
        <f>VLOOKUP(jablka[[#This Row],[Nazwa]],cennik[],2,0) * jablka[[#This Row],[sprzedaż]]</f>
        <v>1982.2</v>
      </c>
    </row>
    <row r="104" spans="1:6" x14ac:dyDescent="0.25">
      <c r="A104" s="2">
        <v>44578</v>
      </c>
      <c r="B104" s="1" t="s">
        <v>8</v>
      </c>
      <c r="C104" s="1" t="s">
        <v>16</v>
      </c>
      <c r="D104" s="1" t="s">
        <v>36</v>
      </c>
      <c r="E104">
        <v>378</v>
      </c>
      <c r="F104" s="1">
        <f>VLOOKUP(jablka[[#This Row],[Nazwa]],cennik[],2,0) * jablka[[#This Row],[sprzedaż]]</f>
        <v>1323</v>
      </c>
    </row>
    <row r="105" spans="1:6" x14ac:dyDescent="0.25">
      <c r="A105" s="2">
        <v>44578</v>
      </c>
      <c r="B105" s="1" t="s">
        <v>15</v>
      </c>
      <c r="C105" s="1" t="s">
        <v>16</v>
      </c>
      <c r="D105" s="1" t="s">
        <v>40</v>
      </c>
      <c r="E105">
        <v>374</v>
      </c>
      <c r="F105" s="1">
        <f>VLOOKUP(jablka[[#This Row],[Nazwa]],cennik[],2,0) * jablka[[#This Row],[sprzedaż]]</f>
        <v>897.6</v>
      </c>
    </row>
    <row r="106" spans="1:6" x14ac:dyDescent="0.25">
      <c r="A106" s="2">
        <v>44578</v>
      </c>
      <c r="B106" s="1" t="s">
        <v>2</v>
      </c>
      <c r="C106" s="1" t="s">
        <v>16</v>
      </c>
      <c r="D106" s="1" t="s">
        <v>31</v>
      </c>
      <c r="E106">
        <v>308</v>
      </c>
      <c r="F106" s="1">
        <f>VLOOKUP(jablka[[#This Row],[Nazwa]],cennik[],2,0) * jablka[[#This Row],[sprzedaż]]</f>
        <v>985.6</v>
      </c>
    </row>
    <row r="107" spans="1:6" x14ac:dyDescent="0.25">
      <c r="A107" s="2">
        <v>44578</v>
      </c>
      <c r="B107" s="1" t="s">
        <v>15</v>
      </c>
      <c r="C107" s="1" t="s">
        <v>16</v>
      </c>
      <c r="D107" s="1" t="s">
        <v>62</v>
      </c>
      <c r="E107">
        <v>240</v>
      </c>
      <c r="F107" s="1">
        <f>VLOOKUP(jablka[[#This Row],[Nazwa]],cennik[],2,0) * jablka[[#This Row],[sprzedaż]]</f>
        <v>576</v>
      </c>
    </row>
    <row r="108" spans="1:6" x14ac:dyDescent="0.25">
      <c r="A108" s="2">
        <v>44578</v>
      </c>
      <c r="B108" s="1" t="s">
        <v>10</v>
      </c>
      <c r="C108" s="1" t="s">
        <v>16</v>
      </c>
      <c r="D108" s="1" t="s">
        <v>63</v>
      </c>
      <c r="E108">
        <v>298</v>
      </c>
      <c r="F108" s="1">
        <f>VLOOKUP(jablka[[#This Row],[Nazwa]],cennik[],2,0) * jablka[[#This Row],[sprzedaż]]</f>
        <v>1013.1999999999999</v>
      </c>
    </row>
    <row r="109" spans="1:6" x14ac:dyDescent="0.25">
      <c r="A109" s="2">
        <v>44578</v>
      </c>
      <c r="B109" s="1" t="s">
        <v>10</v>
      </c>
      <c r="C109" s="1" t="s">
        <v>16</v>
      </c>
      <c r="D109" s="1" t="s">
        <v>58</v>
      </c>
      <c r="E109">
        <v>272</v>
      </c>
      <c r="F109" s="1">
        <f>VLOOKUP(jablka[[#This Row],[Nazwa]],cennik[],2,0) * jablka[[#This Row],[sprzedaż]]</f>
        <v>924.8</v>
      </c>
    </row>
    <row r="110" spans="1:6" x14ac:dyDescent="0.25">
      <c r="A110" s="2">
        <v>44578</v>
      </c>
      <c r="B110" s="1" t="s">
        <v>7</v>
      </c>
      <c r="C110" s="1" t="s">
        <v>16</v>
      </c>
      <c r="D110" s="1" t="s">
        <v>17</v>
      </c>
      <c r="E110">
        <v>430</v>
      </c>
      <c r="F110" s="1">
        <f>VLOOKUP(jablka[[#This Row],[Nazwa]],cennik[],2,0) * jablka[[#This Row],[sprzedaż]]</f>
        <v>1462</v>
      </c>
    </row>
    <row r="111" spans="1:6" x14ac:dyDescent="0.25">
      <c r="A111" s="2">
        <v>44578</v>
      </c>
      <c r="B111" s="1" t="s">
        <v>8</v>
      </c>
      <c r="C111" s="1" t="s">
        <v>16</v>
      </c>
      <c r="D111" s="1" t="s">
        <v>44</v>
      </c>
      <c r="E111">
        <v>532</v>
      </c>
      <c r="F111" s="1">
        <f>VLOOKUP(jablka[[#This Row],[Nazwa]],cennik[],2,0) * jablka[[#This Row],[sprzedaż]]</f>
        <v>1862</v>
      </c>
    </row>
    <row r="112" spans="1:6" x14ac:dyDescent="0.25">
      <c r="A112" s="2">
        <v>44578</v>
      </c>
      <c r="B112" s="1" t="s">
        <v>7</v>
      </c>
      <c r="C112" s="1" t="s">
        <v>16</v>
      </c>
      <c r="D112" s="1" t="s">
        <v>33</v>
      </c>
      <c r="E112">
        <v>396</v>
      </c>
      <c r="F112" s="1">
        <f>VLOOKUP(jablka[[#This Row],[Nazwa]],cennik[],2,0) * jablka[[#This Row],[sprzedaż]]</f>
        <v>1346.3999999999999</v>
      </c>
    </row>
    <row r="113" spans="1:6" x14ac:dyDescent="0.25">
      <c r="A113" s="2">
        <v>44578</v>
      </c>
      <c r="B113" s="1" t="s">
        <v>6</v>
      </c>
      <c r="C113" s="1" t="s">
        <v>16</v>
      </c>
      <c r="D113" s="1" t="s">
        <v>48</v>
      </c>
      <c r="E113">
        <v>88</v>
      </c>
      <c r="F113" s="1">
        <f>VLOOKUP(jablka[[#This Row],[Nazwa]],cennik[],2,0) * jablka[[#This Row],[sprzedaż]]</f>
        <v>299.2</v>
      </c>
    </row>
    <row r="114" spans="1:6" x14ac:dyDescent="0.25">
      <c r="A114" s="2">
        <v>44578</v>
      </c>
      <c r="B114" s="1" t="s">
        <v>7</v>
      </c>
      <c r="C114" s="1" t="s">
        <v>16</v>
      </c>
      <c r="D114" s="1" t="s">
        <v>47</v>
      </c>
      <c r="E114">
        <v>520</v>
      </c>
      <c r="F114" s="1">
        <f>VLOOKUP(jablka[[#This Row],[Nazwa]],cennik[],2,0) * jablka[[#This Row],[sprzedaż]]</f>
        <v>1768</v>
      </c>
    </row>
    <row r="115" spans="1:6" x14ac:dyDescent="0.25">
      <c r="A115" s="2">
        <v>44578</v>
      </c>
      <c r="B115" s="1" t="s">
        <v>6</v>
      </c>
      <c r="C115" s="1" t="s">
        <v>16</v>
      </c>
      <c r="D115" s="1" t="s">
        <v>39</v>
      </c>
      <c r="E115">
        <v>296</v>
      </c>
      <c r="F115" s="1">
        <f>VLOOKUP(jablka[[#This Row],[Nazwa]],cennik[],2,0) * jablka[[#This Row],[sprzedaż]]</f>
        <v>1006.4</v>
      </c>
    </row>
    <row r="116" spans="1:6" x14ac:dyDescent="0.25">
      <c r="A116" s="2">
        <v>44578</v>
      </c>
      <c r="B116" s="1" t="s">
        <v>10</v>
      </c>
      <c r="C116" s="1" t="s">
        <v>16</v>
      </c>
      <c r="D116" s="1" t="s">
        <v>26</v>
      </c>
      <c r="E116">
        <v>400</v>
      </c>
      <c r="F116" s="1">
        <f>VLOOKUP(jablka[[#This Row],[Nazwa]],cennik[],2,0) * jablka[[#This Row],[sprzedaż]]</f>
        <v>1360</v>
      </c>
    </row>
    <row r="117" spans="1:6" x14ac:dyDescent="0.25">
      <c r="A117" s="2">
        <v>44578</v>
      </c>
      <c r="B117" s="1" t="s">
        <v>15</v>
      </c>
      <c r="C117" s="1" t="s">
        <v>16</v>
      </c>
      <c r="D117" s="1" t="s">
        <v>63</v>
      </c>
      <c r="E117">
        <v>221</v>
      </c>
      <c r="F117" s="1">
        <f>VLOOKUP(jablka[[#This Row],[Nazwa]],cennik[],2,0) * jablka[[#This Row],[sprzedaż]]</f>
        <v>530.4</v>
      </c>
    </row>
    <row r="118" spans="1:6" x14ac:dyDescent="0.25">
      <c r="A118" s="2">
        <v>44578</v>
      </c>
      <c r="B118" s="1" t="s">
        <v>7</v>
      </c>
      <c r="C118" s="1" t="s">
        <v>16</v>
      </c>
      <c r="D118" s="1" t="s">
        <v>49</v>
      </c>
      <c r="E118">
        <v>256</v>
      </c>
      <c r="F118" s="1">
        <f>VLOOKUP(jablka[[#This Row],[Nazwa]],cennik[],2,0) * jablka[[#This Row],[sprzedaż]]</f>
        <v>870.4</v>
      </c>
    </row>
    <row r="119" spans="1:6" x14ac:dyDescent="0.25">
      <c r="A119" s="2">
        <v>44578</v>
      </c>
      <c r="B119" s="1" t="s">
        <v>2</v>
      </c>
      <c r="C119" s="1" t="s">
        <v>16</v>
      </c>
      <c r="D119" s="1" t="s">
        <v>38</v>
      </c>
      <c r="E119">
        <v>19</v>
      </c>
      <c r="F119" s="1">
        <f>VLOOKUP(jablka[[#This Row],[Nazwa]],cennik[],2,0) * jablka[[#This Row],[sprzedaż]]</f>
        <v>60.800000000000004</v>
      </c>
    </row>
    <row r="120" spans="1:6" x14ac:dyDescent="0.25">
      <c r="A120" s="2">
        <v>44578</v>
      </c>
      <c r="B120" s="1" t="s">
        <v>0</v>
      </c>
      <c r="C120" s="1" t="s">
        <v>16</v>
      </c>
      <c r="D120" s="1" t="s">
        <v>57</v>
      </c>
      <c r="E120">
        <v>378</v>
      </c>
      <c r="F120" s="1">
        <f>VLOOKUP(jablka[[#This Row],[Nazwa]],cennik[],2,0) * jablka[[#This Row],[sprzedaż]]</f>
        <v>1096.2</v>
      </c>
    </row>
    <row r="121" spans="1:6" x14ac:dyDescent="0.25">
      <c r="A121" s="2">
        <v>44579</v>
      </c>
      <c r="B121" s="1" t="s">
        <v>2</v>
      </c>
      <c r="C121" s="1" t="s">
        <v>16</v>
      </c>
      <c r="D121" s="1" t="s">
        <v>43</v>
      </c>
      <c r="E121">
        <v>346</v>
      </c>
      <c r="F121" s="1">
        <f>VLOOKUP(jablka[[#This Row],[Nazwa]],cennik[],2,0) * jablka[[#This Row],[sprzedaż]]</f>
        <v>1107.2</v>
      </c>
    </row>
    <row r="122" spans="1:6" x14ac:dyDescent="0.25">
      <c r="A122" s="2">
        <v>44579</v>
      </c>
      <c r="B122" s="1" t="s">
        <v>10</v>
      </c>
      <c r="C122" s="1" t="s">
        <v>16</v>
      </c>
      <c r="D122" s="1" t="s">
        <v>23</v>
      </c>
      <c r="E122">
        <v>419</v>
      </c>
      <c r="F122" s="1">
        <f>VLOOKUP(jablka[[#This Row],[Nazwa]],cennik[],2,0) * jablka[[#This Row],[sprzedaż]]</f>
        <v>1424.6</v>
      </c>
    </row>
    <row r="123" spans="1:6" x14ac:dyDescent="0.25">
      <c r="A123" s="2">
        <v>44579</v>
      </c>
      <c r="B123" s="1" t="s">
        <v>7</v>
      </c>
      <c r="C123" s="1" t="s">
        <v>16</v>
      </c>
      <c r="D123" s="1" t="s">
        <v>45</v>
      </c>
      <c r="E123">
        <v>211</v>
      </c>
      <c r="F123" s="1">
        <f>VLOOKUP(jablka[[#This Row],[Nazwa]],cennik[],2,0) * jablka[[#This Row],[sprzedaż]]</f>
        <v>717.4</v>
      </c>
    </row>
    <row r="124" spans="1:6" x14ac:dyDescent="0.25">
      <c r="A124" s="2">
        <v>44579</v>
      </c>
      <c r="B124" s="1" t="s">
        <v>4</v>
      </c>
      <c r="C124" s="1" t="s">
        <v>16</v>
      </c>
      <c r="D124" s="1" t="s">
        <v>18</v>
      </c>
      <c r="E124">
        <v>577</v>
      </c>
      <c r="F124" s="1">
        <f>VLOOKUP(jablka[[#This Row],[Nazwa]],cennik[],2,0) * jablka[[#This Row],[sprzedaż]]</f>
        <v>1961.8</v>
      </c>
    </row>
    <row r="125" spans="1:6" x14ac:dyDescent="0.25">
      <c r="A125" s="2">
        <v>44579</v>
      </c>
      <c r="B125" s="1" t="s">
        <v>0</v>
      </c>
      <c r="C125" s="1" t="s">
        <v>16</v>
      </c>
      <c r="D125" s="1" t="s">
        <v>26</v>
      </c>
      <c r="E125">
        <v>390</v>
      </c>
      <c r="F125" s="1">
        <f>VLOOKUP(jablka[[#This Row],[Nazwa]],cennik[],2,0) * jablka[[#This Row],[sprzedaż]]</f>
        <v>1131</v>
      </c>
    </row>
    <row r="126" spans="1:6" x14ac:dyDescent="0.25">
      <c r="A126" s="2">
        <v>44579</v>
      </c>
      <c r="B126" s="1" t="s">
        <v>6</v>
      </c>
      <c r="C126" s="1" t="s">
        <v>16</v>
      </c>
      <c r="D126" s="1" t="s">
        <v>26</v>
      </c>
      <c r="E126">
        <v>15</v>
      </c>
      <c r="F126" s="1">
        <f>VLOOKUP(jablka[[#This Row],[Nazwa]],cennik[],2,0) * jablka[[#This Row],[sprzedaż]]</f>
        <v>51</v>
      </c>
    </row>
    <row r="127" spans="1:6" x14ac:dyDescent="0.25">
      <c r="A127" s="2">
        <v>44579</v>
      </c>
      <c r="B127" s="1" t="s">
        <v>15</v>
      </c>
      <c r="C127" s="1" t="s">
        <v>16</v>
      </c>
      <c r="D127" s="1" t="s">
        <v>29</v>
      </c>
      <c r="E127">
        <v>212</v>
      </c>
      <c r="F127" s="1">
        <f>VLOOKUP(jablka[[#This Row],[Nazwa]],cennik[],2,0) * jablka[[#This Row],[sprzedaż]]</f>
        <v>508.79999999999995</v>
      </c>
    </row>
    <row r="128" spans="1:6" x14ac:dyDescent="0.25">
      <c r="A128" s="2">
        <v>44579</v>
      </c>
      <c r="B128" s="1" t="s">
        <v>15</v>
      </c>
      <c r="C128" s="1" t="s">
        <v>16</v>
      </c>
      <c r="D128" s="1" t="s">
        <v>32</v>
      </c>
      <c r="E128">
        <v>419</v>
      </c>
      <c r="F128" s="1">
        <f>VLOOKUP(jablka[[#This Row],[Nazwa]],cennik[],2,0) * jablka[[#This Row],[sprzedaż]]</f>
        <v>1005.5999999999999</v>
      </c>
    </row>
    <row r="129" spans="1:6" x14ac:dyDescent="0.25">
      <c r="A129" s="2">
        <v>44580</v>
      </c>
      <c r="B129" s="1" t="s">
        <v>4</v>
      </c>
      <c r="C129" s="1" t="s">
        <v>16</v>
      </c>
      <c r="D129" s="1" t="s">
        <v>32</v>
      </c>
      <c r="E129">
        <v>511</v>
      </c>
      <c r="F129" s="1">
        <f>VLOOKUP(jablka[[#This Row],[Nazwa]],cennik[],2,0) * jablka[[#This Row],[sprzedaż]]</f>
        <v>1737.3999999999999</v>
      </c>
    </row>
    <row r="130" spans="1:6" x14ac:dyDescent="0.25">
      <c r="A130" s="2">
        <v>44580</v>
      </c>
      <c r="B130" s="1" t="s">
        <v>5</v>
      </c>
      <c r="C130" s="1" t="s">
        <v>16</v>
      </c>
      <c r="D130" s="1" t="s">
        <v>31</v>
      </c>
      <c r="E130">
        <v>447</v>
      </c>
      <c r="F130" s="1">
        <f>VLOOKUP(jablka[[#This Row],[Nazwa]],cennik[],2,0) * jablka[[#This Row],[sprzedaż]]</f>
        <v>1519.8</v>
      </c>
    </row>
    <row r="131" spans="1:6" x14ac:dyDescent="0.25">
      <c r="A131" s="2">
        <v>44580</v>
      </c>
      <c r="B131" s="1" t="s">
        <v>10</v>
      </c>
      <c r="C131" s="1" t="s">
        <v>16</v>
      </c>
      <c r="D131" s="1" t="s">
        <v>52</v>
      </c>
      <c r="E131">
        <v>327</v>
      </c>
      <c r="F131" s="1">
        <f>VLOOKUP(jablka[[#This Row],[Nazwa]],cennik[],2,0) * jablka[[#This Row],[sprzedaż]]</f>
        <v>1111.8</v>
      </c>
    </row>
    <row r="132" spans="1:6" x14ac:dyDescent="0.25">
      <c r="A132" s="2">
        <v>44580</v>
      </c>
      <c r="B132" s="1" t="s">
        <v>7</v>
      </c>
      <c r="C132" s="1" t="s">
        <v>16</v>
      </c>
      <c r="D132" s="1" t="s">
        <v>55</v>
      </c>
      <c r="E132">
        <v>241</v>
      </c>
      <c r="F132" s="1">
        <f>VLOOKUP(jablka[[#This Row],[Nazwa]],cennik[],2,0) * jablka[[#This Row],[sprzedaż]]</f>
        <v>819.4</v>
      </c>
    </row>
    <row r="133" spans="1:6" x14ac:dyDescent="0.25">
      <c r="A133" s="2">
        <v>44580</v>
      </c>
      <c r="B133" s="1" t="s">
        <v>0</v>
      </c>
      <c r="C133" s="1" t="s">
        <v>16</v>
      </c>
      <c r="D133" s="1" t="s">
        <v>36</v>
      </c>
      <c r="E133">
        <v>497</v>
      </c>
      <c r="F133" s="1">
        <f>VLOOKUP(jablka[[#This Row],[Nazwa]],cennik[],2,0) * jablka[[#This Row],[sprzedaż]]</f>
        <v>1441.3</v>
      </c>
    </row>
    <row r="134" spans="1:6" x14ac:dyDescent="0.25">
      <c r="A134" s="2">
        <v>44580</v>
      </c>
      <c r="B134" s="1" t="s">
        <v>2</v>
      </c>
      <c r="C134" s="1" t="s">
        <v>16</v>
      </c>
      <c r="D134" s="1" t="s">
        <v>23</v>
      </c>
      <c r="E134">
        <v>111</v>
      </c>
      <c r="F134" s="1">
        <f>VLOOKUP(jablka[[#This Row],[Nazwa]],cennik[],2,0) * jablka[[#This Row],[sprzedaż]]</f>
        <v>355.20000000000005</v>
      </c>
    </row>
    <row r="135" spans="1:6" x14ac:dyDescent="0.25">
      <c r="A135" s="2">
        <v>44580</v>
      </c>
      <c r="B135" s="1" t="s">
        <v>0</v>
      </c>
      <c r="C135" s="1" t="s">
        <v>16</v>
      </c>
      <c r="D135" s="1" t="s">
        <v>48</v>
      </c>
      <c r="E135">
        <v>482</v>
      </c>
      <c r="F135" s="1">
        <f>VLOOKUP(jablka[[#This Row],[Nazwa]],cennik[],2,0) * jablka[[#This Row],[sprzedaż]]</f>
        <v>1397.8</v>
      </c>
    </row>
    <row r="136" spans="1:6" x14ac:dyDescent="0.25">
      <c r="A136" s="2">
        <v>44580</v>
      </c>
      <c r="B136" s="1" t="s">
        <v>5</v>
      </c>
      <c r="C136" s="1" t="s">
        <v>16</v>
      </c>
      <c r="D136" s="1" t="s">
        <v>36</v>
      </c>
      <c r="E136">
        <v>46</v>
      </c>
      <c r="F136" s="1">
        <f>VLOOKUP(jablka[[#This Row],[Nazwa]],cennik[],2,0) * jablka[[#This Row],[sprzedaż]]</f>
        <v>156.4</v>
      </c>
    </row>
    <row r="137" spans="1:6" x14ac:dyDescent="0.25">
      <c r="A137" s="2">
        <v>44580</v>
      </c>
      <c r="B137" s="1" t="s">
        <v>10</v>
      </c>
      <c r="C137" s="1" t="s">
        <v>16</v>
      </c>
      <c r="D137" s="1" t="s">
        <v>63</v>
      </c>
      <c r="E137">
        <v>385</v>
      </c>
      <c r="F137" s="1">
        <f>VLOOKUP(jablka[[#This Row],[Nazwa]],cennik[],2,0) * jablka[[#This Row],[sprzedaż]]</f>
        <v>1309</v>
      </c>
    </row>
    <row r="138" spans="1:6" x14ac:dyDescent="0.25">
      <c r="A138" s="2">
        <v>44580</v>
      </c>
      <c r="B138" s="1" t="s">
        <v>4</v>
      </c>
      <c r="C138" s="1" t="s">
        <v>16</v>
      </c>
      <c r="D138" s="1" t="s">
        <v>59</v>
      </c>
      <c r="E138">
        <v>717</v>
      </c>
      <c r="F138" s="1">
        <f>VLOOKUP(jablka[[#This Row],[Nazwa]],cennik[],2,0) * jablka[[#This Row],[sprzedaż]]</f>
        <v>2437.7999999999997</v>
      </c>
    </row>
    <row r="139" spans="1:6" x14ac:dyDescent="0.25">
      <c r="A139" s="2">
        <v>44580</v>
      </c>
      <c r="B139" s="1" t="s">
        <v>5</v>
      </c>
      <c r="C139" s="1" t="s">
        <v>16</v>
      </c>
      <c r="D139" s="1" t="s">
        <v>35</v>
      </c>
      <c r="E139">
        <v>11</v>
      </c>
      <c r="F139" s="1">
        <f>VLOOKUP(jablka[[#This Row],[Nazwa]],cennik[],2,0) * jablka[[#This Row],[sprzedaż]]</f>
        <v>37.4</v>
      </c>
    </row>
    <row r="140" spans="1:6" x14ac:dyDescent="0.25">
      <c r="A140" s="2">
        <v>44581</v>
      </c>
      <c r="B140" s="1" t="s">
        <v>6</v>
      </c>
      <c r="C140" s="1" t="s">
        <v>16</v>
      </c>
      <c r="D140" s="1" t="s">
        <v>57</v>
      </c>
      <c r="E140">
        <v>135</v>
      </c>
      <c r="F140" s="1">
        <f>VLOOKUP(jablka[[#This Row],[Nazwa]],cennik[],2,0) * jablka[[#This Row],[sprzedaż]]</f>
        <v>459</v>
      </c>
    </row>
    <row r="141" spans="1:6" x14ac:dyDescent="0.25">
      <c r="A141" s="2">
        <v>44581</v>
      </c>
      <c r="B141" s="1" t="s">
        <v>5</v>
      </c>
      <c r="C141" s="1" t="s">
        <v>16</v>
      </c>
      <c r="D141" s="1" t="s">
        <v>62</v>
      </c>
      <c r="E141">
        <v>234</v>
      </c>
      <c r="F141" s="1">
        <f>VLOOKUP(jablka[[#This Row],[Nazwa]],cennik[],2,0) * jablka[[#This Row],[sprzedaż]]</f>
        <v>795.6</v>
      </c>
    </row>
    <row r="142" spans="1:6" x14ac:dyDescent="0.25">
      <c r="A142" s="2">
        <v>44581</v>
      </c>
      <c r="B142" s="1" t="s">
        <v>15</v>
      </c>
      <c r="C142" s="1" t="s">
        <v>16</v>
      </c>
      <c r="D142" s="1" t="s">
        <v>40</v>
      </c>
      <c r="E142">
        <v>402</v>
      </c>
      <c r="F142" s="1">
        <f>VLOOKUP(jablka[[#This Row],[Nazwa]],cennik[],2,0) * jablka[[#This Row],[sprzedaż]]</f>
        <v>964.8</v>
      </c>
    </row>
    <row r="143" spans="1:6" x14ac:dyDescent="0.25">
      <c r="A143" s="2">
        <v>44581</v>
      </c>
      <c r="B143" s="1" t="s">
        <v>0</v>
      </c>
      <c r="C143" s="1" t="s">
        <v>16</v>
      </c>
      <c r="D143" s="1" t="s">
        <v>38</v>
      </c>
      <c r="E143">
        <v>497</v>
      </c>
      <c r="F143" s="1">
        <f>VLOOKUP(jablka[[#This Row],[Nazwa]],cennik[],2,0) * jablka[[#This Row],[sprzedaż]]</f>
        <v>1441.3</v>
      </c>
    </row>
    <row r="144" spans="1:6" x14ac:dyDescent="0.25">
      <c r="A144" s="2">
        <v>44581</v>
      </c>
      <c r="B144" s="1" t="s">
        <v>15</v>
      </c>
      <c r="C144" s="1" t="s">
        <v>16</v>
      </c>
      <c r="D144" s="1" t="s">
        <v>61</v>
      </c>
      <c r="E144">
        <v>478</v>
      </c>
      <c r="F144" s="1">
        <f>VLOOKUP(jablka[[#This Row],[Nazwa]],cennik[],2,0) * jablka[[#This Row],[sprzedaż]]</f>
        <v>1147.2</v>
      </c>
    </row>
    <row r="145" spans="1:6" x14ac:dyDescent="0.25">
      <c r="A145" s="2">
        <v>44582</v>
      </c>
      <c r="B145" s="1" t="s">
        <v>7</v>
      </c>
      <c r="C145" s="1" t="s">
        <v>16</v>
      </c>
      <c r="D145" s="1" t="s">
        <v>61</v>
      </c>
      <c r="E145">
        <v>361</v>
      </c>
      <c r="F145" s="1">
        <f>VLOOKUP(jablka[[#This Row],[Nazwa]],cennik[],2,0) * jablka[[#This Row],[sprzedaż]]</f>
        <v>1227.3999999999999</v>
      </c>
    </row>
    <row r="146" spans="1:6" x14ac:dyDescent="0.25">
      <c r="A146" s="2">
        <v>44582</v>
      </c>
      <c r="B146" s="1" t="s">
        <v>2</v>
      </c>
      <c r="C146" s="1" t="s">
        <v>16</v>
      </c>
      <c r="D146" s="1" t="s">
        <v>30</v>
      </c>
      <c r="E146">
        <v>410</v>
      </c>
      <c r="F146" s="1">
        <f>VLOOKUP(jablka[[#This Row],[Nazwa]],cennik[],2,0) * jablka[[#This Row],[sprzedaż]]</f>
        <v>1312</v>
      </c>
    </row>
    <row r="147" spans="1:6" x14ac:dyDescent="0.25">
      <c r="A147" s="2">
        <v>44582</v>
      </c>
      <c r="B147" s="1" t="s">
        <v>15</v>
      </c>
      <c r="C147" s="1" t="s">
        <v>16</v>
      </c>
      <c r="D147" s="1" t="s">
        <v>54</v>
      </c>
      <c r="E147">
        <v>482</v>
      </c>
      <c r="F147" s="1">
        <f>VLOOKUP(jablka[[#This Row],[Nazwa]],cennik[],2,0) * jablka[[#This Row],[sprzedaż]]</f>
        <v>1156.8</v>
      </c>
    </row>
    <row r="148" spans="1:6" x14ac:dyDescent="0.25">
      <c r="A148" s="2">
        <v>44582</v>
      </c>
      <c r="B148" s="1" t="s">
        <v>10</v>
      </c>
      <c r="C148" s="1" t="s">
        <v>16</v>
      </c>
      <c r="D148" s="1" t="s">
        <v>45</v>
      </c>
      <c r="E148">
        <v>247</v>
      </c>
      <c r="F148" s="1">
        <f>VLOOKUP(jablka[[#This Row],[Nazwa]],cennik[],2,0) * jablka[[#This Row],[sprzedaż]]</f>
        <v>839.8</v>
      </c>
    </row>
    <row r="149" spans="1:6" x14ac:dyDescent="0.25">
      <c r="A149" s="2">
        <v>44582</v>
      </c>
      <c r="B149" s="1" t="s">
        <v>7</v>
      </c>
      <c r="C149" s="1" t="s">
        <v>16</v>
      </c>
      <c r="D149" s="1" t="s">
        <v>48</v>
      </c>
      <c r="E149">
        <v>212</v>
      </c>
      <c r="F149" s="1">
        <f>VLOOKUP(jablka[[#This Row],[Nazwa]],cennik[],2,0) * jablka[[#This Row],[sprzedaż]]</f>
        <v>720.8</v>
      </c>
    </row>
    <row r="150" spans="1:6" x14ac:dyDescent="0.25">
      <c r="A150" s="2">
        <v>44583</v>
      </c>
      <c r="B150" s="1" t="s">
        <v>8</v>
      </c>
      <c r="C150" s="1" t="s">
        <v>16</v>
      </c>
      <c r="D150" s="1" t="s">
        <v>35</v>
      </c>
      <c r="E150">
        <v>590</v>
      </c>
      <c r="F150" s="1">
        <f>VLOOKUP(jablka[[#This Row],[Nazwa]],cennik[],2,0) * jablka[[#This Row],[sprzedaż]]</f>
        <v>2065</v>
      </c>
    </row>
    <row r="151" spans="1:6" x14ac:dyDescent="0.25">
      <c r="A151" s="2">
        <v>44583</v>
      </c>
      <c r="B151" s="1" t="s">
        <v>5</v>
      </c>
      <c r="C151" s="1" t="s">
        <v>16</v>
      </c>
      <c r="D151" s="1" t="s">
        <v>18</v>
      </c>
      <c r="E151">
        <v>59</v>
      </c>
      <c r="F151" s="1">
        <f>VLOOKUP(jablka[[#This Row],[Nazwa]],cennik[],2,0) * jablka[[#This Row],[sprzedaż]]</f>
        <v>200.6</v>
      </c>
    </row>
    <row r="152" spans="1:6" x14ac:dyDescent="0.25">
      <c r="A152" s="2">
        <v>44585</v>
      </c>
      <c r="B152" s="1" t="s">
        <v>7</v>
      </c>
      <c r="C152" s="1" t="s">
        <v>16</v>
      </c>
      <c r="D152" s="1" t="s">
        <v>47</v>
      </c>
      <c r="E152">
        <v>461</v>
      </c>
      <c r="F152" s="1">
        <f>VLOOKUP(jablka[[#This Row],[Nazwa]],cennik[],2,0) * jablka[[#This Row],[sprzedaż]]</f>
        <v>1567.3999999999999</v>
      </c>
    </row>
    <row r="153" spans="1:6" x14ac:dyDescent="0.25">
      <c r="A153" s="2">
        <v>44585</v>
      </c>
      <c r="B153" s="1" t="s">
        <v>7</v>
      </c>
      <c r="C153" s="1" t="s">
        <v>16</v>
      </c>
      <c r="D153" s="1" t="s">
        <v>49</v>
      </c>
      <c r="E153">
        <v>341</v>
      </c>
      <c r="F153" s="1">
        <f>VLOOKUP(jablka[[#This Row],[Nazwa]],cennik[],2,0) * jablka[[#This Row],[sprzedaż]]</f>
        <v>1159.3999999999999</v>
      </c>
    </row>
    <row r="154" spans="1:6" x14ac:dyDescent="0.25">
      <c r="A154" s="2">
        <v>44585</v>
      </c>
      <c r="B154" s="1" t="s">
        <v>4</v>
      </c>
      <c r="C154" s="1" t="s">
        <v>16</v>
      </c>
      <c r="D154" s="1" t="s">
        <v>19</v>
      </c>
      <c r="E154">
        <v>781</v>
      </c>
      <c r="F154" s="1">
        <f>VLOOKUP(jablka[[#This Row],[Nazwa]],cennik[],2,0) * jablka[[#This Row],[sprzedaż]]</f>
        <v>2655.4</v>
      </c>
    </row>
    <row r="155" spans="1:6" x14ac:dyDescent="0.25">
      <c r="A155" s="2">
        <v>44585</v>
      </c>
      <c r="B155" s="1" t="s">
        <v>5</v>
      </c>
      <c r="C155" s="1" t="s">
        <v>16</v>
      </c>
      <c r="D155" s="1" t="s">
        <v>23</v>
      </c>
      <c r="E155">
        <v>132</v>
      </c>
      <c r="F155" s="1">
        <f>VLOOKUP(jablka[[#This Row],[Nazwa]],cennik[],2,0) * jablka[[#This Row],[sprzedaż]]</f>
        <v>448.8</v>
      </c>
    </row>
    <row r="156" spans="1:6" x14ac:dyDescent="0.25">
      <c r="A156" s="2">
        <v>44585</v>
      </c>
      <c r="B156" s="1" t="s">
        <v>10</v>
      </c>
      <c r="C156" s="1" t="s">
        <v>16</v>
      </c>
      <c r="D156" s="1" t="s">
        <v>54</v>
      </c>
      <c r="E156">
        <v>23</v>
      </c>
      <c r="F156" s="1">
        <f>VLOOKUP(jablka[[#This Row],[Nazwa]],cennik[],2,0) * jablka[[#This Row],[sprzedaż]]</f>
        <v>78.2</v>
      </c>
    </row>
    <row r="157" spans="1:6" x14ac:dyDescent="0.25">
      <c r="A157" s="2">
        <v>44585</v>
      </c>
      <c r="B157" s="1" t="s">
        <v>8</v>
      </c>
      <c r="C157" s="1" t="s">
        <v>16</v>
      </c>
      <c r="D157" s="1" t="s">
        <v>61</v>
      </c>
      <c r="E157">
        <v>424</v>
      </c>
      <c r="F157" s="1">
        <f>VLOOKUP(jablka[[#This Row],[Nazwa]],cennik[],2,0) * jablka[[#This Row],[sprzedaż]]</f>
        <v>1484</v>
      </c>
    </row>
    <row r="158" spans="1:6" x14ac:dyDescent="0.25">
      <c r="A158" s="2">
        <v>44585</v>
      </c>
      <c r="B158" s="1" t="s">
        <v>5</v>
      </c>
      <c r="C158" s="1" t="s">
        <v>16</v>
      </c>
      <c r="D158" s="1" t="s">
        <v>63</v>
      </c>
      <c r="E158">
        <v>186</v>
      </c>
      <c r="F158" s="1">
        <f>VLOOKUP(jablka[[#This Row],[Nazwa]],cennik[],2,0) * jablka[[#This Row],[sprzedaż]]</f>
        <v>632.4</v>
      </c>
    </row>
    <row r="159" spans="1:6" x14ac:dyDescent="0.25">
      <c r="A159" s="2">
        <v>44585</v>
      </c>
      <c r="B159" s="1" t="s">
        <v>5</v>
      </c>
      <c r="C159" s="1" t="s">
        <v>16</v>
      </c>
      <c r="D159" s="1" t="s">
        <v>43</v>
      </c>
      <c r="E159">
        <v>255</v>
      </c>
      <c r="F159" s="1">
        <f>VLOOKUP(jablka[[#This Row],[Nazwa]],cennik[],2,0) * jablka[[#This Row],[sprzedaż]]</f>
        <v>867</v>
      </c>
    </row>
    <row r="160" spans="1:6" x14ac:dyDescent="0.25">
      <c r="A160" s="2">
        <v>44585</v>
      </c>
      <c r="B160" s="1" t="s">
        <v>6</v>
      </c>
      <c r="C160" s="1" t="s">
        <v>16</v>
      </c>
      <c r="D160" s="1" t="s">
        <v>55</v>
      </c>
      <c r="E160">
        <v>113</v>
      </c>
      <c r="F160" s="1">
        <f>VLOOKUP(jablka[[#This Row],[Nazwa]],cennik[],2,0) * jablka[[#This Row],[sprzedaż]]</f>
        <v>384.2</v>
      </c>
    </row>
    <row r="161" spans="1:6" x14ac:dyDescent="0.25">
      <c r="A161" s="2">
        <v>44585</v>
      </c>
      <c r="B161" s="1" t="s">
        <v>4</v>
      </c>
      <c r="C161" s="1" t="s">
        <v>16</v>
      </c>
      <c r="D161" s="1" t="s">
        <v>48</v>
      </c>
      <c r="E161">
        <v>407</v>
      </c>
      <c r="F161" s="1">
        <f>VLOOKUP(jablka[[#This Row],[Nazwa]],cennik[],2,0) * jablka[[#This Row],[sprzedaż]]</f>
        <v>1383.8</v>
      </c>
    </row>
    <row r="162" spans="1:6" x14ac:dyDescent="0.25">
      <c r="A162" s="2">
        <v>44585</v>
      </c>
      <c r="B162" s="1" t="s">
        <v>6</v>
      </c>
      <c r="C162" s="1" t="s">
        <v>16</v>
      </c>
      <c r="D162" s="1" t="s">
        <v>23</v>
      </c>
      <c r="E162">
        <v>339</v>
      </c>
      <c r="F162" s="1">
        <f>VLOOKUP(jablka[[#This Row],[Nazwa]],cennik[],2,0) * jablka[[#This Row],[sprzedaż]]</f>
        <v>1152.5999999999999</v>
      </c>
    </row>
    <row r="163" spans="1:6" x14ac:dyDescent="0.25">
      <c r="A163" s="2">
        <v>44585</v>
      </c>
      <c r="B163" s="1" t="s">
        <v>8</v>
      </c>
      <c r="C163" s="1" t="s">
        <v>16</v>
      </c>
      <c r="D163" s="1" t="s">
        <v>35</v>
      </c>
      <c r="E163">
        <v>374</v>
      </c>
      <c r="F163" s="1">
        <f>VLOOKUP(jablka[[#This Row],[Nazwa]],cennik[],2,0) * jablka[[#This Row],[sprzedaż]]</f>
        <v>1309</v>
      </c>
    </row>
    <row r="164" spans="1:6" x14ac:dyDescent="0.25">
      <c r="A164" s="2">
        <v>44585</v>
      </c>
      <c r="B164" s="1" t="s">
        <v>8</v>
      </c>
      <c r="C164" s="1" t="s">
        <v>16</v>
      </c>
      <c r="D164" s="1" t="s">
        <v>64</v>
      </c>
      <c r="E164">
        <v>305</v>
      </c>
      <c r="F164" s="1">
        <f>VLOOKUP(jablka[[#This Row],[Nazwa]],cennik[],2,0) * jablka[[#This Row],[sprzedaż]]</f>
        <v>1067.5</v>
      </c>
    </row>
    <row r="165" spans="1:6" x14ac:dyDescent="0.25">
      <c r="A165" s="2">
        <v>44585</v>
      </c>
      <c r="B165" s="1" t="s">
        <v>7</v>
      </c>
      <c r="C165" s="1" t="s">
        <v>16</v>
      </c>
      <c r="D165" s="1" t="s">
        <v>61</v>
      </c>
      <c r="E165">
        <v>621</v>
      </c>
      <c r="F165" s="1">
        <f>VLOOKUP(jablka[[#This Row],[Nazwa]],cennik[],2,0) * jablka[[#This Row],[sprzedaż]]</f>
        <v>2111.4</v>
      </c>
    </row>
    <row r="166" spans="1:6" x14ac:dyDescent="0.25">
      <c r="A166" s="2">
        <v>44585</v>
      </c>
      <c r="B166" s="1" t="s">
        <v>4</v>
      </c>
      <c r="C166" s="1" t="s">
        <v>16</v>
      </c>
      <c r="D166" s="1" t="s">
        <v>25</v>
      </c>
      <c r="E166">
        <v>591</v>
      </c>
      <c r="F166" s="1">
        <f>VLOOKUP(jablka[[#This Row],[Nazwa]],cennik[],2,0) * jablka[[#This Row],[sprzedaż]]</f>
        <v>2009.3999999999999</v>
      </c>
    </row>
    <row r="167" spans="1:6" x14ac:dyDescent="0.25">
      <c r="A167" s="2">
        <v>44585</v>
      </c>
      <c r="B167" s="1" t="s">
        <v>6</v>
      </c>
      <c r="C167" s="1" t="s">
        <v>16</v>
      </c>
      <c r="D167" s="1" t="s">
        <v>40</v>
      </c>
      <c r="E167">
        <v>136</v>
      </c>
      <c r="F167" s="1">
        <f>VLOOKUP(jablka[[#This Row],[Nazwa]],cennik[],2,0) * jablka[[#This Row],[sprzedaż]]</f>
        <v>462.4</v>
      </c>
    </row>
    <row r="168" spans="1:6" x14ac:dyDescent="0.25">
      <c r="A168" s="2">
        <v>44585</v>
      </c>
      <c r="B168" s="1" t="s">
        <v>0</v>
      </c>
      <c r="C168" s="1" t="s">
        <v>16</v>
      </c>
      <c r="D168" s="1" t="s">
        <v>30</v>
      </c>
      <c r="E168">
        <v>305</v>
      </c>
      <c r="F168" s="1">
        <f>VLOOKUP(jablka[[#This Row],[Nazwa]],cennik[],2,0) * jablka[[#This Row],[sprzedaż]]</f>
        <v>884.5</v>
      </c>
    </row>
    <row r="169" spans="1:6" x14ac:dyDescent="0.25">
      <c r="A169" s="2">
        <v>44586</v>
      </c>
      <c r="B169" s="1" t="s">
        <v>7</v>
      </c>
      <c r="C169" s="1" t="s">
        <v>16</v>
      </c>
      <c r="D169" s="1" t="s">
        <v>24</v>
      </c>
      <c r="E169">
        <v>447</v>
      </c>
      <c r="F169" s="1">
        <f>VLOOKUP(jablka[[#This Row],[Nazwa]],cennik[],2,0) * jablka[[#This Row],[sprzedaż]]</f>
        <v>1519.8</v>
      </c>
    </row>
    <row r="170" spans="1:6" x14ac:dyDescent="0.25">
      <c r="A170" s="2">
        <v>44586</v>
      </c>
      <c r="B170" s="1" t="s">
        <v>10</v>
      </c>
      <c r="C170" s="1" t="s">
        <v>16</v>
      </c>
      <c r="D170" s="1" t="s">
        <v>52</v>
      </c>
      <c r="E170">
        <v>417</v>
      </c>
      <c r="F170" s="1">
        <f>VLOOKUP(jablka[[#This Row],[Nazwa]],cennik[],2,0) * jablka[[#This Row],[sprzedaż]]</f>
        <v>1417.8</v>
      </c>
    </row>
    <row r="171" spans="1:6" x14ac:dyDescent="0.25">
      <c r="A171" s="2">
        <v>44586</v>
      </c>
      <c r="B171" s="1" t="s">
        <v>4</v>
      </c>
      <c r="C171" s="1" t="s">
        <v>16</v>
      </c>
      <c r="D171" s="1" t="s">
        <v>35</v>
      </c>
      <c r="E171">
        <v>311</v>
      </c>
      <c r="F171" s="1">
        <f>VLOOKUP(jablka[[#This Row],[Nazwa]],cennik[],2,0) * jablka[[#This Row],[sprzedaż]]</f>
        <v>1057.3999999999999</v>
      </c>
    </row>
    <row r="172" spans="1:6" x14ac:dyDescent="0.25">
      <c r="A172" s="2">
        <v>44587</v>
      </c>
      <c r="B172" s="1" t="s">
        <v>6</v>
      </c>
      <c r="C172" s="1" t="s">
        <v>16</v>
      </c>
      <c r="D172" s="1" t="s">
        <v>30</v>
      </c>
      <c r="E172">
        <v>409</v>
      </c>
      <c r="F172" s="1">
        <f>VLOOKUP(jablka[[#This Row],[Nazwa]],cennik[],2,0) * jablka[[#This Row],[sprzedaż]]</f>
        <v>1390.6</v>
      </c>
    </row>
    <row r="173" spans="1:6" x14ac:dyDescent="0.25">
      <c r="A173" s="2">
        <v>44587</v>
      </c>
      <c r="B173" s="1" t="s">
        <v>4</v>
      </c>
      <c r="C173" s="1" t="s">
        <v>16</v>
      </c>
      <c r="D173" s="1" t="s">
        <v>37</v>
      </c>
      <c r="E173">
        <v>646</v>
      </c>
      <c r="F173" s="1">
        <f>VLOOKUP(jablka[[#This Row],[Nazwa]],cennik[],2,0) * jablka[[#This Row],[sprzedaż]]</f>
        <v>2196.4</v>
      </c>
    </row>
    <row r="174" spans="1:6" x14ac:dyDescent="0.25">
      <c r="A174" s="2">
        <v>44587</v>
      </c>
      <c r="B174" s="1" t="s">
        <v>7</v>
      </c>
      <c r="C174" s="1" t="s">
        <v>16</v>
      </c>
      <c r="D174" s="1" t="s">
        <v>18</v>
      </c>
      <c r="E174">
        <v>460</v>
      </c>
      <c r="F174" s="1">
        <f>VLOOKUP(jablka[[#This Row],[Nazwa]],cennik[],2,0) * jablka[[#This Row],[sprzedaż]]</f>
        <v>1564</v>
      </c>
    </row>
    <row r="175" spans="1:6" x14ac:dyDescent="0.25">
      <c r="A175" s="2">
        <v>44587</v>
      </c>
      <c r="B175" s="1" t="s">
        <v>8</v>
      </c>
      <c r="C175" s="1" t="s">
        <v>16</v>
      </c>
      <c r="D175" s="1" t="s">
        <v>30</v>
      </c>
      <c r="E175">
        <v>568</v>
      </c>
      <c r="F175" s="1">
        <f>VLOOKUP(jablka[[#This Row],[Nazwa]],cennik[],2,0) * jablka[[#This Row],[sprzedaż]]</f>
        <v>1988</v>
      </c>
    </row>
    <row r="176" spans="1:6" x14ac:dyDescent="0.25">
      <c r="A176" s="2">
        <v>44587</v>
      </c>
      <c r="B176" s="1" t="s">
        <v>6</v>
      </c>
      <c r="C176" s="1" t="s">
        <v>16</v>
      </c>
      <c r="D176" s="1" t="s">
        <v>24</v>
      </c>
      <c r="E176">
        <v>350</v>
      </c>
      <c r="F176" s="1">
        <f>VLOOKUP(jablka[[#This Row],[Nazwa]],cennik[],2,0) * jablka[[#This Row],[sprzedaż]]</f>
        <v>1190</v>
      </c>
    </row>
    <row r="177" spans="1:6" x14ac:dyDescent="0.25">
      <c r="A177" s="2">
        <v>44587</v>
      </c>
      <c r="B177" s="1" t="s">
        <v>6</v>
      </c>
      <c r="C177" s="1" t="s">
        <v>16</v>
      </c>
      <c r="D177" s="1" t="s">
        <v>28</v>
      </c>
      <c r="E177">
        <v>367</v>
      </c>
      <c r="F177" s="1">
        <f>VLOOKUP(jablka[[#This Row],[Nazwa]],cennik[],2,0) * jablka[[#This Row],[sprzedaż]]</f>
        <v>1247.8</v>
      </c>
    </row>
    <row r="178" spans="1:6" x14ac:dyDescent="0.25">
      <c r="A178" s="2">
        <v>44587</v>
      </c>
      <c r="B178" s="1" t="s">
        <v>2</v>
      </c>
      <c r="C178" s="1" t="s">
        <v>16</v>
      </c>
      <c r="D178" s="1" t="s">
        <v>28</v>
      </c>
      <c r="E178">
        <v>431</v>
      </c>
      <c r="F178" s="1">
        <f>VLOOKUP(jablka[[#This Row],[Nazwa]],cennik[],2,0) * jablka[[#This Row],[sprzedaż]]</f>
        <v>1379.2</v>
      </c>
    </row>
    <row r="179" spans="1:6" x14ac:dyDescent="0.25">
      <c r="A179" s="2">
        <v>44588</v>
      </c>
      <c r="B179" s="1" t="s">
        <v>0</v>
      </c>
      <c r="C179" s="1" t="s">
        <v>16</v>
      </c>
      <c r="D179" s="1" t="s">
        <v>29</v>
      </c>
      <c r="E179">
        <v>389</v>
      </c>
      <c r="F179" s="1">
        <f>VLOOKUP(jablka[[#This Row],[Nazwa]],cennik[],2,0) * jablka[[#This Row],[sprzedaż]]</f>
        <v>1128.0999999999999</v>
      </c>
    </row>
    <row r="180" spans="1:6" x14ac:dyDescent="0.25">
      <c r="A180" s="2">
        <v>44588</v>
      </c>
      <c r="B180" s="1" t="s">
        <v>0</v>
      </c>
      <c r="C180" s="1" t="s">
        <v>16</v>
      </c>
      <c r="D180" s="1" t="s">
        <v>35</v>
      </c>
      <c r="E180">
        <v>415</v>
      </c>
      <c r="F180" s="1">
        <f>VLOOKUP(jablka[[#This Row],[Nazwa]],cennik[],2,0) * jablka[[#This Row],[sprzedaż]]</f>
        <v>1203.5</v>
      </c>
    </row>
    <row r="181" spans="1:6" x14ac:dyDescent="0.25">
      <c r="A181" s="2">
        <v>44588</v>
      </c>
      <c r="B181" s="1" t="s">
        <v>6</v>
      </c>
      <c r="C181" s="1" t="s">
        <v>16</v>
      </c>
      <c r="D181" s="1" t="s">
        <v>56</v>
      </c>
      <c r="E181">
        <v>79</v>
      </c>
      <c r="F181" s="1">
        <f>VLOOKUP(jablka[[#This Row],[Nazwa]],cennik[],2,0) * jablka[[#This Row],[sprzedaż]]</f>
        <v>268.59999999999997</v>
      </c>
    </row>
    <row r="182" spans="1:6" x14ac:dyDescent="0.25">
      <c r="A182" s="2">
        <v>44588</v>
      </c>
      <c r="B182" s="1" t="s">
        <v>6</v>
      </c>
      <c r="C182" s="1" t="s">
        <v>16</v>
      </c>
      <c r="D182" s="1" t="s">
        <v>44</v>
      </c>
      <c r="E182">
        <v>257</v>
      </c>
      <c r="F182" s="1">
        <f>VLOOKUP(jablka[[#This Row],[Nazwa]],cennik[],2,0) * jablka[[#This Row],[sprzedaż]]</f>
        <v>873.8</v>
      </c>
    </row>
    <row r="183" spans="1:6" x14ac:dyDescent="0.25">
      <c r="A183" s="2">
        <v>44588</v>
      </c>
      <c r="B183" s="1" t="s">
        <v>8</v>
      </c>
      <c r="C183" s="1" t="s">
        <v>16</v>
      </c>
      <c r="D183" s="1" t="s">
        <v>24</v>
      </c>
      <c r="E183">
        <v>625</v>
      </c>
      <c r="F183" s="1">
        <f>VLOOKUP(jablka[[#This Row],[Nazwa]],cennik[],2,0) * jablka[[#This Row],[sprzedaż]]</f>
        <v>2187.5</v>
      </c>
    </row>
    <row r="184" spans="1:6" x14ac:dyDescent="0.25">
      <c r="A184" s="2">
        <v>44589</v>
      </c>
      <c r="B184" s="1" t="s">
        <v>10</v>
      </c>
      <c r="C184" s="1" t="s">
        <v>16</v>
      </c>
      <c r="D184" s="1" t="s">
        <v>35</v>
      </c>
      <c r="E184">
        <v>81</v>
      </c>
      <c r="F184" s="1">
        <f>VLOOKUP(jablka[[#This Row],[Nazwa]],cennik[],2,0) * jablka[[#This Row],[sprzedaż]]</f>
        <v>275.39999999999998</v>
      </c>
    </row>
    <row r="185" spans="1:6" x14ac:dyDescent="0.25">
      <c r="A185" s="2">
        <v>44589</v>
      </c>
      <c r="B185" s="1" t="s">
        <v>7</v>
      </c>
      <c r="C185" s="1" t="s">
        <v>16</v>
      </c>
      <c r="D185" s="1" t="s">
        <v>33</v>
      </c>
      <c r="E185">
        <v>337</v>
      </c>
      <c r="F185" s="1">
        <f>VLOOKUP(jablka[[#This Row],[Nazwa]],cennik[],2,0) * jablka[[#This Row],[sprzedaż]]</f>
        <v>1145.8</v>
      </c>
    </row>
    <row r="186" spans="1:6" x14ac:dyDescent="0.25">
      <c r="A186" s="2">
        <v>44589</v>
      </c>
      <c r="B186" s="1" t="s">
        <v>0</v>
      </c>
      <c r="C186" s="1" t="s">
        <v>16</v>
      </c>
      <c r="D186" s="1" t="s">
        <v>42</v>
      </c>
      <c r="E186">
        <v>12</v>
      </c>
      <c r="F186" s="1">
        <f>VLOOKUP(jablka[[#This Row],[Nazwa]],cennik[],2,0) * jablka[[#This Row],[sprzedaż]]</f>
        <v>34.799999999999997</v>
      </c>
    </row>
    <row r="187" spans="1:6" x14ac:dyDescent="0.25">
      <c r="A187" s="2">
        <v>44590</v>
      </c>
      <c r="B187" s="1" t="s">
        <v>5</v>
      </c>
      <c r="C187" s="1" t="s">
        <v>16</v>
      </c>
      <c r="D187" s="1" t="s">
        <v>54</v>
      </c>
      <c r="E187">
        <v>129</v>
      </c>
      <c r="F187" s="1">
        <f>VLOOKUP(jablka[[#This Row],[Nazwa]],cennik[],2,0) * jablka[[#This Row],[sprzedaż]]</f>
        <v>438.59999999999997</v>
      </c>
    </row>
    <row r="188" spans="1:6" x14ac:dyDescent="0.25">
      <c r="A188" s="2">
        <v>44590</v>
      </c>
      <c r="B188" s="1" t="s">
        <v>0</v>
      </c>
      <c r="C188" s="1" t="s">
        <v>16</v>
      </c>
      <c r="D188" s="1" t="s">
        <v>62</v>
      </c>
      <c r="E188">
        <v>301</v>
      </c>
      <c r="F188" s="1">
        <f>VLOOKUP(jablka[[#This Row],[Nazwa]],cennik[],2,0) * jablka[[#This Row],[sprzedaż]]</f>
        <v>872.9</v>
      </c>
    </row>
    <row r="189" spans="1:6" x14ac:dyDescent="0.25">
      <c r="A189" s="2">
        <v>44590</v>
      </c>
      <c r="B189" s="1" t="s">
        <v>0</v>
      </c>
      <c r="C189" s="1" t="s">
        <v>16</v>
      </c>
      <c r="D189" s="1" t="s">
        <v>21</v>
      </c>
      <c r="E189">
        <v>354</v>
      </c>
      <c r="F189" s="1">
        <f>VLOOKUP(jablka[[#This Row],[Nazwa]],cennik[],2,0) * jablka[[#This Row],[sprzedaż]]</f>
        <v>1026.5999999999999</v>
      </c>
    </row>
    <row r="190" spans="1:6" x14ac:dyDescent="0.25">
      <c r="A190" s="2">
        <v>44590</v>
      </c>
      <c r="B190" s="1" t="s">
        <v>2</v>
      </c>
      <c r="C190" s="1" t="s">
        <v>16</v>
      </c>
      <c r="D190" s="1" t="s">
        <v>41</v>
      </c>
      <c r="E190">
        <v>112</v>
      </c>
      <c r="F190" s="1">
        <f>VLOOKUP(jablka[[#This Row],[Nazwa]],cennik[],2,0) * jablka[[#This Row],[sprzedaż]]</f>
        <v>358.40000000000003</v>
      </c>
    </row>
    <row r="191" spans="1:6" x14ac:dyDescent="0.25">
      <c r="A191" s="2">
        <v>44590</v>
      </c>
      <c r="B191" s="1" t="s">
        <v>4</v>
      </c>
      <c r="C191" s="1" t="s">
        <v>16</v>
      </c>
      <c r="D191" s="1" t="s">
        <v>63</v>
      </c>
      <c r="E191">
        <v>783</v>
      </c>
      <c r="F191" s="1">
        <f>VLOOKUP(jablka[[#This Row],[Nazwa]],cennik[],2,0) * jablka[[#This Row],[sprzedaż]]</f>
        <v>2662.2</v>
      </c>
    </row>
    <row r="192" spans="1:6" x14ac:dyDescent="0.25">
      <c r="A192" s="2">
        <v>44590</v>
      </c>
      <c r="B192" s="1" t="s">
        <v>0</v>
      </c>
      <c r="C192" s="1" t="s">
        <v>16</v>
      </c>
      <c r="D192" s="1" t="s">
        <v>60</v>
      </c>
      <c r="E192">
        <v>299</v>
      </c>
      <c r="F192" s="1">
        <f>VLOOKUP(jablka[[#This Row],[Nazwa]],cennik[],2,0) * jablka[[#This Row],[sprzedaż]]</f>
        <v>867.1</v>
      </c>
    </row>
    <row r="193" spans="1:6" x14ac:dyDescent="0.25">
      <c r="A193" s="2">
        <v>44590</v>
      </c>
      <c r="B193" s="1" t="s">
        <v>6</v>
      </c>
      <c r="C193" s="1" t="s">
        <v>16</v>
      </c>
      <c r="D193" s="1" t="s">
        <v>38</v>
      </c>
      <c r="E193">
        <v>145</v>
      </c>
      <c r="F193" s="1">
        <f>VLOOKUP(jablka[[#This Row],[Nazwa]],cennik[],2,0) * jablka[[#This Row],[sprzedaż]]</f>
        <v>493</v>
      </c>
    </row>
    <row r="194" spans="1:6" x14ac:dyDescent="0.25">
      <c r="A194" s="2">
        <v>44592</v>
      </c>
      <c r="B194" s="1" t="s">
        <v>10</v>
      </c>
      <c r="C194" s="1" t="s">
        <v>16</v>
      </c>
      <c r="D194" s="1" t="s">
        <v>21</v>
      </c>
      <c r="E194">
        <v>255</v>
      </c>
      <c r="F194" s="1">
        <f>VLOOKUP(jablka[[#This Row],[Nazwa]],cennik[],2,0) * jablka[[#This Row],[sprzedaż]]</f>
        <v>867</v>
      </c>
    </row>
    <row r="195" spans="1:6" x14ac:dyDescent="0.25">
      <c r="A195" s="2">
        <v>44592</v>
      </c>
      <c r="B195" s="1" t="s">
        <v>4</v>
      </c>
      <c r="C195" s="1" t="s">
        <v>16</v>
      </c>
      <c r="D195" s="1" t="s">
        <v>49</v>
      </c>
      <c r="E195">
        <v>581</v>
      </c>
      <c r="F195" s="1">
        <f>VLOOKUP(jablka[[#This Row],[Nazwa]],cennik[],2,0) * jablka[[#This Row],[sprzedaż]]</f>
        <v>1975.3999999999999</v>
      </c>
    </row>
    <row r="196" spans="1:6" x14ac:dyDescent="0.25">
      <c r="A196" s="2">
        <v>44592</v>
      </c>
      <c r="B196" s="1" t="s">
        <v>15</v>
      </c>
      <c r="C196" s="1" t="s">
        <v>16</v>
      </c>
      <c r="D196" s="1" t="s">
        <v>60</v>
      </c>
      <c r="E196">
        <v>197</v>
      </c>
      <c r="F196" s="1">
        <f>VLOOKUP(jablka[[#This Row],[Nazwa]],cennik[],2,0) * jablka[[#This Row],[sprzedaż]]</f>
        <v>472.79999999999995</v>
      </c>
    </row>
    <row r="197" spans="1:6" x14ac:dyDescent="0.25">
      <c r="A197" s="2">
        <v>44592</v>
      </c>
      <c r="B197" s="1" t="s">
        <v>4</v>
      </c>
      <c r="C197" s="1" t="s">
        <v>16</v>
      </c>
      <c r="D197" s="1" t="s">
        <v>40</v>
      </c>
      <c r="E197">
        <v>493</v>
      </c>
      <c r="F197" s="1">
        <f>VLOOKUP(jablka[[#This Row],[Nazwa]],cennik[],2,0) * jablka[[#This Row],[sprzedaż]]</f>
        <v>1676.2</v>
      </c>
    </row>
    <row r="198" spans="1:6" x14ac:dyDescent="0.25">
      <c r="A198" s="2">
        <v>44592</v>
      </c>
      <c r="B198" s="1" t="s">
        <v>15</v>
      </c>
      <c r="C198" s="1" t="s">
        <v>16</v>
      </c>
      <c r="D198" s="1" t="s">
        <v>17</v>
      </c>
      <c r="E198">
        <v>321</v>
      </c>
      <c r="F198" s="1">
        <f>VLOOKUP(jablka[[#This Row],[Nazwa]],cennik[],2,0) * jablka[[#This Row],[sprzedaż]]</f>
        <v>770.4</v>
      </c>
    </row>
    <row r="199" spans="1:6" x14ac:dyDescent="0.25">
      <c r="A199" s="2">
        <v>44592</v>
      </c>
      <c r="B199" s="1" t="s">
        <v>0</v>
      </c>
      <c r="C199" s="1" t="s">
        <v>16</v>
      </c>
      <c r="D199" s="1" t="s">
        <v>52</v>
      </c>
      <c r="E199">
        <v>18</v>
      </c>
      <c r="F199" s="1">
        <f>VLOOKUP(jablka[[#This Row],[Nazwa]],cennik[],2,0) * jablka[[#This Row],[sprzedaż]]</f>
        <v>52.199999999999996</v>
      </c>
    </row>
    <row r="200" spans="1:6" x14ac:dyDescent="0.25">
      <c r="A200" s="2">
        <v>44592</v>
      </c>
      <c r="B200" s="1" t="s">
        <v>0</v>
      </c>
      <c r="C200" s="1" t="s">
        <v>16</v>
      </c>
      <c r="D200" s="1" t="s">
        <v>53</v>
      </c>
      <c r="E200">
        <v>45</v>
      </c>
      <c r="F200" s="1">
        <f>VLOOKUP(jablka[[#This Row],[Nazwa]],cennik[],2,0) * jablka[[#This Row],[sprzedaż]]</f>
        <v>130.5</v>
      </c>
    </row>
    <row r="201" spans="1:6" x14ac:dyDescent="0.25">
      <c r="A201" s="2">
        <v>44592</v>
      </c>
      <c r="B201" s="1" t="s">
        <v>4</v>
      </c>
      <c r="C201" s="1" t="s">
        <v>16</v>
      </c>
      <c r="D201" s="1" t="s">
        <v>49</v>
      </c>
      <c r="E201">
        <v>712</v>
      </c>
      <c r="F201" s="1">
        <f>VLOOKUP(jablka[[#This Row],[Nazwa]],cennik[],2,0) * jablka[[#This Row],[sprzedaż]]</f>
        <v>2420.7999999999997</v>
      </c>
    </row>
    <row r="202" spans="1:6" x14ac:dyDescent="0.25">
      <c r="A202" s="2">
        <v>44592</v>
      </c>
      <c r="B202" s="1" t="s">
        <v>7</v>
      </c>
      <c r="C202" s="1" t="s">
        <v>16</v>
      </c>
      <c r="D202" s="1" t="s">
        <v>55</v>
      </c>
      <c r="E202">
        <v>317</v>
      </c>
      <c r="F202" s="1">
        <f>VLOOKUP(jablka[[#This Row],[Nazwa]],cennik[],2,0) * jablka[[#This Row],[sprzedaż]]</f>
        <v>1077.8</v>
      </c>
    </row>
    <row r="203" spans="1:6" x14ac:dyDescent="0.25">
      <c r="A203" s="2">
        <v>44592</v>
      </c>
      <c r="B203" s="1" t="s">
        <v>15</v>
      </c>
      <c r="C203" s="1" t="s">
        <v>16</v>
      </c>
      <c r="D203" s="1" t="s">
        <v>61</v>
      </c>
      <c r="E203">
        <v>272</v>
      </c>
      <c r="F203" s="1">
        <f>VLOOKUP(jablka[[#This Row],[Nazwa]],cennik[],2,0) * jablka[[#This Row],[sprzedaż]]</f>
        <v>652.79999999999995</v>
      </c>
    </row>
    <row r="204" spans="1:6" x14ac:dyDescent="0.25">
      <c r="A204" s="2">
        <v>44592</v>
      </c>
      <c r="B204" s="1" t="s">
        <v>0</v>
      </c>
      <c r="C204" s="1" t="s">
        <v>16</v>
      </c>
      <c r="D204" s="1" t="s">
        <v>41</v>
      </c>
      <c r="E204">
        <v>301</v>
      </c>
      <c r="F204" s="1">
        <f>VLOOKUP(jablka[[#This Row],[Nazwa]],cennik[],2,0) * jablka[[#This Row],[sprzedaż]]</f>
        <v>872.9</v>
      </c>
    </row>
    <row r="205" spans="1:6" x14ac:dyDescent="0.25">
      <c r="A205" s="2">
        <v>44592</v>
      </c>
      <c r="B205" s="1" t="s">
        <v>8</v>
      </c>
      <c r="C205" s="1" t="s">
        <v>16</v>
      </c>
      <c r="D205" s="1" t="s">
        <v>50</v>
      </c>
      <c r="E205">
        <v>605</v>
      </c>
      <c r="F205" s="1">
        <f>VLOOKUP(jablka[[#This Row],[Nazwa]],cennik[],2,0) * jablka[[#This Row],[sprzedaż]]</f>
        <v>2117.5</v>
      </c>
    </row>
    <row r="206" spans="1:6" x14ac:dyDescent="0.25">
      <c r="A206" s="2">
        <v>44592</v>
      </c>
      <c r="B206" s="1" t="s">
        <v>2</v>
      </c>
      <c r="C206" s="1" t="s">
        <v>16</v>
      </c>
      <c r="D206" s="1" t="s">
        <v>61</v>
      </c>
      <c r="E206">
        <v>283</v>
      </c>
      <c r="F206" s="1">
        <f>VLOOKUP(jablka[[#This Row],[Nazwa]],cennik[],2,0) * jablka[[#This Row],[sprzedaż]]</f>
        <v>905.6</v>
      </c>
    </row>
    <row r="207" spans="1:6" x14ac:dyDescent="0.25">
      <c r="A207" s="2">
        <v>44592</v>
      </c>
      <c r="B207" s="1" t="s">
        <v>6</v>
      </c>
      <c r="C207" s="1" t="s">
        <v>16</v>
      </c>
      <c r="D207" s="1" t="s">
        <v>41</v>
      </c>
      <c r="E207">
        <v>361</v>
      </c>
      <c r="F207" s="1">
        <f>VLOOKUP(jablka[[#This Row],[Nazwa]],cennik[],2,0) * jablka[[#This Row],[sprzedaż]]</f>
        <v>1227.3999999999999</v>
      </c>
    </row>
    <row r="208" spans="1:6" x14ac:dyDescent="0.25">
      <c r="A208" s="2">
        <v>44592</v>
      </c>
      <c r="B208" s="1" t="s">
        <v>0</v>
      </c>
      <c r="C208" s="1" t="s">
        <v>16</v>
      </c>
      <c r="D208" s="1" t="s">
        <v>37</v>
      </c>
      <c r="E208">
        <v>148</v>
      </c>
      <c r="F208" s="1">
        <f>VLOOKUP(jablka[[#This Row],[Nazwa]],cennik[],2,0) * jablka[[#This Row],[sprzedaż]]</f>
        <v>429.2</v>
      </c>
    </row>
    <row r="209" spans="1:6" x14ac:dyDescent="0.25">
      <c r="A209" s="2">
        <v>44593</v>
      </c>
      <c r="B209" s="1" t="s">
        <v>5</v>
      </c>
      <c r="C209" s="1" t="s">
        <v>16</v>
      </c>
      <c r="D209" s="1" t="s">
        <v>40</v>
      </c>
      <c r="E209">
        <v>144</v>
      </c>
      <c r="F209" s="1">
        <f>VLOOKUP(jablka[[#This Row],[Nazwa]],cennik[],2,0) * jablka[[#This Row],[sprzedaż]]</f>
        <v>489.59999999999997</v>
      </c>
    </row>
    <row r="210" spans="1:6" x14ac:dyDescent="0.25">
      <c r="A210" s="2">
        <v>44593</v>
      </c>
      <c r="B210" s="1" t="s">
        <v>15</v>
      </c>
      <c r="C210" s="1" t="s">
        <v>16</v>
      </c>
      <c r="D210" s="1" t="s">
        <v>46</v>
      </c>
      <c r="E210">
        <v>206</v>
      </c>
      <c r="F210" s="1">
        <f>VLOOKUP(jablka[[#This Row],[Nazwa]],cennik[],2,0) * jablka[[#This Row],[sprzedaż]]</f>
        <v>494.4</v>
      </c>
    </row>
    <row r="211" spans="1:6" x14ac:dyDescent="0.25">
      <c r="A211" s="2">
        <v>44593</v>
      </c>
      <c r="B211" s="1" t="s">
        <v>2</v>
      </c>
      <c r="C211" s="1" t="s">
        <v>16</v>
      </c>
      <c r="D211" s="1" t="s">
        <v>50</v>
      </c>
      <c r="E211">
        <v>412</v>
      </c>
      <c r="F211" s="1">
        <f>VLOOKUP(jablka[[#This Row],[Nazwa]],cennik[],2,0) * jablka[[#This Row],[sprzedaż]]</f>
        <v>1318.4</v>
      </c>
    </row>
    <row r="212" spans="1:6" x14ac:dyDescent="0.25">
      <c r="A212" s="2">
        <v>44593</v>
      </c>
      <c r="B212" s="1" t="s">
        <v>10</v>
      </c>
      <c r="C212" s="1" t="s">
        <v>16</v>
      </c>
      <c r="D212" s="1" t="s">
        <v>43</v>
      </c>
      <c r="E212">
        <v>129</v>
      </c>
      <c r="F212" s="1">
        <f>VLOOKUP(jablka[[#This Row],[Nazwa]],cennik[],2,0) * jablka[[#This Row],[sprzedaż]]</f>
        <v>438.59999999999997</v>
      </c>
    </row>
    <row r="213" spans="1:6" x14ac:dyDescent="0.25">
      <c r="A213" s="2">
        <v>44593</v>
      </c>
      <c r="B213" s="1" t="s">
        <v>5</v>
      </c>
      <c r="C213" s="1" t="s">
        <v>16</v>
      </c>
      <c r="D213" s="1" t="s">
        <v>44</v>
      </c>
      <c r="E213">
        <v>289</v>
      </c>
      <c r="F213" s="1">
        <f>VLOOKUP(jablka[[#This Row],[Nazwa]],cennik[],2,0) * jablka[[#This Row],[sprzedaż]]</f>
        <v>982.6</v>
      </c>
    </row>
    <row r="214" spans="1:6" x14ac:dyDescent="0.25">
      <c r="A214" s="2">
        <v>44593</v>
      </c>
      <c r="B214" s="1" t="s">
        <v>2</v>
      </c>
      <c r="C214" s="1" t="s">
        <v>16</v>
      </c>
      <c r="D214" s="1" t="s">
        <v>30</v>
      </c>
      <c r="E214">
        <v>67</v>
      </c>
      <c r="F214" s="1">
        <f>VLOOKUP(jablka[[#This Row],[Nazwa]],cennik[],2,0) * jablka[[#This Row],[sprzedaż]]</f>
        <v>214.4</v>
      </c>
    </row>
    <row r="215" spans="1:6" x14ac:dyDescent="0.25">
      <c r="A215" s="2">
        <v>44593</v>
      </c>
      <c r="B215" s="1" t="s">
        <v>10</v>
      </c>
      <c r="C215" s="1" t="s">
        <v>16</v>
      </c>
      <c r="D215" s="1" t="s">
        <v>17</v>
      </c>
      <c r="E215">
        <v>310</v>
      </c>
      <c r="F215" s="1">
        <f>VLOOKUP(jablka[[#This Row],[Nazwa]],cennik[],2,0) * jablka[[#This Row],[sprzedaż]]</f>
        <v>1054</v>
      </c>
    </row>
    <row r="216" spans="1:6" x14ac:dyDescent="0.25">
      <c r="A216" s="2">
        <v>44593</v>
      </c>
      <c r="B216" s="1" t="s">
        <v>4</v>
      </c>
      <c r="C216" s="1" t="s">
        <v>16</v>
      </c>
      <c r="D216" s="1" t="s">
        <v>46</v>
      </c>
      <c r="E216">
        <v>440</v>
      </c>
      <c r="F216" s="1">
        <f>VLOOKUP(jablka[[#This Row],[Nazwa]],cennik[],2,0) * jablka[[#This Row],[sprzedaż]]</f>
        <v>1496</v>
      </c>
    </row>
    <row r="217" spans="1:6" x14ac:dyDescent="0.25">
      <c r="A217" s="2">
        <v>44593</v>
      </c>
      <c r="B217" s="1" t="s">
        <v>6</v>
      </c>
      <c r="C217" s="1" t="s">
        <v>16</v>
      </c>
      <c r="D217" s="1" t="s">
        <v>38</v>
      </c>
      <c r="E217">
        <v>341</v>
      </c>
      <c r="F217" s="1">
        <f>VLOOKUP(jablka[[#This Row],[Nazwa]],cennik[],2,0) * jablka[[#This Row],[sprzedaż]]</f>
        <v>1159.3999999999999</v>
      </c>
    </row>
    <row r="218" spans="1:6" x14ac:dyDescent="0.25">
      <c r="A218" s="2">
        <v>44593</v>
      </c>
      <c r="B218" s="1" t="s">
        <v>5</v>
      </c>
      <c r="C218" s="1" t="s">
        <v>16</v>
      </c>
      <c r="D218" s="1" t="s">
        <v>38</v>
      </c>
      <c r="E218">
        <v>25</v>
      </c>
      <c r="F218" s="1">
        <f>VLOOKUP(jablka[[#This Row],[Nazwa]],cennik[],2,0) * jablka[[#This Row],[sprzedaż]]</f>
        <v>85</v>
      </c>
    </row>
    <row r="219" spans="1:6" x14ac:dyDescent="0.25">
      <c r="A219" s="2">
        <v>44593</v>
      </c>
      <c r="B219" s="1" t="s">
        <v>4</v>
      </c>
      <c r="C219" s="1" t="s">
        <v>16</v>
      </c>
      <c r="D219" s="1" t="s">
        <v>59</v>
      </c>
      <c r="E219">
        <v>508</v>
      </c>
      <c r="F219" s="1">
        <f>VLOOKUP(jablka[[#This Row],[Nazwa]],cennik[],2,0) * jablka[[#This Row],[sprzedaż]]</f>
        <v>1727.2</v>
      </c>
    </row>
    <row r="220" spans="1:6" x14ac:dyDescent="0.25">
      <c r="A220" s="2">
        <v>44594</v>
      </c>
      <c r="B220" s="1" t="s">
        <v>2</v>
      </c>
      <c r="C220" s="1" t="s">
        <v>16</v>
      </c>
      <c r="D220" s="1" t="s">
        <v>49</v>
      </c>
      <c r="E220">
        <v>429</v>
      </c>
      <c r="F220" s="1">
        <f>VLOOKUP(jablka[[#This Row],[Nazwa]],cennik[],2,0) * jablka[[#This Row],[sprzedaż]]</f>
        <v>1372.8000000000002</v>
      </c>
    </row>
    <row r="221" spans="1:6" x14ac:dyDescent="0.25">
      <c r="A221" s="2">
        <v>44594</v>
      </c>
      <c r="B221" s="1" t="s">
        <v>10</v>
      </c>
      <c r="C221" s="1" t="s">
        <v>16</v>
      </c>
      <c r="D221" s="1" t="s">
        <v>40</v>
      </c>
      <c r="E221">
        <v>100</v>
      </c>
      <c r="F221" s="1">
        <f>VLOOKUP(jablka[[#This Row],[Nazwa]],cennik[],2,0) * jablka[[#This Row],[sprzedaż]]</f>
        <v>340</v>
      </c>
    </row>
    <row r="222" spans="1:6" x14ac:dyDescent="0.25">
      <c r="A222" s="2">
        <v>44594</v>
      </c>
      <c r="B222" s="1" t="s">
        <v>15</v>
      </c>
      <c r="C222" s="1" t="s">
        <v>16</v>
      </c>
      <c r="D222" s="1" t="s">
        <v>17</v>
      </c>
      <c r="E222">
        <v>559</v>
      </c>
      <c r="F222" s="1">
        <f>VLOOKUP(jablka[[#This Row],[Nazwa]],cennik[],2,0) * jablka[[#This Row],[sprzedaż]]</f>
        <v>1341.6</v>
      </c>
    </row>
    <row r="223" spans="1:6" x14ac:dyDescent="0.25">
      <c r="A223" s="2">
        <v>44594</v>
      </c>
      <c r="B223" s="1" t="s">
        <v>5</v>
      </c>
      <c r="C223" s="1" t="s">
        <v>16</v>
      </c>
      <c r="D223" s="1" t="s">
        <v>27</v>
      </c>
      <c r="E223">
        <v>483</v>
      </c>
      <c r="F223" s="1">
        <f>VLOOKUP(jablka[[#This Row],[Nazwa]],cennik[],2,0) * jablka[[#This Row],[sprzedaż]]</f>
        <v>1642.2</v>
      </c>
    </row>
    <row r="224" spans="1:6" x14ac:dyDescent="0.25">
      <c r="A224" s="2">
        <v>44594</v>
      </c>
      <c r="B224" s="1" t="s">
        <v>4</v>
      </c>
      <c r="C224" s="1" t="s">
        <v>16</v>
      </c>
      <c r="D224" s="1" t="s">
        <v>65</v>
      </c>
      <c r="E224">
        <v>481</v>
      </c>
      <c r="F224" s="1">
        <f>VLOOKUP(jablka[[#This Row],[Nazwa]],cennik[],2,0) * jablka[[#This Row],[sprzedaż]]</f>
        <v>1635.3999999999999</v>
      </c>
    </row>
    <row r="225" spans="1:6" x14ac:dyDescent="0.25">
      <c r="A225" s="2">
        <v>44594</v>
      </c>
      <c r="B225" s="1" t="s">
        <v>5</v>
      </c>
      <c r="C225" s="1" t="s">
        <v>16</v>
      </c>
      <c r="D225" s="1" t="s">
        <v>55</v>
      </c>
      <c r="E225">
        <v>19</v>
      </c>
      <c r="F225" s="1">
        <f>VLOOKUP(jablka[[#This Row],[Nazwa]],cennik[],2,0) * jablka[[#This Row],[sprzedaż]]</f>
        <v>64.599999999999994</v>
      </c>
    </row>
    <row r="226" spans="1:6" x14ac:dyDescent="0.25">
      <c r="A226" s="2">
        <v>44594</v>
      </c>
      <c r="B226" s="1" t="s">
        <v>8</v>
      </c>
      <c r="C226" s="1" t="s">
        <v>16</v>
      </c>
      <c r="D226" s="1" t="s">
        <v>33</v>
      </c>
      <c r="E226">
        <v>344</v>
      </c>
      <c r="F226" s="1">
        <f>VLOOKUP(jablka[[#This Row],[Nazwa]],cennik[],2,0) * jablka[[#This Row],[sprzedaż]]</f>
        <v>1204</v>
      </c>
    </row>
    <row r="227" spans="1:6" x14ac:dyDescent="0.25">
      <c r="A227" s="2">
        <v>44594</v>
      </c>
      <c r="B227" s="1" t="s">
        <v>7</v>
      </c>
      <c r="C227" s="1" t="s">
        <v>16</v>
      </c>
      <c r="D227" s="1" t="s">
        <v>34</v>
      </c>
      <c r="E227">
        <v>650</v>
      </c>
      <c r="F227" s="1">
        <f>VLOOKUP(jablka[[#This Row],[Nazwa]],cennik[],2,0) * jablka[[#This Row],[sprzedaż]]</f>
        <v>2210</v>
      </c>
    </row>
    <row r="228" spans="1:6" x14ac:dyDescent="0.25">
      <c r="A228" s="2">
        <v>44595</v>
      </c>
      <c r="B228" s="1" t="s">
        <v>10</v>
      </c>
      <c r="C228" s="1" t="s">
        <v>16</v>
      </c>
      <c r="D228" s="1" t="s">
        <v>41</v>
      </c>
      <c r="E228">
        <v>187</v>
      </c>
      <c r="F228" s="1">
        <f>VLOOKUP(jablka[[#This Row],[Nazwa]],cennik[],2,0) * jablka[[#This Row],[sprzedaż]]</f>
        <v>635.79999999999995</v>
      </c>
    </row>
    <row r="229" spans="1:6" x14ac:dyDescent="0.25">
      <c r="A229" s="2">
        <v>44595</v>
      </c>
      <c r="B229" s="1" t="s">
        <v>0</v>
      </c>
      <c r="C229" s="1" t="s">
        <v>16</v>
      </c>
      <c r="D229" s="1" t="s">
        <v>28</v>
      </c>
      <c r="E229">
        <v>433</v>
      </c>
      <c r="F229" s="1">
        <f>VLOOKUP(jablka[[#This Row],[Nazwa]],cennik[],2,0) * jablka[[#This Row],[sprzedaż]]</f>
        <v>1255.7</v>
      </c>
    </row>
    <row r="230" spans="1:6" x14ac:dyDescent="0.25">
      <c r="A230" s="2">
        <v>44595</v>
      </c>
      <c r="B230" s="1" t="s">
        <v>6</v>
      </c>
      <c r="C230" s="1" t="s">
        <v>16</v>
      </c>
      <c r="D230" s="1" t="s">
        <v>32</v>
      </c>
      <c r="E230">
        <v>180</v>
      </c>
      <c r="F230" s="1">
        <f>VLOOKUP(jablka[[#This Row],[Nazwa]],cennik[],2,0) * jablka[[#This Row],[sprzedaż]]</f>
        <v>612</v>
      </c>
    </row>
    <row r="231" spans="1:6" x14ac:dyDescent="0.25">
      <c r="A231" s="2">
        <v>44595</v>
      </c>
      <c r="B231" s="1" t="s">
        <v>8</v>
      </c>
      <c r="C231" s="1" t="s">
        <v>16</v>
      </c>
      <c r="D231" s="1" t="s">
        <v>21</v>
      </c>
      <c r="E231">
        <v>367</v>
      </c>
      <c r="F231" s="1">
        <f>VLOOKUP(jablka[[#This Row],[Nazwa]],cennik[],2,0) * jablka[[#This Row],[sprzedaż]]</f>
        <v>1284.5</v>
      </c>
    </row>
    <row r="232" spans="1:6" x14ac:dyDescent="0.25">
      <c r="A232" s="2">
        <v>44595</v>
      </c>
      <c r="B232" s="1" t="s">
        <v>8</v>
      </c>
      <c r="C232" s="1" t="s">
        <v>16</v>
      </c>
      <c r="D232" s="1" t="s">
        <v>48</v>
      </c>
      <c r="E232">
        <v>231</v>
      </c>
      <c r="F232" s="1">
        <f>VLOOKUP(jablka[[#This Row],[Nazwa]],cennik[],2,0) * jablka[[#This Row],[sprzedaż]]</f>
        <v>808.5</v>
      </c>
    </row>
    <row r="233" spans="1:6" x14ac:dyDescent="0.25">
      <c r="A233" s="2">
        <v>44595</v>
      </c>
      <c r="B233" s="1" t="s">
        <v>10</v>
      </c>
      <c r="C233" s="1" t="s">
        <v>16</v>
      </c>
      <c r="D233" s="1" t="s">
        <v>48</v>
      </c>
      <c r="E233">
        <v>255</v>
      </c>
      <c r="F233" s="1">
        <f>VLOOKUP(jablka[[#This Row],[Nazwa]],cennik[],2,0) * jablka[[#This Row],[sprzedaż]]</f>
        <v>867</v>
      </c>
    </row>
    <row r="234" spans="1:6" x14ac:dyDescent="0.25">
      <c r="A234" s="2">
        <v>44595</v>
      </c>
      <c r="B234" s="1" t="s">
        <v>8</v>
      </c>
      <c r="C234" s="1" t="s">
        <v>16</v>
      </c>
      <c r="D234" s="1" t="s">
        <v>25</v>
      </c>
      <c r="E234">
        <v>551</v>
      </c>
      <c r="F234" s="1">
        <f>VLOOKUP(jablka[[#This Row],[Nazwa]],cennik[],2,0) * jablka[[#This Row],[sprzedaż]]</f>
        <v>1928.5</v>
      </c>
    </row>
    <row r="235" spans="1:6" x14ac:dyDescent="0.25">
      <c r="A235" s="2">
        <v>44596</v>
      </c>
      <c r="B235" s="1" t="s">
        <v>15</v>
      </c>
      <c r="C235" s="1" t="s">
        <v>16</v>
      </c>
      <c r="D235" s="1" t="s">
        <v>26</v>
      </c>
      <c r="E235">
        <v>149</v>
      </c>
      <c r="F235" s="1">
        <f>VLOOKUP(jablka[[#This Row],[Nazwa]],cennik[],2,0) * jablka[[#This Row],[sprzedaż]]</f>
        <v>357.59999999999997</v>
      </c>
    </row>
    <row r="236" spans="1:6" x14ac:dyDescent="0.25">
      <c r="A236" s="2">
        <v>44596</v>
      </c>
      <c r="B236" s="1" t="s">
        <v>4</v>
      </c>
      <c r="C236" s="1" t="s">
        <v>16</v>
      </c>
      <c r="D236" s="1" t="s">
        <v>33</v>
      </c>
      <c r="E236">
        <v>697</v>
      </c>
      <c r="F236" s="1">
        <f>VLOOKUP(jablka[[#This Row],[Nazwa]],cennik[],2,0) * jablka[[#This Row],[sprzedaż]]</f>
        <v>2369.7999999999997</v>
      </c>
    </row>
    <row r="237" spans="1:6" x14ac:dyDescent="0.25">
      <c r="A237" s="2">
        <v>44596</v>
      </c>
      <c r="B237" s="1" t="s">
        <v>8</v>
      </c>
      <c r="C237" s="1" t="s">
        <v>16</v>
      </c>
      <c r="D237" s="1" t="s">
        <v>18</v>
      </c>
      <c r="E237">
        <v>433</v>
      </c>
      <c r="F237" s="1">
        <f>VLOOKUP(jablka[[#This Row],[Nazwa]],cennik[],2,0) * jablka[[#This Row],[sprzedaż]]</f>
        <v>1515.5</v>
      </c>
    </row>
    <row r="238" spans="1:6" x14ac:dyDescent="0.25">
      <c r="A238" s="2">
        <v>44596</v>
      </c>
      <c r="B238" s="1" t="s">
        <v>4</v>
      </c>
      <c r="C238" s="1" t="s">
        <v>16</v>
      </c>
      <c r="D238" s="1" t="s">
        <v>29</v>
      </c>
      <c r="E238">
        <v>737</v>
      </c>
      <c r="F238" s="1">
        <f>VLOOKUP(jablka[[#This Row],[Nazwa]],cennik[],2,0) * jablka[[#This Row],[sprzedaż]]</f>
        <v>2505.7999999999997</v>
      </c>
    </row>
    <row r="239" spans="1:6" x14ac:dyDescent="0.25">
      <c r="A239" s="2">
        <v>44596</v>
      </c>
      <c r="B239" s="1" t="s">
        <v>10</v>
      </c>
      <c r="C239" s="1" t="s">
        <v>16</v>
      </c>
      <c r="D239" s="1" t="s">
        <v>47</v>
      </c>
      <c r="E239">
        <v>366</v>
      </c>
      <c r="F239" s="1">
        <f>VLOOKUP(jablka[[#This Row],[Nazwa]],cennik[],2,0) * jablka[[#This Row],[sprzedaż]]</f>
        <v>1244.3999999999999</v>
      </c>
    </row>
    <row r="240" spans="1:6" x14ac:dyDescent="0.25">
      <c r="A240" s="2">
        <v>44597</v>
      </c>
      <c r="B240" s="1" t="s">
        <v>0</v>
      </c>
      <c r="C240" s="1" t="s">
        <v>16</v>
      </c>
      <c r="D240" s="1" t="s">
        <v>57</v>
      </c>
      <c r="E240">
        <v>90</v>
      </c>
      <c r="F240" s="1">
        <f>VLOOKUP(jablka[[#This Row],[Nazwa]],cennik[],2,0) * jablka[[#This Row],[sprzedaż]]</f>
        <v>261</v>
      </c>
    </row>
    <row r="241" spans="1:6" x14ac:dyDescent="0.25">
      <c r="A241" s="2">
        <v>44597</v>
      </c>
      <c r="B241" s="1" t="s">
        <v>0</v>
      </c>
      <c r="C241" s="1" t="s">
        <v>16</v>
      </c>
      <c r="D241" s="1" t="s">
        <v>47</v>
      </c>
      <c r="E241">
        <v>96</v>
      </c>
      <c r="F241" s="1">
        <f>VLOOKUP(jablka[[#This Row],[Nazwa]],cennik[],2,0) * jablka[[#This Row],[sprzedaż]]</f>
        <v>278.39999999999998</v>
      </c>
    </row>
    <row r="242" spans="1:6" x14ac:dyDescent="0.25">
      <c r="A242" s="2">
        <v>44597</v>
      </c>
      <c r="B242" s="1" t="s">
        <v>8</v>
      </c>
      <c r="C242" s="1" t="s">
        <v>16</v>
      </c>
      <c r="D242" s="1" t="s">
        <v>66</v>
      </c>
      <c r="E242">
        <v>524</v>
      </c>
      <c r="F242" s="1">
        <f>VLOOKUP(jablka[[#This Row],[Nazwa]],cennik[],2,0) * jablka[[#This Row],[sprzedaż]]</f>
        <v>1834</v>
      </c>
    </row>
    <row r="243" spans="1:6" x14ac:dyDescent="0.25">
      <c r="A243" s="2">
        <v>44597</v>
      </c>
      <c r="B243" s="1" t="s">
        <v>2</v>
      </c>
      <c r="C243" s="1" t="s">
        <v>16</v>
      </c>
      <c r="D243" s="1" t="s">
        <v>44</v>
      </c>
      <c r="E243">
        <v>100</v>
      </c>
      <c r="F243" s="1">
        <f>VLOOKUP(jablka[[#This Row],[Nazwa]],cennik[],2,0) * jablka[[#This Row],[sprzedaż]]</f>
        <v>320</v>
      </c>
    </row>
    <row r="244" spans="1:6" x14ac:dyDescent="0.25">
      <c r="A244" s="2">
        <v>44597</v>
      </c>
      <c r="B244" s="1" t="s">
        <v>5</v>
      </c>
      <c r="C244" s="1" t="s">
        <v>16</v>
      </c>
      <c r="D244" s="1" t="s">
        <v>27</v>
      </c>
      <c r="E244">
        <v>84</v>
      </c>
      <c r="F244" s="1">
        <f>VLOOKUP(jablka[[#This Row],[Nazwa]],cennik[],2,0) * jablka[[#This Row],[sprzedaż]]</f>
        <v>285.59999999999997</v>
      </c>
    </row>
    <row r="245" spans="1:6" x14ac:dyDescent="0.25">
      <c r="A245" s="2">
        <v>44597</v>
      </c>
      <c r="B245" s="1" t="s">
        <v>10</v>
      </c>
      <c r="C245" s="1" t="s">
        <v>16</v>
      </c>
      <c r="D245" s="1" t="s">
        <v>17</v>
      </c>
      <c r="E245">
        <v>388</v>
      </c>
      <c r="F245" s="1">
        <f>VLOOKUP(jablka[[#This Row],[Nazwa]],cennik[],2,0) * jablka[[#This Row],[sprzedaż]]</f>
        <v>1319.2</v>
      </c>
    </row>
    <row r="246" spans="1:6" x14ac:dyDescent="0.25">
      <c r="A246" s="2">
        <v>44597</v>
      </c>
      <c r="B246" s="1" t="s">
        <v>6</v>
      </c>
      <c r="C246" s="1" t="s">
        <v>16</v>
      </c>
      <c r="D246" s="1" t="s">
        <v>50</v>
      </c>
      <c r="E246">
        <v>353</v>
      </c>
      <c r="F246" s="1">
        <f>VLOOKUP(jablka[[#This Row],[Nazwa]],cennik[],2,0) * jablka[[#This Row],[sprzedaż]]</f>
        <v>1200.2</v>
      </c>
    </row>
    <row r="247" spans="1:6" x14ac:dyDescent="0.25">
      <c r="A247" s="2">
        <v>44599</v>
      </c>
      <c r="B247" s="1" t="s">
        <v>10</v>
      </c>
      <c r="C247" s="1" t="s">
        <v>16</v>
      </c>
      <c r="D247" s="1" t="s">
        <v>49</v>
      </c>
      <c r="E247">
        <v>185</v>
      </c>
      <c r="F247" s="1">
        <f>VLOOKUP(jablka[[#This Row],[Nazwa]],cennik[],2,0) * jablka[[#This Row],[sprzedaż]]</f>
        <v>629</v>
      </c>
    </row>
    <row r="248" spans="1:6" x14ac:dyDescent="0.25">
      <c r="A248" s="2">
        <v>44599</v>
      </c>
      <c r="B248" s="1" t="s">
        <v>7</v>
      </c>
      <c r="C248" s="1" t="s">
        <v>16</v>
      </c>
      <c r="D248" s="1" t="s">
        <v>21</v>
      </c>
      <c r="E248">
        <v>388</v>
      </c>
      <c r="F248" s="1">
        <f>VLOOKUP(jablka[[#This Row],[Nazwa]],cennik[],2,0) * jablka[[#This Row],[sprzedaż]]</f>
        <v>1319.2</v>
      </c>
    </row>
    <row r="249" spans="1:6" x14ac:dyDescent="0.25">
      <c r="A249" s="2">
        <v>44599</v>
      </c>
      <c r="B249" s="1" t="s">
        <v>6</v>
      </c>
      <c r="C249" s="1" t="s">
        <v>16</v>
      </c>
      <c r="D249" s="1" t="s">
        <v>18</v>
      </c>
      <c r="E249">
        <v>476</v>
      </c>
      <c r="F249" s="1">
        <f>VLOOKUP(jablka[[#This Row],[Nazwa]],cennik[],2,0) * jablka[[#This Row],[sprzedaż]]</f>
        <v>1618.3999999999999</v>
      </c>
    </row>
    <row r="250" spans="1:6" x14ac:dyDescent="0.25">
      <c r="A250" s="2">
        <v>44599</v>
      </c>
      <c r="B250" s="1" t="s">
        <v>4</v>
      </c>
      <c r="C250" s="1" t="s">
        <v>16</v>
      </c>
      <c r="D250" s="1" t="s">
        <v>41</v>
      </c>
      <c r="E250">
        <v>330</v>
      </c>
      <c r="F250" s="1">
        <f>VLOOKUP(jablka[[#This Row],[Nazwa]],cennik[],2,0) * jablka[[#This Row],[sprzedaż]]</f>
        <v>1122</v>
      </c>
    </row>
    <row r="251" spans="1:6" x14ac:dyDescent="0.25">
      <c r="A251" s="2">
        <v>44599</v>
      </c>
      <c r="B251" s="1" t="s">
        <v>2</v>
      </c>
      <c r="C251" s="1" t="s">
        <v>16</v>
      </c>
      <c r="D251" s="1" t="s">
        <v>41</v>
      </c>
      <c r="E251">
        <v>34</v>
      </c>
      <c r="F251" s="1">
        <f>VLOOKUP(jablka[[#This Row],[Nazwa]],cennik[],2,0) * jablka[[#This Row],[sprzedaż]]</f>
        <v>108.80000000000001</v>
      </c>
    </row>
    <row r="252" spans="1:6" x14ac:dyDescent="0.25">
      <c r="A252" s="2">
        <v>44599</v>
      </c>
      <c r="B252" s="1" t="s">
        <v>10</v>
      </c>
      <c r="C252" s="1" t="s">
        <v>16</v>
      </c>
      <c r="D252" s="1" t="s">
        <v>57</v>
      </c>
      <c r="E252">
        <v>44</v>
      </c>
      <c r="F252" s="1">
        <f>VLOOKUP(jablka[[#This Row],[Nazwa]],cennik[],2,0) * jablka[[#This Row],[sprzedaż]]</f>
        <v>149.6</v>
      </c>
    </row>
    <row r="253" spans="1:6" x14ac:dyDescent="0.25">
      <c r="A253" s="2">
        <v>44599</v>
      </c>
      <c r="B253" s="1" t="s">
        <v>4</v>
      </c>
      <c r="C253" s="1" t="s">
        <v>16</v>
      </c>
      <c r="D253" s="1" t="s">
        <v>64</v>
      </c>
      <c r="E253">
        <v>602</v>
      </c>
      <c r="F253" s="1">
        <f>VLOOKUP(jablka[[#This Row],[Nazwa]],cennik[],2,0) * jablka[[#This Row],[sprzedaż]]</f>
        <v>2046.8</v>
      </c>
    </row>
    <row r="254" spans="1:6" x14ac:dyDescent="0.25">
      <c r="A254" s="2">
        <v>44599</v>
      </c>
      <c r="B254" s="1" t="s">
        <v>2</v>
      </c>
      <c r="C254" s="1" t="s">
        <v>16</v>
      </c>
      <c r="D254" s="1" t="s">
        <v>33</v>
      </c>
      <c r="E254">
        <v>107</v>
      </c>
      <c r="F254" s="1">
        <f>VLOOKUP(jablka[[#This Row],[Nazwa]],cennik[],2,0) * jablka[[#This Row],[sprzedaż]]</f>
        <v>342.40000000000003</v>
      </c>
    </row>
    <row r="255" spans="1:6" x14ac:dyDescent="0.25">
      <c r="A255" s="2">
        <v>44599</v>
      </c>
      <c r="B255" s="1" t="s">
        <v>8</v>
      </c>
      <c r="C255" s="1" t="s">
        <v>16</v>
      </c>
      <c r="D255" s="1" t="s">
        <v>28</v>
      </c>
      <c r="E255">
        <v>335</v>
      </c>
      <c r="F255" s="1">
        <f>VLOOKUP(jablka[[#This Row],[Nazwa]],cennik[],2,0) * jablka[[#This Row],[sprzedaż]]</f>
        <v>1172.5</v>
      </c>
    </row>
    <row r="256" spans="1:6" x14ac:dyDescent="0.25">
      <c r="A256" s="2">
        <v>44599</v>
      </c>
      <c r="B256" s="1" t="s">
        <v>4</v>
      </c>
      <c r="C256" s="1" t="s">
        <v>16</v>
      </c>
      <c r="D256" s="1" t="s">
        <v>59</v>
      </c>
      <c r="E256">
        <v>317</v>
      </c>
      <c r="F256" s="1">
        <f>VLOOKUP(jablka[[#This Row],[Nazwa]],cennik[],2,0) * jablka[[#This Row],[sprzedaż]]</f>
        <v>1077.8</v>
      </c>
    </row>
    <row r="257" spans="1:6" x14ac:dyDescent="0.25">
      <c r="A257" s="2">
        <v>44599</v>
      </c>
      <c r="B257" s="1" t="s">
        <v>0</v>
      </c>
      <c r="C257" s="1" t="s">
        <v>16</v>
      </c>
      <c r="D257" s="1" t="s">
        <v>48</v>
      </c>
      <c r="E257">
        <v>49</v>
      </c>
      <c r="F257" s="1">
        <f>VLOOKUP(jablka[[#This Row],[Nazwa]],cennik[],2,0) * jablka[[#This Row],[sprzedaż]]</f>
        <v>142.1</v>
      </c>
    </row>
    <row r="258" spans="1:6" x14ac:dyDescent="0.25">
      <c r="A258" s="2">
        <v>44599</v>
      </c>
      <c r="B258" s="1" t="s">
        <v>7</v>
      </c>
      <c r="C258" s="1" t="s">
        <v>16</v>
      </c>
      <c r="D258" s="1" t="s">
        <v>55</v>
      </c>
      <c r="E258">
        <v>578</v>
      </c>
      <c r="F258" s="1">
        <f>VLOOKUP(jablka[[#This Row],[Nazwa]],cennik[],2,0) * jablka[[#This Row],[sprzedaż]]</f>
        <v>1965.2</v>
      </c>
    </row>
    <row r="259" spans="1:6" x14ac:dyDescent="0.25">
      <c r="A259" s="2">
        <v>44599</v>
      </c>
      <c r="B259" s="1" t="s">
        <v>6</v>
      </c>
      <c r="C259" s="1" t="s">
        <v>16</v>
      </c>
      <c r="D259" s="1" t="s">
        <v>58</v>
      </c>
      <c r="E259">
        <v>238</v>
      </c>
      <c r="F259" s="1">
        <f>VLOOKUP(jablka[[#This Row],[Nazwa]],cennik[],2,0) * jablka[[#This Row],[sprzedaż]]</f>
        <v>809.19999999999993</v>
      </c>
    </row>
    <row r="260" spans="1:6" x14ac:dyDescent="0.25">
      <c r="A260" s="2">
        <v>44599</v>
      </c>
      <c r="B260" s="1" t="s">
        <v>4</v>
      </c>
      <c r="C260" s="1" t="s">
        <v>16</v>
      </c>
      <c r="D260" s="1" t="s">
        <v>35</v>
      </c>
      <c r="E260">
        <v>675</v>
      </c>
      <c r="F260" s="1">
        <f>VLOOKUP(jablka[[#This Row],[Nazwa]],cennik[],2,0) * jablka[[#This Row],[sprzedaż]]</f>
        <v>2295</v>
      </c>
    </row>
    <row r="261" spans="1:6" x14ac:dyDescent="0.25">
      <c r="A261" s="2">
        <v>44599</v>
      </c>
      <c r="B261" s="1" t="s">
        <v>4</v>
      </c>
      <c r="C261" s="1" t="s">
        <v>16</v>
      </c>
      <c r="D261" s="1" t="s">
        <v>57</v>
      </c>
      <c r="E261">
        <v>477</v>
      </c>
      <c r="F261" s="1">
        <f>VLOOKUP(jablka[[#This Row],[Nazwa]],cennik[],2,0) * jablka[[#This Row],[sprzedaż]]</f>
        <v>1621.8</v>
      </c>
    </row>
    <row r="262" spans="1:6" x14ac:dyDescent="0.25">
      <c r="A262" s="2">
        <v>44599</v>
      </c>
      <c r="B262" s="1" t="s">
        <v>8</v>
      </c>
      <c r="C262" s="1" t="s">
        <v>16</v>
      </c>
      <c r="D262" s="1" t="s">
        <v>38</v>
      </c>
      <c r="E262">
        <v>413</v>
      </c>
      <c r="F262" s="1">
        <f>VLOOKUP(jablka[[#This Row],[Nazwa]],cennik[],2,0) * jablka[[#This Row],[sprzedaż]]</f>
        <v>1445.5</v>
      </c>
    </row>
    <row r="263" spans="1:6" x14ac:dyDescent="0.25">
      <c r="A263" s="2">
        <v>44599</v>
      </c>
      <c r="B263" s="1" t="s">
        <v>7</v>
      </c>
      <c r="C263" s="1" t="s">
        <v>16</v>
      </c>
      <c r="D263" s="1" t="s">
        <v>32</v>
      </c>
      <c r="E263">
        <v>421</v>
      </c>
      <c r="F263" s="1">
        <f>VLOOKUP(jablka[[#This Row],[Nazwa]],cennik[],2,0) * jablka[[#This Row],[sprzedaż]]</f>
        <v>1431.3999999999999</v>
      </c>
    </row>
    <row r="264" spans="1:6" x14ac:dyDescent="0.25">
      <c r="A264" s="2">
        <v>44600</v>
      </c>
      <c r="B264" s="1" t="s">
        <v>4</v>
      </c>
      <c r="C264" s="1" t="s">
        <v>16</v>
      </c>
      <c r="D264" s="1" t="s">
        <v>44</v>
      </c>
      <c r="E264">
        <v>356</v>
      </c>
      <c r="F264" s="1">
        <f>VLOOKUP(jablka[[#This Row],[Nazwa]],cennik[],2,0) * jablka[[#This Row],[sprzedaż]]</f>
        <v>1210.3999999999999</v>
      </c>
    </row>
    <row r="265" spans="1:6" x14ac:dyDescent="0.25">
      <c r="A265" s="2">
        <v>44600</v>
      </c>
      <c r="B265" s="1" t="s">
        <v>5</v>
      </c>
      <c r="C265" s="1" t="s">
        <v>16</v>
      </c>
      <c r="D265" s="1" t="s">
        <v>30</v>
      </c>
      <c r="E265">
        <v>341</v>
      </c>
      <c r="F265" s="1">
        <f>VLOOKUP(jablka[[#This Row],[Nazwa]],cennik[],2,0) * jablka[[#This Row],[sprzedaż]]</f>
        <v>1159.3999999999999</v>
      </c>
    </row>
    <row r="266" spans="1:6" x14ac:dyDescent="0.25">
      <c r="A266" s="2">
        <v>44600</v>
      </c>
      <c r="B266" s="1" t="s">
        <v>7</v>
      </c>
      <c r="C266" s="1" t="s">
        <v>16</v>
      </c>
      <c r="D266" s="1" t="s">
        <v>59</v>
      </c>
      <c r="E266">
        <v>409</v>
      </c>
      <c r="F266" s="1">
        <f>VLOOKUP(jablka[[#This Row],[Nazwa]],cennik[],2,0) * jablka[[#This Row],[sprzedaż]]</f>
        <v>1390.6</v>
      </c>
    </row>
    <row r="267" spans="1:6" x14ac:dyDescent="0.25">
      <c r="A267" s="2">
        <v>44600</v>
      </c>
      <c r="B267" s="1" t="s">
        <v>4</v>
      </c>
      <c r="C267" s="1" t="s">
        <v>16</v>
      </c>
      <c r="D267" s="1" t="s">
        <v>58</v>
      </c>
      <c r="E267">
        <v>353</v>
      </c>
      <c r="F267" s="1">
        <f>VLOOKUP(jablka[[#This Row],[Nazwa]],cennik[],2,0) * jablka[[#This Row],[sprzedaż]]</f>
        <v>1200.2</v>
      </c>
    </row>
    <row r="268" spans="1:6" x14ac:dyDescent="0.25">
      <c r="A268" s="2">
        <v>44600</v>
      </c>
      <c r="B268" s="1" t="s">
        <v>5</v>
      </c>
      <c r="C268" s="1" t="s">
        <v>16</v>
      </c>
      <c r="D268" s="1" t="s">
        <v>53</v>
      </c>
      <c r="E268">
        <v>340</v>
      </c>
      <c r="F268" s="1">
        <f>VLOOKUP(jablka[[#This Row],[Nazwa]],cennik[],2,0) * jablka[[#This Row],[sprzedaż]]</f>
        <v>1156</v>
      </c>
    </row>
    <row r="269" spans="1:6" x14ac:dyDescent="0.25">
      <c r="A269" s="2">
        <v>44600</v>
      </c>
      <c r="B269" s="1" t="s">
        <v>15</v>
      </c>
      <c r="C269" s="1" t="s">
        <v>16</v>
      </c>
      <c r="D269" s="1" t="s">
        <v>28</v>
      </c>
      <c r="E269">
        <v>191</v>
      </c>
      <c r="F269" s="1">
        <f>VLOOKUP(jablka[[#This Row],[Nazwa]],cennik[],2,0) * jablka[[#This Row],[sprzedaż]]</f>
        <v>458.4</v>
      </c>
    </row>
    <row r="270" spans="1:6" x14ac:dyDescent="0.25">
      <c r="A270" s="2">
        <v>44601</v>
      </c>
      <c r="B270" s="1" t="s">
        <v>5</v>
      </c>
      <c r="C270" s="1" t="s">
        <v>16</v>
      </c>
      <c r="D270" s="1" t="s">
        <v>46</v>
      </c>
      <c r="E270">
        <v>170</v>
      </c>
      <c r="F270" s="1">
        <f>VLOOKUP(jablka[[#This Row],[Nazwa]],cennik[],2,0) * jablka[[#This Row],[sprzedaż]]</f>
        <v>578</v>
      </c>
    </row>
    <row r="271" spans="1:6" x14ac:dyDescent="0.25">
      <c r="A271" s="2">
        <v>44601</v>
      </c>
      <c r="B271" s="1" t="s">
        <v>15</v>
      </c>
      <c r="C271" s="1" t="s">
        <v>16</v>
      </c>
      <c r="D271" s="1" t="s">
        <v>44</v>
      </c>
      <c r="E271">
        <v>396</v>
      </c>
      <c r="F271" s="1">
        <f>VLOOKUP(jablka[[#This Row],[Nazwa]],cennik[],2,0) * jablka[[#This Row],[sprzedaż]]</f>
        <v>950.4</v>
      </c>
    </row>
    <row r="272" spans="1:6" x14ac:dyDescent="0.25">
      <c r="A272" s="2">
        <v>44601</v>
      </c>
      <c r="B272" s="1" t="s">
        <v>8</v>
      </c>
      <c r="C272" s="1" t="s">
        <v>16</v>
      </c>
      <c r="D272" s="1" t="s">
        <v>44</v>
      </c>
      <c r="E272">
        <v>581</v>
      </c>
      <c r="F272" s="1">
        <f>VLOOKUP(jablka[[#This Row],[Nazwa]],cennik[],2,0) * jablka[[#This Row],[sprzedaż]]</f>
        <v>2033.5</v>
      </c>
    </row>
    <row r="273" spans="1:6" x14ac:dyDescent="0.25">
      <c r="A273" s="2">
        <v>44601</v>
      </c>
      <c r="B273" s="1" t="s">
        <v>2</v>
      </c>
      <c r="C273" s="1" t="s">
        <v>16</v>
      </c>
      <c r="D273" s="1" t="s">
        <v>63</v>
      </c>
      <c r="E273">
        <v>42</v>
      </c>
      <c r="F273" s="1">
        <f>VLOOKUP(jablka[[#This Row],[Nazwa]],cennik[],2,0) * jablka[[#This Row],[sprzedaż]]</f>
        <v>134.4</v>
      </c>
    </row>
    <row r="274" spans="1:6" x14ac:dyDescent="0.25">
      <c r="A274" s="2">
        <v>44601</v>
      </c>
      <c r="B274" s="1" t="s">
        <v>10</v>
      </c>
      <c r="C274" s="1" t="s">
        <v>16</v>
      </c>
      <c r="D274" s="1" t="s">
        <v>32</v>
      </c>
      <c r="E274">
        <v>393</v>
      </c>
      <c r="F274" s="1">
        <f>VLOOKUP(jablka[[#This Row],[Nazwa]],cennik[],2,0) * jablka[[#This Row],[sprzedaż]]</f>
        <v>1336.2</v>
      </c>
    </row>
    <row r="275" spans="1:6" x14ac:dyDescent="0.25">
      <c r="A275" s="2">
        <v>44601</v>
      </c>
      <c r="B275" s="1" t="s">
        <v>2</v>
      </c>
      <c r="C275" s="1" t="s">
        <v>16</v>
      </c>
      <c r="D275" s="1" t="s">
        <v>23</v>
      </c>
      <c r="E275">
        <v>333</v>
      </c>
      <c r="F275" s="1">
        <f>VLOOKUP(jablka[[#This Row],[Nazwa]],cennik[],2,0) * jablka[[#This Row],[sprzedaż]]</f>
        <v>1065.6000000000001</v>
      </c>
    </row>
    <row r="276" spans="1:6" x14ac:dyDescent="0.25">
      <c r="A276" s="2">
        <v>44601</v>
      </c>
      <c r="B276" s="1" t="s">
        <v>5</v>
      </c>
      <c r="C276" s="1" t="s">
        <v>16</v>
      </c>
      <c r="D276" s="1" t="s">
        <v>56</v>
      </c>
      <c r="E276">
        <v>259</v>
      </c>
      <c r="F276" s="1">
        <f>VLOOKUP(jablka[[#This Row],[Nazwa]],cennik[],2,0) * jablka[[#This Row],[sprzedaż]]</f>
        <v>880.6</v>
      </c>
    </row>
    <row r="277" spans="1:6" x14ac:dyDescent="0.25">
      <c r="A277" s="2">
        <v>44601</v>
      </c>
      <c r="B277" s="1" t="s">
        <v>0</v>
      </c>
      <c r="C277" s="1" t="s">
        <v>16</v>
      </c>
      <c r="D277" s="1" t="s">
        <v>62</v>
      </c>
      <c r="E277">
        <v>227</v>
      </c>
      <c r="F277" s="1">
        <f>VLOOKUP(jablka[[#This Row],[Nazwa]],cennik[],2,0) * jablka[[#This Row],[sprzedaż]]</f>
        <v>658.3</v>
      </c>
    </row>
    <row r="278" spans="1:6" x14ac:dyDescent="0.25">
      <c r="A278" s="2">
        <v>44602</v>
      </c>
      <c r="B278" s="1" t="s">
        <v>4</v>
      </c>
      <c r="C278" s="1" t="s">
        <v>16</v>
      </c>
      <c r="D278" s="1" t="s">
        <v>53</v>
      </c>
      <c r="E278">
        <v>498</v>
      </c>
      <c r="F278" s="1">
        <f>VLOOKUP(jablka[[#This Row],[Nazwa]],cennik[],2,0) * jablka[[#This Row],[sprzedaż]]</f>
        <v>1693.2</v>
      </c>
    </row>
    <row r="279" spans="1:6" x14ac:dyDescent="0.25">
      <c r="A279" s="2">
        <v>44602</v>
      </c>
      <c r="B279" s="1" t="s">
        <v>2</v>
      </c>
      <c r="C279" s="1" t="s">
        <v>16</v>
      </c>
      <c r="D279" s="1" t="s">
        <v>57</v>
      </c>
      <c r="E279">
        <v>308</v>
      </c>
      <c r="F279" s="1">
        <f>VLOOKUP(jablka[[#This Row],[Nazwa]],cennik[],2,0) * jablka[[#This Row],[sprzedaż]]</f>
        <v>985.6</v>
      </c>
    </row>
    <row r="280" spans="1:6" x14ac:dyDescent="0.25">
      <c r="A280" s="2">
        <v>44602</v>
      </c>
      <c r="B280" s="1" t="s">
        <v>0</v>
      </c>
      <c r="C280" s="1" t="s">
        <v>16</v>
      </c>
      <c r="D280" s="1" t="s">
        <v>23</v>
      </c>
      <c r="E280">
        <v>46</v>
      </c>
      <c r="F280" s="1">
        <f>VLOOKUP(jablka[[#This Row],[Nazwa]],cennik[],2,0) * jablka[[#This Row],[sprzedaż]]</f>
        <v>133.4</v>
      </c>
    </row>
    <row r="281" spans="1:6" x14ac:dyDescent="0.25">
      <c r="A281" s="2">
        <v>44602</v>
      </c>
      <c r="B281" s="1" t="s">
        <v>7</v>
      </c>
      <c r="C281" s="1" t="s">
        <v>16</v>
      </c>
      <c r="D281" s="1" t="s">
        <v>32</v>
      </c>
      <c r="E281">
        <v>331</v>
      </c>
      <c r="F281" s="1">
        <f>VLOOKUP(jablka[[#This Row],[Nazwa]],cennik[],2,0) * jablka[[#This Row],[sprzedaż]]</f>
        <v>1125.3999999999999</v>
      </c>
    </row>
    <row r="282" spans="1:6" x14ac:dyDescent="0.25">
      <c r="A282" s="2">
        <v>44602</v>
      </c>
      <c r="B282" s="1" t="s">
        <v>5</v>
      </c>
      <c r="C282" s="1" t="s">
        <v>16</v>
      </c>
      <c r="D282" s="1" t="s">
        <v>22</v>
      </c>
      <c r="E282">
        <v>93</v>
      </c>
      <c r="F282" s="1">
        <f>VLOOKUP(jablka[[#This Row],[Nazwa]],cennik[],2,0) * jablka[[#This Row],[sprzedaż]]</f>
        <v>316.2</v>
      </c>
    </row>
    <row r="283" spans="1:6" x14ac:dyDescent="0.25">
      <c r="A283" s="2">
        <v>44602</v>
      </c>
      <c r="B283" s="1" t="s">
        <v>8</v>
      </c>
      <c r="C283" s="1" t="s">
        <v>16</v>
      </c>
      <c r="D283" s="1" t="s">
        <v>45</v>
      </c>
      <c r="E283">
        <v>333</v>
      </c>
      <c r="F283" s="1">
        <f>VLOOKUP(jablka[[#This Row],[Nazwa]],cennik[],2,0) * jablka[[#This Row],[sprzedaż]]</f>
        <v>1165.5</v>
      </c>
    </row>
    <row r="284" spans="1:6" x14ac:dyDescent="0.25">
      <c r="A284" s="2">
        <v>44602</v>
      </c>
      <c r="B284" s="1" t="s">
        <v>6</v>
      </c>
      <c r="C284" s="1" t="s">
        <v>16</v>
      </c>
      <c r="D284" s="1" t="s">
        <v>24</v>
      </c>
      <c r="E284">
        <v>421</v>
      </c>
      <c r="F284" s="1">
        <f>VLOOKUP(jablka[[#This Row],[Nazwa]],cennik[],2,0) * jablka[[#This Row],[sprzedaż]]</f>
        <v>1431.3999999999999</v>
      </c>
    </row>
    <row r="285" spans="1:6" x14ac:dyDescent="0.25">
      <c r="A285" s="2">
        <v>44602</v>
      </c>
      <c r="B285" s="1" t="s">
        <v>0</v>
      </c>
      <c r="C285" s="1" t="s">
        <v>16</v>
      </c>
      <c r="D285" s="1" t="s">
        <v>41</v>
      </c>
      <c r="E285">
        <v>305</v>
      </c>
      <c r="F285" s="1">
        <f>VLOOKUP(jablka[[#This Row],[Nazwa]],cennik[],2,0) * jablka[[#This Row],[sprzedaż]]</f>
        <v>884.5</v>
      </c>
    </row>
    <row r="286" spans="1:6" x14ac:dyDescent="0.25">
      <c r="A286" s="2">
        <v>44602</v>
      </c>
      <c r="B286" s="1" t="s">
        <v>8</v>
      </c>
      <c r="C286" s="1" t="s">
        <v>16</v>
      </c>
      <c r="D286" s="1" t="s">
        <v>29</v>
      </c>
      <c r="E286">
        <v>538</v>
      </c>
      <c r="F286" s="1">
        <f>VLOOKUP(jablka[[#This Row],[Nazwa]],cennik[],2,0) * jablka[[#This Row],[sprzedaż]]</f>
        <v>1883</v>
      </c>
    </row>
    <row r="287" spans="1:6" x14ac:dyDescent="0.25">
      <c r="A287" s="2">
        <v>44603</v>
      </c>
      <c r="B287" s="1" t="s">
        <v>5</v>
      </c>
      <c r="C287" s="1" t="s">
        <v>16</v>
      </c>
      <c r="D287" s="1" t="s">
        <v>31</v>
      </c>
      <c r="E287">
        <v>167</v>
      </c>
      <c r="F287" s="1">
        <f>VLOOKUP(jablka[[#This Row],[Nazwa]],cennik[],2,0) * jablka[[#This Row],[sprzedaż]]</f>
        <v>567.79999999999995</v>
      </c>
    </row>
    <row r="288" spans="1:6" x14ac:dyDescent="0.25">
      <c r="A288" s="2">
        <v>44603</v>
      </c>
      <c r="B288" s="1" t="s">
        <v>5</v>
      </c>
      <c r="C288" s="1" t="s">
        <v>16</v>
      </c>
      <c r="D288" s="1" t="s">
        <v>51</v>
      </c>
      <c r="E288">
        <v>71</v>
      </c>
      <c r="F288" s="1">
        <f>VLOOKUP(jablka[[#This Row],[Nazwa]],cennik[],2,0) * jablka[[#This Row],[sprzedaż]]</f>
        <v>241.4</v>
      </c>
    </row>
    <row r="289" spans="1:6" x14ac:dyDescent="0.25">
      <c r="A289" s="2">
        <v>44603</v>
      </c>
      <c r="B289" s="1" t="s">
        <v>7</v>
      </c>
      <c r="C289" s="1" t="s">
        <v>16</v>
      </c>
      <c r="D289" s="1" t="s">
        <v>42</v>
      </c>
      <c r="E289">
        <v>609</v>
      </c>
      <c r="F289" s="1">
        <f>VLOOKUP(jablka[[#This Row],[Nazwa]],cennik[],2,0) * jablka[[#This Row],[sprzedaż]]</f>
        <v>2070.6</v>
      </c>
    </row>
    <row r="290" spans="1:6" x14ac:dyDescent="0.25">
      <c r="A290" s="2">
        <v>44603</v>
      </c>
      <c r="B290" s="1" t="s">
        <v>8</v>
      </c>
      <c r="C290" s="1" t="s">
        <v>16</v>
      </c>
      <c r="D290" s="1" t="s">
        <v>58</v>
      </c>
      <c r="E290">
        <v>573</v>
      </c>
      <c r="F290" s="1">
        <f>VLOOKUP(jablka[[#This Row],[Nazwa]],cennik[],2,0) * jablka[[#This Row],[sprzedaż]]</f>
        <v>2005.5</v>
      </c>
    </row>
    <row r="291" spans="1:6" x14ac:dyDescent="0.25">
      <c r="A291" s="2">
        <v>44603</v>
      </c>
      <c r="B291" s="1" t="s">
        <v>6</v>
      </c>
      <c r="C291" s="1" t="s">
        <v>16</v>
      </c>
      <c r="D291" s="1" t="s">
        <v>50</v>
      </c>
      <c r="E291">
        <v>111</v>
      </c>
      <c r="F291" s="1">
        <f>VLOOKUP(jablka[[#This Row],[Nazwa]],cennik[],2,0) * jablka[[#This Row],[sprzedaż]]</f>
        <v>377.4</v>
      </c>
    </row>
    <row r="292" spans="1:6" x14ac:dyDescent="0.25">
      <c r="A292" s="2">
        <v>44603</v>
      </c>
      <c r="B292" s="1" t="s">
        <v>4</v>
      </c>
      <c r="C292" s="1" t="s">
        <v>16</v>
      </c>
      <c r="D292" s="1" t="s">
        <v>45</v>
      </c>
      <c r="E292">
        <v>728</v>
      </c>
      <c r="F292" s="1">
        <f>VLOOKUP(jablka[[#This Row],[Nazwa]],cennik[],2,0) * jablka[[#This Row],[sprzedaż]]</f>
        <v>2475.1999999999998</v>
      </c>
    </row>
    <row r="293" spans="1:6" x14ac:dyDescent="0.25">
      <c r="A293" s="2">
        <v>44603</v>
      </c>
      <c r="B293" s="1" t="s">
        <v>10</v>
      </c>
      <c r="C293" s="1" t="s">
        <v>16</v>
      </c>
      <c r="D293" s="1" t="s">
        <v>52</v>
      </c>
      <c r="E293">
        <v>99</v>
      </c>
      <c r="F293" s="1">
        <f>VLOOKUP(jablka[[#This Row],[Nazwa]],cennik[],2,0) * jablka[[#This Row],[sprzedaż]]</f>
        <v>336.59999999999997</v>
      </c>
    </row>
    <row r="294" spans="1:6" x14ac:dyDescent="0.25">
      <c r="A294" s="2">
        <v>44603</v>
      </c>
      <c r="B294" s="1" t="s">
        <v>5</v>
      </c>
      <c r="C294" s="1" t="s">
        <v>16</v>
      </c>
      <c r="D294" s="1" t="s">
        <v>52</v>
      </c>
      <c r="E294">
        <v>487</v>
      </c>
      <c r="F294" s="1">
        <f>VLOOKUP(jablka[[#This Row],[Nazwa]],cennik[],2,0) * jablka[[#This Row],[sprzedaż]]</f>
        <v>1655.8</v>
      </c>
    </row>
    <row r="295" spans="1:6" x14ac:dyDescent="0.25">
      <c r="A295" s="2">
        <v>44603</v>
      </c>
      <c r="B295" s="1" t="s">
        <v>7</v>
      </c>
      <c r="C295" s="1" t="s">
        <v>16</v>
      </c>
      <c r="D295" s="1" t="s">
        <v>47</v>
      </c>
      <c r="E295">
        <v>375</v>
      </c>
      <c r="F295" s="1">
        <f>VLOOKUP(jablka[[#This Row],[Nazwa]],cennik[],2,0) * jablka[[#This Row],[sprzedaż]]</f>
        <v>1275</v>
      </c>
    </row>
    <row r="296" spans="1:6" x14ac:dyDescent="0.25">
      <c r="A296" s="2">
        <v>44604</v>
      </c>
      <c r="B296" s="1" t="s">
        <v>6</v>
      </c>
      <c r="C296" s="1" t="s">
        <v>16</v>
      </c>
      <c r="D296" s="1" t="s">
        <v>63</v>
      </c>
      <c r="E296">
        <v>421</v>
      </c>
      <c r="F296" s="1">
        <f>VLOOKUP(jablka[[#This Row],[Nazwa]],cennik[],2,0) * jablka[[#This Row],[sprzedaż]]</f>
        <v>1431.3999999999999</v>
      </c>
    </row>
    <row r="297" spans="1:6" x14ac:dyDescent="0.25">
      <c r="A297" s="2">
        <v>44604</v>
      </c>
      <c r="B297" s="1" t="s">
        <v>2</v>
      </c>
      <c r="C297" s="1" t="s">
        <v>16</v>
      </c>
      <c r="D297" s="1" t="s">
        <v>48</v>
      </c>
      <c r="E297">
        <v>163</v>
      </c>
      <c r="F297" s="1">
        <f>VLOOKUP(jablka[[#This Row],[Nazwa]],cennik[],2,0) * jablka[[#This Row],[sprzedaż]]</f>
        <v>521.6</v>
      </c>
    </row>
    <row r="298" spans="1:6" x14ac:dyDescent="0.25">
      <c r="A298" s="2">
        <v>44606</v>
      </c>
      <c r="B298" s="1" t="s">
        <v>10</v>
      </c>
      <c r="C298" s="1" t="s">
        <v>16</v>
      </c>
      <c r="D298" s="1" t="s">
        <v>54</v>
      </c>
      <c r="E298">
        <v>489</v>
      </c>
      <c r="F298" s="1">
        <f>VLOOKUP(jablka[[#This Row],[Nazwa]],cennik[],2,0) * jablka[[#This Row],[sprzedaż]]</f>
        <v>1662.6</v>
      </c>
    </row>
    <row r="299" spans="1:6" x14ac:dyDescent="0.25">
      <c r="A299" s="2">
        <v>44606</v>
      </c>
      <c r="B299" s="1" t="s">
        <v>4</v>
      </c>
      <c r="C299" s="1" t="s">
        <v>16</v>
      </c>
      <c r="D299" s="1" t="s">
        <v>21</v>
      </c>
      <c r="E299">
        <v>413</v>
      </c>
      <c r="F299" s="1">
        <f>VLOOKUP(jablka[[#This Row],[Nazwa]],cennik[],2,0) * jablka[[#This Row],[sprzedaż]]</f>
        <v>1404.2</v>
      </c>
    </row>
    <row r="300" spans="1:6" x14ac:dyDescent="0.25">
      <c r="A300" s="2">
        <v>44606</v>
      </c>
      <c r="B300" s="1" t="s">
        <v>0</v>
      </c>
      <c r="C300" s="1" t="s">
        <v>16</v>
      </c>
      <c r="D300" s="1" t="s">
        <v>59</v>
      </c>
      <c r="E300">
        <v>16</v>
      </c>
      <c r="F300" s="1">
        <f>VLOOKUP(jablka[[#This Row],[Nazwa]],cennik[],2,0) * jablka[[#This Row],[sprzedaż]]</f>
        <v>46.4</v>
      </c>
    </row>
    <row r="301" spans="1:6" x14ac:dyDescent="0.25">
      <c r="A301" s="2">
        <v>44606</v>
      </c>
      <c r="B301" s="1" t="s">
        <v>8</v>
      </c>
      <c r="C301" s="1" t="s">
        <v>16</v>
      </c>
      <c r="D301" s="1" t="s">
        <v>47</v>
      </c>
      <c r="E301">
        <v>293</v>
      </c>
      <c r="F301" s="1">
        <f>VLOOKUP(jablka[[#This Row],[Nazwa]],cennik[],2,0) * jablka[[#This Row],[sprzedaż]]</f>
        <v>1025.5</v>
      </c>
    </row>
    <row r="302" spans="1:6" x14ac:dyDescent="0.25">
      <c r="A302" s="2">
        <v>44606</v>
      </c>
      <c r="B302" s="1" t="s">
        <v>0</v>
      </c>
      <c r="C302" s="1" t="s">
        <v>16</v>
      </c>
      <c r="D302" s="1" t="s">
        <v>65</v>
      </c>
      <c r="E302">
        <v>128</v>
      </c>
      <c r="F302" s="1">
        <f>VLOOKUP(jablka[[#This Row],[Nazwa]],cennik[],2,0) * jablka[[#This Row],[sprzedaż]]</f>
        <v>371.2</v>
      </c>
    </row>
    <row r="303" spans="1:6" x14ac:dyDescent="0.25">
      <c r="A303" s="2">
        <v>44606</v>
      </c>
      <c r="B303" s="1" t="s">
        <v>8</v>
      </c>
      <c r="C303" s="1" t="s">
        <v>16</v>
      </c>
      <c r="D303" s="1" t="s">
        <v>40</v>
      </c>
      <c r="E303">
        <v>579</v>
      </c>
      <c r="F303" s="1">
        <f>VLOOKUP(jablka[[#This Row],[Nazwa]],cennik[],2,0) * jablka[[#This Row],[sprzedaż]]</f>
        <v>2026.5</v>
      </c>
    </row>
    <row r="304" spans="1:6" x14ac:dyDescent="0.25">
      <c r="A304" s="2">
        <v>44606</v>
      </c>
      <c r="B304" s="1" t="s">
        <v>15</v>
      </c>
      <c r="C304" s="1" t="s">
        <v>16</v>
      </c>
      <c r="D304" s="1" t="s">
        <v>61</v>
      </c>
      <c r="E304">
        <v>150</v>
      </c>
      <c r="F304" s="1">
        <f>VLOOKUP(jablka[[#This Row],[Nazwa]],cennik[],2,0) * jablka[[#This Row],[sprzedaż]]</f>
        <v>360</v>
      </c>
    </row>
    <row r="305" spans="1:6" x14ac:dyDescent="0.25">
      <c r="A305" s="2">
        <v>44606</v>
      </c>
      <c r="B305" s="1" t="s">
        <v>2</v>
      </c>
      <c r="C305" s="1" t="s">
        <v>16</v>
      </c>
      <c r="D305" s="1" t="s">
        <v>43</v>
      </c>
      <c r="E305">
        <v>465</v>
      </c>
      <c r="F305" s="1">
        <f>VLOOKUP(jablka[[#This Row],[Nazwa]],cennik[],2,0) * jablka[[#This Row],[sprzedaż]]</f>
        <v>1488</v>
      </c>
    </row>
    <row r="306" spans="1:6" x14ac:dyDescent="0.25">
      <c r="A306" s="2">
        <v>44606</v>
      </c>
      <c r="B306" s="1" t="s">
        <v>6</v>
      </c>
      <c r="C306" s="1" t="s">
        <v>16</v>
      </c>
      <c r="D306" s="1" t="s">
        <v>26</v>
      </c>
      <c r="E306">
        <v>409</v>
      </c>
      <c r="F306" s="1">
        <f>VLOOKUP(jablka[[#This Row],[Nazwa]],cennik[],2,0) * jablka[[#This Row],[sprzedaż]]</f>
        <v>1390.6</v>
      </c>
    </row>
    <row r="307" spans="1:6" x14ac:dyDescent="0.25">
      <c r="A307" s="2">
        <v>44606</v>
      </c>
      <c r="B307" s="1" t="s">
        <v>0</v>
      </c>
      <c r="C307" s="1" t="s">
        <v>16</v>
      </c>
      <c r="D307" s="1" t="s">
        <v>32</v>
      </c>
      <c r="E307">
        <v>402</v>
      </c>
      <c r="F307" s="1">
        <f>VLOOKUP(jablka[[#This Row],[Nazwa]],cennik[],2,0) * jablka[[#This Row],[sprzedaż]]</f>
        <v>1165.8</v>
      </c>
    </row>
    <row r="308" spans="1:6" x14ac:dyDescent="0.25">
      <c r="A308" s="2">
        <v>44606</v>
      </c>
      <c r="B308" s="1" t="s">
        <v>15</v>
      </c>
      <c r="C308" s="1" t="s">
        <v>16</v>
      </c>
      <c r="D308" s="1" t="s">
        <v>24</v>
      </c>
      <c r="E308">
        <v>263</v>
      </c>
      <c r="F308" s="1">
        <f>VLOOKUP(jablka[[#This Row],[Nazwa]],cennik[],2,0) * jablka[[#This Row],[sprzedaż]]</f>
        <v>631.19999999999993</v>
      </c>
    </row>
    <row r="309" spans="1:6" x14ac:dyDescent="0.25">
      <c r="A309" s="2">
        <v>44607</v>
      </c>
      <c r="B309" s="1" t="s">
        <v>5</v>
      </c>
      <c r="C309" s="1" t="s">
        <v>16</v>
      </c>
      <c r="D309" s="1" t="s">
        <v>48</v>
      </c>
      <c r="E309">
        <v>301</v>
      </c>
      <c r="F309" s="1">
        <f>VLOOKUP(jablka[[#This Row],[Nazwa]],cennik[],2,0) * jablka[[#This Row],[sprzedaż]]</f>
        <v>1023.4</v>
      </c>
    </row>
    <row r="310" spans="1:6" x14ac:dyDescent="0.25">
      <c r="A310" s="2">
        <v>44607</v>
      </c>
      <c r="B310" s="1" t="s">
        <v>8</v>
      </c>
      <c r="C310" s="1" t="s">
        <v>16</v>
      </c>
      <c r="D310" s="1" t="s">
        <v>54</v>
      </c>
      <c r="E310">
        <v>603</v>
      </c>
      <c r="F310" s="1">
        <f>VLOOKUP(jablka[[#This Row],[Nazwa]],cennik[],2,0) * jablka[[#This Row],[sprzedaż]]</f>
        <v>2110.5</v>
      </c>
    </row>
    <row r="311" spans="1:6" x14ac:dyDescent="0.25">
      <c r="A311" s="2">
        <v>44607</v>
      </c>
      <c r="B311" s="1" t="s">
        <v>5</v>
      </c>
      <c r="C311" s="1" t="s">
        <v>16</v>
      </c>
      <c r="D311" s="1" t="s">
        <v>20</v>
      </c>
      <c r="E311">
        <v>475</v>
      </c>
      <c r="F311" s="1">
        <f>VLOOKUP(jablka[[#This Row],[Nazwa]],cennik[],2,0) * jablka[[#This Row],[sprzedaż]]</f>
        <v>1615</v>
      </c>
    </row>
    <row r="312" spans="1:6" x14ac:dyDescent="0.25">
      <c r="A312" s="2">
        <v>44607</v>
      </c>
      <c r="B312" s="1" t="s">
        <v>7</v>
      </c>
      <c r="C312" s="1" t="s">
        <v>16</v>
      </c>
      <c r="D312" s="1" t="s">
        <v>19</v>
      </c>
      <c r="E312">
        <v>387</v>
      </c>
      <c r="F312" s="1">
        <f>VLOOKUP(jablka[[#This Row],[Nazwa]],cennik[],2,0) * jablka[[#This Row],[sprzedaż]]</f>
        <v>1315.8</v>
      </c>
    </row>
    <row r="313" spans="1:6" x14ac:dyDescent="0.25">
      <c r="A313" s="2">
        <v>44607</v>
      </c>
      <c r="B313" s="1" t="s">
        <v>15</v>
      </c>
      <c r="C313" s="1" t="s">
        <v>16</v>
      </c>
      <c r="D313" s="1" t="s">
        <v>27</v>
      </c>
      <c r="E313">
        <v>574</v>
      </c>
      <c r="F313" s="1">
        <f>VLOOKUP(jablka[[#This Row],[Nazwa]],cennik[],2,0) * jablka[[#This Row],[sprzedaż]]</f>
        <v>1377.6</v>
      </c>
    </row>
    <row r="314" spans="1:6" x14ac:dyDescent="0.25">
      <c r="A314" s="2">
        <v>44607</v>
      </c>
      <c r="B314" s="1" t="s">
        <v>2</v>
      </c>
      <c r="C314" s="1" t="s">
        <v>16</v>
      </c>
      <c r="D314" s="1" t="s">
        <v>60</v>
      </c>
      <c r="E314">
        <v>294</v>
      </c>
      <c r="F314" s="1">
        <f>VLOOKUP(jablka[[#This Row],[Nazwa]],cennik[],2,0) * jablka[[#This Row],[sprzedaż]]</f>
        <v>940.80000000000007</v>
      </c>
    </row>
    <row r="315" spans="1:6" x14ac:dyDescent="0.25">
      <c r="A315" s="2">
        <v>44607</v>
      </c>
      <c r="B315" s="1" t="s">
        <v>4</v>
      </c>
      <c r="C315" s="1" t="s">
        <v>16</v>
      </c>
      <c r="D315" s="1" t="s">
        <v>32</v>
      </c>
      <c r="E315">
        <v>753</v>
      </c>
      <c r="F315" s="1">
        <f>VLOOKUP(jablka[[#This Row],[Nazwa]],cennik[],2,0) * jablka[[#This Row],[sprzedaż]]</f>
        <v>2560.1999999999998</v>
      </c>
    </row>
    <row r="316" spans="1:6" x14ac:dyDescent="0.25">
      <c r="A316" s="2">
        <v>44607</v>
      </c>
      <c r="B316" s="1" t="s">
        <v>6</v>
      </c>
      <c r="C316" s="1" t="s">
        <v>16</v>
      </c>
      <c r="D316" s="1" t="s">
        <v>49</v>
      </c>
      <c r="E316">
        <v>154</v>
      </c>
      <c r="F316" s="1">
        <f>VLOOKUP(jablka[[#This Row],[Nazwa]],cennik[],2,0) * jablka[[#This Row],[sprzedaż]]</f>
        <v>523.6</v>
      </c>
    </row>
    <row r="317" spans="1:6" x14ac:dyDescent="0.25">
      <c r="A317" s="2">
        <v>44607</v>
      </c>
      <c r="B317" s="1" t="s">
        <v>2</v>
      </c>
      <c r="C317" s="1" t="s">
        <v>16</v>
      </c>
      <c r="D317" s="1" t="s">
        <v>54</v>
      </c>
      <c r="E317">
        <v>281</v>
      </c>
      <c r="F317" s="1">
        <f>VLOOKUP(jablka[[#This Row],[Nazwa]],cennik[],2,0) * jablka[[#This Row],[sprzedaż]]</f>
        <v>899.2</v>
      </c>
    </row>
    <row r="318" spans="1:6" x14ac:dyDescent="0.25">
      <c r="A318" s="2">
        <v>44608</v>
      </c>
      <c r="B318" s="1" t="s">
        <v>0</v>
      </c>
      <c r="C318" s="1" t="s">
        <v>16</v>
      </c>
      <c r="D318" s="1" t="s">
        <v>60</v>
      </c>
      <c r="E318">
        <v>25</v>
      </c>
      <c r="F318" s="1">
        <f>VLOOKUP(jablka[[#This Row],[Nazwa]],cennik[],2,0) * jablka[[#This Row],[sprzedaż]]</f>
        <v>72.5</v>
      </c>
    </row>
    <row r="319" spans="1:6" x14ac:dyDescent="0.25">
      <c r="A319" s="2">
        <v>44608</v>
      </c>
      <c r="B319" s="1" t="s">
        <v>4</v>
      </c>
      <c r="C319" s="1" t="s">
        <v>16</v>
      </c>
      <c r="D319" s="1" t="s">
        <v>27</v>
      </c>
      <c r="E319">
        <v>463</v>
      </c>
      <c r="F319" s="1">
        <f>VLOOKUP(jablka[[#This Row],[Nazwa]],cennik[],2,0) * jablka[[#This Row],[sprzedaż]]</f>
        <v>1574.2</v>
      </c>
    </row>
    <row r="320" spans="1:6" x14ac:dyDescent="0.25">
      <c r="A320" s="2">
        <v>44608</v>
      </c>
      <c r="B320" s="1" t="s">
        <v>2</v>
      </c>
      <c r="C320" s="1" t="s">
        <v>16</v>
      </c>
      <c r="D320" s="1" t="s">
        <v>42</v>
      </c>
      <c r="E320">
        <v>221</v>
      </c>
      <c r="F320" s="1">
        <f>VLOOKUP(jablka[[#This Row],[Nazwa]],cennik[],2,0) * jablka[[#This Row],[sprzedaż]]</f>
        <v>707.2</v>
      </c>
    </row>
    <row r="321" spans="1:6" x14ac:dyDescent="0.25">
      <c r="A321" s="2">
        <v>44608</v>
      </c>
      <c r="B321" s="1" t="s">
        <v>4</v>
      </c>
      <c r="C321" s="1" t="s">
        <v>16</v>
      </c>
      <c r="D321" s="1" t="s">
        <v>58</v>
      </c>
      <c r="E321">
        <v>780</v>
      </c>
      <c r="F321" s="1">
        <f>VLOOKUP(jablka[[#This Row],[Nazwa]],cennik[],2,0) * jablka[[#This Row],[sprzedaż]]</f>
        <v>2652</v>
      </c>
    </row>
    <row r="322" spans="1:6" x14ac:dyDescent="0.25">
      <c r="A322" s="2">
        <v>44608</v>
      </c>
      <c r="B322" s="1" t="s">
        <v>15</v>
      </c>
      <c r="C322" s="1" t="s">
        <v>16</v>
      </c>
      <c r="D322" s="1" t="s">
        <v>43</v>
      </c>
      <c r="E322">
        <v>542</v>
      </c>
      <c r="F322" s="1">
        <f>VLOOKUP(jablka[[#This Row],[Nazwa]],cennik[],2,0) * jablka[[#This Row],[sprzedaż]]</f>
        <v>1300.8</v>
      </c>
    </row>
    <row r="323" spans="1:6" x14ac:dyDescent="0.25">
      <c r="A323" s="2">
        <v>44608</v>
      </c>
      <c r="B323" s="1" t="s">
        <v>15</v>
      </c>
      <c r="C323" s="1" t="s">
        <v>16</v>
      </c>
      <c r="D323" s="1" t="s">
        <v>33</v>
      </c>
      <c r="E323">
        <v>231</v>
      </c>
      <c r="F323" s="1">
        <f>VLOOKUP(jablka[[#This Row],[Nazwa]],cennik[],2,0) * jablka[[#This Row],[sprzedaż]]</f>
        <v>554.4</v>
      </c>
    </row>
    <row r="324" spans="1:6" x14ac:dyDescent="0.25">
      <c r="A324" s="2">
        <v>44608</v>
      </c>
      <c r="B324" s="1" t="s">
        <v>7</v>
      </c>
      <c r="C324" s="1" t="s">
        <v>16</v>
      </c>
      <c r="D324" s="1" t="s">
        <v>40</v>
      </c>
      <c r="E324">
        <v>510</v>
      </c>
      <c r="F324" s="1">
        <f>VLOOKUP(jablka[[#This Row],[Nazwa]],cennik[],2,0) * jablka[[#This Row],[sprzedaż]]</f>
        <v>1734</v>
      </c>
    </row>
    <row r="325" spans="1:6" x14ac:dyDescent="0.25">
      <c r="A325" s="2">
        <v>44608</v>
      </c>
      <c r="B325" s="1" t="s">
        <v>7</v>
      </c>
      <c r="C325" s="1" t="s">
        <v>16</v>
      </c>
      <c r="D325" s="1" t="s">
        <v>19</v>
      </c>
      <c r="E325">
        <v>384</v>
      </c>
      <c r="F325" s="1">
        <f>VLOOKUP(jablka[[#This Row],[Nazwa]],cennik[],2,0) * jablka[[#This Row],[sprzedaż]]</f>
        <v>1305.5999999999999</v>
      </c>
    </row>
    <row r="326" spans="1:6" x14ac:dyDescent="0.25">
      <c r="A326" s="2">
        <v>44608</v>
      </c>
      <c r="B326" s="1" t="s">
        <v>2</v>
      </c>
      <c r="C326" s="1" t="s">
        <v>16</v>
      </c>
      <c r="D326" s="1" t="s">
        <v>48</v>
      </c>
      <c r="E326">
        <v>39</v>
      </c>
      <c r="F326" s="1">
        <f>VLOOKUP(jablka[[#This Row],[Nazwa]],cennik[],2,0) * jablka[[#This Row],[sprzedaż]]</f>
        <v>124.80000000000001</v>
      </c>
    </row>
    <row r="327" spans="1:6" x14ac:dyDescent="0.25">
      <c r="A327" s="2">
        <v>44608</v>
      </c>
      <c r="B327" s="1" t="s">
        <v>2</v>
      </c>
      <c r="C327" s="1" t="s">
        <v>16</v>
      </c>
      <c r="D327" s="1" t="s">
        <v>33</v>
      </c>
      <c r="E327">
        <v>241</v>
      </c>
      <c r="F327" s="1">
        <f>VLOOKUP(jablka[[#This Row],[Nazwa]],cennik[],2,0) * jablka[[#This Row],[sprzedaż]]</f>
        <v>771.2</v>
      </c>
    </row>
    <row r="328" spans="1:6" x14ac:dyDescent="0.25">
      <c r="A328" s="2">
        <v>44609</v>
      </c>
      <c r="B328" s="1" t="s">
        <v>2</v>
      </c>
      <c r="C328" s="1" t="s">
        <v>16</v>
      </c>
      <c r="D328" s="1" t="s">
        <v>59</v>
      </c>
      <c r="E328">
        <v>477</v>
      </c>
      <c r="F328" s="1">
        <f>VLOOKUP(jablka[[#This Row],[Nazwa]],cennik[],2,0) * jablka[[#This Row],[sprzedaż]]</f>
        <v>1526.4</v>
      </c>
    </row>
    <row r="329" spans="1:6" x14ac:dyDescent="0.25">
      <c r="A329" s="2">
        <v>44609</v>
      </c>
      <c r="B329" s="1" t="s">
        <v>7</v>
      </c>
      <c r="C329" s="1" t="s">
        <v>16</v>
      </c>
      <c r="D329" s="1" t="s">
        <v>51</v>
      </c>
      <c r="E329">
        <v>543</v>
      </c>
      <c r="F329" s="1">
        <f>VLOOKUP(jablka[[#This Row],[Nazwa]],cennik[],2,0) * jablka[[#This Row],[sprzedaż]]</f>
        <v>1846.2</v>
      </c>
    </row>
    <row r="330" spans="1:6" x14ac:dyDescent="0.25">
      <c r="A330" s="2">
        <v>44609</v>
      </c>
      <c r="B330" s="1" t="s">
        <v>6</v>
      </c>
      <c r="C330" s="1" t="s">
        <v>16</v>
      </c>
      <c r="D330" s="1" t="s">
        <v>62</v>
      </c>
      <c r="E330">
        <v>424</v>
      </c>
      <c r="F330" s="1">
        <f>VLOOKUP(jablka[[#This Row],[Nazwa]],cennik[],2,0) * jablka[[#This Row],[sprzedaż]]</f>
        <v>1441.6</v>
      </c>
    </row>
    <row r="331" spans="1:6" x14ac:dyDescent="0.25">
      <c r="A331" s="2">
        <v>44609</v>
      </c>
      <c r="B331" s="1" t="s">
        <v>4</v>
      </c>
      <c r="C331" s="1" t="s">
        <v>16</v>
      </c>
      <c r="D331" s="1" t="s">
        <v>42</v>
      </c>
      <c r="E331">
        <v>522</v>
      </c>
      <c r="F331" s="1">
        <f>VLOOKUP(jablka[[#This Row],[Nazwa]],cennik[],2,0) * jablka[[#This Row],[sprzedaż]]</f>
        <v>1774.8</v>
      </c>
    </row>
    <row r="332" spans="1:6" x14ac:dyDescent="0.25">
      <c r="A332" s="2">
        <v>44609</v>
      </c>
      <c r="B332" s="1" t="s">
        <v>8</v>
      </c>
      <c r="C332" s="1" t="s">
        <v>16</v>
      </c>
      <c r="D332" s="1" t="s">
        <v>28</v>
      </c>
      <c r="E332">
        <v>227</v>
      </c>
      <c r="F332" s="1">
        <f>VLOOKUP(jablka[[#This Row],[Nazwa]],cennik[],2,0) * jablka[[#This Row],[sprzedaż]]</f>
        <v>794.5</v>
      </c>
    </row>
    <row r="333" spans="1:6" x14ac:dyDescent="0.25">
      <c r="A333" s="2">
        <v>44609</v>
      </c>
      <c r="B333" s="1" t="s">
        <v>2</v>
      </c>
      <c r="C333" s="1" t="s">
        <v>16</v>
      </c>
      <c r="D333" s="1" t="s">
        <v>51</v>
      </c>
      <c r="E333">
        <v>293</v>
      </c>
      <c r="F333" s="1">
        <f>VLOOKUP(jablka[[#This Row],[Nazwa]],cennik[],2,0) * jablka[[#This Row],[sprzedaż]]</f>
        <v>937.6</v>
      </c>
    </row>
    <row r="334" spans="1:6" x14ac:dyDescent="0.25">
      <c r="A334" s="2">
        <v>44610</v>
      </c>
      <c r="B334" s="1" t="s">
        <v>6</v>
      </c>
      <c r="C334" s="1" t="s">
        <v>16</v>
      </c>
      <c r="D334" s="1" t="s">
        <v>21</v>
      </c>
      <c r="E334">
        <v>408</v>
      </c>
      <c r="F334" s="1">
        <f>VLOOKUP(jablka[[#This Row],[Nazwa]],cennik[],2,0) * jablka[[#This Row],[sprzedaż]]</f>
        <v>1387.2</v>
      </c>
    </row>
    <row r="335" spans="1:6" x14ac:dyDescent="0.25">
      <c r="A335" s="2">
        <v>44610</v>
      </c>
      <c r="B335" s="1" t="s">
        <v>4</v>
      </c>
      <c r="C335" s="1" t="s">
        <v>16</v>
      </c>
      <c r="D335" s="1" t="s">
        <v>45</v>
      </c>
      <c r="E335">
        <v>315</v>
      </c>
      <c r="F335" s="1">
        <f>VLOOKUP(jablka[[#This Row],[Nazwa]],cennik[],2,0) * jablka[[#This Row],[sprzedaż]]</f>
        <v>1071</v>
      </c>
    </row>
    <row r="336" spans="1:6" x14ac:dyDescent="0.25">
      <c r="A336" s="2">
        <v>44610</v>
      </c>
      <c r="B336" s="1" t="s">
        <v>8</v>
      </c>
      <c r="C336" s="1" t="s">
        <v>16</v>
      </c>
      <c r="D336" s="1" t="s">
        <v>48</v>
      </c>
      <c r="E336">
        <v>610</v>
      </c>
      <c r="F336" s="1">
        <f>VLOOKUP(jablka[[#This Row],[Nazwa]],cennik[],2,0) * jablka[[#This Row],[sprzedaż]]</f>
        <v>2135</v>
      </c>
    </row>
    <row r="337" spans="1:6" x14ac:dyDescent="0.25">
      <c r="A337" s="2">
        <v>44610</v>
      </c>
      <c r="B337" s="1" t="s">
        <v>6</v>
      </c>
      <c r="C337" s="1" t="s">
        <v>16</v>
      </c>
      <c r="D337" s="1" t="s">
        <v>25</v>
      </c>
      <c r="E337">
        <v>483</v>
      </c>
      <c r="F337" s="1">
        <f>VLOOKUP(jablka[[#This Row],[Nazwa]],cennik[],2,0) * jablka[[#This Row],[sprzedaż]]</f>
        <v>1642.2</v>
      </c>
    </row>
    <row r="338" spans="1:6" x14ac:dyDescent="0.25">
      <c r="A338" s="2">
        <v>44610</v>
      </c>
      <c r="B338" s="1" t="s">
        <v>10</v>
      </c>
      <c r="C338" s="1" t="s">
        <v>16</v>
      </c>
      <c r="D338" s="1" t="s">
        <v>55</v>
      </c>
      <c r="E338">
        <v>243</v>
      </c>
      <c r="F338" s="1">
        <f>VLOOKUP(jablka[[#This Row],[Nazwa]],cennik[],2,0) * jablka[[#This Row],[sprzedaż]]</f>
        <v>826.19999999999993</v>
      </c>
    </row>
    <row r="339" spans="1:6" x14ac:dyDescent="0.25">
      <c r="A339" s="2">
        <v>44611</v>
      </c>
      <c r="B339" s="1" t="s">
        <v>15</v>
      </c>
      <c r="C339" s="1" t="s">
        <v>16</v>
      </c>
      <c r="D339" s="1" t="s">
        <v>52</v>
      </c>
      <c r="E339">
        <v>272</v>
      </c>
      <c r="F339" s="1">
        <f>VLOOKUP(jablka[[#This Row],[Nazwa]],cennik[],2,0) * jablka[[#This Row],[sprzedaż]]</f>
        <v>652.79999999999995</v>
      </c>
    </row>
    <row r="340" spans="1:6" x14ac:dyDescent="0.25">
      <c r="A340" s="2">
        <v>44611</v>
      </c>
      <c r="B340" s="1" t="s">
        <v>2</v>
      </c>
      <c r="C340" s="1" t="s">
        <v>16</v>
      </c>
      <c r="D340" s="1" t="s">
        <v>60</v>
      </c>
      <c r="E340">
        <v>398</v>
      </c>
      <c r="F340" s="1">
        <f>VLOOKUP(jablka[[#This Row],[Nazwa]],cennik[],2,0) * jablka[[#This Row],[sprzedaż]]</f>
        <v>1273.6000000000001</v>
      </c>
    </row>
    <row r="341" spans="1:6" x14ac:dyDescent="0.25">
      <c r="A341" s="2">
        <v>44611</v>
      </c>
      <c r="B341" s="1" t="s">
        <v>6</v>
      </c>
      <c r="C341" s="1" t="s">
        <v>16</v>
      </c>
      <c r="D341" s="1" t="s">
        <v>62</v>
      </c>
      <c r="E341">
        <v>90</v>
      </c>
      <c r="F341" s="1">
        <f>VLOOKUP(jablka[[#This Row],[Nazwa]],cennik[],2,0) * jablka[[#This Row],[sprzedaż]]</f>
        <v>306</v>
      </c>
    </row>
    <row r="342" spans="1:6" x14ac:dyDescent="0.25">
      <c r="A342" s="2">
        <v>44611</v>
      </c>
      <c r="B342" s="1" t="s">
        <v>2</v>
      </c>
      <c r="C342" s="1" t="s">
        <v>16</v>
      </c>
      <c r="D342" s="1" t="s">
        <v>38</v>
      </c>
      <c r="E342">
        <v>176</v>
      </c>
      <c r="F342" s="1">
        <f>VLOOKUP(jablka[[#This Row],[Nazwa]],cennik[],2,0) * jablka[[#This Row],[sprzedaż]]</f>
        <v>563.20000000000005</v>
      </c>
    </row>
    <row r="343" spans="1:6" x14ac:dyDescent="0.25">
      <c r="A343" s="2">
        <v>44611</v>
      </c>
      <c r="B343" s="1" t="s">
        <v>0</v>
      </c>
      <c r="C343" s="1" t="s">
        <v>16</v>
      </c>
      <c r="D343" s="1" t="s">
        <v>48</v>
      </c>
      <c r="E343">
        <v>342</v>
      </c>
      <c r="F343" s="1">
        <f>VLOOKUP(jablka[[#This Row],[Nazwa]],cennik[],2,0) * jablka[[#This Row],[sprzedaż]]</f>
        <v>991.8</v>
      </c>
    </row>
    <row r="344" spans="1:6" x14ac:dyDescent="0.25">
      <c r="A344" s="2">
        <v>44611</v>
      </c>
      <c r="B344" s="1" t="s">
        <v>5</v>
      </c>
      <c r="C344" s="1" t="s">
        <v>16</v>
      </c>
      <c r="D344" s="1" t="s">
        <v>44</v>
      </c>
      <c r="E344">
        <v>456</v>
      </c>
      <c r="F344" s="1">
        <f>VLOOKUP(jablka[[#This Row],[Nazwa]],cennik[],2,0) * jablka[[#This Row],[sprzedaż]]</f>
        <v>1550.3999999999999</v>
      </c>
    </row>
    <row r="345" spans="1:6" x14ac:dyDescent="0.25">
      <c r="A345" s="2">
        <v>44611</v>
      </c>
      <c r="B345" s="1" t="s">
        <v>4</v>
      </c>
      <c r="C345" s="1" t="s">
        <v>16</v>
      </c>
      <c r="D345" s="1" t="s">
        <v>28</v>
      </c>
      <c r="E345">
        <v>483</v>
      </c>
      <c r="F345" s="1">
        <f>VLOOKUP(jablka[[#This Row],[Nazwa]],cennik[],2,0) * jablka[[#This Row],[sprzedaż]]</f>
        <v>1642.2</v>
      </c>
    </row>
    <row r="346" spans="1:6" x14ac:dyDescent="0.25">
      <c r="A346" s="2">
        <v>44611</v>
      </c>
      <c r="B346" s="1" t="s">
        <v>8</v>
      </c>
      <c r="C346" s="1" t="s">
        <v>16</v>
      </c>
      <c r="D346" s="1" t="s">
        <v>55</v>
      </c>
      <c r="E346">
        <v>682</v>
      </c>
      <c r="F346" s="1">
        <f>VLOOKUP(jablka[[#This Row],[Nazwa]],cennik[],2,0) * jablka[[#This Row],[sprzedaż]]</f>
        <v>2387</v>
      </c>
    </row>
    <row r="347" spans="1:6" x14ac:dyDescent="0.25">
      <c r="A347" s="2">
        <v>44613</v>
      </c>
      <c r="B347" s="1" t="s">
        <v>2</v>
      </c>
      <c r="C347" s="1" t="s">
        <v>16</v>
      </c>
      <c r="D347" s="1" t="s">
        <v>61</v>
      </c>
      <c r="E347">
        <v>430</v>
      </c>
      <c r="F347" s="1">
        <f>VLOOKUP(jablka[[#This Row],[Nazwa]],cennik[],2,0) * jablka[[#This Row],[sprzedaż]]</f>
        <v>1376</v>
      </c>
    </row>
    <row r="348" spans="1:6" x14ac:dyDescent="0.25">
      <c r="A348" s="2">
        <v>44613</v>
      </c>
      <c r="B348" s="1" t="s">
        <v>0</v>
      </c>
      <c r="C348" s="1" t="s">
        <v>16</v>
      </c>
      <c r="D348" s="1" t="s">
        <v>63</v>
      </c>
      <c r="E348">
        <v>85</v>
      </c>
      <c r="F348" s="1">
        <f>VLOOKUP(jablka[[#This Row],[Nazwa]],cennik[],2,0) * jablka[[#This Row],[sprzedaż]]</f>
        <v>246.5</v>
      </c>
    </row>
    <row r="349" spans="1:6" x14ac:dyDescent="0.25">
      <c r="A349" s="2">
        <v>44613</v>
      </c>
      <c r="B349" s="1" t="s">
        <v>8</v>
      </c>
      <c r="C349" s="1" t="s">
        <v>16</v>
      </c>
      <c r="D349" s="1" t="s">
        <v>49</v>
      </c>
      <c r="E349">
        <v>292</v>
      </c>
      <c r="F349" s="1">
        <f>VLOOKUP(jablka[[#This Row],[Nazwa]],cennik[],2,0) * jablka[[#This Row],[sprzedaż]]</f>
        <v>1022</v>
      </c>
    </row>
    <row r="350" spans="1:6" x14ac:dyDescent="0.25">
      <c r="A350" s="2">
        <v>44613</v>
      </c>
      <c r="B350" s="1" t="s">
        <v>15</v>
      </c>
      <c r="C350" s="1" t="s">
        <v>16</v>
      </c>
      <c r="D350" s="1" t="s">
        <v>42</v>
      </c>
      <c r="E350">
        <v>408</v>
      </c>
      <c r="F350" s="1">
        <f>VLOOKUP(jablka[[#This Row],[Nazwa]],cennik[],2,0) * jablka[[#This Row],[sprzedaż]]</f>
        <v>979.19999999999993</v>
      </c>
    </row>
    <row r="351" spans="1:6" x14ac:dyDescent="0.25">
      <c r="A351" s="2">
        <v>44613</v>
      </c>
      <c r="B351" s="1" t="s">
        <v>7</v>
      </c>
      <c r="C351" s="1" t="s">
        <v>16</v>
      </c>
      <c r="D351" s="1" t="s">
        <v>31</v>
      </c>
      <c r="E351">
        <v>680</v>
      </c>
      <c r="F351" s="1">
        <f>VLOOKUP(jablka[[#This Row],[Nazwa]],cennik[],2,0) * jablka[[#This Row],[sprzedaż]]</f>
        <v>2312</v>
      </c>
    </row>
    <row r="352" spans="1:6" x14ac:dyDescent="0.25">
      <c r="A352" s="2">
        <v>44613</v>
      </c>
      <c r="B352" s="1" t="s">
        <v>5</v>
      </c>
      <c r="C352" s="1" t="s">
        <v>16</v>
      </c>
      <c r="D352" s="1" t="s">
        <v>53</v>
      </c>
      <c r="E352">
        <v>372</v>
      </c>
      <c r="F352" s="1">
        <f>VLOOKUP(jablka[[#This Row],[Nazwa]],cennik[],2,0) * jablka[[#This Row],[sprzedaż]]</f>
        <v>1264.8</v>
      </c>
    </row>
    <row r="353" spans="1:6" x14ac:dyDescent="0.25">
      <c r="A353" s="2">
        <v>44613</v>
      </c>
      <c r="B353" s="1" t="s">
        <v>4</v>
      </c>
      <c r="C353" s="1" t="s">
        <v>16</v>
      </c>
      <c r="D353" s="1" t="s">
        <v>63</v>
      </c>
      <c r="E353">
        <v>454</v>
      </c>
      <c r="F353" s="1">
        <f>VLOOKUP(jablka[[#This Row],[Nazwa]],cennik[],2,0) * jablka[[#This Row],[sprzedaż]]</f>
        <v>1543.6</v>
      </c>
    </row>
    <row r="354" spans="1:6" x14ac:dyDescent="0.25">
      <c r="A354" s="2">
        <v>44613</v>
      </c>
      <c r="B354" s="1" t="s">
        <v>4</v>
      </c>
      <c r="C354" s="1" t="s">
        <v>16</v>
      </c>
      <c r="D354" s="1" t="s">
        <v>48</v>
      </c>
      <c r="E354">
        <v>354</v>
      </c>
      <c r="F354" s="1">
        <f>VLOOKUP(jablka[[#This Row],[Nazwa]],cennik[],2,0) * jablka[[#This Row],[sprzedaż]]</f>
        <v>1203.5999999999999</v>
      </c>
    </row>
    <row r="355" spans="1:6" x14ac:dyDescent="0.25">
      <c r="A355" s="2">
        <v>44613</v>
      </c>
      <c r="B355" s="1" t="s">
        <v>15</v>
      </c>
      <c r="C355" s="1" t="s">
        <v>16</v>
      </c>
      <c r="D355" s="1" t="s">
        <v>20</v>
      </c>
      <c r="E355">
        <v>316</v>
      </c>
      <c r="F355" s="1">
        <f>VLOOKUP(jablka[[#This Row],[Nazwa]],cennik[],2,0) * jablka[[#This Row],[sprzedaż]]</f>
        <v>758.4</v>
      </c>
    </row>
    <row r="356" spans="1:6" x14ac:dyDescent="0.25">
      <c r="A356" s="2">
        <v>44613</v>
      </c>
      <c r="B356" s="1" t="s">
        <v>15</v>
      </c>
      <c r="C356" s="1" t="s">
        <v>16</v>
      </c>
      <c r="D356" s="1" t="s">
        <v>20</v>
      </c>
      <c r="E356">
        <v>377</v>
      </c>
      <c r="F356" s="1">
        <f>VLOOKUP(jablka[[#This Row],[Nazwa]],cennik[],2,0) * jablka[[#This Row],[sprzedaż]]</f>
        <v>904.8</v>
      </c>
    </row>
    <row r="357" spans="1:6" x14ac:dyDescent="0.25">
      <c r="A357" s="2">
        <v>44613</v>
      </c>
      <c r="B357" s="1" t="s">
        <v>7</v>
      </c>
      <c r="C357" s="1" t="s">
        <v>16</v>
      </c>
      <c r="D357" s="1" t="s">
        <v>53</v>
      </c>
      <c r="E357">
        <v>692</v>
      </c>
      <c r="F357" s="1">
        <f>VLOOKUP(jablka[[#This Row],[Nazwa]],cennik[],2,0) * jablka[[#This Row],[sprzedaż]]</f>
        <v>2352.7999999999997</v>
      </c>
    </row>
    <row r="358" spans="1:6" x14ac:dyDescent="0.25">
      <c r="A358" s="2">
        <v>44613</v>
      </c>
      <c r="B358" s="1" t="s">
        <v>0</v>
      </c>
      <c r="C358" s="1" t="s">
        <v>16</v>
      </c>
      <c r="D358" s="1" t="s">
        <v>38</v>
      </c>
      <c r="E358">
        <v>435</v>
      </c>
      <c r="F358" s="1">
        <f>VLOOKUP(jablka[[#This Row],[Nazwa]],cennik[],2,0) * jablka[[#This Row],[sprzedaż]]</f>
        <v>1261.5</v>
      </c>
    </row>
    <row r="359" spans="1:6" x14ac:dyDescent="0.25">
      <c r="A359" s="2">
        <v>44613</v>
      </c>
      <c r="B359" s="1" t="s">
        <v>10</v>
      </c>
      <c r="C359" s="1" t="s">
        <v>16</v>
      </c>
      <c r="D359" s="1" t="s">
        <v>35</v>
      </c>
      <c r="E359">
        <v>130</v>
      </c>
      <c r="F359" s="1">
        <f>VLOOKUP(jablka[[#This Row],[Nazwa]],cennik[],2,0) * jablka[[#This Row],[sprzedaż]]</f>
        <v>442</v>
      </c>
    </row>
    <row r="360" spans="1:6" x14ac:dyDescent="0.25">
      <c r="A360" s="2">
        <v>44613</v>
      </c>
      <c r="B360" s="1" t="s">
        <v>10</v>
      </c>
      <c r="C360" s="1" t="s">
        <v>16</v>
      </c>
      <c r="D360" s="1" t="s">
        <v>58</v>
      </c>
      <c r="E360">
        <v>74</v>
      </c>
      <c r="F360" s="1">
        <f>VLOOKUP(jablka[[#This Row],[Nazwa]],cennik[],2,0) * jablka[[#This Row],[sprzedaż]]</f>
        <v>251.6</v>
      </c>
    </row>
    <row r="361" spans="1:6" x14ac:dyDescent="0.25">
      <c r="A361" s="2">
        <v>44613</v>
      </c>
      <c r="B361" s="1" t="s">
        <v>10</v>
      </c>
      <c r="C361" s="1" t="s">
        <v>16</v>
      </c>
      <c r="D361" s="1" t="s">
        <v>32</v>
      </c>
      <c r="E361">
        <v>205</v>
      </c>
      <c r="F361" s="1">
        <f>VLOOKUP(jablka[[#This Row],[Nazwa]],cennik[],2,0) * jablka[[#This Row],[sprzedaż]]</f>
        <v>697</v>
      </c>
    </row>
    <row r="362" spans="1:6" x14ac:dyDescent="0.25">
      <c r="A362" s="2">
        <v>44613</v>
      </c>
      <c r="B362" s="1" t="s">
        <v>0</v>
      </c>
      <c r="C362" s="1" t="s">
        <v>16</v>
      </c>
      <c r="D362" s="1" t="s">
        <v>40</v>
      </c>
      <c r="E362">
        <v>332</v>
      </c>
      <c r="F362" s="1">
        <f>VLOOKUP(jablka[[#This Row],[Nazwa]],cennik[],2,0) * jablka[[#This Row],[sprzedaż]]</f>
        <v>962.8</v>
      </c>
    </row>
    <row r="363" spans="1:6" x14ac:dyDescent="0.25">
      <c r="A363" s="2">
        <v>44613</v>
      </c>
      <c r="B363" s="1" t="s">
        <v>0</v>
      </c>
      <c r="C363" s="1" t="s">
        <v>16</v>
      </c>
      <c r="D363" s="1" t="s">
        <v>46</v>
      </c>
      <c r="E363">
        <v>67</v>
      </c>
      <c r="F363" s="1">
        <f>VLOOKUP(jablka[[#This Row],[Nazwa]],cennik[],2,0) * jablka[[#This Row],[sprzedaż]]</f>
        <v>194.29999999999998</v>
      </c>
    </row>
    <row r="364" spans="1:6" x14ac:dyDescent="0.25">
      <c r="A364" s="2">
        <v>44614</v>
      </c>
      <c r="B364" s="1" t="s">
        <v>6</v>
      </c>
      <c r="C364" s="1" t="s">
        <v>16</v>
      </c>
      <c r="D364" s="1" t="s">
        <v>46</v>
      </c>
      <c r="E364">
        <v>447</v>
      </c>
      <c r="F364" s="1">
        <f>VLOOKUP(jablka[[#This Row],[Nazwa]],cennik[],2,0) * jablka[[#This Row],[sprzedaż]]</f>
        <v>1519.8</v>
      </c>
    </row>
    <row r="365" spans="1:6" x14ac:dyDescent="0.25">
      <c r="A365" s="2">
        <v>44614</v>
      </c>
      <c r="B365" s="1" t="s">
        <v>0</v>
      </c>
      <c r="C365" s="1" t="s">
        <v>16</v>
      </c>
      <c r="D365" s="1" t="s">
        <v>32</v>
      </c>
      <c r="E365">
        <v>112</v>
      </c>
      <c r="F365" s="1">
        <f>VLOOKUP(jablka[[#This Row],[Nazwa]],cennik[],2,0) * jablka[[#This Row],[sprzedaż]]</f>
        <v>324.8</v>
      </c>
    </row>
    <row r="366" spans="1:6" x14ac:dyDescent="0.25">
      <c r="A366" s="2">
        <v>44614</v>
      </c>
      <c r="B366" s="1" t="s">
        <v>8</v>
      </c>
      <c r="C366" s="1" t="s">
        <v>16</v>
      </c>
      <c r="D366" s="1" t="s">
        <v>35</v>
      </c>
      <c r="E366">
        <v>599</v>
      </c>
      <c r="F366" s="1">
        <f>VLOOKUP(jablka[[#This Row],[Nazwa]],cennik[],2,0) * jablka[[#This Row],[sprzedaż]]</f>
        <v>2096.5</v>
      </c>
    </row>
    <row r="367" spans="1:6" x14ac:dyDescent="0.25">
      <c r="A367" s="2">
        <v>44614</v>
      </c>
      <c r="B367" s="1" t="s">
        <v>8</v>
      </c>
      <c r="C367" s="1" t="s">
        <v>16</v>
      </c>
      <c r="D367" s="1" t="s">
        <v>30</v>
      </c>
      <c r="E367">
        <v>235</v>
      </c>
      <c r="F367" s="1">
        <f>VLOOKUP(jablka[[#This Row],[Nazwa]],cennik[],2,0) * jablka[[#This Row],[sprzedaż]]</f>
        <v>822.5</v>
      </c>
    </row>
    <row r="368" spans="1:6" x14ac:dyDescent="0.25">
      <c r="A368" s="2">
        <v>44614</v>
      </c>
      <c r="B368" s="1" t="s">
        <v>15</v>
      </c>
      <c r="C368" s="1" t="s">
        <v>16</v>
      </c>
      <c r="D368" s="1" t="s">
        <v>51</v>
      </c>
      <c r="E368">
        <v>155</v>
      </c>
      <c r="F368" s="1">
        <f>VLOOKUP(jablka[[#This Row],[Nazwa]],cennik[],2,0) * jablka[[#This Row],[sprzedaż]]</f>
        <v>372</v>
      </c>
    </row>
    <row r="369" spans="1:6" x14ac:dyDescent="0.25">
      <c r="A369" s="2">
        <v>44614</v>
      </c>
      <c r="B369" s="1" t="s">
        <v>5</v>
      </c>
      <c r="C369" s="1" t="s">
        <v>16</v>
      </c>
      <c r="D369" s="1" t="s">
        <v>28</v>
      </c>
      <c r="E369">
        <v>141</v>
      </c>
      <c r="F369" s="1">
        <f>VLOOKUP(jablka[[#This Row],[Nazwa]],cennik[],2,0) * jablka[[#This Row],[sprzedaż]]</f>
        <v>479.4</v>
      </c>
    </row>
    <row r="370" spans="1:6" x14ac:dyDescent="0.25">
      <c r="A370" s="2">
        <v>44614</v>
      </c>
      <c r="B370" s="1" t="s">
        <v>10</v>
      </c>
      <c r="C370" s="1" t="s">
        <v>16</v>
      </c>
      <c r="D370" s="1" t="s">
        <v>23</v>
      </c>
      <c r="E370">
        <v>316</v>
      </c>
      <c r="F370" s="1">
        <f>VLOOKUP(jablka[[#This Row],[Nazwa]],cennik[],2,0) * jablka[[#This Row],[sprzedaż]]</f>
        <v>1074.3999999999999</v>
      </c>
    </row>
    <row r="371" spans="1:6" x14ac:dyDescent="0.25">
      <c r="A371" s="2">
        <v>44615</v>
      </c>
      <c r="B371" s="1" t="s">
        <v>8</v>
      </c>
      <c r="C371" s="1" t="s">
        <v>16</v>
      </c>
      <c r="D371" s="1" t="s">
        <v>58</v>
      </c>
      <c r="E371">
        <v>510</v>
      </c>
      <c r="F371" s="1">
        <f>VLOOKUP(jablka[[#This Row],[Nazwa]],cennik[],2,0) * jablka[[#This Row],[sprzedaż]]</f>
        <v>1785</v>
      </c>
    </row>
    <row r="372" spans="1:6" x14ac:dyDescent="0.25">
      <c r="A372" s="2">
        <v>44615</v>
      </c>
      <c r="B372" s="1" t="s">
        <v>7</v>
      </c>
      <c r="C372" s="1" t="s">
        <v>16</v>
      </c>
      <c r="D372" s="1" t="s">
        <v>53</v>
      </c>
      <c r="E372">
        <v>576</v>
      </c>
      <c r="F372" s="1">
        <f>VLOOKUP(jablka[[#This Row],[Nazwa]],cennik[],2,0) * jablka[[#This Row],[sprzedaż]]</f>
        <v>1958.3999999999999</v>
      </c>
    </row>
    <row r="373" spans="1:6" x14ac:dyDescent="0.25">
      <c r="A373" s="2">
        <v>44615</v>
      </c>
      <c r="B373" s="1" t="s">
        <v>7</v>
      </c>
      <c r="C373" s="1" t="s">
        <v>16</v>
      </c>
      <c r="D373" s="1" t="s">
        <v>56</v>
      </c>
      <c r="E373">
        <v>390</v>
      </c>
      <c r="F373" s="1">
        <f>VLOOKUP(jablka[[#This Row],[Nazwa]],cennik[],2,0) * jablka[[#This Row],[sprzedaż]]</f>
        <v>1326</v>
      </c>
    </row>
    <row r="374" spans="1:6" x14ac:dyDescent="0.25">
      <c r="A374" s="2">
        <v>44615</v>
      </c>
      <c r="B374" s="1" t="s">
        <v>15</v>
      </c>
      <c r="C374" s="1" t="s">
        <v>16</v>
      </c>
      <c r="D374" s="1" t="s">
        <v>54</v>
      </c>
      <c r="E374">
        <v>305</v>
      </c>
      <c r="F374" s="1">
        <f>VLOOKUP(jablka[[#This Row],[Nazwa]],cennik[],2,0) * jablka[[#This Row],[sprzedaż]]</f>
        <v>732</v>
      </c>
    </row>
    <row r="375" spans="1:6" x14ac:dyDescent="0.25">
      <c r="A375" s="2">
        <v>44615</v>
      </c>
      <c r="B375" s="1" t="s">
        <v>0</v>
      </c>
      <c r="C375" s="1" t="s">
        <v>16</v>
      </c>
      <c r="D375" s="1" t="s">
        <v>44</v>
      </c>
      <c r="E375">
        <v>395</v>
      </c>
      <c r="F375" s="1">
        <f>VLOOKUP(jablka[[#This Row],[Nazwa]],cennik[],2,0) * jablka[[#This Row],[sprzedaż]]</f>
        <v>1145.5</v>
      </c>
    </row>
    <row r="376" spans="1:6" x14ac:dyDescent="0.25">
      <c r="A376" s="2">
        <v>44615</v>
      </c>
      <c r="B376" s="1" t="s">
        <v>4</v>
      </c>
      <c r="C376" s="1" t="s">
        <v>16</v>
      </c>
      <c r="D376" s="1" t="s">
        <v>34</v>
      </c>
      <c r="E376">
        <v>448</v>
      </c>
      <c r="F376" s="1">
        <f>VLOOKUP(jablka[[#This Row],[Nazwa]],cennik[],2,0) * jablka[[#This Row],[sprzedaż]]</f>
        <v>1523.2</v>
      </c>
    </row>
    <row r="377" spans="1:6" x14ac:dyDescent="0.25">
      <c r="A377" s="2">
        <v>44615</v>
      </c>
      <c r="B377" s="1" t="s">
        <v>7</v>
      </c>
      <c r="C377" s="1" t="s">
        <v>16</v>
      </c>
      <c r="D377" s="1" t="s">
        <v>50</v>
      </c>
      <c r="E377">
        <v>448</v>
      </c>
      <c r="F377" s="1">
        <f>VLOOKUP(jablka[[#This Row],[Nazwa]],cennik[],2,0) * jablka[[#This Row],[sprzedaż]]</f>
        <v>1523.2</v>
      </c>
    </row>
    <row r="378" spans="1:6" x14ac:dyDescent="0.25">
      <c r="A378" s="2">
        <v>44616</v>
      </c>
      <c r="B378" s="1" t="s">
        <v>0</v>
      </c>
      <c r="C378" s="1" t="s">
        <v>16</v>
      </c>
      <c r="D378" s="1" t="s">
        <v>48</v>
      </c>
      <c r="E378">
        <v>418</v>
      </c>
      <c r="F378" s="1">
        <f>VLOOKUP(jablka[[#This Row],[Nazwa]],cennik[],2,0) * jablka[[#This Row],[sprzedaż]]</f>
        <v>1212.2</v>
      </c>
    </row>
    <row r="379" spans="1:6" x14ac:dyDescent="0.25">
      <c r="A379" s="2">
        <v>44616</v>
      </c>
      <c r="B379" s="1" t="s">
        <v>15</v>
      </c>
      <c r="C379" s="1" t="s">
        <v>16</v>
      </c>
      <c r="D379" s="1" t="s">
        <v>20</v>
      </c>
      <c r="E379">
        <v>328</v>
      </c>
      <c r="F379" s="1">
        <f>VLOOKUP(jablka[[#This Row],[Nazwa]],cennik[],2,0) * jablka[[#This Row],[sprzedaż]]</f>
        <v>787.19999999999993</v>
      </c>
    </row>
    <row r="380" spans="1:6" x14ac:dyDescent="0.25">
      <c r="A380" s="2">
        <v>44616</v>
      </c>
      <c r="B380" s="1" t="s">
        <v>8</v>
      </c>
      <c r="C380" s="1" t="s">
        <v>16</v>
      </c>
      <c r="D380" s="1" t="s">
        <v>47</v>
      </c>
      <c r="E380">
        <v>578</v>
      </c>
      <c r="F380" s="1">
        <f>VLOOKUP(jablka[[#This Row],[Nazwa]],cennik[],2,0) * jablka[[#This Row],[sprzedaż]]</f>
        <v>2023</v>
      </c>
    </row>
    <row r="381" spans="1:6" x14ac:dyDescent="0.25">
      <c r="A381" s="2">
        <v>44616</v>
      </c>
      <c r="B381" s="1" t="s">
        <v>10</v>
      </c>
      <c r="C381" s="1" t="s">
        <v>16</v>
      </c>
      <c r="D381" s="1" t="s">
        <v>17</v>
      </c>
      <c r="E381">
        <v>418</v>
      </c>
      <c r="F381" s="1">
        <f>VLOOKUP(jablka[[#This Row],[Nazwa]],cennik[],2,0) * jablka[[#This Row],[sprzedaż]]</f>
        <v>1421.2</v>
      </c>
    </row>
    <row r="382" spans="1:6" x14ac:dyDescent="0.25">
      <c r="A382" s="2">
        <v>44617</v>
      </c>
      <c r="B382" s="1" t="s">
        <v>4</v>
      </c>
      <c r="C382" s="1" t="s">
        <v>16</v>
      </c>
      <c r="D382" s="1" t="s">
        <v>21</v>
      </c>
      <c r="E382">
        <v>678</v>
      </c>
      <c r="F382" s="1">
        <f>VLOOKUP(jablka[[#This Row],[Nazwa]],cennik[],2,0) * jablka[[#This Row],[sprzedaż]]</f>
        <v>2305.1999999999998</v>
      </c>
    </row>
    <row r="383" spans="1:6" x14ac:dyDescent="0.25">
      <c r="A383" s="2">
        <v>44617</v>
      </c>
      <c r="B383" s="1" t="s">
        <v>7</v>
      </c>
      <c r="C383" s="1" t="s">
        <v>16</v>
      </c>
      <c r="D383" s="1" t="s">
        <v>65</v>
      </c>
      <c r="E383">
        <v>685</v>
      </c>
      <c r="F383" s="1">
        <f>VLOOKUP(jablka[[#This Row],[Nazwa]],cennik[],2,0) * jablka[[#This Row],[sprzedaż]]</f>
        <v>2329</v>
      </c>
    </row>
    <row r="384" spans="1:6" x14ac:dyDescent="0.25">
      <c r="A384" s="2">
        <v>44617</v>
      </c>
      <c r="B384" s="1" t="s">
        <v>10</v>
      </c>
      <c r="C384" s="1" t="s">
        <v>16</v>
      </c>
      <c r="D384" s="1" t="s">
        <v>62</v>
      </c>
      <c r="E384">
        <v>126</v>
      </c>
      <c r="F384" s="1">
        <f>VLOOKUP(jablka[[#This Row],[Nazwa]],cennik[],2,0) * jablka[[#This Row],[sprzedaż]]</f>
        <v>428.4</v>
      </c>
    </row>
    <row r="385" spans="1:6" x14ac:dyDescent="0.25">
      <c r="A385" s="2">
        <v>44617</v>
      </c>
      <c r="B385" s="1" t="s">
        <v>0</v>
      </c>
      <c r="C385" s="1" t="s">
        <v>16</v>
      </c>
      <c r="D385" s="1" t="s">
        <v>17</v>
      </c>
      <c r="E385">
        <v>133</v>
      </c>
      <c r="F385" s="1">
        <f>VLOOKUP(jablka[[#This Row],[Nazwa]],cennik[],2,0) * jablka[[#This Row],[sprzedaż]]</f>
        <v>385.7</v>
      </c>
    </row>
    <row r="386" spans="1:6" x14ac:dyDescent="0.25">
      <c r="A386" s="2">
        <v>44617</v>
      </c>
      <c r="B386" s="1" t="s">
        <v>4</v>
      </c>
      <c r="C386" s="1" t="s">
        <v>16</v>
      </c>
      <c r="D386" s="1" t="s">
        <v>42</v>
      </c>
      <c r="E386">
        <v>603</v>
      </c>
      <c r="F386" s="1">
        <f>VLOOKUP(jablka[[#This Row],[Nazwa]],cennik[],2,0) * jablka[[#This Row],[sprzedaż]]</f>
        <v>2050.1999999999998</v>
      </c>
    </row>
    <row r="387" spans="1:6" x14ac:dyDescent="0.25">
      <c r="A387" s="2">
        <v>44618</v>
      </c>
      <c r="B387" s="1" t="s">
        <v>5</v>
      </c>
      <c r="C387" s="1" t="s">
        <v>16</v>
      </c>
      <c r="D387" s="1" t="s">
        <v>61</v>
      </c>
      <c r="E387">
        <v>491</v>
      </c>
      <c r="F387" s="1">
        <f>VLOOKUP(jablka[[#This Row],[Nazwa]],cennik[],2,0) * jablka[[#This Row],[sprzedaż]]</f>
        <v>1669.3999999999999</v>
      </c>
    </row>
    <row r="388" spans="1:6" x14ac:dyDescent="0.25">
      <c r="A388" s="2">
        <v>44618</v>
      </c>
      <c r="B388" s="1" t="s">
        <v>0</v>
      </c>
      <c r="C388" s="1" t="s">
        <v>16</v>
      </c>
      <c r="D388" s="1" t="s">
        <v>36</v>
      </c>
      <c r="E388">
        <v>133</v>
      </c>
      <c r="F388" s="1">
        <f>VLOOKUP(jablka[[#This Row],[Nazwa]],cennik[],2,0) * jablka[[#This Row],[sprzedaż]]</f>
        <v>385.7</v>
      </c>
    </row>
    <row r="389" spans="1:6" x14ac:dyDescent="0.25">
      <c r="A389" s="2">
        <v>44618</v>
      </c>
      <c r="B389" s="1" t="s">
        <v>8</v>
      </c>
      <c r="C389" s="1" t="s">
        <v>16</v>
      </c>
      <c r="D389" s="1" t="s">
        <v>49</v>
      </c>
      <c r="E389">
        <v>628</v>
      </c>
      <c r="F389" s="1">
        <f>VLOOKUP(jablka[[#This Row],[Nazwa]],cennik[],2,0) * jablka[[#This Row],[sprzedaż]]</f>
        <v>2198</v>
      </c>
    </row>
    <row r="390" spans="1:6" x14ac:dyDescent="0.25">
      <c r="A390" s="2">
        <v>44618</v>
      </c>
      <c r="B390" s="1" t="s">
        <v>2</v>
      </c>
      <c r="C390" s="1" t="s">
        <v>16</v>
      </c>
      <c r="D390" s="1" t="s">
        <v>56</v>
      </c>
      <c r="E390">
        <v>413</v>
      </c>
      <c r="F390" s="1">
        <f>VLOOKUP(jablka[[#This Row],[Nazwa]],cennik[],2,0) * jablka[[#This Row],[sprzedaż]]</f>
        <v>1321.6000000000001</v>
      </c>
    </row>
    <row r="391" spans="1:6" x14ac:dyDescent="0.25">
      <c r="A391" s="2">
        <v>44618</v>
      </c>
      <c r="B391" s="1" t="s">
        <v>4</v>
      </c>
      <c r="C391" s="1" t="s">
        <v>16</v>
      </c>
      <c r="D391" s="1" t="s">
        <v>20</v>
      </c>
      <c r="E391">
        <v>556</v>
      </c>
      <c r="F391" s="1">
        <f>VLOOKUP(jablka[[#This Row],[Nazwa]],cennik[],2,0) * jablka[[#This Row],[sprzedaż]]</f>
        <v>1890.3999999999999</v>
      </c>
    </row>
    <row r="392" spans="1:6" x14ac:dyDescent="0.25">
      <c r="A392" s="2">
        <v>44620</v>
      </c>
      <c r="B392" s="1" t="s">
        <v>4</v>
      </c>
      <c r="C392" s="1" t="s">
        <v>16</v>
      </c>
      <c r="D392" s="1" t="s">
        <v>30</v>
      </c>
      <c r="E392">
        <v>459</v>
      </c>
      <c r="F392" s="1">
        <f>VLOOKUP(jablka[[#This Row],[Nazwa]],cennik[],2,0) * jablka[[#This Row],[sprzedaż]]</f>
        <v>1560.6</v>
      </c>
    </row>
    <row r="393" spans="1:6" x14ac:dyDescent="0.25">
      <c r="A393" s="2">
        <v>44620</v>
      </c>
      <c r="B393" s="1" t="s">
        <v>7</v>
      </c>
      <c r="C393" s="1" t="s">
        <v>16</v>
      </c>
      <c r="D393" s="1" t="s">
        <v>58</v>
      </c>
      <c r="E393">
        <v>332</v>
      </c>
      <c r="F393" s="1">
        <f>VLOOKUP(jablka[[#This Row],[Nazwa]],cennik[],2,0) * jablka[[#This Row],[sprzedaż]]</f>
        <v>1128.8</v>
      </c>
    </row>
    <row r="394" spans="1:6" x14ac:dyDescent="0.25">
      <c r="A394" s="2">
        <v>44620</v>
      </c>
      <c r="B394" s="1" t="s">
        <v>4</v>
      </c>
      <c r="C394" s="1" t="s">
        <v>16</v>
      </c>
      <c r="D394" s="1" t="s">
        <v>50</v>
      </c>
      <c r="E394">
        <v>489</v>
      </c>
      <c r="F394" s="1">
        <f>VLOOKUP(jablka[[#This Row],[Nazwa]],cennik[],2,0) * jablka[[#This Row],[sprzedaż]]</f>
        <v>1662.6</v>
      </c>
    </row>
    <row r="395" spans="1:6" x14ac:dyDescent="0.25">
      <c r="A395" s="2">
        <v>44620</v>
      </c>
      <c r="B395" s="1" t="s">
        <v>15</v>
      </c>
      <c r="C395" s="1" t="s">
        <v>16</v>
      </c>
      <c r="D395" s="1" t="s">
        <v>58</v>
      </c>
      <c r="E395">
        <v>172</v>
      </c>
      <c r="F395" s="1">
        <f>VLOOKUP(jablka[[#This Row],[Nazwa]],cennik[],2,0) * jablka[[#This Row],[sprzedaż]]</f>
        <v>412.8</v>
      </c>
    </row>
    <row r="396" spans="1:6" x14ac:dyDescent="0.25">
      <c r="A396" s="2">
        <v>44620</v>
      </c>
      <c r="B396" s="1" t="s">
        <v>7</v>
      </c>
      <c r="C396" s="1" t="s">
        <v>16</v>
      </c>
      <c r="D396" s="1" t="s">
        <v>37</v>
      </c>
      <c r="E396">
        <v>674</v>
      </c>
      <c r="F396" s="1">
        <f>VLOOKUP(jablka[[#This Row],[Nazwa]],cennik[],2,0) * jablka[[#This Row],[sprzedaż]]</f>
        <v>2291.6</v>
      </c>
    </row>
    <row r="397" spans="1:6" x14ac:dyDescent="0.25">
      <c r="A397" s="2">
        <v>44620</v>
      </c>
      <c r="B397" s="1" t="s">
        <v>6</v>
      </c>
      <c r="C397" s="1" t="s">
        <v>16</v>
      </c>
      <c r="D397" s="1" t="s">
        <v>38</v>
      </c>
      <c r="E397">
        <v>209</v>
      </c>
      <c r="F397" s="1">
        <f>VLOOKUP(jablka[[#This Row],[Nazwa]],cennik[],2,0) * jablka[[#This Row],[sprzedaż]]</f>
        <v>710.6</v>
      </c>
    </row>
    <row r="398" spans="1:6" x14ac:dyDescent="0.25">
      <c r="A398" s="2">
        <v>44620</v>
      </c>
      <c r="B398" s="1" t="s">
        <v>10</v>
      </c>
      <c r="C398" s="1" t="s">
        <v>16</v>
      </c>
      <c r="D398" s="1" t="s">
        <v>56</v>
      </c>
      <c r="E398">
        <v>177</v>
      </c>
      <c r="F398" s="1">
        <f>VLOOKUP(jablka[[#This Row],[Nazwa]],cennik[],2,0) * jablka[[#This Row],[sprzedaż]]</f>
        <v>601.79999999999995</v>
      </c>
    </row>
    <row r="399" spans="1:6" x14ac:dyDescent="0.25">
      <c r="A399" s="2">
        <v>44620</v>
      </c>
      <c r="B399" s="1" t="s">
        <v>0</v>
      </c>
      <c r="C399" s="1" t="s">
        <v>16</v>
      </c>
      <c r="D399" s="1" t="s">
        <v>32</v>
      </c>
      <c r="E399">
        <v>14</v>
      </c>
      <c r="F399" s="1">
        <f>VLOOKUP(jablka[[#This Row],[Nazwa]],cennik[],2,0) * jablka[[#This Row],[sprzedaż]]</f>
        <v>40.6</v>
      </c>
    </row>
    <row r="400" spans="1:6" x14ac:dyDescent="0.25">
      <c r="A400" s="2">
        <v>44620</v>
      </c>
      <c r="B400" s="1" t="s">
        <v>5</v>
      </c>
      <c r="C400" s="1" t="s">
        <v>16</v>
      </c>
      <c r="D400" s="1" t="s">
        <v>53</v>
      </c>
      <c r="E400">
        <v>36</v>
      </c>
      <c r="F400" s="1">
        <f>VLOOKUP(jablka[[#This Row],[Nazwa]],cennik[],2,0) * jablka[[#This Row],[sprzedaż]]</f>
        <v>122.39999999999999</v>
      </c>
    </row>
    <row r="401" spans="1:6" x14ac:dyDescent="0.25">
      <c r="A401" s="2">
        <v>44620</v>
      </c>
      <c r="B401" s="1" t="s">
        <v>15</v>
      </c>
      <c r="C401" s="1" t="s">
        <v>16</v>
      </c>
      <c r="D401" s="1" t="s">
        <v>42</v>
      </c>
      <c r="E401">
        <v>480</v>
      </c>
      <c r="F401" s="1">
        <f>VLOOKUP(jablka[[#This Row],[Nazwa]],cennik[],2,0) * jablka[[#This Row],[sprzedaż]]</f>
        <v>1152</v>
      </c>
    </row>
    <row r="402" spans="1:6" x14ac:dyDescent="0.25">
      <c r="A402" s="2">
        <v>44620</v>
      </c>
      <c r="B402" s="1" t="s">
        <v>2</v>
      </c>
      <c r="C402" s="1" t="s">
        <v>16</v>
      </c>
      <c r="D402" s="1" t="s">
        <v>43</v>
      </c>
      <c r="E402">
        <v>65</v>
      </c>
      <c r="F402" s="1">
        <f>VLOOKUP(jablka[[#This Row],[Nazwa]],cennik[],2,0) * jablka[[#This Row],[sprzedaż]]</f>
        <v>208</v>
      </c>
    </row>
    <row r="403" spans="1:6" x14ac:dyDescent="0.25">
      <c r="A403" s="2">
        <v>44620</v>
      </c>
      <c r="B403" s="1" t="s">
        <v>2</v>
      </c>
      <c r="C403" s="1" t="s">
        <v>16</v>
      </c>
      <c r="D403" s="1" t="s">
        <v>66</v>
      </c>
      <c r="E403">
        <v>322</v>
      </c>
      <c r="F403" s="1">
        <f>VLOOKUP(jablka[[#This Row],[Nazwa]],cennik[],2,0) * jablka[[#This Row],[sprzedaż]]</f>
        <v>1030.4000000000001</v>
      </c>
    </row>
    <row r="404" spans="1:6" x14ac:dyDescent="0.25">
      <c r="A404" s="2">
        <v>44621</v>
      </c>
      <c r="B404" s="1" t="s">
        <v>5</v>
      </c>
      <c r="C404" s="1" t="s">
        <v>16</v>
      </c>
      <c r="D404" s="1" t="s">
        <v>23</v>
      </c>
      <c r="E404">
        <v>466</v>
      </c>
      <c r="F404" s="1">
        <f>VLOOKUP(jablka[[#This Row],[Nazwa]],cennik[],2,0) * jablka[[#This Row],[sprzedaż]]</f>
        <v>1584.3999999999999</v>
      </c>
    </row>
    <row r="405" spans="1:6" x14ac:dyDescent="0.25">
      <c r="A405" s="2">
        <v>44621</v>
      </c>
      <c r="B405" s="1" t="s">
        <v>6</v>
      </c>
      <c r="C405" s="1" t="s">
        <v>16</v>
      </c>
      <c r="D405" s="1" t="s">
        <v>17</v>
      </c>
      <c r="E405">
        <v>100</v>
      </c>
      <c r="F405" s="1">
        <f>VLOOKUP(jablka[[#This Row],[Nazwa]],cennik[],2,0) * jablka[[#This Row],[sprzedaż]]</f>
        <v>340</v>
      </c>
    </row>
    <row r="406" spans="1:6" x14ac:dyDescent="0.25">
      <c r="A406" s="2">
        <v>44621</v>
      </c>
      <c r="B406" s="1" t="s">
        <v>7</v>
      </c>
      <c r="C406" s="1" t="s">
        <v>16</v>
      </c>
      <c r="D406" s="1" t="s">
        <v>20</v>
      </c>
      <c r="E406">
        <v>337</v>
      </c>
      <c r="F406" s="1">
        <f>VLOOKUP(jablka[[#This Row],[Nazwa]],cennik[],2,0) * jablka[[#This Row],[sprzedaż]]</f>
        <v>1145.8</v>
      </c>
    </row>
    <row r="407" spans="1:6" x14ac:dyDescent="0.25">
      <c r="A407" s="2">
        <v>44621</v>
      </c>
      <c r="B407" s="1" t="s">
        <v>10</v>
      </c>
      <c r="C407" s="1" t="s">
        <v>16</v>
      </c>
      <c r="D407" s="1" t="s">
        <v>53</v>
      </c>
      <c r="E407">
        <v>302</v>
      </c>
      <c r="F407" s="1">
        <f>VLOOKUP(jablka[[#This Row],[Nazwa]],cennik[],2,0) * jablka[[#This Row],[sprzedaż]]</f>
        <v>1026.8</v>
      </c>
    </row>
    <row r="408" spans="1:6" x14ac:dyDescent="0.25">
      <c r="A408" s="2">
        <v>44621</v>
      </c>
      <c r="B408" s="1" t="s">
        <v>7</v>
      </c>
      <c r="C408" s="1" t="s">
        <v>16</v>
      </c>
      <c r="D408" s="1" t="s">
        <v>36</v>
      </c>
      <c r="E408">
        <v>223</v>
      </c>
      <c r="F408" s="1">
        <f>VLOOKUP(jablka[[#This Row],[Nazwa]],cennik[],2,0) * jablka[[#This Row],[sprzedaż]]</f>
        <v>758.19999999999993</v>
      </c>
    </row>
    <row r="409" spans="1:6" x14ac:dyDescent="0.25">
      <c r="A409" s="2">
        <v>44621</v>
      </c>
      <c r="B409" s="1" t="s">
        <v>7</v>
      </c>
      <c r="C409" s="1" t="s">
        <v>16</v>
      </c>
      <c r="D409" s="1" t="s">
        <v>35</v>
      </c>
      <c r="E409">
        <v>320</v>
      </c>
      <c r="F409" s="1">
        <f>VLOOKUP(jablka[[#This Row],[Nazwa]],cennik[],2,0) * jablka[[#This Row],[sprzedaż]]</f>
        <v>1088</v>
      </c>
    </row>
    <row r="410" spans="1:6" x14ac:dyDescent="0.25">
      <c r="A410" s="2">
        <v>44621</v>
      </c>
      <c r="B410" s="1" t="s">
        <v>4</v>
      </c>
      <c r="C410" s="1" t="s">
        <v>16</v>
      </c>
      <c r="D410" s="1" t="s">
        <v>43</v>
      </c>
      <c r="E410">
        <v>329</v>
      </c>
      <c r="F410" s="1">
        <f>VLOOKUP(jablka[[#This Row],[Nazwa]],cennik[],2,0) * jablka[[#This Row],[sprzedaż]]</f>
        <v>1118.5999999999999</v>
      </c>
    </row>
    <row r="411" spans="1:6" x14ac:dyDescent="0.25">
      <c r="A411" s="2">
        <v>44621</v>
      </c>
      <c r="B411" s="1" t="s">
        <v>15</v>
      </c>
      <c r="C411" s="1" t="s">
        <v>16</v>
      </c>
      <c r="D411" s="1" t="s">
        <v>60</v>
      </c>
      <c r="E411">
        <v>321</v>
      </c>
      <c r="F411" s="1">
        <f>VLOOKUP(jablka[[#This Row],[Nazwa]],cennik[],2,0) * jablka[[#This Row],[sprzedaż]]</f>
        <v>770.4</v>
      </c>
    </row>
    <row r="412" spans="1:6" x14ac:dyDescent="0.25">
      <c r="A412" s="2">
        <v>44621</v>
      </c>
      <c r="B412" s="1" t="s">
        <v>2</v>
      </c>
      <c r="C412" s="1" t="s">
        <v>16</v>
      </c>
      <c r="D412" s="1" t="s">
        <v>58</v>
      </c>
      <c r="E412">
        <v>123</v>
      </c>
      <c r="F412" s="1">
        <f>VLOOKUP(jablka[[#This Row],[Nazwa]],cennik[],2,0) * jablka[[#This Row],[sprzedaż]]</f>
        <v>393.6</v>
      </c>
    </row>
    <row r="413" spans="1:6" x14ac:dyDescent="0.25">
      <c r="A413" s="2">
        <v>44621</v>
      </c>
      <c r="B413" s="1" t="s">
        <v>8</v>
      </c>
      <c r="C413" s="1" t="s">
        <v>16</v>
      </c>
      <c r="D413" s="1" t="s">
        <v>66</v>
      </c>
      <c r="E413">
        <v>560</v>
      </c>
      <c r="F413" s="1">
        <f>VLOOKUP(jablka[[#This Row],[Nazwa]],cennik[],2,0) * jablka[[#This Row],[sprzedaż]]</f>
        <v>1960</v>
      </c>
    </row>
    <row r="414" spans="1:6" x14ac:dyDescent="0.25">
      <c r="A414" s="2">
        <v>44622</v>
      </c>
      <c r="B414" s="1" t="s">
        <v>15</v>
      </c>
      <c r="C414" s="1" t="s">
        <v>16</v>
      </c>
      <c r="D414" s="1" t="s">
        <v>63</v>
      </c>
      <c r="E414">
        <v>536</v>
      </c>
      <c r="F414" s="1">
        <f>VLOOKUP(jablka[[#This Row],[Nazwa]],cennik[],2,0) * jablka[[#This Row],[sprzedaż]]</f>
        <v>1286.3999999999999</v>
      </c>
    </row>
    <row r="415" spans="1:6" x14ac:dyDescent="0.25">
      <c r="A415" s="2">
        <v>44622</v>
      </c>
      <c r="B415" s="1" t="s">
        <v>8</v>
      </c>
      <c r="C415" s="1" t="s">
        <v>16</v>
      </c>
      <c r="D415" s="1" t="s">
        <v>29</v>
      </c>
      <c r="E415">
        <v>345</v>
      </c>
      <c r="F415" s="1">
        <f>VLOOKUP(jablka[[#This Row],[Nazwa]],cennik[],2,0) * jablka[[#This Row],[sprzedaż]]</f>
        <v>1207.5</v>
      </c>
    </row>
    <row r="416" spans="1:6" x14ac:dyDescent="0.25">
      <c r="A416" s="2">
        <v>44622</v>
      </c>
      <c r="B416" s="1" t="s">
        <v>15</v>
      </c>
      <c r="C416" s="1" t="s">
        <v>16</v>
      </c>
      <c r="D416" s="1" t="s">
        <v>18</v>
      </c>
      <c r="E416">
        <v>238</v>
      </c>
      <c r="F416" s="1">
        <f>VLOOKUP(jablka[[#This Row],[Nazwa]],cennik[],2,0) * jablka[[#This Row],[sprzedaż]]</f>
        <v>571.19999999999993</v>
      </c>
    </row>
    <row r="417" spans="1:6" x14ac:dyDescent="0.25">
      <c r="A417" s="2">
        <v>44622</v>
      </c>
      <c r="B417" s="1" t="s">
        <v>5</v>
      </c>
      <c r="C417" s="1" t="s">
        <v>16</v>
      </c>
      <c r="D417" s="1" t="s">
        <v>33</v>
      </c>
      <c r="E417">
        <v>12</v>
      </c>
      <c r="F417" s="1">
        <f>VLOOKUP(jablka[[#This Row],[Nazwa]],cennik[],2,0) * jablka[[#This Row],[sprzedaż]]</f>
        <v>40.799999999999997</v>
      </c>
    </row>
    <row r="418" spans="1:6" x14ac:dyDescent="0.25">
      <c r="A418" s="2">
        <v>44622</v>
      </c>
      <c r="B418" s="1" t="s">
        <v>15</v>
      </c>
      <c r="C418" s="1" t="s">
        <v>16</v>
      </c>
      <c r="D418" s="1" t="s">
        <v>51</v>
      </c>
      <c r="E418">
        <v>488</v>
      </c>
      <c r="F418" s="1">
        <f>VLOOKUP(jablka[[#This Row],[Nazwa]],cennik[],2,0) * jablka[[#This Row],[sprzedaż]]</f>
        <v>1171.2</v>
      </c>
    </row>
    <row r="419" spans="1:6" x14ac:dyDescent="0.25">
      <c r="A419" s="2">
        <v>44622</v>
      </c>
      <c r="B419" s="1" t="s">
        <v>8</v>
      </c>
      <c r="C419" s="1" t="s">
        <v>16</v>
      </c>
      <c r="D419" s="1" t="s">
        <v>36</v>
      </c>
      <c r="E419">
        <v>537</v>
      </c>
      <c r="F419" s="1">
        <f>VLOOKUP(jablka[[#This Row],[Nazwa]],cennik[],2,0) * jablka[[#This Row],[sprzedaż]]</f>
        <v>1879.5</v>
      </c>
    </row>
    <row r="420" spans="1:6" x14ac:dyDescent="0.25">
      <c r="A420" s="2">
        <v>44622</v>
      </c>
      <c r="B420" s="1" t="s">
        <v>5</v>
      </c>
      <c r="C420" s="1" t="s">
        <v>16</v>
      </c>
      <c r="D420" s="1" t="s">
        <v>19</v>
      </c>
      <c r="E420">
        <v>86</v>
      </c>
      <c r="F420" s="1">
        <f>VLOOKUP(jablka[[#This Row],[Nazwa]],cennik[],2,0) * jablka[[#This Row],[sprzedaż]]</f>
        <v>292.39999999999998</v>
      </c>
    </row>
    <row r="421" spans="1:6" x14ac:dyDescent="0.25">
      <c r="A421" s="2">
        <v>44622</v>
      </c>
      <c r="B421" s="1" t="s">
        <v>5</v>
      </c>
      <c r="C421" s="1" t="s">
        <v>16</v>
      </c>
      <c r="D421" s="1" t="s">
        <v>18</v>
      </c>
      <c r="E421">
        <v>478</v>
      </c>
      <c r="F421" s="1">
        <f>VLOOKUP(jablka[[#This Row],[Nazwa]],cennik[],2,0) * jablka[[#This Row],[sprzedaż]]</f>
        <v>1625.2</v>
      </c>
    </row>
    <row r="422" spans="1:6" x14ac:dyDescent="0.25">
      <c r="A422" s="2">
        <v>44623</v>
      </c>
      <c r="B422" s="1" t="s">
        <v>15</v>
      </c>
      <c r="C422" s="1" t="s">
        <v>16</v>
      </c>
      <c r="D422" s="1" t="s">
        <v>51</v>
      </c>
      <c r="E422">
        <v>263</v>
      </c>
      <c r="F422" s="1">
        <f>VLOOKUP(jablka[[#This Row],[Nazwa]],cennik[],2,0) * jablka[[#This Row],[sprzedaż]]</f>
        <v>631.19999999999993</v>
      </c>
    </row>
    <row r="423" spans="1:6" x14ac:dyDescent="0.25">
      <c r="A423" s="2">
        <v>44623</v>
      </c>
      <c r="B423" s="1" t="s">
        <v>15</v>
      </c>
      <c r="C423" s="1" t="s">
        <v>16</v>
      </c>
      <c r="D423" s="1" t="s">
        <v>24</v>
      </c>
      <c r="E423">
        <v>438</v>
      </c>
      <c r="F423" s="1">
        <f>VLOOKUP(jablka[[#This Row],[Nazwa]],cennik[],2,0) * jablka[[#This Row],[sprzedaż]]</f>
        <v>1051.2</v>
      </c>
    </row>
    <row r="424" spans="1:6" x14ac:dyDescent="0.25">
      <c r="A424" s="2">
        <v>44623</v>
      </c>
      <c r="B424" s="1" t="s">
        <v>0</v>
      </c>
      <c r="C424" s="1" t="s">
        <v>16</v>
      </c>
      <c r="D424" s="1" t="s">
        <v>46</v>
      </c>
      <c r="E424">
        <v>39</v>
      </c>
      <c r="F424" s="1">
        <f>VLOOKUP(jablka[[#This Row],[Nazwa]],cennik[],2,0) * jablka[[#This Row],[sprzedaż]]</f>
        <v>113.1</v>
      </c>
    </row>
    <row r="425" spans="1:6" x14ac:dyDescent="0.25">
      <c r="A425" s="2">
        <v>44623</v>
      </c>
      <c r="B425" s="1" t="s">
        <v>10</v>
      </c>
      <c r="C425" s="1" t="s">
        <v>16</v>
      </c>
      <c r="D425" s="1" t="s">
        <v>57</v>
      </c>
      <c r="E425">
        <v>426</v>
      </c>
      <c r="F425" s="1">
        <f>VLOOKUP(jablka[[#This Row],[Nazwa]],cennik[],2,0) * jablka[[#This Row],[sprzedaż]]</f>
        <v>1448.3999999999999</v>
      </c>
    </row>
    <row r="426" spans="1:6" x14ac:dyDescent="0.25">
      <c r="A426" s="2">
        <v>44623</v>
      </c>
      <c r="B426" s="1" t="s">
        <v>0</v>
      </c>
      <c r="C426" s="1" t="s">
        <v>16</v>
      </c>
      <c r="D426" s="1" t="s">
        <v>55</v>
      </c>
      <c r="E426">
        <v>426</v>
      </c>
      <c r="F426" s="1">
        <f>VLOOKUP(jablka[[#This Row],[Nazwa]],cennik[],2,0) * jablka[[#This Row],[sprzedaż]]</f>
        <v>1235.3999999999999</v>
      </c>
    </row>
    <row r="427" spans="1:6" x14ac:dyDescent="0.25">
      <c r="A427" s="2">
        <v>44623</v>
      </c>
      <c r="B427" s="1" t="s">
        <v>10</v>
      </c>
      <c r="C427" s="1" t="s">
        <v>16</v>
      </c>
      <c r="D427" s="1" t="s">
        <v>55</v>
      </c>
      <c r="E427">
        <v>80</v>
      </c>
      <c r="F427" s="1">
        <f>VLOOKUP(jablka[[#This Row],[Nazwa]],cennik[],2,0) * jablka[[#This Row],[sprzedaż]]</f>
        <v>272</v>
      </c>
    </row>
    <row r="428" spans="1:6" x14ac:dyDescent="0.25">
      <c r="A428" s="2">
        <v>44623</v>
      </c>
      <c r="B428" s="1" t="s">
        <v>8</v>
      </c>
      <c r="C428" s="1" t="s">
        <v>16</v>
      </c>
      <c r="D428" s="1" t="s">
        <v>52</v>
      </c>
      <c r="E428">
        <v>394</v>
      </c>
      <c r="F428" s="1">
        <f>VLOOKUP(jablka[[#This Row],[Nazwa]],cennik[],2,0) * jablka[[#This Row],[sprzedaż]]</f>
        <v>1379</v>
      </c>
    </row>
    <row r="429" spans="1:6" x14ac:dyDescent="0.25">
      <c r="A429" s="2">
        <v>44623</v>
      </c>
      <c r="B429" s="1" t="s">
        <v>2</v>
      </c>
      <c r="C429" s="1" t="s">
        <v>16</v>
      </c>
      <c r="D429" s="1" t="s">
        <v>53</v>
      </c>
      <c r="E429">
        <v>393</v>
      </c>
      <c r="F429" s="1">
        <f>VLOOKUP(jablka[[#This Row],[Nazwa]],cennik[],2,0) * jablka[[#This Row],[sprzedaż]]</f>
        <v>1257.6000000000001</v>
      </c>
    </row>
    <row r="430" spans="1:6" x14ac:dyDescent="0.25">
      <c r="A430" s="2">
        <v>44623</v>
      </c>
      <c r="B430" s="1" t="s">
        <v>0</v>
      </c>
      <c r="C430" s="1" t="s">
        <v>16</v>
      </c>
      <c r="D430" s="1" t="s">
        <v>17</v>
      </c>
      <c r="E430">
        <v>488</v>
      </c>
      <c r="F430" s="1">
        <f>VLOOKUP(jablka[[#This Row],[Nazwa]],cennik[],2,0) * jablka[[#This Row],[sprzedaż]]</f>
        <v>1415.2</v>
      </c>
    </row>
    <row r="431" spans="1:6" x14ac:dyDescent="0.25">
      <c r="A431" s="2">
        <v>44624</v>
      </c>
      <c r="B431" s="1" t="s">
        <v>15</v>
      </c>
      <c r="C431" s="1" t="s">
        <v>16</v>
      </c>
      <c r="D431" s="1" t="s">
        <v>60</v>
      </c>
      <c r="E431">
        <v>563</v>
      </c>
      <c r="F431" s="1">
        <f>VLOOKUP(jablka[[#This Row],[Nazwa]],cennik[],2,0) * jablka[[#This Row],[sprzedaż]]</f>
        <v>1351.2</v>
      </c>
    </row>
    <row r="432" spans="1:6" x14ac:dyDescent="0.25">
      <c r="A432" s="2">
        <v>44624</v>
      </c>
      <c r="B432" s="1" t="s">
        <v>8</v>
      </c>
      <c r="C432" s="1" t="s">
        <v>16</v>
      </c>
      <c r="D432" s="1" t="s">
        <v>38</v>
      </c>
      <c r="E432">
        <v>436</v>
      </c>
      <c r="F432" s="1">
        <f>VLOOKUP(jablka[[#This Row],[Nazwa]],cennik[],2,0) * jablka[[#This Row],[sprzedaż]]</f>
        <v>1526</v>
      </c>
    </row>
    <row r="433" spans="1:6" x14ac:dyDescent="0.25">
      <c r="A433" s="2">
        <v>44624</v>
      </c>
      <c r="B433" s="1" t="s">
        <v>8</v>
      </c>
      <c r="C433" s="1" t="s">
        <v>16</v>
      </c>
      <c r="D433" s="1" t="s">
        <v>52</v>
      </c>
      <c r="E433">
        <v>668</v>
      </c>
      <c r="F433" s="1">
        <f>VLOOKUP(jablka[[#This Row],[Nazwa]],cennik[],2,0) * jablka[[#This Row],[sprzedaż]]</f>
        <v>2338</v>
      </c>
    </row>
    <row r="434" spans="1:6" x14ac:dyDescent="0.25">
      <c r="A434" s="2">
        <v>44624</v>
      </c>
      <c r="B434" s="1" t="s">
        <v>5</v>
      </c>
      <c r="C434" s="1" t="s">
        <v>16</v>
      </c>
      <c r="D434" s="1" t="s">
        <v>54</v>
      </c>
      <c r="E434">
        <v>274</v>
      </c>
      <c r="F434" s="1">
        <f>VLOOKUP(jablka[[#This Row],[Nazwa]],cennik[],2,0) * jablka[[#This Row],[sprzedaż]]</f>
        <v>931.6</v>
      </c>
    </row>
    <row r="435" spans="1:6" x14ac:dyDescent="0.25">
      <c r="A435" s="2">
        <v>44624</v>
      </c>
      <c r="B435" s="1" t="s">
        <v>15</v>
      </c>
      <c r="C435" s="1" t="s">
        <v>16</v>
      </c>
      <c r="D435" s="1" t="s">
        <v>50</v>
      </c>
      <c r="E435">
        <v>583</v>
      </c>
      <c r="F435" s="1">
        <f>VLOOKUP(jablka[[#This Row],[Nazwa]],cennik[],2,0) * jablka[[#This Row],[sprzedaż]]</f>
        <v>1399.2</v>
      </c>
    </row>
    <row r="436" spans="1:6" x14ac:dyDescent="0.25">
      <c r="A436" s="2">
        <v>44624</v>
      </c>
      <c r="B436" s="1" t="s">
        <v>10</v>
      </c>
      <c r="C436" s="1" t="s">
        <v>16</v>
      </c>
      <c r="D436" s="1" t="s">
        <v>25</v>
      </c>
      <c r="E436">
        <v>224</v>
      </c>
      <c r="F436" s="1">
        <f>VLOOKUP(jablka[[#This Row],[Nazwa]],cennik[],2,0) * jablka[[#This Row],[sprzedaż]]</f>
        <v>761.6</v>
      </c>
    </row>
    <row r="437" spans="1:6" x14ac:dyDescent="0.25">
      <c r="A437" s="2">
        <v>44624</v>
      </c>
      <c r="B437" s="1" t="s">
        <v>5</v>
      </c>
      <c r="C437" s="1" t="s">
        <v>16</v>
      </c>
      <c r="D437" s="1" t="s">
        <v>36</v>
      </c>
      <c r="E437">
        <v>364</v>
      </c>
      <c r="F437" s="1">
        <f>VLOOKUP(jablka[[#This Row],[Nazwa]],cennik[],2,0) * jablka[[#This Row],[sprzedaż]]</f>
        <v>1237.5999999999999</v>
      </c>
    </row>
    <row r="438" spans="1:6" x14ac:dyDescent="0.25">
      <c r="A438" s="2">
        <v>44625</v>
      </c>
      <c r="B438" s="1" t="s">
        <v>5</v>
      </c>
      <c r="C438" s="1" t="s">
        <v>16</v>
      </c>
      <c r="D438" s="1" t="s">
        <v>56</v>
      </c>
      <c r="E438">
        <v>459</v>
      </c>
      <c r="F438" s="1">
        <f>VLOOKUP(jablka[[#This Row],[Nazwa]],cennik[],2,0) * jablka[[#This Row],[sprzedaż]]</f>
        <v>1560.6</v>
      </c>
    </row>
    <row r="439" spans="1:6" x14ac:dyDescent="0.25">
      <c r="A439" s="2">
        <v>44625</v>
      </c>
      <c r="B439" s="1" t="s">
        <v>8</v>
      </c>
      <c r="C439" s="1" t="s">
        <v>16</v>
      </c>
      <c r="D439" s="1" t="s">
        <v>32</v>
      </c>
      <c r="E439">
        <v>244</v>
      </c>
      <c r="F439" s="1">
        <f>VLOOKUP(jablka[[#This Row],[Nazwa]],cennik[],2,0) * jablka[[#This Row],[sprzedaż]]</f>
        <v>854</v>
      </c>
    </row>
    <row r="440" spans="1:6" x14ac:dyDescent="0.25">
      <c r="A440" s="2">
        <v>44625</v>
      </c>
      <c r="B440" s="1" t="s">
        <v>0</v>
      </c>
      <c r="C440" s="1" t="s">
        <v>16</v>
      </c>
      <c r="D440" s="1" t="s">
        <v>32</v>
      </c>
      <c r="E440">
        <v>302</v>
      </c>
      <c r="F440" s="1">
        <f>VLOOKUP(jablka[[#This Row],[Nazwa]],cennik[],2,0) * jablka[[#This Row],[sprzedaż]]</f>
        <v>875.8</v>
      </c>
    </row>
    <row r="441" spans="1:6" x14ac:dyDescent="0.25">
      <c r="A441" s="2">
        <v>44625</v>
      </c>
      <c r="B441" s="1" t="s">
        <v>8</v>
      </c>
      <c r="C441" s="1" t="s">
        <v>16</v>
      </c>
      <c r="D441" s="1" t="s">
        <v>26</v>
      </c>
      <c r="E441">
        <v>409</v>
      </c>
      <c r="F441" s="1">
        <f>VLOOKUP(jablka[[#This Row],[Nazwa]],cennik[],2,0) * jablka[[#This Row],[sprzedaż]]</f>
        <v>1431.5</v>
      </c>
    </row>
    <row r="442" spans="1:6" x14ac:dyDescent="0.25">
      <c r="A442" s="2">
        <v>44625</v>
      </c>
      <c r="B442" s="1" t="s">
        <v>10</v>
      </c>
      <c r="C442" s="1" t="s">
        <v>16</v>
      </c>
      <c r="D442" s="1" t="s">
        <v>27</v>
      </c>
      <c r="E442">
        <v>269</v>
      </c>
      <c r="F442" s="1">
        <f>VLOOKUP(jablka[[#This Row],[Nazwa]],cennik[],2,0) * jablka[[#This Row],[sprzedaż]]</f>
        <v>914.6</v>
      </c>
    </row>
    <row r="443" spans="1:6" x14ac:dyDescent="0.25">
      <c r="A443" s="2">
        <v>44625</v>
      </c>
      <c r="B443" s="1" t="s">
        <v>2</v>
      </c>
      <c r="C443" s="1" t="s">
        <v>16</v>
      </c>
      <c r="D443" s="1" t="s">
        <v>25</v>
      </c>
      <c r="E443">
        <v>418</v>
      </c>
      <c r="F443" s="1">
        <f>VLOOKUP(jablka[[#This Row],[Nazwa]],cennik[],2,0) * jablka[[#This Row],[sprzedaż]]</f>
        <v>1337.6000000000001</v>
      </c>
    </row>
    <row r="444" spans="1:6" x14ac:dyDescent="0.25">
      <c r="A444" s="2">
        <v>44625</v>
      </c>
      <c r="B444" s="1" t="s">
        <v>8</v>
      </c>
      <c r="C444" s="1" t="s">
        <v>16</v>
      </c>
      <c r="D444" s="1" t="s">
        <v>20</v>
      </c>
      <c r="E444">
        <v>213</v>
      </c>
      <c r="F444" s="1">
        <f>VLOOKUP(jablka[[#This Row],[Nazwa]],cennik[],2,0) * jablka[[#This Row],[sprzedaż]]</f>
        <v>745.5</v>
      </c>
    </row>
    <row r="445" spans="1:6" x14ac:dyDescent="0.25">
      <c r="A445" s="2">
        <v>44625</v>
      </c>
      <c r="B445" s="1" t="s">
        <v>8</v>
      </c>
      <c r="C445" s="1" t="s">
        <v>16</v>
      </c>
      <c r="D445" s="1" t="s">
        <v>28</v>
      </c>
      <c r="E445">
        <v>342</v>
      </c>
      <c r="F445" s="1">
        <f>VLOOKUP(jablka[[#This Row],[Nazwa]],cennik[],2,0) * jablka[[#This Row],[sprzedaż]]</f>
        <v>1197</v>
      </c>
    </row>
    <row r="446" spans="1:6" x14ac:dyDescent="0.25">
      <c r="A446" s="2">
        <v>44625</v>
      </c>
      <c r="B446" s="1" t="s">
        <v>8</v>
      </c>
      <c r="C446" s="1" t="s">
        <v>16</v>
      </c>
      <c r="D446" s="1" t="s">
        <v>63</v>
      </c>
      <c r="E446">
        <v>495</v>
      </c>
      <c r="F446" s="1">
        <f>VLOOKUP(jablka[[#This Row],[Nazwa]],cennik[],2,0) * jablka[[#This Row],[sprzedaż]]</f>
        <v>1732.5</v>
      </c>
    </row>
    <row r="447" spans="1:6" x14ac:dyDescent="0.25">
      <c r="A447" s="2">
        <v>44625</v>
      </c>
      <c r="B447" s="1" t="s">
        <v>10</v>
      </c>
      <c r="C447" s="1" t="s">
        <v>16</v>
      </c>
      <c r="D447" s="1" t="s">
        <v>66</v>
      </c>
      <c r="E447">
        <v>180</v>
      </c>
      <c r="F447" s="1">
        <f>VLOOKUP(jablka[[#This Row],[Nazwa]],cennik[],2,0) * jablka[[#This Row],[sprzedaż]]</f>
        <v>612</v>
      </c>
    </row>
    <row r="448" spans="1:6" x14ac:dyDescent="0.25">
      <c r="A448" s="2">
        <v>44625</v>
      </c>
      <c r="B448" s="1" t="s">
        <v>4</v>
      </c>
      <c r="C448" s="1" t="s">
        <v>16</v>
      </c>
      <c r="D448" s="1" t="s">
        <v>31</v>
      </c>
      <c r="E448">
        <v>743</v>
      </c>
      <c r="F448" s="1">
        <f>VLOOKUP(jablka[[#This Row],[Nazwa]],cennik[],2,0) * jablka[[#This Row],[sprzedaż]]</f>
        <v>2526.1999999999998</v>
      </c>
    </row>
    <row r="449" spans="1:6" x14ac:dyDescent="0.25">
      <c r="A449" s="2">
        <v>44627</v>
      </c>
      <c r="B449" s="1" t="s">
        <v>0</v>
      </c>
      <c r="C449" s="1" t="s">
        <v>16</v>
      </c>
      <c r="D449" s="1" t="s">
        <v>38</v>
      </c>
      <c r="E449">
        <v>405</v>
      </c>
      <c r="F449" s="1">
        <f>VLOOKUP(jablka[[#This Row],[Nazwa]],cennik[],2,0) * jablka[[#This Row],[sprzedaż]]</f>
        <v>1174.5</v>
      </c>
    </row>
    <row r="450" spans="1:6" x14ac:dyDescent="0.25">
      <c r="A450" s="2">
        <v>44627</v>
      </c>
      <c r="B450" s="1" t="s">
        <v>10</v>
      </c>
      <c r="C450" s="1" t="s">
        <v>16</v>
      </c>
      <c r="D450" s="1" t="s">
        <v>57</v>
      </c>
      <c r="E450">
        <v>264</v>
      </c>
      <c r="F450" s="1">
        <f>VLOOKUP(jablka[[#This Row],[Nazwa]],cennik[],2,0) * jablka[[#This Row],[sprzedaż]]</f>
        <v>897.6</v>
      </c>
    </row>
    <row r="451" spans="1:6" x14ac:dyDescent="0.25">
      <c r="A451" s="2">
        <v>44627</v>
      </c>
      <c r="B451" s="1" t="s">
        <v>7</v>
      </c>
      <c r="C451" s="1" t="s">
        <v>16</v>
      </c>
      <c r="D451" s="1" t="s">
        <v>48</v>
      </c>
      <c r="E451">
        <v>419</v>
      </c>
      <c r="F451" s="1">
        <f>VLOOKUP(jablka[[#This Row],[Nazwa]],cennik[],2,0) * jablka[[#This Row],[sprzedaż]]</f>
        <v>1424.6</v>
      </c>
    </row>
    <row r="452" spans="1:6" x14ac:dyDescent="0.25">
      <c r="A452" s="2">
        <v>44627</v>
      </c>
      <c r="B452" s="1" t="s">
        <v>2</v>
      </c>
      <c r="C452" s="1" t="s">
        <v>16</v>
      </c>
      <c r="D452" s="1" t="s">
        <v>17</v>
      </c>
      <c r="E452">
        <v>85</v>
      </c>
      <c r="F452" s="1">
        <f>VLOOKUP(jablka[[#This Row],[Nazwa]],cennik[],2,0) * jablka[[#This Row],[sprzedaż]]</f>
        <v>272</v>
      </c>
    </row>
    <row r="453" spans="1:6" x14ac:dyDescent="0.25">
      <c r="A453" s="2">
        <v>44627</v>
      </c>
      <c r="B453" s="1" t="s">
        <v>5</v>
      </c>
      <c r="C453" s="1" t="s">
        <v>16</v>
      </c>
      <c r="D453" s="1" t="s">
        <v>22</v>
      </c>
      <c r="E453">
        <v>165</v>
      </c>
      <c r="F453" s="1">
        <f>VLOOKUP(jablka[[#This Row],[Nazwa]],cennik[],2,0) * jablka[[#This Row],[sprzedaż]]</f>
        <v>561</v>
      </c>
    </row>
    <row r="454" spans="1:6" x14ac:dyDescent="0.25">
      <c r="A454" s="2">
        <v>44627</v>
      </c>
      <c r="B454" s="1" t="s">
        <v>0</v>
      </c>
      <c r="C454" s="1" t="s">
        <v>16</v>
      </c>
      <c r="D454" s="1" t="s">
        <v>45</v>
      </c>
      <c r="E454">
        <v>91</v>
      </c>
      <c r="F454" s="1">
        <f>VLOOKUP(jablka[[#This Row],[Nazwa]],cennik[],2,0) * jablka[[#This Row],[sprzedaż]]</f>
        <v>263.89999999999998</v>
      </c>
    </row>
    <row r="455" spans="1:6" x14ac:dyDescent="0.25">
      <c r="A455" s="2">
        <v>44627</v>
      </c>
      <c r="B455" s="1" t="s">
        <v>15</v>
      </c>
      <c r="C455" s="1" t="s">
        <v>16</v>
      </c>
      <c r="D455" s="1" t="s">
        <v>46</v>
      </c>
      <c r="E455">
        <v>573</v>
      </c>
      <c r="F455" s="1">
        <f>VLOOKUP(jablka[[#This Row],[Nazwa]],cennik[],2,0) * jablka[[#This Row],[sprzedaż]]</f>
        <v>1375.2</v>
      </c>
    </row>
    <row r="456" spans="1:6" x14ac:dyDescent="0.25">
      <c r="A456" s="2">
        <v>44628</v>
      </c>
      <c r="B456" s="1" t="s">
        <v>2</v>
      </c>
      <c r="C456" s="1" t="s">
        <v>16</v>
      </c>
      <c r="D456" s="1" t="s">
        <v>46</v>
      </c>
      <c r="E456">
        <v>114</v>
      </c>
      <c r="F456" s="1">
        <f>VLOOKUP(jablka[[#This Row],[Nazwa]],cennik[],2,0) * jablka[[#This Row],[sprzedaż]]</f>
        <v>364.8</v>
      </c>
    </row>
    <row r="457" spans="1:6" x14ac:dyDescent="0.25">
      <c r="A457" s="2">
        <v>44628</v>
      </c>
      <c r="B457" s="1" t="s">
        <v>4</v>
      </c>
      <c r="C457" s="1" t="s">
        <v>16</v>
      </c>
      <c r="D457" s="1" t="s">
        <v>44</v>
      </c>
      <c r="E457">
        <v>529</v>
      </c>
      <c r="F457" s="1">
        <f>VLOOKUP(jablka[[#This Row],[Nazwa]],cennik[],2,0) * jablka[[#This Row],[sprzedaż]]</f>
        <v>1798.6</v>
      </c>
    </row>
    <row r="458" spans="1:6" x14ac:dyDescent="0.25">
      <c r="A458" s="2">
        <v>44628</v>
      </c>
      <c r="B458" s="1" t="s">
        <v>4</v>
      </c>
      <c r="C458" s="1" t="s">
        <v>16</v>
      </c>
      <c r="D458" s="1" t="s">
        <v>40</v>
      </c>
      <c r="E458">
        <v>658</v>
      </c>
      <c r="F458" s="1">
        <f>VLOOKUP(jablka[[#This Row],[Nazwa]],cennik[],2,0) * jablka[[#This Row],[sprzedaż]]</f>
        <v>2237.1999999999998</v>
      </c>
    </row>
    <row r="459" spans="1:6" x14ac:dyDescent="0.25">
      <c r="A459" s="2">
        <v>44628</v>
      </c>
      <c r="B459" s="1" t="s">
        <v>15</v>
      </c>
      <c r="C459" s="1" t="s">
        <v>16</v>
      </c>
      <c r="D459" s="1" t="s">
        <v>17</v>
      </c>
      <c r="E459">
        <v>129</v>
      </c>
      <c r="F459" s="1">
        <f>VLOOKUP(jablka[[#This Row],[Nazwa]],cennik[],2,0) * jablka[[#This Row],[sprzedaż]]</f>
        <v>309.59999999999997</v>
      </c>
    </row>
    <row r="460" spans="1:6" x14ac:dyDescent="0.25">
      <c r="A460" s="2">
        <v>44629</v>
      </c>
      <c r="B460" s="1" t="s">
        <v>6</v>
      </c>
      <c r="C460" s="1" t="s">
        <v>16</v>
      </c>
      <c r="D460" s="1" t="s">
        <v>53</v>
      </c>
      <c r="E460">
        <v>249</v>
      </c>
      <c r="F460" s="1">
        <f>VLOOKUP(jablka[[#This Row],[Nazwa]],cennik[],2,0) * jablka[[#This Row],[sprzedaż]]</f>
        <v>846.6</v>
      </c>
    </row>
    <row r="461" spans="1:6" x14ac:dyDescent="0.25">
      <c r="A461" s="2">
        <v>44629</v>
      </c>
      <c r="B461" s="1" t="s">
        <v>4</v>
      </c>
      <c r="C461" s="1" t="s">
        <v>16</v>
      </c>
      <c r="D461" s="1" t="s">
        <v>19</v>
      </c>
      <c r="E461">
        <v>768</v>
      </c>
      <c r="F461" s="1">
        <f>VLOOKUP(jablka[[#This Row],[Nazwa]],cennik[],2,0) * jablka[[#This Row],[sprzedaż]]</f>
        <v>2611.1999999999998</v>
      </c>
    </row>
    <row r="462" spans="1:6" x14ac:dyDescent="0.25">
      <c r="A462" s="2">
        <v>44629</v>
      </c>
      <c r="B462" s="1" t="s">
        <v>10</v>
      </c>
      <c r="C462" s="1" t="s">
        <v>16</v>
      </c>
      <c r="D462" s="1" t="s">
        <v>21</v>
      </c>
      <c r="E462">
        <v>258</v>
      </c>
      <c r="F462" s="1">
        <f>VLOOKUP(jablka[[#This Row],[Nazwa]],cennik[],2,0) * jablka[[#This Row],[sprzedaż]]</f>
        <v>877.19999999999993</v>
      </c>
    </row>
    <row r="463" spans="1:6" x14ac:dyDescent="0.25">
      <c r="A463" s="2">
        <v>44629</v>
      </c>
      <c r="B463" s="1" t="s">
        <v>2</v>
      </c>
      <c r="C463" s="1" t="s">
        <v>16</v>
      </c>
      <c r="D463" s="1" t="s">
        <v>49</v>
      </c>
      <c r="E463">
        <v>112</v>
      </c>
      <c r="F463" s="1">
        <f>VLOOKUP(jablka[[#This Row],[Nazwa]],cennik[],2,0) * jablka[[#This Row],[sprzedaż]]</f>
        <v>358.40000000000003</v>
      </c>
    </row>
    <row r="464" spans="1:6" x14ac:dyDescent="0.25">
      <c r="A464" s="2">
        <v>44630</v>
      </c>
      <c r="B464" s="1" t="s">
        <v>2</v>
      </c>
      <c r="C464" s="1" t="s">
        <v>16</v>
      </c>
      <c r="D464" s="1" t="s">
        <v>22</v>
      </c>
      <c r="E464">
        <v>497</v>
      </c>
      <c r="F464" s="1">
        <f>VLOOKUP(jablka[[#This Row],[Nazwa]],cennik[],2,0) * jablka[[#This Row],[sprzedaż]]</f>
        <v>1590.4</v>
      </c>
    </row>
    <row r="465" spans="1:6" x14ac:dyDescent="0.25">
      <c r="A465" s="2">
        <v>44630</v>
      </c>
      <c r="B465" s="1" t="s">
        <v>2</v>
      </c>
      <c r="C465" s="1" t="s">
        <v>16</v>
      </c>
      <c r="D465" s="1" t="s">
        <v>29</v>
      </c>
      <c r="E465">
        <v>277</v>
      </c>
      <c r="F465" s="1">
        <f>VLOOKUP(jablka[[#This Row],[Nazwa]],cennik[],2,0) * jablka[[#This Row],[sprzedaż]]</f>
        <v>886.40000000000009</v>
      </c>
    </row>
    <row r="466" spans="1:6" x14ac:dyDescent="0.25">
      <c r="A466" s="2">
        <v>44630</v>
      </c>
      <c r="B466" s="1" t="s">
        <v>7</v>
      </c>
      <c r="C466" s="1" t="s">
        <v>16</v>
      </c>
      <c r="D466" s="1" t="s">
        <v>42</v>
      </c>
      <c r="E466">
        <v>420</v>
      </c>
      <c r="F466" s="1">
        <f>VLOOKUP(jablka[[#This Row],[Nazwa]],cennik[],2,0) * jablka[[#This Row],[sprzedaż]]</f>
        <v>1428</v>
      </c>
    </row>
    <row r="467" spans="1:6" x14ac:dyDescent="0.25">
      <c r="A467" s="2">
        <v>44630</v>
      </c>
      <c r="B467" s="1" t="s">
        <v>7</v>
      </c>
      <c r="C467" s="1" t="s">
        <v>16</v>
      </c>
      <c r="D467" s="1" t="s">
        <v>22</v>
      </c>
      <c r="E467">
        <v>408</v>
      </c>
      <c r="F467" s="1">
        <f>VLOOKUP(jablka[[#This Row],[Nazwa]],cennik[],2,0) * jablka[[#This Row],[sprzedaż]]</f>
        <v>1387.2</v>
      </c>
    </row>
    <row r="468" spans="1:6" x14ac:dyDescent="0.25">
      <c r="A468" s="2">
        <v>44630</v>
      </c>
      <c r="B468" s="1" t="s">
        <v>0</v>
      </c>
      <c r="C468" s="1" t="s">
        <v>16</v>
      </c>
      <c r="D468" s="1" t="s">
        <v>29</v>
      </c>
      <c r="E468">
        <v>133</v>
      </c>
      <c r="F468" s="1">
        <f>VLOOKUP(jablka[[#This Row],[Nazwa]],cennik[],2,0) * jablka[[#This Row],[sprzedaż]]</f>
        <v>385.7</v>
      </c>
    </row>
    <row r="469" spans="1:6" x14ac:dyDescent="0.25">
      <c r="A469" s="2">
        <v>44630</v>
      </c>
      <c r="B469" s="1" t="s">
        <v>2</v>
      </c>
      <c r="C469" s="1" t="s">
        <v>16</v>
      </c>
      <c r="D469" s="1" t="s">
        <v>36</v>
      </c>
      <c r="E469">
        <v>372</v>
      </c>
      <c r="F469" s="1">
        <f>VLOOKUP(jablka[[#This Row],[Nazwa]],cennik[],2,0) * jablka[[#This Row],[sprzedaż]]</f>
        <v>1190.4000000000001</v>
      </c>
    </row>
    <row r="470" spans="1:6" x14ac:dyDescent="0.25">
      <c r="A470" s="2">
        <v>44630</v>
      </c>
      <c r="B470" s="1" t="s">
        <v>5</v>
      </c>
      <c r="C470" s="1" t="s">
        <v>16</v>
      </c>
      <c r="D470" s="1" t="s">
        <v>20</v>
      </c>
      <c r="E470">
        <v>34</v>
      </c>
      <c r="F470" s="1">
        <f>VLOOKUP(jablka[[#This Row],[Nazwa]],cennik[],2,0) * jablka[[#This Row],[sprzedaż]]</f>
        <v>115.6</v>
      </c>
    </row>
    <row r="471" spans="1:6" x14ac:dyDescent="0.25">
      <c r="A471" s="2">
        <v>44631</v>
      </c>
      <c r="B471" s="1" t="s">
        <v>0</v>
      </c>
      <c r="C471" s="1" t="s">
        <v>16</v>
      </c>
      <c r="D471" s="1" t="s">
        <v>31</v>
      </c>
      <c r="E471">
        <v>96</v>
      </c>
      <c r="F471" s="1">
        <f>VLOOKUP(jablka[[#This Row],[Nazwa]],cennik[],2,0) * jablka[[#This Row],[sprzedaż]]</f>
        <v>278.39999999999998</v>
      </c>
    </row>
    <row r="472" spans="1:6" x14ac:dyDescent="0.25">
      <c r="A472" s="2">
        <v>44631</v>
      </c>
      <c r="B472" s="1" t="s">
        <v>5</v>
      </c>
      <c r="C472" s="1" t="s">
        <v>16</v>
      </c>
      <c r="D472" s="1" t="s">
        <v>24</v>
      </c>
      <c r="E472">
        <v>17</v>
      </c>
      <c r="F472" s="1">
        <f>VLOOKUP(jablka[[#This Row],[Nazwa]],cennik[],2,0) * jablka[[#This Row],[sprzedaż]]</f>
        <v>57.8</v>
      </c>
    </row>
    <row r="473" spans="1:6" x14ac:dyDescent="0.25">
      <c r="A473" s="2">
        <v>44631</v>
      </c>
      <c r="B473" s="1" t="s">
        <v>2</v>
      </c>
      <c r="C473" s="1" t="s">
        <v>16</v>
      </c>
      <c r="D473" s="1" t="s">
        <v>30</v>
      </c>
      <c r="E473">
        <v>381</v>
      </c>
      <c r="F473" s="1">
        <f>VLOOKUP(jablka[[#This Row],[Nazwa]],cennik[],2,0) * jablka[[#This Row],[sprzedaż]]</f>
        <v>1219.2</v>
      </c>
    </row>
    <row r="474" spans="1:6" x14ac:dyDescent="0.25">
      <c r="A474" s="2">
        <v>44631</v>
      </c>
      <c r="B474" s="1" t="s">
        <v>7</v>
      </c>
      <c r="C474" s="1" t="s">
        <v>16</v>
      </c>
      <c r="D474" s="1" t="s">
        <v>55</v>
      </c>
      <c r="E474">
        <v>482</v>
      </c>
      <c r="F474" s="1">
        <f>VLOOKUP(jablka[[#This Row],[Nazwa]],cennik[],2,0) * jablka[[#This Row],[sprzedaż]]</f>
        <v>1638.8</v>
      </c>
    </row>
    <row r="475" spans="1:6" x14ac:dyDescent="0.25">
      <c r="A475" s="2">
        <v>44631</v>
      </c>
      <c r="B475" s="1" t="s">
        <v>8</v>
      </c>
      <c r="C475" s="1" t="s">
        <v>16</v>
      </c>
      <c r="D475" s="1" t="s">
        <v>37</v>
      </c>
      <c r="E475">
        <v>322</v>
      </c>
      <c r="F475" s="1">
        <f>VLOOKUP(jablka[[#This Row],[Nazwa]],cennik[],2,0) * jablka[[#This Row],[sprzedaż]]</f>
        <v>1127</v>
      </c>
    </row>
    <row r="476" spans="1:6" x14ac:dyDescent="0.25">
      <c r="A476" s="2">
        <v>44631</v>
      </c>
      <c r="B476" s="1" t="s">
        <v>8</v>
      </c>
      <c r="C476" s="1" t="s">
        <v>16</v>
      </c>
      <c r="D476" s="1" t="s">
        <v>64</v>
      </c>
      <c r="E476">
        <v>614</v>
      </c>
      <c r="F476" s="1">
        <f>VLOOKUP(jablka[[#This Row],[Nazwa]],cennik[],2,0) * jablka[[#This Row],[sprzedaż]]</f>
        <v>2149</v>
      </c>
    </row>
    <row r="477" spans="1:6" x14ac:dyDescent="0.25">
      <c r="A477" s="2">
        <v>44631</v>
      </c>
      <c r="B477" s="1" t="s">
        <v>4</v>
      </c>
      <c r="C477" s="1" t="s">
        <v>16</v>
      </c>
      <c r="D477" s="1" t="s">
        <v>36</v>
      </c>
      <c r="E477">
        <v>408</v>
      </c>
      <c r="F477" s="1">
        <f>VLOOKUP(jablka[[#This Row],[Nazwa]],cennik[],2,0) * jablka[[#This Row],[sprzedaż]]</f>
        <v>1387.2</v>
      </c>
    </row>
    <row r="478" spans="1:6" x14ac:dyDescent="0.25">
      <c r="A478" s="2">
        <v>44631</v>
      </c>
      <c r="B478" s="1" t="s">
        <v>5</v>
      </c>
      <c r="C478" s="1" t="s">
        <v>16</v>
      </c>
      <c r="D478" s="1" t="s">
        <v>27</v>
      </c>
      <c r="E478">
        <v>81</v>
      </c>
      <c r="F478" s="1">
        <f>VLOOKUP(jablka[[#This Row],[Nazwa]],cennik[],2,0) * jablka[[#This Row],[sprzedaż]]</f>
        <v>275.39999999999998</v>
      </c>
    </row>
    <row r="479" spans="1:6" x14ac:dyDescent="0.25">
      <c r="A479" s="2">
        <v>44631</v>
      </c>
      <c r="B479" s="1" t="s">
        <v>4</v>
      </c>
      <c r="C479" s="1" t="s">
        <v>16</v>
      </c>
      <c r="D479" s="1" t="s">
        <v>26</v>
      </c>
      <c r="E479">
        <v>750</v>
      </c>
      <c r="F479" s="1">
        <f>VLOOKUP(jablka[[#This Row],[Nazwa]],cennik[],2,0) * jablka[[#This Row],[sprzedaż]]</f>
        <v>2550</v>
      </c>
    </row>
    <row r="480" spans="1:6" x14ac:dyDescent="0.25">
      <c r="A480" s="2">
        <v>44631</v>
      </c>
      <c r="B480" s="1" t="s">
        <v>6</v>
      </c>
      <c r="C480" s="1" t="s">
        <v>16</v>
      </c>
      <c r="D480" s="1" t="s">
        <v>43</v>
      </c>
      <c r="E480">
        <v>127</v>
      </c>
      <c r="F480" s="1">
        <f>VLOOKUP(jablka[[#This Row],[Nazwa]],cennik[],2,0) * jablka[[#This Row],[sprzedaż]]</f>
        <v>431.8</v>
      </c>
    </row>
    <row r="481" spans="1:6" x14ac:dyDescent="0.25">
      <c r="A481" s="2">
        <v>44632</v>
      </c>
      <c r="B481" s="1" t="s">
        <v>8</v>
      </c>
      <c r="C481" s="1" t="s">
        <v>16</v>
      </c>
      <c r="D481" s="1" t="s">
        <v>60</v>
      </c>
      <c r="E481">
        <v>324</v>
      </c>
      <c r="F481" s="1">
        <f>VLOOKUP(jablka[[#This Row],[Nazwa]],cennik[],2,0) * jablka[[#This Row],[sprzedaż]]</f>
        <v>1134</v>
      </c>
    </row>
    <row r="482" spans="1:6" x14ac:dyDescent="0.25">
      <c r="A482" s="2">
        <v>44632</v>
      </c>
      <c r="B482" s="1" t="s">
        <v>8</v>
      </c>
      <c r="C482" s="1" t="s">
        <v>16</v>
      </c>
      <c r="D482" s="1" t="s">
        <v>52</v>
      </c>
      <c r="E482">
        <v>386</v>
      </c>
      <c r="F482" s="1">
        <f>VLOOKUP(jablka[[#This Row],[Nazwa]],cennik[],2,0) * jablka[[#This Row],[sprzedaż]]</f>
        <v>1351</v>
      </c>
    </row>
    <row r="483" spans="1:6" x14ac:dyDescent="0.25">
      <c r="A483" s="2">
        <v>44632</v>
      </c>
      <c r="B483" s="1" t="s">
        <v>8</v>
      </c>
      <c r="C483" s="1" t="s">
        <v>16</v>
      </c>
      <c r="D483" s="1" t="s">
        <v>58</v>
      </c>
      <c r="E483">
        <v>278</v>
      </c>
      <c r="F483" s="1">
        <f>VLOOKUP(jablka[[#This Row],[Nazwa]],cennik[],2,0) * jablka[[#This Row],[sprzedaż]]</f>
        <v>973</v>
      </c>
    </row>
    <row r="484" spans="1:6" x14ac:dyDescent="0.25">
      <c r="A484" s="2">
        <v>44632</v>
      </c>
      <c r="B484" s="1" t="s">
        <v>10</v>
      </c>
      <c r="C484" s="1" t="s">
        <v>16</v>
      </c>
      <c r="D484" s="1" t="s">
        <v>22</v>
      </c>
      <c r="E484">
        <v>359</v>
      </c>
      <c r="F484" s="1">
        <f>VLOOKUP(jablka[[#This Row],[Nazwa]],cennik[],2,0) * jablka[[#This Row],[sprzedaż]]</f>
        <v>1220.5999999999999</v>
      </c>
    </row>
    <row r="485" spans="1:6" x14ac:dyDescent="0.25">
      <c r="A485" s="2">
        <v>44632</v>
      </c>
      <c r="B485" s="1" t="s">
        <v>5</v>
      </c>
      <c r="C485" s="1" t="s">
        <v>16</v>
      </c>
      <c r="D485" s="1" t="s">
        <v>47</v>
      </c>
      <c r="E485">
        <v>397</v>
      </c>
      <c r="F485" s="1">
        <f>VLOOKUP(jablka[[#This Row],[Nazwa]],cennik[],2,0) * jablka[[#This Row],[sprzedaż]]</f>
        <v>1349.8</v>
      </c>
    </row>
    <row r="486" spans="1:6" x14ac:dyDescent="0.25">
      <c r="A486" s="2">
        <v>44632</v>
      </c>
      <c r="B486" s="1" t="s">
        <v>15</v>
      </c>
      <c r="C486" s="1" t="s">
        <v>16</v>
      </c>
      <c r="D486" s="1" t="s">
        <v>65</v>
      </c>
      <c r="E486">
        <v>437</v>
      </c>
      <c r="F486" s="1">
        <f>VLOOKUP(jablka[[#This Row],[Nazwa]],cennik[],2,0) * jablka[[#This Row],[sprzedaż]]</f>
        <v>1048.8</v>
      </c>
    </row>
    <row r="487" spans="1:6" x14ac:dyDescent="0.25">
      <c r="A487" s="2">
        <v>44632</v>
      </c>
      <c r="B487" s="1" t="s">
        <v>0</v>
      </c>
      <c r="C487" s="1" t="s">
        <v>16</v>
      </c>
      <c r="D487" s="1" t="s">
        <v>32</v>
      </c>
      <c r="E487">
        <v>53</v>
      </c>
      <c r="F487" s="1">
        <f>VLOOKUP(jablka[[#This Row],[Nazwa]],cennik[],2,0) * jablka[[#This Row],[sprzedaż]]</f>
        <v>153.69999999999999</v>
      </c>
    </row>
    <row r="488" spans="1:6" x14ac:dyDescent="0.25">
      <c r="A488" s="2">
        <v>44634</v>
      </c>
      <c r="B488" s="1" t="s">
        <v>8</v>
      </c>
      <c r="C488" s="1" t="s">
        <v>16</v>
      </c>
      <c r="D488" s="1" t="s">
        <v>28</v>
      </c>
      <c r="E488">
        <v>461</v>
      </c>
      <c r="F488" s="1">
        <f>VLOOKUP(jablka[[#This Row],[Nazwa]],cennik[],2,0) * jablka[[#This Row],[sprzedaż]]</f>
        <v>1613.5</v>
      </c>
    </row>
    <row r="489" spans="1:6" x14ac:dyDescent="0.25">
      <c r="A489" s="2">
        <v>44634</v>
      </c>
      <c r="B489" s="1" t="s">
        <v>4</v>
      </c>
      <c r="C489" s="1" t="s">
        <v>16</v>
      </c>
      <c r="D489" s="1" t="s">
        <v>55</v>
      </c>
      <c r="E489">
        <v>661</v>
      </c>
      <c r="F489" s="1">
        <f>VLOOKUP(jablka[[#This Row],[Nazwa]],cennik[],2,0) * jablka[[#This Row],[sprzedaż]]</f>
        <v>2247.4</v>
      </c>
    </row>
    <row r="490" spans="1:6" x14ac:dyDescent="0.25">
      <c r="A490" s="2">
        <v>44634</v>
      </c>
      <c r="B490" s="1" t="s">
        <v>4</v>
      </c>
      <c r="C490" s="1" t="s">
        <v>16</v>
      </c>
      <c r="D490" s="1" t="s">
        <v>17</v>
      </c>
      <c r="E490">
        <v>506</v>
      </c>
      <c r="F490" s="1">
        <f>VLOOKUP(jablka[[#This Row],[Nazwa]],cennik[],2,0) * jablka[[#This Row],[sprzedaż]]</f>
        <v>1720.3999999999999</v>
      </c>
    </row>
    <row r="491" spans="1:6" x14ac:dyDescent="0.25">
      <c r="A491" s="2">
        <v>44634</v>
      </c>
      <c r="B491" s="1" t="s">
        <v>0</v>
      </c>
      <c r="C491" s="1" t="s">
        <v>16</v>
      </c>
      <c r="D491" s="1" t="s">
        <v>41</v>
      </c>
      <c r="E491">
        <v>301</v>
      </c>
      <c r="F491" s="1">
        <f>VLOOKUP(jablka[[#This Row],[Nazwa]],cennik[],2,0) * jablka[[#This Row],[sprzedaż]]</f>
        <v>872.9</v>
      </c>
    </row>
    <row r="492" spans="1:6" x14ac:dyDescent="0.25">
      <c r="A492" s="2">
        <v>44634</v>
      </c>
      <c r="B492" s="1" t="s">
        <v>2</v>
      </c>
      <c r="C492" s="1" t="s">
        <v>16</v>
      </c>
      <c r="D492" s="1" t="s">
        <v>65</v>
      </c>
      <c r="E492">
        <v>223</v>
      </c>
      <c r="F492" s="1">
        <f>VLOOKUP(jablka[[#This Row],[Nazwa]],cennik[],2,0) * jablka[[#This Row],[sprzedaż]]</f>
        <v>713.6</v>
      </c>
    </row>
    <row r="493" spans="1:6" x14ac:dyDescent="0.25">
      <c r="A493" s="2">
        <v>44634</v>
      </c>
      <c r="B493" s="1" t="s">
        <v>5</v>
      </c>
      <c r="C493" s="1" t="s">
        <v>16</v>
      </c>
      <c r="D493" s="1" t="s">
        <v>50</v>
      </c>
      <c r="E493">
        <v>402</v>
      </c>
      <c r="F493" s="1">
        <f>VLOOKUP(jablka[[#This Row],[Nazwa]],cennik[],2,0) * jablka[[#This Row],[sprzedaż]]</f>
        <v>1366.8</v>
      </c>
    </row>
    <row r="494" spans="1:6" x14ac:dyDescent="0.25">
      <c r="A494" s="2">
        <v>44634</v>
      </c>
      <c r="B494" s="1" t="s">
        <v>7</v>
      </c>
      <c r="C494" s="1" t="s">
        <v>16</v>
      </c>
      <c r="D494" s="1" t="s">
        <v>54</v>
      </c>
      <c r="E494">
        <v>454</v>
      </c>
      <c r="F494" s="1">
        <f>VLOOKUP(jablka[[#This Row],[Nazwa]],cennik[],2,0) * jablka[[#This Row],[sprzedaż]]</f>
        <v>1543.6</v>
      </c>
    </row>
    <row r="495" spans="1:6" x14ac:dyDescent="0.25">
      <c r="A495" s="2">
        <v>44634</v>
      </c>
      <c r="B495" s="1" t="s">
        <v>7</v>
      </c>
      <c r="C495" s="1" t="s">
        <v>16</v>
      </c>
      <c r="D495" s="1" t="s">
        <v>52</v>
      </c>
      <c r="E495">
        <v>497</v>
      </c>
      <c r="F495" s="1">
        <f>VLOOKUP(jablka[[#This Row],[Nazwa]],cennik[],2,0) * jablka[[#This Row],[sprzedaż]]</f>
        <v>1689.8</v>
      </c>
    </row>
    <row r="496" spans="1:6" x14ac:dyDescent="0.25">
      <c r="A496" s="2">
        <v>44634</v>
      </c>
      <c r="B496" s="1" t="s">
        <v>8</v>
      </c>
      <c r="C496" s="1" t="s">
        <v>16</v>
      </c>
      <c r="D496" s="1" t="s">
        <v>56</v>
      </c>
      <c r="E496">
        <v>667</v>
      </c>
      <c r="F496" s="1">
        <f>VLOOKUP(jablka[[#This Row],[Nazwa]],cennik[],2,0) * jablka[[#This Row],[sprzedaż]]</f>
        <v>2334.5</v>
      </c>
    </row>
    <row r="497" spans="1:6" x14ac:dyDescent="0.25">
      <c r="A497" s="2">
        <v>44635</v>
      </c>
      <c r="B497" s="1" t="s">
        <v>8</v>
      </c>
      <c r="C497" s="1" t="s">
        <v>16</v>
      </c>
      <c r="D497" s="1" t="s">
        <v>56</v>
      </c>
      <c r="E497">
        <v>231</v>
      </c>
      <c r="F497" s="1">
        <f>VLOOKUP(jablka[[#This Row],[Nazwa]],cennik[],2,0) * jablka[[#This Row],[sprzedaż]]</f>
        <v>808.5</v>
      </c>
    </row>
    <row r="498" spans="1:6" x14ac:dyDescent="0.25">
      <c r="A498" s="2">
        <v>44635</v>
      </c>
      <c r="B498" s="1" t="s">
        <v>7</v>
      </c>
      <c r="C498" s="1" t="s">
        <v>16</v>
      </c>
      <c r="D498" s="1" t="s">
        <v>43</v>
      </c>
      <c r="E498">
        <v>469</v>
      </c>
      <c r="F498" s="1">
        <f>VLOOKUP(jablka[[#This Row],[Nazwa]],cennik[],2,0) * jablka[[#This Row],[sprzedaż]]</f>
        <v>1594.6</v>
      </c>
    </row>
    <row r="499" spans="1:6" x14ac:dyDescent="0.25">
      <c r="A499" s="2">
        <v>44635</v>
      </c>
      <c r="B499" s="1" t="s">
        <v>15</v>
      </c>
      <c r="C499" s="1" t="s">
        <v>16</v>
      </c>
      <c r="D499" s="1" t="s">
        <v>26</v>
      </c>
      <c r="E499">
        <v>546</v>
      </c>
      <c r="F499" s="1">
        <f>VLOOKUP(jablka[[#This Row],[Nazwa]],cennik[],2,0) * jablka[[#This Row],[sprzedaż]]</f>
        <v>1310.3999999999999</v>
      </c>
    </row>
    <row r="500" spans="1:6" x14ac:dyDescent="0.25">
      <c r="A500" s="2">
        <v>44635</v>
      </c>
      <c r="B500" s="1" t="s">
        <v>7</v>
      </c>
      <c r="C500" s="1" t="s">
        <v>16</v>
      </c>
      <c r="D500" s="1" t="s">
        <v>60</v>
      </c>
      <c r="E500">
        <v>408</v>
      </c>
      <c r="F500" s="1">
        <f>VLOOKUP(jablka[[#This Row],[Nazwa]],cennik[],2,0) * jablka[[#This Row],[sprzedaż]]</f>
        <v>1387.2</v>
      </c>
    </row>
    <row r="501" spans="1:6" x14ac:dyDescent="0.25">
      <c r="A501" s="2">
        <v>44635</v>
      </c>
      <c r="B501" s="1" t="s">
        <v>5</v>
      </c>
      <c r="C501" s="1" t="s">
        <v>16</v>
      </c>
      <c r="D501" s="1" t="s">
        <v>55</v>
      </c>
      <c r="E501">
        <v>393</v>
      </c>
      <c r="F501" s="1">
        <f>VLOOKUP(jablka[[#This Row],[Nazwa]],cennik[],2,0) * jablka[[#This Row],[sprzedaż]]</f>
        <v>1336.2</v>
      </c>
    </row>
    <row r="502" spans="1:6" x14ac:dyDescent="0.25">
      <c r="A502" s="2">
        <v>44635</v>
      </c>
      <c r="B502" s="1" t="s">
        <v>7</v>
      </c>
      <c r="C502" s="1" t="s">
        <v>16</v>
      </c>
      <c r="D502" s="1" t="s">
        <v>48</v>
      </c>
      <c r="E502">
        <v>245</v>
      </c>
      <c r="F502" s="1">
        <f>VLOOKUP(jablka[[#This Row],[Nazwa]],cennik[],2,0) * jablka[[#This Row],[sprzedaż]]</f>
        <v>833</v>
      </c>
    </row>
    <row r="503" spans="1:6" x14ac:dyDescent="0.25">
      <c r="A503" s="2">
        <v>44635</v>
      </c>
      <c r="B503" s="1" t="s">
        <v>5</v>
      </c>
      <c r="C503" s="1" t="s">
        <v>16</v>
      </c>
      <c r="D503" s="1" t="s">
        <v>26</v>
      </c>
      <c r="E503">
        <v>68</v>
      </c>
      <c r="F503" s="1">
        <f>VLOOKUP(jablka[[#This Row],[Nazwa]],cennik[],2,0) * jablka[[#This Row],[sprzedaż]]</f>
        <v>231.2</v>
      </c>
    </row>
    <row r="504" spans="1:6" x14ac:dyDescent="0.25">
      <c r="A504" s="2">
        <v>44636</v>
      </c>
      <c r="B504" s="1" t="s">
        <v>10</v>
      </c>
      <c r="C504" s="1" t="s">
        <v>16</v>
      </c>
      <c r="D504" s="1" t="s">
        <v>62</v>
      </c>
      <c r="E504">
        <v>182</v>
      </c>
      <c r="F504" s="1">
        <f>VLOOKUP(jablka[[#This Row],[Nazwa]],cennik[],2,0) * jablka[[#This Row],[sprzedaż]]</f>
        <v>618.79999999999995</v>
      </c>
    </row>
    <row r="505" spans="1:6" x14ac:dyDescent="0.25">
      <c r="A505" s="2">
        <v>44636</v>
      </c>
      <c r="B505" s="1" t="s">
        <v>2</v>
      </c>
      <c r="C505" s="1" t="s">
        <v>16</v>
      </c>
      <c r="D505" s="1" t="s">
        <v>33</v>
      </c>
      <c r="E505">
        <v>116</v>
      </c>
      <c r="F505" s="1">
        <f>VLOOKUP(jablka[[#This Row],[Nazwa]],cennik[],2,0) * jablka[[#This Row],[sprzedaż]]</f>
        <v>371.20000000000005</v>
      </c>
    </row>
    <row r="506" spans="1:6" x14ac:dyDescent="0.25">
      <c r="A506" s="2">
        <v>44636</v>
      </c>
      <c r="B506" s="1" t="s">
        <v>7</v>
      </c>
      <c r="C506" s="1" t="s">
        <v>16</v>
      </c>
      <c r="D506" s="1" t="s">
        <v>59</v>
      </c>
      <c r="E506">
        <v>512</v>
      </c>
      <c r="F506" s="1">
        <f>VLOOKUP(jablka[[#This Row],[Nazwa]],cennik[],2,0) * jablka[[#This Row],[sprzedaż]]</f>
        <v>1740.8</v>
      </c>
    </row>
    <row r="507" spans="1:6" x14ac:dyDescent="0.25">
      <c r="A507" s="2">
        <v>44636</v>
      </c>
      <c r="B507" s="1" t="s">
        <v>6</v>
      </c>
      <c r="C507" s="1" t="s">
        <v>16</v>
      </c>
      <c r="D507" s="1" t="s">
        <v>35</v>
      </c>
      <c r="E507">
        <v>344</v>
      </c>
      <c r="F507" s="1">
        <f>VLOOKUP(jablka[[#This Row],[Nazwa]],cennik[],2,0) * jablka[[#This Row],[sprzedaż]]</f>
        <v>1169.5999999999999</v>
      </c>
    </row>
    <row r="508" spans="1:6" x14ac:dyDescent="0.25">
      <c r="A508" s="2">
        <v>44636</v>
      </c>
      <c r="B508" s="1" t="s">
        <v>8</v>
      </c>
      <c r="C508" s="1" t="s">
        <v>16</v>
      </c>
      <c r="D508" s="1" t="s">
        <v>30</v>
      </c>
      <c r="E508">
        <v>374</v>
      </c>
      <c r="F508" s="1">
        <f>VLOOKUP(jablka[[#This Row],[Nazwa]],cennik[],2,0) * jablka[[#This Row],[sprzedaż]]</f>
        <v>1309</v>
      </c>
    </row>
    <row r="509" spans="1:6" x14ac:dyDescent="0.25">
      <c r="A509" s="2">
        <v>44636</v>
      </c>
      <c r="B509" s="1" t="s">
        <v>5</v>
      </c>
      <c r="C509" s="1" t="s">
        <v>16</v>
      </c>
      <c r="D509" s="1" t="s">
        <v>38</v>
      </c>
      <c r="E509">
        <v>40</v>
      </c>
      <c r="F509" s="1">
        <f>VLOOKUP(jablka[[#This Row],[Nazwa]],cennik[],2,0) * jablka[[#This Row],[sprzedaż]]</f>
        <v>136</v>
      </c>
    </row>
    <row r="510" spans="1:6" x14ac:dyDescent="0.25">
      <c r="A510" s="2">
        <v>44636</v>
      </c>
      <c r="B510" s="1" t="s">
        <v>10</v>
      </c>
      <c r="C510" s="1" t="s">
        <v>16</v>
      </c>
      <c r="D510" s="1" t="s">
        <v>21</v>
      </c>
      <c r="E510">
        <v>243</v>
      </c>
      <c r="F510" s="1">
        <f>VLOOKUP(jablka[[#This Row],[Nazwa]],cennik[],2,0) * jablka[[#This Row],[sprzedaż]]</f>
        <v>826.19999999999993</v>
      </c>
    </row>
    <row r="511" spans="1:6" x14ac:dyDescent="0.25">
      <c r="A511" s="2">
        <v>44636</v>
      </c>
      <c r="B511" s="1" t="s">
        <v>4</v>
      </c>
      <c r="C511" s="1" t="s">
        <v>16</v>
      </c>
      <c r="D511" s="1" t="s">
        <v>37</v>
      </c>
      <c r="E511">
        <v>405</v>
      </c>
      <c r="F511" s="1">
        <f>VLOOKUP(jablka[[#This Row],[Nazwa]],cennik[],2,0) * jablka[[#This Row],[sprzedaż]]</f>
        <v>1377</v>
      </c>
    </row>
    <row r="512" spans="1:6" x14ac:dyDescent="0.25">
      <c r="A512" s="2">
        <v>44637</v>
      </c>
      <c r="B512" s="1" t="s">
        <v>8</v>
      </c>
      <c r="C512" s="1" t="s">
        <v>16</v>
      </c>
      <c r="D512" s="1" t="s">
        <v>35</v>
      </c>
      <c r="E512">
        <v>556</v>
      </c>
      <c r="F512" s="1">
        <f>VLOOKUP(jablka[[#This Row],[Nazwa]],cennik[],2,0) * jablka[[#This Row],[sprzedaż]]</f>
        <v>1946</v>
      </c>
    </row>
    <row r="513" spans="1:6" x14ac:dyDescent="0.25">
      <c r="A513" s="2">
        <v>44637</v>
      </c>
      <c r="B513" s="1" t="s">
        <v>0</v>
      </c>
      <c r="C513" s="1" t="s">
        <v>16</v>
      </c>
      <c r="D513" s="1" t="s">
        <v>18</v>
      </c>
      <c r="E513">
        <v>138</v>
      </c>
      <c r="F513" s="1">
        <f>VLOOKUP(jablka[[#This Row],[Nazwa]],cennik[],2,0) * jablka[[#This Row],[sprzedaż]]</f>
        <v>400.2</v>
      </c>
    </row>
    <row r="514" spans="1:6" x14ac:dyDescent="0.25">
      <c r="A514" s="2">
        <v>44637</v>
      </c>
      <c r="B514" s="1" t="s">
        <v>4</v>
      </c>
      <c r="C514" s="1" t="s">
        <v>16</v>
      </c>
      <c r="D514" s="1" t="s">
        <v>60</v>
      </c>
      <c r="E514">
        <v>709</v>
      </c>
      <c r="F514" s="1">
        <f>VLOOKUP(jablka[[#This Row],[Nazwa]],cennik[],2,0) * jablka[[#This Row],[sprzedaż]]</f>
        <v>2410.6</v>
      </c>
    </row>
    <row r="515" spans="1:6" x14ac:dyDescent="0.25">
      <c r="A515" s="2">
        <v>44637</v>
      </c>
      <c r="B515" s="1" t="s">
        <v>7</v>
      </c>
      <c r="C515" s="1" t="s">
        <v>16</v>
      </c>
      <c r="D515" s="1" t="s">
        <v>24</v>
      </c>
      <c r="E515">
        <v>599</v>
      </c>
      <c r="F515" s="1">
        <f>VLOOKUP(jablka[[#This Row],[Nazwa]],cennik[],2,0) * jablka[[#This Row],[sprzedaż]]</f>
        <v>2036.6</v>
      </c>
    </row>
    <row r="516" spans="1:6" x14ac:dyDescent="0.25">
      <c r="A516" s="2">
        <v>44637</v>
      </c>
      <c r="B516" s="1" t="s">
        <v>15</v>
      </c>
      <c r="C516" s="1" t="s">
        <v>16</v>
      </c>
      <c r="D516" s="1" t="s">
        <v>25</v>
      </c>
      <c r="E516">
        <v>362</v>
      </c>
      <c r="F516" s="1">
        <f>VLOOKUP(jablka[[#This Row],[Nazwa]],cennik[],2,0) * jablka[[#This Row],[sprzedaż]]</f>
        <v>868.8</v>
      </c>
    </row>
    <row r="517" spans="1:6" x14ac:dyDescent="0.25">
      <c r="A517" s="2">
        <v>44637</v>
      </c>
      <c r="B517" s="1" t="s">
        <v>4</v>
      </c>
      <c r="C517" s="1" t="s">
        <v>16</v>
      </c>
      <c r="D517" s="1" t="s">
        <v>17</v>
      </c>
      <c r="E517">
        <v>327</v>
      </c>
      <c r="F517" s="1">
        <f>VLOOKUP(jablka[[#This Row],[Nazwa]],cennik[],2,0) * jablka[[#This Row],[sprzedaż]]</f>
        <v>1111.8</v>
      </c>
    </row>
    <row r="518" spans="1:6" x14ac:dyDescent="0.25">
      <c r="A518" s="2">
        <v>44637</v>
      </c>
      <c r="B518" s="1" t="s">
        <v>7</v>
      </c>
      <c r="C518" s="1" t="s">
        <v>16</v>
      </c>
      <c r="D518" s="1" t="s">
        <v>50</v>
      </c>
      <c r="E518">
        <v>264</v>
      </c>
      <c r="F518" s="1">
        <f>VLOOKUP(jablka[[#This Row],[Nazwa]],cennik[],2,0) * jablka[[#This Row],[sprzedaż]]</f>
        <v>897.6</v>
      </c>
    </row>
    <row r="519" spans="1:6" x14ac:dyDescent="0.25">
      <c r="A519" s="2">
        <v>44637</v>
      </c>
      <c r="B519" s="1" t="s">
        <v>6</v>
      </c>
      <c r="C519" s="1" t="s">
        <v>16</v>
      </c>
      <c r="D519" s="1" t="s">
        <v>51</v>
      </c>
      <c r="E519">
        <v>495</v>
      </c>
      <c r="F519" s="1">
        <f>VLOOKUP(jablka[[#This Row],[Nazwa]],cennik[],2,0) * jablka[[#This Row],[sprzedaż]]</f>
        <v>1683</v>
      </c>
    </row>
    <row r="520" spans="1:6" x14ac:dyDescent="0.25">
      <c r="A520" s="2">
        <v>44638</v>
      </c>
      <c r="B520" s="1" t="s">
        <v>10</v>
      </c>
      <c r="C520" s="1" t="s">
        <v>16</v>
      </c>
      <c r="D520" s="1" t="s">
        <v>63</v>
      </c>
      <c r="E520">
        <v>156</v>
      </c>
      <c r="F520" s="1">
        <f>VLOOKUP(jablka[[#This Row],[Nazwa]],cennik[],2,0) * jablka[[#This Row],[sprzedaż]]</f>
        <v>530.4</v>
      </c>
    </row>
    <row r="521" spans="1:6" x14ac:dyDescent="0.25">
      <c r="A521" s="2">
        <v>44638</v>
      </c>
      <c r="B521" s="1" t="s">
        <v>0</v>
      </c>
      <c r="C521" s="1" t="s">
        <v>16</v>
      </c>
      <c r="D521" s="1" t="s">
        <v>46</v>
      </c>
      <c r="E521">
        <v>434</v>
      </c>
      <c r="F521" s="1">
        <f>VLOOKUP(jablka[[#This Row],[Nazwa]],cennik[],2,0) * jablka[[#This Row],[sprzedaż]]</f>
        <v>1258.5999999999999</v>
      </c>
    </row>
    <row r="522" spans="1:6" x14ac:dyDescent="0.25">
      <c r="A522" s="2">
        <v>44638</v>
      </c>
      <c r="B522" s="1" t="s">
        <v>2</v>
      </c>
      <c r="C522" s="1" t="s">
        <v>16</v>
      </c>
      <c r="D522" s="1" t="s">
        <v>45</v>
      </c>
      <c r="E522">
        <v>422</v>
      </c>
      <c r="F522" s="1">
        <f>VLOOKUP(jablka[[#This Row],[Nazwa]],cennik[],2,0) * jablka[[#This Row],[sprzedaż]]</f>
        <v>1350.4</v>
      </c>
    </row>
    <row r="523" spans="1:6" x14ac:dyDescent="0.25">
      <c r="A523" s="2">
        <v>44638</v>
      </c>
      <c r="B523" s="1" t="s">
        <v>2</v>
      </c>
      <c r="C523" s="1" t="s">
        <v>16</v>
      </c>
      <c r="D523" s="1" t="s">
        <v>54</v>
      </c>
      <c r="E523">
        <v>222</v>
      </c>
      <c r="F523" s="1">
        <f>VLOOKUP(jablka[[#This Row],[Nazwa]],cennik[],2,0) * jablka[[#This Row],[sprzedaż]]</f>
        <v>710.40000000000009</v>
      </c>
    </row>
    <row r="524" spans="1:6" x14ac:dyDescent="0.25">
      <c r="A524" s="2">
        <v>44638</v>
      </c>
      <c r="B524" s="1" t="s">
        <v>6</v>
      </c>
      <c r="C524" s="1" t="s">
        <v>16</v>
      </c>
      <c r="D524" s="1" t="s">
        <v>49</v>
      </c>
      <c r="E524">
        <v>364</v>
      </c>
      <c r="F524" s="1">
        <f>VLOOKUP(jablka[[#This Row],[Nazwa]],cennik[],2,0) * jablka[[#This Row],[sprzedaż]]</f>
        <v>1237.5999999999999</v>
      </c>
    </row>
    <row r="525" spans="1:6" x14ac:dyDescent="0.25">
      <c r="A525" s="2">
        <v>44639</v>
      </c>
      <c r="B525" s="1" t="s">
        <v>8</v>
      </c>
      <c r="C525" s="1" t="s">
        <v>16</v>
      </c>
      <c r="D525" s="1" t="s">
        <v>58</v>
      </c>
      <c r="E525">
        <v>332</v>
      </c>
      <c r="F525" s="1">
        <f>VLOOKUP(jablka[[#This Row],[Nazwa]],cennik[],2,0) * jablka[[#This Row],[sprzedaż]]</f>
        <v>1162</v>
      </c>
    </row>
    <row r="526" spans="1:6" x14ac:dyDescent="0.25">
      <c r="A526" s="2">
        <v>44639</v>
      </c>
      <c r="B526" s="1" t="s">
        <v>5</v>
      </c>
      <c r="C526" s="1" t="s">
        <v>16</v>
      </c>
      <c r="D526" s="1" t="s">
        <v>52</v>
      </c>
      <c r="E526">
        <v>161</v>
      </c>
      <c r="F526" s="1">
        <f>VLOOKUP(jablka[[#This Row],[Nazwa]],cennik[],2,0) * jablka[[#This Row],[sprzedaż]]</f>
        <v>547.4</v>
      </c>
    </row>
    <row r="527" spans="1:6" x14ac:dyDescent="0.25">
      <c r="A527" s="2">
        <v>44641</v>
      </c>
      <c r="B527" s="1" t="s">
        <v>4</v>
      </c>
      <c r="C527" s="1" t="s">
        <v>16</v>
      </c>
      <c r="D527" s="1" t="s">
        <v>63</v>
      </c>
      <c r="E527">
        <v>634</v>
      </c>
      <c r="F527" s="1">
        <f>VLOOKUP(jablka[[#This Row],[Nazwa]],cennik[],2,0) * jablka[[#This Row],[sprzedaż]]</f>
        <v>2155.6</v>
      </c>
    </row>
    <row r="528" spans="1:6" x14ac:dyDescent="0.25">
      <c r="A528" s="2">
        <v>44641</v>
      </c>
      <c r="B528" s="1" t="s">
        <v>6</v>
      </c>
      <c r="C528" s="1" t="s">
        <v>16</v>
      </c>
      <c r="D528" s="1" t="s">
        <v>19</v>
      </c>
      <c r="E528">
        <v>193</v>
      </c>
      <c r="F528" s="1">
        <f>VLOOKUP(jablka[[#This Row],[Nazwa]],cennik[],2,0) * jablka[[#This Row],[sprzedaż]]</f>
        <v>656.19999999999993</v>
      </c>
    </row>
    <row r="529" spans="1:6" x14ac:dyDescent="0.25">
      <c r="A529" s="2">
        <v>44641</v>
      </c>
      <c r="B529" s="1" t="s">
        <v>7</v>
      </c>
      <c r="C529" s="1" t="s">
        <v>16</v>
      </c>
      <c r="D529" s="1" t="s">
        <v>56</v>
      </c>
      <c r="E529">
        <v>249</v>
      </c>
      <c r="F529" s="1">
        <f>VLOOKUP(jablka[[#This Row],[Nazwa]],cennik[],2,0) * jablka[[#This Row],[sprzedaż]]</f>
        <v>846.6</v>
      </c>
    </row>
    <row r="530" spans="1:6" x14ac:dyDescent="0.25">
      <c r="A530" s="2">
        <v>44641</v>
      </c>
      <c r="B530" s="1" t="s">
        <v>10</v>
      </c>
      <c r="C530" s="1" t="s">
        <v>16</v>
      </c>
      <c r="D530" s="1" t="s">
        <v>38</v>
      </c>
      <c r="E530">
        <v>276</v>
      </c>
      <c r="F530" s="1">
        <f>VLOOKUP(jablka[[#This Row],[Nazwa]],cennik[],2,0) * jablka[[#This Row],[sprzedaż]]</f>
        <v>938.4</v>
      </c>
    </row>
    <row r="531" spans="1:6" x14ac:dyDescent="0.25">
      <c r="A531" s="2">
        <v>44641</v>
      </c>
      <c r="B531" s="1" t="s">
        <v>4</v>
      </c>
      <c r="C531" s="1" t="s">
        <v>16</v>
      </c>
      <c r="D531" s="1" t="s">
        <v>32</v>
      </c>
      <c r="E531">
        <v>603</v>
      </c>
      <c r="F531" s="1">
        <f>VLOOKUP(jablka[[#This Row],[Nazwa]],cennik[],2,0) * jablka[[#This Row],[sprzedaż]]</f>
        <v>2050.1999999999998</v>
      </c>
    </row>
    <row r="532" spans="1:6" x14ac:dyDescent="0.25">
      <c r="A532" s="2">
        <v>44641</v>
      </c>
      <c r="B532" s="1" t="s">
        <v>8</v>
      </c>
      <c r="C532" s="1" t="s">
        <v>16</v>
      </c>
      <c r="D532" s="1" t="s">
        <v>29</v>
      </c>
      <c r="E532">
        <v>487</v>
      </c>
      <c r="F532" s="1">
        <f>VLOOKUP(jablka[[#This Row],[Nazwa]],cennik[],2,0) * jablka[[#This Row],[sprzedaż]]</f>
        <v>1704.5</v>
      </c>
    </row>
    <row r="533" spans="1:6" x14ac:dyDescent="0.25">
      <c r="A533" s="2">
        <v>44641</v>
      </c>
      <c r="B533" s="1" t="s">
        <v>2</v>
      </c>
      <c r="C533" s="1" t="s">
        <v>16</v>
      </c>
      <c r="D533" s="1" t="s">
        <v>19</v>
      </c>
      <c r="E533">
        <v>276</v>
      </c>
      <c r="F533" s="1">
        <f>VLOOKUP(jablka[[#This Row],[Nazwa]],cennik[],2,0) * jablka[[#This Row],[sprzedaż]]</f>
        <v>883.2</v>
      </c>
    </row>
    <row r="534" spans="1:6" x14ac:dyDescent="0.25">
      <c r="A534" s="2">
        <v>44641</v>
      </c>
      <c r="B534" s="1" t="s">
        <v>10</v>
      </c>
      <c r="C534" s="1" t="s">
        <v>16</v>
      </c>
      <c r="D534" s="1" t="s">
        <v>36</v>
      </c>
      <c r="E534">
        <v>73</v>
      </c>
      <c r="F534" s="1">
        <f>VLOOKUP(jablka[[#This Row],[Nazwa]],cennik[],2,0) * jablka[[#This Row],[sprzedaż]]</f>
        <v>248.2</v>
      </c>
    </row>
    <row r="535" spans="1:6" x14ac:dyDescent="0.25">
      <c r="A535" s="2">
        <v>44641</v>
      </c>
      <c r="B535" s="1" t="s">
        <v>2</v>
      </c>
      <c r="C535" s="1" t="s">
        <v>16</v>
      </c>
      <c r="D535" s="1" t="s">
        <v>57</v>
      </c>
      <c r="E535">
        <v>182</v>
      </c>
      <c r="F535" s="1">
        <f>VLOOKUP(jablka[[#This Row],[Nazwa]],cennik[],2,0) * jablka[[#This Row],[sprzedaż]]</f>
        <v>582.4</v>
      </c>
    </row>
    <row r="536" spans="1:6" x14ac:dyDescent="0.25">
      <c r="A536" s="2">
        <v>44641</v>
      </c>
      <c r="B536" s="1" t="s">
        <v>2</v>
      </c>
      <c r="C536" s="1" t="s">
        <v>16</v>
      </c>
      <c r="D536" s="1" t="s">
        <v>25</v>
      </c>
      <c r="E536">
        <v>51</v>
      </c>
      <c r="F536" s="1">
        <f>VLOOKUP(jablka[[#This Row],[Nazwa]],cennik[],2,0) * jablka[[#This Row],[sprzedaż]]</f>
        <v>163.20000000000002</v>
      </c>
    </row>
    <row r="537" spans="1:6" x14ac:dyDescent="0.25">
      <c r="A537" s="2">
        <v>44641</v>
      </c>
      <c r="B537" s="1" t="s">
        <v>0</v>
      </c>
      <c r="C537" s="1" t="s">
        <v>16</v>
      </c>
      <c r="D537" s="1" t="s">
        <v>59</v>
      </c>
      <c r="E537">
        <v>299</v>
      </c>
      <c r="F537" s="1">
        <f>VLOOKUP(jablka[[#This Row],[Nazwa]],cennik[],2,0) * jablka[[#This Row],[sprzedaż]]</f>
        <v>867.1</v>
      </c>
    </row>
    <row r="538" spans="1:6" x14ac:dyDescent="0.25">
      <c r="A538" s="2">
        <v>44641</v>
      </c>
      <c r="B538" s="1" t="s">
        <v>8</v>
      </c>
      <c r="C538" s="1" t="s">
        <v>16</v>
      </c>
      <c r="D538" s="1" t="s">
        <v>31</v>
      </c>
      <c r="E538">
        <v>684</v>
      </c>
      <c r="F538" s="1">
        <f>VLOOKUP(jablka[[#This Row],[Nazwa]],cennik[],2,0) * jablka[[#This Row],[sprzedaż]]</f>
        <v>2394</v>
      </c>
    </row>
    <row r="539" spans="1:6" x14ac:dyDescent="0.25">
      <c r="A539" s="2">
        <v>44641</v>
      </c>
      <c r="B539" s="1" t="s">
        <v>7</v>
      </c>
      <c r="C539" s="1" t="s">
        <v>16</v>
      </c>
      <c r="D539" s="1" t="s">
        <v>51</v>
      </c>
      <c r="E539">
        <v>627</v>
      </c>
      <c r="F539" s="1">
        <f>VLOOKUP(jablka[[#This Row],[Nazwa]],cennik[],2,0) * jablka[[#This Row],[sprzedaż]]</f>
        <v>2131.7999999999997</v>
      </c>
    </row>
    <row r="540" spans="1:6" x14ac:dyDescent="0.25">
      <c r="A540" s="2">
        <v>44642</v>
      </c>
      <c r="B540" s="1" t="s">
        <v>10</v>
      </c>
      <c r="C540" s="1" t="s">
        <v>16</v>
      </c>
      <c r="D540" s="1" t="s">
        <v>46</v>
      </c>
      <c r="E540">
        <v>350</v>
      </c>
      <c r="F540" s="1">
        <f>VLOOKUP(jablka[[#This Row],[Nazwa]],cennik[],2,0) * jablka[[#This Row],[sprzedaż]]</f>
        <v>1190</v>
      </c>
    </row>
    <row r="541" spans="1:6" x14ac:dyDescent="0.25">
      <c r="A541" s="2">
        <v>44642</v>
      </c>
      <c r="B541" s="1" t="s">
        <v>0</v>
      </c>
      <c r="C541" s="1" t="s">
        <v>16</v>
      </c>
      <c r="D541" s="1" t="s">
        <v>43</v>
      </c>
      <c r="E541">
        <v>194</v>
      </c>
      <c r="F541" s="1">
        <f>VLOOKUP(jablka[[#This Row],[Nazwa]],cennik[],2,0) * jablka[[#This Row],[sprzedaż]]</f>
        <v>562.6</v>
      </c>
    </row>
    <row r="542" spans="1:6" x14ac:dyDescent="0.25">
      <c r="A542" s="2">
        <v>44642</v>
      </c>
      <c r="B542" s="1" t="s">
        <v>10</v>
      </c>
      <c r="C542" s="1" t="s">
        <v>16</v>
      </c>
      <c r="D542" s="1" t="s">
        <v>40</v>
      </c>
      <c r="E542">
        <v>13</v>
      </c>
      <c r="F542" s="1">
        <f>VLOOKUP(jablka[[#This Row],[Nazwa]],cennik[],2,0) * jablka[[#This Row],[sprzedaż]]</f>
        <v>44.199999999999996</v>
      </c>
    </row>
    <row r="543" spans="1:6" x14ac:dyDescent="0.25">
      <c r="A543" s="2">
        <v>44642</v>
      </c>
      <c r="B543" s="1" t="s">
        <v>5</v>
      </c>
      <c r="C543" s="1" t="s">
        <v>16</v>
      </c>
      <c r="D543" s="1" t="s">
        <v>51</v>
      </c>
      <c r="E543">
        <v>336</v>
      </c>
      <c r="F543" s="1">
        <f>VLOOKUP(jablka[[#This Row],[Nazwa]],cennik[],2,0) * jablka[[#This Row],[sprzedaż]]</f>
        <v>1142.3999999999999</v>
      </c>
    </row>
    <row r="544" spans="1:6" x14ac:dyDescent="0.25">
      <c r="A544" s="2">
        <v>44642</v>
      </c>
      <c r="B544" s="1" t="s">
        <v>4</v>
      </c>
      <c r="C544" s="1" t="s">
        <v>16</v>
      </c>
      <c r="D544" s="1" t="s">
        <v>50</v>
      </c>
      <c r="E544">
        <v>363</v>
      </c>
      <c r="F544" s="1">
        <f>VLOOKUP(jablka[[#This Row],[Nazwa]],cennik[],2,0) * jablka[[#This Row],[sprzedaż]]</f>
        <v>1234.2</v>
      </c>
    </row>
    <row r="545" spans="1:6" x14ac:dyDescent="0.25">
      <c r="A545" s="2">
        <v>44642</v>
      </c>
      <c r="B545" s="1" t="s">
        <v>0</v>
      </c>
      <c r="C545" s="1" t="s">
        <v>16</v>
      </c>
      <c r="D545" s="1" t="s">
        <v>20</v>
      </c>
      <c r="E545">
        <v>108</v>
      </c>
      <c r="F545" s="1">
        <f>VLOOKUP(jablka[[#This Row],[Nazwa]],cennik[],2,0) * jablka[[#This Row],[sprzedaż]]</f>
        <v>313.2</v>
      </c>
    </row>
    <row r="546" spans="1:6" x14ac:dyDescent="0.25">
      <c r="A546" s="2">
        <v>44642</v>
      </c>
      <c r="B546" s="1" t="s">
        <v>8</v>
      </c>
      <c r="C546" s="1" t="s">
        <v>16</v>
      </c>
      <c r="D546" s="1" t="s">
        <v>65</v>
      </c>
      <c r="E546">
        <v>465</v>
      </c>
      <c r="F546" s="1">
        <f>VLOOKUP(jablka[[#This Row],[Nazwa]],cennik[],2,0) * jablka[[#This Row],[sprzedaż]]</f>
        <v>1627.5</v>
      </c>
    </row>
    <row r="547" spans="1:6" x14ac:dyDescent="0.25">
      <c r="A547" s="2">
        <v>44643</v>
      </c>
      <c r="B547" s="1" t="s">
        <v>15</v>
      </c>
      <c r="C547" s="1" t="s">
        <v>16</v>
      </c>
      <c r="D547" s="1" t="s">
        <v>36</v>
      </c>
      <c r="E547">
        <v>490</v>
      </c>
      <c r="F547" s="1">
        <f>VLOOKUP(jablka[[#This Row],[Nazwa]],cennik[],2,0) * jablka[[#This Row],[sprzedaż]]</f>
        <v>1176</v>
      </c>
    </row>
    <row r="548" spans="1:6" x14ac:dyDescent="0.25">
      <c r="A548" s="2">
        <v>44643</v>
      </c>
      <c r="B548" s="1" t="s">
        <v>6</v>
      </c>
      <c r="C548" s="1" t="s">
        <v>16</v>
      </c>
      <c r="D548" s="1" t="s">
        <v>42</v>
      </c>
      <c r="E548">
        <v>17</v>
      </c>
      <c r="F548" s="1">
        <f>VLOOKUP(jablka[[#This Row],[Nazwa]],cennik[],2,0) * jablka[[#This Row],[sprzedaż]]</f>
        <v>57.8</v>
      </c>
    </row>
    <row r="549" spans="1:6" x14ac:dyDescent="0.25">
      <c r="A549" s="2">
        <v>44643</v>
      </c>
      <c r="B549" s="1" t="s">
        <v>0</v>
      </c>
      <c r="C549" s="1" t="s">
        <v>16</v>
      </c>
      <c r="D549" s="1" t="s">
        <v>40</v>
      </c>
      <c r="E549">
        <v>282</v>
      </c>
      <c r="F549" s="1">
        <f>VLOOKUP(jablka[[#This Row],[Nazwa]],cennik[],2,0) * jablka[[#This Row],[sprzedaż]]</f>
        <v>817.8</v>
      </c>
    </row>
    <row r="550" spans="1:6" x14ac:dyDescent="0.25">
      <c r="A550" s="2">
        <v>44644</v>
      </c>
      <c r="B550" s="1" t="s">
        <v>15</v>
      </c>
      <c r="C550" s="1" t="s">
        <v>16</v>
      </c>
      <c r="D550" s="1" t="s">
        <v>39</v>
      </c>
      <c r="E550">
        <v>141</v>
      </c>
      <c r="F550" s="1">
        <f>VLOOKUP(jablka[[#This Row],[Nazwa]],cennik[],2,0) * jablka[[#This Row],[sprzedaż]]</f>
        <v>338.4</v>
      </c>
    </row>
    <row r="551" spans="1:6" x14ac:dyDescent="0.25">
      <c r="A551" s="2">
        <v>44644</v>
      </c>
      <c r="B551" s="1" t="s">
        <v>0</v>
      </c>
      <c r="C551" s="1" t="s">
        <v>16</v>
      </c>
      <c r="D551" s="1" t="s">
        <v>29</v>
      </c>
      <c r="E551">
        <v>75</v>
      </c>
      <c r="F551" s="1">
        <f>VLOOKUP(jablka[[#This Row],[Nazwa]],cennik[],2,0) * jablka[[#This Row],[sprzedaż]]</f>
        <v>217.5</v>
      </c>
    </row>
    <row r="552" spans="1:6" x14ac:dyDescent="0.25">
      <c r="A552" s="2">
        <v>44644</v>
      </c>
      <c r="B552" s="1" t="s">
        <v>5</v>
      </c>
      <c r="C552" s="1" t="s">
        <v>16</v>
      </c>
      <c r="D552" s="1" t="s">
        <v>43</v>
      </c>
      <c r="E552">
        <v>113</v>
      </c>
      <c r="F552" s="1">
        <f>VLOOKUP(jablka[[#This Row],[Nazwa]],cennik[],2,0) * jablka[[#This Row],[sprzedaż]]</f>
        <v>384.2</v>
      </c>
    </row>
    <row r="553" spans="1:6" x14ac:dyDescent="0.25">
      <c r="A553" s="2">
        <v>44644</v>
      </c>
      <c r="B553" s="1" t="s">
        <v>8</v>
      </c>
      <c r="C553" s="1" t="s">
        <v>16</v>
      </c>
      <c r="D553" s="1" t="s">
        <v>58</v>
      </c>
      <c r="E553">
        <v>579</v>
      </c>
      <c r="F553" s="1">
        <f>VLOOKUP(jablka[[#This Row],[Nazwa]],cennik[],2,0) * jablka[[#This Row],[sprzedaż]]</f>
        <v>2026.5</v>
      </c>
    </row>
    <row r="554" spans="1:6" x14ac:dyDescent="0.25">
      <c r="A554" s="2">
        <v>44644</v>
      </c>
      <c r="B554" s="1" t="s">
        <v>15</v>
      </c>
      <c r="C554" s="1" t="s">
        <v>16</v>
      </c>
      <c r="D554" s="1" t="s">
        <v>49</v>
      </c>
      <c r="E554">
        <v>123</v>
      </c>
      <c r="F554" s="1">
        <f>VLOOKUP(jablka[[#This Row],[Nazwa]],cennik[],2,0) * jablka[[#This Row],[sprzedaż]]</f>
        <v>295.2</v>
      </c>
    </row>
    <row r="555" spans="1:6" x14ac:dyDescent="0.25">
      <c r="A555" s="2">
        <v>44644</v>
      </c>
      <c r="B555" s="1" t="s">
        <v>8</v>
      </c>
      <c r="C555" s="1" t="s">
        <v>16</v>
      </c>
      <c r="D555" s="1" t="s">
        <v>38</v>
      </c>
      <c r="E555">
        <v>281</v>
      </c>
      <c r="F555" s="1">
        <f>VLOOKUP(jablka[[#This Row],[Nazwa]],cennik[],2,0) * jablka[[#This Row],[sprzedaż]]</f>
        <v>983.5</v>
      </c>
    </row>
    <row r="556" spans="1:6" x14ac:dyDescent="0.25">
      <c r="A556" s="2">
        <v>44645</v>
      </c>
      <c r="B556" s="1" t="s">
        <v>2</v>
      </c>
      <c r="C556" s="1" t="s">
        <v>16</v>
      </c>
      <c r="D556" s="1" t="s">
        <v>20</v>
      </c>
      <c r="E556">
        <v>117</v>
      </c>
      <c r="F556" s="1">
        <f>VLOOKUP(jablka[[#This Row],[Nazwa]],cennik[],2,0) * jablka[[#This Row],[sprzedaż]]</f>
        <v>374.40000000000003</v>
      </c>
    </row>
    <row r="557" spans="1:6" x14ac:dyDescent="0.25">
      <c r="A557" s="2">
        <v>44645</v>
      </c>
      <c r="B557" s="1" t="s">
        <v>15</v>
      </c>
      <c r="C557" s="1" t="s">
        <v>16</v>
      </c>
      <c r="D557" s="1" t="s">
        <v>21</v>
      </c>
      <c r="E557">
        <v>551</v>
      </c>
      <c r="F557" s="1">
        <f>VLOOKUP(jablka[[#This Row],[Nazwa]],cennik[],2,0) * jablka[[#This Row],[sprzedaż]]</f>
        <v>1322.3999999999999</v>
      </c>
    </row>
    <row r="558" spans="1:6" x14ac:dyDescent="0.25">
      <c r="A558" s="2">
        <v>44645</v>
      </c>
      <c r="B558" s="1" t="s">
        <v>2</v>
      </c>
      <c r="C558" s="1" t="s">
        <v>16</v>
      </c>
      <c r="D558" s="1" t="s">
        <v>65</v>
      </c>
      <c r="E558">
        <v>314</v>
      </c>
      <c r="F558" s="1">
        <f>VLOOKUP(jablka[[#This Row],[Nazwa]],cennik[],2,0) * jablka[[#This Row],[sprzedaż]]</f>
        <v>1004.8000000000001</v>
      </c>
    </row>
    <row r="559" spans="1:6" x14ac:dyDescent="0.25">
      <c r="A559" s="2">
        <v>44645</v>
      </c>
      <c r="B559" s="1" t="s">
        <v>6</v>
      </c>
      <c r="C559" s="1" t="s">
        <v>16</v>
      </c>
      <c r="D559" s="1" t="s">
        <v>23</v>
      </c>
      <c r="E559">
        <v>32</v>
      </c>
      <c r="F559" s="1">
        <f>VLOOKUP(jablka[[#This Row],[Nazwa]],cennik[],2,0) * jablka[[#This Row],[sprzedaż]]</f>
        <v>108.8</v>
      </c>
    </row>
    <row r="560" spans="1:6" x14ac:dyDescent="0.25">
      <c r="A560" s="2">
        <v>44645</v>
      </c>
      <c r="B560" s="1" t="s">
        <v>15</v>
      </c>
      <c r="C560" s="1" t="s">
        <v>16</v>
      </c>
      <c r="D560" s="1" t="s">
        <v>36</v>
      </c>
      <c r="E560">
        <v>424</v>
      </c>
      <c r="F560" s="1">
        <f>VLOOKUP(jablka[[#This Row],[Nazwa]],cennik[],2,0) * jablka[[#This Row],[sprzedaż]]</f>
        <v>1017.5999999999999</v>
      </c>
    </row>
    <row r="561" spans="1:6" x14ac:dyDescent="0.25">
      <c r="A561" s="2">
        <v>44645</v>
      </c>
      <c r="B561" s="1" t="s">
        <v>15</v>
      </c>
      <c r="C561" s="1" t="s">
        <v>16</v>
      </c>
      <c r="D561" s="1" t="s">
        <v>56</v>
      </c>
      <c r="E561">
        <v>361</v>
      </c>
      <c r="F561" s="1">
        <f>VLOOKUP(jablka[[#This Row],[Nazwa]],cennik[],2,0) * jablka[[#This Row],[sprzedaż]]</f>
        <v>866.4</v>
      </c>
    </row>
    <row r="562" spans="1:6" x14ac:dyDescent="0.25">
      <c r="A562" s="2">
        <v>44646</v>
      </c>
      <c r="B562" s="1" t="s">
        <v>15</v>
      </c>
      <c r="C562" s="1" t="s">
        <v>16</v>
      </c>
      <c r="D562" s="1" t="s">
        <v>26</v>
      </c>
      <c r="E562">
        <v>520</v>
      </c>
      <c r="F562" s="1">
        <f>VLOOKUP(jablka[[#This Row],[Nazwa]],cennik[],2,0) * jablka[[#This Row],[sprzedaż]]</f>
        <v>1248</v>
      </c>
    </row>
    <row r="563" spans="1:6" x14ac:dyDescent="0.25">
      <c r="A563" s="2">
        <v>44646</v>
      </c>
      <c r="B563" s="1" t="s">
        <v>10</v>
      </c>
      <c r="C563" s="1" t="s">
        <v>16</v>
      </c>
      <c r="D563" s="1" t="s">
        <v>43</v>
      </c>
      <c r="E563">
        <v>49</v>
      </c>
      <c r="F563" s="1">
        <f>VLOOKUP(jablka[[#This Row],[Nazwa]],cennik[],2,0) * jablka[[#This Row],[sprzedaż]]</f>
        <v>166.6</v>
      </c>
    </row>
    <row r="564" spans="1:6" x14ac:dyDescent="0.25">
      <c r="A564" s="2">
        <v>44646</v>
      </c>
      <c r="B564" s="1" t="s">
        <v>5</v>
      </c>
      <c r="C564" s="1" t="s">
        <v>16</v>
      </c>
      <c r="D564" s="1" t="s">
        <v>60</v>
      </c>
      <c r="E564">
        <v>106</v>
      </c>
      <c r="F564" s="1">
        <f>VLOOKUP(jablka[[#This Row],[Nazwa]],cennik[],2,0) * jablka[[#This Row],[sprzedaż]]</f>
        <v>360.4</v>
      </c>
    </row>
    <row r="565" spans="1:6" x14ac:dyDescent="0.25">
      <c r="A565" s="2">
        <v>44646</v>
      </c>
      <c r="B565" s="1" t="s">
        <v>10</v>
      </c>
      <c r="C565" s="1" t="s">
        <v>16</v>
      </c>
      <c r="D565" s="1" t="s">
        <v>48</v>
      </c>
      <c r="E565">
        <v>93</v>
      </c>
      <c r="F565" s="1">
        <f>VLOOKUP(jablka[[#This Row],[Nazwa]],cennik[],2,0) * jablka[[#This Row],[sprzedaż]]</f>
        <v>316.2</v>
      </c>
    </row>
    <row r="566" spans="1:6" x14ac:dyDescent="0.25">
      <c r="A566" s="2">
        <v>44646</v>
      </c>
      <c r="B566" s="1" t="s">
        <v>4</v>
      </c>
      <c r="C566" s="1" t="s">
        <v>16</v>
      </c>
      <c r="D566" s="1" t="s">
        <v>57</v>
      </c>
      <c r="E566">
        <v>681</v>
      </c>
      <c r="F566" s="1">
        <f>VLOOKUP(jablka[[#This Row],[Nazwa]],cennik[],2,0) * jablka[[#This Row],[sprzedaż]]</f>
        <v>2315.4</v>
      </c>
    </row>
    <row r="567" spans="1:6" x14ac:dyDescent="0.25">
      <c r="A567" s="2">
        <v>44646</v>
      </c>
      <c r="B567" s="1" t="s">
        <v>2</v>
      </c>
      <c r="C567" s="1" t="s">
        <v>16</v>
      </c>
      <c r="D567" s="1" t="s">
        <v>42</v>
      </c>
      <c r="E567">
        <v>188</v>
      </c>
      <c r="F567" s="1">
        <f>VLOOKUP(jablka[[#This Row],[Nazwa]],cennik[],2,0) * jablka[[#This Row],[sprzedaż]]</f>
        <v>601.6</v>
      </c>
    </row>
    <row r="568" spans="1:6" x14ac:dyDescent="0.25">
      <c r="A568" s="2">
        <v>44646</v>
      </c>
      <c r="B568" s="1" t="s">
        <v>2</v>
      </c>
      <c r="C568" s="1" t="s">
        <v>16</v>
      </c>
      <c r="D568" s="1" t="s">
        <v>20</v>
      </c>
      <c r="E568">
        <v>256</v>
      </c>
      <c r="F568" s="1">
        <f>VLOOKUP(jablka[[#This Row],[Nazwa]],cennik[],2,0) * jablka[[#This Row],[sprzedaż]]</f>
        <v>819.2</v>
      </c>
    </row>
    <row r="569" spans="1:6" x14ac:dyDescent="0.25">
      <c r="A569" s="2">
        <v>44646</v>
      </c>
      <c r="B569" s="1" t="s">
        <v>0</v>
      </c>
      <c r="C569" s="1" t="s">
        <v>16</v>
      </c>
      <c r="D569" s="1" t="s">
        <v>42</v>
      </c>
      <c r="E569">
        <v>474</v>
      </c>
      <c r="F569" s="1">
        <f>VLOOKUP(jablka[[#This Row],[Nazwa]],cennik[],2,0) * jablka[[#This Row],[sprzedaż]]</f>
        <v>1374.6</v>
      </c>
    </row>
    <row r="570" spans="1:6" x14ac:dyDescent="0.25">
      <c r="A570" s="2">
        <v>44646</v>
      </c>
      <c r="B570" s="1" t="s">
        <v>2</v>
      </c>
      <c r="C570" s="1" t="s">
        <v>16</v>
      </c>
      <c r="D570" s="1" t="s">
        <v>26</v>
      </c>
      <c r="E570">
        <v>216</v>
      </c>
      <c r="F570" s="1">
        <f>VLOOKUP(jablka[[#This Row],[Nazwa]],cennik[],2,0) * jablka[[#This Row],[sprzedaż]]</f>
        <v>691.2</v>
      </c>
    </row>
    <row r="571" spans="1:6" x14ac:dyDescent="0.25">
      <c r="A571" s="2">
        <v>44648</v>
      </c>
      <c r="B571" s="1" t="s">
        <v>2</v>
      </c>
      <c r="C571" s="1" t="s">
        <v>16</v>
      </c>
      <c r="D571" s="1" t="s">
        <v>50</v>
      </c>
      <c r="E571">
        <v>351</v>
      </c>
      <c r="F571" s="1">
        <f>VLOOKUP(jablka[[#This Row],[Nazwa]],cennik[],2,0) * jablka[[#This Row],[sprzedaż]]</f>
        <v>1123.2</v>
      </c>
    </row>
    <row r="572" spans="1:6" x14ac:dyDescent="0.25">
      <c r="A572" s="2">
        <v>44648</v>
      </c>
      <c r="B572" s="1" t="s">
        <v>7</v>
      </c>
      <c r="C572" s="1" t="s">
        <v>16</v>
      </c>
      <c r="D572" s="1" t="s">
        <v>57</v>
      </c>
      <c r="E572">
        <v>498</v>
      </c>
      <c r="F572" s="1">
        <f>VLOOKUP(jablka[[#This Row],[Nazwa]],cennik[],2,0) * jablka[[#This Row],[sprzedaż]]</f>
        <v>1693.2</v>
      </c>
    </row>
    <row r="573" spans="1:6" x14ac:dyDescent="0.25">
      <c r="A573" s="2">
        <v>44648</v>
      </c>
      <c r="B573" s="1" t="s">
        <v>4</v>
      </c>
      <c r="C573" s="1" t="s">
        <v>16</v>
      </c>
      <c r="D573" s="1" t="s">
        <v>51</v>
      </c>
      <c r="E573">
        <v>682</v>
      </c>
      <c r="F573" s="1">
        <f>VLOOKUP(jablka[[#This Row],[Nazwa]],cennik[],2,0) * jablka[[#This Row],[sprzedaż]]</f>
        <v>2318.7999999999997</v>
      </c>
    </row>
    <row r="574" spans="1:6" x14ac:dyDescent="0.25">
      <c r="A574" s="2">
        <v>44648</v>
      </c>
      <c r="B574" s="1" t="s">
        <v>10</v>
      </c>
      <c r="C574" s="1" t="s">
        <v>16</v>
      </c>
      <c r="D574" s="1" t="s">
        <v>32</v>
      </c>
      <c r="E574">
        <v>329</v>
      </c>
      <c r="F574" s="1">
        <f>VLOOKUP(jablka[[#This Row],[Nazwa]],cennik[],2,0) * jablka[[#This Row],[sprzedaż]]</f>
        <v>1118.5999999999999</v>
      </c>
    </row>
    <row r="575" spans="1:6" x14ac:dyDescent="0.25">
      <c r="A575" s="2">
        <v>44648</v>
      </c>
      <c r="B575" s="1" t="s">
        <v>5</v>
      </c>
      <c r="C575" s="1" t="s">
        <v>16</v>
      </c>
      <c r="D575" s="1" t="s">
        <v>34</v>
      </c>
      <c r="E575">
        <v>234</v>
      </c>
      <c r="F575" s="1">
        <f>VLOOKUP(jablka[[#This Row],[Nazwa]],cennik[],2,0) * jablka[[#This Row],[sprzedaż]]</f>
        <v>795.6</v>
      </c>
    </row>
    <row r="576" spans="1:6" x14ac:dyDescent="0.25">
      <c r="A576" s="2">
        <v>44648</v>
      </c>
      <c r="B576" s="1" t="s">
        <v>6</v>
      </c>
      <c r="C576" s="1" t="s">
        <v>16</v>
      </c>
      <c r="D576" s="1" t="s">
        <v>45</v>
      </c>
      <c r="E576">
        <v>335</v>
      </c>
      <c r="F576" s="1">
        <f>VLOOKUP(jablka[[#This Row],[Nazwa]],cennik[],2,0) * jablka[[#This Row],[sprzedaż]]</f>
        <v>1139</v>
      </c>
    </row>
    <row r="577" spans="1:6" x14ac:dyDescent="0.25">
      <c r="A577" s="2">
        <v>44648</v>
      </c>
      <c r="B577" s="1" t="s">
        <v>7</v>
      </c>
      <c r="C577" s="1" t="s">
        <v>16</v>
      </c>
      <c r="D577" s="1" t="s">
        <v>31</v>
      </c>
      <c r="E577">
        <v>540</v>
      </c>
      <c r="F577" s="1">
        <f>VLOOKUP(jablka[[#This Row],[Nazwa]],cennik[],2,0) * jablka[[#This Row],[sprzedaż]]</f>
        <v>1836</v>
      </c>
    </row>
    <row r="578" spans="1:6" x14ac:dyDescent="0.25">
      <c r="A578" s="2">
        <v>44648</v>
      </c>
      <c r="B578" s="1" t="s">
        <v>15</v>
      </c>
      <c r="C578" s="1" t="s">
        <v>16</v>
      </c>
      <c r="D578" s="1" t="s">
        <v>44</v>
      </c>
      <c r="E578">
        <v>580</v>
      </c>
      <c r="F578" s="1">
        <f>VLOOKUP(jablka[[#This Row],[Nazwa]],cennik[],2,0) * jablka[[#This Row],[sprzedaż]]</f>
        <v>1392</v>
      </c>
    </row>
    <row r="579" spans="1:6" x14ac:dyDescent="0.25">
      <c r="A579" s="2">
        <v>44648</v>
      </c>
      <c r="B579" s="1" t="s">
        <v>6</v>
      </c>
      <c r="C579" s="1" t="s">
        <v>16</v>
      </c>
      <c r="D579" s="1" t="s">
        <v>58</v>
      </c>
      <c r="E579">
        <v>269</v>
      </c>
      <c r="F579" s="1">
        <f>VLOOKUP(jablka[[#This Row],[Nazwa]],cennik[],2,0) * jablka[[#This Row],[sprzedaż]]</f>
        <v>914.6</v>
      </c>
    </row>
    <row r="580" spans="1:6" x14ac:dyDescent="0.25">
      <c r="A580" s="2">
        <v>44648</v>
      </c>
      <c r="B580" s="1" t="s">
        <v>4</v>
      </c>
      <c r="C580" s="1" t="s">
        <v>16</v>
      </c>
      <c r="D580" s="1" t="s">
        <v>19</v>
      </c>
      <c r="E580">
        <v>475</v>
      </c>
      <c r="F580" s="1">
        <f>VLOOKUP(jablka[[#This Row],[Nazwa]],cennik[],2,0) * jablka[[#This Row],[sprzedaż]]</f>
        <v>1615</v>
      </c>
    </row>
    <row r="581" spans="1:6" x14ac:dyDescent="0.25">
      <c r="A581" s="2">
        <v>44648</v>
      </c>
      <c r="B581" s="1" t="s">
        <v>8</v>
      </c>
      <c r="C581" s="1" t="s">
        <v>16</v>
      </c>
      <c r="D581" s="1" t="s">
        <v>25</v>
      </c>
      <c r="E581">
        <v>466</v>
      </c>
      <c r="F581" s="1">
        <f>VLOOKUP(jablka[[#This Row],[Nazwa]],cennik[],2,0) * jablka[[#This Row],[sprzedaż]]</f>
        <v>1631</v>
      </c>
    </row>
    <row r="582" spans="1:6" x14ac:dyDescent="0.25">
      <c r="A582" s="2">
        <v>44648</v>
      </c>
      <c r="B582" s="1" t="s">
        <v>5</v>
      </c>
      <c r="C582" s="1" t="s">
        <v>16</v>
      </c>
      <c r="D582" s="1" t="s">
        <v>34</v>
      </c>
      <c r="E582">
        <v>22</v>
      </c>
      <c r="F582" s="1">
        <f>VLOOKUP(jablka[[#This Row],[Nazwa]],cennik[],2,0) * jablka[[#This Row],[sprzedaż]]</f>
        <v>74.8</v>
      </c>
    </row>
    <row r="583" spans="1:6" x14ac:dyDescent="0.25">
      <c r="A583" s="2">
        <v>44648</v>
      </c>
      <c r="B583" s="1" t="s">
        <v>5</v>
      </c>
      <c r="C583" s="1" t="s">
        <v>16</v>
      </c>
      <c r="D583" s="1" t="s">
        <v>37</v>
      </c>
      <c r="E583">
        <v>407</v>
      </c>
      <c r="F583" s="1">
        <f>VLOOKUP(jablka[[#This Row],[Nazwa]],cennik[],2,0) * jablka[[#This Row],[sprzedaż]]</f>
        <v>1383.8</v>
      </c>
    </row>
    <row r="584" spans="1:6" x14ac:dyDescent="0.25">
      <c r="A584" s="2">
        <v>44648</v>
      </c>
      <c r="B584" s="1" t="s">
        <v>5</v>
      </c>
      <c r="C584" s="1" t="s">
        <v>16</v>
      </c>
      <c r="D584" s="1" t="s">
        <v>35</v>
      </c>
      <c r="E584">
        <v>417</v>
      </c>
      <c r="F584" s="1">
        <f>VLOOKUP(jablka[[#This Row],[Nazwa]],cennik[],2,0) * jablka[[#This Row],[sprzedaż]]</f>
        <v>1417.8</v>
      </c>
    </row>
    <row r="585" spans="1:6" x14ac:dyDescent="0.25">
      <c r="A585" s="2">
        <v>44649</v>
      </c>
      <c r="B585" s="1" t="s">
        <v>15</v>
      </c>
      <c r="C585" s="1" t="s">
        <v>16</v>
      </c>
      <c r="D585" s="1" t="s">
        <v>40</v>
      </c>
      <c r="E585">
        <v>483</v>
      </c>
      <c r="F585" s="1">
        <f>VLOOKUP(jablka[[#This Row],[Nazwa]],cennik[],2,0) * jablka[[#This Row],[sprzedaż]]</f>
        <v>1159.2</v>
      </c>
    </row>
    <row r="586" spans="1:6" x14ac:dyDescent="0.25">
      <c r="A586" s="2">
        <v>44649</v>
      </c>
      <c r="B586" s="1" t="s">
        <v>8</v>
      </c>
      <c r="C586" s="1" t="s">
        <v>16</v>
      </c>
      <c r="D586" s="1" t="s">
        <v>52</v>
      </c>
      <c r="E586">
        <v>291</v>
      </c>
      <c r="F586" s="1">
        <f>VLOOKUP(jablka[[#This Row],[Nazwa]],cennik[],2,0) * jablka[[#This Row],[sprzedaż]]</f>
        <v>1018.5</v>
      </c>
    </row>
    <row r="587" spans="1:6" x14ac:dyDescent="0.25">
      <c r="A587" s="2">
        <v>44649</v>
      </c>
      <c r="B587" s="1" t="s">
        <v>5</v>
      </c>
      <c r="C587" s="1" t="s">
        <v>16</v>
      </c>
      <c r="D587" s="1" t="s">
        <v>41</v>
      </c>
      <c r="E587">
        <v>289</v>
      </c>
      <c r="F587" s="1">
        <f>VLOOKUP(jablka[[#This Row],[Nazwa]],cennik[],2,0) * jablka[[#This Row],[sprzedaż]]</f>
        <v>982.6</v>
      </c>
    </row>
    <row r="588" spans="1:6" x14ac:dyDescent="0.25">
      <c r="A588" s="2">
        <v>44649</v>
      </c>
      <c r="B588" s="1" t="s">
        <v>0</v>
      </c>
      <c r="C588" s="1" t="s">
        <v>16</v>
      </c>
      <c r="D588" s="1" t="s">
        <v>23</v>
      </c>
      <c r="E588">
        <v>18</v>
      </c>
      <c r="F588" s="1">
        <f>VLOOKUP(jablka[[#This Row],[Nazwa]],cennik[],2,0) * jablka[[#This Row],[sprzedaż]]</f>
        <v>52.199999999999996</v>
      </c>
    </row>
    <row r="589" spans="1:6" x14ac:dyDescent="0.25">
      <c r="A589" s="2">
        <v>44649</v>
      </c>
      <c r="B589" s="1" t="s">
        <v>2</v>
      </c>
      <c r="C589" s="1" t="s">
        <v>16</v>
      </c>
      <c r="D589" s="1" t="s">
        <v>36</v>
      </c>
      <c r="E589">
        <v>466</v>
      </c>
      <c r="F589" s="1">
        <f>VLOOKUP(jablka[[#This Row],[Nazwa]],cennik[],2,0) * jablka[[#This Row],[sprzedaż]]</f>
        <v>1491.2</v>
      </c>
    </row>
    <row r="590" spans="1:6" x14ac:dyDescent="0.25">
      <c r="A590" s="2">
        <v>44649</v>
      </c>
      <c r="B590" s="1" t="s">
        <v>4</v>
      </c>
      <c r="C590" s="1" t="s">
        <v>16</v>
      </c>
      <c r="D590" s="1" t="s">
        <v>60</v>
      </c>
      <c r="E590">
        <v>722</v>
      </c>
      <c r="F590" s="1">
        <f>VLOOKUP(jablka[[#This Row],[Nazwa]],cennik[],2,0) * jablka[[#This Row],[sprzedaż]]</f>
        <v>2454.7999999999997</v>
      </c>
    </row>
    <row r="591" spans="1:6" x14ac:dyDescent="0.25">
      <c r="A591" s="2">
        <v>44649</v>
      </c>
      <c r="B591" s="1" t="s">
        <v>8</v>
      </c>
      <c r="C591" s="1" t="s">
        <v>16</v>
      </c>
      <c r="D591" s="1" t="s">
        <v>54</v>
      </c>
      <c r="E591">
        <v>695</v>
      </c>
      <c r="F591" s="1">
        <f>VLOOKUP(jablka[[#This Row],[Nazwa]],cennik[],2,0) * jablka[[#This Row],[sprzedaż]]</f>
        <v>2432.5</v>
      </c>
    </row>
    <row r="592" spans="1:6" x14ac:dyDescent="0.25">
      <c r="A592" s="2">
        <v>44649</v>
      </c>
      <c r="B592" s="1" t="s">
        <v>2</v>
      </c>
      <c r="C592" s="1" t="s">
        <v>16</v>
      </c>
      <c r="D592" s="1" t="s">
        <v>43</v>
      </c>
      <c r="E592">
        <v>273</v>
      </c>
      <c r="F592" s="1">
        <f>VLOOKUP(jablka[[#This Row],[Nazwa]],cennik[],2,0) * jablka[[#This Row],[sprzedaż]]</f>
        <v>873.6</v>
      </c>
    </row>
    <row r="593" spans="1:6" x14ac:dyDescent="0.25">
      <c r="A593" s="2">
        <v>44649</v>
      </c>
      <c r="B593" s="1" t="s">
        <v>8</v>
      </c>
      <c r="C593" s="1" t="s">
        <v>16</v>
      </c>
      <c r="D593" s="1" t="s">
        <v>50</v>
      </c>
      <c r="E593">
        <v>593</v>
      </c>
      <c r="F593" s="1">
        <f>VLOOKUP(jablka[[#This Row],[Nazwa]],cennik[],2,0) * jablka[[#This Row],[sprzedaż]]</f>
        <v>2075.5</v>
      </c>
    </row>
    <row r="594" spans="1:6" x14ac:dyDescent="0.25">
      <c r="A594" s="2">
        <v>44649</v>
      </c>
      <c r="B594" s="1" t="s">
        <v>8</v>
      </c>
      <c r="C594" s="1" t="s">
        <v>16</v>
      </c>
      <c r="D594" s="1" t="s">
        <v>61</v>
      </c>
      <c r="E594">
        <v>505</v>
      </c>
      <c r="F594" s="1">
        <f>VLOOKUP(jablka[[#This Row],[Nazwa]],cennik[],2,0) * jablka[[#This Row],[sprzedaż]]</f>
        <v>1767.5</v>
      </c>
    </row>
    <row r="595" spans="1:6" x14ac:dyDescent="0.25">
      <c r="A595" s="2">
        <v>44649</v>
      </c>
      <c r="B595" s="1" t="s">
        <v>4</v>
      </c>
      <c r="C595" s="1" t="s">
        <v>16</v>
      </c>
      <c r="D595" s="1" t="s">
        <v>55</v>
      </c>
      <c r="E595">
        <v>535</v>
      </c>
      <c r="F595" s="1">
        <f>VLOOKUP(jablka[[#This Row],[Nazwa]],cennik[],2,0) * jablka[[#This Row],[sprzedaż]]</f>
        <v>1819</v>
      </c>
    </row>
    <row r="596" spans="1:6" x14ac:dyDescent="0.25">
      <c r="A596" s="2">
        <v>44649</v>
      </c>
      <c r="B596" s="1" t="s">
        <v>8</v>
      </c>
      <c r="C596" s="1" t="s">
        <v>16</v>
      </c>
      <c r="D596" s="1" t="s">
        <v>65</v>
      </c>
      <c r="E596">
        <v>229</v>
      </c>
      <c r="F596" s="1">
        <f>VLOOKUP(jablka[[#This Row],[Nazwa]],cennik[],2,0) * jablka[[#This Row],[sprzedaż]]</f>
        <v>801.5</v>
      </c>
    </row>
    <row r="597" spans="1:6" x14ac:dyDescent="0.25">
      <c r="A597" s="2">
        <v>44649</v>
      </c>
      <c r="B597" s="1" t="s">
        <v>7</v>
      </c>
      <c r="C597" s="1" t="s">
        <v>16</v>
      </c>
      <c r="D597" s="1" t="s">
        <v>48</v>
      </c>
      <c r="E597">
        <v>677</v>
      </c>
      <c r="F597" s="1">
        <f>VLOOKUP(jablka[[#This Row],[Nazwa]],cennik[],2,0) * jablka[[#This Row],[sprzedaż]]</f>
        <v>2301.7999999999997</v>
      </c>
    </row>
    <row r="598" spans="1:6" x14ac:dyDescent="0.25">
      <c r="A598" s="2">
        <v>44650</v>
      </c>
      <c r="B598" s="1" t="s">
        <v>4</v>
      </c>
      <c r="C598" s="1" t="s">
        <v>16</v>
      </c>
      <c r="D598" s="1" t="s">
        <v>21</v>
      </c>
      <c r="E598">
        <v>384</v>
      </c>
      <c r="F598" s="1">
        <f>VLOOKUP(jablka[[#This Row],[Nazwa]],cennik[],2,0) * jablka[[#This Row],[sprzedaż]]</f>
        <v>1305.5999999999999</v>
      </c>
    </row>
    <row r="599" spans="1:6" x14ac:dyDescent="0.25">
      <c r="A599" s="2">
        <v>44650</v>
      </c>
      <c r="B599" s="1" t="s">
        <v>10</v>
      </c>
      <c r="C599" s="1" t="s">
        <v>16</v>
      </c>
      <c r="D599" s="1" t="s">
        <v>49</v>
      </c>
      <c r="E599">
        <v>323</v>
      </c>
      <c r="F599" s="1">
        <f>VLOOKUP(jablka[[#This Row],[Nazwa]],cennik[],2,0) * jablka[[#This Row],[sprzedaż]]</f>
        <v>1098.2</v>
      </c>
    </row>
    <row r="600" spans="1:6" x14ac:dyDescent="0.25">
      <c r="A600" s="2">
        <v>44650</v>
      </c>
      <c r="B600" s="1" t="s">
        <v>2</v>
      </c>
      <c r="C600" s="1" t="s">
        <v>16</v>
      </c>
      <c r="D600" s="1" t="s">
        <v>26</v>
      </c>
      <c r="E600">
        <v>218</v>
      </c>
      <c r="F600" s="1">
        <f>VLOOKUP(jablka[[#This Row],[Nazwa]],cennik[],2,0) * jablka[[#This Row],[sprzedaż]]</f>
        <v>697.6</v>
      </c>
    </row>
    <row r="601" spans="1:6" x14ac:dyDescent="0.25">
      <c r="A601" s="2">
        <v>44650</v>
      </c>
      <c r="B601" s="1" t="s">
        <v>5</v>
      </c>
      <c r="C601" s="1" t="s">
        <v>16</v>
      </c>
      <c r="D601" s="1" t="s">
        <v>30</v>
      </c>
      <c r="E601">
        <v>218</v>
      </c>
      <c r="F601" s="1">
        <f>VLOOKUP(jablka[[#This Row],[Nazwa]],cennik[],2,0) * jablka[[#This Row],[sprzedaż]]</f>
        <v>741.19999999999993</v>
      </c>
    </row>
    <row r="602" spans="1:6" x14ac:dyDescent="0.25">
      <c r="A602" s="2">
        <v>44651</v>
      </c>
      <c r="B602" s="1" t="s">
        <v>10</v>
      </c>
      <c r="C602" s="1" t="s">
        <v>16</v>
      </c>
      <c r="D602" s="1" t="s">
        <v>50</v>
      </c>
      <c r="E602">
        <v>163</v>
      </c>
      <c r="F602" s="1">
        <f>VLOOKUP(jablka[[#This Row],[Nazwa]],cennik[],2,0) * jablka[[#This Row],[sprzedaż]]</f>
        <v>554.19999999999993</v>
      </c>
    </row>
    <row r="603" spans="1:6" x14ac:dyDescent="0.25">
      <c r="A603" s="2">
        <v>44651</v>
      </c>
      <c r="B603" s="1" t="s">
        <v>0</v>
      </c>
      <c r="C603" s="1" t="s">
        <v>16</v>
      </c>
      <c r="D603" s="1" t="s">
        <v>25</v>
      </c>
      <c r="E603">
        <v>83</v>
      </c>
      <c r="F603" s="1">
        <f>VLOOKUP(jablka[[#This Row],[Nazwa]],cennik[],2,0) * jablka[[#This Row],[sprzedaż]]</f>
        <v>240.7</v>
      </c>
    </row>
    <row r="604" spans="1:6" x14ac:dyDescent="0.25">
      <c r="A604" s="2">
        <v>44651</v>
      </c>
      <c r="B604" s="1" t="s">
        <v>4</v>
      </c>
      <c r="C604" s="1" t="s">
        <v>16</v>
      </c>
      <c r="D604" s="1" t="s">
        <v>63</v>
      </c>
      <c r="E604">
        <v>361</v>
      </c>
      <c r="F604" s="1">
        <f>VLOOKUP(jablka[[#This Row],[Nazwa]],cennik[],2,0) * jablka[[#This Row],[sprzedaż]]</f>
        <v>1227.3999999999999</v>
      </c>
    </row>
    <row r="605" spans="1:6" x14ac:dyDescent="0.25">
      <c r="A605" s="2">
        <v>44651</v>
      </c>
      <c r="B605" s="1" t="s">
        <v>0</v>
      </c>
      <c r="C605" s="1" t="s">
        <v>16</v>
      </c>
      <c r="D605" s="1" t="s">
        <v>57</v>
      </c>
      <c r="E605">
        <v>191</v>
      </c>
      <c r="F605" s="1">
        <f>VLOOKUP(jablka[[#This Row],[Nazwa]],cennik[],2,0) * jablka[[#This Row],[sprzedaż]]</f>
        <v>553.9</v>
      </c>
    </row>
    <row r="606" spans="1:6" x14ac:dyDescent="0.25">
      <c r="A606" s="2">
        <v>44651</v>
      </c>
      <c r="B606" s="1" t="s">
        <v>2</v>
      </c>
      <c r="C606" s="1" t="s">
        <v>16</v>
      </c>
      <c r="D606" s="1" t="s">
        <v>49</v>
      </c>
      <c r="E606">
        <v>338</v>
      </c>
      <c r="F606" s="1">
        <f>VLOOKUP(jablka[[#This Row],[Nazwa]],cennik[],2,0) * jablka[[#This Row],[sprzedaż]]</f>
        <v>1081.6000000000001</v>
      </c>
    </row>
    <row r="607" spans="1:6" x14ac:dyDescent="0.25">
      <c r="A607" s="2">
        <v>44651</v>
      </c>
      <c r="B607" s="1" t="s">
        <v>5</v>
      </c>
      <c r="C607" s="1" t="s">
        <v>16</v>
      </c>
      <c r="D607" s="1" t="s">
        <v>65</v>
      </c>
      <c r="E607">
        <v>399</v>
      </c>
      <c r="F607" s="1">
        <f>VLOOKUP(jablka[[#This Row],[Nazwa]],cennik[],2,0) * jablka[[#This Row],[sprzedaż]]</f>
        <v>1356.6</v>
      </c>
    </row>
    <row r="608" spans="1:6" x14ac:dyDescent="0.25">
      <c r="A608" s="2">
        <v>44651</v>
      </c>
      <c r="B608" s="1" t="s">
        <v>6</v>
      </c>
      <c r="C608" s="1" t="s">
        <v>16</v>
      </c>
      <c r="D608" s="1" t="s">
        <v>22</v>
      </c>
      <c r="E608">
        <v>294</v>
      </c>
      <c r="F608" s="1">
        <f>VLOOKUP(jablka[[#This Row],[Nazwa]],cennik[],2,0) * jablka[[#This Row],[sprzedaż]]</f>
        <v>999.6</v>
      </c>
    </row>
    <row r="609" spans="1:6" x14ac:dyDescent="0.25">
      <c r="A609" s="2">
        <v>44651</v>
      </c>
      <c r="B609" s="1" t="s">
        <v>7</v>
      </c>
      <c r="C609" s="1" t="s">
        <v>16</v>
      </c>
      <c r="D609" s="1" t="s">
        <v>29</v>
      </c>
      <c r="E609">
        <v>634</v>
      </c>
      <c r="F609" s="1">
        <f>VLOOKUP(jablka[[#This Row],[Nazwa]],cennik[],2,0) * jablka[[#This Row],[sprzedaż]]</f>
        <v>2155.6</v>
      </c>
    </row>
    <row r="610" spans="1:6" x14ac:dyDescent="0.25">
      <c r="A610" s="2">
        <v>44651</v>
      </c>
      <c r="B610" s="1" t="s">
        <v>8</v>
      </c>
      <c r="C610" s="1" t="s">
        <v>16</v>
      </c>
      <c r="D610" s="1" t="s">
        <v>41</v>
      </c>
      <c r="E610">
        <v>616</v>
      </c>
      <c r="F610" s="1">
        <f>VLOOKUP(jablka[[#This Row],[Nazwa]],cennik[],2,0) * jablka[[#This Row],[sprzedaż]]</f>
        <v>2156</v>
      </c>
    </row>
    <row r="611" spans="1:6" x14ac:dyDescent="0.25">
      <c r="A611" s="2">
        <v>44652</v>
      </c>
      <c r="B611" s="1" t="s">
        <v>4</v>
      </c>
      <c r="C611" s="1" t="s">
        <v>16</v>
      </c>
      <c r="D611" s="1" t="s">
        <v>26</v>
      </c>
      <c r="E611">
        <v>420</v>
      </c>
      <c r="F611" s="1">
        <f>VLOOKUP(jablka[[#This Row],[Nazwa]],cennik[],2,0) * jablka[[#This Row],[sprzedaż]]</f>
        <v>1428</v>
      </c>
    </row>
    <row r="612" spans="1:6" x14ac:dyDescent="0.25">
      <c r="A612" s="2">
        <v>44652</v>
      </c>
      <c r="B612" s="1" t="s">
        <v>7</v>
      </c>
      <c r="C612" s="1" t="s">
        <v>16</v>
      </c>
      <c r="D612" s="1" t="s">
        <v>18</v>
      </c>
      <c r="E612">
        <v>284</v>
      </c>
      <c r="F612" s="1">
        <f>VLOOKUP(jablka[[#This Row],[Nazwa]],cennik[],2,0) * jablka[[#This Row],[sprzedaż]]</f>
        <v>965.6</v>
      </c>
    </row>
    <row r="613" spans="1:6" x14ac:dyDescent="0.25">
      <c r="A613" s="2">
        <v>44652</v>
      </c>
      <c r="B613" s="1" t="s">
        <v>5</v>
      </c>
      <c r="C613" s="1" t="s">
        <v>16</v>
      </c>
      <c r="D613" s="1" t="s">
        <v>60</v>
      </c>
      <c r="E613">
        <v>129</v>
      </c>
      <c r="F613" s="1">
        <f>VLOOKUP(jablka[[#This Row],[Nazwa]],cennik[],2,0) * jablka[[#This Row],[sprzedaż]]</f>
        <v>438.59999999999997</v>
      </c>
    </row>
    <row r="614" spans="1:6" x14ac:dyDescent="0.25">
      <c r="A614" s="2">
        <v>44652</v>
      </c>
      <c r="B614" s="1" t="s">
        <v>10</v>
      </c>
      <c r="C614" s="1" t="s">
        <v>16</v>
      </c>
      <c r="D614" s="1" t="s">
        <v>63</v>
      </c>
      <c r="E614">
        <v>343</v>
      </c>
      <c r="F614" s="1">
        <f>VLOOKUP(jablka[[#This Row],[Nazwa]],cennik[],2,0) * jablka[[#This Row],[sprzedaż]]</f>
        <v>1166.2</v>
      </c>
    </row>
    <row r="615" spans="1:6" x14ac:dyDescent="0.25">
      <c r="A615" s="2">
        <v>44652</v>
      </c>
      <c r="B615" s="1" t="s">
        <v>10</v>
      </c>
      <c r="C615" s="1" t="s">
        <v>16</v>
      </c>
      <c r="D615" s="1" t="s">
        <v>52</v>
      </c>
      <c r="E615">
        <v>409</v>
      </c>
      <c r="F615" s="1">
        <f>VLOOKUP(jablka[[#This Row],[Nazwa]],cennik[],2,0) * jablka[[#This Row],[sprzedaż]]</f>
        <v>1390.6</v>
      </c>
    </row>
    <row r="616" spans="1:6" x14ac:dyDescent="0.25">
      <c r="A616" s="2">
        <v>44652</v>
      </c>
      <c r="B616" s="1" t="s">
        <v>4</v>
      </c>
      <c r="C616" s="1" t="s">
        <v>16</v>
      </c>
      <c r="D616" s="1" t="s">
        <v>22</v>
      </c>
      <c r="E616">
        <v>609</v>
      </c>
      <c r="F616" s="1">
        <f>VLOOKUP(jablka[[#This Row],[Nazwa]],cennik[],2,0) * jablka[[#This Row],[sprzedaż]]</f>
        <v>2070.6</v>
      </c>
    </row>
    <row r="617" spans="1:6" x14ac:dyDescent="0.25">
      <c r="A617" s="2">
        <v>44652</v>
      </c>
      <c r="B617" s="1" t="s">
        <v>7</v>
      </c>
      <c r="C617" s="1" t="s">
        <v>16</v>
      </c>
      <c r="D617" s="1" t="s">
        <v>35</v>
      </c>
      <c r="E617">
        <v>389</v>
      </c>
      <c r="F617" s="1">
        <f>VLOOKUP(jablka[[#This Row],[Nazwa]],cennik[],2,0) * jablka[[#This Row],[sprzedaż]]</f>
        <v>1322.6</v>
      </c>
    </row>
    <row r="618" spans="1:6" x14ac:dyDescent="0.25">
      <c r="A618" s="2">
        <v>44652</v>
      </c>
      <c r="B618" s="1" t="s">
        <v>4</v>
      </c>
      <c r="C618" s="1" t="s">
        <v>16</v>
      </c>
      <c r="D618" s="1" t="s">
        <v>42</v>
      </c>
      <c r="E618">
        <v>776</v>
      </c>
      <c r="F618" s="1">
        <f>VLOOKUP(jablka[[#This Row],[Nazwa]],cennik[],2,0) * jablka[[#This Row],[sprzedaż]]</f>
        <v>2638.4</v>
      </c>
    </row>
    <row r="619" spans="1:6" x14ac:dyDescent="0.25">
      <c r="A619" s="2">
        <v>44652</v>
      </c>
      <c r="B619" s="1" t="s">
        <v>5</v>
      </c>
      <c r="C619" s="1" t="s">
        <v>16</v>
      </c>
      <c r="D619" s="1" t="s">
        <v>25</v>
      </c>
      <c r="E619">
        <v>399</v>
      </c>
      <c r="F619" s="1">
        <f>VLOOKUP(jablka[[#This Row],[Nazwa]],cennik[],2,0) * jablka[[#This Row],[sprzedaż]]</f>
        <v>1356.6</v>
      </c>
    </row>
    <row r="620" spans="1:6" x14ac:dyDescent="0.25">
      <c r="A620" s="2">
        <v>44652</v>
      </c>
      <c r="B620" s="1" t="s">
        <v>0</v>
      </c>
      <c r="C620" s="1" t="s">
        <v>16</v>
      </c>
      <c r="D620" s="1" t="s">
        <v>53</v>
      </c>
      <c r="E620">
        <v>17</v>
      </c>
      <c r="F620" s="1">
        <f>VLOOKUP(jablka[[#This Row],[Nazwa]],cennik[],2,0) * jablka[[#This Row],[sprzedaż]]</f>
        <v>49.3</v>
      </c>
    </row>
    <row r="621" spans="1:6" x14ac:dyDescent="0.25">
      <c r="A621" s="2">
        <v>44653</v>
      </c>
      <c r="B621" s="1" t="s">
        <v>15</v>
      </c>
      <c r="C621" s="1" t="s">
        <v>16</v>
      </c>
      <c r="D621" s="1" t="s">
        <v>63</v>
      </c>
      <c r="E621">
        <v>220</v>
      </c>
      <c r="F621" s="1">
        <f>VLOOKUP(jablka[[#This Row],[Nazwa]],cennik[],2,0) * jablka[[#This Row],[sprzedaż]]</f>
        <v>528</v>
      </c>
    </row>
    <row r="622" spans="1:6" x14ac:dyDescent="0.25">
      <c r="A622" s="2">
        <v>44653</v>
      </c>
      <c r="B622" s="1" t="s">
        <v>0</v>
      </c>
      <c r="C622" s="1" t="s">
        <v>16</v>
      </c>
      <c r="D622" s="1" t="s">
        <v>46</v>
      </c>
      <c r="E622">
        <v>258</v>
      </c>
      <c r="F622" s="1">
        <f>VLOOKUP(jablka[[#This Row],[Nazwa]],cennik[],2,0) * jablka[[#This Row],[sprzedaż]]</f>
        <v>748.19999999999993</v>
      </c>
    </row>
    <row r="623" spans="1:6" x14ac:dyDescent="0.25">
      <c r="A623" s="2">
        <v>44653</v>
      </c>
      <c r="B623" s="1" t="s">
        <v>4</v>
      </c>
      <c r="C623" s="1" t="s">
        <v>16</v>
      </c>
      <c r="D623" s="1" t="s">
        <v>25</v>
      </c>
      <c r="E623">
        <v>406</v>
      </c>
      <c r="F623" s="1">
        <f>VLOOKUP(jablka[[#This Row],[Nazwa]],cennik[],2,0) * jablka[[#This Row],[sprzedaż]]</f>
        <v>1380.3999999999999</v>
      </c>
    </row>
    <row r="624" spans="1:6" x14ac:dyDescent="0.25">
      <c r="A624" s="2">
        <v>44653</v>
      </c>
      <c r="B624" s="1" t="s">
        <v>4</v>
      </c>
      <c r="C624" s="1" t="s">
        <v>16</v>
      </c>
      <c r="D624" s="1" t="s">
        <v>28</v>
      </c>
      <c r="E624">
        <v>402</v>
      </c>
      <c r="F624" s="1">
        <f>VLOOKUP(jablka[[#This Row],[Nazwa]],cennik[],2,0) * jablka[[#This Row],[sprzedaż]]</f>
        <v>1366.8</v>
      </c>
    </row>
    <row r="625" spans="1:6" x14ac:dyDescent="0.25">
      <c r="A625" s="2">
        <v>44653</v>
      </c>
      <c r="B625" s="1" t="s">
        <v>10</v>
      </c>
      <c r="C625" s="1" t="s">
        <v>16</v>
      </c>
      <c r="D625" s="1" t="s">
        <v>57</v>
      </c>
      <c r="E625">
        <v>264</v>
      </c>
      <c r="F625" s="1">
        <f>VLOOKUP(jablka[[#This Row],[Nazwa]],cennik[],2,0) * jablka[[#This Row],[sprzedaż]]</f>
        <v>897.6</v>
      </c>
    </row>
    <row r="626" spans="1:6" x14ac:dyDescent="0.25">
      <c r="A626" s="2">
        <v>44653</v>
      </c>
      <c r="B626" s="1" t="s">
        <v>5</v>
      </c>
      <c r="C626" s="1" t="s">
        <v>16</v>
      </c>
      <c r="D626" s="1" t="s">
        <v>63</v>
      </c>
      <c r="E626">
        <v>433</v>
      </c>
      <c r="F626" s="1">
        <f>VLOOKUP(jablka[[#This Row],[Nazwa]],cennik[],2,0) * jablka[[#This Row],[sprzedaż]]</f>
        <v>1472.2</v>
      </c>
    </row>
    <row r="627" spans="1:6" x14ac:dyDescent="0.25">
      <c r="A627" s="2">
        <v>44653</v>
      </c>
      <c r="B627" s="1" t="s">
        <v>5</v>
      </c>
      <c r="C627" s="1" t="s">
        <v>16</v>
      </c>
      <c r="D627" s="1" t="s">
        <v>53</v>
      </c>
      <c r="E627">
        <v>161</v>
      </c>
      <c r="F627" s="1">
        <f>VLOOKUP(jablka[[#This Row],[Nazwa]],cennik[],2,0) * jablka[[#This Row],[sprzedaż]]</f>
        <v>547.4</v>
      </c>
    </row>
    <row r="628" spans="1:6" x14ac:dyDescent="0.25">
      <c r="A628" s="2">
        <v>44653</v>
      </c>
      <c r="B628" s="1" t="s">
        <v>8</v>
      </c>
      <c r="C628" s="1" t="s">
        <v>16</v>
      </c>
      <c r="D628" s="1" t="s">
        <v>26</v>
      </c>
      <c r="E628">
        <v>612</v>
      </c>
      <c r="F628" s="1">
        <f>VLOOKUP(jablka[[#This Row],[Nazwa]],cennik[],2,0) * jablka[[#This Row],[sprzedaż]]</f>
        <v>2142</v>
      </c>
    </row>
    <row r="629" spans="1:6" x14ac:dyDescent="0.25">
      <c r="A629" s="2">
        <v>44653</v>
      </c>
      <c r="B629" s="1" t="s">
        <v>8</v>
      </c>
      <c r="C629" s="1" t="s">
        <v>16</v>
      </c>
      <c r="D629" s="1" t="s">
        <v>44</v>
      </c>
      <c r="E629">
        <v>372</v>
      </c>
      <c r="F629" s="1">
        <f>VLOOKUP(jablka[[#This Row],[Nazwa]],cennik[],2,0) * jablka[[#This Row],[sprzedaż]]</f>
        <v>1302</v>
      </c>
    </row>
    <row r="630" spans="1:6" x14ac:dyDescent="0.25">
      <c r="A630" s="2">
        <v>44655</v>
      </c>
      <c r="B630" s="1" t="s">
        <v>8</v>
      </c>
      <c r="C630" s="1" t="s">
        <v>16</v>
      </c>
      <c r="D630" s="1" t="s">
        <v>35</v>
      </c>
      <c r="E630">
        <v>249</v>
      </c>
      <c r="F630" s="1">
        <f>VLOOKUP(jablka[[#This Row],[Nazwa]],cennik[],2,0) * jablka[[#This Row],[sprzedaż]]</f>
        <v>871.5</v>
      </c>
    </row>
    <row r="631" spans="1:6" x14ac:dyDescent="0.25">
      <c r="A631" s="2">
        <v>44655</v>
      </c>
      <c r="B631" s="1" t="s">
        <v>2</v>
      </c>
      <c r="C631" s="1" t="s">
        <v>16</v>
      </c>
      <c r="D631" s="1" t="s">
        <v>42</v>
      </c>
      <c r="E631">
        <v>333</v>
      </c>
      <c r="F631" s="1">
        <f>VLOOKUP(jablka[[#This Row],[Nazwa]],cennik[],2,0) * jablka[[#This Row],[sprzedaż]]</f>
        <v>1065.6000000000001</v>
      </c>
    </row>
    <row r="632" spans="1:6" x14ac:dyDescent="0.25">
      <c r="A632" s="2">
        <v>44655</v>
      </c>
      <c r="B632" s="1" t="s">
        <v>5</v>
      </c>
      <c r="C632" s="1" t="s">
        <v>16</v>
      </c>
      <c r="D632" s="1" t="s">
        <v>42</v>
      </c>
      <c r="E632">
        <v>488</v>
      </c>
      <c r="F632" s="1">
        <f>VLOOKUP(jablka[[#This Row],[Nazwa]],cennik[],2,0) * jablka[[#This Row],[sprzedaż]]</f>
        <v>1659.2</v>
      </c>
    </row>
    <row r="633" spans="1:6" x14ac:dyDescent="0.25">
      <c r="A633" s="2">
        <v>44655</v>
      </c>
      <c r="B633" s="1" t="s">
        <v>0</v>
      </c>
      <c r="C633" s="1" t="s">
        <v>16</v>
      </c>
      <c r="D633" s="1" t="s">
        <v>24</v>
      </c>
      <c r="E633">
        <v>214</v>
      </c>
      <c r="F633" s="1">
        <f>VLOOKUP(jablka[[#This Row],[Nazwa]],cennik[],2,0) * jablka[[#This Row],[sprzedaż]]</f>
        <v>620.6</v>
      </c>
    </row>
    <row r="634" spans="1:6" x14ac:dyDescent="0.25">
      <c r="A634" s="2">
        <v>44655</v>
      </c>
      <c r="B634" s="1" t="s">
        <v>4</v>
      </c>
      <c r="C634" s="1" t="s">
        <v>16</v>
      </c>
      <c r="D634" s="1" t="s">
        <v>20</v>
      </c>
      <c r="E634">
        <v>417</v>
      </c>
      <c r="F634" s="1">
        <f>VLOOKUP(jablka[[#This Row],[Nazwa]],cennik[],2,0) * jablka[[#This Row],[sprzedaż]]</f>
        <v>1417.8</v>
      </c>
    </row>
    <row r="635" spans="1:6" x14ac:dyDescent="0.25">
      <c r="A635" s="2">
        <v>44655</v>
      </c>
      <c r="B635" s="1" t="s">
        <v>7</v>
      </c>
      <c r="C635" s="1" t="s">
        <v>16</v>
      </c>
      <c r="D635" s="1" t="s">
        <v>18</v>
      </c>
      <c r="E635">
        <v>534</v>
      </c>
      <c r="F635" s="1">
        <f>VLOOKUP(jablka[[#This Row],[Nazwa]],cennik[],2,0) * jablka[[#This Row],[sprzedaż]]</f>
        <v>1815.6</v>
      </c>
    </row>
    <row r="636" spans="1:6" x14ac:dyDescent="0.25">
      <c r="A636" s="2">
        <v>44655</v>
      </c>
      <c r="B636" s="1" t="s">
        <v>0</v>
      </c>
      <c r="C636" s="1" t="s">
        <v>16</v>
      </c>
      <c r="D636" s="1" t="s">
        <v>49</v>
      </c>
      <c r="E636">
        <v>477</v>
      </c>
      <c r="F636" s="1">
        <f>VLOOKUP(jablka[[#This Row],[Nazwa]],cennik[],2,0) * jablka[[#This Row],[sprzedaż]]</f>
        <v>1383.3</v>
      </c>
    </row>
    <row r="637" spans="1:6" x14ac:dyDescent="0.25">
      <c r="A637" s="2">
        <v>44655</v>
      </c>
      <c r="B637" s="1" t="s">
        <v>0</v>
      </c>
      <c r="C637" s="1" t="s">
        <v>16</v>
      </c>
      <c r="D637" s="1" t="s">
        <v>20</v>
      </c>
      <c r="E637">
        <v>191</v>
      </c>
      <c r="F637" s="1">
        <f>VLOOKUP(jablka[[#This Row],[Nazwa]],cennik[],2,0) * jablka[[#This Row],[sprzedaż]]</f>
        <v>553.9</v>
      </c>
    </row>
    <row r="638" spans="1:6" x14ac:dyDescent="0.25">
      <c r="A638" s="2">
        <v>44655</v>
      </c>
      <c r="B638" s="1" t="s">
        <v>8</v>
      </c>
      <c r="C638" s="1" t="s">
        <v>16</v>
      </c>
      <c r="D638" s="1" t="s">
        <v>46</v>
      </c>
      <c r="E638">
        <v>358</v>
      </c>
      <c r="F638" s="1">
        <f>VLOOKUP(jablka[[#This Row],[Nazwa]],cennik[],2,0) * jablka[[#This Row],[sprzedaż]]</f>
        <v>1253</v>
      </c>
    </row>
    <row r="639" spans="1:6" x14ac:dyDescent="0.25">
      <c r="A639" s="2">
        <v>44655</v>
      </c>
      <c r="B639" s="1" t="s">
        <v>8</v>
      </c>
      <c r="C639" s="1" t="s">
        <v>16</v>
      </c>
      <c r="D639" s="1" t="s">
        <v>51</v>
      </c>
      <c r="E639">
        <v>517</v>
      </c>
      <c r="F639" s="1">
        <f>VLOOKUP(jablka[[#This Row],[Nazwa]],cennik[],2,0) * jablka[[#This Row],[sprzedaż]]</f>
        <v>1809.5</v>
      </c>
    </row>
    <row r="640" spans="1:6" x14ac:dyDescent="0.25">
      <c r="A640" s="2">
        <v>44655</v>
      </c>
      <c r="B640" s="1" t="s">
        <v>10</v>
      </c>
      <c r="C640" s="1" t="s">
        <v>16</v>
      </c>
      <c r="D640" s="1" t="s">
        <v>26</v>
      </c>
      <c r="E640">
        <v>442</v>
      </c>
      <c r="F640" s="1">
        <f>VLOOKUP(jablka[[#This Row],[Nazwa]],cennik[],2,0) * jablka[[#This Row],[sprzedaż]]</f>
        <v>1502.8</v>
      </c>
    </row>
    <row r="641" spans="1:6" x14ac:dyDescent="0.25">
      <c r="A641" s="2">
        <v>44655</v>
      </c>
      <c r="B641" s="1" t="s">
        <v>10</v>
      </c>
      <c r="C641" s="1" t="s">
        <v>16</v>
      </c>
      <c r="D641" s="1" t="s">
        <v>23</v>
      </c>
      <c r="E641">
        <v>33</v>
      </c>
      <c r="F641" s="1">
        <f>VLOOKUP(jablka[[#This Row],[Nazwa]],cennik[],2,0) * jablka[[#This Row],[sprzedaż]]</f>
        <v>112.2</v>
      </c>
    </row>
    <row r="642" spans="1:6" x14ac:dyDescent="0.25">
      <c r="A642" s="2">
        <v>44655</v>
      </c>
      <c r="B642" s="1" t="s">
        <v>10</v>
      </c>
      <c r="C642" s="1" t="s">
        <v>16</v>
      </c>
      <c r="D642" s="1" t="s">
        <v>53</v>
      </c>
      <c r="E642">
        <v>56</v>
      </c>
      <c r="F642" s="1">
        <f>VLOOKUP(jablka[[#This Row],[Nazwa]],cennik[],2,0) * jablka[[#This Row],[sprzedaż]]</f>
        <v>190.4</v>
      </c>
    </row>
    <row r="643" spans="1:6" x14ac:dyDescent="0.25">
      <c r="A643" s="2">
        <v>44655</v>
      </c>
      <c r="B643" s="1" t="s">
        <v>5</v>
      </c>
      <c r="C643" s="1" t="s">
        <v>16</v>
      </c>
      <c r="D643" s="1" t="s">
        <v>60</v>
      </c>
      <c r="E643">
        <v>60</v>
      </c>
      <c r="F643" s="1">
        <f>VLOOKUP(jablka[[#This Row],[Nazwa]],cennik[],2,0) * jablka[[#This Row],[sprzedaż]]</f>
        <v>204</v>
      </c>
    </row>
    <row r="644" spans="1:6" x14ac:dyDescent="0.25">
      <c r="A644" s="2">
        <v>44655</v>
      </c>
      <c r="B644" s="1" t="s">
        <v>6</v>
      </c>
      <c r="C644" s="1" t="s">
        <v>16</v>
      </c>
      <c r="D644" s="1" t="s">
        <v>26</v>
      </c>
      <c r="E644">
        <v>161</v>
      </c>
      <c r="F644" s="1">
        <f>VLOOKUP(jablka[[#This Row],[Nazwa]],cennik[],2,0) * jablka[[#This Row],[sprzedaż]]</f>
        <v>547.4</v>
      </c>
    </row>
    <row r="645" spans="1:6" x14ac:dyDescent="0.25">
      <c r="A645" s="2">
        <v>44655</v>
      </c>
      <c r="B645" s="1" t="s">
        <v>4</v>
      </c>
      <c r="C645" s="1" t="s">
        <v>16</v>
      </c>
      <c r="D645" s="1" t="s">
        <v>65</v>
      </c>
      <c r="E645">
        <v>624</v>
      </c>
      <c r="F645" s="1">
        <f>VLOOKUP(jablka[[#This Row],[Nazwa]],cennik[],2,0) * jablka[[#This Row],[sprzedaż]]</f>
        <v>2121.6</v>
      </c>
    </row>
    <row r="646" spans="1:6" x14ac:dyDescent="0.25">
      <c r="A646" s="2">
        <v>44656</v>
      </c>
      <c r="B646" s="1" t="s">
        <v>8</v>
      </c>
      <c r="C646" s="1" t="s">
        <v>16</v>
      </c>
      <c r="D646" s="1" t="s">
        <v>28</v>
      </c>
      <c r="E646">
        <v>297</v>
      </c>
      <c r="F646" s="1">
        <f>VLOOKUP(jablka[[#This Row],[Nazwa]],cennik[],2,0) * jablka[[#This Row],[sprzedaż]]</f>
        <v>1039.5</v>
      </c>
    </row>
    <row r="647" spans="1:6" x14ac:dyDescent="0.25">
      <c r="A647" s="2">
        <v>44656</v>
      </c>
      <c r="B647" s="1" t="s">
        <v>4</v>
      </c>
      <c r="C647" s="1" t="s">
        <v>16</v>
      </c>
      <c r="D647" s="1" t="s">
        <v>27</v>
      </c>
      <c r="E647">
        <v>342</v>
      </c>
      <c r="F647" s="1">
        <f>VLOOKUP(jablka[[#This Row],[Nazwa]],cennik[],2,0) * jablka[[#This Row],[sprzedaż]]</f>
        <v>1162.8</v>
      </c>
    </row>
    <row r="648" spans="1:6" x14ac:dyDescent="0.25">
      <c r="A648" s="2">
        <v>44656</v>
      </c>
      <c r="B648" s="1" t="s">
        <v>2</v>
      </c>
      <c r="C648" s="1" t="s">
        <v>16</v>
      </c>
      <c r="D648" s="1" t="s">
        <v>45</v>
      </c>
      <c r="E648">
        <v>392</v>
      </c>
      <c r="F648" s="1">
        <f>VLOOKUP(jablka[[#This Row],[Nazwa]],cennik[],2,0) * jablka[[#This Row],[sprzedaż]]</f>
        <v>1254.4000000000001</v>
      </c>
    </row>
    <row r="649" spans="1:6" x14ac:dyDescent="0.25">
      <c r="A649" s="2">
        <v>44656</v>
      </c>
      <c r="B649" s="1" t="s">
        <v>0</v>
      </c>
      <c r="C649" s="1" t="s">
        <v>16</v>
      </c>
      <c r="D649" s="1" t="s">
        <v>30</v>
      </c>
      <c r="E649">
        <v>178</v>
      </c>
      <c r="F649" s="1">
        <f>VLOOKUP(jablka[[#This Row],[Nazwa]],cennik[],2,0) * jablka[[#This Row],[sprzedaż]]</f>
        <v>516.19999999999993</v>
      </c>
    </row>
    <row r="650" spans="1:6" x14ac:dyDescent="0.25">
      <c r="A650" s="2">
        <v>44656</v>
      </c>
      <c r="B650" s="1" t="s">
        <v>6</v>
      </c>
      <c r="C650" s="1" t="s">
        <v>16</v>
      </c>
      <c r="D650" s="1" t="s">
        <v>41</v>
      </c>
      <c r="E650">
        <v>311</v>
      </c>
      <c r="F650" s="1">
        <f>VLOOKUP(jablka[[#This Row],[Nazwa]],cennik[],2,0) * jablka[[#This Row],[sprzedaż]]</f>
        <v>1057.3999999999999</v>
      </c>
    </row>
    <row r="651" spans="1:6" x14ac:dyDescent="0.25">
      <c r="A651" s="2">
        <v>44656</v>
      </c>
      <c r="B651" s="1" t="s">
        <v>8</v>
      </c>
      <c r="C651" s="1" t="s">
        <v>16</v>
      </c>
      <c r="D651" s="1" t="s">
        <v>52</v>
      </c>
      <c r="E651">
        <v>293</v>
      </c>
      <c r="F651" s="1">
        <f>VLOOKUP(jablka[[#This Row],[Nazwa]],cennik[],2,0) * jablka[[#This Row],[sprzedaż]]</f>
        <v>1025.5</v>
      </c>
    </row>
    <row r="652" spans="1:6" x14ac:dyDescent="0.25">
      <c r="A652" s="2">
        <v>44656</v>
      </c>
      <c r="B652" s="1" t="s">
        <v>4</v>
      </c>
      <c r="C652" s="1" t="s">
        <v>16</v>
      </c>
      <c r="D652" s="1" t="s">
        <v>28</v>
      </c>
      <c r="E652">
        <v>495</v>
      </c>
      <c r="F652" s="1">
        <f>VLOOKUP(jablka[[#This Row],[Nazwa]],cennik[],2,0) * jablka[[#This Row],[sprzedaż]]</f>
        <v>1683</v>
      </c>
    </row>
    <row r="653" spans="1:6" x14ac:dyDescent="0.25">
      <c r="A653" s="2">
        <v>44656</v>
      </c>
      <c r="B653" s="1" t="s">
        <v>10</v>
      </c>
      <c r="C653" s="1" t="s">
        <v>16</v>
      </c>
      <c r="D653" s="1" t="s">
        <v>17</v>
      </c>
      <c r="E653">
        <v>374</v>
      </c>
      <c r="F653" s="1">
        <f>VLOOKUP(jablka[[#This Row],[Nazwa]],cennik[],2,0) * jablka[[#This Row],[sprzedaż]]</f>
        <v>1271.5999999999999</v>
      </c>
    </row>
    <row r="654" spans="1:6" x14ac:dyDescent="0.25">
      <c r="A654" s="2">
        <v>44656</v>
      </c>
      <c r="B654" s="1" t="s">
        <v>2</v>
      </c>
      <c r="C654" s="1" t="s">
        <v>16</v>
      </c>
      <c r="D654" s="1" t="s">
        <v>31</v>
      </c>
      <c r="E654">
        <v>498</v>
      </c>
      <c r="F654" s="1">
        <f>VLOOKUP(jablka[[#This Row],[Nazwa]],cennik[],2,0) * jablka[[#This Row],[sprzedaż]]</f>
        <v>1593.6000000000001</v>
      </c>
    </row>
    <row r="655" spans="1:6" x14ac:dyDescent="0.25">
      <c r="A655" s="2">
        <v>44656</v>
      </c>
      <c r="B655" s="1" t="s">
        <v>7</v>
      </c>
      <c r="C655" s="1" t="s">
        <v>16</v>
      </c>
      <c r="D655" s="1" t="s">
        <v>23</v>
      </c>
      <c r="E655">
        <v>400</v>
      </c>
      <c r="F655" s="1">
        <f>VLOOKUP(jablka[[#This Row],[Nazwa]],cennik[],2,0) * jablka[[#This Row],[sprzedaż]]</f>
        <v>1360</v>
      </c>
    </row>
    <row r="656" spans="1:6" x14ac:dyDescent="0.25">
      <c r="A656" s="2">
        <v>44657</v>
      </c>
      <c r="B656" s="1" t="s">
        <v>8</v>
      </c>
      <c r="C656" s="1" t="s">
        <v>16</v>
      </c>
      <c r="D656" s="1" t="s">
        <v>53</v>
      </c>
      <c r="E656">
        <v>571</v>
      </c>
      <c r="F656" s="1">
        <f>VLOOKUP(jablka[[#This Row],[Nazwa]],cennik[],2,0) * jablka[[#This Row],[sprzedaż]]</f>
        <v>1998.5</v>
      </c>
    </row>
    <row r="657" spans="1:6" x14ac:dyDescent="0.25">
      <c r="A657" s="2">
        <v>44657</v>
      </c>
      <c r="B657" s="1" t="s">
        <v>10</v>
      </c>
      <c r="C657" s="1" t="s">
        <v>16</v>
      </c>
      <c r="D657" s="1" t="s">
        <v>26</v>
      </c>
      <c r="E657">
        <v>136</v>
      </c>
      <c r="F657" s="1">
        <f>VLOOKUP(jablka[[#This Row],[Nazwa]],cennik[],2,0) * jablka[[#This Row],[sprzedaż]]</f>
        <v>462.4</v>
      </c>
    </row>
    <row r="658" spans="1:6" x14ac:dyDescent="0.25">
      <c r="A658" s="2">
        <v>44657</v>
      </c>
      <c r="B658" s="1" t="s">
        <v>0</v>
      </c>
      <c r="C658" s="1" t="s">
        <v>16</v>
      </c>
      <c r="D658" s="1" t="s">
        <v>29</v>
      </c>
      <c r="E658">
        <v>451</v>
      </c>
      <c r="F658" s="1">
        <f>VLOOKUP(jablka[[#This Row],[Nazwa]],cennik[],2,0) * jablka[[#This Row],[sprzedaż]]</f>
        <v>1307.8999999999999</v>
      </c>
    </row>
    <row r="659" spans="1:6" x14ac:dyDescent="0.25">
      <c r="A659" s="2">
        <v>44657</v>
      </c>
      <c r="B659" s="1" t="s">
        <v>2</v>
      </c>
      <c r="C659" s="1" t="s">
        <v>16</v>
      </c>
      <c r="D659" s="1" t="s">
        <v>38</v>
      </c>
      <c r="E659">
        <v>217</v>
      </c>
      <c r="F659" s="1">
        <f>VLOOKUP(jablka[[#This Row],[Nazwa]],cennik[],2,0) * jablka[[#This Row],[sprzedaż]]</f>
        <v>694.40000000000009</v>
      </c>
    </row>
    <row r="660" spans="1:6" x14ac:dyDescent="0.25">
      <c r="A660" s="2">
        <v>44657</v>
      </c>
      <c r="B660" s="1" t="s">
        <v>2</v>
      </c>
      <c r="C660" s="1" t="s">
        <v>16</v>
      </c>
      <c r="D660" s="1" t="s">
        <v>62</v>
      </c>
      <c r="E660">
        <v>195</v>
      </c>
      <c r="F660" s="1">
        <f>VLOOKUP(jablka[[#This Row],[Nazwa]],cennik[],2,0) * jablka[[#This Row],[sprzedaż]]</f>
        <v>624</v>
      </c>
    </row>
    <row r="661" spans="1:6" x14ac:dyDescent="0.25">
      <c r="A661" s="2">
        <v>44657</v>
      </c>
      <c r="B661" s="1" t="s">
        <v>0</v>
      </c>
      <c r="C661" s="1" t="s">
        <v>16</v>
      </c>
      <c r="D661" s="1" t="s">
        <v>45</v>
      </c>
      <c r="E661">
        <v>399</v>
      </c>
      <c r="F661" s="1">
        <f>VLOOKUP(jablka[[#This Row],[Nazwa]],cennik[],2,0) * jablka[[#This Row],[sprzedaż]]</f>
        <v>1157.0999999999999</v>
      </c>
    </row>
    <row r="662" spans="1:6" x14ac:dyDescent="0.25">
      <c r="A662" s="2">
        <v>44657</v>
      </c>
      <c r="B662" s="1" t="s">
        <v>8</v>
      </c>
      <c r="C662" s="1" t="s">
        <v>16</v>
      </c>
      <c r="D662" s="1" t="s">
        <v>23</v>
      </c>
      <c r="E662">
        <v>230</v>
      </c>
      <c r="F662" s="1">
        <f>VLOOKUP(jablka[[#This Row],[Nazwa]],cennik[],2,0) * jablka[[#This Row],[sprzedaż]]</f>
        <v>805</v>
      </c>
    </row>
    <row r="663" spans="1:6" x14ac:dyDescent="0.25">
      <c r="A663" s="2">
        <v>44657</v>
      </c>
      <c r="B663" s="1" t="s">
        <v>0</v>
      </c>
      <c r="C663" s="1" t="s">
        <v>16</v>
      </c>
      <c r="D663" s="1" t="s">
        <v>61</v>
      </c>
      <c r="E663">
        <v>383</v>
      </c>
      <c r="F663" s="1">
        <f>VLOOKUP(jablka[[#This Row],[Nazwa]],cennik[],2,0) * jablka[[#This Row],[sprzedaż]]</f>
        <v>1110.7</v>
      </c>
    </row>
    <row r="664" spans="1:6" x14ac:dyDescent="0.25">
      <c r="A664" s="2">
        <v>44658</v>
      </c>
      <c r="B664" s="1" t="s">
        <v>0</v>
      </c>
      <c r="C664" s="1" t="s">
        <v>16</v>
      </c>
      <c r="D664" s="1" t="s">
        <v>28</v>
      </c>
      <c r="E664">
        <v>12</v>
      </c>
      <c r="F664" s="1">
        <f>VLOOKUP(jablka[[#This Row],[Nazwa]],cennik[],2,0) * jablka[[#This Row],[sprzedaż]]</f>
        <v>34.799999999999997</v>
      </c>
    </row>
    <row r="665" spans="1:6" x14ac:dyDescent="0.25">
      <c r="A665" s="2">
        <v>44658</v>
      </c>
      <c r="B665" s="1" t="s">
        <v>10</v>
      </c>
      <c r="C665" s="1" t="s">
        <v>16</v>
      </c>
      <c r="D665" s="1" t="s">
        <v>47</v>
      </c>
      <c r="E665">
        <v>395</v>
      </c>
      <c r="F665" s="1">
        <f>VLOOKUP(jablka[[#This Row],[Nazwa]],cennik[],2,0) * jablka[[#This Row],[sprzedaż]]</f>
        <v>1343</v>
      </c>
    </row>
    <row r="666" spans="1:6" x14ac:dyDescent="0.25">
      <c r="A666" s="2">
        <v>44658</v>
      </c>
      <c r="B666" s="1" t="s">
        <v>4</v>
      </c>
      <c r="C666" s="1" t="s">
        <v>16</v>
      </c>
      <c r="D666" s="1" t="s">
        <v>40</v>
      </c>
      <c r="E666">
        <v>710</v>
      </c>
      <c r="F666" s="1">
        <f>VLOOKUP(jablka[[#This Row],[Nazwa]],cennik[],2,0) * jablka[[#This Row],[sprzedaż]]</f>
        <v>2414</v>
      </c>
    </row>
    <row r="667" spans="1:6" x14ac:dyDescent="0.25">
      <c r="A667" s="2">
        <v>44658</v>
      </c>
      <c r="B667" s="1" t="s">
        <v>0</v>
      </c>
      <c r="C667" s="1" t="s">
        <v>16</v>
      </c>
      <c r="D667" s="1" t="s">
        <v>27</v>
      </c>
      <c r="E667">
        <v>238</v>
      </c>
      <c r="F667" s="1">
        <f>VLOOKUP(jablka[[#This Row],[Nazwa]],cennik[],2,0) * jablka[[#This Row],[sprzedaż]]</f>
        <v>690.19999999999993</v>
      </c>
    </row>
    <row r="668" spans="1:6" x14ac:dyDescent="0.25">
      <c r="A668" s="2">
        <v>44658</v>
      </c>
      <c r="B668" s="1" t="s">
        <v>0</v>
      </c>
      <c r="C668" s="1" t="s">
        <v>16</v>
      </c>
      <c r="D668" s="1" t="s">
        <v>58</v>
      </c>
      <c r="E668">
        <v>498</v>
      </c>
      <c r="F668" s="1">
        <f>VLOOKUP(jablka[[#This Row],[Nazwa]],cennik[],2,0) * jablka[[#This Row],[sprzedaż]]</f>
        <v>1444.2</v>
      </c>
    </row>
    <row r="669" spans="1:6" x14ac:dyDescent="0.25">
      <c r="A669" s="2">
        <v>44658</v>
      </c>
      <c r="B669" s="1" t="s">
        <v>7</v>
      </c>
      <c r="C669" s="1" t="s">
        <v>16</v>
      </c>
      <c r="D669" s="1" t="s">
        <v>29</v>
      </c>
      <c r="E669">
        <v>229</v>
      </c>
      <c r="F669" s="1">
        <f>VLOOKUP(jablka[[#This Row],[Nazwa]],cennik[],2,0) * jablka[[#This Row],[sprzedaż]]</f>
        <v>778.6</v>
      </c>
    </row>
    <row r="670" spans="1:6" x14ac:dyDescent="0.25">
      <c r="A670" s="2">
        <v>44658</v>
      </c>
      <c r="B670" s="1" t="s">
        <v>10</v>
      </c>
      <c r="C670" s="1" t="s">
        <v>16</v>
      </c>
      <c r="D670" s="1" t="s">
        <v>63</v>
      </c>
      <c r="E670">
        <v>20</v>
      </c>
      <c r="F670" s="1">
        <f>VLOOKUP(jablka[[#This Row],[Nazwa]],cennik[],2,0) * jablka[[#This Row],[sprzedaż]]</f>
        <v>68</v>
      </c>
    </row>
    <row r="671" spans="1:6" x14ac:dyDescent="0.25">
      <c r="A671" s="2">
        <v>44658</v>
      </c>
      <c r="B671" s="1" t="s">
        <v>4</v>
      </c>
      <c r="C671" s="1" t="s">
        <v>16</v>
      </c>
      <c r="D671" s="1" t="s">
        <v>32</v>
      </c>
      <c r="E671">
        <v>730</v>
      </c>
      <c r="F671" s="1">
        <f>VLOOKUP(jablka[[#This Row],[Nazwa]],cennik[],2,0) * jablka[[#This Row],[sprzedaż]]</f>
        <v>2482</v>
      </c>
    </row>
    <row r="672" spans="1:6" x14ac:dyDescent="0.25">
      <c r="A672" s="2">
        <v>44658</v>
      </c>
      <c r="B672" s="1" t="s">
        <v>7</v>
      </c>
      <c r="C672" s="1" t="s">
        <v>16</v>
      </c>
      <c r="D672" s="1" t="s">
        <v>60</v>
      </c>
      <c r="E672">
        <v>688</v>
      </c>
      <c r="F672" s="1">
        <f>VLOOKUP(jablka[[#This Row],[Nazwa]],cennik[],2,0) * jablka[[#This Row],[sprzedaż]]</f>
        <v>2339.1999999999998</v>
      </c>
    </row>
    <row r="673" spans="1:6" x14ac:dyDescent="0.25">
      <c r="A673" s="2">
        <v>44659</v>
      </c>
      <c r="B673" s="1" t="s">
        <v>15</v>
      </c>
      <c r="C673" s="1" t="s">
        <v>16</v>
      </c>
      <c r="D673" s="1" t="s">
        <v>39</v>
      </c>
      <c r="E673">
        <v>379</v>
      </c>
      <c r="F673" s="1">
        <f>VLOOKUP(jablka[[#This Row],[Nazwa]],cennik[],2,0) * jablka[[#This Row],[sprzedaż]]</f>
        <v>909.6</v>
      </c>
    </row>
    <row r="674" spans="1:6" x14ac:dyDescent="0.25">
      <c r="A674" s="2">
        <v>44659</v>
      </c>
      <c r="B674" s="1" t="s">
        <v>4</v>
      </c>
      <c r="C674" s="1" t="s">
        <v>16</v>
      </c>
      <c r="D674" s="1" t="s">
        <v>45</v>
      </c>
      <c r="E674">
        <v>582</v>
      </c>
      <c r="F674" s="1">
        <f>VLOOKUP(jablka[[#This Row],[Nazwa]],cennik[],2,0) * jablka[[#This Row],[sprzedaż]]</f>
        <v>1978.8</v>
      </c>
    </row>
    <row r="675" spans="1:6" x14ac:dyDescent="0.25">
      <c r="A675" s="2">
        <v>44659</v>
      </c>
      <c r="B675" s="1" t="s">
        <v>2</v>
      </c>
      <c r="C675" s="1" t="s">
        <v>16</v>
      </c>
      <c r="D675" s="1" t="s">
        <v>52</v>
      </c>
      <c r="E675">
        <v>99</v>
      </c>
      <c r="F675" s="1">
        <f>VLOOKUP(jablka[[#This Row],[Nazwa]],cennik[],2,0) * jablka[[#This Row],[sprzedaż]]</f>
        <v>316.8</v>
      </c>
    </row>
    <row r="676" spans="1:6" x14ac:dyDescent="0.25">
      <c r="A676" s="2">
        <v>44659</v>
      </c>
      <c r="B676" s="1" t="s">
        <v>0</v>
      </c>
      <c r="C676" s="1" t="s">
        <v>16</v>
      </c>
      <c r="D676" s="1" t="s">
        <v>23</v>
      </c>
      <c r="E676">
        <v>470</v>
      </c>
      <c r="F676" s="1">
        <f>VLOOKUP(jablka[[#This Row],[Nazwa]],cennik[],2,0) * jablka[[#This Row],[sprzedaż]]</f>
        <v>1363</v>
      </c>
    </row>
    <row r="677" spans="1:6" x14ac:dyDescent="0.25">
      <c r="A677" s="2">
        <v>44659</v>
      </c>
      <c r="B677" s="1" t="s">
        <v>4</v>
      </c>
      <c r="C677" s="1" t="s">
        <v>16</v>
      </c>
      <c r="D677" s="1" t="s">
        <v>51</v>
      </c>
      <c r="E677">
        <v>620</v>
      </c>
      <c r="F677" s="1">
        <f>VLOOKUP(jablka[[#This Row],[Nazwa]],cennik[],2,0) * jablka[[#This Row],[sprzedaż]]</f>
        <v>2108</v>
      </c>
    </row>
    <row r="678" spans="1:6" x14ac:dyDescent="0.25">
      <c r="A678" s="2">
        <v>44659</v>
      </c>
      <c r="B678" s="1" t="s">
        <v>10</v>
      </c>
      <c r="C678" s="1" t="s">
        <v>16</v>
      </c>
      <c r="D678" s="1" t="s">
        <v>34</v>
      </c>
      <c r="E678">
        <v>453</v>
      </c>
      <c r="F678" s="1">
        <f>VLOOKUP(jablka[[#This Row],[Nazwa]],cennik[],2,0) * jablka[[#This Row],[sprzedaż]]</f>
        <v>1540.2</v>
      </c>
    </row>
    <row r="679" spans="1:6" x14ac:dyDescent="0.25">
      <c r="A679" s="2">
        <v>44659</v>
      </c>
      <c r="B679" s="1" t="s">
        <v>0</v>
      </c>
      <c r="C679" s="1" t="s">
        <v>16</v>
      </c>
      <c r="D679" s="1" t="s">
        <v>52</v>
      </c>
      <c r="E679">
        <v>270</v>
      </c>
      <c r="F679" s="1">
        <f>VLOOKUP(jablka[[#This Row],[Nazwa]],cennik[],2,0) * jablka[[#This Row],[sprzedaż]]</f>
        <v>783</v>
      </c>
    </row>
    <row r="680" spans="1:6" x14ac:dyDescent="0.25">
      <c r="A680" s="2">
        <v>44659</v>
      </c>
      <c r="B680" s="1" t="s">
        <v>0</v>
      </c>
      <c r="C680" s="1" t="s">
        <v>16</v>
      </c>
      <c r="D680" s="1" t="s">
        <v>27</v>
      </c>
      <c r="E680">
        <v>107</v>
      </c>
      <c r="F680" s="1">
        <f>VLOOKUP(jablka[[#This Row],[Nazwa]],cennik[],2,0) * jablka[[#This Row],[sprzedaż]]</f>
        <v>310.3</v>
      </c>
    </row>
    <row r="681" spans="1:6" x14ac:dyDescent="0.25">
      <c r="A681" s="2">
        <v>44659</v>
      </c>
      <c r="B681" s="1" t="s">
        <v>6</v>
      </c>
      <c r="C681" s="1" t="s">
        <v>16</v>
      </c>
      <c r="D681" s="1" t="s">
        <v>55</v>
      </c>
      <c r="E681">
        <v>101</v>
      </c>
      <c r="F681" s="1">
        <f>VLOOKUP(jablka[[#This Row],[Nazwa]],cennik[],2,0) * jablka[[#This Row],[sprzedaż]]</f>
        <v>343.4</v>
      </c>
    </row>
    <row r="682" spans="1:6" x14ac:dyDescent="0.25">
      <c r="A682" s="2">
        <v>44659</v>
      </c>
      <c r="B682" s="1" t="s">
        <v>15</v>
      </c>
      <c r="C682" s="1" t="s">
        <v>16</v>
      </c>
      <c r="D682" s="1" t="s">
        <v>53</v>
      </c>
      <c r="E682">
        <v>176</v>
      </c>
      <c r="F682" s="1">
        <f>VLOOKUP(jablka[[#This Row],[Nazwa]],cennik[],2,0) * jablka[[#This Row],[sprzedaż]]</f>
        <v>422.4</v>
      </c>
    </row>
    <row r="683" spans="1:6" x14ac:dyDescent="0.25">
      <c r="A683" s="2">
        <v>44660</v>
      </c>
      <c r="B683" s="1" t="s">
        <v>10</v>
      </c>
      <c r="C683" s="1" t="s">
        <v>16</v>
      </c>
      <c r="D683" s="1" t="s">
        <v>40</v>
      </c>
      <c r="E683">
        <v>457</v>
      </c>
      <c r="F683" s="1">
        <f>VLOOKUP(jablka[[#This Row],[Nazwa]],cennik[],2,0) * jablka[[#This Row],[sprzedaż]]</f>
        <v>1553.8</v>
      </c>
    </row>
    <row r="684" spans="1:6" x14ac:dyDescent="0.25">
      <c r="A684" s="2">
        <v>44660</v>
      </c>
      <c r="B684" s="1" t="s">
        <v>2</v>
      </c>
      <c r="C684" s="1" t="s">
        <v>16</v>
      </c>
      <c r="D684" s="1" t="s">
        <v>27</v>
      </c>
      <c r="E684">
        <v>344</v>
      </c>
      <c r="F684" s="1">
        <f>VLOOKUP(jablka[[#This Row],[Nazwa]],cennik[],2,0) * jablka[[#This Row],[sprzedaż]]</f>
        <v>1100.8</v>
      </c>
    </row>
    <row r="685" spans="1:6" x14ac:dyDescent="0.25">
      <c r="A685" s="2">
        <v>44660</v>
      </c>
      <c r="B685" s="1" t="s">
        <v>2</v>
      </c>
      <c r="C685" s="1" t="s">
        <v>16</v>
      </c>
      <c r="D685" s="1" t="s">
        <v>27</v>
      </c>
      <c r="E685">
        <v>294</v>
      </c>
      <c r="F685" s="1">
        <f>VLOOKUP(jablka[[#This Row],[Nazwa]],cennik[],2,0) * jablka[[#This Row],[sprzedaż]]</f>
        <v>940.80000000000007</v>
      </c>
    </row>
    <row r="686" spans="1:6" x14ac:dyDescent="0.25">
      <c r="A686" s="2">
        <v>44660</v>
      </c>
      <c r="B686" s="1" t="s">
        <v>7</v>
      </c>
      <c r="C686" s="1" t="s">
        <v>16</v>
      </c>
      <c r="D686" s="1" t="s">
        <v>37</v>
      </c>
      <c r="E686">
        <v>541</v>
      </c>
      <c r="F686" s="1">
        <f>VLOOKUP(jablka[[#This Row],[Nazwa]],cennik[],2,0) * jablka[[#This Row],[sprzedaż]]</f>
        <v>1839.3999999999999</v>
      </c>
    </row>
    <row r="687" spans="1:6" x14ac:dyDescent="0.25">
      <c r="A687" s="2">
        <v>44660</v>
      </c>
      <c r="B687" s="1" t="s">
        <v>4</v>
      </c>
      <c r="C687" s="1" t="s">
        <v>16</v>
      </c>
      <c r="D687" s="1" t="s">
        <v>40</v>
      </c>
      <c r="E687">
        <v>454</v>
      </c>
      <c r="F687" s="1">
        <f>VLOOKUP(jablka[[#This Row],[Nazwa]],cennik[],2,0) * jablka[[#This Row],[sprzedaż]]</f>
        <v>1543.6</v>
      </c>
    </row>
    <row r="688" spans="1:6" x14ac:dyDescent="0.25">
      <c r="A688" s="2">
        <v>44660</v>
      </c>
      <c r="B688" s="1" t="s">
        <v>2</v>
      </c>
      <c r="C688" s="1" t="s">
        <v>16</v>
      </c>
      <c r="D688" s="1" t="s">
        <v>41</v>
      </c>
      <c r="E688">
        <v>472</v>
      </c>
      <c r="F688" s="1">
        <f>VLOOKUP(jablka[[#This Row],[Nazwa]],cennik[],2,0) * jablka[[#This Row],[sprzedaż]]</f>
        <v>1510.4</v>
      </c>
    </row>
    <row r="689" spans="1:6" x14ac:dyDescent="0.25">
      <c r="A689" s="2">
        <v>44660</v>
      </c>
      <c r="B689" s="1" t="s">
        <v>2</v>
      </c>
      <c r="C689" s="1" t="s">
        <v>16</v>
      </c>
      <c r="D689" s="1" t="s">
        <v>20</v>
      </c>
      <c r="E689">
        <v>213</v>
      </c>
      <c r="F689" s="1">
        <f>VLOOKUP(jablka[[#This Row],[Nazwa]],cennik[],2,0) * jablka[[#This Row],[sprzedaż]]</f>
        <v>681.6</v>
      </c>
    </row>
    <row r="690" spans="1:6" x14ac:dyDescent="0.25">
      <c r="A690" s="2">
        <v>44662</v>
      </c>
      <c r="B690" s="1" t="s">
        <v>7</v>
      </c>
      <c r="C690" s="1" t="s">
        <v>16</v>
      </c>
      <c r="D690" s="1" t="s">
        <v>21</v>
      </c>
      <c r="E690">
        <v>611</v>
      </c>
      <c r="F690" s="1">
        <f>VLOOKUP(jablka[[#This Row],[Nazwa]],cennik[],2,0) * jablka[[#This Row],[sprzedaż]]</f>
        <v>2077.4</v>
      </c>
    </row>
    <row r="691" spans="1:6" x14ac:dyDescent="0.25">
      <c r="A691" s="2">
        <v>44662</v>
      </c>
      <c r="B691" s="1" t="s">
        <v>4</v>
      </c>
      <c r="C691" s="1" t="s">
        <v>16</v>
      </c>
      <c r="D691" s="1" t="s">
        <v>62</v>
      </c>
      <c r="E691">
        <v>771</v>
      </c>
      <c r="F691" s="1">
        <f>VLOOKUP(jablka[[#This Row],[Nazwa]],cennik[],2,0) * jablka[[#This Row],[sprzedaż]]</f>
        <v>2621.4</v>
      </c>
    </row>
    <row r="692" spans="1:6" x14ac:dyDescent="0.25">
      <c r="A692" s="2">
        <v>44662</v>
      </c>
      <c r="B692" s="1" t="s">
        <v>2</v>
      </c>
      <c r="C692" s="1" t="s">
        <v>16</v>
      </c>
      <c r="D692" s="1" t="s">
        <v>43</v>
      </c>
      <c r="E692">
        <v>52</v>
      </c>
      <c r="F692" s="1">
        <f>VLOOKUP(jablka[[#This Row],[Nazwa]],cennik[],2,0) * jablka[[#This Row],[sprzedaż]]</f>
        <v>166.4</v>
      </c>
    </row>
    <row r="693" spans="1:6" x14ac:dyDescent="0.25">
      <c r="A693" s="2">
        <v>44662</v>
      </c>
      <c r="B693" s="1" t="s">
        <v>10</v>
      </c>
      <c r="C693" s="1" t="s">
        <v>16</v>
      </c>
      <c r="D693" s="1" t="s">
        <v>57</v>
      </c>
      <c r="E693">
        <v>36</v>
      </c>
      <c r="F693" s="1">
        <f>VLOOKUP(jablka[[#This Row],[Nazwa]],cennik[],2,0) * jablka[[#This Row],[sprzedaż]]</f>
        <v>122.39999999999999</v>
      </c>
    </row>
    <row r="694" spans="1:6" x14ac:dyDescent="0.25">
      <c r="A694" s="2">
        <v>44662</v>
      </c>
      <c r="B694" s="1" t="s">
        <v>7</v>
      </c>
      <c r="C694" s="1" t="s">
        <v>16</v>
      </c>
      <c r="D694" s="1" t="s">
        <v>56</v>
      </c>
      <c r="E694">
        <v>564</v>
      </c>
      <c r="F694" s="1">
        <f>VLOOKUP(jablka[[#This Row],[Nazwa]],cennik[],2,0) * jablka[[#This Row],[sprzedaż]]</f>
        <v>1917.6</v>
      </c>
    </row>
    <row r="695" spans="1:6" x14ac:dyDescent="0.25">
      <c r="A695" s="2">
        <v>44662</v>
      </c>
      <c r="B695" s="1" t="s">
        <v>15</v>
      </c>
      <c r="C695" s="1" t="s">
        <v>16</v>
      </c>
      <c r="D695" s="1" t="s">
        <v>31</v>
      </c>
      <c r="E695">
        <v>428</v>
      </c>
      <c r="F695" s="1">
        <f>VLOOKUP(jablka[[#This Row],[Nazwa]],cennik[],2,0) * jablka[[#This Row],[sprzedaż]]</f>
        <v>1027.2</v>
      </c>
    </row>
    <row r="696" spans="1:6" x14ac:dyDescent="0.25">
      <c r="A696" s="2">
        <v>44662</v>
      </c>
      <c r="B696" s="1" t="s">
        <v>0</v>
      </c>
      <c r="C696" s="1" t="s">
        <v>16</v>
      </c>
      <c r="D696" s="1" t="s">
        <v>33</v>
      </c>
      <c r="E696">
        <v>460</v>
      </c>
      <c r="F696" s="1">
        <f>VLOOKUP(jablka[[#This Row],[Nazwa]],cennik[],2,0) * jablka[[#This Row],[sprzedaż]]</f>
        <v>1334</v>
      </c>
    </row>
    <row r="697" spans="1:6" x14ac:dyDescent="0.25">
      <c r="A697" s="2">
        <v>44662</v>
      </c>
      <c r="B697" s="1" t="s">
        <v>8</v>
      </c>
      <c r="C697" s="1" t="s">
        <v>16</v>
      </c>
      <c r="D697" s="1" t="s">
        <v>24</v>
      </c>
      <c r="E697">
        <v>633</v>
      </c>
      <c r="F697" s="1">
        <f>VLOOKUP(jablka[[#This Row],[Nazwa]],cennik[],2,0) * jablka[[#This Row],[sprzedaż]]</f>
        <v>2215.5</v>
      </c>
    </row>
    <row r="698" spans="1:6" x14ac:dyDescent="0.25">
      <c r="A698" s="2">
        <v>44662</v>
      </c>
      <c r="B698" s="1" t="s">
        <v>2</v>
      </c>
      <c r="C698" s="1" t="s">
        <v>16</v>
      </c>
      <c r="D698" s="1" t="s">
        <v>40</v>
      </c>
      <c r="E698">
        <v>94</v>
      </c>
      <c r="F698" s="1">
        <f>VLOOKUP(jablka[[#This Row],[Nazwa]],cennik[],2,0) * jablka[[#This Row],[sprzedaż]]</f>
        <v>300.8</v>
      </c>
    </row>
    <row r="699" spans="1:6" x14ac:dyDescent="0.25">
      <c r="A699" s="2">
        <v>44662</v>
      </c>
      <c r="B699" s="1" t="s">
        <v>0</v>
      </c>
      <c r="C699" s="1" t="s">
        <v>16</v>
      </c>
      <c r="D699" s="1" t="s">
        <v>59</v>
      </c>
      <c r="E699">
        <v>307</v>
      </c>
      <c r="F699" s="1">
        <f>VLOOKUP(jablka[[#This Row],[Nazwa]],cennik[],2,0) * jablka[[#This Row],[sprzedaż]]</f>
        <v>890.3</v>
      </c>
    </row>
    <row r="700" spans="1:6" x14ac:dyDescent="0.25">
      <c r="A700" s="2">
        <v>44662</v>
      </c>
      <c r="B700" s="1" t="s">
        <v>0</v>
      </c>
      <c r="C700" s="1" t="s">
        <v>16</v>
      </c>
      <c r="D700" s="1" t="s">
        <v>63</v>
      </c>
      <c r="E700">
        <v>133</v>
      </c>
      <c r="F700" s="1">
        <f>VLOOKUP(jablka[[#This Row],[Nazwa]],cennik[],2,0) * jablka[[#This Row],[sprzedaż]]</f>
        <v>385.7</v>
      </c>
    </row>
    <row r="701" spans="1:6" x14ac:dyDescent="0.25">
      <c r="A701" s="2">
        <v>44662</v>
      </c>
      <c r="B701" s="1" t="s">
        <v>10</v>
      </c>
      <c r="C701" s="1" t="s">
        <v>16</v>
      </c>
      <c r="D701" s="1" t="s">
        <v>22</v>
      </c>
      <c r="E701">
        <v>403</v>
      </c>
      <c r="F701" s="1">
        <f>VLOOKUP(jablka[[#This Row],[Nazwa]],cennik[],2,0) * jablka[[#This Row],[sprzedaż]]</f>
        <v>1370.2</v>
      </c>
    </row>
    <row r="702" spans="1:6" x14ac:dyDescent="0.25">
      <c r="A702" s="2">
        <v>44662</v>
      </c>
      <c r="B702" s="1" t="s">
        <v>6</v>
      </c>
      <c r="C702" s="1" t="s">
        <v>16</v>
      </c>
      <c r="D702" s="1" t="s">
        <v>41</v>
      </c>
      <c r="E702">
        <v>217</v>
      </c>
      <c r="F702" s="1">
        <f>VLOOKUP(jablka[[#This Row],[Nazwa]],cennik[],2,0) * jablka[[#This Row],[sprzedaż]]</f>
        <v>737.8</v>
      </c>
    </row>
    <row r="703" spans="1:6" x14ac:dyDescent="0.25">
      <c r="A703" s="2">
        <v>44663</v>
      </c>
      <c r="B703" s="1" t="s">
        <v>5</v>
      </c>
      <c r="C703" s="1" t="s">
        <v>16</v>
      </c>
      <c r="D703" s="1" t="s">
        <v>63</v>
      </c>
      <c r="E703">
        <v>307</v>
      </c>
      <c r="F703" s="1">
        <f>VLOOKUP(jablka[[#This Row],[Nazwa]],cennik[],2,0) * jablka[[#This Row],[sprzedaż]]</f>
        <v>1043.8</v>
      </c>
    </row>
    <row r="704" spans="1:6" x14ac:dyDescent="0.25">
      <c r="A704" s="2">
        <v>44663</v>
      </c>
      <c r="B704" s="1" t="s">
        <v>2</v>
      </c>
      <c r="C704" s="1" t="s">
        <v>16</v>
      </c>
      <c r="D704" s="1" t="s">
        <v>52</v>
      </c>
      <c r="E704">
        <v>253</v>
      </c>
      <c r="F704" s="1">
        <f>VLOOKUP(jablka[[#This Row],[Nazwa]],cennik[],2,0) * jablka[[#This Row],[sprzedaż]]</f>
        <v>809.6</v>
      </c>
    </row>
    <row r="705" spans="1:6" x14ac:dyDescent="0.25">
      <c r="A705" s="2">
        <v>44663</v>
      </c>
      <c r="B705" s="1" t="s">
        <v>8</v>
      </c>
      <c r="C705" s="1" t="s">
        <v>16</v>
      </c>
      <c r="D705" s="1" t="s">
        <v>26</v>
      </c>
      <c r="E705">
        <v>334</v>
      </c>
      <c r="F705" s="1">
        <f>VLOOKUP(jablka[[#This Row],[Nazwa]],cennik[],2,0) * jablka[[#This Row],[sprzedaż]]</f>
        <v>1169</v>
      </c>
    </row>
    <row r="706" spans="1:6" x14ac:dyDescent="0.25">
      <c r="A706" s="2">
        <v>44663</v>
      </c>
      <c r="B706" s="1" t="s">
        <v>2</v>
      </c>
      <c r="C706" s="1" t="s">
        <v>16</v>
      </c>
      <c r="D706" s="1" t="s">
        <v>20</v>
      </c>
      <c r="E706">
        <v>95</v>
      </c>
      <c r="F706" s="1">
        <f>VLOOKUP(jablka[[#This Row],[Nazwa]],cennik[],2,0) * jablka[[#This Row],[sprzedaż]]</f>
        <v>304</v>
      </c>
    </row>
    <row r="707" spans="1:6" x14ac:dyDescent="0.25">
      <c r="A707" s="2">
        <v>44663</v>
      </c>
      <c r="B707" s="1" t="s">
        <v>4</v>
      </c>
      <c r="C707" s="1" t="s">
        <v>16</v>
      </c>
      <c r="D707" s="1" t="s">
        <v>26</v>
      </c>
      <c r="E707">
        <v>547</v>
      </c>
      <c r="F707" s="1">
        <f>VLOOKUP(jablka[[#This Row],[Nazwa]],cennik[],2,0) * jablka[[#This Row],[sprzedaż]]</f>
        <v>1859.8</v>
      </c>
    </row>
    <row r="708" spans="1:6" x14ac:dyDescent="0.25">
      <c r="A708" s="2">
        <v>44663</v>
      </c>
      <c r="B708" s="1" t="s">
        <v>4</v>
      </c>
      <c r="C708" s="1" t="s">
        <v>16</v>
      </c>
      <c r="D708" s="1" t="s">
        <v>37</v>
      </c>
      <c r="E708">
        <v>489</v>
      </c>
      <c r="F708" s="1">
        <f>VLOOKUP(jablka[[#This Row],[Nazwa]],cennik[],2,0) * jablka[[#This Row],[sprzedaż]]</f>
        <v>1662.6</v>
      </c>
    </row>
    <row r="709" spans="1:6" x14ac:dyDescent="0.25">
      <c r="A709" s="2">
        <v>44663</v>
      </c>
      <c r="B709" s="1" t="s">
        <v>8</v>
      </c>
      <c r="C709" s="1" t="s">
        <v>16</v>
      </c>
      <c r="D709" s="1" t="s">
        <v>53</v>
      </c>
      <c r="E709">
        <v>638</v>
      </c>
      <c r="F709" s="1">
        <f>VLOOKUP(jablka[[#This Row],[Nazwa]],cennik[],2,0) * jablka[[#This Row],[sprzedaż]]</f>
        <v>2233</v>
      </c>
    </row>
    <row r="710" spans="1:6" x14ac:dyDescent="0.25">
      <c r="A710" s="2">
        <v>44664</v>
      </c>
      <c r="B710" s="1" t="s">
        <v>8</v>
      </c>
      <c r="C710" s="1" t="s">
        <v>16</v>
      </c>
      <c r="D710" s="1" t="s">
        <v>38</v>
      </c>
      <c r="E710">
        <v>579</v>
      </c>
      <c r="F710" s="1">
        <f>VLOOKUP(jablka[[#This Row],[Nazwa]],cennik[],2,0) * jablka[[#This Row],[sprzedaż]]</f>
        <v>2026.5</v>
      </c>
    </row>
    <row r="711" spans="1:6" x14ac:dyDescent="0.25">
      <c r="A711" s="2">
        <v>44664</v>
      </c>
      <c r="B711" s="1" t="s">
        <v>4</v>
      </c>
      <c r="C711" s="1" t="s">
        <v>16</v>
      </c>
      <c r="D711" s="1" t="s">
        <v>33</v>
      </c>
      <c r="E711">
        <v>413</v>
      </c>
      <c r="F711" s="1">
        <f>VLOOKUP(jablka[[#This Row],[Nazwa]],cennik[],2,0) * jablka[[#This Row],[sprzedaż]]</f>
        <v>1404.2</v>
      </c>
    </row>
    <row r="712" spans="1:6" x14ac:dyDescent="0.25">
      <c r="A712" s="2">
        <v>44664</v>
      </c>
      <c r="B712" s="1" t="s">
        <v>10</v>
      </c>
      <c r="C712" s="1" t="s">
        <v>16</v>
      </c>
      <c r="D712" s="1" t="s">
        <v>22</v>
      </c>
      <c r="E712">
        <v>200</v>
      </c>
      <c r="F712" s="1">
        <f>VLOOKUP(jablka[[#This Row],[Nazwa]],cennik[],2,0) * jablka[[#This Row],[sprzedaż]]</f>
        <v>680</v>
      </c>
    </row>
    <row r="713" spans="1:6" x14ac:dyDescent="0.25">
      <c r="A713" s="2">
        <v>44664</v>
      </c>
      <c r="B713" s="1" t="s">
        <v>2</v>
      </c>
      <c r="C713" s="1" t="s">
        <v>16</v>
      </c>
      <c r="D713" s="1" t="s">
        <v>28</v>
      </c>
      <c r="E713">
        <v>448</v>
      </c>
      <c r="F713" s="1">
        <f>VLOOKUP(jablka[[#This Row],[Nazwa]],cennik[],2,0) * jablka[[#This Row],[sprzedaż]]</f>
        <v>1433.6000000000001</v>
      </c>
    </row>
    <row r="714" spans="1:6" x14ac:dyDescent="0.25">
      <c r="A714" s="2">
        <v>44664</v>
      </c>
      <c r="B714" s="1" t="s">
        <v>15</v>
      </c>
      <c r="C714" s="1" t="s">
        <v>16</v>
      </c>
      <c r="D714" s="1" t="s">
        <v>22</v>
      </c>
      <c r="E714">
        <v>274</v>
      </c>
      <c r="F714" s="1">
        <f>VLOOKUP(jablka[[#This Row],[Nazwa]],cennik[],2,0) * jablka[[#This Row],[sprzedaż]]</f>
        <v>657.6</v>
      </c>
    </row>
    <row r="715" spans="1:6" x14ac:dyDescent="0.25">
      <c r="A715" s="2">
        <v>44665</v>
      </c>
      <c r="B715" s="1" t="s">
        <v>8</v>
      </c>
      <c r="C715" s="1" t="s">
        <v>16</v>
      </c>
      <c r="D715" s="1" t="s">
        <v>33</v>
      </c>
      <c r="E715">
        <v>598</v>
      </c>
      <c r="F715" s="1">
        <f>VLOOKUP(jablka[[#This Row],[Nazwa]],cennik[],2,0) * jablka[[#This Row],[sprzedaż]]</f>
        <v>2093</v>
      </c>
    </row>
    <row r="716" spans="1:6" x14ac:dyDescent="0.25">
      <c r="A716" s="2">
        <v>44665</v>
      </c>
      <c r="B716" s="1" t="s">
        <v>15</v>
      </c>
      <c r="C716" s="1" t="s">
        <v>16</v>
      </c>
      <c r="D716" s="1" t="s">
        <v>29</v>
      </c>
      <c r="E716">
        <v>506</v>
      </c>
      <c r="F716" s="1">
        <f>VLOOKUP(jablka[[#This Row],[Nazwa]],cennik[],2,0) * jablka[[#This Row],[sprzedaż]]</f>
        <v>1214.3999999999999</v>
      </c>
    </row>
    <row r="717" spans="1:6" x14ac:dyDescent="0.25">
      <c r="A717" s="2">
        <v>44665</v>
      </c>
      <c r="B717" s="1" t="s">
        <v>5</v>
      </c>
      <c r="C717" s="1" t="s">
        <v>16</v>
      </c>
      <c r="D717" s="1" t="s">
        <v>23</v>
      </c>
      <c r="E717">
        <v>427</v>
      </c>
      <c r="F717" s="1">
        <f>VLOOKUP(jablka[[#This Row],[Nazwa]],cennik[],2,0) * jablka[[#This Row],[sprzedaż]]</f>
        <v>1451.8</v>
      </c>
    </row>
    <row r="718" spans="1:6" x14ac:dyDescent="0.25">
      <c r="A718" s="2">
        <v>44665</v>
      </c>
      <c r="B718" s="1" t="s">
        <v>8</v>
      </c>
      <c r="C718" s="1" t="s">
        <v>16</v>
      </c>
      <c r="D718" s="1" t="s">
        <v>53</v>
      </c>
      <c r="E718">
        <v>621</v>
      </c>
      <c r="F718" s="1">
        <f>VLOOKUP(jablka[[#This Row],[Nazwa]],cennik[],2,0) * jablka[[#This Row],[sprzedaż]]</f>
        <v>2173.5</v>
      </c>
    </row>
    <row r="719" spans="1:6" x14ac:dyDescent="0.25">
      <c r="A719" s="2">
        <v>44665</v>
      </c>
      <c r="B719" s="1" t="s">
        <v>2</v>
      </c>
      <c r="C719" s="1" t="s">
        <v>16</v>
      </c>
      <c r="D719" s="1" t="s">
        <v>35</v>
      </c>
      <c r="E719">
        <v>397</v>
      </c>
      <c r="F719" s="1">
        <f>VLOOKUP(jablka[[#This Row],[Nazwa]],cennik[],2,0) * jablka[[#This Row],[sprzedaż]]</f>
        <v>1270.4000000000001</v>
      </c>
    </row>
    <row r="720" spans="1:6" x14ac:dyDescent="0.25">
      <c r="A720" s="2">
        <v>44665</v>
      </c>
      <c r="B720" s="1" t="s">
        <v>6</v>
      </c>
      <c r="C720" s="1" t="s">
        <v>16</v>
      </c>
      <c r="D720" s="1" t="s">
        <v>23</v>
      </c>
      <c r="E720">
        <v>155</v>
      </c>
      <c r="F720" s="1">
        <f>VLOOKUP(jablka[[#This Row],[Nazwa]],cennik[],2,0) * jablka[[#This Row],[sprzedaż]]</f>
        <v>527</v>
      </c>
    </row>
    <row r="721" spans="1:6" x14ac:dyDescent="0.25">
      <c r="A721" s="2">
        <v>44666</v>
      </c>
      <c r="B721" s="1" t="s">
        <v>15</v>
      </c>
      <c r="C721" s="1" t="s">
        <v>16</v>
      </c>
      <c r="D721" s="1" t="s">
        <v>25</v>
      </c>
      <c r="E721">
        <v>550</v>
      </c>
      <c r="F721" s="1">
        <f>VLOOKUP(jablka[[#This Row],[Nazwa]],cennik[],2,0) * jablka[[#This Row],[sprzedaż]]</f>
        <v>1320</v>
      </c>
    </row>
    <row r="722" spans="1:6" x14ac:dyDescent="0.25">
      <c r="A722" s="2">
        <v>44666</v>
      </c>
      <c r="B722" s="1" t="s">
        <v>5</v>
      </c>
      <c r="C722" s="1" t="s">
        <v>16</v>
      </c>
      <c r="D722" s="1" t="s">
        <v>53</v>
      </c>
      <c r="E722">
        <v>279</v>
      </c>
      <c r="F722" s="1">
        <f>VLOOKUP(jablka[[#This Row],[Nazwa]],cennik[],2,0) * jablka[[#This Row],[sprzedaż]]</f>
        <v>948.6</v>
      </c>
    </row>
    <row r="723" spans="1:6" x14ac:dyDescent="0.25">
      <c r="A723" s="2">
        <v>44666</v>
      </c>
      <c r="B723" s="1" t="s">
        <v>5</v>
      </c>
      <c r="C723" s="1" t="s">
        <v>16</v>
      </c>
      <c r="D723" s="1" t="s">
        <v>59</v>
      </c>
      <c r="E723">
        <v>133</v>
      </c>
      <c r="F723" s="1">
        <f>VLOOKUP(jablka[[#This Row],[Nazwa]],cennik[],2,0) * jablka[[#This Row],[sprzedaż]]</f>
        <v>452.2</v>
      </c>
    </row>
    <row r="724" spans="1:6" x14ac:dyDescent="0.25">
      <c r="A724" s="2">
        <v>44666</v>
      </c>
      <c r="B724" s="1" t="s">
        <v>8</v>
      </c>
      <c r="C724" s="1" t="s">
        <v>16</v>
      </c>
      <c r="D724" s="1" t="s">
        <v>35</v>
      </c>
      <c r="E724">
        <v>463</v>
      </c>
      <c r="F724" s="1">
        <f>VLOOKUP(jablka[[#This Row],[Nazwa]],cennik[],2,0) * jablka[[#This Row],[sprzedaż]]</f>
        <v>1620.5</v>
      </c>
    </row>
    <row r="725" spans="1:6" x14ac:dyDescent="0.25">
      <c r="A725" s="2">
        <v>44666</v>
      </c>
      <c r="B725" s="1" t="s">
        <v>7</v>
      </c>
      <c r="C725" s="1" t="s">
        <v>16</v>
      </c>
      <c r="D725" s="1" t="s">
        <v>33</v>
      </c>
      <c r="E725">
        <v>474</v>
      </c>
      <c r="F725" s="1">
        <f>VLOOKUP(jablka[[#This Row],[Nazwa]],cennik[],2,0) * jablka[[#This Row],[sprzedaż]]</f>
        <v>1611.6</v>
      </c>
    </row>
    <row r="726" spans="1:6" x14ac:dyDescent="0.25">
      <c r="A726" s="2">
        <v>44666</v>
      </c>
      <c r="B726" s="1" t="s">
        <v>7</v>
      </c>
      <c r="C726" s="1" t="s">
        <v>16</v>
      </c>
      <c r="D726" s="1" t="s">
        <v>57</v>
      </c>
      <c r="E726">
        <v>568</v>
      </c>
      <c r="F726" s="1">
        <f>VLOOKUP(jablka[[#This Row],[Nazwa]],cennik[],2,0) * jablka[[#This Row],[sprzedaż]]</f>
        <v>1931.2</v>
      </c>
    </row>
    <row r="727" spans="1:6" x14ac:dyDescent="0.25">
      <c r="A727" s="2">
        <v>44666</v>
      </c>
      <c r="B727" s="1" t="s">
        <v>2</v>
      </c>
      <c r="C727" s="1" t="s">
        <v>16</v>
      </c>
      <c r="D727" s="1" t="s">
        <v>32</v>
      </c>
      <c r="E727">
        <v>205</v>
      </c>
      <c r="F727" s="1">
        <f>VLOOKUP(jablka[[#This Row],[Nazwa]],cennik[],2,0) * jablka[[#This Row],[sprzedaż]]</f>
        <v>656</v>
      </c>
    </row>
    <row r="728" spans="1:6" x14ac:dyDescent="0.25">
      <c r="A728" s="2">
        <v>44666</v>
      </c>
      <c r="B728" s="1" t="s">
        <v>2</v>
      </c>
      <c r="C728" s="1" t="s">
        <v>16</v>
      </c>
      <c r="D728" s="1" t="s">
        <v>25</v>
      </c>
      <c r="E728">
        <v>412</v>
      </c>
      <c r="F728" s="1">
        <f>VLOOKUP(jablka[[#This Row],[Nazwa]],cennik[],2,0) * jablka[[#This Row],[sprzedaż]]</f>
        <v>1318.4</v>
      </c>
    </row>
    <row r="729" spans="1:6" x14ac:dyDescent="0.25">
      <c r="A729" s="2">
        <v>44666</v>
      </c>
      <c r="B729" s="1" t="s">
        <v>15</v>
      </c>
      <c r="C729" s="1" t="s">
        <v>16</v>
      </c>
      <c r="D729" s="1" t="s">
        <v>25</v>
      </c>
      <c r="E729">
        <v>133</v>
      </c>
      <c r="F729" s="1">
        <f>VLOOKUP(jablka[[#This Row],[Nazwa]],cennik[],2,0) * jablka[[#This Row],[sprzedaż]]</f>
        <v>319.2</v>
      </c>
    </row>
    <row r="730" spans="1:6" x14ac:dyDescent="0.25">
      <c r="A730" s="2">
        <v>44666</v>
      </c>
      <c r="B730" s="1" t="s">
        <v>5</v>
      </c>
      <c r="C730" s="1" t="s">
        <v>16</v>
      </c>
      <c r="D730" s="1" t="s">
        <v>32</v>
      </c>
      <c r="E730">
        <v>458</v>
      </c>
      <c r="F730" s="1">
        <f>VLOOKUP(jablka[[#This Row],[Nazwa]],cennik[],2,0) * jablka[[#This Row],[sprzedaż]]</f>
        <v>1557.2</v>
      </c>
    </row>
    <row r="731" spans="1:6" x14ac:dyDescent="0.25">
      <c r="A731" s="2">
        <v>44666</v>
      </c>
      <c r="B731" s="1" t="s">
        <v>5</v>
      </c>
      <c r="C731" s="1" t="s">
        <v>16</v>
      </c>
      <c r="D731" s="1" t="s">
        <v>19</v>
      </c>
      <c r="E731">
        <v>263</v>
      </c>
      <c r="F731" s="1">
        <f>VLOOKUP(jablka[[#This Row],[Nazwa]],cennik[],2,0) * jablka[[#This Row],[sprzedaż]]</f>
        <v>894.19999999999993</v>
      </c>
    </row>
    <row r="732" spans="1:6" x14ac:dyDescent="0.25">
      <c r="A732" s="2">
        <v>44666</v>
      </c>
      <c r="B732" s="1" t="s">
        <v>7</v>
      </c>
      <c r="C732" s="1" t="s">
        <v>16</v>
      </c>
      <c r="D732" s="1" t="s">
        <v>38</v>
      </c>
      <c r="E732">
        <v>682</v>
      </c>
      <c r="F732" s="1">
        <f>VLOOKUP(jablka[[#This Row],[Nazwa]],cennik[],2,0) * jablka[[#This Row],[sprzedaż]]</f>
        <v>2318.7999999999997</v>
      </c>
    </row>
    <row r="733" spans="1:6" x14ac:dyDescent="0.25">
      <c r="A733" s="2">
        <v>44667</v>
      </c>
      <c r="B733" s="1" t="s">
        <v>4</v>
      </c>
      <c r="C733" s="1" t="s">
        <v>16</v>
      </c>
      <c r="D733" s="1" t="s">
        <v>56</v>
      </c>
      <c r="E733">
        <v>656</v>
      </c>
      <c r="F733" s="1">
        <f>VLOOKUP(jablka[[#This Row],[Nazwa]],cennik[],2,0) * jablka[[#This Row],[sprzedaż]]</f>
        <v>2230.4</v>
      </c>
    </row>
    <row r="734" spans="1:6" x14ac:dyDescent="0.25">
      <c r="A734" s="2">
        <v>44667</v>
      </c>
      <c r="B734" s="1" t="s">
        <v>10</v>
      </c>
      <c r="C734" s="1" t="s">
        <v>16</v>
      </c>
      <c r="D734" s="1" t="s">
        <v>43</v>
      </c>
      <c r="E734">
        <v>465</v>
      </c>
      <c r="F734" s="1">
        <f>VLOOKUP(jablka[[#This Row],[Nazwa]],cennik[],2,0) * jablka[[#This Row],[sprzedaż]]</f>
        <v>1581</v>
      </c>
    </row>
    <row r="735" spans="1:6" x14ac:dyDescent="0.25">
      <c r="A735" s="2">
        <v>44667</v>
      </c>
      <c r="B735" s="1" t="s">
        <v>2</v>
      </c>
      <c r="C735" s="1" t="s">
        <v>16</v>
      </c>
      <c r="D735" s="1" t="s">
        <v>60</v>
      </c>
      <c r="E735">
        <v>79</v>
      </c>
      <c r="F735" s="1">
        <f>VLOOKUP(jablka[[#This Row],[Nazwa]],cennik[],2,0) * jablka[[#This Row],[sprzedaż]]</f>
        <v>252.8</v>
      </c>
    </row>
    <row r="736" spans="1:6" x14ac:dyDescent="0.25">
      <c r="A736" s="2">
        <v>44667</v>
      </c>
      <c r="B736" s="1" t="s">
        <v>4</v>
      </c>
      <c r="C736" s="1" t="s">
        <v>16</v>
      </c>
      <c r="D736" s="1" t="s">
        <v>42</v>
      </c>
      <c r="E736">
        <v>317</v>
      </c>
      <c r="F736" s="1">
        <f>VLOOKUP(jablka[[#This Row],[Nazwa]],cennik[],2,0) * jablka[[#This Row],[sprzedaż]]</f>
        <v>1077.8</v>
      </c>
    </row>
    <row r="737" spans="1:6" x14ac:dyDescent="0.25">
      <c r="A737" s="2">
        <v>44667</v>
      </c>
      <c r="B737" s="1" t="s">
        <v>5</v>
      </c>
      <c r="C737" s="1" t="s">
        <v>16</v>
      </c>
      <c r="D737" s="1" t="s">
        <v>32</v>
      </c>
      <c r="E737">
        <v>376</v>
      </c>
      <c r="F737" s="1">
        <f>VLOOKUP(jablka[[#This Row],[Nazwa]],cennik[],2,0) * jablka[[#This Row],[sprzedaż]]</f>
        <v>1278.3999999999999</v>
      </c>
    </row>
    <row r="738" spans="1:6" x14ac:dyDescent="0.25">
      <c r="A738" s="2">
        <v>44667</v>
      </c>
      <c r="B738" s="1" t="s">
        <v>6</v>
      </c>
      <c r="C738" s="1" t="s">
        <v>16</v>
      </c>
      <c r="D738" s="1" t="s">
        <v>44</v>
      </c>
      <c r="E738">
        <v>119</v>
      </c>
      <c r="F738" s="1">
        <f>VLOOKUP(jablka[[#This Row],[Nazwa]],cennik[],2,0) * jablka[[#This Row],[sprzedaż]]</f>
        <v>404.59999999999997</v>
      </c>
    </row>
    <row r="739" spans="1:6" x14ac:dyDescent="0.25">
      <c r="A739" s="2">
        <v>44667</v>
      </c>
      <c r="B739" s="1" t="s">
        <v>5</v>
      </c>
      <c r="C739" s="1" t="s">
        <v>16</v>
      </c>
      <c r="D739" s="1" t="s">
        <v>33</v>
      </c>
      <c r="E739">
        <v>305</v>
      </c>
      <c r="F739" s="1">
        <f>VLOOKUP(jablka[[#This Row],[Nazwa]],cennik[],2,0) * jablka[[#This Row],[sprzedaż]]</f>
        <v>1037</v>
      </c>
    </row>
    <row r="740" spans="1:6" x14ac:dyDescent="0.25">
      <c r="A740" s="2">
        <v>44667</v>
      </c>
      <c r="B740" s="1" t="s">
        <v>5</v>
      </c>
      <c r="C740" s="1" t="s">
        <v>16</v>
      </c>
      <c r="D740" s="1" t="s">
        <v>60</v>
      </c>
      <c r="E740">
        <v>77</v>
      </c>
      <c r="F740" s="1">
        <f>VLOOKUP(jablka[[#This Row],[Nazwa]],cennik[],2,0) * jablka[[#This Row],[sprzedaż]]</f>
        <v>261.8</v>
      </c>
    </row>
    <row r="741" spans="1:6" x14ac:dyDescent="0.25">
      <c r="A741" s="2">
        <v>44669</v>
      </c>
      <c r="B741" s="1" t="s">
        <v>4</v>
      </c>
      <c r="C741" s="1" t="s">
        <v>16</v>
      </c>
      <c r="D741" s="1" t="s">
        <v>50</v>
      </c>
      <c r="E741">
        <v>795</v>
      </c>
      <c r="F741" s="1">
        <f>VLOOKUP(jablka[[#This Row],[Nazwa]],cennik[],2,0) * jablka[[#This Row],[sprzedaż]]</f>
        <v>2703</v>
      </c>
    </row>
    <row r="742" spans="1:6" x14ac:dyDescent="0.25">
      <c r="A742" s="2">
        <v>44669</v>
      </c>
      <c r="B742" s="1" t="s">
        <v>4</v>
      </c>
      <c r="C742" s="1" t="s">
        <v>16</v>
      </c>
      <c r="D742" s="1" t="s">
        <v>31</v>
      </c>
      <c r="E742">
        <v>398</v>
      </c>
      <c r="F742" s="1">
        <f>VLOOKUP(jablka[[#This Row],[Nazwa]],cennik[],2,0) * jablka[[#This Row],[sprzedaż]]</f>
        <v>1353.2</v>
      </c>
    </row>
    <row r="743" spans="1:6" x14ac:dyDescent="0.25">
      <c r="A743" s="2">
        <v>44669</v>
      </c>
      <c r="B743" s="1" t="s">
        <v>4</v>
      </c>
      <c r="C743" s="1" t="s">
        <v>16</v>
      </c>
      <c r="D743" s="1" t="s">
        <v>64</v>
      </c>
      <c r="E743">
        <v>453</v>
      </c>
      <c r="F743" s="1">
        <f>VLOOKUP(jablka[[#This Row],[Nazwa]],cennik[],2,0) * jablka[[#This Row],[sprzedaż]]</f>
        <v>1540.2</v>
      </c>
    </row>
    <row r="744" spans="1:6" x14ac:dyDescent="0.25">
      <c r="A744" s="2">
        <v>44669</v>
      </c>
      <c r="B744" s="1" t="s">
        <v>8</v>
      </c>
      <c r="C744" s="1" t="s">
        <v>16</v>
      </c>
      <c r="D744" s="1" t="s">
        <v>52</v>
      </c>
      <c r="E744">
        <v>218</v>
      </c>
      <c r="F744" s="1">
        <f>VLOOKUP(jablka[[#This Row],[Nazwa]],cennik[],2,0) * jablka[[#This Row],[sprzedaż]]</f>
        <v>763</v>
      </c>
    </row>
    <row r="745" spans="1:6" x14ac:dyDescent="0.25">
      <c r="A745" s="2">
        <v>44669</v>
      </c>
      <c r="B745" s="1" t="s">
        <v>7</v>
      </c>
      <c r="C745" s="1" t="s">
        <v>16</v>
      </c>
      <c r="D745" s="1" t="s">
        <v>62</v>
      </c>
      <c r="E745">
        <v>590</v>
      </c>
      <c r="F745" s="1">
        <f>VLOOKUP(jablka[[#This Row],[Nazwa]],cennik[],2,0) * jablka[[#This Row],[sprzedaż]]</f>
        <v>2006</v>
      </c>
    </row>
    <row r="746" spans="1:6" x14ac:dyDescent="0.25">
      <c r="A746" s="2">
        <v>44669</v>
      </c>
      <c r="B746" s="1" t="s">
        <v>4</v>
      </c>
      <c r="C746" s="1" t="s">
        <v>16</v>
      </c>
      <c r="D746" s="1" t="s">
        <v>65</v>
      </c>
      <c r="E746">
        <v>426</v>
      </c>
      <c r="F746" s="1">
        <f>VLOOKUP(jablka[[#This Row],[Nazwa]],cennik[],2,0) * jablka[[#This Row],[sprzedaż]]</f>
        <v>1448.3999999999999</v>
      </c>
    </row>
    <row r="747" spans="1:6" x14ac:dyDescent="0.25">
      <c r="A747" s="2">
        <v>44669</v>
      </c>
      <c r="B747" s="1" t="s">
        <v>7</v>
      </c>
      <c r="C747" s="1" t="s">
        <v>16</v>
      </c>
      <c r="D747" s="1" t="s">
        <v>44</v>
      </c>
      <c r="E747">
        <v>674</v>
      </c>
      <c r="F747" s="1">
        <f>VLOOKUP(jablka[[#This Row],[Nazwa]],cennik[],2,0) * jablka[[#This Row],[sprzedaż]]</f>
        <v>2291.6</v>
      </c>
    </row>
    <row r="748" spans="1:6" x14ac:dyDescent="0.25">
      <c r="A748" s="2">
        <v>44669</v>
      </c>
      <c r="B748" s="1" t="s">
        <v>2</v>
      </c>
      <c r="C748" s="1" t="s">
        <v>16</v>
      </c>
      <c r="D748" s="1" t="s">
        <v>21</v>
      </c>
      <c r="E748">
        <v>500</v>
      </c>
      <c r="F748" s="1">
        <f>VLOOKUP(jablka[[#This Row],[Nazwa]],cennik[],2,0) * jablka[[#This Row],[sprzedaż]]</f>
        <v>1600</v>
      </c>
    </row>
    <row r="749" spans="1:6" x14ac:dyDescent="0.25">
      <c r="A749" s="2">
        <v>44669</v>
      </c>
      <c r="B749" s="1" t="s">
        <v>8</v>
      </c>
      <c r="C749" s="1" t="s">
        <v>16</v>
      </c>
      <c r="D749" s="1" t="s">
        <v>56</v>
      </c>
      <c r="E749">
        <v>222</v>
      </c>
      <c r="F749" s="1">
        <f>VLOOKUP(jablka[[#This Row],[Nazwa]],cennik[],2,0) * jablka[[#This Row],[sprzedaż]]</f>
        <v>777</v>
      </c>
    </row>
    <row r="750" spans="1:6" x14ac:dyDescent="0.25">
      <c r="A750" s="2">
        <v>44669</v>
      </c>
      <c r="B750" s="1" t="s">
        <v>0</v>
      </c>
      <c r="C750" s="1" t="s">
        <v>16</v>
      </c>
      <c r="D750" s="1" t="s">
        <v>22</v>
      </c>
      <c r="E750">
        <v>440</v>
      </c>
      <c r="F750" s="1">
        <f>VLOOKUP(jablka[[#This Row],[Nazwa]],cennik[],2,0) * jablka[[#This Row],[sprzedaż]]</f>
        <v>1276</v>
      </c>
    </row>
    <row r="751" spans="1:6" x14ac:dyDescent="0.25">
      <c r="A751" s="2">
        <v>44669</v>
      </c>
      <c r="B751" s="1" t="s">
        <v>15</v>
      </c>
      <c r="C751" s="1" t="s">
        <v>16</v>
      </c>
      <c r="D751" s="1" t="s">
        <v>46</v>
      </c>
      <c r="E751">
        <v>207</v>
      </c>
      <c r="F751" s="1">
        <f>VLOOKUP(jablka[[#This Row],[Nazwa]],cennik[],2,0) * jablka[[#This Row],[sprzedaż]]</f>
        <v>496.79999999999995</v>
      </c>
    </row>
    <row r="752" spans="1:6" x14ac:dyDescent="0.25">
      <c r="A752" s="2">
        <v>44669</v>
      </c>
      <c r="B752" s="1" t="s">
        <v>8</v>
      </c>
      <c r="C752" s="1" t="s">
        <v>16</v>
      </c>
      <c r="D752" s="1" t="s">
        <v>46</v>
      </c>
      <c r="E752">
        <v>481</v>
      </c>
      <c r="F752" s="1">
        <f>VLOOKUP(jablka[[#This Row],[Nazwa]],cennik[],2,0) * jablka[[#This Row],[sprzedaż]]</f>
        <v>1683.5</v>
      </c>
    </row>
    <row r="753" spans="1:6" x14ac:dyDescent="0.25">
      <c r="A753" s="2">
        <v>44669</v>
      </c>
      <c r="B753" s="1" t="s">
        <v>15</v>
      </c>
      <c r="C753" s="1" t="s">
        <v>16</v>
      </c>
      <c r="D753" s="1" t="s">
        <v>66</v>
      </c>
      <c r="E753">
        <v>540</v>
      </c>
      <c r="F753" s="1">
        <f>VLOOKUP(jablka[[#This Row],[Nazwa]],cennik[],2,0) * jablka[[#This Row],[sprzedaż]]</f>
        <v>1296</v>
      </c>
    </row>
    <row r="754" spans="1:6" x14ac:dyDescent="0.25">
      <c r="A754" s="2">
        <v>44669</v>
      </c>
      <c r="B754" s="1" t="s">
        <v>4</v>
      </c>
      <c r="C754" s="1" t="s">
        <v>16</v>
      </c>
      <c r="D754" s="1" t="s">
        <v>18</v>
      </c>
      <c r="E754">
        <v>616</v>
      </c>
      <c r="F754" s="1">
        <f>VLOOKUP(jablka[[#This Row],[Nazwa]],cennik[],2,0) * jablka[[#This Row],[sprzedaż]]</f>
        <v>2094.4</v>
      </c>
    </row>
    <row r="755" spans="1:6" x14ac:dyDescent="0.25">
      <c r="A755" s="2">
        <v>44669</v>
      </c>
      <c r="B755" s="1" t="s">
        <v>5</v>
      </c>
      <c r="C755" s="1" t="s">
        <v>16</v>
      </c>
      <c r="D755" s="1" t="s">
        <v>26</v>
      </c>
      <c r="E755">
        <v>304</v>
      </c>
      <c r="F755" s="1">
        <f>VLOOKUP(jablka[[#This Row],[Nazwa]],cennik[],2,0) * jablka[[#This Row],[sprzedaż]]</f>
        <v>1033.5999999999999</v>
      </c>
    </row>
    <row r="756" spans="1:6" x14ac:dyDescent="0.25">
      <c r="A756" s="2">
        <v>44669</v>
      </c>
      <c r="B756" s="1" t="s">
        <v>4</v>
      </c>
      <c r="C756" s="1" t="s">
        <v>16</v>
      </c>
      <c r="D756" s="1" t="s">
        <v>23</v>
      </c>
      <c r="E756">
        <v>359</v>
      </c>
      <c r="F756" s="1">
        <f>VLOOKUP(jablka[[#This Row],[Nazwa]],cennik[],2,0) * jablka[[#This Row],[sprzedaż]]</f>
        <v>1220.5999999999999</v>
      </c>
    </row>
    <row r="757" spans="1:6" x14ac:dyDescent="0.25">
      <c r="A757" s="2">
        <v>44669</v>
      </c>
      <c r="B757" s="1" t="s">
        <v>2</v>
      </c>
      <c r="C757" s="1" t="s">
        <v>16</v>
      </c>
      <c r="D757" s="1" t="s">
        <v>38</v>
      </c>
      <c r="E757">
        <v>169</v>
      </c>
      <c r="F757" s="1">
        <f>VLOOKUP(jablka[[#This Row],[Nazwa]],cennik[],2,0) * jablka[[#This Row],[sprzedaż]]</f>
        <v>540.80000000000007</v>
      </c>
    </row>
    <row r="758" spans="1:6" x14ac:dyDescent="0.25">
      <c r="A758" s="2">
        <v>44669</v>
      </c>
      <c r="B758" s="1" t="s">
        <v>0</v>
      </c>
      <c r="C758" s="1" t="s">
        <v>16</v>
      </c>
      <c r="D758" s="1" t="s">
        <v>34</v>
      </c>
      <c r="E758">
        <v>277</v>
      </c>
      <c r="F758" s="1">
        <f>VLOOKUP(jablka[[#This Row],[Nazwa]],cennik[],2,0) * jablka[[#This Row],[sprzedaż]]</f>
        <v>803.3</v>
      </c>
    </row>
    <row r="759" spans="1:6" x14ac:dyDescent="0.25">
      <c r="A759" s="2">
        <v>44669</v>
      </c>
      <c r="B759" s="1" t="s">
        <v>2</v>
      </c>
      <c r="C759" s="1" t="s">
        <v>16</v>
      </c>
      <c r="D759" s="1" t="s">
        <v>47</v>
      </c>
      <c r="E759">
        <v>271</v>
      </c>
      <c r="F759" s="1">
        <f>VLOOKUP(jablka[[#This Row],[Nazwa]],cennik[],2,0) * jablka[[#This Row],[sprzedaż]]</f>
        <v>867.2</v>
      </c>
    </row>
    <row r="760" spans="1:6" x14ac:dyDescent="0.25">
      <c r="A760" s="2">
        <v>44670</v>
      </c>
      <c r="B760" s="1" t="s">
        <v>6</v>
      </c>
      <c r="C760" s="1" t="s">
        <v>16</v>
      </c>
      <c r="D760" s="1" t="s">
        <v>26</v>
      </c>
      <c r="E760">
        <v>474</v>
      </c>
      <c r="F760" s="1">
        <f>VLOOKUP(jablka[[#This Row],[Nazwa]],cennik[],2,0) * jablka[[#This Row],[sprzedaż]]</f>
        <v>1611.6</v>
      </c>
    </row>
    <row r="761" spans="1:6" x14ac:dyDescent="0.25">
      <c r="A761" s="2">
        <v>44670</v>
      </c>
      <c r="B761" s="1" t="s">
        <v>0</v>
      </c>
      <c r="C761" s="1" t="s">
        <v>16</v>
      </c>
      <c r="D761" s="1" t="s">
        <v>29</v>
      </c>
      <c r="E761">
        <v>264</v>
      </c>
      <c r="F761" s="1">
        <f>VLOOKUP(jablka[[#This Row],[Nazwa]],cennik[],2,0) * jablka[[#This Row],[sprzedaż]]</f>
        <v>765.6</v>
      </c>
    </row>
    <row r="762" spans="1:6" x14ac:dyDescent="0.25">
      <c r="A762" s="2">
        <v>44670</v>
      </c>
      <c r="B762" s="1" t="s">
        <v>4</v>
      </c>
      <c r="C762" s="1" t="s">
        <v>16</v>
      </c>
      <c r="D762" s="1" t="s">
        <v>41</v>
      </c>
      <c r="E762">
        <v>434</v>
      </c>
      <c r="F762" s="1">
        <f>VLOOKUP(jablka[[#This Row],[Nazwa]],cennik[],2,0) * jablka[[#This Row],[sprzedaż]]</f>
        <v>1475.6</v>
      </c>
    </row>
    <row r="763" spans="1:6" x14ac:dyDescent="0.25">
      <c r="A763" s="2">
        <v>44670</v>
      </c>
      <c r="B763" s="1" t="s">
        <v>4</v>
      </c>
      <c r="C763" s="1" t="s">
        <v>16</v>
      </c>
      <c r="D763" s="1" t="s">
        <v>51</v>
      </c>
      <c r="E763">
        <v>591</v>
      </c>
      <c r="F763" s="1">
        <f>VLOOKUP(jablka[[#This Row],[Nazwa]],cennik[],2,0) * jablka[[#This Row],[sprzedaż]]</f>
        <v>2009.3999999999999</v>
      </c>
    </row>
    <row r="764" spans="1:6" x14ac:dyDescent="0.25">
      <c r="A764" s="2">
        <v>44670</v>
      </c>
      <c r="B764" s="1" t="s">
        <v>0</v>
      </c>
      <c r="C764" s="1" t="s">
        <v>16</v>
      </c>
      <c r="D764" s="1" t="s">
        <v>60</v>
      </c>
      <c r="E764">
        <v>288</v>
      </c>
      <c r="F764" s="1">
        <f>VLOOKUP(jablka[[#This Row],[Nazwa]],cennik[],2,0) * jablka[[#This Row],[sprzedaż]]</f>
        <v>835.19999999999993</v>
      </c>
    </row>
    <row r="765" spans="1:6" x14ac:dyDescent="0.25">
      <c r="A765" s="2">
        <v>44670</v>
      </c>
      <c r="B765" s="1" t="s">
        <v>8</v>
      </c>
      <c r="C765" s="1" t="s">
        <v>16</v>
      </c>
      <c r="D765" s="1" t="s">
        <v>61</v>
      </c>
      <c r="E765">
        <v>469</v>
      </c>
      <c r="F765" s="1">
        <f>VLOOKUP(jablka[[#This Row],[Nazwa]],cennik[],2,0) * jablka[[#This Row],[sprzedaż]]</f>
        <v>1641.5</v>
      </c>
    </row>
    <row r="766" spans="1:6" x14ac:dyDescent="0.25">
      <c r="A766" s="2">
        <v>44670</v>
      </c>
      <c r="B766" s="1" t="s">
        <v>15</v>
      </c>
      <c r="C766" s="1" t="s">
        <v>16</v>
      </c>
      <c r="D766" s="1" t="s">
        <v>24</v>
      </c>
      <c r="E766">
        <v>390</v>
      </c>
      <c r="F766" s="1">
        <f>VLOOKUP(jablka[[#This Row],[Nazwa]],cennik[],2,0) * jablka[[#This Row],[sprzedaż]]</f>
        <v>936</v>
      </c>
    </row>
    <row r="767" spans="1:6" x14ac:dyDescent="0.25">
      <c r="A767" s="2">
        <v>44670</v>
      </c>
      <c r="B767" s="1" t="s">
        <v>0</v>
      </c>
      <c r="C767" s="1" t="s">
        <v>16</v>
      </c>
      <c r="D767" s="1" t="s">
        <v>61</v>
      </c>
      <c r="E767">
        <v>89</v>
      </c>
      <c r="F767" s="1">
        <f>VLOOKUP(jablka[[#This Row],[Nazwa]],cennik[],2,0) * jablka[[#This Row],[sprzedaż]]</f>
        <v>258.09999999999997</v>
      </c>
    </row>
    <row r="768" spans="1:6" x14ac:dyDescent="0.25">
      <c r="A768" s="2">
        <v>44670</v>
      </c>
      <c r="B768" s="1" t="s">
        <v>10</v>
      </c>
      <c r="C768" s="1" t="s">
        <v>16</v>
      </c>
      <c r="D768" s="1" t="s">
        <v>47</v>
      </c>
      <c r="E768">
        <v>56</v>
      </c>
      <c r="F768" s="1">
        <f>VLOOKUP(jablka[[#This Row],[Nazwa]],cennik[],2,0) * jablka[[#This Row],[sprzedaż]]</f>
        <v>190.4</v>
      </c>
    </row>
    <row r="769" spans="1:6" x14ac:dyDescent="0.25">
      <c r="A769" s="2">
        <v>44671</v>
      </c>
      <c r="B769" s="1" t="s">
        <v>5</v>
      </c>
      <c r="C769" s="1" t="s">
        <v>16</v>
      </c>
      <c r="D769" s="1" t="s">
        <v>24</v>
      </c>
      <c r="E769">
        <v>354</v>
      </c>
      <c r="F769" s="1">
        <f>VLOOKUP(jablka[[#This Row],[Nazwa]],cennik[],2,0) * jablka[[#This Row],[sprzedaż]]</f>
        <v>1203.5999999999999</v>
      </c>
    </row>
    <row r="770" spans="1:6" x14ac:dyDescent="0.25">
      <c r="A770" s="2">
        <v>44671</v>
      </c>
      <c r="B770" s="1" t="s">
        <v>6</v>
      </c>
      <c r="C770" s="1" t="s">
        <v>16</v>
      </c>
      <c r="D770" s="1" t="s">
        <v>49</v>
      </c>
      <c r="E770">
        <v>189</v>
      </c>
      <c r="F770" s="1">
        <f>VLOOKUP(jablka[[#This Row],[Nazwa]],cennik[],2,0) * jablka[[#This Row],[sprzedaż]]</f>
        <v>642.6</v>
      </c>
    </row>
    <row r="771" spans="1:6" x14ac:dyDescent="0.25">
      <c r="A771" s="2">
        <v>44671</v>
      </c>
      <c r="B771" s="1" t="s">
        <v>6</v>
      </c>
      <c r="C771" s="1" t="s">
        <v>16</v>
      </c>
      <c r="D771" s="1" t="s">
        <v>61</v>
      </c>
      <c r="E771">
        <v>349</v>
      </c>
      <c r="F771" s="1">
        <f>VLOOKUP(jablka[[#This Row],[Nazwa]],cennik[],2,0) * jablka[[#This Row],[sprzedaż]]</f>
        <v>1186.5999999999999</v>
      </c>
    </row>
    <row r="772" spans="1:6" x14ac:dyDescent="0.25">
      <c r="A772" s="2">
        <v>44671</v>
      </c>
      <c r="B772" s="1" t="s">
        <v>0</v>
      </c>
      <c r="C772" s="1" t="s">
        <v>16</v>
      </c>
      <c r="D772" s="1" t="s">
        <v>46</v>
      </c>
      <c r="E772">
        <v>393</v>
      </c>
      <c r="F772" s="1">
        <f>VLOOKUP(jablka[[#This Row],[Nazwa]],cennik[],2,0) * jablka[[#This Row],[sprzedaż]]</f>
        <v>1139.7</v>
      </c>
    </row>
    <row r="773" spans="1:6" x14ac:dyDescent="0.25">
      <c r="A773" s="2">
        <v>44671</v>
      </c>
      <c r="B773" s="1" t="s">
        <v>5</v>
      </c>
      <c r="C773" s="1" t="s">
        <v>16</v>
      </c>
      <c r="D773" s="1" t="s">
        <v>39</v>
      </c>
      <c r="E773">
        <v>166</v>
      </c>
      <c r="F773" s="1">
        <f>VLOOKUP(jablka[[#This Row],[Nazwa]],cennik[],2,0) * jablka[[#This Row],[sprzedaż]]</f>
        <v>564.4</v>
      </c>
    </row>
    <row r="774" spans="1:6" x14ac:dyDescent="0.25">
      <c r="A774" s="2">
        <v>44672</v>
      </c>
      <c r="B774" s="1" t="s">
        <v>15</v>
      </c>
      <c r="C774" s="1" t="s">
        <v>16</v>
      </c>
      <c r="D774" s="1" t="s">
        <v>23</v>
      </c>
      <c r="E774">
        <v>422</v>
      </c>
      <c r="F774" s="1">
        <f>VLOOKUP(jablka[[#This Row],[Nazwa]],cennik[],2,0) * jablka[[#This Row],[sprzedaż]]</f>
        <v>1012.8</v>
      </c>
    </row>
    <row r="775" spans="1:6" x14ac:dyDescent="0.25">
      <c r="A775" s="2">
        <v>44672</v>
      </c>
      <c r="B775" s="1" t="s">
        <v>10</v>
      </c>
      <c r="C775" s="1" t="s">
        <v>16</v>
      </c>
      <c r="D775" s="1" t="s">
        <v>39</v>
      </c>
      <c r="E775">
        <v>148</v>
      </c>
      <c r="F775" s="1">
        <f>VLOOKUP(jablka[[#This Row],[Nazwa]],cennik[],2,0) * jablka[[#This Row],[sprzedaż]]</f>
        <v>503.2</v>
      </c>
    </row>
    <row r="776" spans="1:6" x14ac:dyDescent="0.25">
      <c r="A776" s="2">
        <v>44672</v>
      </c>
      <c r="B776" s="1" t="s">
        <v>10</v>
      </c>
      <c r="C776" s="1" t="s">
        <v>16</v>
      </c>
      <c r="D776" s="1" t="s">
        <v>52</v>
      </c>
      <c r="E776">
        <v>344</v>
      </c>
      <c r="F776" s="1">
        <f>VLOOKUP(jablka[[#This Row],[Nazwa]],cennik[],2,0) * jablka[[#This Row],[sprzedaż]]</f>
        <v>1169.5999999999999</v>
      </c>
    </row>
    <row r="777" spans="1:6" x14ac:dyDescent="0.25">
      <c r="A777" s="2">
        <v>44672</v>
      </c>
      <c r="B777" s="1" t="s">
        <v>2</v>
      </c>
      <c r="C777" s="1" t="s">
        <v>16</v>
      </c>
      <c r="D777" s="1" t="s">
        <v>40</v>
      </c>
      <c r="E777">
        <v>27</v>
      </c>
      <c r="F777" s="1">
        <f>VLOOKUP(jablka[[#This Row],[Nazwa]],cennik[],2,0) * jablka[[#This Row],[sprzedaż]]</f>
        <v>86.4</v>
      </c>
    </row>
    <row r="778" spans="1:6" x14ac:dyDescent="0.25">
      <c r="A778" s="2">
        <v>44672</v>
      </c>
      <c r="B778" s="1" t="s">
        <v>8</v>
      </c>
      <c r="C778" s="1" t="s">
        <v>16</v>
      </c>
      <c r="D778" s="1" t="s">
        <v>36</v>
      </c>
      <c r="E778">
        <v>577</v>
      </c>
      <c r="F778" s="1">
        <f>VLOOKUP(jablka[[#This Row],[Nazwa]],cennik[],2,0) * jablka[[#This Row],[sprzedaż]]</f>
        <v>2019.5</v>
      </c>
    </row>
    <row r="779" spans="1:6" x14ac:dyDescent="0.25">
      <c r="A779" s="2">
        <v>44673</v>
      </c>
      <c r="B779" s="1" t="s">
        <v>10</v>
      </c>
      <c r="C779" s="1" t="s">
        <v>16</v>
      </c>
      <c r="D779" s="1" t="s">
        <v>66</v>
      </c>
      <c r="E779">
        <v>306</v>
      </c>
      <c r="F779" s="1">
        <f>VLOOKUP(jablka[[#This Row],[Nazwa]],cennik[],2,0) * jablka[[#This Row],[sprzedaż]]</f>
        <v>1040.3999999999999</v>
      </c>
    </row>
    <row r="780" spans="1:6" x14ac:dyDescent="0.25">
      <c r="A780" s="2">
        <v>44673</v>
      </c>
      <c r="B780" s="1" t="s">
        <v>7</v>
      </c>
      <c r="C780" s="1" t="s">
        <v>16</v>
      </c>
      <c r="D780" s="1" t="s">
        <v>61</v>
      </c>
      <c r="E780">
        <v>266</v>
      </c>
      <c r="F780" s="1">
        <f>VLOOKUP(jablka[[#This Row],[Nazwa]],cennik[],2,0) * jablka[[#This Row],[sprzedaż]]</f>
        <v>904.4</v>
      </c>
    </row>
    <row r="781" spans="1:6" x14ac:dyDescent="0.25">
      <c r="A781" s="2">
        <v>44673</v>
      </c>
      <c r="B781" s="1" t="s">
        <v>10</v>
      </c>
      <c r="C781" s="1" t="s">
        <v>16</v>
      </c>
      <c r="D781" s="1" t="s">
        <v>39</v>
      </c>
      <c r="E781">
        <v>292</v>
      </c>
      <c r="F781" s="1">
        <f>VLOOKUP(jablka[[#This Row],[Nazwa]],cennik[],2,0) * jablka[[#This Row],[sprzedaż]]</f>
        <v>992.8</v>
      </c>
    </row>
    <row r="782" spans="1:6" x14ac:dyDescent="0.25">
      <c r="A782" s="2">
        <v>44673</v>
      </c>
      <c r="B782" s="1" t="s">
        <v>2</v>
      </c>
      <c r="C782" s="1" t="s">
        <v>16</v>
      </c>
      <c r="D782" s="1" t="s">
        <v>58</v>
      </c>
      <c r="E782">
        <v>383</v>
      </c>
      <c r="F782" s="1">
        <f>VLOOKUP(jablka[[#This Row],[Nazwa]],cennik[],2,0) * jablka[[#This Row],[sprzedaż]]</f>
        <v>1225.6000000000001</v>
      </c>
    </row>
    <row r="783" spans="1:6" x14ac:dyDescent="0.25">
      <c r="A783" s="2">
        <v>44673</v>
      </c>
      <c r="B783" s="1" t="s">
        <v>5</v>
      </c>
      <c r="C783" s="1" t="s">
        <v>16</v>
      </c>
      <c r="D783" s="1" t="s">
        <v>22</v>
      </c>
      <c r="E783">
        <v>356</v>
      </c>
      <c r="F783" s="1">
        <f>VLOOKUP(jablka[[#This Row],[Nazwa]],cennik[],2,0) * jablka[[#This Row],[sprzedaż]]</f>
        <v>1210.3999999999999</v>
      </c>
    </row>
    <row r="784" spans="1:6" x14ac:dyDescent="0.25">
      <c r="A784" s="2">
        <v>44673</v>
      </c>
      <c r="B784" s="1" t="s">
        <v>5</v>
      </c>
      <c r="C784" s="1" t="s">
        <v>16</v>
      </c>
      <c r="D784" s="1" t="s">
        <v>30</v>
      </c>
      <c r="E784">
        <v>388</v>
      </c>
      <c r="F784" s="1">
        <f>VLOOKUP(jablka[[#This Row],[Nazwa]],cennik[],2,0) * jablka[[#This Row],[sprzedaż]]</f>
        <v>1319.2</v>
      </c>
    </row>
    <row r="785" spans="1:6" x14ac:dyDescent="0.25">
      <c r="A785" s="2">
        <v>44674</v>
      </c>
      <c r="B785" s="1" t="s">
        <v>0</v>
      </c>
      <c r="C785" s="1" t="s">
        <v>16</v>
      </c>
      <c r="D785" s="1" t="s">
        <v>24</v>
      </c>
      <c r="E785">
        <v>246</v>
      </c>
      <c r="F785" s="1">
        <f>VLOOKUP(jablka[[#This Row],[Nazwa]],cennik[],2,0) * jablka[[#This Row],[sprzedaż]]</f>
        <v>713.4</v>
      </c>
    </row>
    <row r="786" spans="1:6" x14ac:dyDescent="0.25">
      <c r="A786" s="2">
        <v>44674</v>
      </c>
      <c r="B786" s="1" t="s">
        <v>4</v>
      </c>
      <c r="C786" s="1" t="s">
        <v>16</v>
      </c>
      <c r="D786" s="1" t="s">
        <v>65</v>
      </c>
      <c r="E786">
        <v>710</v>
      </c>
      <c r="F786" s="1">
        <f>VLOOKUP(jablka[[#This Row],[Nazwa]],cennik[],2,0) * jablka[[#This Row],[sprzedaż]]</f>
        <v>2414</v>
      </c>
    </row>
    <row r="787" spans="1:6" x14ac:dyDescent="0.25">
      <c r="A787" s="2">
        <v>44674</v>
      </c>
      <c r="B787" s="1" t="s">
        <v>4</v>
      </c>
      <c r="C787" s="1" t="s">
        <v>16</v>
      </c>
      <c r="D787" s="1" t="s">
        <v>36</v>
      </c>
      <c r="E787">
        <v>549</v>
      </c>
      <c r="F787" s="1">
        <f>VLOOKUP(jablka[[#This Row],[Nazwa]],cennik[],2,0) * jablka[[#This Row],[sprzedaż]]</f>
        <v>1866.6</v>
      </c>
    </row>
    <row r="788" spans="1:6" x14ac:dyDescent="0.25">
      <c r="A788" s="2">
        <v>44674</v>
      </c>
      <c r="B788" s="1" t="s">
        <v>8</v>
      </c>
      <c r="C788" s="1" t="s">
        <v>16</v>
      </c>
      <c r="D788" s="1" t="s">
        <v>23</v>
      </c>
      <c r="E788">
        <v>580</v>
      </c>
      <c r="F788" s="1">
        <f>VLOOKUP(jablka[[#This Row],[Nazwa]],cennik[],2,0) * jablka[[#This Row],[sprzedaż]]</f>
        <v>2030</v>
      </c>
    </row>
    <row r="789" spans="1:6" x14ac:dyDescent="0.25">
      <c r="A789" s="2">
        <v>44674</v>
      </c>
      <c r="B789" s="1" t="s">
        <v>6</v>
      </c>
      <c r="C789" s="1" t="s">
        <v>16</v>
      </c>
      <c r="D789" s="1" t="s">
        <v>24</v>
      </c>
      <c r="E789">
        <v>237</v>
      </c>
      <c r="F789" s="1">
        <f>VLOOKUP(jablka[[#This Row],[Nazwa]],cennik[],2,0) * jablka[[#This Row],[sprzedaż]]</f>
        <v>805.8</v>
      </c>
    </row>
    <row r="790" spans="1:6" x14ac:dyDescent="0.25">
      <c r="A790" s="2">
        <v>44676</v>
      </c>
      <c r="B790" s="1" t="s">
        <v>8</v>
      </c>
      <c r="C790" s="1" t="s">
        <v>16</v>
      </c>
      <c r="D790" s="1" t="s">
        <v>22</v>
      </c>
      <c r="E790">
        <v>403</v>
      </c>
      <c r="F790" s="1">
        <f>VLOOKUP(jablka[[#This Row],[Nazwa]],cennik[],2,0) * jablka[[#This Row],[sprzedaż]]</f>
        <v>1410.5</v>
      </c>
    </row>
    <row r="791" spans="1:6" x14ac:dyDescent="0.25">
      <c r="A791" s="2">
        <v>44676</v>
      </c>
      <c r="B791" s="1" t="s">
        <v>2</v>
      </c>
      <c r="C791" s="1" t="s">
        <v>16</v>
      </c>
      <c r="D791" s="1" t="s">
        <v>65</v>
      </c>
      <c r="E791">
        <v>415</v>
      </c>
      <c r="F791" s="1">
        <f>VLOOKUP(jablka[[#This Row],[Nazwa]],cennik[],2,0) * jablka[[#This Row],[sprzedaż]]</f>
        <v>1328</v>
      </c>
    </row>
    <row r="792" spans="1:6" x14ac:dyDescent="0.25">
      <c r="A792" s="2">
        <v>44676</v>
      </c>
      <c r="B792" s="1" t="s">
        <v>0</v>
      </c>
      <c r="C792" s="1" t="s">
        <v>16</v>
      </c>
      <c r="D792" s="1" t="s">
        <v>36</v>
      </c>
      <c r="E792">
        <v>319</v>
      </c>
      <c r="F792" s="1">
        <f>VLOOKUP(jablka[[#This Row],[Nazwa]],cennik[],2,0) * jablka[[#This Row],[sprzedaż]]</f>
        <v>925.1</v>
      </c>
    </row>
    <row r="793" spans="1:6" x14ac:dyDescent="0.25">
      <c r="A793" s="2">
        <v>44676</v>
      </c>
      <c r="B793" s="1" t="s">
        <v>5</v>
      </c>
      <c r="C793" s="1" t="s">
        <v>16</v>
      </c>
      <c r="D793" s="1" t="s">
        <v>32</v>
      </c>
      <c r="E793">
        <v>189</v>
      </c>
      <c r="F793" s="1">
        <f>VLOOKUP(jablka[[#This Row],[Nazwa]],cennik[],2,0) * jablka[[#This Row],[sprzedaż]]</f>
        <v>642.6</v>
      </c>
    </row>
    <row r="794" spans="1:6" x14ac:dyDescent="0.25">
      <c r="A794" s="2">
        <v>44676</v>
      </c>
      <c r="B794" s="1" t="s">
        <v>5</v>
      </c>
      <c r="C794" s="1" t="s">
        <v>16</v>
      </c>
      <c r="D794" s="1" t="s">
        <v>21</v>
      </c>
      <c r="E794">
        <v>85</v>
      </c>
      <c r="F794" s="1">
        <f>VLOOKUP(jablka[[#This Row],[Nazwa]],cennik[],2,0) * jablka[[#This Row],[sprzedaż]]</f>
        <v>289</v>
      </c>
    </row>
    <row r="795" spans="1:6" x14ac:dyDescent="0.25">
      <c r="A795" s="2">
        <v>44676</v>
      </c>
      <c r="B795" s="1" t="s">
        <v>7</v>
      </c>
      <c r="C795" s="1" t="s">
        <v>16</v>
      </c>
      <c r="D795" s="1" t="s">
        <v>42</v>
      </c>
      <c r="E795">
        <v>448</v>
      </c>
      <c r="F795" s="1">
        <f>VLOOKUP(jablka[[#This Row],[Nazwa]],cennik[],2,0) * jablka[[#This Row],[sprzedaż]]</f>
        <v>1523.2</v>
      </c>
    </row>
    <row r="796" spans="1:6" x14ac:dyDescent="0.25">
      <c r="A796" s="2">
        <v>44676</v>
      </c>
      <c r="B796" s="1" t="s">
        <v>15</v>
      </c>
      <c r="C796" s="1" t="s">
        <v>16</v>
      </c>
      <c r="D796" s="1" t="s">
        <v>32</v>
      </c>
      <c r="E796">
        <v>389</v>
      </c>
      <c r="F796" s="1">
        <f>VLOOKUP(jablka[[#This Row],[Nazwa]],cennik[],2,0) * jablka[[#This Row],[sprzedaż]]</f>
        <v>933.59999999999991</v>
      </c>
    </row>
    <row r="797" spans="1:6" x14ac:dyDescent="0.25">
      <c r="A797" s="2">
        <v>44676</v>
      </c>
      <c r="B797" s="1" t="s">
        <v>4</v>
      </c>
      <c r="C797" s="1" t="s">
        <v>16</v>
      </c>
      <c r="D797" s="1" t="s">
        <v>27</v>
      </c>
      <c r="E797">
        <v>623</v>
      </c>
      <c r="F797" s="1">
        <f>VLOOKUP(jablka[[#This Row],[Nazwa]],cennik[],2,0) * jablka[[#This Row],[sprzedaż]]</f>
        <v>2118.1999999999998</v>
      </c>
    </row>
    <row r="798" spans="1:6" x14ac:dyDescent="0.25">
      <c r="A798" s="2">
        <v>44676</v>
      </c>
      <c r="B798" s="1" t="s">
        <v>4</v>
      </c>
      <c r="C798" s="1" t="s">
        <v>16</v>
      </c>
      <c r="D798" s="1" t="s">
        <v>28</v>
      </c>
      <c r="E798">
        <v>668</v>
      </c>
      <c r="F798" s="1">
        <f>VLOOKUP(jablka[[#This Row],[Nazwa]],cennik[],2,0) * jablka[[#This Row],[sprzedaż]]</f>
        <v>2271.1999999999998</v>
      </c>
    </row>
    <row r="799" spans="1:6" x14ac:dyDescent="0.25">
      <c r="A799" s="2">
        <v>44676</v>
      </c>
      <c r="B799" s="1" t="s">
        <v>15</v>
      </c>
      <c r="C799" s="1" t="s">
        <v>16</v>
      </c>
      <c r="D799" s="1" t="s">
        <v>63</v>
      </c>
      <c r="E799">
        <v>178</v>
      </c>
      <c r="F799" s="1">
        <f>VLOOKUP(jablka[[#This Row],[Nazwa]],cennik[],2,0) * jablka[[#This Row],[sprzedaż]]</f>
        <v>427.2</v>
      </c>
    </row>
    <row r="800" spans="1:6" x14ac:dyDescent="0.25">
      <c r="A800" s="2">
        <v>44677</v>
      </c>
      <c r="B800" s="1" t="s">
        <v>5</v>
      </c>
      <c r="C800" s="1" t="s">
        <v>16</v>
      </c>
      <c r="D800" s="1" t="s">
        <v>22</v>
      </c>
      <c r="E800">
        <v>338</v>
      </c>
      <c r="F800" s="1">
        <f>VLOOKUP(jablka[[#This Row],[Nazwa]],cennik[],2,0) * jablka[[#This Row],[sprzedaż]]</f>
        <v>1149.2</v>
      </c>
    </row>
    <row r="801" spans="1:6" x14ac:dyDescent="0.25">
      <c r="A801" s="2">
        <v>44677</v>
      </c>
      <c r="B801" s="1" t="s">
        <v>6</v>
      </c>
      <c r="C801" s="1" t="s">
        <v>16</v>
      </c>
      <c r="D801" s="1" t="s">
        <v>21</v>
      </c>
      <c r="E801">
        <v>344</v>
      </c>
      <c r="F801" s="1">
        <f>VLOOKUP(jablka[[#This Row],[Nazwa]],cennik[],2,0) * jablka[[#This Row],[sprzedaż]]</f>
        <v>1169.5999999999999</v>
      </c>
    </row>
    <row r="802" spans="1:6" x14ac:dyDescent="0.25">
      <c r="A802" s="2">
        <v>44677</v>
      </c>
      <c r="B802" s="1" t="s">
        <v>7</v>
      </c>
      <c r="C802" s="1" t="s">
        <v>16</v>
      </c>
      <c r="D802" s="1" t="s">
        <v>50</v>
      </c>
      <c r="E802">
        <v>415</v>
      </c>
      <c r="F802" s="1">
        <f>VLOOKUP(jablka[[#This Row],[Nazwa]],cennik[],2,0) * jablka[[#This Row],[sprzedaż]]</f>
        <v>1411</v>
      </c>
    </row>
    <row r="803" spans="1:6" x14ac:dyDescent="0.25">
      <c r="A803" s="2">
        <v>44678</v>
      </c>
      <c r="B803" s="1" t="s">
        <v>7</v>
      </c>
      <c r="C803" s="1" t="s">
        <v>16</v>
      </c>
      <c r="D803" s="1" t="s">
        <v>40</v>
      </c>
      <c r="E803">
        <v>255</v>
      </c>
      <c r="F803" s="1">
        <f>VLOOKUP(jablka[[#This Row],[Nazwa]],cennik[],2,0) * jablka[[#This Row],[sprzedaż]]</f>
        <v>867</v>
      </c>
    </row>
    <row r="804" spans="1:6" x14ac:dyDescent="0.25">
      <c r="A804" s="2">
        <v>44678</v>
      </c>
      <c r="B804" s="1" t="s">
        <v>2</v>
      </c>
      <c r="C804" s="1" t="s">
        <v>16</v>
      </c>
      <c r="D804" s="1" t="s">
        <v>64</v>
      </c>
      <c r="E804">
        <v>150</v>
      </c>
      <c r="F804" s="1">
        <f>VLOOKUP(jablka[[#This Row],[Nazwa]],cennik[],2,0) * jablka[[#This Row],[sprzedaż]]</f>
        <v>480</v>
      </c>
    </row>
    <row r="805" spans="1:6" x14ac:dyDescent="0.25">
      <c r="A805" s="2">
        <v>44678</v>
      </c>
      <c r="B805" s="1" t="s">
        <v>15</v>
      </c>
      <c r="C805" s="1" t="s">
        <v>16</v>
      </c>
      <c r="D805" s="1" t="s">
        <v>22</v>
      </c>
      <c r="E805">
        <v>383</v>
      </c>
      <c r="F805" s="1">
        <f>VLOOKUP(jablka[[#This Row],[Nazwa]],cennik[],2,0) * jablka[[#This Row],[sprzedaż]]</f>
        <v>919.19999999999993</v>
      </c>
    </row>
    <row r="806" spans="1:6" x14ac:dyDescent="0.25">
      <c r="A806" s="2">
        <v>44678</v>
      </c>
      <c r="B806" s="1" t="s">
        <v>2</v>
      </c>
      <c r="C806" s="1" t="s">
        <v>16</v>
      </c>
      <c r="D806" s="1" t="s">
        <v>62</v>
      </c>
      <c r="E806">
        <v>404</v>
      </c>
      <c r="F806" s="1">
        <f>VLOOKUP(jablka[[#This Row],[Nazwa]],cennik[],2,0) * jablka[[#This Row],[sprzedaż]]</f>
        <v>1292.8000000000002</v>
      </c>
    </row>
    <row r="807" spans="1:6" x14ac:dyDescent="0.25">
      <c r="A807" s="2">
        <v>44678</v>
      </c>
      <c r="B807" s="1" t="s">
        <v>10</v>
      </c>
      <c r="C807" s="1" t="s">
        <v>16</v>
      </c>
      <c r="D807" s="1" t="s">
        <v>23</v>
      </c>
      <c r="E807">
        <v>177</v>
      </c>
      <c r="F807" s="1">
        <f>VLOOKUP(jablka[[#This Row],[Nazwa]],cennik[],2,0) * jablka[[#This Row],[sprzedaż]]</f>
        <v>601.79999999999995</v>
      </c>
    </row>
    <row r="808" spans="1:6" x14ac:dyDescent="0.25">
      <c r="A808" s="2">
        <v>44678</v>
      </c>
      <c r="B808" s="1" t="s">
        <v>15</v>
      </c>
      <c r="C808" s="1" t="s">
        <v>16</v>
      </c>
      <c r="D808" s="1" t="s">
        <v>50</v>
      </c>
      <c r="E808">
        <v>415</v>
      </c>
      <c r="F808" s="1">
        <f>VLOOKUP(jablka[[#This Row],[Nazwa]],cennik[],2,0) * jablka[[#This Row],[sprzedaż]]</f>
        <v>996</v>
      </c>
    </row>
    <row r="809" spans="1:6" x14ac:dyDescent="0.25">
      <c r="A809" s="2">
        <v>44678</v>
      </c>
      <c r="B809" s="1" t="s">
        <v>7</v>
      </c>
      <c r="C809" s="1" t="s">
        <v>16</v>
      </c>
      <c r="D809" s="1" t="s">
        <v>62</v>
      </c>
      <c r="E809">
        <v>475</v>
      </c>
      <c r="F809" s="1">
        <f>VLOOKUP(jablka[[#This Row],[Nazwa]],cennik[],2,0) * jablka[[#This Row],[sprzedaż]]</f>
        <v>1615</v>
      </c>
    </row>
    <row r="810" spans="1:6" x14ac:dyDescent="0.25">
      <c r="A810" s="2">
        <v>44678</v>
      </c>
      <c r="B810" s="1" t="s">
        <v>4</v>
      </c>
      <c r="C810" s="1" t="s">
        <v>16</v>
      </c>
      <c r="D810" s="1" t="s">
        <v>33</v>
      </c>
      <c r="E810">
        <v>423</v>
      </c>
      <c r="F810" s="1">
        <f>VLOOKUP(jablka[[#This Row],[Nazwa]],cennik[],2,0) * jablka[[#This Row],[sprzedaż]]</f>
        <v>1438.2</v>
      </c>
    </row>
    <row r="811" spans="1:6" x14ac:dyDescent="0.25">
      <c r="A811" s="2">
        <v>44678</v>
      </c>
      <c r="B811" s="1" t="s">
        <v>15</v>
      </c>
      <c r="C811" s="1" t="s">
        <v>16</v>
      </c>
      <c r="D811" s="1" t="s">
        <v>57</v>
      </c>
      <c r="E811">
        <v>487</v>
      </c>
      <c r="F811" s="1">
        <f>VLOOKUP(jablka[[#This Row],[Nazwa]],cennik[],2,0) * jablka[[#This Row],[sprzedaż]]</f>
        <v>1168.8</v>
      </c>
    </row>
    <row r="812" spans="1:6" x14ac:dyDescent="0.25">
      <c r="A812" s="2">
        <v>44678</v>
      </c>
      <c r="B812" s="1" t="s">
        <v>15</v>
      </c>
      <c r="C812" s="1" t="s">
        <v>16</v>
      </c>
      <c r="D812" s="1" t="s">
        <v>64</v>
      </c>
      <c r="E812">
        <v>253</v>
      </c>
      <c r="F812" s="1">
        <f>VLOOKUP(jablka[[#This Row],[Nazwa]],cennik[],2,0) * jablka[[#This Row],[sprzedaż]]</f>
        <v>607.19999999999993</v>
      </c>
    </row>
    <row r="813" spans="1:6" x14ac:dyDescent="0.25">
      <c r="A813" s="2">
        <v>44678</v>
      </c>
      <c r="B813" s="1" t="s">
        <v>2</v>
      </c>
      <c r="C813" s="1" t="s">
        <v>16</v>
      </c>
      <c r="D813" s="1" t="s">
        <v>30</v>
      </c>
      <c r="E813">
        <v>81</v>
      </c>
      <c r="F813" s="1">
        <f>VLOOKUP(jablka[[#This Row],[Nazwa]],cennik[],2,0) * jablka[[#This Row],[sprzedaż]]</f>
        <v>259.2</v>
      </c>
    </row>
    <row r="814" spans="1:6" x14ac:dyDescent="0.25">
      <c r="A814" s="2">
        <v>44678</v>
      </c>
      <c r="B814" s="1" t="s">
        <v>7</v>
      </c>
      <c r="C814" s="1" t="s">
        <v>16</v>
      </c>
      <c r="D814" s="1" t="s">
        <v>61</v>
      </c>
      <c r="E814">
        <v>467</v>
      </c>
      <c r="F814" s="1">
        <f>VLOOKUP(jablka[[#This Row],[Nazwa]],cennik[],2,0) * jablka[[#This Row],[sprzedaż]]</f>
        <v>1587.8</v>
      </c>
    </row>
    <row r="815" spans="1:6" x14ac:dyDescent="0.25">
      <c r="A815" s="2">
        <v>44679</v>
      </c>
      <c r="B815" s="1" t="s">
        <v>5</v>
      </c>
      <c r="C815" s="1" t="s">
        <v>16</v>
      </c>
      <c r="D815" s="1" t="s">
        <v>43</v>
      </c>
      <c r="E815">
        <v>156</v>
      </c>
      <c r="F815" s="1">
        <f>VLOOKUP(jablka[[#This Row],[Nazwa]],cennik[],2,0) * jablka[[#This Row],[sprzedaż]]</f>
        <v>530.4</v>
      </c>
    </row>
    <row r="816" spans="1:6" x14ac:dyDescent="0.25">
      <c r="A816" s="2">
        <v>44679</v>
      </c>
      <c r="B816" s="1" t="s">
        <v>8</v>
      </c>
      <c r="C816" s="1" t="s">
        <v>16</v>
      </c>
      <c r="D816" s="1" t="s">
        <v>30</v>
      </c>
      <c r="E816">
        <v>303</v>
      </c>
      <c r="F816" s="1">
        <f>VLOOKUP(jablka[[#This Row],[Nazwa]],cennik[],2,0) * jablka[[#This Row],[sprzedaż]]</f>
        <v>1060.5</v>
      </c>
    </row>
    <row r="817" spans="1:6" x14ac:dyDescent="0.25">
      <c r="A817" s="2">
        <v>44679</v>
      </c>
      <c r="B817" s="1" t="s">
        <v>2</v>
      </c>
      <c r="C817" s="1" t="s">
        <v>16</v>
      </c>
      <c r="D817" s="1" t="s">
        <v>17</v>
      </c>
      <c r="E817">
        <v>122</v>
      </c>
      <c r="F817" s="1">
        <f>VLOOKUP(jablka[[#This Row],[Nazwa]],cennik[],2,0) * jablka[[#This Row],[sprzedaż]]</f>
        <v>390.40000000000003</v>
      </c>
    </row>
    <row r="818" spans="1:6" x14ac:dyDescent="0.25">
      <c r="A818" s="2">
        <v>44679</v>
      </c>
      <c r="B818" s="1" t="s">
        <v>0</v>
      </c>
      <c r="C818" s="1" t="s">
        <v>16</v>
      </c>
      <c r="D818" s="1" t="s">
        <v>57</v>
      </c>
      <c r="E818">
        <v>76</v>
      </c>
      <c r="F818" s="1">
        <f>VLOOKUP(jablka[[#This Row],[Nazwa]],cennik[],2,0) * jablka[[#This Row],[sprzedaż]]</f>
        <v>220.4</v>
      </c>
    </row>
    <row r="819" spans="1:6" x14ac:dyDescent="0.25">
      <c r="A819" s="2">
        <v>44679</v>
      </c>
      <c r="B819" s="1" t="s">
        <v>7</v>
      </c>
      <c r="C819" s="1" t="s">
        <v>16</v>
      </c>
      <c r="D819" s="1" t="s">
        <v>43</v>
      </c>
      <c r="E819">
        <v>648</v>
      </c>
      <c r="F819" s="1">
        <f>VLOOKUP(jablka[[#This Row],[Nazwa]],cennik[],2,0) * jablka[[#This Row],[sprzedaż]]</f>
        <v>2203.1999999999998</v>
      </c>
    </row>
    <row r="820" spans="1:6" x14ac:dyDescent="0.25">
      <c r="A820" s="2">
        <v>44679</v>
      </c>
      <c r="B820" s="1" t="s">
        <v>8</v>
      </c>
      <c r="C820" s="1" t="s">
        <v>16</v>
      </c>
      <c r="D820" s="1" t="s">
        <v>21</v>
      </c>
      <c r="E820">
        <v>583</v>
      </c>
      <c r="F820" s="1">
        <f>VLOOKUP(jablka[[#This Row],[Nazwa]],cennik[],2,0) * jablka[[#This Row],[sprzedaż]]</f>
        <v>2040.5</v>
      </c>
    </row>
    <row r="821" spans="1:6" x14ac:dyDescent="0.25">
      <c r="A821" s="2">
        <v>44679</v>
      </c>
      <c r="B821" s="1" t="s">
        <v>6</v>
      </c>
      <c r="C821" s="1" t="s">
        <v>16</v>
      </c>
      <c r="D821" s="1" t="s">
        <v>21</v>
      </c>
      <c r="E821">
        <v>132</v>
      </c>
      <c r="F821" s="1">
        <f>VLOOKUP(jablka[[#This Row],[Nazwa]],cennik[],2,0) * jablka[[#This Row],[sprzedaż]]</f>
        <v>448.8</v>
      </c>
    </row>
    <row r="822" spans="1:6" x14ac:dyDescent="0.25">
      <c r="A822" s="2">
        <v>44679</v>
      </c>
      <c r="B822" s="1" t="s">
        <v>5</v>
      </c>
      <c r="C822" s="1" t="s">
        <v>16</v>
      </c>
      <c r="D822" s="1" t="s">
        <v>18</v>
      </c>
      <c r="E822">
        <v>101</v>
      </c>
      <c r="F822" s="1">
        <f>VLOOKUP(jablka[[#This Row],[Nazwa]],cennik[],2,0) * jablka[[#This Row],[sprzedaż]]</f>
        <v>343.4</v>
      </c>
    </row>
    <row r="823" spans="1:6" x14ac:dyDescent="0.25">
      <c r="A823" s="2">
        <v>44679</v>
      </c>
      <c r="B823" s="1" t="s">
        <v>2</v>
      </c>
      <c r="C823" s="1" t="s">
        <v>16</v>
      </c>
      <c r="D823" s="1" t="s">
        <v>52</v>
      </c>
      <c r="E823">
        <v>297</v>
      </c>
      <c r="F823" s="1">
        <f>VLOOKUP(jablka[[#This Row],[Nazwa]],cennik[],2,0) * jablka[[#This Row],[sprzedaż]]</f>
        <v>950.40000000000009</v>
      </c>
    </row>
    <row r="824" spans="1:6" x14ac:dyDescent="0.25">
      <c r="A824" s="2">
        <v>44679</v>
      </c>
      <c r="B824" s="1" t="s">
        <v>2</v>
      </c>
      <c r="C824" s="1" t="s">
        <v>16</v>
      </c>
      <c r="D824" s="1" t="s">
        <v>62</v>
      </c>
      <c r="E824">
        <v>390</v>
      </c>
      <c r="F824" s="1">
        <f>VLOOKUP(jablka[[#This Row],[Nazwa]],cennik[],2,0) * jablka[[#This Row],[sprzedaż]]</f>
        <v>1248</v>
      </c>
    </row>
    <row r="825" spans="1:6" x14ac:dyDescent="0.25">
      <c r="A825" s="2">
        <v>44679</v>
      </c>
      <c r="B825" s="1" t="s">
        <v>6</v>
      </c>
      <c r="C825" s="1" t="s">
        <v>16</v>
      </c>
      <c r="D825" s="1" t="s">
        <v>60</v>
      </c>
      <c r="E825">
        <v>411</v>
      </c>
      <c r="F825" s="1">
        <f>VLOOKUP(jablka[[#This Row],[Nazwa]],cennik[],2,0) * jablka[[#This Row],[sprzedaż]]</f>
        <v>1397.3999999999999</v>
      </c>
    </row>
    <row r="826" spans="1:6" x14ac:dyDescent="0.25">
      <c r="A826" s="2">
        <v>44680</v>
      </c>
      <c r="B826" s="1" t="s">
        <v>10</v>
      </c>
      <c r="C826" s="1" t="s">
        <v>16</v>
      </c>
      <c r="D826" s="1" t="s">
        <v>32</v>
      </c>
      <c r="E826">
        <v>295</v>
      </c>
      <c r="F826" s="1">
        <f>VLOOKUP(jablka[[#This Row],[Nazwa]],cennik[],2,0) * jablka[[#This Row],[sprzedaż]]</f>
        <v>1003</v>
      </c>
    </row>
    <row r="827" spans="1:6" x14ac:dyDescent="0.25">
      <c r="A827" s="2">
        <v>44680</v>
      </c>
      <c r="B827" s="1" t="s">
        <v>10</v>
      </c>
      <c r="C827" s="1" t="s">
        <v>16</v>
      </c>
      <c r="D827" s="1" t="s">
        <v>42</v>
      </c>
      <c r="E827">
        <v>359</v>
      </c>
      <c r="F827" s="1">
        <f>VLOOKUP(jablka[[#This Row],[Nazwa]],cennik[],2,0) * jablka[[#This Row],[sprzedaż]]</f>
        <v>1220.5999999999999</v>
      </c>
    </row>
    <row r="828" spans="1:6" x14ac:dyDescent="0.25">
      <c r="A828" s="2">
        <v>44680</v>
      </c>
      <c r="B828" s="1" t="s">
        <v>4</v>
      </c>
      <c r="C828" s="1" t="s">
        <v>16</v>
      </c>
      <c r="D828" s="1" t="s">
        <v>44</v>
      </c>
      <c r="E828">
        <v>564</v>
      </c>
      <c r="F828" s="1">
        <f>VLOOKUP(jablka[[#This Row],[Nazwa]],cennik[],2,0) * jablka[[#This Row],[sprzedaż]]</f>
        <v>1917.6</v>
      </c>
    </row>
    <row r="829" spans="1:6" x14ac:dyDescent="0.25">
      <c r="A829" s="2">
        <v>44680</v>
      </c>
      <c r="B829" s="1" t="s">
        <v>4</v>
      </c>
      <c r="C829" s="1" t="s">
        <v>16</v>
      </c>
      <c r="D829" s="1" t="s">
        <v>44</v>
      </c>
      <c r="E829">
        <v>557</v>
      </c>
      <c r="F829" s="1">
        <f>VLOOKUP(jablka[[#This Row],[Nazwa]],cennik[],2,0) * jablka[[#This Row],[sprzedaż]]</f>
        <v>1893.8</v>
      </c>
    </row>
    <row r="830" spans="1:6" x14ac:dyDescent="0.25">
      <c r="A830" s="2">
        <v>44680</v>
      </c>
      <c r="B830" s="1" t="s">
        <v>10</v>
      </c>
      <c r="C830" s="1" t="s">
        <v>16</v>
      </c>
      <c r="D830" s="1" t="s">
        <v>45</v>
      </c>
      <c r="E830">
        <v>51</v>
      </c>
      <c r="F830" s="1">
        <f>VLOOKUP(jablka[[#This Row],[Nazwa]],cennik[],2,0) * jablka[[#This Row],[sprzedaż]]</f>
        <v>173.4</v>
      </c>
    </row>
    <row r="831" spans="1:6" x14ac:dyDescent="0.25">
      <c r="A831" s="2">
        <v>44680</v>
      </c>
      <c r="B831" s="1" t="s">
        <v>10</v>
      </c>
      <c r="C831" s="1" t="s">
        <v>16</v>
      </c>
      <c r="D831" s="1" t="s">
        <v>30</v>
      </c>
      <c r="E831">
        <v>312</v>
      </c>
      <c r="F831" s="1">
        <f>VLOOKUP(jablka[[#This Row],[Nazwa]],cennik[],2,0) * jablka[[#This Row],[sprzedaż]]</f>
        <v>1060.8</v>
      </c>
    </row>
    <row r="832" spans="1:6" x14ac:dyDescent="0.25">
      <c r="A832" s="2">
        <v>44680</v>
      </c>
      <c r="B832" s="1" t="s">
        <v>0</v>
      </c>
      <c r="C832" s="1" t="s">
        <v>16</v>
      </c>
      <c r="D832" s="1" t="s">
        <v>32</v>
      </c>
      <c r="E832">
        <v>210</v>
      </c>
      <c r="F832" s="1">
        <f>VLOOKUP(jablka[[#This Row],[Nazwa]],cennik[],2,0) * jablka[[#This Row],[sprzedaż]]</f>
        <v>609</v>
      </c>
    </row>
    <row r="833" spans="1:6" x14ac:dyDescent="0.25">
      <c r="A833" s="2">
        <v>44680</v>
      </c>
      <c r="B833" s="1" t="s">
        <v>15</v>
      </c>
      <c r="C833" s="1" t="s">
        <v>16</v>
      </c>
      <c r="D833" s="1" t="s">
        <v>36</v>
      </c>
      <c r="E833">
        <v>271</v>
      </c>
      <c r="F833" s="1">
        <f>VLOOKUP(jablka[[#This Row],[Nazwa]],cennik[],2,0) * jablka[[#This Row],[sprzedaż]]</f>
        <v>650.4</v>
      </c>
    </row>
    <row r="834" spans="1:6" x14ac:dyDescent="0.25">
      <c r="A834" s="2">
        <v>44680</v>
      </c>
      <c r="B834" s="1" t="s">
        <v>0</v>
      </c>
      <c r="C834" s="1" t="s">
        <v>16</v>
      </c>
      <c r="D834" s="1" t="s">
        <v>65</v>
      </c>
      <c r="E834">
        <v>358</v>
      </c>
      <c r="F834" s="1">
        <f>VLOOKUP(jablka[[#This Row],[Nazwa]],cennik[],2,0) * jablka[[#This Row],[sprzedaż]]</f>
        <v>1038.2</v>
      </c>
    </row>
    <row r="835" spans="1:6" x14ac:dyDescent="0.25">
      <c r="A835" s="2">
        <v>44681</v>
      </c>
      <c r="B835" s="1" t="s">
        <v>0</v>
      </c>
      <c r="C835" s="1" t="s">
        <v>16</v>
      </c>
      <c r="D835" s="1" t="s">
        <v>18</v>
      </c>
      <c r="E835">
        <v>131</v>
      </c>
      <c r="F835" s="1">
        <f>VLOOKUP(jablka[[#This Row],[Nazwa]],cennik[],2,0) * jablka[[#This Row],[sprzedaż]]</f>
        <v>379.9</v>
      </c>
    </row>
    <row r="836" spans="1:6" x14ac:dyDescent="0.25">
      <c r="A836" s="2">
        <v>44681</v>
      </c>
      <c r="B836" s="1" t="s">
        <v>0</v>
      </c>
      <c r="C836" s="1" t="s">
        <v>16</v>
      </c>
      <c r="D836" s="1" t="s">
        <v>54</v>
      </c>
      <c r="E836">
        <v>433</v>
      </c>
      <c r="F836" s="1">
        <f>VLOOKUP(jablka[[#This Row],[Nazwa]],cennik[],2,0) * jablka[[#This Row],[sprzedaż]]</f>
        <v>1255.7</v>
      </c>
    </row>
    <row r="837" spans="1:6" x14ac:dyDescent="0.25">
      <c r="A837" s="2">
        <v>44681</v>
      </c>
      <c r="B837" s="1" t="s">
        <v>0</v>
      </c>
      <c r="C837" s="1" t="s">
        <v>16</v>
      </c>
      <c r="D837" s="1" t="s">
        <v>44</v>
      </c>
      <c r="E837">
        <v>368</v>
      </c>
      <c r="F837" s="1">
        <f>VLOOKUP(jablka[[#This Row],[Nazwa]],cennik[],2,0) * jablka[[#This Row],[sprzedaż]]</f>
        <v>1067.2</v>
      </c>
    </row>
    <row r="838" spans="1:6" x14ac:dyDescent="0.25">
      <c r="A838" s="2">
        <v>44681</v>
      </c>
      <c r="B838" s="1" t="s">
        <v>4</v>
      </c>
      <c r="C838" s="1" t="s">
        <v>16</v>
      </c>
      <c r="D838" s="1" t="s">
        <v>18</v>
      </c>
      <c r="E838">
        <v>458</v>
      </c>
      <c r="F838" s="1">
        <f>VLOOKUP(jablka[[#This Row],[Nazwa]],cennik[],2,0) * jablka[[#This Row],[sprzedaż]]</f>
        <v>1557.2</v>
      </c>
    </row>
    <row r="839" spans="1:6" x14ac:dyDescent="0.25">
      <c r="A839" s="2">
        <v>44681</v>
      </c>
      <c r="B839" s="1" t="s">
        <v>0</v>
      </c>
      <c r="C839" s="1" t="s">
        <v>16</v>
      </c>
      <c r="D839" s="1" t="s">
        <v>17</v>
      </c>
      <c r="E839">
        <v>255</v>
      </c>
      <c r="F839" s="1">
        <f>VLOOKUP(jablka[[#This Row],[Nazwa]],cennik[],2,0) * jablka[[#This Row],[sprzedaż]]</f>
        <v>739.5</v>
      </c>
    </row>
    <row r="840" spans="1:6" x14ac:dyDescent="0.25">
      <c r="A840" s="2">
        <v>44681</v>
      </c>
      <c r="B840" s="1" t="s">
        <v>7</v>
      </c>
      <c r="C840" s="1" t="s">
        <v>16</v>
      </c>
      <c r="D840" s="1" t="s">
        <v>56</v>
      </c>
      <c r="E840">
        <v>291</v>
      </c>
      <c r="F840" s="1">
        <f>VLOOKUP(jablka[[#This Row],[Nazwa]],cennik[],2,0) * jablka[[#This Row],[sprzedaż]]</f>
        <v>989.4</v>
      </c>
    </row>
    <row r="841" spans="1:6" x14ac:dyDescent="0.25">
      <c r="A841" s="2">
        <v>44683</v>
      </c>
      <c r="B841" s="1" t="s">
        <v>10</v>
      </c>
      <c r="C841" s="1" t="s">
        <v>16</v>
      </c>
      <c r="D841" s="1" t="s">
        <v>48</v>
      </c>
      <c r="E841">
        <v>490</v>
      </c>
      <c r="F841" s="1">
        <f>VLOOKUP(jablka[[#This Row],[Nazwa]],cennik[],2,0) * jablka[[#This Row],[sprzedaż]]</f>
        <v>1666</v>
      </c>
    </row>
    <row r="842" spans="1:6" x14ac:dyDescent="0.25">
      <c r="A842" s="2">
        <v>44683</v>
      </c>
      <c r="B842" s="1" t="s">
        <v>8</v>
      </c>
      <c r="C842" s="1" t="s">
        <v>16</v>
      </c>
      <c r="D842" s="1" t="s">
        <v>51</v>
      </c>
      <c r="E842">
        <v>516</v>
      </c>
      <c r="F842" s="1">
        <f>VLOOKUP(jablka[[#This Row],[Nazwa]],cennik[],2,0) * jablka[[#This Row],[sprzedaż]]</f>
        <v>1806</v>
      </c>
    </row>
    <row r="843" spans="1:6" x14ac:dyDescent="0.25">
      <c r="A843" s="2">
        <v>44683</v>
      </c>
      <c r="B843" s="1" t="s">
        <v>4</v>
      </c>
      <c r="C843" s="1" t="s">
        <v>16</v>
      </c>
      <c r="D843" s="1" t="s">
        <v>54</v>
      </c>
      <c r="E843">
        <v>350</v>
      </c>
      <c r="F843" s="1">
        <f>VLOOKUP(jablka[[#This Row],[Nazwa]],cennik[],2,0) * jablka[[#This Row],[sprzedaż]]</f>
        <v>1190</v>
      </c>
    </row>
    <row r="844" spans="1:6" x14ac:dyDescent="0.25">
      <c r="A844" s="2">
        <v>44683</v>
      </c>
      <c r="B844" s="1" t="s">
        <v>15</v>
      </c>
      <c r="C844" s="1" t="s">
        <v>16</v>
      </c>
      <c r="D844" s="1" t="s">
        <v>17</v>
      </c>
      <c r="E844">
        <v>463</v>
      </c>
      <c r="F844" s="1">
        <f>VLOOKUP(jablka[[#This Row],[Nazwa]],cennik[],2,0) * jablka[[#This Row],[sprzedaż]]</f>
        <v>1111.2</v>
      </c>
    </row>
    <row r="845" spans="1:6" x14ac:dyDescent="0.25">
      <c r="A845" s="2">
        <v>44683</v>
      </c>
      <c r="B845" s="1" t="s">
        <v>0</v>
      </c>
      <c r="C845" s="1" t="s">
        <v>16</v>
      </c>
      <c r="D845" s="1" t="s">
        <v>65</v>
      </c>
      <c r="E845">
        <v>421</v>
      </c>
      <c r="F845" s="1">
        <f>VLOOKUP(jablka[[#This Row],[Nazwa]],cennik[],2,0) * jablka[[#This Row],[sprzedaż]]</f>
        <v>1220.8999999999999</v>
      </c>
    </row>
    <row r="846" spans="1:6" x14ac:dyDescent="0.25">
      <c r="A846" s="2">
        <v>44683</v>
      </c>
      <c r="B846" s="1" t="s">
        <v>4</v>
      </c>
      <c r="C846" s="1" t="s">
        <v>16</v>
      </c>
      <c r="D846" s="1" t="s">
        <v>60</v>
      </c>
      <c r="E846">
        <v>797</v>
      </c>
      <c r="F846" s="1">
        <f>VLOOKUP(jablka[[#This Row],[Nazwa]],cennik[],2,0) * jablka[[#This Row],[sprzedaż]]</f>
        <v>2709.7999999999997</v>
      </c>
    </row>
    <row r="847" spans="1:6" x14ac:dyDescent="0.25">
      <c r="A847" s="2">
        <v>44683</v>
      </c>
      <c r="B847" s="1" t="s">
        <v>8</v>
      </c>
      <c r="C847" s="1" t="s">
        <v>16</v>
      </c>
      <c r="D847" s="1" t="s">
        <v>27</v>
      </c>
      <c r="E847">
        <v>535</v>
      </c>
      <c r="F847" s="1">
        <f>VLOOKUP(jablka[[#This Row],[Nazwa]],cennik[],2,0) * jablka[[#This Row],[sprzedaż]]</f>
        <v>1872.5</v>
      </c>
    </row>
    <row r="848" spans="1:6" x14ac:dyDescent="0.25">
      <c r="A848" s="2">
        <v>44683</v>
      </c>
      <c r="B848" s="1" t="s">
        <v>10</v>
      </c>
      <c r="C848" s="1" t="s">
        <v>16</v>
      </c>
      <c r="D848" s="1" t="s">
        <v>42</v>
      </c>
      <c r="E848">
        <v>395</v>
      </c>
      <c r="F848" s="1">
        <f>VLOOKUP(jablka[[#This Row],[Nazwa]],cennik[],2,0) * jablka[[#This Row],[sprzedaż]]</f>
        <v>1343</v>
      </c>
    </row>
    <row r="849" spans="1:6" x14ac:dyDescent="0.25">
      <c r="A849" s="2">
        <v>44683</v>
      </c>
      <c r="B849" s="1" t="s">
        <v>15</v>
      </c>
      <c r="C849" s="1" t="s">
        <v>16</v>
      </c>
      <c r="D849" s="1" t="s">
        <v>18</v>
      </c>
      <c r="E849">
        <v>368</v>
      </c>
      <c r="F849" s="1">
        <f>VLOOKUP(jablka[[#This Row],[Nazwa]],cennik[],2,0) * jablka[[#This Row],[sprzedaż]]</f>
        <v>883.19999999999993</v>
      </c>
    </row>
    <row r="850" spans="1:6" x14ac:dyDescent="0.25">
      <c r="A850" s="2">
        <v>44683</v>
      </c>
      <c r="B850" s="1" t="s">
        <v>2</v>
      </c>
      <c r="C850" s="1" t="s">
        <v>16</v>
      </c>
      <c r="D850" s="1" t="s">
        <v>35</v>
      </c>
      <c r="E850">
        <v>52</v>
      </c>
      <c r="F850" s="1">
        <f>VLOOKUP(jablka[[#This Row],[Nazwa]],cennik[],2,0) * jablka[[#This Row],[sprzedaż]]</f>
        <v>166.4</v>
      </c>
    </row>
    <row r="851" spans="1:6" x14ac:dyDescent="0.25">
      <c r="A851" s="2">
        <v>44683</v>
      </c>
      <c r="B851" s="1" t="s">
        <v>5</v>
      </c>
      <c r="C851" s="1" t="s">
        <v>16</v>
      </c>
      <c r="D851" s="1" t="s">
        <v>31</v>
      </c>
      <c r="E851">
        <v>146</v>
      </c>
      <c r="F851" s="1">
        <f>VLOOKUP(jablka[[#This Row],[Nazwa]],cennik[],2,0) * jablka[[#This Row],[sprzedaż]]</f>
        <v>496.4</v>
      </c>
    </row>
    <row r="852" spans="1:6" x14ac:dyDescent="0.25">
      <c r="A852" s="2">
        <v>44683</v>
      </c>
      <c r="B852" s="1" t="s">
        <v>5</v>
      </c>
      <c r="C852" s="1" t="s">
        <v>16</v>
      </c>
      <c r="D852" s="1" t="s">
        <v>19</v>
      </c>
      <c r="E852">
        <v>195</v>
      </c>
      <c r="F852" s="1">
        <f>VLOOKUP(jablka[[#This Row],[Nazwa]],cennik[],2,0) * jablka[[#This Row],[sprzedaż]]</f>
        <v>663</v>
      </c>
    </row>
    <row r="853" spans="1:6" x14ac:dyDescent="0.25">
      <c r="A853" s="2">
        <v>44684</v>
      </c>
      <c r="B853" s="1" t="s">
        <v>4</v>
      </c>
      <c r="C853" s="1" t="s">
        <v>16</v>
      </c>
      <c r="D853" s="1" t="s">
        <v>60</v>
      </c>
      <c r="E853">
        <v>513</v>
      </c>
      <c r="F853" s="1">
        <f>VLOOKUP(jablka[[#This Row],[Nazwa]],cennik[],2,0) * jablka[[#This Row],[sprzedaż]]</f>
        <v>1744.2</v>
      </c>
    </row>
    <row r="854" spans="1:6" x14ac:dyDescent="0.25">
      <c r="A854" s="2">
        <v>44684</v>
      </c>
      <c r="B854" s="1" t="s">
        <v>15</v>
      </c>
      <c r="C854" s="1" t="s">
        <v>16</v>
      </c>
      <c r="D854" s="1" t="s">
        <v>30</v>
      </c>
      <c r="E854">
        <v>219</v>
      </c>
      <c r="F854" s="1">
        <f>VLOOKUP(jablka[[#This Row],[Nazwa]],cennik[],2,0) * jablka[[#This Row],[sprzedaż]]</f>
        <v>525.6</v>
      </c>
    </row>
    <row r="855" spans="1:6" x14ac:dyDescent="0.25">
      <c r="A855" s="2">
        <v>44684</v>
      </c>
      <c r="B855" s="1" t="s">
        <v>4</v>
      </c>
      <c r="C855" s="1" t="s">
        <v>16</v>
      </c>
      <c r="D855" s="1" t="s">
        <v>27</v>
      </c>
      <c r="E855">
        <v>457</v>
      </c>
      <c r="F855" s="1">
        <f>VLOOKUP(jablka[[#This Row],[Nazwa]],cennik[],2,0) * jablka[[#This Row],[sprzedaż]]</f>
        <v>1553.8</v>
      </c>
    </row>
    <row r="856" spans="1:6" x14ac:dyDescent="0.25">
      <c r="A856" s="2">
        <v>44684</v>
      </c>
      <c r="B856" s="1" t="s">
        <v>2</v>
      </c>
      <c r="C856" s="1" t="s">
        <v>16</v>
      </c>
      <c r="D856" s="1" t="s">
        <v>17</v>
      </c>
      <c r="E856">
        <v>266</v>
      </c>
      <c r="F856" s="1">
        <f>VLOOKUP(jablka[[#This Row],[Nazwa]],cennik[],2,0) * jablka[[#This Row],[sprzedaż]]</f>
        <v>851.2</v>
      </c>
    </row>
    <row r="857" spans="1:6" x14ac:dyDescent="0.25">
      <c r="A857" s="2">
        <v>44684</v>
      </c>
      <c r="B857" s="1" t="s">
        <v>0</v>
      </c>
      <c r="C857" s="1" t="s">
        <v>16</v>
      </c>
      <c r="D857" s="1" t="s">
        <v>65</v>
      </c>
      <c r="E857">
        <v>410</v>
      </c>
      <c r="F857" s="1">
        <f>VLOOKUP(jablka[[#This Row],[Nazwa]],cennik[],2,0) * jablka[[#This Row],[sprzedaż]]</f>
        <v>1189</v>
      </c>
    </row>
    <row r="858" spans="1:6" x14ac:dyDescent="0.25">
      <c r="A858" s="2">
        <v>44684</v>
      </c>
      <c r="B858" s="1" t="s">
        <v>7</v>
      </c>
      <c r="C858" s="1" t="s">
        <v>16</v>
      </c>
      <c r="D858" s="1" t="s">
        <v>43</v>
      </c>
      <c r="E858">
        <v>339</v>
      </c>
      <c r="F858" s="1">
        <f>VLOOKUP(jablka[[#This Row],[Nazwa]],cennik[],2,0) * jablka[[#This Row],[sprzedaż]]</f>
        <v>1152.5999999999999</v>
      </c>
    </row>
    <row r="859" spans="1:6" x14ac:dyDescent="0.25">
      <c r="A859" s="2">
        <v>44685</v>
      </c>
      <c r="B859" s="1" t="s">
        <v>5</v>
      </c>
      <c r="C859" s="1" t="s">
        <v>16</v>
      </c>
      <c r="D859" s="1" t="s">
        <v>40</v>
      </c>
      <c r="E859">
        <v>143</v>
      </c>
      <c r="F859" s="1">
        <f>VLOOKUP(jablka[[#This Row],[Nazwa]],cennik[],2,0) * jablka[[#This Row],[sprzedaż]]</f>
        <v>486.2</v>
      </c>
    </row>
    <row r="860" spans="1:6" x14ac:dyDescent="0.25">
      <c r="A860" s="2">
        <v>44685</v>
      </c>
      <c r="B860" s="1" t="s">
        <v>4</v>
      </c>
      <c r="C860" s="1" t="s">
        <v>16</v>
      </c>
      <c r="D860" s="1" t="s">
        <v>27</v>
      </c>
      <c r="E860">
        <v>745</v>
      </c>
      <c r="F860" s="1">
        <f>VLOOKUP(jablka[[#This Row],[Nazwa]],cennik[],2,0) * jablka[[#This Row],[sprzedaż]]</f>
        <v>2533</v>
      </c>
    </row>
    <row r="861" spans="1:6" x14ac:dyDescent="0.25">
      <c r="A861" s="2">
        <v>44685</v>
      </c>
      <c r="B861" s="1" t="s">
        <v>7</v>
      </c>
      <c r="C861" s="1" t="s">
        <v>16</v>
      </c>
      <c r="D861" s="1" t="s">
        <v>41</v>
      </c>
      <c r="E861">
        <v>266</v>
      </c>
      <c r="F861" s="1">
        <f>VLOOKUP(jablka[[#This Row],[Nazwa]],cennik[],2,0) * jablka[[#This Row],[sprzedaż]]</f>
        <v>904.4</v>
      </c>
    </row>
    <row r="862" spans="1:6" x14ac:dyDescent="0.25">
      <c r="A862" s="2">
        <v>44685</v>
      </c>
      <c r="B862" s="1" t="s">
        <v>8</v>
      </c>
      <c r="C862" s="1" t="s">
        <v>16</v>
      </c>
      <c r="D862" s="1" t="s">
        <v>56</v>
      </c>
      <c r="E862">
        <v>504</v>
      </c>
      <c r="F862" s="1">
        <f>VLOOKUP(jablka[[#This Row],[Nazwa]],cennik[],2,0) * jablka[[#This Row],[sprzedaż]]</f>
        <v>1764</v>
      </c>
    </row>
    <row r="863" spans="1:6" x14ac:dyDescent="0.25">
      <c r="A863" s="2">
        <v>44686</v>
      </c>
      <c r="B863" s="1" t="s">
        <v>0</v>
      </c>
      <c r="C863" s="1" t="s">
        <v>16</v>
      </c>
      <c r="D863" s="1" t="s">
        <v>19</v>
      </c>
      <c r="E863">
        <v>53</v>
      </c>
      <c r="F863" s="1">
        <f>VLOOKUP(jablka[[#This Row],[Nazwa]],cennik[],2,0) * jablka[[#This Row],[sprzedaż]]</f>
        <v>153.69999999999999</v>
      </c>
    </row>
    <row r="864" spans="1:6" x14ac:dyDescent="0.25">
      <c r="A864" s="2">
        <v>44686</v>
      </c>
      <c r="B864" s="1" t="s">
        <v>10</v>
      </c>
      <c r="C864" s="1" t="s">
        <v>16</v>
      </c>
      <c r="D864" s="1" t="s">
        <v>29</v>
      </c>
      <c r="E864">
        <v>87</v>
      </c>
      <c r="F864" s="1">
        <f>VLOOKUP(jablka[[#This Row],[Nazwa]],cennik[],2,0) * jablka[[#This Row],[sprzedaż]]</f>
        <v>295.8</v>
      </c>
    </row>
    <row r="865" spans="1:6" x14ac:dyDescent="0.25">
      <c r="A865" s="2">
        <v>44686</v>
      </c>
      <c r="B865" s="1" t="s">
        <v>0</v>
      </c>
      <c r="C865" s="1" t="s">
        <v>16</v>
      </c>
      <c r="D865" s="1" t="s">
        <v>24</v>
      </c>
      <c r="E865">
        <v>423</v>
      </c>
      <c r="F865" s="1">
        <f>VLOOKUP(jablka[[#This Row],[Nazwa]],cennik[],2,0) * jablka[[#This Row],[sprzedaż]]</f>
        <v>1226.7</v>
      </c>
    </row>
    <row r="866" spans="1:6" x14ac:dyDescent="0.25">
      <c r="A866" s="2">
        <v>44686</v>
      </c>
      <c r="B866" s="1" t="s">
        <v>15</v>
      </c>
      <c r="C866" s="1" t="s">
        <v>16</v>
      </c>
      <c r="D866" s="1" t="s">
        <v>31</v>
      </c>
      <c r="E866">
        <v>252</v>
      </c>
      <c r="F866" s="1">
        <f>VLOOKUP(jablka[[#This Row],[Nazwa]],cennik[],2,0) * jablka[[#This Row],[sprzedaż]]</f>
        <v>604.79999999999995</v>
      </c>
    </row>
    <row r="867" spans="1:6" x14ac:dyDescent="0.25">
      <c r="A867" s="2">
        <v>44686</v>
      </c>
      <c r="B867" s="1" t="s">
        <v>10</v>
      </c>
      <c r="C867" s="1" t="s">
        <v>16</v>
      </c>
      <c r="D867" s="1" t="s">
        <v>37</v>
      </c>
      <c r="E867">
        <v>438</v>
      </c>
      <c r="F867" s="1">
        <f>VLOOKUP(jablka[[#This Row],[Nazwa]],cennik[],2,0) * jablka[[#This Row],[sprzedaż]]</f>
        <v>1489.2</v>
      </c>
    </row>
    <row r="868" spans="1:6" x14ac:dyDescent="0.25">
      <c r="A868" s="2">
        <v>44686</v>
      </c>
      <c r="B868" s="1" t="s">
        <v>7</v>
      </c>
      <c r="C868" s="1" t="s">
        <v>16</v>
      </c>
      <c r="D868" s="1" t="s">
        <v>53</v>
      </c>
      <c r="E868">
        <v>623</v>
      </c>
      <c r="F868" s="1">
        <f>VLOOKUP(jablka[[#This Row],[Nazwa]],cennik[],2,0) * jablka[[#This Row],[sprzedaż]]</f>
        <v>2118.1999999999998</v>
      </c>
    </row>
    <row r="869" spans="1:6" x14ac:dyDescent="0.25">
      <c r="A869" s="2">
        <v>44686</v>
      </c>
      <c r="B869" s="1" t="s">
        <v>4</v>
      </c>
      <c r="C869" s="1" t="s">
        <v>16</v>
      </c>
      <c r="D869" s="1" t="s">
        <v>61</v>
      </c>
      <c r="E869">
        <v>548</v>
      </c>
      <c r="F869" s="1">
        <f>VLOOKUP(jablka[[#This Row],[Nazwa]],cennik[],2,0) * jablka[[#This Row],[sprzedaż]]</f>
        <v>1863.2</v>
      </c>
    </row>
    <row r="870" spans="1:6" x14ac:dyDescent="0.25">
      <c r="A870" s="2">
        <v>44687</v>
      </c>
      <c r="B870" s="1" t="s">
        <v>6</v>
      </c>
      <c r="C870" s="1" t="s">
        <v>16</v>
      </c>
      <c r="D870" s="1" t="s">
        <v>34</v>
      </c>
      <c r="E870">
        <v>47</v>
      </c>
      <c r="F870" s="1">
        <f>VLOOKUP(jablka[[#This Row],[Nazwa]],cennik[],2,0) * jablka[[#This Row],[sprzedaż]]</f>
        <v>159.79999999999998</v>
      </c>
    </row>
    <row r="871" spans="1:6" x14ac:dyDescent="0.25">
      <c r="A871" s="2">
        <v>44687</v>
      </c>
      <c r="B871" s="1" t="s">
        <v>15</v>
      </c>
      <c r="C871" s="1" t="s">
        <v>16</v>
      </c>
      <c r="D871" s="1" t="s">
        <v>53</v>
      </c>
      <c r="E871">
        <v>233</v>
      </c>
      <c r="F871" s="1">
        <f>VLOOKUP(jablka[[#This Row],[Nazwa]],cennik[],2,0) * jablka[[#This Row],[sprzedaż]]</f>
        <v>559.19999999999993</v>
      </c>
    </row>
    <row r="872" spans="1:6" x14ac:dyDescent="0.25">
      <c r="A872" s="2">
        <v>44687</v>
      </c>
      <c r="B872" s="1" t="s">
        <v>2</v>
      </c>
      <c r="C872" s="1" t="s">
        <v>16</v>
      </c>
      <c r="D872" s="1" t="s">
        <v>21</v>
      </c>
      <c r="E872">
        <v>398</v>
      </c>
      <c r="F872" s="1">
        <f>VLOOKUP(jablka[[#This Row],[Nazwa]],cennik[],2,0) * jablka[[#This Row],[sprzedaż]]</f>
        <v>1273.6000000000001</v>
      </c>
    </row>
    <row r="873" spans="1:6" x14ac:dyDescent="0.25">
      <c r="A873" s="2">
        <v>44687</v>
      </c>
      <c r="B873" s="1" t="s">
        <v>10</v>
      </c>
      <c r="C873" s="1" t="s">
        <v>16</v>
      </c>
      <c r="D873" s="1" t="s">
        <v>63</v>
      </c>
      <c r="E873">
        <v>120</v>
      </c>
      <c r="F873" s="1">
        <f>VLOOKUP(jablka[[#This Row],[Nazwa]],cennik[],2,0) * jablka[[#This Row],[sprzedaż]]</f>
        <v>408</v>
      </c>
    </row>
    <row r="874" spans="1:6" x14ac:dyDescent="0.25">
      <c r="A874" s="2">
        <v>44688</v>
      </c>
      <c r="B874" s="1" t="s">
        <v>6</v>
      </c>
      <c r="C874" s="1" t="s">
        <v>16</v>
      </c>
      <c r="D874" s="1" t="s">
        <v>45</v>
      </c>
      <c r="E874">
        <v>129</v>
      </c>
      <c r="F874" s="1">
        <f>VLOOKUP(jablka[[#This Row],[Nazwa]],cennik[],2,0) * jablka[[#This Row],[sprzedaż]]</f>
        <v>438.59999999999997</v>
      </c>
    </row>
    <row r="875" spans="1:6" x14ac:dyDescent="0.25">
      <c r="A875" s="2">
        <v>44688</v>
      </c>
      <c r="B875" s="1" t="s">
        <v>10</v>
      </c>
      <c r="C875" s="1" t="s">
        <v>16</v>
      </c>
      <c r="D875" s="1" t="s">
        <v>64</v>
      </c>
      <c r="E875">
        <v>73</v>
      </c>
      <c r="F875" s="1">
        <f>VLOOKUP(jablka[[#This Row],[Nazwa]],cennik[],2,0) * jablka[[#This Row],[sprzedaż]]</f>
        <v>248.2</v>
      </c>
    </row>
    <row r="876" spans="1:6" x14ac:dyDescent="0.25">
      <c r="A876" s="2">
        <v>44688</v>
      </c>
      <c r="B876" s="1" t="s">
        <v>5</v>
      </c>
      <c r="C876" s="1" t="s">
        <v>16</v>
      </c>
      <c r="D876" s="1" t="s">
        <v>54</v>
      </c>
      <c r="E876">
        <v>12</v>
      </c>
      <c r="F876" s="1">
        <f>VLOOKUP(jablka[[#This Row],[Nazwa]],cennik[],2,0) * jablka[[#This Row],[sprzedaż]]</f>
        <v>40.799999999999997</v>
      </c>
    </row>
    <row r="877" spans="1:6" x14ac:dyDescent="0.25">
      <c r="A877" s="2">
        <v>44688</v>
      </c>
      <c r="B877" s="1" t="s">
        <v>0</v>
      </c>
      <c r="C877" s="1" t="s">
        <v>16</v>
      </c>
      <c r="D877" s="1" t="s">
        <v>61</v>
      </c>
      <c r="E877">
        <v>120</v>
      </c>
      <c r="F877" s="1">
        <f>VLOOKUP(jablka[[#This Row],[Nazwa]],cennik[],2,0) * jablka[[#This Row],[sprzedaż]]</f>
        <v>348</v>
      </c>
    </row>
    <row r="878" spans="1:6" x14ac:dyDescent="0.25">
      <c r="A878" s="2">
        <v>44690</v>
      </c>
      <c r="B878" s="1" t="s">
        <v>5</v>
      </c>
      <c r="C878" s="1" t="s">
        <v>16</v>
      </c>
      <c r="D878" s="1" t="s">
        <v>49</v>
      </c>
      <c r="E878">
        <v>44</v>
      </c>
      <c r="F878" s="1">
        <f>VLOOKUP(jablka[[#This Row],[Nazwa]],cennik[],2,0) * jablka[[#This Row],[sprzedaż]]</f>
        <v>149.6</v>
      </c>
    </row>
    <row r="879" spans="1:6" x14ac:dyDescent="0.25">
      <c r="A879" s="2">
        <v>44690</v>
      </c>
      <c r="B879" s="1" t="s">
        <v>6</v>
      </c>
      <c r="C879" s="1" t="s">
        <v>16</v>
      </c>
      <c r="D879" s="1" t="s">
        <v>17</v>
      </c>
      <c r="E879">
        <v>80</v>
      </c>
      <c r="F879" s="1">
        <f>VLOOKUP(jablka[[#This Row],[Nazwa]],cennik[],2,0) * jablka[[#This Row],[sprzedaż]]</f>
        <v>272</v>
      </c>
    </row>
    <row r="880" spans="1:6" x14ac:dyDescent="0.25">
      <c r="A880" s="2">
        <v>44690</v>
      </c>
      <c r="B880" s="1" t="s">
        <v>10</v>
      </c>
      <c r="C880" s="1" t="s">
        <v>16</v>
      </c>
      <c r="D880" s="1" t="s">
        <v>40</v>
      </c>
      <c r="E880">
        <v>171</v>
      </c>
      <c r="F880" s="1">
        <f>VLOOKUP(jablka[[#This Row],[Nazwa]],cennik[],2,0) * jablka[[#This Row],[sprzedaż]]</f>
        <v>581.4</v>
      </c>
    </row>
    <row r="881" spans="1:6" x14ac:dyDescent="0.25">
      <c r="A881" s="2">
        <v>44690</v>
      </c>
      <c r="B881" s="1" t="s">
        <v>2</v>
      </c>
      <c r="C881" s="1" t="s">
        <v>16</v>
      </c>
      <c r="D881" s="1" t="s">
        <v>52</v>
      </c>
      <c r="E881">
        <v>132</v>
      </c>
      <c r="F881" s="1">
        <f>VLOOKUP(jablka[[#This Row],[Nazwa]],cennik[],2,0) * jablka[[#This Row],[sprzedaż]]</f>
        <v>422.40000000000003</v>
      </c>
    </row>
    <row r="882" spans="1:6" x14ac:dyDescent="0.25">
      <c r="A882" s="2">
        <v>44690</v>
      </c>
      <c r="B882" s="1" t="s">
        <v>2</v>
      </c>
      <c r="C882" s="1" t="s">
        <v>16</v>
      </c>
      <c r="D882" s="1" t="s">
        <v>36</v>
      </c>
      <c r="E882">
        <v>171</v>
      </c>
      <c r="F882" s="1">
        <f>VLOOKUP(jablka[[#This Row],[Nazwa]],cennik[],2,0) * jablka[[#This Row],[sprzedaż]]</f>
        <v>547.20000000000005</v>
      </c>
    </row>
    <row r="883" spans="1:6" x14ac:dyDescent="0.25">
      <c r="A883" s="2">
        <v>44690</v>
      </c>
      <c r="B883" s="1" t="s">
        <v>7</v>
      </c>
      <c r="C883" s="1" t="s">
        <v>16</v>
      </c>
      <c r="D883" s="1" t="s">
        <v>63</v>
      </c>
      <c r="E883">
        <v>527</v>
      </c>
      <c r="F883" s="1">
        <f>VLOOKUP(jablka[[#This Row],[Nazwa]],cennik[],2,0) * jablka[[#This Row],[sprzedaż]]</f>
        <v>1791.8</v>
      </c>
    </row>
    <row r="884" spans="1:6" x14ac:dyDescent="0.25">
      <c r="A884" s="2">
        <v>44690</v>
      </c>
      <c r="B884" s="1" t="s">
        <v>8</v>
      </c>
      <c r="C884" s="1" t="s">
        <v>16</v>
      </c>
      <c r="D884" s="1" t="s">
        <v>33</v>
      </c>
      <c r="E884">
        <v>533</v>
      </c>
      <c r="F884" s="1">
        <f>VLOOKUP(jablka[[#This Row],[Nazwa]],cennik[],2,0) * jablka[[#This Row],[sprzedaż]]</f>
        <v>1865.5</v>
      </c>
    </row>
    <row r="885" spans="1:6" x14ac:dyDescent="0.25">
      <c r="A885" s="2">
        <v>44690</v>
      </c>
      <c r="B885" s="1" t="s">
        <v>10</v>
      </c>
      <c r="C885" s="1" t="s">
        <v>16</v>
      </c>
      <c r="D885" s="1" t="s">
        <v>64</v>
      </c>
      <c r="E885">
        <v>401</v>
      </c>
      <c r="F885" s="1">
        <f>VLOOKUP(jablka[[#This Row],[Nazwa]],cennik[],2,0) * jablka[[#This Row],[sprzedaż]]</f>
        <v>1363.3999999999999</v>
      </c>
    </row>
    <row r="886" spans="1:6" x14ac:dyDescent="0.25">
      <c r="A886" s="2">
        <v>44690</v>
      </c>
      <c r="B886" s="1" t="s">
        <v>8</v>
      </c>
      <c r="C886" s="1" t="s">
        <v>16</v>
      </c>
      <c r="D886" s="1" t="s">
        <v>36</v>
      </c>
      <c r="E886">
        <v>625</v>
      </c>
      <c r="F886" s="1">
        <f>VLOOKUP(jablka[[#This Row],[Nazwa]],cennik[],2,0) * jablka[[#This Row],[sprzedaż]]</f>
        <v>2187.5</v>
      </c>
    </row>
    <row r="887" spans="1:6" x14ac:dyDescent="0.25">
      <c r="A887" s="2">
        <v>44690</v>
      </c>
      <c r="B887" s="1" t="s">
        <v>2</v>
      </c>
      <c r="C887" s="1" t="s">
        <v>16</v>
      </c>
      <c r="D887" s="1" t="s">
        <v>34</v>
      </c>
      <c r="E887">
        <v>195</v>
      </c>
      <c r="F887" s="1">
        <f>VLOOKUP(jablka[[#This Row],[Nazwa]],cennik[],2,0) * jablka[[#This Row],[sprzedaż]]</f>
        <v>624</v>
      </c>
    </row>
    <row r="888" spans="1:6" x14ac:dyDescent="0.25">
      <c r="A888" s="2">
        <v>44690</v>
      </c>
      <c r="B888" s="1" t="s">
        <v>8</v>
      </c>
      <c r="C888" s="1" t="s">
        <v>16</v>
      </c>
      <c r="D888" s="1" t="s">
        <v>24</v>
      </c>
      <c r="E888">
        <v>376</v>
      </c>
      <c r="F888" s="1">
        <f>VLOOKUP(jablka[[#This Row],[Nazwa]],cennik[],2,0) * jablka[[#This Row],[sprzedaż]]</f>
        <v>1316</v>
      </c>
    </row>
    <row r="889" spans="1:6" x14ac:dyDescent="0.25">
      <c r="A889" s="2">
        <v>44690</v>
      </c>
      <c r="B889" s="1" t="s">
        <v>15</v>
      </c>
      <c r="C889" s="1" t="s">
        <v>16</v>
      </c>
      <c r="D889" s="1" t="s">
        <v>54</v>
      </c>
      <c r="E889">
        <v>525</v>
      </c>
      <c r="F889" s="1">
        <f>VLOOKUP(jablka[[#This Row],[Nazwa]],cennik[],2,0) * jablka[[#This Row],[sprzedaż]]</f>
        <v>1260</v>
      </c>
    </row>
    <row r="890" spans="1:6" x14ac:dyDescent="0.25">
      <c r="A890" s="2">
        <v>44690</v>
      </c>
      <c r="B890" s="1" t="s">
        <v>8</v>
      </c>
      <c r="C890" s="1" t="s">
        <v>16</v>
      </c>
      <c r="D890" s="1" t="s">
        <v>41</v>
      </c>
      <c r="E890">
        <v>641</v>
      </c>
      <c r="F890" s="1">
        <f>VLOOKUP(jablka[[#This Row],[Nazwa]],cennik[],2,0) * jablka[[#This Row],[sprzedaż]]</f>
        <v>2243.5</v>
      </c>
    </row>
    <row r="891" spans="1:6" x14ac:dyDescent="0.25">
      <c r="A891" s="2">
        <v>44690</v>
      </c>
      <c r="B891" s="1" t="s">
        <v>4</v>
      </c>
      <c r="C891" s="1" t="s">
        <v>16</v>
      </c>
      <c r="D891" s="1" t="s">
        <v>41</v>
      </c>
      <c r="E891">
        <v>533</v>
      </c>
      <c r="F891" s="1">
        <f>VLOOKUP(jablka[[#This Row],[Nazwa]],cennik[],2,0) * jablka[[#This Row],[sprzedaż]]</f>
        <v>1812.2</v>
      </c>
    </row>
    <row r="892" spans="1:6" x14ac:dyDescent="0.25">
      <c r="A892" s="2">
        <v>44690</v>
      </c>
      <c r="B892" s="1" t="s">
        <v>4</v>
      </c>
      <c r="C892" s="1" t="s">
        <v>16</v>
      </c>
      <c r="D892" s="1" t="s">
        <v>19</v>
      </c>
      <c r="E892">
        <v>558</v>
      </c>
      <c r="F892" s="1">
        <f>VLOOKUP(jablka[[#This Row],[Nazwa]],cennik[],2,0) * jablka[[#This Row],[sprzedaż]]</f>
        <v>1897.2</v>
      </c>
    </row>
    <row r="893" spans="1:6" x14ac:dyDescent="0.25">
      <c r="A893" s="2">
        <v>44690</v>
      </c>
      <c r="B893" s="1" t="s">
        <v>2</v>
      </c>
      <c r="C893" s="1" t="s">
        <v>16</v>
      </c>
      <c r="D893" s="1" t="s">
        <v>28</v>
      </c>
      <c r="E893">
        <v>165</v>
      </c>
      <c r="F893" s="1">
        <f>VLOOKUP(jablka[[#This Row],[Nazwa]],cennik[],2,0) * jablka[[#This Row],[sprzedaż]]</f>
        <v>528</v>
      </c>
    </row>
    <row r="894" spans="1:6" x14ac:dyDescent="0.25">
      <c r="A894" s="2">
        <v>44690</v>
      </c>
      <c r="B894" s="1" t="s">
        <v>6</v>
      </c>
      <c r="C894" s="1" t="s">
        <v>16</v>
      </c>
      <c r="D894" s="1" t="s">
        <v>48</v>
      </c>
      <c r="E894">
        <v>45</v>
      </c>
      <c r="F894" s="1">
        <f>VLOOKUP(jablka[[#This Row],[Nazwa]],cennik[],2,0) * jablka[[#This Row],[sprzedaż]]</f>
        <v>153</v>
      </c>
    </row>
    <row r="895" spans="1:6" x14ac:dyDescent="0.25">
      <c r="A895" s="2">
        <v>44690</v>
      </c>
      <c r="B895" s="1" t="s">
        <v>5</v>
      </c>
      <c r="C895" s="1" t="s">
        <v>16</v>
      </c>
      <c r="D895" s="1" t="s">
        <v>18</v>
      </c>
      <c r="E895">
        <v>55</v>
      </c>
      <c r="F895" s="1">
        <f>VLOOKUP(jablka[[#This Row],[Nazwa]],cennik[],2,0) * jablka[[#This Row],[sprzedaż]]</f>
        <v>187</v>
      </c>
    </row>
    <row r="896" spans="1:6" x14ac:dyDescent="0.25">
      <c r="A896" s="2">
        <v>44690</v>
      </c>
      <c r="B896" s="1" t="s">
        <v>10</v>
      </c>
      <c r="C896" s="1" t="s">
        <v>16</v>
      </c>
      <c r="D896" s="1" t="s">
        <v>23</v>
      </c>
      <c r="E896">
        <v>47</v>
      </c>
      <c r="F896" s="1">
        <f>VLOOKUP(jablka[[#This Row],[Nazwa]],cennik[],2,0) * jablka[[#This Row],[sprzedaż]]</f>
        <v>159.79999999999998</v>
      </c>
    </row>
    <row r="897" spans="1:6" x14ac:dyDescent="0.25">
      <c r="A897" s="2">
        <v>44691</v>
      </c>
      <c r="B897" s="1" t="s">
        <v>4</v>
      </c>
      <c r="C897" s="1" t="s">
        <v>16</v>
      </c>
      <c r="D897" s="1" t="s">
        <v>47</v>
      </c>
      <c r="E897">
        <v>329</v>
      </c>
      <c r="F897" s="1">
        <f>VLOOKUP(jablka[[#This Row],[Nazwa]],cennik[],2,0) * jablka[[#This Row],[sprzedaż]]</f>
        <v>1118.5999999999999</v>
      </c>
    </row>
    <row r="898" spans="1:6" x14ac:dyDescent="0.25">
      <c r="A898" s="2">
        <v>44691</v>
      </c>
      <c r="B898" s="1" t="s">
        <v>10</v>
      </c>
      <c r="C898" s="1" t="s">
        <v>16</v>
      </c>
      <c r="D898" s="1" t="s">
        <v>64</v>
      </c>
      <c r="E898">
        <v>347</v>
      </c>
      <c r="F898" s="1">
        <f>VLOOKUP(jablka[[#This Row],[Nazwa]],cennik[],2,0) * jablka[[#This Row],[sprzedaż]]</f>
        <v>1179.8</v>
      </c>
    </row>
    <row r="899" spans="1:6" x14ac:dyDescent="0.25">
      <c r="A899" s="2">
        <v>44691</v>
      </c>
      <c r="B899" s="1" t="s">
        <v>8</v>
      </c>
      <c r="C899" s="1" t="s">
        <v>16</v>
      </c>
      <c r="D899" s="1" t="s">
        <v>24</v>
      </c>
      <c r="E899">
        <v>521</v>
      </c>
      <c r="F899" s="1">
        <f>VLOOKUP(jablka[[#This Row],[Nazwa]],cennik[],2,0) * jablka[[#This Row],[sprzedaż]]</f>
        <v>1823.5</v>
      </c>
    </row>
    <row r="900" spans="1:6" x14ac:dyDescent="0.25">
      <c r="A900" s="2">
        <v>44691</v>
      </c>
      <c r="B900" s="1" t="s">
        <v>15</v>
      </c>
      <c r="C900" s="1" t="s">
        <v>16</v>
      </c>
      <c r="D900" s="1" t="s">
        <v>23</v>
      </c>
      <c r="E900">
        <v>172</v>
      </c>
      <c r="F900" s="1">
        <f>VLOOKUP(jablka[[#This Row],[Nazwa]],cennik[],2,0) * jablka[[#This Row],[sprzedaż]]</f>
        <v>412.8</v>
      </c>
    </row>
    <row r="901" spans="1:6" x14ac:dyDescent="0.25">
      <c r="A901" s="2">
        <v>44691</v>
      </c>
      <c r="B901" s="1" t="s">
        <v>7</v>
      </c>
      <c r="C901" s="1" t="s">
        <v>16</v>
      </c>
      <c r="D901" s="1" t="s">
        <v>48</v>
      </c>
      <c r="E901">
        <v>410</v>
      </c>
      <c r="F901" s="1">
        <f>VLOOKUP(jablka[[#This Row],[Nazwa]],cennik[],2,0) * jablka[[#This Row],[sprzedaż]]</f>
        <v>1394</v>
      </c>
    </row>
    <row r="902" spans="1:6" x14ac:dyDescent="0.25">
      <c r="A902" s="2">
        <v>44692</v>
      </c>
      <c r="B902" s="1" t="s">
        <v>4</v>
      </c>
      <c r="C902" s="1" t="s">
        <v>16</v>
      </c>
      <c r="D902" s="1" t="s">
        <v>34</v>
      </c>
      <c r="E902">
        <v>437</v>
      </c>
      <c r="F902" s="1">
        <f>VLOOKUP(jablka[[#This Row],[Nazwa]],cennik[],2,0) * jablka[[#This Row],[sprzedaż]]</f>
        <v>1485.8</v>
      </c>
    </row>
    <row r="903" spans="1:6" x14ac:dyDescent="0.25">
      <c r="A903" s="2">
        <v>44692</v>
      </c>
      <c r="B903" s="1" t="s">
        <v>6</v>
      </c>
      <c r="C903" s="1" t="s">
        <v>16</v>
      </c>
      <c r="D903" s="1" t="s">
        <v>57</v>
      </c>
      <c r="E903">
        <v>446</v>
      </c>
      <c r="F903" s="1">
        <f>VLOOKUP(jablka[[#This Row],[Nazwa]],cennik[],2,0) * jablka[[#This Row],[sprzedaż]]</f>
        <v>1516.3999999999999</v>
      </c>
    </row>
    <row r="904" spans="1:6" x14ac:dyDescent="0.25">
      <c r="A904" s="2">
        <v>44692</v>
      </c>
      <c r="B904" s="1" t="s">
        <v>0</v>
      </c>
      <c r="C904" s="1" t="s">
        <v>16</v>
      </c>
      <c r="D904" s="1" t="s">
        <v>41</v>
      </c>
      <c r="E904">
        <v>224</v>
      </c>
      <c r="F904" s="1">
        <f>VLOOKUP(jablka[[#This Row],[Nazwa]],cennik[],2,0) * jablka[[#This Row],[sprzedaż]]</f>
        <v>649.6</v>
      </c>
    </row>
    <row r="905" spans="1:6" x14ac:dyDescent="0.25">
      <c r="A905" s="2">
        <v>44692</v>
      </c>
      <c r="B905" s="1" t="s">
        <v>7</v>
      </c>
      <c r="C905" s="1" t="s">
        <v>16</v>
      </c>
      <c r="D905" s="1" t="s">
        <v>17</v>
      </c>
      <c r="E905">
        <v>402</v>
      </c>
      <c r="F905" s="1">
        <f>VLOOKUP(jablka[[#This Row],[Nazwa]],cennik[],2,0) * jablka[[#This Row],[sprzedaż]]</f>
        <v>1366.8</v>
      </c>
    </row>
    <row r="906" spans="1:6" x14ac:dyDescent="0.25">
      <c r="A906" s="2">
        <v>44692</v>
      </c>
      <c r="B906" s="1" t="s">
        <v>15</v>
      </c>
      <c r="C906" s="1" t="s">
        <v>16</v>
      </c>
      <c r="D906" s="1" t="s">
        <v>37</v>
      </c>
      <c r="E906">
        <v>259</v>
      </c>
      <c r="F906" s="1">
        <f>VLOOKUP(jablka[[#This Row],[Nazwa]],cennik[],2,0) * jablka[[#This Row],[sprzedaż]]</f>
        <v>621.6</v>
      </c>
    </row>
    <row r="907" spans="1:6" x14ac:dyDescent="0.25">
      <c r="A907" s="2">
        <v>44692</v>
      </c>
      <c r="B907" s="1" t="s">
        <v>10</v>
      </c>
      <c r="C907" s="1" t="s">
        <v>16</v>
      </c>
      <c r="D907" s="1" t="s">
        <v>17</v>
      </c>
      <c r="E907">
        <v>393</v>
      </c>
      <c r="F907" s="1">
        <f>VLOOKUP(jablka[[#This Row],[Nazwa]],cennik[],2,0) * jablka[[#This Row],[sprzedaż]]</f>
        <v>1336.2</v>
      </c>
    </row>
    <row r="908" spans="1:6" x14ac:dyDescent="0.25">
      <c r="A908" s="2">
        <v>44692</v>
      </c>
      <c r="B908" s="1" t="s">
        <v>4</v>
      </c>
      <c r="C908" s="1" t="s">
        <v>16</v>
      </c>
      <c r="D908" s="1" t="s">
        <v>57</v>
      </c>
      <c r="E908">
        <v>447</v>
      </c>
      <c r="F908" s="1">
        <f>VLOOKUP(jablka[[#This Row],[Nazwa]],cennik[],2,0) * jablka[[#This Row],[sprzedaż]]</f>
        <v>1519.8</v>
      </c>
    </row>
    <row r="909" spans="1:6" x14ac:dyDescent="0.25">
      <c r="A909" s="2">
        <v>44693</v>
      </c>
      <c r="B909" s="1" t="s">
        <v>5</v>
      </c>
      <c r="C909" s="1" t="s">
        <v>16</v>
      </c>
      <c r="D909" s="1" t="s">
        <v>34</v>
      </c>
      <c r="E909">
        <v>171</v>
      </c>
      <c r="F909" s="1">
        <f>VLOOKUP(jablka[[#This Row],[Nazwa]],cennik[],2,0) * jablka[[#This Row],[sprzedaż]]</f>
        <v>581.4</v>
      </c>
    </row>
    <row r="910" spans="1:6" x14ac:dyDescent="0.25">
      <c r="A910" s="2">
        <v>44693</v>
      </c>
      <c r="B910" s="1" t="s">
        <v>6</v>
      </c>
      <c r="C910" s="1" t="s">
        <v>16</v>
      </c>
      <c r="D910" s="1" t="s">
        <v>45</v>
      </c>
      <c r="E910">
        <v>340</v>
      </c>
      <c r="F910" s="1">
        <f>VLOOKUP(jablka[[#This Row],[Nazwa]],cennik[],2,0) * jablka[[#This Row],[sprzedaż]]</f>
        <v>1156</v>
      </c>
    </row>
    <row r="911" spans="1:6" x14ac:dyDescent="0.25">
      <c r="A911" s="2">
        <v>44693</v>
      </c>
      <c r="B911" s="1" t="s">
        <v>2</v>
      </c>
      <c r="C911" s="1" t="s">
        <v>16</v>
      </c>
      <c r="D911" s="1" t="s">
        <v>21</v>
      </c>
      <c r="E911">
        <v>237</v>
      </c>
      <c r="F911" s="1">
        <f>VLOOKUP(jablka[[#This Row],[Nazwa]],cennik[],2,0) * jablka[[#This Row],[sprzedaż]]</f>
        <v>758.40000000000009</v>
      </c>
    </row>
    <row r="912" spans="1:6" x14ac:dyDescent="0.25">
      <c r="A912" s="2">
        <v>44693</v>
      </c>
      <c r="B912" s="1" t="s">
        <v>4</v>
      </c>
      <c r="C912" s="1" t="s">
        <v>16</v>
      </c>
      <c r="D912" s="1" t="s">
        <v>45</v>
      </c>
      <c r="E912">
        <v>794</v>
      </c>
      <c r="F912" s="1">
        <f>VLOOKUP(jablka[[#This Row],[Nazwa]],cennik[],2,0) * jablka[[#This Row],[sprzedaż]]</f>
        <v>2699.6</v>
      </c>
    </row>
    <row r="913" spans="1:6" x14ac:dyDescent="0.25">
      <c r="A913" s="2">
        <v>44694</v>
      </c>
      <c r="B913" s="1" t="s">
        <v>8</v>
      </c>
      <c r="C913" s="1" t="s">
        <v>16</v>
      </c>
      <c r="D913" s="1" t="s">
        <v>66</v>
      </c>
      <c r="E913">
        <v>237</v>
      </c>
      <c r="F913" s="1">
        <f>VLOOKUP(jablka[[#This Row],[Nazwa]],cennik[],2,0) * jablka[[#This Row],[sprzedaż]]</f>
        <v>829.5</v>
      </c>
    </row>
    <row r="914" spans="1:6" x14ac:dyDescent="0.25">
      <c r="A914" s="2">
        <v>44694</v>
      </c>
      <c r="B914" s="1" t="s">
        <v>8</v>
      </c>
      <c r="C914" s="1" t="s">
        <v>16</v>
      </c>
      <c r="D914" s="1" t="s">
        <v>34</v>
      </c>
      <c r="E914">
        <v>555</v>
      </c>
      <c r="F914" s="1">
        <f>VLOOKUP(jablka[[#This Row],[Nazwa]],cennik[],2,0) * jablka[[#This Row],[sprzedaż]]</f>
        <v>1942.5</v>
      </c>
    </row>
    <row r="915" spans="1:6" x14ac:dyDescent="0.25">
      <c r="A915" s="2">
        <v>44694</v>
      </c>
      <c r="B915" s="1" t="s">
        <v>0</v>
      </c>
      <c r="C915" s="1" t="s">
        <v>16</v>
      </c>
      <c r="D915" s="1" t="s">
        <v>18</v>
      </c>
      <c r="E915">
        <v>303</v>
      </c>
      <c r="F915" s="1">
        <f>VLOOKUP(jablka[[#This Row],[Nazwa]],cennik[],2,0) * jablka[[#This Row],[sprzedaż]]</f>
        <v>878.69999999999993</v>
      </c>
    </row>
    <row r="916" spans="1:6" x14ac:dyDescent="0.25">
      <c r="A916" s="2">
        <v>44694</v>
      </c>
      <c r="B916" s="1" t="s">
        <v>7</v>
      </c>
      <c r="C916" s="1" t="s">
        <v>16</v>
      </c>
      <c r="D916" s="1" t="s">
        <v>22</v>
      </c>
      <c r="E916">
        <v>394</v>
      </c>
      <c r="F916" s="1">
        <f>VLOOKUP(jablka[[#This Row],[Nazwa]],cennik[],2,0) * jablka[[#This Row],[sprzedaż]]</f>
        <v>1339.6</v>
      </c>
    </row>
    <row r="917" spans="1:6" x14ac:dyDescent="0.25">
      <c r="A917" s="2">
        <v>44694</v>
      </c>
      <c r="B917" s="1" t="s">
        <v>6</v>
      </c>
      <c r="C917" s="1" t="s">
        <v>16</v>
      </c>
      <c r="D917" s="1" t="s">
        <v>54</v>
      </c>
      <c r="E917">
        <v>391</v>
      </c>
      <c r="F917" s="1">
        <f>VLOOKUP(jablka[[#This Row],[Nazwa]],cennik[],2,0) * jablka[[#This Row],[sprzedaż]]</f>
        <v>1329.3999999999999</v>
      </c>
    </row>
    <row r="918" spans="1:6" x14ac:dyDescent="0.25">
      <c r="A918" s="2">
        <v>44694</v>
      </c>
      <c r="B918" s="1" t="s">
        <v>6</v>
      </c>
      <c r="C918" s="1" t="s">
        <v>16</v>
      </c>
      <c r="D918" s="1" t="s">
        <v>48</v>
      </c>
      <c r="E918">
        <v>91</v>
      </c>
      <c r="F918" s="1">
        <f>VLOOKUP(jablka[[#This Row],[Nazwa]],cennik[],2,0) * jablka[[#This Row],[sprzedaż]]</f>
        <v>309.39999999999998</v>
      </c>
    </row>
    <row r="919" spans="1:6" x14ac:dyDescent="0.25">
      <c r="A919" s="2">
        <v>44694</v>
      </c>
      <c r="B919" s="1" t="s">
        <v>2</v>
      </c>
      <c r="C919" s="1" t="s">
        <v>16</v>
      </c>
      <c r="D919" s="1" t="s">
        <v>62</v>
      </c>
      <c r="E919">
        <v>223</v>
      </c>
      <c r="F919" s="1">
        <f>VLOOKUP(jablka[[#This Row],[Nazwa]],cennik[],2,0) * jablka[[#This Row],[sprzedaż]]</f>
        <v>713.6</v>
      </c>
    </row>
    <row r="920" spans="1:6" x14ac:dyDescent="0.25">
      <c r="A920" s="2">
        <v>44695</v>
      </c>
      <c r="B920" s="1" t="s">
        <v>7</v>
      </c>
      <c r="C920" s="1" t="s">
        <v>16</v>
      </c>
      <c r="D920" s="1" t="s">
        <v>27</v>
      </c>
      <c r="E920">
        <v>550</v>
      </c>
      <c r="F920" s="1">
        <f>VLOOKUP(jablka[[#This Row],[Nazwa]],cennik[],2,0) * jablka[[#This Row],[sprzedaż]]</f>
        <v>1870</v>
      </c>
    </row>
    <row r="921" spans="1:6" x14ac:dyDescent="0.25">
      <c r="A921" s="2">
        <v>44695</v>
      </c>
      <c r="B921" s="1" t="s">
        <v>6</v>
      </c>
      <c r="C921" s="1" t="s">
        <v>16</v>
      </c>
      <c r="D921" s="1" t="s">
        <v>62</v>
      </c>
      <c r="E921">
        <v>97</v>
      </c>
      <c r="F921" s="1">
        <f>VLOOKUP(jablka[[#This Row],[Nazwa]],cennik[],2,0) * jablka[[#This Row],[sprzedaż]]</f>
        <v>329.8</v>
      </c>
    </row>
    <row r="922" spans="1:6" x14ac:dyDescent="0.25">
      <c r="A922" s="2">
        <v>44695</v>
      </c>
      <c r="B922" s="1" t="s">
        <v>2</v>
      </c>
      <c r="C922" s="1" t="s">
        <v>16</v>
      </c>
      <c r="D922" s="1" t="s">
        <v>22</v>
      </c>
      <c r="E922">
        <v>190</v>
      </c>
      <c r="F922" s="1">
        <f>VLOOKUP(jablka[[#This Row],[Nazwa]],cennik[],2,0) * jablka[[#This Row],[sprzedaż]]</f>
        <v>608</v>
      </c>
    </row>
    <row r="923" spans="1:6" x14ac:dyDescent="0.25">
      <c r="A923" s="2">
        <v>44695</v>
      </c>
      <c r="B923" s="1" t="s">
        <v>4</v>
      </c>
      <c r="C923" s="1" t="s">
        <v>16</v>
      </c>
      <c r="D923" s="1" t="s">
        <v>46</v>
      </c>
      <c r="E923">
        <v>650</v>
      </c>
      <c r="F923" s="1">
        <f>VLOOKUP(jablka[[#This Row],[Nazwa]],cennik[],2,0) * jablka[[#This Row],[sprzedaż]]</f>
        <v>2210</v>
      </c>
    </row>
    <row r="924" spans="1:6" x14ac:dyDescent="0.25">
      <c r="A924" s="2">
        <v>44695</v>
      </c>
      <c r="B924" s="1" t="s">
        <v>15</v>
      </c>
      <c r="C924" s="1" t="s">
        <v>16</v>
      </c>
      <c r="D924" s="1" t="s">
        <v>59</v>
      </c>
      <c r="E924">
        <v>323</v>
      </c>
      <c r="F924" s="1">
        <f>VLOOKUP(jablka[[#This Row],[Nazwa]],cennik[],2,0) * jablka[[#This Row],[sprzedaż]]</f>
        <v>775.19999999999993</v>
      </c>
    </row>
    <row r="925" spans="1:6" x14ac:dyDescent="0.25">
      <c r="A925" s="2">
        <v>44695</v>
      </c>
      <c r="B925" s="1" t="s">
        <v>5</v>
      </c>
      <c r="C925" s="1" t="s">
        <v>16</v>
      </c>
      <c r="D925" s="1" t="s">
        <v>32</v>
      </c>
      <c r="E925">
        <v>279</v>
      </c>
      <c r="F925" s="1">
        <f>VLOOKUP(jablka[[#This Row],[Nazwa]],cennik[],2,0) * jablka[[#This Row],[sprzedaż]]</f>
        <v>948.6</v>
      </c>
    </row>
    <row r="926" spans="1:6" x14ac:dyDescent="0.25">
      <c r="A926" s="2">
        <v>44695</v>
      </c>
      <c r="B926" s="1" t="s">
        <v>8</v>
      </c>
      <c r="C926" s="1" t="s">
        <v>16</v>
      </c>
      <c r="D926" s="1" t="s">
        <v>51</v>
      </c>
      <c r="E926">
        <v>346</v>
      </c>
      <c r="F926" s="1">
        <f>VLOOKUP(jablka[[#This Row],[Nazwa]],cennik[],2,0) * jablka[[#This Row],[sprzedaż]]</f>
        <v>1211</v>
      </c>
    </row>
    <row r="927" spans="1:6" x14ac:dyDescent="0.25">
      <c r="A927" s="2">
        <v>44695</v>
      </c>
      <c r="B927" s="1" t="s">
        <v>2</v>
      </c>
      <c r="C927" s="1" t="s">
        <v>16</v>
      </c>
      <c r="D927" s="1" t="s">
        <v>63</v>
      </c>
      <c r="E927">
        <v>358</v>
      </c>
      <c r="F927" s="1">
        <f>VLOOKUP(jablka[[#This Row],[Nazwa]],cennik[],2,0) * jablka[[#This Row],[sprzedaż]]</f>
        <v>1145.6000000000001</v>
      </c>
    </row>
    <row r="928" spans="1:6" x14ac:dyDescent="0.25">
      <c r="A928" s="2">
        <v>44695</v>
      </c>
      <c r="B928" s="1" t="s">
        <v>6</v>
      </c>
      <c r="C928" s="1" t="s">
        <v>16</v>
      </c>
      <c r="D928" s="1" t="s">
        <v>32</v>
      </c>
      <c r="E928">
        <v>17</v>
      </c>
      <c r="F928" s="1">
        <f>VLOOKUP(jablka[[#This Row],[Nazwa]],cennik[],2,0) * jablka[[#This Row],[sprzedaż]]</f>
        <v>57.8</v>
      </c>
    </row>
    <row r="929" spans="1:6" x14ac:dyDescent="0.25">
      <c r="A929" s="2">
        <v>44697</v>
      </c>
      <c r="B929" s="1" t="s">
        <v>7</v>
      </c>
      <c r="C929" s="1" t="s">
        <v>16</v>
      </c>
      <c r="D929" s="1" t="s">
        <v>21</v>
      </c>
      <c r="E929">
        <v>594</v>
      </c>
      <c r="F929" s="1">
        <f>VLOOKUP(jablka[[#This Row],[Nazwa]],cennik[],2,0) * jablka[[#This Row],[sprzedaż]]</f>
        <v>2019.6</v>
      </c>
    </row>
    <row r="930" spans="1:6" x14ac:dyDescent="0.25">
      <c r="A930" s="2">
        <v>44697</v>
      </c>
      <c r="B930" s="1" t="s">
        <v>4</v>
      </c>
      <c r="C930" s="1" t="s">
        <v>16</v>
      </c>
      <c r="D930" s="1" t="s">
        <v>47</v>
      </c>
      <c r="E930">
        <v>770</v>
      </c>
      <c r="F930" s="1">
        <f>VLOOKUP(jablka[[#This Row],[Nazwa]],cennik[],2,0) * jablka[[#This Row],[sprzedaż]]</f>
        <v>2618</v>
      </c>
    </row>
    <row r="931" spans="1:6" x14ac:dyDescent="0.25">
      <c r="A931" s="2">
        <v>44697</v>
      </c>
      <c r="B931" s="1" t="s">
        <v>4</v>
      </c>
      <c r="C931" s="1" t="s">
        <v>16</v>
      </c>
      <c r="D931" s="1" t="s">
        <v>64</v>
      </c>
      <c r="E931">
        <v>397</v>
      </c>
      <c r="F931" s="1">
        <f>VLOOKUP(jablka[[#This Row],[Nazwa]],cennik[],2,0) * jablka[[#This Row],[sprzedaż]]</f>
        <v>1349.8</v>
      </c>
    </row>
    <row r="932" spans="1:6" x14ac:dyDescent="0.25">
      <c r="A932" s="2">
        <v>44697</v>
      </c>
      <c r="B932" s="1" t="s">
        <v>2</v>
      </c>
      <c r="C932" s="1" t="s">
        <v>16</v>
      </c>
      <c r="D932" s="1" t="s">
        <v>53</v>
      </c>
      <c r="E932">
        <v>193</v>
      </c>
      <c r="F932" s="1">
        <f>VLOOKUP(jablka[[#This Row],[Nazwa]],cennik[],2,0) * jablka[[#This Row],[sprzedaż]]</f>
        <v>617.6</v>
      </c>
    </row>
    <row r="933" spans="1:6" x14ac:dyDescent="0.25">
      <c r="A933" s="2">
        <v>44697</v>
      </c>
      <c r="B933" s="1" t="s">
        <v>10</v>
      </c>
      <c r="C933" s="1" t="s">
        <v>16</v>
      </c>
      <c r="D933" s="1" t="s">
        <v>50</v>
      </c>
      <c r="E933">
        <v>381</v>
      </c>
      <c r="F933" s="1">
        <f>VLOOKUP(jablka[[#This Row],[Nazwa]],cennik[],2,0) * jablka[[#This Row],[sprzedaż]]</f>
        <v>1295.3999999999999</v>
      </c>
    </row>
    <row r="934" spans="1:6" x14ac:dyDescent="0.25">
      <c r="A934" s="2">
        <v>44697</v>
      </c>
      <c r="B934" s="1" t="s">
        <v>5</v>
      </c>
      <c r="C934" s="1" t="s">
        <v>16</v>
      </c>
      <c r="D934" s="1" t="s">
        <v>59</v>
      </c>
      <c r="E934">
        <v>74</v>
      </c>
      <c r="F934" s="1">
        <f>VLOOKUP(jablka[[#This Row],[Nazwa]],cennik[],2,0) * jablka[[#This Row],[sprzedaż]]</f>
        <v>251.6</v>
      </c>
    </row>
    <row r="935" spans="1:6" x14ac:dyDescent="0.25">
      <c r="A935" s="2">
        <v>44697</v>
      </c>
      <c r="B935" s="1" t="s">
        <v>5</v>
      </c>
      <c r="C935" s="1" t="s">
        <v>16</v>
      </c>
      <c r="D935" s="1" t="s">
        <v>23</v>
      </c>
      <c r="E935">
        <v>458</v>
      </c>
      <c r="F935" s="1">
        <f>VLOOKUP(jablka[[#This Row],[Nazwa]],cennik[],2,0) * jablka[[#This Row],[sprzedaż]]</f>
        <v>1557.2</v>
      </c>
    </row>
    <row r="936" spans="1:6" x14ac:dyDescent="0.25">
      <c r="A936" s="2">
        <v>44697</v>
      </c>
      <c r="B936" s="1" t="s">
        <v>15</v>
      </c>
      <c r="C936" s="1" t="s">
        <v>16</v>
      </c>
      <c r="D936" s="1" t="s">
        <v>56</v>
      </c>
      <c r="E936">
        <v>126</v>
      </c>
      <c r="F936" s="1">
        <f>VLOOKUP(jablka[[#This Row],[Nazwa]],cennik[],2,0) * jablka[[#This Row],[sprzedaż]]</f>
        <v>302.39999999999998</v>
      </c>
    </row>
    <row r="937" spans="1:6" x14ac:dyDescent="0.25">
      <c r="A937" s="2">
        <v>44697</v>
      </c>
      <c r="B937" s="1" t="s">
        <v>6</v>
      </c>
      <c r="C937" s="1" t="s">
        <v>16</v>
      </c>
      <c r="D937" s="1" t="s">
        <v>29</v>
      </c>
      <c r="E937">
        <v>58</v>
      </c>
      <c r="F937" s="1">
        <f>VLOOKUP(jablka[[#This Row],[Nazwa]],cennik[],2,0) * jablka[[#This Row],[sprzedaż]]</f>
        <v>197.2</v>
      </c>
    </row>
    <row r="938" spans="1:6" x14ac:dyDescent="0.25">
      <c r="A938" s="2">
        <v>44697</v>
      </c>
      <c r="B938" s="1" t="s">
        <v>15</v>
      </c>
      <c r="C938" s="1" t="s">
        <v>16</v>
      </c>
      <c r="D938" s="1" t="s">
        <v>44</v>
      </c>
      <c r="E938">
        <v>206</v>
      </c>
      <c r="F938" s="1">
        <f>VLOOKUP(jablka[[#This Row],[Nazwa]],cennik[],2,0) * jablka[[#This Row],[sprzedaż]]</f>
        <v>494.4</v>
      </c>
    </row>
    <row r="939" spans="1:6" x14ac:dyDescent="0.25">
      <c r="A939" s="2">
        <v>44697</v>
      </c>
      <c r="B939" s="1" t="s">
        <v>8</v>
      </c>
      <c r="C939" s="1" t="s">
        <v>16</v>
      </c>
      <c r="D939" s="1" t="s">
        <v>28</v>
      </c>
      <c r="E939">
        <v>380</v>
      </c>
      <c r="F939" s="1">
        <f>VLOOKUP(jablka[[#This Row],[Nazwa]],cennik[],2,0) * jablka[[#This Row],[sprzedaż]]</f>
        <v>1330</v>
      </c>
    </row>
    <row r="940" spans="1:6" x14ac:dyDescent="0.25">
      <c r="A940" s="2">
        <v>44697</v>
      </c>
      <c r="B940" s="1" t="s">
        <v>6</v>
      </c>
      <c r="C940" s="1" t="s">
        <v>16</v>
      </c>
      <c r="D940" s="1" t="s">
        <v>29</v>
      </c>
      <c r="E940">
        <v>428</v>
      </c>
      <c r="F940" s="1">
        <f>VLOOKUP(jablka[[#This Row],[Nazwa]],cennik[],2,0) * jablka[[#This Row],[sprzedaż]]</f>
        <v>1455.2</v>
      </c>
    </row>
    <row r="941" spans="1:6" x14ac:dyDescent="0.25">
      <c r="A941" s="2">
        <v>44698</v>
      </c>
      <c r="B941" s="1" t="s">
        <v>5</v>
      </c>
      <c r="C941" s="1" t="s">
        <v>16</v>
      </c>
      <c r="D941" s="1" t="s">
        <v>55</v>
      </c>
      <c r="E941">
        <v>43</v>
      </c>
      <c r="F941" s="1">
        <f>VLOOKUP(jablka[[#This Row],[Nazwa]],cennik[],2,0) * jablka[[#This Row],[sprzedaż]]</f>
        <v>146.19999999999999</v>
      </c>
    </row>
    <row r="942" spans="1:6" x14ac:dyDescent="0.25">
      <c r="A942" s="2">
        <v>44698</v>
      </c>
      <c r="B942" s="1" t="s">
        <v>7</v>
      </c>
      <c r="C942" s="1" t="s">
        <v>16</v>
      </c>
      <c r="D942" s="1" t="s">
        <v>41</v>
      </c>
      <c r="E942">
        <v>357</v>
      </c>
      <c r="F942" s="1">
        <f>VLOOKUP(jablka[[#This Row],[Nazwa]],cennik[],2,0) * jablka[[#This Row],[sprzedaż]]</f>
        <v>1213.8</v>
      </c>
    </row>
    <row r="943" spans="1:6" x14ac:dyDescent="0.25">
      <c r="A943" s="2">
        <v>44698</v>
      </c>
      <c r="B943" s="1" t="s">
        <v>7</v>
      </c>
      <c r="C943" s="1" t="s">
        <v>16</v>
      </c>
      <c r="D943" s="1" t="s">
        <v>37</v>
      </c>
      <c r="E943">
        <v>490</v>
      </c>
      <c r="F943" s="1">
        <f>VLOOKUP(jablka[[#This Row],[Nazwa]],cennik[],2,0) * jablka[[#This Row],[sprzedaż]]</f>
        <v>1666</v>
      </c>
    </row>
    <row r="944" spans="1:6" x14ac:dyDescent="0.25">
      <c r="A944" s="2">
        <v>44698</v>
      </c>
      <c r="B944" s="1" t="s">
        <v>4</v>
      </c>
      <c r="C944" s="1" t="s">
        <v>16</v>
      </c>
      <c r="D944" s="1" t="s">
        <v>41</v>
      </c>
      <c r="E944">
        <v>592</v>
      </c>
      <c r="F944" s="1">
        <f>VLOOKUP(jablka[[#This Row],[Nazwa]],cennik[],2,0) * jablka[[#This Row],[sprzedaż]]</f>
        <v>2012.8</v>
      </c>
    </row>
    <row r="945" spans="1:6" x14ac:dyDescent="0.25">
      <c r="A945" s="2">
        <v>44699</v>
      </c>
      <c r="B945" s="1" t="s">
        <v>4</v>
      </c>
      <c r="C945" s="1" t="s">
        <v>16</v>
      </c>
      <c r="D945" s="1" t="s">
        <v>49</v>
      </c>
      <c r="E945">
        <v>685</v>
      </c>
      <c r="F945" s="1">
        <f>VLOOKUP(jablka[[#This Row],[Nazwa]],cennik[],2,0) * jablka[[#This Row],[sprzedaż]]</f>
        <v>2329</v>
      </c>
    </row>
    <row r="946" spans="1:6" x14ac:dyDescent="0.25">
      <c r="A946" s="2">
        <v>44699</v>
      </c>
      <c r="B946" s="1" t="s">
        <v>2</v>
      </c>
      <c r="C946" s="1" t="s">
        <v>16</v>
      </c>
      <c r="D946" s="1" t="s">
        <v>32</v>
      </c>
      <c r="E946">
        <v>404</v>
      </c>
      <c r="F946" s="1">
        <f>VLOOKUP(jablka[[#This Row],[Nazwa]],cennik[],2,0) * jablka[[#This Row],[sprzedaż]]</f>
        <v>1292.8000000000002</v>
      </c>
    </row>
    <row r="947" spans="1:6" x14ac:dyDescent="0.25">
      <c r="A947" s="2">
        <v>44699</v>
      </c>
      <c r="B947" s="1" t="s">
        <v>2</v>
      </c>
      <c r="C947" s="1" t="s">
        <v>16</v>
      </c>
      <c r="D947" s="1" t="s">
        <v>56</v>
      </c>
      <c r="E947">
        <v>109</v>
      </c>
      <c r="F947" s="1">
        <f>VLOOKUP(jablka[[#This Row],[Nazwa]],cennik[],2,0) * jablka[[#This Row],[sprzedaż]]</f>
        <v>348.8</v>
      </c>
    </row>
    <row r="948" spans="1:6" x14ac:dyDescent="0.25">
      <c r="A948" s="2">
        <v>44699</v>
      </c>
      <c r="B948" s="1" t="s">
        <v>6</v>
      </c>
      <c r="C948" s="1" t="s">
        <v>16</v>
      </c>
      <c r="D948" s="1" t="s">
        <v>62</v>
      </c>
      <c r="E948">
        <v>454</v>
      </c>
      <c r="F948" s="1">
        <f>VLOOKUP(jablka[[#This Row],[Nazwa]],cennik[],2,0) * jablka[[#This Row],[sprzedaż]]</f>
        <v>1543.6</v>
      </c>
    </row>
    <row r="949" spans="1:6" x14ac:dyDescent="0.25">
      <c r="A949" s="2">
        <v>44699</v>
      </c>
      <c r="B949" s="1" t="s">
        <v>10</v>
      </c>
      <c r="C949" s="1" t="s">
        <v>16</v>
      </c>
      <c r="D949" s="1" t="s">
        <v>33</v>
      </c>
      <c r="E949">
        <v>206</v>
      </c>
      <c r="F949" s="1">
        <f>VLOOKUP(jablka[[#This Row],[Nazwa]],cennik[],2,0) * jablka[[#This Row],[sprzedaż]]</f>
        <v>700.4</v>
      </c>
    </row>
    <row r="950" spans="1:6" x14ac:dyDescent="0.25">
      <c r="A950" s="2">
        <v>44699</v>
      </c>
      <c r="B950" s="1" t="s">
        <v>15</v>
      </c>
      <c r="C950" s="1" t="s">
        <v>16</v>
      </c>
      <c r="D950" s="1" t="s">
        <v>37</v>
      </c>
      <c r="E950">
        <v>585</v>
      </c>
      <c r="F950" s="1">
        <f>VLOOKUP(jablka[[#This Row],[Nazwa]],cennik[],2,0) * jablka[[#This Row],[sprzedaż]]</f>
        <v>1404</v>
      </c>
    </row>
    <row r="951" spans="1:6" x14ac:dyDescent="0.25">
      <c r="A951" s="2">
        <v>44699</v>
      </c>
      <c r="B951" s="1" t="s">
        <v>4</v>
      </c>
      <c r="C951" s="1" t="s">
        <v>16</v>
      </c>
      <c r="D951" s="1" t="s">
        <v>60</v>
      </c>
      <c r="E951">
        <v>697</v>
      </c>
      <c r="F951" s="1">
        <f>VLOOKUP(jablka[[#This Row],[Nazwa]],cennik[],2,0) * jablka[[#This Row],[sprzedaż]]</f>
        <v>2369.7999999999997</v>
      </c>
    </row>
    <row r="952" spans="1:6" x14ac:dyDescent="0.25">
      <c r="A952" s="2">
        <v>44699</v>
      </c>
      <c r="B952" s="1" t="s">
        <v>5</v>
      </c>
      <c r="C952" s="1" t="s">
        <v>16</v>
      </c>
      <c r="D952" s="1" t="s">
        <v>51</v>
      </c>
      <c r="E952">
        <v>176</v>
      </c>
      <c r="F952" s="1">
        <f>VLOOKUP(jablka[[#This Row],[Nazwa]],cennik[],2,0) * jablka[[#This Row],[sprzedaż]]</f>
        <v>598.4</v>
      </c>
    </row>
    <row r="953" spans="1:6" x14ac:dyDescent="0.25">
      <c r="A953" s="2">
        <v>44700</v>
      </c>
      <c r="B953" s="1" t="s">
        <v>7</v>
      </c>
      <c r="C953" s="1" t="s">
        <v>16</v>
      </c>
      <c r="D953" s="1" t="s">
        <v>46</v>
      </c>
      <c r="E953">
        <v>383</v>
      </c>
      <c r="F953" s="1">
        <f>VLOOKUP(jablka[[#This Row],[Nazwa]],cennik[],2,0) * jablka[[#This Row],[sprzedaż]]</f>
        <v>1302.2</v>
      </c>
    </row>
    <row r="954" spans="1:6" x14ac:dyDescent="0.25">
      <c r="A954" s="2">
        <v>44700</v>
      </c>
      <c r="B954" s="1" t="s">
        <v>6</v>
      </c>
      <c r="C954" s="1" t="s">
        <v>16</v>
      </c>
      <c r="D954" s="1" t="s">
        <v>35</v>
      </c>
      <c r="E954">
        <v>225</v>
      </c>
      <c r="F954" s="1">
        <f>VLOOKUP(jablka[[#This Row],[Nazwa]],cennik[],2,0) * jablka[[#This Row],[sprzedaż]]</f>
        <v>765</v>
      </c>
    </row>
    <row r="955" spans="1:6" x14ac:dyDescent="0.25">
      <c r="A955" s="2">
        <v>44700</v>
      </c>
      <c r="B955" s="1" t="s">
        <v>15</v>
      </c>
      <c r="C955" s="1" t="s">
        <v>16</v>
      </c>
      <c r="D955" s="1" t="s">
        <v>55</v>
      </c>
      <c r="E955">
        <v>562</v>
      </c>
      <c r="F955" s="1">
        <f>VLOOKUP(jablka[[#This Row],[Nazwa]],cennik[],2,0) * jablka[[#This Row],[sprzedaż]]</f>
        <v>1348.8</v>
      </c>
    </row>
    <row r="956" spans="1:6" x14ac:dyDescent="0.25">
      <c r="A956" s="2">
        <v>44700</v>
      </c>
      <c r="B956" s="1" t="s">
        <v>4</v>
      </c>
      <c r="C956" s="1" t="s">
        <v>16</v>
      </c>
      <c r="D956" s="1" t="s">
        <v>43</v>
      </c>
      <c r="E956">
        <v>387</v>
      </c>
      <c r="F956" s="1">
        <f>VLOOKUP(jablka[[#This Row],[Nazwa]],cennik[],2,0) * jablka[[#This Row],[sprzedaż]]</f>
        <v>1315.8</v>
      </c>
    </row>
    <row r="957" spans="1:6" x14ac:dyDescent="0.25">
      <c r="A957" s="2">
        <v>44701</v>
      </c>
      <c r="B957" s="1" t="s">
        <v>7</v>
      </c>
      <c r="C957" s="1" t="s">
        <v>16</v>
      </c>
      <c r="D957" s="1" t="s">
        <v>64</v>
      </c>
      <c r="E957">
        <v>339</v>
      </c>
      <c r="F957" s="1">
        <f>VLOOKUP(jablka[[#This Row],[Nazwa]],cennik[],2,0) * jablka[[#This Row],[sprzedaż]]</f>
        <v>1152.5999999999999</v>
      </c>
    </row>
    <row r="958" spans="1:6" x14ac:dyDescent="0.25">
      <c r="A958" s="2">
        <v>44701</v>
      </c>
      <c r="B958" s="1" t="s">
        <v>5</v>
      </c>
      <c r="C958" s="1" t="s">
        <v>16</v>
      </c>
      <c r="D958" s="1" t="s">
        <v>43</v>
      </c>
      <c r="E958">
        <v>456</v>
      </c>
      <c r="F958" s="1">
        <f>VLOOKUP(jablka[[#This Row],[Nazwa]],cennik[],2,0) * jablka[[#This Row],[sprzedaż]]</f>
        <v>1550.3999999999999</v>
      </c>
    </row>
    <row r="959" spans="1:6" x14ac:dyDescent="0.25">
      <c r="A959" s="2">
        <v>44701</v>
      </c>
      <c r="B959" s="1" t="s">
        <v>4</v>
      </c>
      <c r="C959" s="1" t="s">
        <v>16</v>
      </c>
      <c r="D959" s="1" t="s">
        <v>40</v>
      </c>
      <c r="E959">
        <v>490</v>
      </c>
      <c r="F959" s="1">
        <f>VLOOKUP(jablka[[#This Row],[Nazwa]],cennik[],2,0) * jablka[[#This Row],[sprzedaż]]</f>
        <v>1666</v>
      </c>
    </row>
    <row r="960" spans="1:6" x14ac:dyDescent="0.25">
      <c r="A960" s="2">
        <v>44701</v>
      </c>
      <c r="B960" s="1" t="s">
        <v>8</v>
      </c>
      <c r="C960" s="1" t="s">
        <v>16</v>
      </c>
      <c r="D960" s="1" t="s">
        <v>39</v>
      </c>
      <c r="E960">
        <v>599</v>
      </c>
      <c r="F960" s="1">
        <f>VLOOKUP(jablka[[#This Row],[Nazwa]],cennik[],2,0) * jablka[[#This Row],[sprzedaż]]</f>
        <v>2096.5</v>
      </c>
    </row>
    <row r="961" spans="1:6" x14ac:dyDescent="0.25">
      <c r="A961" s="2">
        <v>44701</v>
      </c>
      <c r="B961" s="1" t="s">
        <v>5</v>
      </c>
      <c r="C961" s="1" t="s">
        <v>16</v>
      </c>
      <c r="D961" s="1" t="s">
        <v>41</v>
      </c>
      <c r="E961">
        <v>185</v>
      </c>
      <c r="F961" s="1">
        <f>VLOOKUP(jablka[[#This Row],[Nazwa]],cennik[],2,0) * jablka[[#This Row],[sprzedaż]]</f>
        <v>629</v>
      </c>
    </row>
    <row r="962" spans="1:6" x14ac:dyDescent="0.25">
      <c r="A962" s="2">
        <v>44701</v>
      </c>
      <c r="B962" s="1" t="s">
        <v>4</v>
      </c>
      <c r="C962" s="1" t="s">
        <v>16</v>
      </c>
      <c r="D962" s="1" t="s">
        <v>54</v>
      </c>
      <c r="E962">
        <v>670</v>
      </c>
      <c r="F962" s="1">
        <f>VLOOKUP(jablka[[#This Row],[Nazwa]],cennik[],2,0) * jablka[[#This Row],[sprzedaż]]</f>
        <v>2278</v>
      </c>
    </row>
    <row r="963" spans="1:6" x14ac:dyDescent="0.25">
      <c r="A963" s="2">
        <v>44701</v>
      </c>
      <c r="B963" s="1" t="s">
        <v>10</v>
      </c>
      <c r="C963" s="1" t="s">
        <v>16</v>
      </c>
      <c r="D963" s="1" t="s">
        <v>45</v>
      </c>
      <c r="E963">
        <v>280</v>
      </c>
      <c r="F963" s="1">
        <f>VLOOKUP(jablka[[#This Row],[Nazwa]],cennik[],2,0) * jablka[[#This Row],[sprzedaż]]</f>
        <v>952</v>
      </c>
    </row>
    <row r="964" spans="1:6" x14ac:dyDescent="0.25">
      <c r="A964" s="2">
        <v>44701</v>
      </c>
      <c r="B964" s="1" t="s">
        <v>5</v>
      </c>
      <c r="C964" s="1" t="s">
        <v>16</v>
      </c>
      <c r="D964" s="1" t="s">
        <v>63</v>
      </c>
      <c r="E964">
        <v>211</v>
      </c>
      <c r="F964" s="1">
        <f>VLOOKUP(jablka[[#This Row],[Nazwa]],cennik[],2,0) * jablka[[#This Row],[sprzedaż]]</f>
        <v>717.4</v>
      </c>
    </row>
    <row r="965" spans="1:6" x14ac:dyDescent="0.25">
      <c r="A965" s="2">
        <v>44702</v>
      </c>
      <c r="B965" s="1" t="s">
        <v>15</v>
      </c>
      <c r="C965" s="1" t="s">
        <v>16</v>
      </c>
      <c r="D965" s="1" t="s">
        <v>48</v>
      </c>
      <c r="E965">
        <v>136</v>
      </c>
      <c r="F965" s="1">
        <f>VLOOKUP(jablka[[#This Row],[Nazwa]],cennik[],2,0) * jablka[[#This Row],[sprzedaż]]</f>
        <v>326.39999999999998</v>
      </c>
    </row>
    <row r="966" spans="1:6" x14ac:dyDescent="0.25">
      <c r="A966" s="2">
        <v>44702</v>
      </c>
      <c r="B966" s="1" t="s">
        <v>4</v>
      </c>
      <c r="C966" s="1" t="s">
        <v>16</v>
      </c>
      <c r="D966" s="1" t="s">
        <v>59</v>
      </c>
      <c r="E966">
        <v>417</v>
      </c>
      <c r="F966" s="1">
        <f>VLOOKUP(jablka[[#This Row],[Nazwa]],cennik[],2,0) * jablka[[#This Row],[sprzedaż]]</f>
        <v>1417.8</v>
      </c>
    </row>
    <row r="967" spans="1:6" x14ac:dyDescent="0.25">
      <c r="A967" s="2">
        <v>44702</v>
      </c>
      <c r="B967" s="1" t="s">
        <v>15</v>
      </c>
      <c r="C967" s="1" t="s">
        <v>16</v>
      </c>
      <c r="D967" s="1" t="s">
        <v>23</v>
      </c>
      <c r="E967">
        <v>381</v>
      </c>
      <c r="F967" s="1">
        <f>VLOOKUP(jablka[[#This Row],[Nazwa]],cennik[],2,0) * jablka[[#This Row],[sprzedaż]]</f>
        <v>914.4</v>
      </c>
    </row>
    <row r="968" spans="1:6" x14ac:dyDescent="0.25">
      <c r="A968" s="2">
        <v>44702</v>
      </c>
      <c r="B968" s="1" t="s">
        <v>4</v>
      </c>
      <c r="C968" s="1" t="s">
        <v>16</v>
      </c>
      <c r="D968" s="1" t="s">
        <v>36</v>
      </c>
      <c r="E968">
        <v>546</v>
      </c>
      <c r="F968" s="1">
        <f>VLOOKUP(jablka[[#This Row],[Nazwa]],cennik[],2,0) * jablka[[#This Row],[sprzedaż]]</f>
        <v>1856.3999999999999</v>
      </c>
    </row>
    <row r="969" spans="1:6" x14ac:dyDescent="0.25">
      <c r="A969" s="2">
        <v>44702</v>
      </c>
      <c r="B969" s="1" t="s">
        <v>0</v>
      </c>
      <c r="C969" s="1" t="s">
        <v>16</v>
      </c>
      <c r="D969" s="1" t="s">
        <v>65</v>
      </c>
      <c r="E969">
        <v>355</v>
      </c>
      <c r="F969" s="1">
        <f>VLOOKUP(jablka[[#This Row],[Nazwa]],cennik[],2,0) * jablka[[#This Row],[sprzedaż]]</f>
        <v>1029.5</v>
      </c>
    </row>
    <row r="970" spans="1:6" x14ac:dyDescent="0.25">
      <c r="A970" s="2">
        <v>44704</v>
      </c>
      <c r="B970" s="1" t="s">
        <v>4</v>
      </c>
      <c r="C970" s="1" t="s">
        <v>16</v>
      </c>
      <c r="D970" s="1" t="s">
        <v>34</v>
      </c>
      <c r="E970">
        <v>592</v>
      </c>
      <c r="F970" s="1">
        <f>VLOOKUP(jablka[[#This Row],[Nazwa]],cennik[],2,0) * jablka[[#This Row],[sprzedaż]]</f>
        <v>2012.8</v>
      </c>
    </row>
    <row r="971" spans="1:6" x14ac:dyDescent="0.25">
      <c r="A971" s="2">
        <v>44704</v>
      </c>
      <c r="B971" s="1" t="s">
        <v>4</v>
      </c>
      <c r="C971" s="1" t="s">
        <v>16</v>
      </c>
      <c r="D971" s="1" t="s">
        <v>34</v>
      </c>
      <c r="E971">
        <v>519</v>
      </c>
      <c r="F971" s="1">
        <f>VLOOKUP(jablka[[#This Row],[Nazwa]],cennik[],2,0) * jablka[[#This Row],[sprzedaż]]</f>
        <v>1764.6</v>
      </c>
    </row>
    <row r="972" spans="1:6" x14ac:dyDescent="0.25">
      <c r="A972" s="2">
        <v>44704</v>
      </c>
      <c r="B972" s="1" t="s">
        <v>8</v>
      </c>
      <c r="C972" s="1" t="s">
        <v>16</v>
      </c>
      <c r="D972" s="1" t="s">
        <v>65</v>
      </c>
      <c r="E972">
        <v>441</v>
      </c>
      <c r="F972" s="1">
        <f>VLOOKUP(jablka[[#This Row],[Nazwa]],cennik[],2,0) * jablka[[#This Row],[sprzedaż]]</f>
        <v>1543.5</v>
      </c>
    </row>
    <row r="973" spans="1:6" x14ac:dyDescent="0.25">
      <c r="A973" s="2">
        <v>44704</v>
      </c>
      <c r="B973" s="1" t="s">
        <v>15</v>
      </c>
      <c r="C973" s="1" t="s">
        <v>16</v>
      </c>
      <c r="D973" s="1" t="s">
        <v>21</v>
      </c>
      <c r="E973">
        <v>360</v>
      </c>
      <c r="F973" s="1">
        <f>VLOOKUP(jablka[[#This Row],[Nazwa]],cennik[],2,0) * jablka[[#This Row],[sprzedaż]]</f>
        <v>864</v>
      </c>
    </row>
    <row r="974" spans="1:6" x14ac:dyDescent="0.25">
      <c r="A974" s="2">
        <v>44704</v>
      </c>
      <c r="B974" s="1" t="s">
        <v>8</v>
      </c>
      <c r="C974" s="1" t="s">
        <v>16</v>
      </c>
      <c r="D974" s="1" t="s">
        <v>44</v>
      </c>
      <c r="E974">
        <v>675</v>
      </c>
      <c r="F974" s="1">
        <f>VLOOKUP(jablka[[#This Row],[Nazwa]],cennik[],2,0) * jablka[[#This Row],[sprzedaż]]</f>
        <v>2362.5</v>
      </c>
    </row>
    <row r="975" spans="1:6" x14ac:dyDescent="0.25">
      <c r="A975" s="2">
        <v>44704</v>
      </c>
      <c r="B975" s="1" t="s">
        <v>8</v>
      </c>
      <c r="C975" s="1" t="s">
        <v>16</v>
      </c>
      <c r="D975" s="1" t="s">
        <v>50</v>
      </c>
      <c r="E975">
        <v>567</v>
      </c>
      <c r="F975" s="1">
        <f>VLOOKUP(jablka[[#This Row],[Nazwa]],cennik[],2,0) * jablka[[#This Row],[sprzedaż]]</f>
        <v>1984.5</v>
      </c>
    </row>
    <row r="976" spans="1:6" x14ac:dyDescent="0.25">
      <c r="A976" s="2">
        <v>44704</v>
      </c>
      <c r="B976" s="1" t="s">
        <v>15</v>
      </c>
      <c r="C976" s="1" t="s">
        <v>16</v>
      </c>
      <c r="D976" s="1" t="s">
        <v>40</v>
      </c>
      <c r="E976">
        <v>350</v>
      </c>
      <c r="F976" s="1">
        <f>VLOOKUP(jablka[[#This Row],[Nazwa]],cennik[],2,0) * jablka[[#This Row],[sprzedaż]]</f>
        <v>840</v>
      </c>
    </row>
    <row r="977" spans="1:6" x14ac:dyDescent="0.25">
      <c r="A977" s="2">
        <v>44704</v>
      </c>
      <c r="B977" s="1" t="s">
        <v>4</v>
      </c>
      <c r="C977" s="1" t="s">
        <v>16</v>
      </c>
      <c r="D977" s="1" t="s">
        <v>38</v>
      </c>
      <c r="E977">
        <v>379</v>
      </c>
      <c r="F977" s="1">
        <f>VLOOKUP(jablka[[#This Row],[Nazwa]],cennik[],2,0) * jablka[[#This Row],[sprzedaż]]</f>
        <v>1288.5999999999999</v>
      </c>
    </row>
    <row r="978" spans="1:6" x14ac:dyDescent="0.25">
      <c r="A978" s="2">
        <v>44704</v>
      </c>
      <c r="B978" s="1" t="s">
        <v>6</v>
      </c>
      <c r="C978" s="1" t="s">
        <v>16</v>
      </c>
      <c r="D978" s="1" t="s">
        <v>61</v>
      </c>
      <c r="E978">
        <v>135</v>
      </c>
      <c r="F978" s="1">
        <f>VLOOKUP(jablka[[#This Row],[Nazwa]],cennik[],2,0) * jablka[[#This Row],[sprzedaż]]</f>
        <v>459</v>
      </c>
    </row>
    <row r="979" spans="1:6" x14ac:dyDescent="0.25">
      <c r="A979" s="2">
        <v>44704</v>
      </c>
      <c r="B979" s="1" t="s">
        <v>15</v>
      </c>
      <c r="C979" s="1" t="s">
        <v>16</v>
      </c>
      <c r="D979" s="1" t="s">
        <v>31</v>
      </c>
      <c r="E979">
        <v>502</v>
      </c>
      <c r="F979" s="1">
        <f>VLOOKUP(jablka[[#This Row],[Nazwa]],cennik[],2,0) * jablka[[#This Row],[sprzedaż]]</f>
        <v>1204.8</v>
      </c>
    </row>
    <row r="980" spans="1:6" x14ac:dyDescent="0.25">
      <c r="A980" s="2">
        <v>44705</v>
      </c>
      <c r="B980" s="1" t="s">
        <v>0</v>
      </c>
      <c r="C980" s="1" t="s">
        <v>16</v>
      </c>
      <c r="D980" s="1" t="s">
        <v>45</v>
      </c>
      <c r="E980">
        <v>220</v>
      </c>
      <c r="F980" s="1">
        <f>VLOOKUP(jablka[[#This Row],[Nazwa]],cennik[],2,0) * jablka[[#This Row],[sprzedaż]]</f>
        <v>638</v>
      </c>
    </row>
    <row r="981" spans="1:6" x14ac:dyDescent="0.25">
      <c r="A981" s="2">
        <v>44705</v>
      </c>
      <c r="B981" s="1" t="s">
        <v>2</v>
      </c>
      <c r="C981" s="1" t="s">
        <v>16</v>
      </c>
      <c r="D981" s="1" t="s">
        <v>52</v>
      </c>
      <c r="E981">
        <v>487</v>
      </c>
      <c r="F981" s="1">
        <f>VLOOKUP(jablka[[#This Row],[Nazwa]],cennik[],2,0) * jablka[[#This Row],[sprzedaż]]</f>
        <v>1558.4</v>
      </c>
    </row>
    <row r="982" spans="1:6" x14ac:dyDescent="0.25">
      <c r="A982" s="2">
        <v>44705</v>
      </c>
      <c r="B982" s="1" t="s">
        <v>4</v>
      </c>
      <c r="C982" s="1" t="s">
        <v>16</v>
      </c>
      <c r="D982" s="1" t="s">
        <v>43</v>
      </c>
      <c r="E982">
        <v>578</v>
      </c>
      <c r="F982" s="1">
        <f>VLOOKUP(jablka[[#This Row],[Nazwa]],cennik[],2,0) * jablka[[#This Row],[sprzedaż]]</f>
        <v>1965.2</v>
      </c>
    </row>
    <row r="983" spans="1:6" x14ac:dyDescent="0.25">
      <c r="A983" s="2">
        <v>44705</v>
      </c>
      <c r="B983" s="1" t="s">
        <v>8</v>
      </c>
      <c r="C983" s="1" t="s">
        <v>16</v>
      </c>
      <c r="D983" s="1" t="s">
        <v>31</v>
      </c>
      <c r="E983">
        <v>260</v>
      </c>
      <c r="F983" s="1">
        <f>VLOOKUP(jablka[[#This Row],[Nazwa]],cennik[],2,0) * jablka[[#This Row],[sprzedaż]]</f>
        <v>910</v>
      </c>
    </row>
    <row r="984" spans="1:6" x14ac:dyDescent="0.25">
      <c r="A984" s="2">
        <v>44706</v>
      </c>
      <c r="B984" s="1" t="s">
        <v>0</v>
      </c>
      <c r="C984" s="1" t="s">
        <v>16</v>
      </c>
      <c r="D984" s="1" t="s">
        <v>32</v>
      </c>
      <c r="E984">
        <v>159</v>
      </c>
      <c r="F984" s="1">
        <f>VLOOKUP(jablka[[#This Row],[Nazwa]],cennik[],2,0) * jablka[[#This Row],[sprzedaż]]</f>
        <v>461.09999999999997</v>
      </c>
    </row>
    <row r="985" spans="1:6" x14ac:dyDescent="0.25">
      <c r="A985" s="2">
        <v>44706</v>
      </c>
      <c r="B985" s="1" t="s">
        <v>6</v>
      </c>
      <c r="C985" s="1" t="s">
        <v>16</v>
      </c>
      <c r="D985" s="1" t="s">
        <v>33</v>
      </c>
      <c r="E985">
        <v>446</v>
      </c>
      <c r="F985" s="1">
        <f>VLOOKUP(jablka[[#This Row],[Nazwa]],cennik[],2,0) * jablka[[#This Row],[sprzedaż]]</f>
        <v>1516.3999999999999</v>
      </c>
    </row>
    <row r="986" spans="1:6" x14ac:dyDescent="0.25">
      <c r="A986" s="2">
        <v>44706</v>
      </c>
      <c r="B986" s="1" t="s">
        <v>10</v>
      </c>
      <c r="C986" s="1" t="s">
        <v>16</v>
      </c>
      <c r="D986" s="1" t="s">
        <v>22</v>
      </c>
      <c r="E986">
        <v>313</v>
      </c>
      <c r="F986" s="1">
        <f>VLOOKUP(jablka[[#This Row],[Nazwa]],cennik[],2,0) * jablka[[#This Row],[sprzedaż]]</f>
        <v>1064.2</v>
      </c>
    </row>
    <row r="987" spans="1:6" x14ac:dyDescent="0.25">
      <c r="A987" s="2">
        <v>44706</v>
      </c>
      <c r="B987" s="1" t="s">
        <v>5</v>
      </c>
      <c r="C987" s="1" t="s">
        <v>16</v>
      </c>
      <c r="D987" s="1" t="s">
        <v>48</v>
      </c>
      <c r="E987">
        <v>81</v>
      </c>
      <c r="F987" s="1">
        <f>VLOOKUP(jablka[[#This Row],[Nazwa]],cennik[],2,0) * jablka[[#This Row],[sprzedaż]]</f>
        <v>275.39999999999998</v>
      </c>
    </row>
    <row r="988" spans="1:6" x14ac:dyDescent="0.25">
      <c r="A988" s="2">
        <v>44706</v>
      </c>
      <c r="B988" s="1" t="s">
        <v>8</v>
      </c>
      <c r="C988" s="1" t="s">
        <v>16</v>
      </c>
      <c r="D988" s="1" t="s">
        <v>31</v>
      </c>
      <c r="E988">
        <v>226</v>
      </c>
      <c r="F988" s="1">
        <f>VLOOKUP(jablka[[#This Row],[Nazwa]],cennik[],2,0) * jablka[[#This Row],[sprzedaż]]</f>
        <v>791</v>
      </c>
    </row>
    <row r="989" spans="1:6" x14ac:dyDescent="0.25">
      <c r="A989" s="2">
        <v>44707</v>
      </c>
      <c r="B989" s="1" t="s">
        <v>4</v>
      </c>
      <c r="C989" s="1" t="s">
        <v>16</v>
      </c>
      <c r="D989" s="1" t="s">
        <v>28</v>
      </c>
      <c r="E989">
        <v>385</v>
      </c>
      <c r="F989" s="1">
        <f>VLOOKUP(jablka[[#This Row],[Nazwa]],cennik[],2,0) * jablka[[#This Row],[sprzedaż]]</f>
        <v>1309</v>
      </c>
    </row>
    <row r="990" spans="1:6" x14ac:dyDescent="0.25">
      <c r="A990" s="2">
        <v>44707</v>
      </c>
      <c r="B990" s="1" t="s">
        <v>6</v>
      </c>
      <c r="C990" s="1" t="s">
        <v>16</v>
      </c>
      <c r="D990" s="1" t="s">
        <v>26</v>
      </c>
      <c r="E990">
        <v>308</v>
      </c>
      <c r="F990" s="1">
        <f>VLOOKUP(jablka[[#This Row],[Nazwa]],cennik[],2,0) * jablka[[#This Row],[sprzedaż]]</f>
        <v>1047.2</v>
      </c>
    </row>
    <row r="991" spans="1:6" x14ac:dyDescent="0.25">
      <c r="A991" s="2">
        <v>44707</v>
      </c>
      <c r="B991" s="1" t="s">
        <v>5</v>
      </c>
      <c r="C991" s="1" t="s">
        <v>16</v>
      </c>
      <c r="D991" s="1" t="s">
        <v>36</v>
      </c>
      <c r="E991">
        <v>68</v>
      </c>
      <c r="F991" s="1">
        <f>VLOOKUP(jablka[[#This Row],[Nazwa]],cennik[],2,0) * jablka[[#This Row],[sprzedaż]]</f>
        <v>231.2</v>
      </c>
    </row>
    <row r="992" spans="1:6" x14ac:dyDescent="0.25">
      <c r="A992" s="2">
        <v>44707</v>
      </c>
      <c r="B992" s="1" t="s">
        <v>8</v>
      </c>
      <c r="C992" s="1" t="s">
        <v>16</v>
      </c>
      <c r="D992" s="1" t="s">
        <v>49</v>
      </c>
      <c r="E992">
        <v>467</v>
      </c>
      <c r="F992" s="1">
        <f>VLOOKUP(jablka[[#This Row],[Nazwa]],cennik[],2,0) * jablka[[#This Row],[sprzedaż]]</f>
        <v>1634.5</v>
      </c>
    </row>
    <row r="993" spans="1:6" x14ac:dyDescent="0.25">
      <c r="A993" s="2">
        <v>44707</v>
      </c>
      <c r="B993" s="1" t="s">
        <v>0</v>
      </c>
      <c r="C993" s="1" t="s">
        <v>16</v>
      </c>
      <c r="D993" s="1" t="s">
        <v>32</v>
      </c>
      <c r="E993">
        <v>465</v>
      </c>
      <c r="F993" s="1">
        <f>VLOOKUP(jablka[[#This Row],[Nazwa]],cennik[],2,0) * jablka[[#This Row],[sprzedaż]]</f>
        <v>1348.5</v>
      </c>
    </row>
    <row r="994" spans="1:6" x14ac:dyDescent="0.25">
      <c r="A994" s="2">
        <v>44707</v>
      </c>
      <c r="B994" s="1" t="s">
        <v>0</v>
      </c>
      <c r="C994" s="1" t="s">
        <v>16</v>
      </c>
      <c r="D994" s="1" t="s">
        <v>41</v>
      </c>
      <c r="E994">
        <v>484</v>
      </c>
      <c r="F994" s="1">
        <f>VLOOKUP(jablka[[#This Row],[Nazwa]],cennik[],2,0) * jablka[[#This Row],[sprzedaż]]</f>
        <v>1403.6</v>
      </c>
    </row>
    <row r="995" spans="1:6" x14ac:dyDescent="0.25">
      <c r="A995" s="2">
        <v>44708</v>
      </c>
      <c r="B995" s="1" t="s">
        <v>15</v>
      </c>
      <c r="C995" s="1" t="s">
        <v>16</v>
      </c>
      <c r="D995" s="1" t="s">
        <v>66</v>
      </c>
      <c r="E995">
        <v>384</v>
      </c>
      <c r="F995" s="1">
        <f>VLOOKUP(jablka[[#This Row],[Nazwa]],cennik[],2,0) * jablka[[#This Row],[sprzedaż]]</f>
        <v>921.59999999999991</v>
      </c>
    </row>
    <row r="996" spans="1:6" x14ac:dyDescent="0.25">
      <c r="A996" s="2">
        <v>44708</v>
      </c>
      <c r="B996" s="1" t="s">
        <v>8</v>
      </c>
      <c r="C996" s="1" t="s">
        <v>16</v>
      </c>
      <c r="D996" s="1" t="s">
        <v>28</v>
      </c>
      <c r="E996">
        <v>296</v>
      </c>
      <c r="F996" s="1">
        <f>VLOOKUP(jablka[[#This Row],[Nazwa]],cennik[],2,0) * jablka[[#This Row],[sprzedaż]]</f>
        <v>1036</v>
      </c>
    </row>
    <row r="997" spans="1:6" x14ac:dyDescent="0.25">
      <c r="A997" s="2">
        <v>44708</v>
      </c>
      <c r="B997" s="1" t="s">
        <v>8</v>
      </c>
      <c r="C997" s="1" t="s">
        <v>16</v>
      </c>
      <c r="D997" s="1" t="s">
        <v>54</v>
      </c>
      <c r="E997">
        <v>396</v>
      </c>
      <c r="F997" s="1">
        <f>VLOOKUP(jablka[[#This Row],[Nazwa]],cennik[],2,0) * jablka[[#This Row],[sprzedaż]]</f>
        <v>1386</v>
      </c>
    </row>
    <row r="998" spans="1:6" x14ac:dyDescent="0.25">
      <c r="A998" s="2">
        <v>44708</v>
      </c>
      <c r="B998" s="1" t="s">
        <v>10</v>
      </c>
      <c r="C998" s="1" t="s">
        <v>16</v>
      </c>
      <c r="D998" s="1" t="s">
        <v>20</v>
      </c>
      <c r="E998">
        <v>37</v>
      </c>
      <c r="F998" s="1">
        <f>VLOOKUP(jablka[[#This Row],[Nazwa]],cennik[],2,0) * jablka[[#This Row],[sprzedaż]]</f>
        <v>125.8</v>
      </c>
    </row>
    <row r="999" spans="1:6" x14ac:dyDescent="0.25">
      <c r="A999" s="2">
        <v>44708</v>
      </c>
      <c r="B999" s="1" t="s">
        <v>7</v>
      </c>
      <c r="C999" s="1" t="s">
        <v>16</v>
      </c>
      <c r="D999" s="1" t="s">
        <v>52</v>
      </c>
      <c r="E999">
        <v>315</v>
      </c>
      <c r="F999" s="1">
        <f>VLOOKUP(jablka[[#This Row],[Nazwa]],cennik[],2,0) * jablka[[#This Row],[sprzedaż]]</f>
        <v>1071</v>
      </c>
    </row>
    <row r="1000" spans="1:6" x14ac:dyDescent="0.25">
      <c r="A1000" s="2">
        <v>44708</v>
      </c>
      <c r="B1000" s="1" t="s">
        <v>15</v>
      </c>
      <c r="C1000" s="1" t="s">
        <v>16</v>
      </c>
      <c r="D1000" s="1" t="s">
        <v>63</v>
      </c>
      <c r="E1000">
        <v>526</v>
      </c>
      <c r="F1000" s="1">
        <f>VLOOKUP(jablka[[#This Row],[Nazwa]],cennik[],2,0) * jablka[[#This Row],[sprzedaż]]</f>
        <v>1262.3999999999999</v>
      </c>
    </row>
    <row r="1001" spans="1:6" x14ac:dyDescent="0.25">
      <c r="A1001" s="2">
        <v>44708</v>
      </c>
      <c r="B1001" s="1" t="s">
        <v>6</v>
      </c>
      <c r="C1001" s="1" t="s">
        <v>16</v>
      </c>
      <c r="D1001" s="1" t="s">
        <v>17</v>
      </c>
      <c r="E1001">
        <v>433</v>
      </c>
      <c r="F1001" s="1">
        <f>VLOOKUP(jablka[[#This Row],[Nazwa]],cennik[],2,0) * jablka[[#This Row],[sprzedaż]]</f>
        <v>1472.2</v>
      </c>
    </row>
    <row r="1002" spans="1:6" x14ac:dyDescent="0.25">
      <c r="A1002" s="2">
        <v>44708</v>
      </c>
      <c r="B1002" s="1" t="s">
        <v>0</v>
      </c>
      <c r="C1002" s="1" t="s">
        <v>16</v>
      </c>
      <c r="D1002" s="1" t="s">
        <v>47</v>
      </c>
      <c r="E1002">
        <v>452</v>
      </c>
      <c r="F1002" s="1">
        <f>VLOOKUP(jablka[[#This Row],[Nazwa]],cennik[],2,0) * jablka[[#This Row],[sprzedaż]]</f>
        <v>1310.8</v>
      </c>
    </row>
    <row r="1003" spans="1:6" x14ac:dyDescent="0.25">
      <c r="A1003" s="2">
        <v>44708</v>
      </c>
      <c r="B1003" s="1" t="s">
        <v>10</v>
      </c>
      <c r="C1003" s="1" t="s">
        <v>16</v>
      </c>
      <c r="D1003" s="1" t="s">
        <v>48</v>
      </c>
      <c r="E1003">
        <v>117</v>
      </c>
      <c r="F1003" s="1">
        <f>VLOOKUP(jablka[[#This Row],[Nazwa]],cennik[],2,0) * jablka[[#This Row],[sprzedaż]]</f>
        <v>397.8</v>
      </c>
    </row>
    <row r="1004" spans="1:6" x14ac:dyDescent="0.25">
      <c r="A1004" s="2">
        <v>44708</v>
      </c>
      <c r="B1004" s="1" t="s">
        <v>8</v>
      </c>
      <c r="C1004" s="1" t="s">
        <v>16</v>
      </c>
      <c r="D1004" s="1" t="s">
        <v>52</v>
      </c>
      <c r="E1004">
        <v>355</v>
      </c>
      <c r="F1004" s="1">
        <f>VLOOKUP(jablka[[#This Row],[Nazwa]],cennik[],2,0) * jablka[[#This Row],[sprzedaż]]</f>
        <v>1242.5</v>
      </c>
    </row>
    <row r="1005" spans="1:6" x14ac:dyDescent="0.25">
      <c r="A1005" s="2">
        <v>44709</v>
      </c>
      <c r="B1005" s="1" t="s">
        <v>6</v>
      </c>
      <c r="C1005" s="1" t="s">
        <v>16</v>
      </c>
      <c r="D1005" s="1" t="s">
        <v>50</v>
      </c>
      <c r="E1005">
        <v>228</v>
      </c>
      <c r="F1005" s="1">
        <f>VLOOKUP(jablka[[#This Row],[Nazwa]],cennik[],2,0) * jablka[[#This Row],[sprzedaż]]</f>
        <v>775.19999999999993</v>
      </c>
    </row>
    <row r="1006" spans="1:6" x14ac:dyDescent="0.25">
      <c r="A1006" s="2">
        <v>44709</v>
      </c>
      <c r="B1006" s="1" t="s">
        <v>15</v>
      </c>
      <c r="C1006" s="1" t="s">
        <v>16</v>
      </c>
      <c r="D1006" s="1" t="s">
        <v>44</v>
      </c>
      <c r="E1006">
        <v>477</v>
      </c>
      <c r="F1006" s="1">
        <f>VLOOKUP(jablka[[#This Row],[Nazwa]],cennik[],2,0) * jablka[[#This Row],[sprzedaż]]</f>
        <v>1144.8</v>
      </c>
    </row>
    <row r="1007" spans="1:6" x14ac:dyDescent="0.25">
      <c r="A1007" s="2">
        <v>44709</v>
      </c>
      <c r="B1007" s="1" t="s">
        <v>8</v>
      </c>
      <c r="C1007" s="1" t="s">
        <v>16</v>
      </c>
      <c r="D1007" s="1" t="s">
        <v>47</v>
      </c>
      <c r="E1007">
        <v>636</v>
      </c>
      <c r="F1007" s="1">
        <f>VLOOKUP(jablka[[#This Row],[Nazwa]],cennik[],2,0) * jablka[[#This Row],[sprzedaż]]</f>
        <v>2226</v>
      </c>
    </row>
    <row r="1008" spans="1:6" x14ac:dyDescent="0.25">
      <c r="A1008" s="2">
        <v>44709</v>
      </c>
      <c r="B1008" s="1" t="s">
        <v>8</v>
      </c>
      <c r="C1008" s="1" t="s">
        <v>16</v>
      </c>
      <c r="D1008" s="1" t="s">
        <v>27</v>
      </c>
      <c r="E1008">
        <v>319</v>
      </c>
      <c r="F1008" s="1">
        <f>VLOOKUP(jablka[[#This Row],[Nazwa]],cennik[],2,0) * jablka[[#This Row],[sprzedaż]]</f>
        <v>1116.5</v>
      </c>
    </row>
    <row r="1009" spans="1:6" x14ac:dyDescent="0.25">
      <c r="A1009" s="2">
        <v>44709</v>
      </c>
      <c r="B1009" s="1" t="s">
        <v>2</v>
      </c>
      <c r="C1009" s="1" t="s">
        <v>16</v>
      </c>
      <c r="D1009" s="1" t="s">
        <v>47</v>
      </c>
      <c r="E1009">
        <v>18</v>
      </c>
      <c r="F1009" s="1">
        <f>VLOOKUP(jablka[[#This Row],[Nazwa]],cennik[],2,0) * jablka[[#This Row],[sprzedaż]]</f>
        <v>57.6</v>
      </c>
    </row>
    <row r="1010" spans="1:6" x14ac:dyDescent="0.25">
      <c r="A1010" s="2">
        <v>44709</v>
      </c>
      <c r="B1010" s="1" t="s">
        <v>15</v>
      </c>
      <c r="C1010" s="1" t="s">
        <v>16</v>
      </c>
      <c r="D1010" s="1" t="s">
        <v>49</v>
      </c>
      <c r="E1010">
        <v>542</v>
      </c>
      <c r="F1010" s="1">
        <f>VLOOKUP(jablka[[#This Row],[Nazwa]],cennik[],2,0) * jablka[[#This Row],[sprzedaż]]</f>
        <v>1300.8</v>
      </c>
    </row>
    <row r="1011" spans="1:6" x14ac:dyDescent="0.25">
      <c r="A1011" s="2">
        <v>44711</v>
      </c>
      <c r="B1011" s="1" t="s">
        <v>6</v>
      </c>
      <c r="C1011" s="1" t="s">
        <v>16</v>
      </c>
      <c r="D1011" s="1" t="s">
        <v>46</v>
      </c>
      <c r="E1011">
        <v>321</v>
      </c>
      <c r="F1011" s="1">
        <f>VLOOKUP(jablka[[#This Row],[Nazwa]],cennik[],2,0) * jablka[[#This Row],[sprzedaż]]</f>
        <v>1091.3999999999999</v>
      </c>
    </row>
    <row r="1012" spans="1:6" x14ac:dyDescent="0.25">
      <c r="A1012" s="2">
        <v>44711</v>
      </c>
      <c r="B1012" s="1" t="s">
        <v>4</v>
      </c>
      <c r="C1012" s="1" t="s">
        <v>16</v>
      </c>
      <c r="D1012" s="1" t="s">
        <v>42</v>
      </c>
      <c r="E1012">
        <v>359</v>
      </c>
      <c r="F1012" s="1">
        <f>VLOOKUP(jablka[[#This Row],[Nazwa]],cennik[],2,0) * jablka[[#This Row],[sprzedaż]]</f>
        <v>1220.5999999999999</v>
      </c>
    </row>
    <row r="1013" spans="1:6" x14ac:dyDescent="0.25">
      <c r="A1013" s="2">
        <v>44711</v>
      </c>
      <c r="B1013" s="1" t="s">
        <v>15</v>
      </c>
      <c r="C1013" s="1" t="s">
        <v>16</v>
      </c>
      <c r="D1013" s="1" t="s">
        <v>43</v>
      </c>
      <c r="E1013">
        <v>164</v>
      </c>
      <c r="F1013" s="1">
        <f>VLOOKUP(jablka[[#This Row],[Nazwa]],cennik[],2,0) * jablka[[#This Row],[sprzedaż]]</f>
        <v>393.59999999999997</v>
      </c>
    </row>
    <row r="1014" spans="1:6" x14ac:dyDescent="0.25">
      <c r="A1014" s="2">
        <v>44711</v>
      </c>
      <c r="B1014" s="1" t="s">
        <v>6</v>
      </c>
      <c r="C1014" s="1" t="s">
        <v>16</v>
      </c>
      <c r="D1014" s="1" t="s">
        <v>44</v>
      </c>
      <c r="E1014">
        <v>461</v>
      </c>
      <c r="F1014" s="1">
        <f>VLOOKUP(jablka[[#This Row],[Nazwa]],cennik[],2,0) * jablka[[#This Row],[sprzedaż]]</f>
        <v>1567.3999999999999</v>
      </c>
    </row>
    <row r="1015" spans="1:6" x14ac:dyDescent="0.25">
      <c r="A1015" s="2">
        <v>44711</v>
      </c>
      <c r="B1015" s="1" t="s">
        <v>2</v>
      </c>
      <c r="C1015" s="1" t="s">
        <v>16</v>
      </c>
      <c r="D1015" s="1" t="s">
        <v>30</v>
      </c>
      <c r="E1015">
        <v>173</v>
      </c>
      <c r="F1015" s="1">
        <f>VLOOKUP(jablka[[#This Row],[Nazwa]],cennik[],2,0) * jablka[[#This Row],[sprzedaż]]</f>
        <v>553.6</v>
      </c>
    </row>
    <row r="1016" spans="1:6" x14ac:dyDescent="0.25">
      <c r="A1016" s="2">
        <v>44711</v>
      </c>
      <c r="B1016" s="1" t="s">
        <v>5</v>
      </c>
      <c r="C1016" s="1" t="s">
        <v>16</v>
      </c>
      <c r="D1016" s="1" t="s">
        <v>47</v>
      </c>
      <c r="E1016">
        <v>463</v>
      </c>
      <c r="F1016" s="1">
        <f>VLOOKUP(jablka[[#This Row],[Nazwa]],cennik[],2,0) * jablka[[#This Row],[sprzedaż]]</f>
        <v>1574.2</v>
      </c>
    </row>
    <row r="1017" spans="1:6" x14ac:dyDescent="0.25">
      <c r="A1017" s="2">
        <v>44711</v>
      </c>
      <c r="B1017" s="1" t="s">
        <v>2</v>
      </c>
      <c r="C1017" s="1" t="s">
        <v>16</v>
      </c>
      <c r="D1017" s="1" t="s">
        <v>50</v>
      </c>
      <c r="E1017">
        <v>143</v>
      </c>
      <c r="F1017" s="1">
        <f>VLOOKUP(jablka[[#This Row],[Nazwa]],cennik[],2,0) * jablka[[#This Row],[sprzedaż]]</f>
        <v>457.6</v>
      </c>
    </row>
    <row r="1018" spans="1:6" x14ac:dyDescent="0.25">
      <c r="A1018" s="2">
        <v>44711</v>
      </c>
      <c r="B1018" s="1" t="s">
        <v>6</v>
      </c>
      <c r="C1018" s="1" t="s">
        <v>16</v>
      </c>
      <c r="D1018" s="1" t="s">
        <v>41</v>
      </c>
      <c r="E1018">
        <v>405</v>
      </c>
      <c r="F1018" s="1">
        <f>VLOOKUP(jablka[[#This Row],[Nazwa]],cennik[],2,0) * jablka[[#This Row],[sprzedaż]]</f>
        <v>1377</v>
      </c>
    </row>
    <row r="1019" spans="1:6" x14ac:dyDescent="0.25">
      <c r="A1019" s="2">
        <v>44711</v>
      </c>
      <c r="B1019" s="1" t="s">
        <v>0</v>
      </c>
      <c r="C1019" s="1" t="s">
        <v>16</v>
      </c>
      <c r="D1019" s="1" t="s">
        <v>21</v>
      </c>
      <c r="E1019">
        <v>99</v>
      </c>
      <c r="F1019" s="1">
        <f>VLOOKUP(jablka[[#This Row],[Nazwa]],cennik[],2,0) * jablka[[#This Row],[sprzedaż]]</f>
        <v>287.09999999999997</v>
      </c>
    </row>
    <row r="1020" spans="1:6" x14ac:dyDescent="0.25">
      <c r="A1020" s="2">
        <v>44711</v>
      </c>
      <c r="B1020" s="1" t="s">
        <v>15</v>
      </c>
      <c r="C1020" s="1" t="s">
        <v>16</v>
      </c>
      <c r="D1020" s="1" t="s">
        <v>47</v>
      </c>
      <c r="E1020">
        <v>234</v>
      </c>
      <c r="F1020" s="1">
        <f>VLOOKUP(jablka[[#This Row],[Nazwa]],cennik[],2,0) * jablka[[#This Row],[sprzedaż]]</f>
        <v>561.6</v>
      </c>
    </row>
    <row r="1021" spans="1:6" x14ac:dyDescent="0.25">
      <c r="A1021" s="2">
        <v>44711</v>
      </c>
      <c r="B1021" s="1" t="s">
        <v>7</v>
      </c>
      <c r="C1021" s="1" t="s">
        <v>16</v>
      </c>
      <c r="D1021" s="1" t="s">
        <v>59</v>
      </c>
      <c r="E1021">
        <v>532</v>
      </c>
      <c r="F1021" s="1">
        <f>VLOOKUP(jablka[[#This Row],[Nazwa]],cennik[],2,0) * jablka[[#This Row],[sprzedaż]]</f>
        <v>1808.8</v>
      </c>
    </row>
    <row r="1022" spans="1:6" x14ac:dyDescent="0.25">
      <c r="A1022" s="2">
        <v>44711</v>
      </c>
      <c r="B1022" s="1" t="s">
        <v>6</v>
      </c>
      <c r="C1022" s="1" t="s">
        <v>16</v>
      </c>
      <c r="D1022" s="1" t="s">
        <v>17</v>
      </c>
      <c r="E1022">
        <v>294</v>
      </c>
      <c r="F1022" s="1">
        <f>VLOOKUP(jablka[[#This Row],[Nazwa]],cennik[],2,0) * jablka[[#This Row],[sprzedaż]]</f>
        <v>999.6</v>
      </c>
    </row>
    <row r="1023" spans="1:6" x14ac:dyDescent="0.25">
      <c r="A1023" s="2">
        <v>44711</v>
      </c>
      <c r="B1023" s="1" t="s">
        <v>7</v>
      </c>
      <c r="C1023" s="1" t="s">
        <v>16</v>
      </c>
      <c r="D1023" s="1" t="s">
        <v>19</v>
      </c>
      <c r="E1023">
        <v>637</v>
      </c>
      <c r="F1023" s="1">
        <f>VLOOKUP(jablka[[#This Row],[Nazwa]],cennik[],2,0) * jablka[[#This Row],[sprzedaż]]</f>
        <v>2165.7999999999997</v>
      </c>
    </row>
    <row r="1024" spans="1:6" x14ac:dyDescent="0.25">
      <c r="A1024" s="2">
        <v>44711</v>
      </c>
      <c r="B1024" s="1" t="s">
        <v>10</v>
      </c>
      <c r="C1024" s="1" t="s">
        <v>16</v>
      </c>
      <c r="D1024" s="1" t="s">
        <v>43</v>
      </c>
      <c r="E1024">
        <v>258</v>
      </c>
      <c r="F1024" s="1">
        <f>VLOOKUP(jablka[[#This Row],[Nazwa]],cennik[],2,0) * jablka[[#This Row],[sprzedaż]]</f>
        <v>877.19999999999993</v>
      </c>
    </row>
    <row r="1025" spans="1:6" x14ac:dyDescent="0.25">
      <c r="A1025" s="2">
        <v>44711</v>
      </c>
      <c r="B1025" s="1" t="s">
        <v>8</v>
      </c>
      <c r="C1025" s="1" t="s">
        <v>16</v>
      </c>
      <c r="D1025" s="1" t="s">
        <v>39</v>
      </c>
      <c r="E1025">
        <v>674</v>
      </c>
      <c r="F1025" s="1">
        <f>VLOOKUP(jablka[[#This Row],[Nazwa]],cennik[],2,0) * jablka[[#This Row],[sprzedaż]]</f>
        <v>2359</v>
      </c>
    </row>
    <row r="1026" spans="1:6" x14ac:dyDescent="0.25">
      <c r="A1026" s="2">
        <v>44711</v>
      </c>
      <c r="B1026" s="1" t="s">
        <v>8</v>
      </c>
      <c r="C1026" s="1" t="s">
        <v>16</v>
      </c>
      <c r="D1026" s="1" t="s">
        <v>36</v>
      </c>
      <c r="E1026">
        <v>449</v>
      </c>
      <c r="F1026" s="1">
        <f>VLOOKUP(jablka[[#This Row],[Nazwa]],cennik[],2,0) * jablka[[#This Row],[sprzedaż]]</f>
        <v>1571.5</v>
      </c>
    </row>
    <row r="1027" spans="1:6" x14ac:dyDescent="0.25">
      <c r="A1027" s="2">
        <v>44712</v>
      </c>
      <c r="B1027" s="1" t="s">
        <v>8</v>
      </c>
      <c r="C1027" s="1" t="s">
        <v>16</v>
      </c>
      <c r="D1027" s="1" t="s">
        <v>45</v>
      </c>
      <c r="E1027">
        <v>413</v>
      </c>
      <c r="F1027" s="1">
        <f>VLOOKUP(jablka[[#This Row],[Nazwa]],cennik[],2,0) * jablka[[#This Row],[sprzedaż]]</f>
        <v>1445.5</v>
      </c>
    </row>
    <row r="1028" spans="1:6" x14ac:dyDescent="0.25">
      <c r="A1028" s="2">
        <v>44712</v>
      </c>
      <c r="B1028" s="1" t="s">
        <v>8</v>
      </c>
      <c r="C1028" s="1" t="s">
        <v>16</v>
      </c>
      <c r="D1028" s="1" t="s">
        <v>41</v>
      </c>
      <c r="E1028">
        <v>676</v>
      </c>
      <c r="F1028" s="1">
        <f>VLOOKUP(jablka[[#This Row],[Nazwa]],cennik[],2,0) * jablka[[#This Row],[sprzedaż]]</f>
        <v>2366</v>
      </c>
    </row>
    <row r="1029" spans="1:6" x14ac:dyDescent="0.25">
      <c r="A1029" s="2">
        <v>44712</v>
      </c>
      <c r="B1029" s="1" t="s">
        <v>4</v>
      </c>
      <c r="C1029" s="1" t="s">
        <v>16</v>
      </c>
      <c r="D1029" s="1" t="s">
        <v>38</v>
      </c>
      <c r="E1029">
        <v>409</v>
      </c>
      <c r="F1029" s="1">
        <f>VLOOKUP(jablka[[#This Row],[Nazwa]],cennik[],2,0) * jablka[[#This Row],[sprzedaż]]</f>
        <v>1390.6</v>
      </c>
    </row>
    <row r="1030" spans="1:6" x14ac:dyDescent="0.25">
      <c r="A1030" s="2">
        <v>44712</v>
      </c>
      <c r="B1030" s="1" t="s">
        <v>4</v>
      </c>
      <c r="C1030" s="1" t="s">
        <v>16</v>
      </c>
      <c r="D1030" s="1" t="s">
        <v>62</v>
      </c>
      <c r="E1030">
        <v>777</v>
      </c>
      <c r="F1030" s="1">
        <f>VLOOKUP(jablka[[#This Row],[Nazwa]],cennik[],2,0) * jablka[[#This Row],[sprzedaż]]</f>
        <v>2641.7999999999997</v>
      </c>
    </row>
    <row r="1031" spans="1:6" x14ac:dyDescent="0.25">
      <c r="A1031" s="2">
        <v>44712</v>
      </c>
      <c r="B1031" s="1" t="s">
        <v>2</v>
      </c>
      <c r="C1031" s="1" t="s">
        <v>16</v>
      </c>
      <c r="D1031" s="1" t="s">
        <v>55</v>
      </c>
      <c r="E1031">
        <v>49</v>
      </c>
      <c r="F1031" s="1">
        <f>VLOOKUP(jablka[[#This Row],[Nazwa]],cennik[],2,0) * jablka[[#This Row],[sprzedaż]]</f>
        <v>156.80000000000001</v>
      </c>
    </row>
    <row r="1032" spans="1:6" x14ac:dyDescent="0.25">
      <c r="A1032" s="2">
        <v>44712</v>
      </c>
      <c r="B1032" s="1" t="s">
        <v>4</v>
      </c>
      <c r="C1032" s="1" t="s">
        <v>16</v>
      </c>
      <c r="D1032" s="1" t="s">
        <v>63</v>
      </c>
      <c r="E1032">
        <v>575</v>
      </c>
      <c r="F1032" s="1">
        <f>VLOOKUP(jablka[[#This Row],[Nazwa]],cennik[],2,0) * jablka[[#This Row],[sprzedaż]]</f>
        <v>1955</v>
      </c>
    </row>
    <row r="1033" spans="1:6" x14ac:dyDescent="0.25">
      <c r="A1033" s="2">
        <v>44712</v>
      </c>
      <c r="B1033" s="1" t="s">
        <v>0</v>
      </c>
      <c r="C1033" s="1" t="s">
        <v>16</v>
      </c>
      <c r="D1033" s="1" t="s">
        <v>52</v>
      </c>
      <c r="E1033">
        <v>219</v>
      </c>
      <c r="F1033" s="1">
        <f>VLOOKUP(jablka[[#This Row],[Nazwa]],cennik[],2,0) * jablka[[#This Row],[sprzedaż]]</f>
        <v>635.1</v>
      </c>
    </row>
    <row r="1034" spans="1:6" x14ac:dyDescent="0.25">
      <c r="A1034" s="2">
        <v>44713</v>
      </c>
      <c r="B1034" s="1" t="s">
        <v>14</v>
      </c>
      <c r="C1034" s="1" t="s">
        <v>67</v>
      </c>
      <c r="D1034" s="1" t="s">
        <v>17</v>
      </c>
      <c r="E1034">
        <v>342</v>
      </c>
      <c r="F1034" s="1">
        <f>VLOOKUP(jablka[[#This Row],[Nazwa]],cennik[],2,0) * jablka[[#This Row],[sprzedaż]]</f>
        <v>1197</v>
      </c>
    </row>
    <row r="1035" spans="1:6" x14ac:dyDescent="0.25">
      <c r="A1035" s="2">
        <v>44713</v>
      </c>
      <c r="B1035" s="1" t="s">
        <v>12</v>
      </c>
      <c r="C1035" s="1" t="s">
        <v>68</v>
      </c>
      <c r="D1035" s="1" t="s">
        <v>31</v>
      </c>
      <c r="E1035">
        <v>447</v>
      </c>
      <c r="F1035" s="1">
        <f>VLOOKUP(jablka[[#This Row],[Nazwa]],cennik[],2,0) * jablka[[#This Row],[sprzedaż]]</f>
        <v>1206.9000000000001</v>
      </c>
    </row>
    <row r="1036" spans="1:6" x14ac:dyDescent="0.25">
      <c r="A1036" s="2">
        <v>44713</v>
      </c>
      <c r="B1036" s="1" t="s">
        <v>13</v>
      </c>
      <c r="C1036" s="1" t="s">
        <v>68</v>
      </c>
      <c r="D1036" s="1" t="s">
        <v>29</v>
      </c>
      <c r="E1036">
        <v>234</v>
      </c>
      <c r="F1036" s="1">
        <f>VLOOKUP(jablka[[#This Row],[Nazwa]],cennik[],2,0) * jablka[[#This Row],[sprzedaż]]</f>
        <v>748.80000000000007</v>
      </c>
    </row>
    <row r="1037" spans="1:6" x14ac:dyDescent="0.25">
      <c r="A1037" s="2">
        <v>44713</v>
      </c>
      <c r="B1037" s="1" t="s">
        <v>13</v>
      </c>
      <c r="C1037" s="1" t="s">
        <v>68</v>
      </c>
      <c r="D1037" s="1" t="s">
        <v>18</v>
      </c>
      <c r="E1037">
        <v>434</v>
      </c>
      <c r="F1037" s="1">
        <f>VLOOKUP(jablka[[#This Row],[Nazwa]],cennik[],2,0) * jablka[[#This Row],[sprzedaż]]</f>
        <v>1388.8000000000002</v>
      </c>
    </row>
    <row r="1038" spans="1:6" x14ac:dyDescent="0.25">
      <c r="A1038" s="2">
        <v>44713</v>
      </c>
      <c r="B1038" s="1" t="s">
        <v>13</v>
      </c>
      <c r="C1038" s="1" t="s">
        <v>68</v>
      </c>
      <c r="D1038" s="1" t="s">
        <v>50</v>
      </c>
      <c r="E1038">
        <v>428</v>
      </c>
      <c r="F1038" s="1">
        <f>VLOOKUP(jablka[[#This Row],[Nazwa]],cennik[],2,0) * jablka[[#This Row],[sprzedaż]]</f>
        <v>1369.6000000000001</v>
      </c>
    </row>
    <row r="1039" spans="1:6" x14ac:dyDescent="0.25">
      <c r="A1039" s="2">
        <v>44713</v>
      </c>
      <c r="B1039" s="1" t="s">
        <v>14</v>
      </c>
      <c r="C1039" s="1" t="s">
        <v>67</v>
      </c>
      <c r="D1039" s="1" t="s">
        <v>66</v>
      </c>
      <c r="E1039">
        <v>380</v>
      </c>
      <c r="F1039" s="1">
        <f>VLOOKUP(jablka[[#This Row],[Nazwa]],cennik[],2,0) * jablka[[#This Row],[sprzedaż]]</f>
        <v>1330</v>
      </c>
    </row>
    <row r="1040" spans="1:6" x14ac:dyDescent="0.25">
      <c r="A1040" s="2">
        <v>44713</v>
      </c>
      <c r="B1040" s="1" t="s">
        <v>13</v>
      </c>
      <c r="C1040" s="1" t="s">
        <v>68</v>
      </c>
      <c r="D1040" s="1" t="s">
        <v>24</v>
      </c>
      <c r="E1040">
        <v>354</v>
      </c>
      <c r="F1040" s="1">
        <f>VLOOKUP(jablka[[#This Row],[Nazwa]],cennik[],2,0) * jablka[[#This Row],[sprzedaż]]</f>
        <v>1132.8</v>
      </c>
    </row>
    <row r="1041" spans="1:6" x14ac:dyDescent="0.25">
      <c r="A1041" s="2">
        <v>44713</v>
      </c>
      <c r="B1041" s="1" t="s">
        <v>14</v>
      </c>
      <c r="C1041" s="1" t="s">
        <v>67</v>
      </c>
      <c r="D1041" s="1" t="s">
        <v>31</v>
      </c>
      <c r="E1041">
        <v>31</v>
      </c>
      <c r="F1041" s="1">
        <f>VLOOKUP(jablka[[#This Row],[Nazwa]],cennik[],2,0) * jablka[[#This Row],[sprzedaż]]</f>
        <v>108.5</v>
      </c>
    </row>
    <row r="1042" spans="1:6" x14ac:dyDescent="0.25">
      <c r="A1042" s="2">
        <v>44713</v>
      </c>
      <c r="B1042" s="1" t="s">
        <v>12</v>
      </c>
      <c r="C1042" s="1" t="s">
        <v>68</v>
      </c>
      <c r="D1042" s="1" t="s">
        <v>21</v>
      </c>
      <c r="E1042">
        <v>37</v>
      </c>
      <c r="F1042" s="1">
        <f>VLOOKUP(jablka[[#This Row],[Nazwa]],cennik[],2,0) * jablka[[#This Row],[sprzedaż]]</f>
        <v>99.9</v>
      </c>
    </row>
    <row r="1043" spans="1:6" x14ac:dyDescent="0.25">
      <c r="A1043" s="2">
        <v>44713</v>
      </c>
      <c r="B1043" s="1" t="s">
        <v>12</v>
      </c>
      <c r="C1043" s="1" t="s">
        <v>68</v>
      </c>
      <c r="D1043" s="1" t="s">
        <v>33</v>
      </c>
      <c r="E1043">
        <v>463</v>
      </c>
      <c r="F1043" s="1">
        <f>VLOOKUP(jablka[[#This Row],[Nazwa]],cennik[],2,0) * jablka[[#This Row],[sprzedaż]]</f>
        <v>1250.1000000000001</v>
      </c>
    </row>
    <row r="1044" spans="1:6" x14ac:dyDescent="0.25">
      <c r="A1044" s="2">
        <v>44714</v>
      </c>
      <c r="B1044" s="1" t="s">
        <v>12</v>
      </c>
      <c r="C1044" s="1" t="s">
        <v>68</v>
      </c>
      <c r="D1044" s="1" t="s">
        <v>42</v>
      </c>
      <c r="E1044">
        <v>499</v>
      </c>
      <c r="F1044" s="1">
        <f>VLOOKUP(jablka[[#This Row],[Nazwa]],cennik[],2,0) * jablka[[#This Row],[sprzedaż]]</f>
        <v>1347.3000000000002</v>
      </c>
    </row>
    <row r="1045" spans="1:6" x14ac:dyDescent="0.25">
      <c r="A1045" s="2">
        <v>44714</v>
      </c>
      <c r="B1045" s="1" t="s">
        <v>13</v>
      </c>
      <c r="C1045" s="1" t="s">
        <v>68</v>
      </c>
      <c r="D1045" s="1" t="s">
        <v>59</v>
      </c>
      <c r="E1045">
        <v>481</v>
      </c>
      <c r="F1045" s="1">
        <f>VLOOKUP(jablka[[#This Row],[Nazwa]],cennik[],2,0) * jablka[[#This Row],[sprzedaż]]</f>
        <v>1539.2</v>
      </c>
    </row>
    <row r="1046" spans="1:6" x14ac:dyDescent="0.25">
      <c r="A1046" s="2">
        <v>44714</v>
      </c>
      <c r="B1046" s="1" t="s">
        <v>12</v>
      </c>
      <c r="C1046" s="1" t="s">
        <v>68</v>
      </c>
      <c r="D1046" s="1" t="s">
        <v>18</v>
      </c>
      <c r="E1046">
        <v>174</v>
      </c>
      <c r="F1046" s="1">
        <f>VLOOKUP(jablka[[#This Row],[Nazwa]],cennik[],2,0) * jablka[[#This Row],[sprzedaż]]</f>
        <v>469.8</v>
      </c>
    </row>
    <row r="1047" spans="1:6" x14ac:dyDescent="0.25">
      <c r="A1047" s="2">
        <v>44714</v>
      </c>
      <c r="B1047" s="1" t="s">
        <v>14</v>
      </c>
      <c r="C1047" s="1" t="s">
        <v>67</v>
      </c>
      <c r="D1047" s="1" t="s">
        <v>36</v>
      </c>
      <c r="E1047">
        <v>45</v>
      </c>
      <c r="F1047" s="1">
        <f>VLOOKUP(jablka[[#This Row],[Nazwa]],cennik[],2,0) * jablka[[#This Row],[sprzedaż]]</f>
        <v>157.5</v>
      </c>
    </row>
    <row r="1048" spans="1:6" x14ac:dyDescent="0.25">
      <c r="A1048" s="2">
        <v>44714</v>
      </c>
      <c r="B1048" s="1" t="s">
        <v>12</v>
      </c>
      <c r="C1048" s="1" t="s">
        <v>68</v>
      </c>
      <c r="D1048" s="1" t="s">
        <v>66</v>
      </c>
      <c r="E1048">
        <v>324</v>
      </c>
      <c r="F1048" s="1">
        <f>VLOOKUP(jablka[[#This Row],[Nazwa]],cennik[],2,0) * jablka[[#This Row],[sprzedaż]]</f>
        <v>874.80000000000007</v>
      </c>
    </row>
    <row r="1049" spans="1:6" x14ac:dyDescent="0.25">
      <c r="A1049" s="2">
        <v>44714</v>
      </c>
      <c r="B1049" s="1" t="s">
        <v>12</v>
      </c>
      <c r="C1049" s="1" t="s">
        <v>68</v>
      </c>
      <c r="D1049" s="1" t="s">
        <v>30</v>
      </c>
      <c r="E1049">
        <v>94</v>
      </c>
      <c r="F1049" s="1">
        <f>VLOOKUP(jablka[[#This Row],[Nazwa]],cennik[],2,0) * jablka[[#This Row],[sprzedaż]]</f>
        <v>253.8</v>
      </c>
    </row>
    <row r="1050" spans="1:6" x14ac:dyDescent="0.25">
      <c r="A1050" s="2">
        <v>44714</v>
      </c>
      <c r="B1050" s="1" t="s">
        <v>14</v>
      </c>
      <c r="C1050" s="1" t="s">
        <v>67</v>
      </c>
      <c r="D1050" s="1" t="s">
        <v>53</v>
      </c>
      <c r="E1050">
        <v>453</v>
      </c>
      <c r="F1050" s="1">
        <f>VLOOKUP(jablka[[#This Row],[Nazwa]],cennik[],2,0) * jablka[[#This Row],[sprzedaż]]</f>
        <v>1585.5</v>
      </c>
    </row>
    <row r="1051" spans="1:6" x14ac:dyDescent="0.25">
      <c r="A1051" s="2">
        <v>44714</v>
      </c>
      <c r="B1051" s="1" t="s">
        <v>13</v>
      </c>
      <c r="C1051" s="1" t="s">
        <v>68</v>
      </c>
      <c r="D1051" s="1" t="s">
        <v>32</v>
      </c>
      <c r="E1051">
        <v>410</v>
      </c>
      <c r="F1051" s="1">
        <f>VLOOKUP(jablka[[#This Row],[Nazwa]],cennik[],2,0) * jablka[[#This Row],[sprzedaż]]</f>
        <v>1312</v>
      </c>
    </row>
    <row r="1052" spans="1:6" x14ac:dyDescent="0.25">
      <c r="A1052" s="2">
        <v>44715</v>
      </c>
      <c r="B1052" s="1" t="s">
        <v>14</v>
      </c>
      <c r="C1052" s="1" t="s">
        <v>67</v>
      </c>
      <c r="D1052" s="1" t="s">
        <v>44</v>
      </c>
      <c r="E1052">
        <v>181</v>
      </c>
      <c r="F1052" s="1">
        <f>VLOOKUP(jablka[[#This Row],[Nazwa]],cennik[],2,0) * jablka[[#This Row],[sprzedaż]]</f>
        <v>633.5</v>
      </c>
    </row>
    <row r="1053" spans="1:6" x14ac:dyDescent="0.25">
      <c r="A1053" s="2">
        <v>44715</v>
      </c>
      <c r="B1053" s="1" t="s">
        <v>13</v>
      </c>
      <c r="C1053" s="1" t="s">
        <v>68</v>
      </c>
      <c r="D1053" s="1" t="s">
        <v>37</v>
      </c>
      <c r="E1053">
        <v>303</v>
      </c>
      <c r="F1053" s="1">
        <f>VLOOKUP(jablka[[#This Row],[Nazwa]],cennik[],2,0) * jablka[[#This Row],[sprzedaż]]</f>
        <v>969.6</v>
      </c>
    </row>
    <row r="1054" spans="1:6" x14ac:dyDescent="0.25">
      <c r="A1054" s="2">
        <v>44715</v>
      </c>
      <c r="B1054" s="1" t="s">
        <v>13</v>
      </c>
      <c r="C1054" s="1" t="s">
        <v>68</v>
      </c>
      <c r="D1054" s="1" t="s">
        <v>58</v>
      </c>
      <c r="E1054">
        <v>256</v>
      </c>
      <c r="F1054" s="1">
        <f>VLOOKUP(jablka[[#This Row],[Nazwa]],cennik[],2,0) * jablka[[#This Row],[sprzedaż]]</f>
        <v>819.2</v>
      </c>
    </row>
    <row r="1055" spans="1:6" x14ac:dyDescent="0.25">
      <c r="A1055" s="2">
        <v>44715</v>
      </c>
      <c r="B1055" s="1" t="s">
        <v>13</v>
      </c>
      <c r="C1055" s="1" t="s">
        <v>68</v>
      </c>
      <c r="D1055" s="1" t="s">
        <v>32</v>
      </c>
      <c r="E1055">
        <v>201</v>
      </c>
      <c r="F1055" s="1">
        <f>VLOOKUP(jablka[[#This Row],[Nazwa]],cennik[],2,0) * jablka[[#This Row],[sprzedaż]]</f>
        <v>643.20000000000005</v>
      </c>
    </row>
    <row r="1056" spans="1:6" x14ac:dyDescent="0.25">
      <c r="A1056" s="2">
        <v>44715</v>
      </c>
      <c r="B1056" s="1" t="s">
        <v>14</v>
      </c>
      <c r="C1056" s="1" t="s">
        <v>67</v>
      </c>
      <c r="D1056" s="1" t="s">
        <v>56</v>
      </c>
      <c r="E1056">
        <v>473</v>
      </c>
      <c r="F1056" s="1">
        <f>VLOOKUP(jablka[[#This Row],[Nazwa]],cennik[],2,0) * jablka[[#This Row],[sprzedaż]]</f>
        <v>1655.5</v>
      </c>
    </row>
    <row r="1057" spans="1:6" x14ac:dyDescent="0.25">
      <c r="A1057" s="2">
        <v>44715</v>
      </c>
      <c r="B1057" s="1" t="s">
        <v>12</v>
      </c>
      <c r="C1057" s="1" t="s">
        <v>68</v>
      </c>
      <c r="D1057" s="1" t="s">
        <v>18</v>
      </c>
      <c r="E1057">
        <v>289</v>
      </c>
      <c r="F1057" s="1">
        <f>VLOOKUP(jablka[[#This Row],[Nazwa]],cennik[],2,0) * jablka[[#This Row],[sprzedaż]]</f>
        <v>780.30000000000007</v>
      </c>
    </row>
    <row r="1058" spans="1:6" x14ac:dyDescent="0.25">
      <c r="A1058" s="2">
        <v>44716</v>
      </c>
      <c r="B1058" s="1" t="s">
        <v>13</v>
      </c>
      <c r="C1058" s="1" t="s">
        <v>68</v>
      </c>
      <c r="D1058" s="1" t="s">
        <v>40</v>
      </c>
      <c r="E1058">
        <v>377</v>
      </c>
      <c r="F1058" s="1">
        <f>VLOOKUP(jablka[[#This Row],[Nazwa]],cennik[],2,0) * jablka[[#This Row],[sprzedaż]]</f>
        <v>1206.4000000000001</v>
      </c>
    </row>
    <row r="1059" spans="1:6" x14ac:dyDescent="0.25">
      <c r="A1059" s="2">
        <v>44716</v>
      </c>
      <c r="B1059" s="1" t="s">
        <v>12</v>
      </c>
      <c r="C1059" s="1" t="s">
        <v>68</v>
      </c>
      <c r="D1059" s="1" t="s">
        <v>23</v>
      </c>
      <c r="E1059">
        <v>300</v>
      </c>
      <c r="F1059" s="1">
        <f>VLOOKUP(jablka[[#This Row],[Nazwa]],cennik[],2,0) * jablka[[#This Row],[sprzedaż]]</f>
        <v>810</v>
      </c>
    </row>
    <row r="1060" spans="1:6" x14ac:dyDescent="0.25">
      <c r="A1060" s="2">
        <v>44716</v>
      </c>
      <c r="B1060" s="1" t="s">
        <v>12</v>
      </c>
      <c r="C1060" s="1" t="s">
        <v>68</v>
      </c>
      <c r="D1060" s="1" t="s">
        <v>66</v>
      </c>
      <c r="E1060">
        <v>198</v>
      </c>
      <c r="F1060" s="1">
        <f>VLOOKUP(jablka[[#This Row],[Nazwa]],cennik[],2,0) * jablka[[#This Row],[sprzedaż]]</f>
        <v>534.6</v>
      </c>
    </row>
    <row r="1061" spans="1:6" x14ac:dyDescent="0.25">
      <c r="A1061" s="2">
        <v>44716</v>
      </c>
      <c r="B1061" s="1" t="s">
        <v>12</v>
      </c>
      <c r="C1061" s="1" t="s">
        <v>68</v>
      </c>
      <c r="D1061" s="1" t="s">
        <v>30</v>
      </c>
      <c r="E1061">
        <v>86</v>
      </c>
      <c r="F1061" s="1">
        <f>VLOOKUP(jablka[[#This Row],[Nazwa]],cennik[],2,0) * jablka[[#This Row],[sprzedaż]]</f>
        <v>232.20000000000002</v>
      </c>
    </row>
    <row r="1062" spans="1:6" x14ac:dyDescent="0.25">
      <c r="A1062" s="2">
        <v>44716</v>
      </c>
      <c r="B1062" s="1" t="s">
        <v>12</v>
      </c>
      <c r="C1062" s="1" t="s">
        <v>68</v>
      </c>
      <c r="D1062" s="1" t="s">
        <v>22</v>
      </c>
      <c r="E1062">
        <v>101</v>
      </c>
      <c r="F1062" s="1">
        <f>VLOOKUP(jablka[[#This Row],[Nazwa]],cennik[],2,0) * jablka[[#This Row],[sprzedaż]]</f>
        <v>272.70000000000005</v>
      </c>
    </row>
    <row r="1063" spans="1:6" x14ac:dyDescent="0.25">
      <c r="A1063" s="2">
        <v>44716</v>
      </c>
      <c r="B1063" s="1" t="s">
        <v>12</v>
      </c>
      <c r="C1063" s="1" t="s">
        <v>68</v>
      </c>
      <c r="D1063" s="1" t="s">
        <v>60</v>
      </c>
      <c r="E1063">
        <v>235</v>
      </c>
      <c r="F1063" s="1">
        <f>VLOOKUP(jablka[[#This Row],[Nazwa]],cennik[],2,0) * jablka[[#This Row],[sprzedaż]]</f>
        <v>634.5</v>
      </c>
    </row>
    <row r="1064" spans="1:6" x14ac:dyDescent="0.25">
      <c r="A1064" s="2">
        <v>44718</v>
      </c>
      <c r="B1064" s="1" t="s">
        <v>12</v>
      </c>
      <c r="C1064" s="1" t="s">
        <v>68</v>
      </c>
      <c r="D1064" s="1" t="s">
        <v>17</v>
      </c>
      <c r="E1064">
        <v>245</v>
      </c>
      <c r="F1064" s="1">
        <f>VLOOKUP(jablka[[#This Row],[Nazwa]],cennik[],2,0) * jablka[[#This Row],[sprzedaż]]</f>
        <v>661.5</v>
      </c>
    </row>
    <row r="1065" spans="1:6" x14ac:dyDescent="0.25">
      <c r="A1065" s="2">
        <v>44718</v>
      </c>
      <c r="B1065" s="1" t="s">
        <v>14</v>
      </c>
      <c r="C1065" s="1" t="s">
        <v>67</v>
      </c>
      <c r="D1065" s="1" t="s">
        <v>38</v>
      </c>
      <c r="E1065">
        <v>204</v>
      </c>
      <c r="F1065" s="1">
        <f>VLOOKUP(jablka[[#This Row],[Nazwa]],cennik[],2,0) * jablka[[#This Row],[sprzedaż]]</f>
        <v>714</v>
      </c>
    </row>
    <row r="1066" spans="1:6" x14ac:dyDescent="0.25">
      <c r="A1066" s="2">
        <v>44718</v>
      </c>
      <c r="B1066" s="1" t="s">
        <v>14</v>
      </c>
      <c r="C1066" s="1" t="s">
        <v>67</v>
      </c>
      <c r="D1066" s="1" t="s">
        <v>42</v>
      </c>
      <c r="E1066">
        <v>30</v>
      </c>
      <c r="F1066" s="1">
        <f>VLOOKUP(jablka[[#This Row],[Nazwa]],cennik[],2,0) * jablka[[#This Row],[sprzedaż]]</f>
        <v>105</v>
      </c>
    </row>
    <row r="1067" spans="1:6" x14ac:dyDescent="0.25">
      <c r="A1067" s="2">
        <v>44718</v>
      </c>
      <c r="B1067" s="1" t="s">
        <v>12</v>
      </c>
      <c r="C1067" s="1" t="s">
        <v>68</v>
      </c>
      <c r="D1067" s="1" t="s">
        <v>27</v>
      </c>
      <c r="E1067">
        <v>50</v>
      </c>
      <c r="F1067" s="1">
        <f>VLOOKUP(jablka[[#This Row],[Nazwa]],cennik[],2,0) * jablka[[#This Row],[sprzedaż]]</f>
        <v>135</v>
      </c>
    </row>
    <row r="1068" spans="1:6" x14ac:dyDescent="0.25">
      <c r="A1068" s="2">
        <v>44718</v>
      </c>
      <c r="B1068" s="1" t="s">
        <v>13</v>
      </c>
      <c r="C1068" s="1" t="s">
        <v>68</v>
      </c>
      <c r="D1068" s="1" t="s">
        <v>20</v>
      </c>
      <c r="E1068">
        <v>58</v>
      </c>
      <c r="F1068" s="1">
        <f>VLOOKUP(jablka[[#This Row],[Nazwa]],cennik[],2,0) * jablka[[#This Row],[sprzedaż]]</f>
        <v>185.60000000000002</v>
      </c>
    </row>
    <row r="1069" spans="1:6" x14ac:dyDescent="0.25">
      <c r="A1069" s="2">
        <v>44718</v>
      </c>
      <c r="B1069" s="1" t="s">
        <v>13</v>
      </c>
      <c r="C1069" s="1" t="s">
        <v>68</v>
      </c>
      <c r="D1069" s="1" t="s">
        <v>50</v>
      </c>
      <c r="E1069">
        <v>290</v>
      </c>
      <c r="F1069" s="1">
        <f>VLOOKUP(jablka[[#This Row],[Nazwa]],cennik[],2,0) * jablka[[#This Row],[sprzedaż]]</f>
        <v>928</v>
      </c>
    </row>
    <row r="1070" spans="1:6" x14ac:dyDescent="0.25">
      <c r="A1070" s="2">
        <v>44718</v>
      </c>
      <c r="B1070" s="1" t="s">
        <v>14</v>
      </c>
      <c r="C1070" s="1" t="s">
        <v>67</v>
      </c>
      <c r="D1070" s="1" t="s">
        <v>39</v>
      </c>
      <c r="E1070">
        <v>426</v>
      </c>
      <c r="F1070" s="1">
        <f>VLOOKUP(jablka[[#This Row],[Nazwa]],cennik[],2,0) * jablka[[#This Row],[sprzedaż]]</f>
        <v>1491</v>
      </c>
    </row>
    <row r="1071" spans="1:6" x14ac:dyDescent="0.25">
      <c r="A1071" s="2">
        <v>44718</v>
      </c>
      <c r="B1071" s="1" t="s">
        <v>12</v>
      </c>
      <c r="C1071" s="1" t="s">
        <v>68</v>
      </c>
      <c r="D1071" s="1" t="s">
        <v>51</v>
      </c>
      <c r="E1071">
        <v>384</v>
      </c>
      <c r="F1071" s="1">
        <f>VLOOKUP(jablka[[#This Row],[Nazwa]],cennik[],2,0) * jablka[[#This Row],[sprzedaż]]</f>
        <v>1036.8000000000002</v>
      </c>
    </row>
    <row r="1072" spans="1:6" x14ac:dyDescent="0.25">
      <c r="A1072" s="2">
        <v>44718</v>
      </c>
      <c r="B1072" s="1" t="s">
        <v>12</v>
      </c>
      <c r="C1072" s="1" t="s">
        <v>68</v>
      </c>
      <c r="D1072" s="1" t="s">
        <v>54</v>
      </c>
      <c r="E1072">
        <v>102</v>
      </c>
      <c r="F1072" s="1">
        <f>VLOOKUP(jablka[[#This Row],[Nazwa]],cennik[],2,0) * jablka[[#This Row],[sprzedaż]]</f>
        <v>275.40000000000003</v>
      </c>
    </row>
    <row r="1073" spans="1:6" x14ac:dyDescent="0.25">
      <c r="A1073" s="2">
        <v>44718</v>
      </c>
      <c r="B1073" s="1" t="s">
        <v>12</v>
      </c>
      <c r="C1073" s="1" t="s">
        <v>68</v>
      </c>
      <c r="D1073" s="1" t="s">
        <v>45</v>
      </c>
      <c r="E1073">
        <v>448</v>
      </c>
      <c r="F1073" s="1">
        <f>VLOOKUP(jablka[[#This Row],[Nazwa]],cennik[],2,0) * jablka[[#This Row],[sprzedaż]]</f>
        <v>1209.6000000000001</v>
      </c>
    </row>
    <row r="1074" spans="1:6" x14ac:dyDescent="0.25">
      <c r="A1074" s="2">
        <v>44718</v>
      </c>
      <c r="B1074" s="1" t="s">
        <v>13</v>
      </c>
      <c r="C1074" s="1" t="s">
        <v>68</v>
      </c>
      <c r="D1074" s="1" t="s">
        <v>25</v>
      </c>
      <c r="E1074">
        <v>476</v>
      </c>
      <c r="F1074" s="1">
        <f>VLOOKUP(jablka[[#This Row],[Nazwa]],cennik[],2,0) * jablka[[#This Row],[sprzedaż]]</f>
        <v>1523.2</v>
      </c>
    </row>
    <row r="1075" spans="1:6" x14ac:dyDescent="0.25">
      <c r="A1075" s="2">
        <v>44718</v>
      </c>
      <c r="B1075" s="1" t="s">
        <v>12</v>
      </c>
      <c r="C1075" s="1" t="s">
        <v>68</v>
      </c>
      <c r="D1075" s="1" t="s">
        <v>36</v>
      </c>
      <c r="E1075">
        <v>287</v>
      </c>
      <c r="F1075" s="1">
        <f>VLOOKUP(jablka[[#This Row],[Nazwa]],cennik[],2,0) * jablka[[#This Row],[sprzedaż]]</f>
        <v>774.90000000000009</v>
      </c>
    </row>
    <row r="1076" spans="1:6" x14ac:dyDescent="0.25">
      <c r="A1076" s="2">
        <v>44718</v>
      </c>
      <c r="B1076" s="1" t="s">
        <v>14</v>
      </c>
      <c r="C1076" s="1" t="s">
        <v>67</v>
      </c>
      <c r="D1076" s="1" t="s">
        <v>33</v>
      </c>
      <c r="E1076">
        <v>482</v>
      </c>
      <c r="F1076" s="1">
        <f>VLOOKUP(jablka[[#This Row],[Nazwa]],cennik[],2,0) * jablka[[#This Row],[sprzedaż]]</f>
        <v>1687</v>
      </c>
    </row>
    <row r="1077" spans="1:6" x14ac:dyDescent="0.25">
      <c r="A1077" s="2">
        <v>44718</v>
      </c>
      <c r="B1077" s="1" t="s">
        <v>12</v>
      </c>
      <c r="C1077" s="1" t="s">
        <v>68</v>
      </c>
      <c r="D1077" s="1" t="s">
        <v>37</v>
      </c>
      <c r="E1077">
        <v>258</v>
      </c>
      <c r="F1077" s="1">
        <f>VLOOKUP(jablka[[#This Row],[Nazwa]],cennik[],2,0) * jablka[[#This Row],[sprzedaż]]</f>
        <v>696.6</v>
      </c>
    </row>
    <row r="1078" spans="1:6" x14ac:dyDescent="0.25">
      <c r="A1078" s="2">
        <v>44718</v>
      </c>
      <c r="B1078" s="1" t="s">
        <v>12</v>
      </c>
      <c r="C1078" s="1" t="s">
        <v>68</v>
      </c>
      <c r="D1078" s="1" t="s">
        <v>48</v>
      </c>
      <c r="E1078">
        <v>321</v>
      </c>
      <c r="F1078" s="1">
        <f>VLOOKUP(jablka[[#This Row],[Nazwa]],cennik[],2,0) * jablka[[#This Row],[sprzedaż]]</f>
        <v>866.7</v>
      </c>
    </row>
    <row r="1079" spans="1:6" x14ac:dyDescent="0.25">
      <c r="A1079" s="2">
        <v>44718</v>
      </c>
      <c r="B1079" s="1" t="s">
        <v>13</v>
      </c>
      <c r="C1079" s="1" t="s">
        <v>68</v>
      </c>
      <c r="D1079" s="1" t="s">
        <v>44</v>
      </c>
      <c r="E1079">
        <v>339</v>
      </c>
      <c r="F1079" s="1">
        <f>VLOOKUP(jablka[[#This Row],[Nazwa]],cennik[],2,0) * jablka[[#This Row],[sprzedaż]]</f>
        <v>1084.8</v>
      </c>
    </row>
    <row r="1080" spans="1:6" x14ac:dyDescent="0.25">
      <c r="A1080" s="2">
        <v>44719</v>
      </c>
      <c r="B1080" s="1" t="s">
        <v>14</v>
      </c>
      <c r="C1080" s="1" t="s">
        <v>67</v>
      </c>
      <c r="D1080" s="1" t="s">
        <v>61</v>
      </c>
      <c r="E1080">
        <v>466</v>
      </c>
      <c r="F1080" s="1">
        <f>VLOOKUP(jablka[[#This Row],[Nazwa]],cennik[],2,0) * jablka[[#This Row],[sprzedaż]]</f>
        <v>1631</v>
      </c>
    </row>
    <row r="1081" spans="1:6" x14ac:dyDescent="0.25">
      <c r="A1081" s="2">
        <v>44720</v>
      </c>
      <c r="B1081" s="1" t="s">
        <v>13</v>
      </c>
      <c r="C1081" s="1" t="s">
        <v>68</v>
      </c>
      <c r="D1081" s="1" t="s">
        <v>66</v>
      </c>
      <c r="E1081">
        <v>377</v>
      </c>
      <c r="F1081" s="1">
        <f>VLOOKUP(jablka[[#This Row],[Nazwa]],cennik[],2,0) * jablka[[#This Row],[sprzedaż]]</f>
        <v>1206.4000000000001</v>
      </c>
    </row>
    <row r="1082" spans="1:6" x14ac:dyDescent="0.25">
      <c r="A1082" s="2">
        <v>44720</v>
      </c>
      <c r="B1082" s="1" t="s">
        <v>13</v>
      </c>
      <c r="C1082" s="1" t="s">
        <v>68</v>
      </c>
      <c r="D1082" s="1" t="s">
        <v>64</v>
      </c>
      <c r="E1082">
        <v>201</v>
      </c>
      <c r="F1082" s="1">
        <f>VLOOKUP(jablka[[#This Row],[Nazwa]],cennik[],2,0) * jablka[[#This Row],[sprzedaż]]</f>
        <v>643.20000000000005</v>
      </c>
    </row>
    <row r="1083" spans="1:6" x14ac:dyDescent="0.25">
      <c r="A1083" s="2">
        <v>44720</v>
      </c>
      <c r="B1083" s="1" t="s">
        <v>14</v>
      </c>
      <c r="C1083" s="1" t="s">
        <v>67</v>
      </c>
      <c r="D1083" s="1" t="s">
        <v>47</v>
      </c>
      <c r="E1083">
        <v>97</v>
      </c>
      <c r="F1083" s="1">
        <f>VLOOKUP(jablka[[#This Row],[Nazwa]],cennik[],2,0) * jablka[[#This Row],[sprzedaż]]</f>
        <v>339.5</v>
      </c>
    </row>
    <row r="1084" spans="1:6" x14ac:dyDescent="0.25">
      <c r="A1084" s="2">
        <v>44720</v>
      </c>
      <c r="B1084" s="1" t="s">
        <v>13</v>
      </c>
      <c r="C1084" s="1" t="s">
        <v>68</v>
      </c>
      <c r="D1084" s="1" t="s">
        <v>44</v>
      </c>
      <c r="E1084">
        <v>256</v>
      </c>
      <c r="F1084" s="1">
        <f>VLOOKUP(jablka[[#This Row],[Nazwa]],cennik[],2,0) * jablka[[#This Row],[sprzedaż]]</f>
        <v>819.2</v>
      </c>
    </row>
    <row r="1085" spans="1:6" x14ac:dyDescent="0.25">
      <c r="A1085" s="2">
        <v>44720</v>
      </c>
      <c r="B1085" s="1" t="s">
        <v>14</v>
      </c>
      <c r="C1085" s="1" t="s">
        <v>67</v>
      </c>
      <c r="D1085" s="1" t="s">
        <v>52</v>
      </c>
      <c r="E1085">
        <v>402</v>
      </c>
      <c r="F1085" s="1">
        <f>VLOOKUP(jablka[[#This Row],[Nazwa]],cennik[],2,0) * jablka[[#This Row],[sprzedaż]]</f>
        <v>1407</v>
      </c>
    </row>
    <row r="1086" spans="1:6" x14ac:dyDescent="0.25">
      <c r="A1086" s="2">
        <v>44720</v>
      </c>
      <c r="B1086" s="1" t="s">
        <v>12</v>
      </c>
      <c r="C1086" s="1" t="s">
        <v>68</v>
      </c>
      <c r="D1086" s="1" t="s">
        <v>64</v>
      </c>
      <c r="E1086">
        <v>169</v>
      </c>
      <c r="F1086" s="1">
        <f>VLOOKUP(jablka[[#This Row],[Nazwa]],cennik[],2,0) * jablka[[#This Row],[sprzedaż]]</f>
        <v>456.3</v>
      </c>
    </row>
    <row r="1087" spans="1:6" x14ac:dyDescent="0.25">
      <c r="A1087" s="2">
        <v>44720</v>
      </c>
      <c r="B1087" s="1" t="s">
        <v>12</v>
      </c>
      <c r="C1087" s="1" t="s">
        <v>68</v>
      </c>
      <c r="D1087" s="1" t="s">
        <v>34</v>
      </c>
      <c r="E1087">
        <v>183</v>
      </c>
      <c r="F1087" s="1">
        <f>VLOOKUP(jablka[[#This Row],[Nazwa]],cennik[],2,0) * jablka[[#This Row],[sprzedaż]]</f>
        <v>494.1</v>
      </c>
    </row>
    <row r="1088" spans="1:6" x14ac:dyDescent="0.25">
      <c r="A1088" s="2">
        <v>44720</v>
      </c>
      <c r="B1088" s="1" t="s">
        <v>13</v>
      </c>
      <c r="C1088" s="1" t="s">
        <v>68</v>
      </c>
      <c r="D1088" s="1" t="s">
        <v>57</v>
      </c>
      <c r="E1088">
        <v>200</v>
      </c>
      <c r="F1088" s="1">
        <f>VLOOKUP(jablka[[#This Row],[Nazwa]],cennik[],2,0) * jablka[[#This Row],[sprzedaż]]</f>
        <v>640</v>
      </c>
    </row>
    <row r="1089" spans="1:6" x14ac:dyDescent="0.25">
      <c r="A1089" s="2">
        <v>44720</v>
      </c>
      <c r="B1089" s="1" t="s">
        <v>13</v>
      </c>
      <c r="C1089" s="1" t="s">
        <v>68</v>
      </c>
      <c r="D1089" s="1" t="s">
        <v>35</v>
      </c>
      <c r="E1089">
        <v>325</v>
      </c>
      <c r="F1089" s="1">
        <f>VLOOKUP(jablka[[#This Row],[Nazwa]],cennik[],2,0) * jablka[[#This Row],[sprzedaż]]</f>
        <v>1040</v>
      </c>
    </row>
    <row r="1090" spans="1:6" x14ac:dyDescent="0.25">
      <c r="A1090" s="2">
        <v>44721</v>
      </c>
      <c r="B1090" s="1" t="s">
        <v>14</v>
      </c>
      <c r="C1090" s="1" t="s">
        <v>67</v>
      </c>
      <c r="D1090" s="1" t="s">
        <v>66</v>
      </c>
      <c r="E1090">
        <v>286</v>
      </c>
      <c r="F1090" s="1">
        <f>VLOOKUP(jablka[[#This Row],[Nazwa]],cennik[],2,0) * jablka[[#This Row],[sprzedaż]]</f>
        <v>1001</v>
      </c>
    </row>
    <row r="1091" spans="1:6" x14ac:dyDescent="0.25">
      <c r="A1091" s="2">
        <v>44721</v>
      </c>
      <c r="B1091" s="1" t="s">
        <v>14</v>
      </c>
      <c r="C1091" s="1" t="s">
        <v>67</v>
      </c>
      <c r="D1091" s="1" t="s">
        <v>26</v>
      </c>
      <c r="E1091">
        <v>366</v>
      </c>
      <c r="F1091" s="1">
        <f>VLOOKUP(jablka[[#This Row],[Nazwa]],cennik[],2,0) * jablka[[#This Row],[sprzedaż]]</f>
        <v>1281</v>
      </c>
    </row>
    <row r="1092" spans="1:6" x14ac:dyDescent="0.25">
      <c r="A1092" s="2">
        <v>44721</v>
      </c>
      <c r="B1092" s="1" t="s">
        <v>14</v>
      </c>
      <c r="C1092" s="1" t="s">
        <v>67</v>
      </c>
      <c r="D1092" s="1" t="s">
        <v>64</v>
      </c>
      <c r="E1092">
        <v>483</v>
      </c>
      <c r="F1092" s="1">
        <f>VLOOKUP(jablka[[#This Row],[Nazwa]],cennik[],2,0) * jablka[[#This Row],[sprzedaż]]</f>
        <v>1690.5</v>
      </c>
    </row>
    <row r="1093" spans="1:6" x14ac:dyDescent="0.25">
      <c r="A1093" s="2">
        <v>44721</v>
      </c>
      <c r="B1093" s="1" t="s">
        <v>14</v>
      </c>
      <c r="C1093" s="1" t="s">
        <v>67</v>
      </c>
      <c r="D1093" s="1" t="s">
        <v>35</v>
      </c>
      <c r="E1093">
        <v>52</v>
      </c>
      <c r="F1093" s="1">
        <f>VLOOKUP(jablka[[#This Row],[Nazwa]],cennik[],2,0) * jablka[[#This Row],[sprzedaż]]</f>
        <v>182</v>
      </c>
    </row>
    <row r="1094" spans="1:6" x14ac:dyDescent="0.25">
      <c r="A1094" s="2">
        <v>44721</v>
      </c>
      <c r="B1094" s="1" t="s">
        <v>13</v>
      </c>
      <c r="C1094" s="1" t="s">
        <v>68</v>
      </c>
      <c r="D1094" s="1" t="s">
        <v>19</v>
      </c>
      <c r="E1094">
        <v>454</v>
      </c>
      <c r="F1094" s="1">
        <f>VLOOKUP(jablka[[#This Row],[Nazwa]],cennik[],2,0) * jablka[[#This Row],[sprzedaż]]</f>
        <v>1452.8000000000002</v>
      </c>
    </row>
    <row r="1095" spans="1:6" x14ac:dyDescent="0.25">
      <c r="A1095" s="2">
        <v>44722</v>
      </c>
      <c r="B1095" s="1" t="s">
        <v>12</v>
      </c>
      <c r="C1095" s="1" t="s">
        <v>68</v>
      </c>
      <c r="D1095" s="1" t="s">
        <v>21</v>
      </c>
      <c r="E1095">
        <v>483</v>
      </c>
      <c r="F1095" s="1">
        <f>VLOOKUP(jablka[[#This Row],[Nazwa]],cennik[],2,0) * jablka[[#This Row],[sprzedaż]]</f>
        <v>1304.1000000000001</v>
      </c>
    </row>
    <row r="1096" spans="1:6" x14ac:dyDescent="0.25">
      <c r="A1096" s="2">
        <v>44722</v>
      </c>
      <c r="B1096" s="1" t="s">
        <v>12</v>
      </c>
      <c r="C1096" s="1" t="s">
        <v>68</v>
      </c>
      <c r="D1096" s="1" t="s">
        <v>54</v>
      </c>
      <c r="E1096">
        <v>55</v>
      </c>
      <c r="F1096" s="1">
        <f>VLOOKUP(jablka[[#This Row],[Nazwa]],cennik[],2,0) * jablka[[#This Row],[sprzedaż]]</f>
        <v>148.5</v>
      </c>
    </row>
    <row r="1097" spans="1:6" x14ac:dyDescent="0.25">
      <c r="A1097" s="2">
        <v>44722</v>
      </c>
      <c r="B1097" s="1" t="s">
        <v>13</v>
      </c>
      <c r="C1097" s="1" t="s">
        <v>68</v>
      </c>
      <c r="D1097" s="1" t="s">
        <v>45</v>
      </c>
      <c r="E1097">
        <v>113</v>
      </c>
      <c r="F1097" s="1">
        <f>VLOOKUP(jablka[[#This Row],[Nazwa]],cennik[],2,0) * jablka[[#This Row],[sprzedaż]]</f>
        <v>361.6</v>
      </c>
    </row>
    <row r="1098" spans="1:6" x14ac:dyDescent="0.25">
      <c r="A1098" s="2">
        <v>44722</v>
      </c>
      <c r="B1098" s="1" t="s">
        <v>12</v>
      </c>
      <c r="C1098" s="1" t="s">
        <v>68</v>
      </c>
      <c r="D1098" s="1" t="s">
        <v>60</v>
      </c>
      <c r="E1098">
        <v>321</v>
      </c>
      <c r="F1098" s="1">
        <f>VLOOKUP(jablka[[#This Row],[Nazwa]],cennik[],2,0) * jablka[[#This Row],[sprzedaż]]</f>
        <v>866.7</v>
      </c>
    </row>
    <row r="1099" spans="1:6" x14ac:dyDescent="0.25">
      <c r="A1099" s="2">
        <v>44722</v>
      </c>
      <c r="B1099" s="1" t="s">
        <v>13</v>
      </c>
      <c r="C1099" s="1" t="s">
        <v>68</v>
      </c>
      <c r="D1099" s="1" t="s">
        <v>60</v>
      </c>
      <c r="E1099">
        <v>437</v>
      </c>
      <c r="F1099" s="1">
        <f>VLOOKUP(jablka[[#This Row],[Nazwa]],cennik[],2,0) * jablka[[#This Row],[sprzedaż]]</f>
        <v>1398.4</v>
      </c>
    </row>
    <row r="1100" spans="1:6" x14ac:dyDescent="0.25">
      <c r="A1100" s="2">
        <v>44723</v>
      </c>
      <c r="B1100" s="1" t="s">
        <v>12</v>
      </c>
      <c r="C1100" s="1" t="s">
        <v>68</v>
      </c>
      <c r="D1100" s="1" t="s">
        <v>20</v>
      </c>
      <c r="E1100">
        <v>363</v>
      </c>
      <c r="F1100" s="1">
        <f>VLOOKUP(jablka[[#This Row],[Nazwa]],cennik[],2,0) * jablka[[#This Row],[sprzedaż]]</f>
        <v>980.1</v>
      </c>
    </row>
    <row r="1101" spans="1:6" x14ac:dyDescent="0.25">
      <c r="A1101" s="2">
        <v>44723</v>
      </c>
      <c r="B1101" s="1" t="s">
        <v>14</v>
      </c>
      <c r="C1101" s="1" t="s">
        <v>67</v>
      </c>
      <c r="D1101" s="1" t="s">
        <v>29</v>
      </c>
      <c r="E1101">
        <v>39</v>
      </c>
      <c r="F1101" s="1">
        <f>VLOOKUP(jablka[[#This Row],[Nazwa]],cennik[],2,0) * jablka[[#This Row],[sprzedaż]]</f>
        <v>136.5</v>
      </c>
    </row>
    <row r="1102" spans="1:6" x14ac:dyDescent="0.25">
      <c r="A1102" s="2">
        <v>44723</v>
      </c>
      <c r="B1102" s="1" t="s">
        <v>14</v>
      </c>
      <c r="C1102" s="1" t="s">
        <v>67</v>
      </c>
      <c r="D1102" s="1" t="s">
        <v>37</v>
      </c>
      <c r="E1102">
        <v>221</v>
      </c>
      <c r="F1102" s="1">
        <f>VLOOKUP(jablka[[#This Row],[Nazwa]],cennik[],2,0) * jablka[[#This Row],[sprzedaż]]</f>
        <v>773.5</v>
      </c>
    </row>
    <row r="1103" spans="1:6" x14ac:dyDescent="0.25">
      <c r="A1103" s="2">
        <v>44725</v>
      </c>
      <c r="B1103" s="1" t="s">
        <v>13</v>
      </c>
      <c r="C1103" s="1" t="s">
        <v>68</v>
      </c>
      <c r="D1103" s="1" t="s">
        <v>55</v>
      </c>
      <c r="E1103">
        <v>27</v>
      </c>
      <c r="F1103" s="1">
        <f>VLOOKUP(jablka[[#This Row],[Nazwa]],cennik[],2,0) * jablka[[#This Row],[sprzedaż]]</f>
        <v>86.4</v>
      </c>
    </row>
    <row r="1104" spans="1:6" x14ac:dyDescent="0.25">
      <c r="A1104" s="2">
        <v>44725</v>
      </c>
      <c r="B1104" s="1" t="s">
        <v>13</v>
      </c>
      <c r="C1104" s="1" t="s">
        <v>68</v>
      </c>
      <c r="D1104" s="1" t="s">
        <v>31</v>
      </c>
      <c r="E1104">
        <v>466</v>
      </c>
      <c r="F1104" s="1">
        <f>VLOOKUP(jablka[[#This Row],[Nazwa]],cennik[],2,0) * jablka[[#This Row],[sprzedaż]]</f>
        <v>1491.2</v>
      </c>
    </row>
    <row r="1105" spans="1:6" x14ac:dyDescent="0.25">
      <c r="A1105" s="2">
        <v>44725</v>
      </c>
      <c r="B1105" s="1" t="s">
        <v>14</v>
      </c>
      <c r="C1105" s="1" t="s">
        <v>67</v>
      </c>
      <c r="D1105" s="1" t="s">
        <v>29</v>
      </c>
      <c r="E1105">
        <v>89</v>
      </c>
      <c r="F1105" s="1">
        <f>VLOOKUP(jablka[[#This Row],[Nazwa]],cennik[],2,0) * jablka[[#This Row],[sprzedaż]]</f>
        <v>311.5</v>
      </c>
    </row>
    <row r="1106" spans="1:6" x14ac:dyDescent="0.25">
      <c r="A1106" s="2">
        <v>44725</v>
      </c>
      <c r="B1106" s="1" t="s">
        <v>12</v>
      </c>
      <c r="C1106" s="1" t="s">
        <v>68</v>
      </c>
      <c r="D1106" s="1" t="s">
        <v>18</v>
      </c>
      <c r="E1106">
        <v>182</v>
      </c>
      <c r="F1106" s="1">
        <f>VLOOKUP(jablka[[#This Row],[Nazwa]],cennik[],2,0) * jablka[[#This Row],[sprzedaż]]</f>
        <v>491.40000000000003</v>
      </c>
    </row>
    <row r="1107" spans="1:6" x14ac:dyDescent="0.25">
      <c r="A1107" s="2">
        <v>44725</v>
      </c>
      <c r="B1107" s="1" t="s">
        <v>12</v>
      </c>
      <c r="C1107" s="1" t="s">
        <v>68</v>
      </c>
      <c r="D1107" s="1" t="s">
        <v>60</v>
      </c>
      <c r="E1107">
        <v>140</v>
      </c>
      <c r="F1107" s="1">
        <f>VLOOKUP(jablka[[#This Row],[Nazwa]],cennik[],2,0) * jablka[[#This Row],[sprzedaż]]</f>
        <v>378</v>
      </c>
    </row>
    <row r="1108" spans="1:6" x14ac:dyDescent="0.25">
      <c r="A1108" s="2">
        <v>44725</v>
      </c>
      <c r="B1108" s="1" t="s">
        <v>14</v>
      </c>
      <c r="C1108" s="1" t="s">
        <v>67</v>
      </c>
      <c r="D1108" s="1" t="s">
        <v>52</v>
      </c>
      <c r="E1108">
        <v>107</v>
      </c>
      <c r="F1108" s="1">
        <f>VLOOKUP(jablka[[#This Row],[Nazwa]],cennik[],2,0) * jablka[[#This Row],[sprzedaż]]</f>
        <v>374.5</v>
      </c>
    </row>
    <row r="1109" spans="1:6" x14ac:dyDescent="0.25">
      <c r="A1109" s="2">
        <v>44725</v>
      </c>
      <c r="B1109" s="1" t="s">
        <v>12</v>
      </c>
      <c r="C1109" s="1" t="s">
        <v>68</v>
      </c>
      <c r="D1109" s="1" t="s">
        <v>65</v>
      </c>
      <c r="E1109">
        <v>392</v>
      </c>
      <c r="F1109" s="1">
        <f>VLOOKUP(jablka[[#This Row],[Nazwa]],cennik[],2,0) * jablka[[#This Row],[sprzedaż]]</f>
        <v>1058.4000000000001</v>
      </c>
    </row>
    <row r="1110" spans="1:6" x14ac:dyDescent="0.25">
      <c r="A1110" s="2">
        <v>44725</v>
      </c>
      <c r="B1110" s="1" t="s">
        <v>14</v>
      </c>
      <c r="C1110" s="1" t="s">
        <v>67</v>
      </c>
      <c r="D1110" s="1" t="s">
        <v>21</v>
      </c>
      <c r="E1110">
        <v>221</v>
      </c>
      <c r="F1110" s="1">
        <f>VLOOKUP(jablka[[#This Row],[Nazwa]],cennik[],2,0) * jablka[[#This Row],[sprzedaż]]</f>
        <v>773.5</v>
      </c>
    </row>
    <row r="1111" spans="1:6" x14ac:dyDescent="0.25">
      <c r="A1111" s="2">
        <v>44725</v>
      </c>
      <c r="B1111" s="1" t="s">
        <v>13</v>
      </c>
      <c r="C1111" s="1" t="s">
        <v>68</v>
      </c>
      <c r="D1111" s="1" t="s">
        <v>42</v>
      </c>
      <c r="E1111">
        <v>230</v>
      </c>
      <c r="F1111" s="1">
        <f>VLOOKUP(jablka[[#This Row],[Nazwa]],cennik[],2,0) * jablka[[#This Row],[sprzedaż]]</f>
        <v>736</v>
      </c>
    </row>
    <row r="1112" spans="1:6" x14ac:dyDescent="0.25">
      <c r="A1112" s="2">
        <v>44725</v>
      </c>
      <c r="B1112" s="1" t="s">
        <v>13</v>
      </c>
      <c r="C1112" s="1" t="s">
        <v>68</v>
      </c>
      <c r="D1112" s="1" t="s">
        <v>32</v>
      </c>
      <c r="E1112">
        <v>301</v>
      </c>
      <c r="F1112" s="1">
        <f>VLOOKUP(jablka[[#This Row],[Nazwa]],cennik[],2,0) * jablka[[#This Row],[sprzedaż]]</f>
        <v>963.2</v>
      </c>
    </row>
    <row r="1113" spans="1:6" x14ac:dyDescent="0.25">
      <c r="A1113" s="2">
        <v>44725</v>
      </c>
      <c r="B1113" s="1" t="s">
        <v>12</v>
      </c>
      <c r="C1113" s="1" t="s">
        <v>68</v>
      </c>
      <c r="D1113" s="1" t="s">
        <v>53</v>
      </c>
      <c r="E1113">
        <v>366</v>
      </c>
      <c r="F1113" s="1">
        <f>VLOOKUP(jablka[[#This Row],[Nazwa]],cennik[],2,0) * jablka[[#This Row],[sprzedaż]]</f>
        <v>988.2</v>
      </c>
    </row>
    <row r="1114" spans="1:6" x14ac:dyDescent="0.25">
      <c r="A1114" s="2">
        <v>44725</v>
      </c>
      <c r="B1114" s="1" t="s">
        <v>14</v>
      </c>
      <c r="C1114" s="1" t="s">
        <v>67</v>
      </c>
      <c r="D1114" s="1" t="s">
        <v>24</v>
      </c>
      <c r="E1114">
        <v>73</v>
      </c>
      <c r="F1114" s="1">
        <f>VLOOKUP(jablka[[#This Row],[Nazwa]],cennik[],2,0) * jablka[[#This Row],[sprzedaż]]</f>
        <v>255.5</v>
      </c>
    </row>
    <row r="1115" spans="1:6" x14ac:dyDescent="0.25">
      <c r="A1115" s="2">
        <v>44725</v>
      </c>
      <c r="B1115" s="1" t="s">
        <v>12</v>
      </c>
      <c r="C1115" s="1" t="s">
        <v>68</v>
      </c>
      <c r="D1115" s="1" t="s">
        <v>24</v>
      </c>
      <c r="E1115">
        <v>302</v>
      </c>
      <c r="F1115" s="1">
        <f>VLOOKUP(jablka[[#This Row],[Nazwa]],cennik[],2,0) * jablka[[#This Row],[sprzedaż]]</f>
        <v>815.40000000000009</v>
      </c>
    </row>
    <row r="1116" spans="1:6" x14ac:dyDescent="0.25">
      <c r="A1116" s="2">
        <v>44725</v>
      </c>
      <c r="B1116" s="1" t="s">
        <v>12</v>
      </c>
      <c r="C1116" s="1" t="s">
        <v>68</v>
      </c>
      <c r="D1116" s="1" t="s">
        <v>28</v>
      </c>
      <c r="E1116">
        <v>449</v>
      </c>
      <c r="F1116" s="1">
        <f>VLOOKUP(jablka[[#This Row],[Nazwa]],cennik[],2,0) * jablka[[#This Row],[sprzedaż]]</f>
        <v>1212.3000000000002</v>
      </c>
    </row>
    <row r="1117" spans="1:6" x14ac:dyDescent="0.25">
      <c r="A1117" s="2">
        <v>44726</v>
      </c>
      <c r="B1117" s="1" t="s">
        <v>14</v>
      </c>
      <c r="C1117" s="1" t="s">
        <v>67</v>
      </c>
      <c r="D1117" s="1" t="s">
        <v>19</v>
      </c>
      <c r="E1117">
        <v>428</v>
      </c>
      <c r="F1117" s="1">
        <f>VLOOKUP(jablka[[#This Row],[Nazwa]],cennik[],2,0) * jablka[[#This Row],[sprzedaż]]</f>
        <v>1498</v>
      </c>
    </row>
    <row r="1118" spans="1:6" x14ac:dyDescent="0.25">
      <c r="A1118" s="2">
        <v>44726</v>
      </c>
      <c r="B1118" s="1" t="s">
        <v>12</v>
      </c>
      <c r="C1118" s="1" t="s">
        <v>68</v>
      </c>
      <c r="D1118" s="1" t="s">
        <v>41</v>
      </c>
      <c r="E1118">
        <v>285</v>
      </c>
      <c r="F1118" s="1">
        <f>VLOOKUP(jablka[[#This Row],[Nazwa]],cennik[],2,0) * jablka[[#This Row],[sprzedaż]]</f>
        <v>769.5</v>
      </c>
    </row>
    <row r="1119" spans="1:6" x14ac:dyDescent="0.25">
      <c r="A1119" s="2">
        <v>44726</v>
      </c>
      <c r="B1119" s="1" t="s">
        <v>14</v>
      </c>
      <c r="C1119" s="1" t="s">
        <v>67</v>
      </c>
      <c r="D1119" s="1" t="s">
        <v>41</v>
      </c>
      <c r="E1119">
        <v>400</v>
      </c>
      <c r="F1119" s="1">
        <f>VLOOKUP(jablka[[#This Row],[Nazwa]],cennik[],2,0) * jablka[[#This Row],[sprzedaż]]</f>
        <v>1400</v>
      </c>
    </row>
    <row r="1120" spans="1:6" x14ac:dyDescent="0.25">
      <c r="A1120" s="2">
        <v>44726</v>
      </c>
      <c r="B1120" s="1" t="s">
        <v>12</v>
      </c>
      <c r="C1120" s="1" t="s">
        <v>68</v>
      </c>
      <c r="D1120" s="1" t="s">
        <v>40</v>
      </c>
      <c r="E1120">
        <v>86</v>
      </c>
      <c r="F1120" s="1">
        <f>VLOOKUP(jablka[[#This Row],[Nazwa]],cennik[],2,0) * jablka[[#This Row],[sprzedaż]]</f>
        <v>232.20000000000002</v>
      </c>
    </row>
    <row r="1121" spans="1:6" x14ac:dyDescent="0.25">
      <c r="A1121" s="2">
        <v>44726</v>
      </c>
      <c r="B1121" s="1" t="s">
        <v>14</v>
      </c>
      <c r="C1121" s="1" t="s">
        <v>67</v>
      </c>
      <c r="D1121" s="1" t="s">
        <v>62</v>
      </c>
      <c r="E1121">
        <v>441</v>
      </c>
      <c r="F1121" s="1">
        <f>VLOOKUP(jablka[[#This Row],[Nazwa]],cennik[],2,0) * jablka[[#This Row],[sprzedaż]]</f>
        <v>1543.5</v>
      </c>
    </row>
    <row r="1122" spans="1:6" x14ac:dyDescent="0.25">
      <c r="A1122" s="2">
        <v>44727</v>
      </c>
      <c r="B1122" s="1" t="s">
        <v>13</v>
      </c>
      <c r="C1122" s="1" t="s">
        <v>68</v>
      </c>
      <c r="D1122" s="1" t="s">
        <v>36</v>
      </c>
      <c r="E1122">
        <v>73</v>
      </c>
      <c r="F1122" s="1">
        <f>VLOOKUP(jablka[[#This Row],[Nazwa]],cennik[],2,0) * jablka[[#This Row],[sprzedaż]]</f>
        <v>233.60000000000002</v>
      </c>
    </row>
    <row r="1123" spans="1:6" x14ac:dyDescent="0.25">
      <c r="A1123" s="2">
        <v>44727</v>
      </c>
      <c r="B1123" s="1" t="s">
        <v>13</v>
      </c>
      <c r="C1123" s="1" t="s">
        <v>68</v>
      </c>
      <c r="D1123" s="1" t="s">
        <v>38</v>
      </c>
      <c r="E1123">
        <v>35</v>
      </c>
      <c r="F1123" s="1">
        <f>VLOOKUP(jablka[[#This Row],[Nazwa]],cennik[],2,0) * jablka[[#This Row],[sprzedaż]]</f>
        <v>112</v>
      </c>
    </row>
    <row r="1124" spans="1:6" x14ac:dyDescent="0.25">
      <c r="A1124" s="2">
        <v>44727</v>
      </c>
      <c r="B1124" s="1" t="s">
        <v>13</v>
      </c>
      <c r="C1124" s="1" t="s">
        <v>68</v>
      </c>
      <c r="D1124" s="1" t="s">
        <v>45</v>
      </c>
      <c r="E1124">
        <v>206</v>
      </c>
      <c r="F1124" s="1">
        <f>VLOOKUP(jablka[[#This Row],[Nazwa]],cennik[],2,0) * jablka[[#This Row],[sprzedaż]]</f>
        <v>659.2</v>
      </c>
    </row>
    <row r="1125" spans="1:6" x14ac:dyDescent="0.25">
      <c r="A1125" s="2">
        <v>44727</v>
      </c>
      <c r="B1125" s="1" t="s">
        <v>12</v>
      </c>
      <c r="C1125" s="1" t="s">
        <v>68</v>
      </c>
      <c r="D1125" s="1" t="s">
        <v>62</v>
      </c>
      <c r="E1125">
        <v>100</v>
      </c>
      <c r="F1125" s="1">
        <f>VLOOKUP(jablka[[#This Row],[Nazwa]],cennik[],2,0) * jablka[[#This Row],[sprzedaż]]</f>
        <v>270</v>
      </c>
    </row>
    <row r="1126" spans="1:6" x14ac:dyDescent="0.25">
      <c r="A1126" s="2">
        <v>44727</v>
      </c>
      <c r="B1126" s="1" t="s">
        <v>14</v>
      </c>
      <c r="C1126" s="1" t="s">
        <v>67</v>
      </c>
      <c r="D1126" s="1" t="s">
        <v>55</v>
      </c>
      <c r="E1126">
        <v>69</v>
      </c>
      <c r="F1126" s="1">
        <f>VLOOKUP(jablka[[#This Row],[Nazwa]],cennik[],2,0) * jablka[[#This Row],[sprzedaż]]</f>
        <v>241.5</v>
      </c>
    </row>
    <row r="1127" spans="1:6" x14ac:dyDescent="0.25">
      <c r="A1127" s="2">
        <v>44727</v>
      </c>
      <c r="B1127" s="1" t="s">
        <v>14</v>
      </c>
      <c r="C1127" s="1" t="s">
        <v>67</v>
      </c>
      <c r="D1127" s="1" t="s">
        <v>25</v>
      </c>
      <c r="E1127">
        <v>372</v>
      </c>
      <c r="F1127" s="1">
        <f>VLOOKUP(jablka[[#This Row],[Nazwa]],cennik[],2,0) * jablka[[#This Row],[sprzedaż]]</f>
        <v>1302</v>
      </c>
    </row>
    <row r="1128" spans="1:6" x14ac:dyDescent="0.25">
      <c r="A1128" s="2">
        <v>44727</v>
      </c>
      <c r="B1128" s="1" t="s">
        <v>14</v>
      </c>
      <c r="C1128" s="1" t="s">
        <v>67</v>
      </c>
      <c r="D1128" s="1" t="s">
        <v>17</v>
      </c>
      <c r="E1128">
        <v>59</v>
      </c>
      <c r="F1128" s="1">
        <f>VLOOKUP(jablka[[#This Row],[Nazwa]],cennik[],2,0) * jablka[[#This Row],[sprzedaż]]</f>
        <v>206.5</v>
      </c>
    </row>
    <row r="1129" spans="1:6" x14ac:dyDescent="0.25">
      <c r="A1129" s="2">
        <v>44728</v>
      </c>
      <c r="B1129" s="1" t="s">
        <v>13</v>
      </c>
      <c r="C1129" s="1" t="s">
        <v>68</v>
      </c>
      <c r="D1129" s="1" t="s">
        <v>34</v>
      </c>
      <c r="E1129">
        <v>345</v>
      </c>
      <c r="F1129" s="1">
        <f>VLOOKUP(jablka[[#This Row],[Nazwa]],cennik[],2,0) * jablka[[#This Row],[sprzedaż]]</f>
        <v>1104</v>
      </c>
    </row>
    <row r="1130" spans="1:6" x14ac:dyDescent="0.25">
      <c r="A1130" s="2">
        <v>44728</v>
      </c>
      <c r="B1130" s="1" t="s">
        <v>12</v>
      </c>
      <c r="C1130" s="1" t="s">
        <v>68</v>
      </c>
      <c r="D1130" s="1" t="s">
        <v>46</v>
      </c>
      <c r="E1130">
        <v>28</v>
      </c>
      <c r="F1130" s="1">
        <f>VLOOKUP(jablka[[#This Row],[Nazwa]],cennik[],2,0) * jablka[[#This Row],[sprzedaż]]</f>
        <v>75.600000000000009</v>
      </c>
    </row>
    <row r="1131" spans="1:6" x14ac:dyDescent="0.25">
      <c r="A1131" s="2">
        <v>44728</v>
      </c>
      <c r="B1131" s="1" t="s">
        <v>13</v>
      </c>
      <c r="C1131" s="1" t="s">
        <v>68</v>
      </c>
      <c r="D1131" s="1" t="s">
        <v>59</v>
      </c>
      <c r="E1131">
        <v>343</v>
      </c>
      <c r="F1131" s="1">
        <f>VLOOKUP(jablka[[#This Row],[Nazwa]],cennik[],2,0) * jablka[[#This Row],[sprzedaż]]</f>
        <v>1097.6000000000001</v>
      </c>
    </row>
    <row r="1132" spans="1:6" x14ac:dyDescent="0.25">
      <c r="A1132" s="2">
        <v>44728</v>
      </c>
      <c r="B1132" s="1" t="s">
        <v>14</v>
      </c>
      <c r="C1132" s="1" t="s">
        <v>67</v>
      </c>
      <c r="D1132" s="1" t="s">
        <v>42</v>
      </c>
      <c r="E1132">
        <v>498</v>
      </c>
      <c r="F1132" s="1">
        <f>VLOOKUP(jablka[[#This Row],[Nazwa]],cennik[],2,0) * jablka[[#This Row],[sprzedaż]]</f>
        <v>1743</v>
      </c>
    </row>
    <row r="1133" spans="1:6" x14ac:dyDescent="0.25">
      <c r="A1133" s="2">
        <v>44729</v>
      </c>
      <c r="B1133" s="1" t="s">
        <v>13</v>
      </c>
      <c r="C1133" s="1" t="s">
        <v>68</v>
      </c>
      <c r="D1133" s="1" t="s">
        <v>55</v>
      </c>
      <c r="E1133">
        <v>160</v>
      </c>
      <c r="F1133" s="1">
        <f>VLOOKUP(jablka[[#This Row],[Nazwa]],cennik[],2,0) * jablka[[#This Row],[sprzedaż]]</f>
        <v>512</v>
      </c>
    </row>
    <row r="1134" spans="1:6" x14ac:dyDescent="0.25">
      <c r="A1134" s="2">
        <v>44729</v>
      </c>
      <c r="B1134" s="1" t="s">
        <v>12</v>
      </c>
      <c r="C1134" s="1" t="s">
        <v>68</v>
      </c>
      <c r="D1134" s="1" t="s">
        <v>41</v>
      </c>
      <c r="E1134">
        <v>269</v>
      </c>
      <c r="F1134" s="1">
        <f>VLOOKUP(jablka[[#This Row],[Nazwa]],cennik[],2,0) * jablka[[#This Row],[sprzedaż]]</f>
        <v>726.30000000000007</v>
      </c>
    </row>
    <row r="1135" spans="1:6" x14ac:dyDescent="0.25">
      <c r="A1135" s="2">
        <v>44729</v>
      </c>
      <c r="B1135" s="1" t="s">
        <v>13</v>
      </c>
      <c r="C1135" s="1" t="s">
        <v>68</v>
      </c>
      <c r="D1135" s="1" t="s">
        <v>63</v>
      </c>
      <c r="E1135">
        <v>314</v>
      </c>
      <c r="F1135" s="1">
        <f>VLOOKUP(jablka[[#This Row],[Nazwa]],cennik[],2,0) * jablka[[#This Row],[sprzedaż]]</f>
        <v>1004.8000000000001</v>
      </c>
    </row>
    <row r="1136" spans="1:6" x14ac:dyDescent="0.25">
      <c r="A1136" s="2">
        <v>44729</v>
      </c>
      <c r="B1136" s="1" t="s">
        <v>13</v>
      </c>
      <c r="C1136" s="1" t="s">
        <v>68</v>
      </c>
      <c r="D1136" s="1" t="s">
        <v>49</v>
      </c>
      <c r="E1136">
        <v>451</v>
      </c>
      <c r="F1136" s="1">
        <f>VLOOKUP(jablka[[#This Row],[Nazwa]],cennik[],2,0) * jablka[[#This Row],[sprzedaż]]</f>
        <v>1443.2</v>
      </c>
    </row>
    <row r="1137" spans="1:6" x14ac:dyDescent="0.25">
      <c r="A1137" s="2">
        <v>44729</v>
      </c>
      <c r="B1137" s="1" t="s">
        <v>14</v>
      </c>
      <c r="C1137" s="1" t="s">
        <v>67</v>
      </c>
      <c r="D1137" s="1" t="s">
        <v>49</v>
      </c>
      <c r="E1137">
        <v>414</v>
      </c>
      <c r="F1137" s="1">
        <f>VLOOKUP(jablka[[#This Row],[Nazwa]],cennik[],2,0) * jablka[[#This Row],[sprzedaż]]</f>
        <v>1449</v>
      </c>
    </row>
    <row r="1138" spans="1:6" x14ac:dyDescent="0.25">
      <c r="A1138" s="2">
        <v>44729</v>
      </c>
      <c r="B1138" s="1" t="s">
        <v>12</v>
      </c>
      <c r="C1138" s="1" t="s">
        <v>68</v>
      </c>
      <c r="D1138" s="1" t="s">
        <v>52</v>
      </c>
      <c r="E1138">
        <v>93</v>
      </c>
      <c r="F1138" s="1">
        <f>VLOOKUP(jablka[[#This Row],[Nazwa]],cennik[],2,0) * jablka[[#This Row],[sprzedaż]]</f>
        <v>251.10000000000002</v>
      </c>
    </row>
    <row r="1139" spans="1:6" x14ac:dyDescent="0.25">
      <c r="A1139" s="2">
        <v>44729</v>
      </c>
      <c r="B1139" s="1" t="s">
        <v>12</v>
      </c>
      <c r="C1139" s="1" t="s">
        <v>68</v>
      </c>
      <c r="D1139" s="1" t="s">
        <v>58</v>
      </c>
      <c r="E1139">
        <v>282</v>
      </c>
      <c r="F1139" s="1">
        <f>VLOOKUP(jablka[[#This Row],[Nazwa]],cennik[],2,0) * jablka[[#This Row],[sprzedaż]]</f>
        <v>761.40000000000009</v>
      </c>
    </row>
    <row r="1140" spans="1:6" x14ac:dyDescent="0.25">
      <c r="A1140" s="2">
        <v>44729</v>
      </c>
      <c r="B1140" s="1" t="s">
        <v>13</v>
      </c>
      <c r="C1140" s="1" t="s">
        <v>68</v>
      </c>
      <c r="D1140" s="1" t="s">
        <v>59</v>
      </c>
      <c r="E1140">
        <v>137</v>
      </c>
      <c r="F1140" s="1">
        <f>VLOOKUP(jablka[[#This Row],[Nazwa]],cennik[],2,0) * jablka[[#This Row],[sprzedaż]]</f>
        <v>438.40000000000003</v>
      </c>
    </row>
    <row r="1141" spans="1:6" x14ac:dyDescent="0.25">
      <c r="A1141" s="2">
        <v>44729</v>
      </c>
      <c r="B1141" s="1" t="s">
        <v>14</v>
      </c>
      <c r="C1141" s="1" t="s">
        <v>67</v>
      </c>
      <c r="D1141" s="1" t="s">
        <v>48</v>
      </c>
      <c r="E1141">
        <v>491</v>
      </c>
      <c r="F1141" s="1">
        <f>VLOOKUP(jablka[[#This Row],[Nazwa]],cennik[],2,0) * jablka[[#This Row],[sprzedaż]]</f>
        <v>1718.5</v>
      </c>
    </row>
    <row r="1142" spans="1:6" x14ac:dyDescent="0.25">
      <c r="A1142" s="2">
        <v>44729</v>
      </c>
      <c r="B1142" s="1" t="s">
        <v>14</v>
      </c>
      <c r="C1142" s="1" t="s">
        <v>67</v>
      </c>
      <c r="D1142" s="1" t="s">
        <v>56</v>
      </c>
      <c r="E1142">
        <v>32</v>
      </c>
      <c r="F1142" s="1">
        <f>VLOOKUP(jablka[[#This Row],[Nazwa]],cennik[],2,0) * jablka[[#This Row],[sprzedaż]]</f>
        <v>112</v>
      </c>
    </row>
    <row r="1143" spans="1:6" x14ac:dyDescent="0.25">
      <c r="A1143" s="2">
        <v>44730</v>
      </c>
      <c r="B1143" s="1" t="s">
        <v>13</v>
      </c>
      <c r="C1143" s="1" t="s">
        <v>68</v>
      </c>
      <c r="D1143" s="1" t="s">
        <v>48</v>
      </c>
      <c r="E1143">
        <v>315</v>
      </c>
      <c r="F1143" s="1">
        <f>VLOOKUP(jablka[[#This Row],[Nazwa]],cennik[],2,0) * jablka[[#This Row],[sprzedaż]]</f>
        <v>1008</v>
      </c>
    </row>
    <row r="1144" spans="1:6" x14ac:dyDescent="0.25">
      <c r="A1144" s="2">
        <v>44730</v>
      </c>
      <c r="B1144" s="1" t="s">
        <v>12</v>
      </c>
      <c r="C1144" s="1" t="s">
        <v>68</v>
      </c>
      <c r="D1144" s="1" t="s">
        <v>57</v>
      </c>
      <c r="E1144">
        <v>43</v>
      </c>
      <c r="F1144" s="1">
        <f>VLOOKUP(jablka[[#This Row],[Nazwa]],cennik[],2,0) * jablka[[#This Row],[sprzedaż]]</f>
        <v>116.10000000000001</v>
      </c>
    </row>
    <row r="1145" spans="1:6" x14ac:dyDescent="0.25">
      <c r="A1145" s="2">
        <v>44730</v>
      </c>
      <c r="B1145" s="1" t="s">
        <v>13</v>
      </c>
      <c r="C1145" s="1" t="s">
        <v>68</v>
      </c>
      <c r="D1145" s="1" t="s">
        <v>60</v>
      </c>
      <c r="E1145">
        <v>256</v>
      </c>
      <c r="F1145" s="1">
        <f>VLOOKUP(jablka[[#This Row],[Nazwa]],cennik[],2,0) * jablka[[#This Row],[sprzedaż]]</f>
        <v>819.2</v>
      </c>
    </row>
    <row r="1146" spans="1:6" x14ac:dyDescent="0.25">
      <c r="A1146" s="2">
        <v>44730</v>
      </c>
      <c r="B1146" s="1" t="s">
        <v>13</v>
      </c>
      <c r="C1146" s="1" t="s">
        <v>68</v>
      </c>
      <c r="D1146" s="1" t="s">
        <v>46</v>
      </c>
      <c r="E1146">
        <v>38</v>
      </c>
      <c r="F1146" s="1">
        <f>VLOOKUP(jablka[[#This Row],[Nazwa]],cennik[],2,0) * jablka[[#This Row],[sprzedaż]]</f>
        <v>121.60000000000001</v>
      </c>
    </row>
    <row r="1147" spans="1:6" x14ac:dyDescent="0.25">
      <c r="A1147" s="2">
        <v>44730</v>
      </c>
      <c r="B1147" s="1" t="s">
        <v>12</v>
      </c>
      <c r="C1147" s="1" t="s">
        <v>68</v>
      </c>
      <c r="D1147" s="1" t="s">
        <v>44</v>
      </c>
      <c r="E1147">
        <v>492</v>
      </c>
      <c r="F1147" s="1">
        <f>VLOOKUP(jablka[[#This Row],[Nazwa]],cennik[],2,0) * jablka[[#This Row],[sprzedaż]]</f>
        <v>1328.4</v>
      </c>
    </row>
    <row r="1148" spans="1:6" x14ac:dyDescent="0.25">
      <c r="A1148" s="2">
        <v>44730</v>
      </c>
      <c r="B1148" s="1" t="s">
        <v>14</v>
      </c>
      <c r="C1148" s="1" t="s">
        <v>67</v>
      </c>
      <c r="D1148" s="1" t="s">
        <v>57</v>
      </c>
      <c r="E1148">
        <v>206</v>
      </c>
      <c r="F1148" s="1">
        <f>VLOOKUP(jablka[[#This Row],[Nazwa]],cennik[],2,0) * jablka[[#This Row],[sprzedaż]]</f>
        <v>721</v>
      </c>
    </row>
    <row r="1149" spans="1:6" x14ac:dyDescent="0.25">
      <c r="A1149" s="2">
        <v>44730</v>
      </c>
      <c r="B1149" s="1" t="s">
        <v>14</v>
      </c>
      <c r="C1149" s="1" t="s">
        <v>67</v>
      </c>
      <c r="D1149" s="1" t="s">
        <v>46</v>
      </c>
      <c r="E1149">
        <v>252</v>
      </c>
      <c r="F1149" s="1">
        <f>VLOOKUP(jablka[[#This Row],[Nazwa]],cennik[],2,0) * jablka[[#This Row],[sprzedaż]]</f>
        <v>882</v>
      </c>
    </row>
    <row r="1150" spans="1:6" x14ac:dyDescent="0.25">
      <c r="A1150" s="2">
        <v>44730</v>
      </c>
      <c r="B1150" s="1" t="s">
        <v>14</v>
      </c>
      <c r="C1150" s="1" t="s">
        <v>67</v>
      </c>
      <c r="D1150" s="1" t="s">
        <v>46</v>
      </c>
      <c r="E1150">
        <v>397</v>
      </c>
      <c r="F1150" s="1">
        <f>VLOOKUP(jablka[[#This Row],[Nazwa]],cennik[],2,0) * jablka[[#This Row],[sprzedaż]]</f>
        <v>1389.5</v>
      </c>
    </row>
    <row r="1151" spans="1:6" x14ac:dyDescent="0.25">
      <c r="A1151" s="2">
        <v>44730</v>
      </c>
      <c r="B1151" s="1" t="s">
        <v>12</v>
      </c>
      <c r="C1151" s="1" t="s">
        <v>68</v>
      </c>
      <c r="D1151" s="1" t="s">
        <v>46</v>
      </c>
      <c r="E1151">
        <v>295</v>
      </c>
      <c r="F1151" s="1">
        <f>VLOOKUP(jablka[[#This Row],[Nazwa]],cennik[],2,0) * jablka[[#This Row],[sprzedaż]]</f>
        <v>796.5</v>
      </c>
    </row>
    <row r="1152" spans="1:6" x14ac:dyDescent="0.25">
      <c r="A1152" s="2">
        <v>44732</v>
      </c>
      <c r="B1152" s="1" t="s">
        <v>12</v>
      </c>
      <c r="C1152" s="1" t="s">
        <v>68</v>
      </c>
      <c r="D1152" s="1" t="s">
        <v>46</v>
      </c>
      <c r="E1152">
        <v>12</v>
      </c>
      <c r="F1152" s="1">
        <f>VLOOKUP(jablka[[#This Row],[Nazwa]],cennik[],2,0) * jablka[[#This Row],[sprzedaż]]</f>
        <v>32.400000000000006</v>
      </c>
    </row>
    <row r="1153" spans="1:6" x14ac:dyDescent="0.25">
      <c r="A1153" s="2">
        <v>44732</v>
      </c>
      <c r="B1153" s="1" t="s">
        <v>12</v>
      </c>
      <c r="C1153" s="1" t="s">
        <v>68</v>
      </c>
      <c r="D1153" s="1" t="s">
        <v>64</v>
      </c>
      <c r="E1153">
        <v>14</v>
      </c>
      <c r="F1153" s="1">
        <f>VLOOKUP(jablka[[#This Row],[Nazwa]],cennik[],2,0) * jablka[[#This Row],[sprzedaż]]</f>
        <v>37.800000000000004</v>
      </c>
    </row>
    <row r="1154" spans="1:6" x14ac:dyDescent="0.25">
      <c r="A1154" s="2">
        <v>44732</v>
      </c>
      <c r="B1154" s="1" t="s">
        <v>13</v>
      </c>
      <c r="C1154" s="1" t="s">
        <v>68</v>
      </c>
      <c r="D1154" s="1" t="s">
        <v>63</v>
      </c>
      <c r="E1154">
        <v>177</v>
      </c>
      <c r="F1154" s="1">
        <f>VLOOKUP(jablka[[#This Row],[Nazwa]],cennik[],2,0) * jablka[[#This Row],[sprzedaż]]</f>
        <v>566.4</v>
      </c>
    </row>
    <row r="1155" spans="1:6" x14ac:dyDescent="0.25">
      <c r="A1155" s="2">
        <v>44732</v>
      </c>
      <c r="B1155" s="1" t="s">
        <v>13</v>
      </c>
      <c r="C1155" s="1" t="s">
        <v>68</v>
      </c>
      <c r="D1155" s="1" t="s">
        <v>36</v>
      </c>
      <c r="E1155">
        <v>103</v>
      </c>
      <c r="F1155" s="1">
        <f>VLOOKUP(jablka[[#This Row],[Nazwa]],cennik[],2,0) * jablka[[#This Row],[sprzedaż]]</f>
        <v>329.6</v>
      </c>
    </row>
    <row r="1156" spans="1:6" x14ac:dyDescent="0.25">
      <c r="A1156" s="2">
        <v>44733</v>
      </c>
      <c r="B1156" s="1" t="s">
        <v>14</v>
      </c>
      <c r="C1156" s="1" t="s">
        <v>67</v>
      </c>
      <c r="D1156" s="1" t="s">
        <v>50</v>
      </c>
      <c r="E1156">
        <v>440</v>
      </c>
      <c r="F1156" s="1">
        <f>VLOOKUP(jablka[[#This Row],[Nazwa]],cennik[],2,0) * jablka[[#This Row],[sprzedaż]]</f>
        <v>1540</v>
      </c>
    </row>
    <row r="1157" spans="1:6" x14ac:dyDescent="0.25">
      <c r="A1157" s="2">
        <v>44733</v>
      </c>
      <c r="B1157" s="1" t="s">
        <v>14</v>
      </c>
      <c r="C1157" s="1" t="s">
        <v>67</v>
      </c>
      <c r="D1157" s="1" t="s">
        <v>44</v>
      </c>
      <c r="E1157">
        <v>287</v>
      </c>
      <c r="F1157" s="1">
        <f>VLOOKUP(jablka[[#This Row],[Nazwa]],cennik[],2,0) * jablka[[#This Row],[sprzedaż]]</f>
        <v>1004.5</v>
      </c>
    </row>
    <row r="1158" spans="1:6" x14ac:dyDescent="0.25">
      <c r="A1158" s="2">
        <v>44733</v>
      </c>
      <c r="B1158" s="1" t="s">
        <v>13</v>
      </c>
      <c r="C1158" s="1" t="s">
        <v>68</v>
      </c>
      <c r="D1158" s="1" t="s">
        <v>24</v>
      </c>
      <c r="E1158">
        <v>55</v>
      </c>
      <c r="F1158" s="1">
        <f>VLOOKUP(jablka[[#This Row],[Nazwa]],cennik[],2,0) * jablka[[#This Row],[sprzedaż]]</f>
        <v>176</v>
      </c>
    </row>
    <row r="1159" spans="1:6" x14ac:dyDescent="0.25">
      <c r="A1159" s="2">
        <v>44733</v>
      </c>
      <c r="B1159" s="1" t="s">
        <v>13</v>
      </c>
      <c r="C1159" s="1" t="s">
        <v>68</v>
      </c>
      <c r="D1159" s="1" t="s">
        <v>43</v>
      </c>
      <c r="E1159">
        <v>83</v>
      </c>
      <c r="F1159" s="1">
        <f>VLOOKUP(jablka[[#This Row],[Nazwa]],cennik[],2,0) * jablka[[#This Row],[sprzedaż]]</f>
        <v>265.60000000000002</v>
      </c>
    </row>
    <row r="1160" spans="1:6" x14ac:dyDescent="0.25">
      <c r="A1160" s="2">
        <v>44733</v>
      </c>
      <c r="B1160" s="1" t="s">
        <v>13</v>
      </c>
      <c r="C1160" s="1" t="s">
        <v>68</v>
      </c>
      <c r="D1160" s="1" t="s">
        <v>59</v>
      </c>
      <c r="E1160">
        <v>75</v>
      </c>
      <c r="F1160" s="1">
        <f>VLOOKUP(jablka[[#This Row],[Nazwa]],cennik[],2,0) * jablka[[#This Row],[sprzedaż]]</f>
        <v>240</v>
      </c>
    </row>
    <row r="1161" spans="1:6" x14ac:dyDescent="0.25">
      <c r="A1161" s="2">
        <v>44733</v>
      </c>
      <c r="B1161" s="1" t="s">
        <v>13</v>
      </c>
      <c r="C1161" s="1" t="s">
        <v>68</v>
      </c>
      <c r="D1161" s="1" t="s">
        <v>19</v>
      </c>
      <c r="E1161">
        <v>358</v>
      </c>
      <c r="F1161" s="1">
        <f>VLOOKUP(jablka[[#This Row],[Nazwa]],cennik[],2,0) * jablka[[#This Row],[sprzedaż]]</f>
        <v>1145.6000000000001</v>
      </c>
    </row>
    <row r="1162" spans="1:6" x14ac:dyDescent="0.25">
      <c r="A1162" s="2">
        <v>44734</v>
      </c>
      <c r="B1162" s="1" t="s">
        <v>12</v>
      </c>
      <c r="C1162" s="1" t="s">
        <v>68</v>
      </c>
      <c r="D1162" s="1" t="s">
        <v>20</v>
      </c>
      <c r="E1162">
        <v>288</v>
      </c>
      <c r="F1162" s="1">
        <f>VLOOKUP(jablka[[#This Row],[Nazwa]],cennik[],2,0) * jablka[[#This Row],[sprzedaż]]</f>
        <v>777.6</v>
      </c>
    </row>
    <row r="1163" spans="1:6" x14ac:dyDescent="0.25">
      <c r="A1163" s="2">
        <v>44734</v>
      </c>
      <c r="B1163" s="1" t="s">
        <v>13</v>
      </c>
      <c r="C1163" s="1" t="s">
        <v>68</v>
      </c>
      <c r="D1163" s="1" t="s">
        <v>39</v>
      </c>
      <c r="E1163">
        <v>266</v>
      </c>
      <c r="F1163" s="1">
        <f>VLOOKUP(jablka[[#This Row],[Nazwa]],cennik[],2,0) * jablka[[#This Row],[sprzedaż]]</f>
        <v>851.2</v>
      </c>
    </row>
    <row r="1164" spans="1:6" x14ac:dyDescent="0.25">
      <c r="A1164" s="2">
        <v>44734</v>
      </c>
      <c r="B1164" s="1" t="s">
        <v>14</v>
      </c>
      <c r="C1164" s="1" t="s">
        <v>67</v>
      </c>
      <c r="D1164" s="1" t="s">
        <v>36</v>
      </c>
      <c r="E1164">
        <v>480</v>
      </c>
      <c r="F1164" s="1">
        <f>VLOOKUP(jablka[[#This Row],[Nazwa]],cennik[],2,0) * jablka[[#This Row],[sprzedaż]]</f>
        <v>1680</v>
      </c>
    </row>
    <row r="1165" spans="1:6" x14ac:dyDescent="0.25">
      <c r="A1165" s="2">
        <v>44734</v>
      </c>
      <c r="B1165" s="1" t="s">
        <v>14</v>
      </c>
      <c r="C1165" s="1" t="s">
        <v>67</v>
      </c>
      <c r="D1165" s="1" t="s">
        <v>51</v>
      </c>
      <c r="E1165">
        <v>174</v>
      </c>
      <c r="F1165" s="1">
        <f>VLOOKUP(jablka[[#This Row],[Nazwa]],cennik[],2,0) * jablka[[#This Row],[sprzedaż]]</f>
        <v>609</v>
      </c>
    </row>
    <row r="1166" spans="1:6" x14ac:dyDescent="0.25">
      <c r="A1166" s="2">
        <v>44734</v>
      </c>
      <c r="B1166" s="1" t="s">
        <v>14</v>
      </c>
      <c r="C1166" s="1" t="s">
        <v>67</v>
      </c>
      <c r="D1166" s="1" t="s">
        <v>28</v>
      </c>
      <c r="E1166">
        <v>247</v>
      </c>
      <c r="F1166" s="1">
        <f>VLOOKUP(jablka[[#This Row],[Nazwa]],cennik[],2,0) * jablka[[#This Row],[sprzedaż]]</f>
        <v>864.5</v>
      </c>
    </row>
    <row r="1167" spans="1:6" x14ac:dyDescent="0.25">
      <c r="A1167" s="2">
        <v>44735</v>
      </c>
      <c r="B1167" s="1" t="s">
        <v>13</v>
      </c>
      <c r="C1167" s="1" t="s">
        <v>68</v>
      </c>
      <c r="D1167" s="1" t="s">
        <v>21</v>
      </c>
      <c r="E1167">
        <v>461</v>
      </c>
      <c r="F1167" s="1">
        <f>VLOOKUP(jablka[[#This Row],[Nazwa]],cennik[],2,0) * jablka[[#This Row],[sprzedaż]]</f>
        <v>1475.2</v>
      </c>
    </row>
    <row r="1168" spans="1:6" x14ac:dyDescent="0.25">
      <c r="A1168" s="2">
        <v>44735</v>
      </c>
      <c r="B1168" s="1" t="s">
        <v>12</v>
      </c>
      <c r="C1168" s="1" t="s">
        <v>68</v>
      </c>
      <c r="D1168" s="1" t="s">
        <v>28</v>
      </c>
      <c r="E1168">
        <v>230</v>
      </c>
      <c r="F1168" s="1">
        <f>VLOOKUP(jablka[[#This Row],[Nazwa]],cennik[],2,0) * jablka[[#This Row],[sprzedaż]]</f>
        <v>621</v>
      </c>
    </row>
    <row r="1169" spans="1:6" x14ac:dyDescent="0.25">
      <c r="A1169" s="2">
        <v>44735</v>
      </c>
      <c r="B1169" s="1" t="s">
        <v>14</v>
      </c>
      <c r="C1169" s="1" t="s">
        <v>67</v>
      </c>
      <c r="D1169" s="1" t="s">
        <v>31</v>
      </c>
      <c r="E1169">
        <v>339</v>
      </c>
      <c r="F1169" s="1">
        <f>VLOOKUP(jablka[[#This Row],[Nazwa]],cennik[],2,0) * jablka[[#This Row],[sprzedaż]]</f>
        <v>1186.5</v>
      </c>
    </row>
    <row r="1170" spans="1:6" x14ac:dyDescent="0.25">
      <c r="A1170" s="2">
        <v>44735</v>
      </c>
      <c r="B1170" s="1" t="s">
        <v>13</v>
      </c>
      <c r="C1170" s="1" t="s">
        <v>68</v>
      </c>
      <c r="D1170" s="1" t="s">
        <v>63</v>
      </c>
      <c r="E1170">
        <v>435</v>
      </c>
      <c r="F1170" s="1">
        <f>VLOOKUP(jablka[[#This Row],[Nazwa]],cennik[],2,0) * jablka[[#This Row],[sprzedaż]]</f>
        <v>1392</v>
      </c>
    </row>
    <row r="1171" spans="1:6" x14ac:dyDescent="0.25">
      <c r="A1171" s="2">
        <v>44735</v>
      </c>
      <c r="B1171" s="1" t="s">
        <v>14</v>
      </c>
      <c r="C1171" s="1" t="s">
        <v>67</v>
      </c>
      <c r="D1171" s="1" t="s">
        <v>34</v>
      </c>
      <c r="E1171">
        <v>352</v>
      </c>
      <c r="F1171" s="1">
        <f>VLOOKUP(jablka[[#This Row],[Nazwa]],cennik[],2,0) * jablka[[#This Row],[sprzedaż]]</f>
        <v>1232</v>
      </c>
    </row>
    <row r="1172" spans="1:6" x14ac:dyDescent="0.25">
      <c r="A1172" s="2">
        <v>44735</v>
      </c>
      <c r="B1172" s="1" t="s">
        <v>12</v>
      </c>
      <c r="C1172" s="1" t="s">
        <v>68</v>
      </c>
      <c r="D1172" s="1" t="s">
        <v>23</v>
      </c>
      <c r="E1172">
        <v>345</v>
      </c>
      <c r="F1172" s="1">
        <f>VLOOKUP(jablka[[#This Row],[Nazwa]],cennik[],2,0) * jablka[[#This Row],[sprzedaż]]</f>
        <v>931.50000000000011</v>
      </c>
    </row>
    <row r="1173" spans="1:6" x14ac:dyDescent="0.25">
      <c r="A1173" s="2">
        <v>44735</v>
      </c>
      <c r="B1173" s="1" t="s">
        <v>12</v>
      </c>
      <c r="C1173" s="1" t="s">
        <v>68</v>
      </c>
      <c r="D1173" s="1" t="s">
        <v>36</v>
      </c>
      <c r="E1173">
        <v>124</v>
      </c>
      <c r="F1173" s="1">
        <f>VLOOKUP(jablka[[#This Row],[Nazwa]],cennik[],2,0) * jablka[[#This Row],[sprzedaż]]</f>
        <v>334.8</v>
      </c>
    </row>
    <row r="1174" spans="1:6" x14ac:dyDescent="0.25">
      <c r="A1174" s="2">
        <v>44735</v>
      </c>
      <c r="B1174" s="1" t="s">
        <v>14</v>
      </c>
      <c r="C1174" s="1" t="s">
        <v>67</v>
      </c>
      <c r="D1174" s="1" t="s">
        <v>46</v>
      </c>
      <c r="E1174">
        <v>189</v>
      </c>
      <c r="F1174" s="1">
        <f>VLOOKUP(jablka[[#This Row],[Nazwa]],cennik[],2,0) * jablka[[#This Row],[sprzedaż]]</f>
        <v>661.5</v>
      </c>
    </row>
    <row r="1175" spans="1:6" x14ac:dyDescent="0.25">
      <c r="A1175" s="2">
        <v>44735</v>
      </c>
      <c r="B1175" s="1" t="s">
        <v>13</v>
      </c>
      <c r="C1175" s="1" t="s">
        <v>68</v>
      </c>
      <c r="D1175" s="1" t="s">
        <v>29</v>
      </c>
      <c r="E1175">
        <v>115</v>
      </c>
      <c r="F1175" s="1">
        <f>VLOOKUP(jablka[[#This Row],[Nazwa]],cennik[],2,0) * jablka[[#This Row],[sprzedaż]]</f>
        <v>368</v>
      </c>
    </row>
    <row r="1176" spans="1:6" x14ac:dyDescent="0.25">
      <c r="A1176" s="2">
        <v>44736</v>
      </c>
      <c r="B1176" s="1" t="s">
        <v>14</v>
      </c>
      <c r="C1176" s="1" t="s">
        <v>67</v>
      </c>
      <c r="D1176" s="1" t="s">
        <v>47</v>
      </c>
      <c r="E1176">
        <v>485</v>
      </c>
      <c r="F1176" s="1">
        <f>VLOOKUP(jablka[[#This Row],[Nazwa]],cennik[],2,0) * jablka[[#This Row],[sprzedaż]]</f>
        <v>1697.5</v>
      </c>
    </row>
    <row r="1177" spans="1:6" x14ac:dyDescent="0.25">
      <c r="A1177" s="2">
        <v>44736</v>
      </c>
      <c r="B1177" s="1" t="s">
        <v>14</v>
      </c>
      <c r="C1177" s="1" t="s">
        <v>67</v>
      </c>
      <c r="D1177" s="1" t="s">
        <v>21</v>
      </c>
      <c r="E1177">
        <v>330</v>
      </c>
      <c r="F1177" s="1">
        <f>VLOOKUP(jablka[[#This Row],[Nazwa]],cennik[],2,0) * jablka[[#This Row],[sprzedaż]]</f>
        <v>1155</v>
      </c>
    </row>
    <row r="1178" spans="1:6" x14ac:dyDescent="0.25">
      <c r="A1178" s="2">
        <v>44736</v>
      </c>
      <c r="B1178" s="1" t="s">
        <v>13</v>
      </c>
      <c r="C1178" s="1" t="s">
        <v>68</v>
      </c>
      <c r="D1178" s="1" t="s">
        <v>27</v>
      </c>
      <c r="E1178">
        <v>53</v>
      </c>
      <c r="F1178" s="1">
        <f>VLOOKUP(jablka[[#This Row],[Nazwa]],cennik[],2,0) * jablka[[#This Row],[sprzedaż]]</f>
        <v>169.60000000000002</v>
      </c>
    </row>
    <row r="1179" spans="1:6" x14ac:dyDescent="0.25">
      <c r="A1179" s="2">
        <v>44736</v>
      </c>
      <c r="B1179" s="1" t="s">
        <v>12</v>
      </c>
      <c r="C1179" s="1" t="s">
        <v>68</v>
      </c>
      <c r="D1179" s="1" t="s">
        <v>53</v>
      </c>
      <c r="E1179">
        <v>264</v>
      </c>
      <c r="F1179" s="1">
        <f>VLOOKUP(jablka[[#This Row],[Nazwa]],cennik[],2,0) * jablka[[#This Row],[sprzedaż]]</f>
        <v>712.80000000000007</v>
      </c>
    </row>
    <row r="1180" spans="1:6" x14ac:dyDescent="0.25">
      <c r="A1180" s="2">
        <v>44736</v>
      </c>
      <c r="B1180" s="1" t="s">
        <v>14</v>
      </c>
      <c r="C1180" s="1" t="s">
        <v>67</v>
      </c>
      <c r="D1180" s="1" t="s">
        <v>44</v>
      </c>
      <c r="E1180">
        <v>166</v>
      </c>
      <c r="F1180" s="1">
        <f>VLOOKUP(jablka[[#This Row],[Nazwa]],cennik[],2,0) * jablka[[#This Row],[sprzedaż]]</f>
        <v>581</v>
      </c>
    </row>
    <row r="1181" spans="1:6" x14ac:dyDescent="0.25">
      <c r="A1181" s="2">
        <v>44736</v>
      </c>
      <c r="B1181" s="1" t="s">
        <v>12</v>
      </c>
      <c r="C1181" s="1" t="s">
        <v>68</v>
      </c>
      <c r="D1181" s="1" t="s">
        <v>51</v>
      </c>
      <c r="E1181">
        <v>277</v>
      </c>
      <c r="F1181" s="1">
        <f>VLOOKUP(jablka[[#This Row],[Nazwa]],cennik[],2,0) * jablka[[#This Row],[sprzedaż]]</f>
        <v>747.90000000000009</v>
      </c>
    </row>
    <row r="1182" spans="1:6" x14ac:dyDescent="0.25">
      <c r="A1182" s="2">
        <v>44736</v>
      </c>
      <c r="B1182" s="1" t="s">
        <v>14</v>
      </c>
      <c r="C1182" s="1" t="s">
        <v>67</v>
      </c>
      <c r="D1182" s="1" t="s">
        <v>39</v>
      </c>
      <c r="E1182">
        <v>249</v>
      </c>
      <c r="F1182" s="1">
        <f>VLOOKUP(jablka[[#This Row],[Nazwa]],cennik[],2,0) * jablka[[#This Row],[sprzedaż]]</f>
        <v>871.5</v>
      </c>
    </row>
    <row r="1183" spans="1:6" x14ac:dyDescent="0.25">
      <c r="A1183" s="2">
        <v>44736</v>
      </c>
      <c r="B1183" s="1" t="s">
        <v>14</v>
      </c>
      <c r="C1183" s="1" t="s">
        <v>67</v>
      </c>
      <c r="D1183" s="1" t="s">
        <v>30</v>
      </c>
      <c r="E1183">
        <v>109</v>
      </c>
      <c r="F1183" s="1">
        <f>VLOOKUP(jablka[[#This Row],[Nazwa]],cennik[],2,0) * jablka[[#This Row],[sprzedaż]]</f>
        <v>381.5</v>
      </c>
    </row>
    <row r="1184" spans="1:6" x14ac:dyDescent="0.25">
      <c r="A1184" s="2">
        <v>44736</v>
      </c>
      <c r="B1184" s="1" t="s">
        <v>14</v>
      </c>
      <c r="C1184" s="1" t="s">
        <v>67</v>
      </c>
      <c r="D1184" s="1" t="s">
        <v>20</v>
      </c>
      <c r="E1184">
        <v>337</v>
      </c>
      <c r="F1184" s="1">
        <f>VLOOKUP(jablka[[#This Row],[Nazwa]],cennik[],2,0) * jablka[[#This Row],[sprzedaż]]</f>
        <v>1179.5</v>
      </c>
    </row>
    <row r="1185" spans="1:6" x14ac:dyDescent="0.25">
      <c r="A1185" s="2">
        <v>44736</v>
      </c>
      <c r="B1185" s="1" t="s">
        <v>12</v>
      </c>
      <c r="C1185" s="1" t="s">
        <v>68</v>
      </c>
      <c r="D1185" s="1" t="s">
        <v>18</v>
      </c>
      <c r="E1185">
        <v>58</v>
      </c>
      <c r="F1185" s="1">
        <f>VLOOKUP(jablka[[#This Row],[Nazwa]],cennik[],2,0) * jablka[[#This Row],[sprzedaż]]</f>
        <v>156.60000000000002</v>
      </c>
    </row>
    <row r="1186" spans="1:6" x14ac:dyDescent="0.25">
      <c r="A1186" s="2">
        <v>44736</v>
      </c>
      <c r="B1186" s="1" t="s">
        <v>12</v>
      </c>
      <c r="C1186" s="1" t="s">
        <v>68</v>
      </c>
      <c r="D1186" s="1" t="s">
        <v>64</v>
      </c>
      <c r="E1186">
        <v>473</v>
      </c>
      <c r="F1186" s="1">
        <f>VLOOKUP(jablka[[#This Row],[Nazwa]],cennik[],2,0) * jablka[[#This Row],[sprzedaż]]</f>
        <v>1277.1000000000001</v>
      </c>
    </row>
    <row r="1187" spans="1:6" x14ac:dyDescent="0.25">
      <c r="A1187" s="2">
        <v>44736</v>
      </c>
      <c r="B1187" s="1" t="s">
        <v>12</v>
      </c>
      <c r="C1187" s="1" t="s">
        <v>68</v>
      </c>
      <c r="D1187" s="1" t="s">
        <v>20</v>
      </c>
      <c r="E1187">
        <v>269</v>
      </c>
      <c r="F1187" s="1">
        <f>VLOOKUP(jablka[[#This Row],[Nazwa]],cennik[],2,0) * jablka[[#This Row],[sprzedaż]]</f>
        <v>726.30000000000007</v>
      </c>
    </row>
    <row r="1188" spans="1:6" x14ac:dyDescent="0.25">
      <c r="A1188" s="2">
        <v>44736</v>
      </c>
      <c r="B1188" s="1" t="s">
        <v>13</v>
      </c>
      <c r="C1188" s="1" t="s">
        <v>68</v>
      </c>
      <c r="D1188" s="1" t="s">
        <v>44</v>
      </c>
      <c r="E1188">
        <v>52</v>
      </c>
      <c r="F1188" s="1">
        <f>VLOOKUP(jablka[[#This Row],[Nazwa]],cennik[],2,0) * jablka[[#This Row],[sprzedaż]]</f>
        <v>166.4</v>
      </c>
    </row>
    <row r="1189" spans="1:6" x14ac:dyDescent="0.25">
      <c r="A1189" s="2">
        <v>44736</v>
      </c>
      <c r="B1189" s="1" t="s">
        <v>13</v>
      </c>
      <c r="C1189" s="1" t="s">
        <v>68</v>
      </c>
      <c r="D1189" s="1" t="s">
        <v>49</v>
      </c>
      <c r="E1189">
        <v>384</v>
      </c>
      <c r="F1189" s="1">
        <f>VLOOKUP(jablka[[#This Row],[Nazwa]],cennik[],2,0) * jablka[[#This Row],[sprzedaż]]</f>
        <v>1228.8000000000002</v>
      </c>
    </row>
    <row r="1190" spans="1:6" x14ac:dyDescent="0.25">
      <c r="A1190" s="2">
        <v>44737</v>
      </c>
      <c r="B1190" s="1" t="s">
        <v>13</v>
      </c>
      <c r="C1190" s="1" t="s">
        <v>68</v>
      </c>
      <c r="D1190" s="1" t="s">
        <v>54</v>
      </c>
      <c r="E1190">
        <v>320</v>
      </c>
      <c r="F1190" s="1">
        <f>VLOOKUP(jablka[[#This Row],[Nazwa]],cennik[],2,0) * jablka[[#This Row],[sprzedaż]]</f>
        <v>1024</v>
      </c>
    </row>
    <row r="1191" spans="1:6" x14ac:dyDescent="0.25">
      <c r="A1191" s="2">
        <v>44737</v>
      </c>
      <c r="B1191" s="1" t="s">
        <v>14</v>
      </c>
      <c r="C1191" s="1" t="s">
        <v>67</v>
      </c>
      <c r="D1191" s="1" t="s">
        <v>62</v>
      </c>
      <c r="E1191">
        <v>269</v>
      </c>
      <c r="F1191" s="1">
        <f>VLOOKUP(jablka[[#This Row],[Nazwa]],cennik[],2,0) * jablka[[#This Row],[sprzedaż]]</f>
        <v>941.5</v>
      </c>
    </row>
    <row r="1192" spans="1:6" x14ac:dyDescent="0.25">
      <c r="A1192" s="2">
        <v>44737</v>
      </c>
      <c r="B1192" s="1" t="s">
        <v>14</v>
      </c>
      <c r="C1192" s="1" t="s">
        <v>67</v>
      </c>
      <c r="D1192" s="1" t="s">
        <v>64</v>
      </c>
      <c r="E1192">
        <v>387</v>
      </c>
      <c r="F1192" s="1">
        <f>VLOOKUP(jablka[[#This Row],[Nazwa]],cennik[],2,0) * jablka[[#This Row],[sprzedaż]]</f>
        <v>1354.5</v>
      </c>
    </row>
    <row r="1193" spans="1:6" x14ac:dyDescent="0.25">
      <c r="A1193" s="2">
        <v>44737</v>
      </c>
      <c r="B1193" s="1" t="s">
        <v>13</v>
      </c>
      <c r="C1193" s="1" t="s">
        <v>68</v>
      </c>
      <c r="D1193" s="1" t="s">
        <v>53</v>
      </c>
      <c r="E1193">
        <v>452</v>
      </c>
      <c r="F1193" s="1">
        <f>VLOOKUP(jablka[[#This Row],[Nazwa]],cennik[],2,0) * jablka[[#This Row],[sprzedaż]]</f>
        <v>1446.4</v>
      </c>
    </row>
    <row r="1194" spans="1:6" x14ac:dyDescent="0.25">
      <c r="A1194" s="2">
        <v>44737</v>
      </c>
      <c r="B1194" s="1" t="s">
        <v>12</v>
      </c>
      <c r="C1194" s="1" t="s">
        <v>68</v>
      </c>
      <c r="D1194" s="1" t="s">
        <v>45</v>
      </c>
      <c r="E1194">
        <v>61</v>
      </c>
      <c r="F1194" s="1">
        <f>VLOOKUP(jablka[[#This Row],[Nazwa]],cennik[],2,0) * jablka[[#This Row],[sprzedaż]]</f>
        <v>164.70000000000002</v>
      </c>
    </row>
    <row r="1195" spans="1:6" x14ac:dyDescent="0.25">
      <c r="A1195" s="2">
        <v>44737</v>
      </c>
      <c r="B1195" s="1" t="s">
        <v>14</v>
      </c>
      <c r="C1195" s="1" t="s">
        <v>67</v>
      </c>
      <c r="D1195" s="1" t="s">
        <v>60</v>
      </c>
      <c r="E1195">
        <v>52</v>
      </c>
      <c r="F1195" s="1">
        <f>VLOOKUP(jablka[[#This Row],[Nazwa]],cennik[],2,0) * jablka[[#This Row],[sprzedaż]]</f>
        <v>182</v>
      </c>
    </row>
    <row r="1196" spans="1:6" x14ac:dyDescent="0.25">
      <c r="A1196" s="2">
        <v>44737</v>
      </c>
      <c r="B1196" s="1" t="s">
        <v>13</v>
      </c>
      <c r="C1196" s="1" t="s">
        <v>68</v>
      </c>
      <c r="D1196" s="1" t="s">
        <v>42</v>
      </c>
      <c r="E1196">
        <v>182</v>
      </c>
      <c r="F1196" s="1">
        <f>VLOOKUP(jablka[[#This Row],[Nazwa]],cennik[],2,0) * jablka[[#This Row],[sprzedaż]]</f>
        <v>582.4</v>
      </c>
    </row>
    <row r="1197" spans="1:6" x14ac:dyDescent="0.25">
      <c r="A1197" s="2">
        <v>44737</v>
      </c>
      <c r="B1197" s="1" t="s">
        <v>13</v>
      </c>
      <c r="C1197" s="1" t="s">
        <v>68</v>
      </c>
      <c r="D1197" s="1" t="s">
        <v>32</v>
      </c>
      <c r="E1197">
        <v>50</v>
      </c>
      <c r="F1197" s="1">
        <f>VLOOKUP(jablka[[#This Row],[Nazwa]],cennik[],2,0) * jablka[[#This Row],[sprzedaż]]</f>
        <v>160</v>
      </c>
    </row>
    <row r="1198" spans="1:6" x14ac:dyDescent="0.25">
      <c r="A1198" s="2">
        <v>44739</v>
      </c>
      <c r="B1198" s="1" t="s">
        <v>12</v>
      </c>
      <c r="C1198" s="1" t="s">
        <v>68</v>
      </c>
      <c r="D1198" s="1" t="s">
        <v>19</v>
      </c>
      <c r="E1198">
        <v>200</v>
      </c>
      <c r="F1198" s="1">
        <f>VLOOKUP(jablka[[#This Row],[Nazwa]],cennik[],2,0) * jablka[[#This Row],[sprzedaż]]</f>
        <v>540</v>
      </c>
    </row>
    <row r="1199" spans="1:6" x14ac:dyDescent="0.25">
      <c r="A1199" s="2">
        <v>44739</v>
      </c>
      <c r="B1199" s="1" t="s">
        <v>13</v>
      </c>
      <c r="C1199" s="1" t="s">
        <v>68</v>
      </c>
      <c r="D1199" s="1" t="s">
        <v>31</v>
      </c>
      <c r="E1199">
        <v>132</v>
      </c>
      <c r="F1199" s="1">
        <f>VLOOKUP(jablka[[#This Row],[Nazwa]],cennik[],2,0) * jablka[[#This Row],[sprzedaż]]</f>
        <v>422.40000000000003</v>
      </c>
    </row>
    <row r="1200" spans="1:6" x14ac:dyDescent="0.25">
      <c r="A1200" s="2">
        <v>44739</v>
      </c>
      <c r="B1200" s="1" t="s">
        <v>14</v>
      </c>
      <c r="C1200" s="1" t="s">
        <v>67</v>
      </c>
      <c r="D1200" s="1" t="s">
        <v>32</v>
      </c>
      <c r="E1200">
        <v>44</v>
      </c>
      <c r="F1200" s="1">
        <f>VLOOKUP(jablka[[#This Row],[Nazwa]],cennik[],2,0) * jablka[[#This Row],[sprzedaż]]</f>
        <v>154</v>
      </c>
    </row>
    <row r="1201" spans="1:6" x14ac:dyDescent="0.25">
      <c r="A1201" s="2">
        <v>44739</v>
      </c>
      <c r="B1201" s="1" t="s">
        <v>12</v>
      </c>
      <c r="C1201" s="1" t="s">
        <v>68</v>
      </c>
      <c r="D1201" s="1" t="s">
        <v>46</v>
      </c>
      <c r="E1201">
        <v>65</v>
      </c>
      <c r="F1201" s="1">
        <f>VLOOKUP(jablka[[#This Row],[Nazwa]],cennik[],2,0) * jablka[[#This Row],[sprzedaż]]</f>
        <v>175.5</v>
      </c>
    </row>
    <row r="1202" spans="1:6" x14ac:dyDescent="0.25">
      <c r="A1202" s="2">
        <v>44739</v>
      </c>
      <c r="B1202" s="1" t="s">
        <v>12</v>
      </c>
      <c r="C1202" s="1" t="s">
        <v>68</v>
      </c>
      <c r="D1202" s="1" t="s">
        <v>59</v>
      </c>
      <c r="E1202">
        <v>183</v>
      </c>
      <c r="F1202" s="1">
        <f>VLOOKUP(jablka[[#This Row],[Nazwa]],cennik[],2,0) * jablka[[#This Row],[sprzedaż]]</f>
        <v>494.1</v>
      </c>
    </row>
    <row r="1203" spans="1:6" x14ac:dyDescent="0.25">
      <c r="A1203" s="2">
        <v>44739</v>
      </c>
      <c r="B1203" s="1" t="s">
        <v>12</v>
      </c>
      <c r="C1203" s="1" t="s">
        <v>68</v>
      </c>
      <c r="D1203" s="1" t="s">
        <v>31</v>
      </c>
      <c r="E1203">
        <v>403</v>
      </c>
      <c r="F1203" s="1">
        <f>VLOOKUP(jablka[[#This Row],[Nazwa]],cennik[],2,0) * jablka[[#This Row],[sprzedaż]]</f>
        <v>1088.1000000000001</v>
      </c>
    </row>
    <row r="1204" spans="1:6" x14ac:dyDescent="0.25">
      <c r="A1204" s="2">
        <v>44739</v>
      </c>
      <c r="B1204" s="1" t="s">
        <v>13</v>
      </c>
      <c r="C1204" s="1" t="s">
        <v>68</v>
      </c>
      <c r="D1204" s="1" t="s">
        <v>22</v>
      </c>
      <c r="E1204">
        <v>132</v>
      </c>
      <c r="F1204" s="1">
        <f>VLOOKUP(jablka[[#This Row],[Nazwa]],cennik[],2,0) * jablka[[#This Row],[sprzedaż]]</f>
        <v>422.40000000000003</v>
      </c>
    </row>
    <row r="1205" spans="1:6" x14ac:dyDescent="0.25">
      <c r="A1205" s="2">
        <v>44739</v>
      </c>
      <c r="B1205" s="1" t="s">
        <v>12</v>
      </c>
      <c r="C1205" s="1" t="s">
        <v>68</v>
      </c>
      <c r="D1205" s="1" t="s">
        <v>63</v>
      </c>
      <c r="E1205">
        <v>177</v>
      </c>
      <c r="F1205" s="1">
        <f>VLOOKUP(jablka[[#This Row],[Nazwa]],cennik[],2,0) * jablka[[#This Row],[sprzedaż]]</f>
        <v>477.90000000000003</v>
      </c>
    </row>
    <row r="1206" spans="1:6" x14ac:dyDescent="0.25">
      <c r="A1206" s="2">
        <v>44739</v>
      </c>
      <c r="B1206" s="1" t="s">
        <v>13</v>
      </c>
      <c r="C1206" s="1" t="s">
        <v>68</v>
      </c>
      <c r="D1206" s="1" t="s">
        <v>48</v>
      </c>
      <c r="E1206">
        <v>499</v>
      </c>
      <c r="F1206" s="1">
        <f>VLOOKUP(jablka[[#This Row],[Nazwa]],cennik[],2,0) * jablka[[#This Row],[sprzedaż]]</f>
        <v>1596.8000000000002</v>
      </c>
    </row>
    <row r="1207" spans="1:6" x14ac:dyDescent="0.25">
      <c r="A1207" s="2">
        <v>44739</v>
      </c>
      <c r="B1207" s="1" t="s">
        <v>12</v>
      </c>
      <c r="C1207" s="1" t="s">
        <v>68</v>
      </c>
      <c r="D1207" s="1" t="s">
        <v>38</v>
      </c>
      <c r="E1207">
        <v>20</v>
      </c>
      <c r="F1207" s="1">
        <f>VLOOKUP(jablka[[#This Row],[Nazwa]],cennik[],2,0) * jablka[[#This Row],[sprzedaż]]</f>
        <v>54</v>
      </c>
    </row>
    <row r="1208" spans="1:6" x14ac:dyDescent="0.25">
      <c r="A1208" s="2">
        <v>44739</v>
      </c>
      <c r="B1208" s="1" t="s">
        <v>14</v>
      </c>
      <c r="C1208" s="1" t="s">
        <v>67</v>
      </c>
      <c r="D1208" s="1" t="s">
        <v>22</v>
      </c>
      <c r="E1208">
        <v>181</v>
      </c>
      <c r="F1208" s="1">
        <f>VLOOKUP(jablka[[#This Row],[Nazwa]],cennik[],2,0) * jablka[[#This Row],[sprzedaż]]</f>
        <v>633.5</v>
      </c>
    </row>
    <row r="1209" spans="1:6" x14ac:dyDescent="0.25">
      <c r="A1209" s="2">
        <v>44739</v>
      </c>
      <c r="B1209" s="1" t="s">
        <v>14</v>
      </c>
      <c r="C1209" s="1" t="s">
        <v>67</v>
      </c>
      <c r="D1209" s="1" t="s">
        <v>62</v>
      </c>
      <c r="E1209">
        <v>315</v>
      </c>
      <c r="F1209" s="1">
        <f>VLOOKUP(jablka[[#This Row],[Nazwa]],cennik[],2,0) * jablka[[#This Row],[sprzedaż]]</f>
        <v>1102.5</v>
      </c>
    </row>
    <row r="1210" spans="1:6" x14ac:dyDescent="0.25">
      <c r="A1210" s="2">
        <v>44739</v>
      </c>
      <c r="B1210" s="1" t="s">
        <v>12</v>
      </c>
      <c r="C1210" s="1" t="s">
        <v>68</v>
      </c>
      <c r="D1210" s="1" t="s">
        <v>59</v>
      </c>
      <c r="E1210">
        <v>126</v>
      </c>
      <c r="F1210" s="1">
        <f>VLOOKUP(jablka[[#This Row],[Nazwa]],cennik[],2,0) * jablka[[#This Row],[sprzedaż]]</f>
        <v>340.20000000000005</v>
      </c>
    </row>
    <row r="1211" spans="1:6" x14ac:dyDescent="0.25">
      <c r="A1211" s="2">
        <v>44740</v>
      </c>
      <c r="B1211" s="1" t="s">
        <v>14</v>
      </c>
      <c r="C1211" s="1" t="s">
        <v>67</v>
      </c>
      <c r="D1211" s="1" t="s">
        <v>66</v>
      </c>
      <c r="E1211">
        <v>317</v>
      </c>
      <c r="F1211" s="1">
        <f>VLOOKUP(jablka[[#This Row],[Nazwa]],cennik[],2,0) * jablka[[#This Row],[sprzedaż]]</f>
        <v>1109.5</v>
      </c>
    </row>
    <row r="1212" spans="1:6" x14ac:dyDescent="0.25">
      <c r="A1212" s="2">
        <v>44740</v>
      </c>
      <c r="B1212" s="1" t="s">
        <v>14</v>
      </c>
      <c r="C1212" s="1" t="s">
        <v>67</v>
      </c>
      <c r="D1212" s="1" t="s">
        <v>24</v>
      </c>
      <c r="E1212">
        <v>495</v>
      </c>
      <c r="F1212" s="1">
        <f>VLOOKUP(jablka[[#This Row],[Nazwa]],cennik[],2,0) * jablka[[#This Row],[sprzedaż]]</f>
        <v>1732.5</v>
      </c>
    </row>
    <row r="1213" spans="1:6" x14ac:dyDescent="0.25">
      <c r="A1213" s="2">
        <v>44740</v>
      </c>
      <c r="B1213" s="1" t="s">
        <v>13</v>
      </c>
      <c r="C1213" s="1" t="s">
        <v>68</v>
      </c>
      <c r="D1213" s="1" t="s">
        <v>32</v>
      </c>
      <c r="E1213">
        <v>87</v>
      </c>
      <c r="F1213" s="1">
        <f>VLOOKUP(jablka[[#This Row],[Nazwa]],cennik[],2,0) * jablka[[#This Row],[sprzedaż]]</f>
        <v>278.40000000000003</v>
      </c>
    </row>
    <row r="1214" spans="1:6" x14ac:dyDescent="0.25">
      <c r="A1214" s="2">
        <v>44740</v>
      </c>
      <c r="B1214" s="1" t="s">
        <v>14</v>
      </c>
      <c r="C1214" s="1" t="s">
        <v>67</v>
      </c>
      <c r="D1214" s="1" t="s">
        <v>66</v>
      </c>
      <c r="E1214">
        <v>126</v>
      </c>
      <c r="F1214" s="1">
        <f>VLOOKUP(jablka[[#This Row],[Nazwa]],cennik[],2,0) * jablka[[#This Row],[sprzedaż]]</f>
        <v>441</v>
      </c>
    </row>
    <row r="1215" spans="1:6" x14ac:dyDescent="0.25">
      <c r="A1215" s="2">
        <v>44740</v>
      </c>
      <c r="B1215" s="1" t="s">
        <v>12</v>
      </c>
      <c r="C1215" s="1" t="s">
        <v>68</v>
      </c>
      <c r="D1215" s="1" t="s">
        <v>21</v>
      </c>
      <c r="E1215">
        <v>177</v>
      </c>
      <c r="F1215" s="1">
        <f>VLOOKUP(jablka[[#This Row],[Nazwa]],cennik[],2,0) * jablka[[#This Row],[sprzedaż]]</f>
        <v>477.90000000000003</v>
      </c>
    </row>
    <row r="1216" spans="1:6" x14ac:dyDescent="0.25">
      <c r="A1216" s="2">
        <v>44740</v>
      </c>
      <c r="B1216" s="1" t="s">
        <v>13</v>
      </c>
      <c r="C1216" s="1" t="s">
        <v>68</v>
      </c>
      <c r="D1216" s="1" t="s">
        <v>20</v>
      </c>
      <c r="E1216">
        <v>439</v>
      </c>
      <c r="F1216" s="1">
        <f>VLOOKUP(jablka[[#This Row],[Nazwa]],cennik[],2,0) * jablka[[#This Row],[sprzedaż]]</f>
        <v>1404.8000000000002</v>
      </c>
    </row>
    <row r="1217" spans="1:6" x14ac:dyDescent="0.25">
      <c r="A1217" s="2">
        <v>44740</v>
      </c>
      <c r="B1217" s="1" t="s">
        <v>14</v>
      </c>
      <c r="C1217" s="1" t="s">
        <v>67</v>
      </c>
      <c r="D1217" s="1" t="s">
        <v>24</v>
      </c>
      <c r="E1217">
        <v>266</v>
      </c>
      <c r="F1217" s="1">
        <f>VLOOKUP(jablka[[#This Row],[Nazwa]],cennik[],2,0) * jablka[[#This Row],[sprzedaż]]</f>
        <v>931</v>
      </c>
    </row>
    <row r="1218" spans="1:6" x14ac:dyDescent="0.25">
      <c r="A1218" s="2">
        <v>44740</v>
      </c>
      <c r="B1218" s="1" t="s">
        <v>13</v>
      </c>
      <c r="C1218" s="1" t="s">
        <v>68</v>
      </c>
      <c r="D1218" s="1" t="s">
        <v>62</v>
      </c>
      <c r="E1218">
        <v>330</v>
      </c>
      <c r="F1218" s="1">
        <f>VLOOKUP(jablka[[#This Row],[Nazwa]],cennik[],2,0) * jablka[[#This Row],[sprzedaż]]</f>
        <v>1056</v>
      </c>
    </row>
    <row r="1219" spans="1:6" x14ac:dyDescent="0.25">
      <c r="A1219" s="2">
        <v>44740</v>
      </c>
      <c r="B1219" s="1" t="s">
        <v>12</v>
      </c>
      <c r="C1219" s="1" t="s">
        <v>68</v>
      </c>
      <c r="D1219" s="1" t="s">
        <v>27</v>
      </c>
      <c r="E1219">
        <v>29</v>
      </c>
      <c r="F1219" s="1">
        <f>VLOOKUP(jablka[[#This Row],[Nazwa]],cennik[],2,0) * jablka[[#This Row],[sprzedaż]]</f>
        <v>78.300000000000011</v>
      </c>
    </row>
    <row r="1220" spans="1:6" x14ac:dyDescent="0.25">
      <c r="A1220" s="2">
        <v>44740</v>
      </c>
      <c r="B1220" s="1" t="s">
        <v>12</v>
      </c>
      <c r="C1220" s="1" t="s">
        <v>68</v>
      </c>
      <c r="D1220" s="1" t="s">
        <v>59</v>
      </c>
      <c r="E1220">
        <v>249</v>
      </c>
      <c r="F1220" s="1">
        <f>VLOOKUP(jablka[[#This Row],[Nazwa]],cennik[],2,0) * jablka[[#This Row],[sprzedaż]]</f>
        <v>672.30000000000007</v>
      </c>
    </row>
    <row r="1221" spans="1:6" x14ac:dyDescent="0.25">
      <c r="A1221" s="2">
        <v>44740</v>
      </c>
      <c r="B1221" s="1" t="s">
        <v>14</v>
      </c>
      <c r="C1221" s="1" t="s">
        <v>67</v>
      </c>
      <c r="D1221" s="1" t="s">
        <v>28</v>
      </c>
      <c r="E1221">
        <v>364</v>
      </c>
      <c r="F1221" s="1">
        <f>VLOOKUP(jablka[[#This Row],[Nazwa]],cennik[],2,0) * jablka[[#This Row],[sprzedaż]]</f>
        <v>1274</v>
      </c>
    </row>
    <row r="1222" spans="1:6" x14ac:dyDescent="0.25">
      <c r="A1222" s="2">
        <v>44740</v>
      </c>
      <c r="B1222" s="1" t="s">
        <v>14</v>
      </c>
      <c r="C1222" s="1" t="s">
        <v>67</v>
      </c>
      <c r="D1222" s="1" t="s">
        <v>47</v>
      </c>
      <c r="E1222">
        <v>208</v>
      </c>
      <c r="F1222" s="1">
        <f>VLOOKUP(jablka[[#This Row],[Nazwa]],cennik[],2,0) * jablka[[#This Row],[sprzedaż]]</f>
        <v>728</v>
      </c>
    </row>
    <row r="1223" spans="1:6" x14ac:dyDescent="0.25">
      <c r="A1223" s="2">
        <v>44740</v>
      </c>
      <c r="B1223" s="1" t="s">
        <v>13</v>
      </c>
      <c r="C1223" s="1" t="s">
        <v>68</v>
      </c>
      <c r="D1223" s="1" t="s">
        <v>48</v>
      </c>
      <c r="E1223">
        <v>139</v>
      </c>
      <c r="F1223" s="1">
        <f>VLOOKUP(jablka[[#This Row],[Nazwa]],cennik[],2,0) * jablka[[#This Row],[sprzedaż]]</f>
        <v>444.8</v>
      </c>
    </row>
    <row r="1224" spans="1:6" x14ac:dyDescent="0.25">
      <c r="A1224" s="2">
        <v>44740</v>
      </c>
      <c r="B1224" s="1" t="s">
        <v>14</v>
      </c>
      <c r="C1224" s="1" t="s">
        <v>67</v>
      </c>
      <c r="D1224" s="1" t="s">
        <v>29</v>
      </c>
      <c r="E1224">
        <v>377</v>
      </c>
      <c r="F1224" s="1">
        <f>VLOOKUP(jablka[[#This Row],[Nazwa]],cennik[],2,0) * jablka[[#This Row],[sprzedaż]]</f>
        <v>1319.5</v>
      </c>
    </row>
    <row r="1225" spans="1:6" x14ac:dyDescent="0.25">
      <c r="A1225" s="2">
        <v>44741</v>
      </c>
      <c r="B1225" s="1" t="s">
        <v>14</v>
      </c>
      <c r="C1225" s="1" t="s">
        <v>67</v>
      </c>
      <c r="D1225" s="1" t="s">
        <v>54</v>
      </c>
      <c r="E1225">
        <v>25</v>
      </c>
      <c r="F1225" s="1">
        <f>VLOOKUP(jablka[[#This Row],[Nazwa]],cennik[],2,0) * jablka[[#This Row],[sprzedaż]]</f>
        <v>87.5</v>
      </c>
    </row>
    <row r="1226" spans="1:6" x14ac:dyDescent="0.25">
      <c r="A1226" s="2">
        <v>44741</v>
      </c>
      <c r="B1226" s="1" t="s">
        <v>12</v>
      </c>
      <c r="C1226" s="1" t="s">
        <v>68</v>
      </c>
      <c r="D1226" s="1" t="s">
        <v>66</v>
      </c>
      <c r="E1226">
        <v>246</v>
      </c>
      <c r="F1226" s="1">
        <f>VLOOKUP(jablka[[#This Row],[Nazwa]],cennik[],2,0) * jablka[[#This Row],[sprzedaż]]</f>
        <v>664.2</v>
      </c>
    </row>
    <row r="1227" spans="1:6" x14ac:dyDescent="0.25">
      <c r="A1227" s="2">
        <v>44741</v>
      </c>
      <c r="B1227" s="1" t="s">
        <v>13</v>
      </c>
      <c r="C1227" s="1" t="s">
        <v>68</v>
      </c>
      <c r="D1227" s="1" t="s">
        <v>17</v>
      </c>
      <c r="E1227">
        <v>210</v>
      </c>
      <c r="F1227" s="1">
        <f>VLOOKUP(jablka[[#This Row],[Nazwa]],cennik[],2,0) * jablka[[#This Row],[sprzedaż]]</f>
        <v>672</v>
      </c>
    </row>
    <row r="1228" spans="1:6" x14ac:dyDescent="0.25">
      <c r="A1228" s="2">
        <v>44741</v>
      </c>
      <c r="B1228" s="1" t="s">
        <v>12</v>
      </c>
      <c r="C1228" s="1" t="s">
        <v>68</v>
      </c>
      <c r="D1228" s="1" t="s">
        <v>38</v>
      </c>
      <c r="E1228">
        <v>330</v>
      </c>
      <c r="F1228" s="1">
        <f>VLOOKUP(jablka[[#This Row],[Nazwa]],cennik[],2,0) * jablka[[#This Row],[sprzedaż]]</f>
        <v>891.00000000000011</v>
      </c>
    </row>
    <row r="1229" spans="1:6" x14ac:dyDescent="0.25">
      <c r="A1229" s="2">
        <v>44741</v>
      </c>
      <c r="B1229" s="1" t="s">
        <v>13</v>
      </c>
      <c r="C1229" s="1" t="s">
        <v>68</v>
      </c>
      <c r="D1229" s="1" t="s">
        <v>66</v>
      </c>
      <c r="E1229">
        <v>493</v>
      </c>
      <c r="F1229" s="1">
        <f>VLOOKUP(jablka[[#This Row],[Nazwa]],cennik[],2,0) * jablka[[#This Row],[sprzedaż]]</f>
        <v>1577.6000000000001</v>
      </c>
    </row>
    <row r="1230" spans="1:6" x14ac:dyDescent="0.25">
      <c r="A1230" s="2">
        <v>44741</v>
      </c>
      <c r="B1230" s="1" t="s">
        <v>14</v>
      </c>
      <c r="C1230" s="1" t="s">
        <v>67</v>
      </c>
      <c r="D1230" s="1" t="s">
        <v>20</v>
      </c>
      <c r="E1230">
        <v>461</v>
      </c>
      <c r="F1230" s="1">
        <f>VLOOKUP(jablka[[#This Row],[Nazwa]],cennik[],2,0) * jablka[[#This Row],[sprzedaż]]</f>
        <v>1613.5</v>
      </c>
    </row>
    <row r="1231" spans="1:6" x14ac:dyDescent="0.25">
      <c r="A1231" s="2">
        <v>44741</v>
      </c>
      <c r="B1231" s="1" t="s">
        <v>13</v>
      </c>
      <c r="C1231" s="1" t="s">
        <v>68</v>
      </c>
      <c r="D1231" s="1" t="s">
        <v>29</v>
      </c>
      <c r="E1231">
        <v>148</v>
      </c>
      <c r="F1231" s="1">
        <f>VLOOKUP(jablka[[#This Row],[Nazwa]],cennik[],2,0) * jablka[[#This Row],[sprzedaż]]</f>
        <v>473.6</v>
      </c>
    </row>
    <row r="1232" spans="1:6" x14ac:dyDescent="0.25">
      <c r="A1232" s="2">
        <v>44741</v>
      </c>
      <c r="B1232" s="1" t="s">
        <v>13</v>
      </c>
      <c r="C1232" s="1" t="s">
        <v>68</v>
      </c>
      <c r="D1232" s="1" t="s">
        <v>34</v>
      </c>
      <c r="E1232">
        <v>19</v>
      </c>
      <c r="F1232" s="1">
        <f>VLOOKUP(jablka[[#This Row],[Nazwa]],cennik[],2,0) * jablka[[#This Row],[sprzedaż]]</f>
        <v>60.800000000000004</v>
      </c>
    </row>
    <row r="1233" spans="1:6" x14ac:dyDescent="0.25">
      <c r="A1233" s="2">
        <v>44741</v>
      </c>
      <c r="B1233" s="1" t="s">
        <v>14</v>
      </c>
      <c r="C1233" s="1" t="s">
        <v>67</v>
      </c>
      <c r="D1233" s="1" t="s">
        <v>25</v>
      </c>
      <c r="E1233">
        <v>456</v>
      </c>
      <c r="F1233" s="1">
        <f>VLOOKUP(jablka[[#This Row],[Nazwa]],cennik[],2,0) * jablka[[#This Row],[sprzedaż]]</f>
        <v>1596</v>
      </c>
    </row>
    <row r="1234" spans="1:6" x14ac:dyDescent="0.25">
      <c r="A1234" s="2">
        <v>44742</v>
      </c>
      <c r="B1234" s="1" t="s">
        <v>13</v>
      </c>
      <c r="C1234" s="1" t="s">
        <v>68</v>
      </c>
      <c r="D1234" s="1" t="s">
        <v>58</v>
      </c>
      <c r="E1234">
        <v>201</v>
      </c>
      <c r="F1234" s="1">
        <f>VLOOKUP(jablka[[#This Row],[Nazwa]],cennik[],2,0) * jablka[[#This Row],[sprzedaż]]</f>
        <v>643.20000000000005</v>
      </c>
    </row>
    <row r="1235" spans="1:6" x14ac:dyDescent="0.25">
      <c r="A1235" s="2">
        <v>44742</v>
      </c>
      <c r="B1235" s="1" t="s">
        <v>12</v>
      </c>
      <c r="C1235" s="1" t="s">
        <v>68</v>
      </c>
      <c r="D1235" s="1" t="s">
        <v>53</v>
      </c>
      <c r="E1235">
        <v>276</v>
      </c>
      <c r="F1235" s="1">
        <f>VLOOKUP(jablka[[#This Row],[Nazwa]],cennik[],2,0) * jablka[[#This Row],[sprzedaż]]</f>
        <v>745.2</v>
      </c>
    </row>
    <row r="1236" spans="1:6" x14ac:dyDescent="0.25">
      <c r="A1236" s="2">
        <v>44742</v>
      </c>
      <c r="B1236" s="1" t="s">
        <v>14</v>
      </c>
      <c r="C1236" s="1" t="s">
        <v>67</v>
      </c>
      <c r="D1236" s="1" t="s">
        <v>53</v>
      </c>
      <c r="E1236">
        <v>126</v>
      </c>
      <c r="F1236" s="1">
        <f>VLOOKUP(jablka[[#This Row],[Nazwa]],cennik[],2,0) * jablka[[#This Row],[sprzedaż]]</f>
        <v>441</v>
      </c>
    </row>
    <row r="1237" spans="1:6" x14ac:dyDescent="0.25">
      <c r="A1237" s="2">
        <v>44742</v>
      </c>
      <c r="B1237" s="1" t="s">
        <v>12</v>
      </c>
      <c r="C1237" s="1" t="s">
        <v>68</v>
      </c>
      <c r="D1237" s="1" t="s">
        <v>33</v>
      </c>
      <c r="E1237">
        <v>25</v>
      </c>
      <c r="F1237" s="1">
        <f>VLOOKUP(jablka[[#This Row],[Nazwa]],cennik[],2,0) * jablka[[#This Row],[sprzedaż]]</f>
        <v>67.5</v>
      </c>
    </row>
    <row r="1238" spans="1:6" x14ac:dyDescent="0.25">
      <c r="A1238" s="2">
        <v>44742</v>
      </c>
      <c r="B1238" s="1" t="s">
        <v>12</v>
      </c>
      <c r="C1238" s="1" t="s">
        <v>68</v>
      </c>
      <c r="D1238" s="1" t="s">
        <v>66</v>
      </c>
      <c r="E1238">
        <v>280</v>
      </c>
      <c r="F1238" s="1">
        <f>VLOOKUP(jablka[[#This Row],[Nazwa]],cennik[],2,0) * jablka[[#This Row],[sprzedaż]]</f>
        <v>756</v>
      </c>
    </row>
    <row r="1239" spans="1:6" x14ac:dyDescent="0.25">
      <c r="A1239" s="2">
        <v>44742</v>
      </c>
      <c r="B1239" s="1" t="s">
        <v>12</v>
      </c>
      <c r="C1239" s="1" t="s">
        <v>68</v>
      </c>
      <c r="D1239" s="1" t="s">
        <v>24</v>
      </c>
      <c r="E1239">
        <v>66</v>
      </c>
      <c r="F1239" s="1">
        <f>VLOOKUP(jablka[[#This Row],[Nazwa]],cennik[],2,0) * jablka[[#This Row],[sprzedaż]]</f>
        <v>178.20000000000002</v>
      </c>
    </row>
    <row r="1240" spans="1:6" x14ac:dyDescent="0.25">
      <c r="A1240" s="2">
        <v>44742</v>
      </c>
      <c r="B1240" s="1" t="s">
        <v>13</v>
      </c>
      <c r="C1240" s="1" t="s">
        <v>68</v>
      </c>
      <c r="D1240" s="1" t="s">
        <v>20</v>
      </c>
      <c r="E1240">
        <v>314</v>
      </c>
      <c r="F1240" s="1">
        <f>VLOOKUP(jablka[[#This Row],[Nazwa]],cennik[],2,0) * jablka[[#This Row],[sprzedaż]]</f>
        <v>1004.8000000000001</v>
      </c>
    </row>
    <row r="1241" spans="1:6" x14ac:dyDescent="0.25">
      <c r="A1241" s="2">
        <v>44743</v>
      </c>
      <c r="B1241" s="1" t="s">
        <v>12</v>
      </c>
      <c r="C1241" s="1" t="s">
        <v>68</v>
      </c>
      <c r="D1241" s="1" t="s">
        <v>40</v>
      </c>
      <c r="E1241">
        <v>298</v>
      </c>
      <c r="F1241" s="1">
        <f>VLOOKUP(jablka[[#This Row],[Nazwa]],cennik[],2,0) * jablka[[#This Row],[sprzedaż]]</f>
        <v>804.6</v>
      </c>
    </row>
    <row r="1242" spans="1:6" x14ac:dyDescent="0.25">
      <c r="A1242" s="2">
        <v>44743</v>
      </c>
      <c r="B1242" s="1" t="s">
        <v>14</v>
      </c>
      <c r="C1242" s="1" t="s">
        <v>67</v>
      </c>
      <c r="D1242" s="1" t="s">
        <v>25</v>
      </c>
      <c r="E1242">
        <v>191</v>
      </c>
      <c r="F1242" s="1">
        <f>VLOOKUP(jablka[[#This Row],[Nazwa]],cennik[],2,0) * jablka[[#This Row],[sprzedaż]]</f>
        <v>668.5</v>
      </c>
    </row>
    <row r="1243" spans="1:6" x14ac:dyDescent="0.25">
      <c r="A1243" s="2">
        <v>44743</v>
      </c>
      <c r="B1243" s="1" t="s">
        <v>12</v>
      </c>
      <c r="C1243" s="1" t="s">
        <v>68</v>
      </c>
      <c r="D1243" s="1" t="s">
        <v>61</v>
      </c>
      <c r="E1243">
        <v>412</v>
      </c>
      <c r="F1243" s="1">
        <f>VLOOKUP(jablka[[#This Row],[Nazwa]],cennik[],2,0) * jablka[[#This Row],[sprzedaż]]</f>
        <v>1112.4000000000001</v>
      </c>
    </row>
    <row r="1244" spans="1:6" x14ac:dyDescent="0.25">
      <c r="A1244" s="2">
        <v>44743</v>
      </c>
      <c r="B1244" s="1" t="s">
        <v>12</v>
      </c>
      <c r="C1244" s="1" t="s">
        <v>68</v>
      </c>
      <c r="D1244" s="1" t="s">
        <v>51</v>
      </c>
      <c r="E1244">
        <v>126</v>
      </c>
      <c r="F1244" s="1">
        <f>VLOOKUP(jablka[[#This Row],[Nazwa]],cennik[],2,0) * jablka[[#This Row],[sprzedaż]]</f>
        <v>340.20000000000005</v>
      </c>
    </row>
    <row r="1245" spans="1:6" x14ac:dyDescent="0.25">
      <c r="A1245" s="2">
        <v>44743</v>
      </c>
      <c r="B1245" s="1" t="s">
        <v>14</v>
      </c>
      <c r="C1245" s="1" t="s">
        <v>67</v>
      </c>
      <c r="D1245" s="1" t="s">
        <v>59</v>
      </c>
      <c r="E1245">
        <v>466</v>
      </c>
      <c r="F1245" s="1">
        <f>VLOOKUP(jablka[[#This Row],[Nazwa]],cennik[],2,0) * jablka[[#This Row],[sprzedaż]]</f>
        <v>1631</v>
      </c>
    </row>
    <row r="1246" spans="1:6" x14ac:dyDescent="0.25">
      <c r="A1246" s="2">
        <v>44743</v>
      </c>
      <c r="B1246" s="1" t="s">
        <v>13</v>
      </c>
      <c r="C1246" s="1" t="s">
        <v>68</v>
      </c>
      <c r="D1246" s="1" t="s">
        <v>62</v>
      </c>
      <c r="E1246">
        <v>117</v>
      </c>
      <c r="F1246" s="1">
        <f>VLOOKUP(jablka[[#This Row],[Nazwa]],cennik[],2,0) * jablka[[#This Row],[sprzedaż]]</f>
        <v>374.40000000000003</v>
      </c>
    </row>
    <row r="1247" spans="1:6" x14ac:dyDescent="0.25">
      <c r="A1247" s="2">
        <v>44743</v>
      </c>
      <c r="B1247" s="1" t="s">
        <v>14</v>
      </c>
      <c r="C1247" s="1" t="s">
        <v>67</v>
      </c>
      <c r="D1247" s="1" t="s">
        <v>54</v>
      </c>
      <c r="E1247">
        <v>16</v>
      </c>
      <c r="F1247" s="1">
        <f>VLOOKUP(jablka[[#This Row],[Nazwa]],cennik[],2,0) * jablka[[#This Row],[sprzedaż]]</f>
        <v>56</v>
      </c>
    </row>
    <row r="1248" spans="1:6" x14ac:dyDescent="0.25">
      <c r="A1248" s="2">
        <v>44743</v>
      </c>
      <c r="B1248" s="1" t="s">
        <v>12</v>
      </c>
      <c r="C1248" s="1" t="s">
        <v>68</v>
      </c>
      <c r="D1248" s="1" t="s">
        <v>28</v>
      </c>
      <c r="E1248">
        <v>52</v>
      </c>
      <c r="F1248" s="1">
        <f>VLOOKUP(jablka[[#This Row],[Nazwa]],cennik[],2,0) * jablka[[#This Row],[sprzedaż]]</f>
        <v>140.4</v>
      </c>
    </row>
    <row r="1249" spans="1:6" x14ac:dyDescent="0.25">
      <c r="A1249" s="2">
        <v>44743</v>
      </c>
      <c r="B1249" s="1" t="s">
        <v>14</v>
      </c>
      <c r="C1249" s="1" t="s">
        <v>67</v>
      </c>
      <c r="D1249" s="1" t="s">
        <v>65</v>
      </c>
      <c r="E1249">
        <v>338</v>
      </c>
      <c r="F1249" s="1">
        <f>VLOOKUP(jablka[[#This Row],[Nazwa]],cennik[],2,0) * jablka[[#This Row],[sprzedaż]]</f>
        <v>1183</v>
      </c>
    </row>
    <row r="1250" spans="1:6" x14ac:dyDescent="0.25">
      <c r="A1250" s="2">
        <v>44743</v>
      </c>
      <c r="B1250" s="1" t="s">
        <v>14</v>
      </c>
      <c r="C1250" s="1" t="s">
        <v>67</v>
      </c>
      <c r="D1250" s="1" t="s">
        <v>50</v>
      </c>
      <c r="E1250">
        <v>472</v>
      </c>
      <c r="F1250" s="1">
        <f>VLOOKUP(jablka[[#This Row],[Nazwa]],cennik[],2,0) * jablka[[#This Row],[sprzedaż]]</f>
        <v>1652</v>
      </c>
    </row>
    <row r="1251" spans="1:6" x14ac:dyDescent="0.25">
      <c r="A1251" s="2">
        <v>44743</v>
      </c>
      <c r="B1251" s="1" t="s">
        <v>13</v>
      </c>
      <c r="C1251" s="1" t="s">
        <v>68</v>
      </c>
      <c r="D1251" s="1" t="s">
        <v>44</v>
      </c>
      <c r="E1251">
        <v>438</v>
      </c>
      <c r="F1251" s="1">
        <f>VLOOKUP(jablka[[#This Row],[Nazwa]],cennik[],2,0) * jablka[[#This Row],[sprzedaż]]</f>
        <v>1401.6000000000001</v>
      </c>
    </row>
    <row r="1252" spans="1:6" x14ac:dyDescent="0.25">
      <c r="A1252" s="2">
        <v>44744</v>
      </c>
      <c r="B1252" s="1" t="s">
        <v>12</v>
      </c>
      <c r="C1252" s="1" t="s">
        <v>68</v>
      </c>
      <c r="D1252" s="1" t="s">
        <v>45</v>
      </c>
      <c r="E1252">
        <v>392</v>
      </c>
      <c r="F1252" s="1">
        <f>VLOOKUP(jablka[[#This Row],[Nazwa]],cennik[],2,0) * jablka[[#This Row],[sprzedaż]]</f>
        <v>1058.4000000000001</v>
      </c>
    </row>
    <row r="1253" spans="1:6" x14ac:dyDescent="0.25">
      <c r="A1253" s="2">
        <v>44744</v>
      </c>
      <c r="B1253" s="1" t="s">
        <v>13</v>
      </c>
      <c r="C1253" s="1" t="s">
        <v>68</v>
      </c>
      <c r="D1253" s="1" t="s">
        <v>51</v>
      </c>
      <c r="E1253">
        <v>128</v>
      </c>
      <c r="F1253" s="1">
        <f>VLOOKUP(jablka[[#This Row],[Nazwa]],cennik[],2,0) * jablka[[#This Row],[sprzedaż]]</f>
        <v>409.6</v>
      </c>
    </row>
    <row r="1254" spans="1:6" x14ac:dyDescent="0.25">
      <c r="A1254" s="2">
        <v>44744</v>
      </c>
      <c r="B1254" s="1" t="s">
        <v>14</v>
      </c>
      <c r="C1254" s="1" t="s">
        <v>67</v>
      </c>
      <c r="D1254" s="1" t="s">
        <v>51</v>
      </c>
      <c r="E1254">
        <v>27</v>
      </c>
      <c r="F1254" s="1">
        <f>VLOOKUP(jablka[[#This Row],[Nazwa]],cennik[],2,0) * jablka[[#This Row],[sprzedaż]]</f>
        <v>94.5</v>
      </c>
    </row>
    <row r="1255" spans="1:6" x14ac:dyDescent="0.25">
      <c r="A1255" s="2">
        <v>44744</v>
      </c>
      <c r="B1255" s="1" t="s">
        <v>13</v>
      </c>
      <c r="C1255" s="1" t="s">
        <v>68</v>
      </c>
      <c r="D1255" s="1" t="s">
        <v>51</v>
      </c>
      <c r="E1255">
        <v>363</v>
      </c>
      <c r="F1255" s="1">
        <f>VLOOKUP(jablka[[#This Row],[Nazwa]],cennik[],2,0) * jablka[[#This Row],[sprzedaż]]</f>
        <v>1161.6000000000001</v>
      </c>
    </row>
    <row r="1256" spans="1:6" x14ac:dyDescent="0.25">
      <c r="A1256" s="2">
        <v>44744</v>
      </c>
      <c r="B1256" s="1" t="s">
        <v>12</v>
      </c>
      <c r="C1256" s="1" t="s">
        <v>68</v>
      </c>
      <c r="D1256" s="1" t="s">
        <v>47</v>
      </c>
      <c r="E1256">
        <v>105</v>
      </c>
      <c r="F1256" s="1">
        <f>VLOOKUP(jablka[[#This Row],[Nazwa]],cennik[],2,0) * jablka[[#This Row],[sprzedaż]]</f>
        <v>283.5</v>
      </c>
    </row>
    <row r="1257" spans="1:6" x14ac:dyDescent="0.25">
      <c r="A1257" s="2">
        <v>44744</v>
      </c>
      <c r="B1257" s="1" t="s">
        <v>14</v>
      </c>
      <c r="C1257" s="1" t="s">
        <v>67</v>
      </c>
      <c r="D1257" s="1" t="s">
        <v>46</v>
      </c>
      <c r="E1257">
        <v>377</v>
      </c>
      <c r="F1257" s="1">
        <f>VLOOKUP(jablka[[#This Row],[Nazwa]],cennik[],2,0) * jablka[[#This Row],[sprzedaż]]</f>
        <v>1319.5</v>
      </c>
    </row>
    <row r="1258" spans="1:6" x14ac:dyDescent="0.25">
      <c r="A1258" s="2">
        <v>44744</v>
      </c>
      <c r="B1258" s="1" t="s">
        <v>13</v>
      </c>
      <c r="C1258" s="1" t="s">
        <v>68</v>
      </c>
      <c r="D1258" s="1" t="s">
        <v>30</v>
      </c>
      <c r="E1258">
        <v>277</v>
      </c>
      <c r="F1258" s="1">
        <f>VLOOKUP(jablka[[#This Row],[Nazwa]],cennik[],2,0) * jablka[[#This Row],[sprzedaż]]</f>
        <v>886.40000000000009</v>
      </c>
    </row>
    <row r="1259" spans="1:6" x14ac:dyDescent="0.25">
      <c r="A1259" s="2">
        <v>44746</v>
      </c>
      <c r="B1259" s="1" t="s">
        <v>12</v>
      </c>
      <c r="C1259" s="1" t="s">
        <v>68</v>
      </c>
      <c r="D1259" s="1" t="s">
        <v>48</v>
      </c>
      <c r="E1259">
        <v>453</v>
      </c>
      <c r="F1259" s="1">
        <f>VLOOKUP(jablka[[#This Row],[Nazwa]],cennik[],2,0) * jablka[[#This Row],[sprzedaż]]</f>
        <v>1223.1000000000001</v>
      </c>
    </row>
    <row r="1260" spans="1:6" x14ac:dyDescent="0.25">
      <c r="A1260" s="2">
        <v>44746</v>
      </c>
      <c r="B1260" s="1" t="s">
        <v>12</v>
      </c>
      <c r="C1260" s="1" t="s">
        <v>68</v>
      </c>
      <c r="D1260" s="1" t="s">
        <v>21</v>
      </c>
      <c r="E1260">
        <v>33</v>
      </c>
      <c r="F1260" s="1">
        <f>VLOOKUP(jablka[[#This Row],[Nazwa]],cennik[],2,0) * jablka[[#This Row],[sprzedaż]]</f>
        <v>89.100000000000009</v>
      </c>
    </row>
    <row r="1261" spans="1:6" x14ac:dyDescent="0.25">
      <c r="A1261" s="2">
        <v>44746</v>
      </c>
      <c r="B1261" s="1" t="s">
        <v>13</v>
      </c>
      <c r="C1261" s="1" t="s">
        <v>68</v>
      </c>
      <c r="D1261" s="1" t="s">
        <v>30</v>
      </c>
      <c r="E1261">
        <v>165</v>
      </c>
      <c r="F1261" s="1">
        <f>VLOOKUP(jablka[[#This Row],[Nazwa]],cennik[],2,0) * jablka[[#This Row],[sprzedaż]]</f>
        <v>528</v>
      </c>
    </row>
    <row r="1262" spans="1:6" x14ac:dyDescent="0.25">
      <c r="A1262" s="2">
        <v>44746</v>
      </c>
      <c r="B1262" s="1" t="s">
        <v>13</v>
      </c>
      <c r="C1262" s="1" t="s">
        <v>68</v>
      </c>
      <c r="D1262" s="1" t="s">
        <v>20</v>
      </c>
      <c r="E1262">
        <v>265</v>
      </c>
      <c r="F1262" s="1">
        <f>VLOOKUP(jablka[[#This Row],[Nazwa]],cennik[],2,0) * jablka[[#This Row],[sprzedaż]]</f>
        <v>848</v>
      </c>
    </row>
    <row r="1263" spans="1:6" x14ac:dyDescent="0.25">
      <c r="A1263" s="2">
        <v>44746</v>
      </c>
      <c r="B1263" s="1" t="s">
        <v>14</v>
      </c>
      <c r="C1263" s="1" t="s">
        <v>67</v>
      </c>
      <c r="D1263" s="1" t="s">
        <v>30</v>
      </c>
      <c r="E1263">
        <v>179</v>
      </c>
      <c r="F1263" s="1">
        <f>VLOOKUP(jablka[[#This Row],[Nazwa]],cennik[],2,0) * jablka[[#This Row],[sprzedaż]]</f>
        <v>626.5</v>
      </c>
    </row>
    <row r="1264" spans="1:6" x14ac:dyDescent="0.25">
      <c r="A1264" s="2">
        <v>44746</v>
      </c>
      <c r="B1264" s="1" t="s">
        <v>13</v>
      </c>
      <c r="C1264" s="1" t="s">
        <v>68</v>
      </c>
      <c r="D1264" s="1" t="s">
        <v>36</v>
      </c>
      <c r="E1264">
        <v>178</v>
      </c>
      <c r="F1264" s="1">
        <f>VLOOKUP(jablka[[#This Row],[Nazwa]],cennik[],2,0) * jablka[[#This Row],[sprzedaż]]</f>
        <v>569.6</v>
      </c>
    </row>
    <row r="1265" spans="1:6" x14ac:dyDescent="0.25">
      <c r="A1265" s="2">
        <v>44746</v>
      </c>
      <c r="B1265" s="1" t="s">
        <v>12</v>
      </c>
      <c r="C1265" s="1" t="s">
        <v>68</v>
      </c>
      <c r="D1265" s="1" t="s">
        <v>36</v>
      </c>
      <c r="E1265">
        <v>326</v>
      </c>
      <c r="F1265" s="1">
        <f>VLOOKUP(jablka[[#This Row],[Nazwa]],cennik[],2,0) * jablka[[#This Row],[sprzedaż]]</f>
        <v>880.2</v>
      </c>
    </row>
    <row r="1266" spans="1:6" x14ac:dyDescent="0.25">
      <c r="A1266" s="2">
        <v>44746</v>
      </c>
      <c r="B1266" s="1" t="s">
        <v>14</v>
      </c>
      <c r="C1266" s="1" t="s">
        <v>67</v>
      </c>
      <c r="D1266" s="1" t="s">
        <v>39</v>
      </c>
      <c r="E1266">
        <v>239</v>
      </c>
      <c r="F1266" s="1">
        <f>VLOOKUP(jablka[[#This Row],[Nazwa]],cennik[],2,0) * jablka[[#This Row],[sprzedaż]]</f>
        <v>836.5</v>
      </c>
    </row>
    <row r="1267" spans="1:6" x14ac:dyDescent="0.25">
      <c r="A1267" s="2">
        <v>44746</v>
      </c>
      <c r="B1267" s="1" t="s">
        <v>14</v>
      </c>
      <c r="C1267" s="1" t="s">
        <v>67</v>
      </c>
      <c r="D1267" s="1" t="s">
        <v>51</v>
      </c>
      <c r="E1267">
        <v>183</v>
      </c>
      <c r="F1267" s="1">
        <f>VLOOKUP(jablka[[#This Row],[Nazwa]],cennik[],2,0) * jablka[[#This Row],[sprzedaż]]</f>
        <v>640.5</v>
      </c>
    </row>
    <row r="1268" spans="1:6" x14ac:dyDescent="0.25">
      <c r="A1268" s="2">
        <v>44746</v>
      </c>
      <c r="B1268" s="1" t="s">
        <v>14</v>
      </c>
      <c r="C1268" s="1" t="s">
        <v>67</v>
      </c>
      <c r="D1268" s="1" t="s">
        <v>61</v>
      </c>
      <c r="E1268">
        <v>124</v>
      </c>
      <c r="F1268" s="1">
        <f>VLOOKUP(jablka[[#This Row],[Nazwa]],cennik[],2,0) * jablka[[#This Row],[sprzedaż]]</f>
        <v>434</v>
      </c>
    </row>
    <row r="1269" spans="1:6" x14ac:dyDescent="0.25">
      <c r="A1269" s="2">
        <v>44746</v>
      </c>
      <c r="B1269" s="1" t="s">
        <v>12</v>
      </c>
      <c r="C1269" s="1" t="s">
        <v>68</v>
      </c>
      <c r="D1269" s="1" t="s">
        <v>52</v>
      </c>
      <c r="E1269">
        <v>227</v>
      </c>
      <c r="F1269" s="1">
        <f>VLOOKUP(jablka[[#This Row],[Nazwa]],cennik[],2,0) * jablka[[#This Row],[sprzedaż]]</f>
        <v>612.90000000000009</v>
      </c>
    </row>
    <row r="1270" spans="1:6" x14ac:dyDescent="0.25">
      <c r="A1270" s="2">
        <v>44746</v>
      </c>
      <c r="B1270" s="1" t="s">
        <v>12</v>
      </c>
      <c r="C1270" s="1" t="s">
        <v>68</v>
      </c>
      <c r="D1270" s="1" t="s">
        <v>62</v>
      </c>
      <c r="E1270">
        <v>445</v>
      </c>
      <c r="F1270" s="1">
        <f>VLOOKUP(jablka[[#This Row],[Nazwa]],cennik[],2,0) * jablka[[#This Row],[sprzedaż]]</f>
        <v>1201.5</v>
      </c>
    </row>
    <row r="1271" spans="1:6" x14ac:dyDescent="0.25">
      <c r="A1271" s="2">
        <v>44746</v>
      </c>
      <c r="B1271" s="1" t="s">
        <v>12</v>
      </c>
      <c r="C1271" s="1" t="s">
        <v>68</v>
      </c>
      <c r="D1271" s="1" t="s">
        <v>61</v>
      </c>
      <c r="E1271">
        <v>407</v>
      </c>
      <c r="F1271" s="1">
        <f>VLOOKUP(jablka[[#This Row],[Nazwa]],cennik[],2,0) * jablka[[#This Row],[sprzedaż]]</f>
        <v>1098.9000000000001</v>
      </c>
    </row>
    <row r="1272" spans="1:6" x14ac:dyDescent="0.25">
      <c r="A1272" s="2">
        <v>44746</v>
      </c>
      <c r="B1272" s="1" t="s">
        <v>14</v>
      </c>
      <c r="C1272" s="1" t="s">
        <v>67</v>
      </c>
      <c r="D1272" s="1" t="s">
        <v>42</v>
      </c>
      <c r="E1272">
        <v>307</v>
      </c>
      <c r="F1272" s="1">
        <f>VLOOKUP(jablka[[#This Row],[Nazwa]],cennik[],2,0) * jablka[[#This Row],[sprzedaż]]</f>
        <v>1074.5</v>
      </c>
    </row>
    <row r="1273" spans="1:6" x14ac:dyDescent="0.25">
      <c r="A1273" s="2">
        <v>44747</v>
      </c>
      <c r="B1273" s="1" t="s">
        <v>13</v>
      </c>
      <c r="C1273" s="1" t="s">
        <v>68</v>
      </c>
      <c r="D1273" s="1" t="s">
        <v>51</v>
      </c>
      <c r="E1273">
        <v>83</v>
      </c>
      <c r="F1273" s="1">
        <f>VLOOKUP(jablka[[#This Row],[Nazwa]],cennik[],2,0) * jablka[[#This Row],[sprzedaż]]</f>
        <v>265.60000000000002</v>
      </c>
    </row>
    <row r="1274" spans="1:6" x14ac:dyDescent="0.25">
      <c r="A1274" s="2">
        <v>44747</v>
      </c>
      <c r="B1274" s="1" t="s">
        <v>12</v>
      </c>
      <c r="C1274" s="1" t="s">
        <v>68</v>
      </c>
      <c r="D1274" s="1" t="s">
        <v>38</v>
      </c>
      <c r="E1274">
        <v>151</v>
      </c>
      <c r="F1274" s="1">
        <f>VLOOKUP(jablka[[#This Row],[Nazwa]],cennik[],2,0) * jablka[[#This Row],[sprzedaż]]</f>
        <v>407.70000000000005</v>
      </c>
    </row>
    <row r="1275" spans="1:6" x14ac:dyDescent="0.25">
      <c r="A1275" s="2">
        <v>44747</v>
      </c>
      <c r="B1275" s="1" t="s">
        <v>13</v>
      </c>
      <c r="C1275" s="1" t="s">
        <v>68</v>
      </c>
      <c r="D1275" s="1" t="s">
        <v>53</v>
      </c>
      <c r="E1275">
        <v>374</v>
      </c>
      <c r="F1275" s="1">
        <f>VLOOKUP(jablka[[#This Row],[Nazwa]],cennik[],2,0) * jablka[[#This Row],[sprzedaż]]</f>
        <v>1196.8</v>
      </c>
    </row>
    <row r="1276" spans="1:6" x14ac:dyDescent="0.25">
      <c r="A1276" s="2">
        <v>44747</v>
      </c>
      <c r="B1276" s="1" t="s">
        <v>13</v>
      </c>
      <c r="C1276" s="1" t="s">
        <v>68</v>
      </c>
      <c r="D1276" s="1" t="s">
        <v>62</v>
      </c>
      <c r="E1276">
        <v>409</v>
      </c>
      <c r="F1276" s="1">
        <f>VLOOKUP(jablka[[#This Row],[Nazwa]],cennik[],2,0) * jablka[[#This Row],[sprzedaż]]</f>
        <v>1308.8000000000002</v>
      </c>
    </row>
    <row r="1277" spans="1:6" x14ac:dyDescent="0.25">
      <c r="A1277" s="2">
        <v>44747</v>
      </c>
      <c r="B1277" s="1" t="s">
        <v>12</v>
      </c>
      <c r="C1277" s="1" t="s">
        <v>68</v>
      </c>
      <c r="D1277" s="1" t="s">
        <v>20</v>
      </c>
      <c r="E1277">
        <v>179</v>
      </c>
      <c r="F1277" s="1">
        <f>VLOOKUP(jablka[[#This Row],[Nazwa]],cennik[],2,0) * jablka[[#This Row],[sprzedaż]]</f>
        <v>483.3</v>
      </c>
    </row>
    <row r="1278" spans="1:6" x14ac:dyDescent="0.25">
      <c r="A1278" s="2">
        <v>44747</v>
      </c>
      <c r="B1278" s="1" t="s">
        <v>13</v>
      </c>
      <c r="C1278" s="1" t="s">
        <v>68</v>
      </c>
      <c r="D1278" s="1" t="s">
        <v>17</v>
      </c>
      <c r="E1278">
        <v>103</v>
      </c>
      <c r="F1278" s="1">
        <f>VLOOKUP(jablka[[#This Row],[Nazwa]],cennik[],2,0) * jablka[[#This Row],[sprzedaż]]</f>
        <v>329.6</v>
      </c>
    </row>
    <row r="1279" spans="1:6" x14ac:dyDescent="0.25">
      <c r="A1279" s="2">
        <v>44747</v>
      </c>
      <c r="B1279" s="1" t="s">
        <v>12</v>
      </c>
      <c r="C1279" s="1" t="s">
        <v>68</v>
      </c>
      <c r="D1279" s="1" t="s">
        <v>28</v>
      </c>
      <c r="E1279">
        <v>152</v>
      </c>
      <c r="F1279" s="1">
        <f>VLOOKUP(jablka[[#This Row],[Nazwa]],cennik[],2,0) * jablka[[#This Row],[sprzedaż]]</f>
        <v>410.40000000000003</v>
      </c>
    </row>
    <row r="1280" spans="1:6" x14ac:dyDescent="0.25">
      <c r="A1280" s="2">
        <v>44747</v>
      </c>
      <c r="B1280" s="1" t="s">
        <v>14</v>
      </c>
      <c r="C1280" s="1" t="s">
        <v>67</v>
      </c>
      <c r="D1280" s="1" t="s">
        <v>36</v>
      </c>
      <c r="E1280">
        <v>74</v>
      </c>
      <c r="F1280" s="1">
        <f>VLOOKUP(jablka[[#This Row],[Nazwa]],cennik[],2,0) * jablka[[#This Row],[sprzedaż]]</f>
        <v>259</v>
      </c>
    </row>
    <row r="1281" spans="1:6" x14ac:dyDescent="0.25">
      <c r="A1281" s="2">
        <v>44748</v>
      </c>
      <c r="B1281" s="1" t="s">
        <v>14</v>
      </c>
      <c r="C1281" s="1" t="s">
        <v>67</v>
      </c>
      <c r="D1281" s="1" t="s">
        <v>19</v>
      </c>
      <c r="E1281">
        <v>385</v>
      </c>
      <c r="F1281" s="1">
        <f>VLOOKUP(jablka[[#This Row],[Nazwa]],cennik[],2,0) * jablka[[#This Row],[sprzedaż]]</f>
        <v>1347.5</v>
      </c>
    </row>
    <row r="1282" spans="1:6" x14ac:dyDescent="0.25">
      <c r="A1282" s="2">
        <v>44748</v>
      </c>
      <c r="B1282" s="1" t="s">
        <v>14</v>
      </c>
      <c r="C1282" s="1" t="s">
        <v>67</v>
      </c>
      <c r="D1282" s="1" t="s">
        <v>28</v>
      </c>
      <c r="E1282">
        <v>324</v>
      </c>
      <c r="F1282" s="1">
        <f>VLOOKUP(jablka[[#This Row],[Nazwa]],cennik[],2,0) * jablka[[#This Row],[sprzedaż]]</f>
        <v>1134</v>
      </c>
    </row>
    <row r="1283" spans="1:6" x14ac:dyDescent="0.25">
      <c r="A1283" s="2">
        <v>44748</v>
      </c>
      <c r="B1283" s="1" t="s">
        <v>12</v>
      </c>
      <c r="C1283" s="1" t="s">
        <v>68</v>
      </c>
      <c r="D1283" s="1" t="s">
        <v>28</v>
      </c>
      <c r="E1283">
        <v>252</v>
      </c>
      <c r="F1283" s="1">
        <f>VLOOKUP(jablka[[#This Row],[Nazwa]],cennik[],2,0) * jablka[[#This Row],[sprzedaż]]</f>
        <v>680.40000000000009</v>
      </c>
    </row>
    <row r="1284" spans="1:6" x14ac:dyDescent="0.25">
      <c r="A1284" s="2">
        <v>44748</v>
      </c>
      <c r="B1284" s="1" t="s">
        <v>13</v>
      </c>
      <c r="C1284" s="1" t="s">
        <v>68</v>
      </c>
      <c r="D1284" s="1" t="s">
        <v>37</v>
      </c>
      <c r="E1284">
        <v>329</v>
      </c>
      <c r="F1284" s="1">
        <f>VLOOKUP(jablka[[#This Row],[Nazwa]],cennik[],2,0) * jablka[[#This Row],[sprzedaż]]</f>
        <v>1052.8</v>
      </c>
    </row>
    <row r="1285" spans="1:6" x14ac:dyDescent="0.25">
      <c r="A1285" s="2">
        <v>44748</v>
      </c>
      <c r="B1285" s="1" t="s">
        <v>13</v>
      </c>
      <c r="C1285" s="1" t="s">
        <v>68</v>
      </c>
      <c r="D1285" s="1" t="s">
        <v>66</v>
      </c>
      <c r="E1285">
        <v>239</v>
      </c>
      <c r="F1285" s="1">
        <f>VLOOKUP(jablka[[#This Row],[Nazwa]],cennik[],2,0) * jablka[[#This Row],[sprzedaż]]</f>
        <v>764.80000000000007</v>
      </c>
    </row>
    <row r="1286" spans="1:6" x14ac:dyDescent="0.25">
      <c r="A1286" s="2">
        <v>44748</v>
      </c>
      <c r="B1286" s="1" t="s">
        <v>13</v>
      </c>
      <c r="C1286" s="1" t="s">
        <v>68</v>
      </c>
      <c r="D1286" s="1" t="s">
        <v>18</v>
      </c>
      <c r="E1286">
        <v>433</v>
      </c>
      <c r="F1286" s="1">
        <f>VLOOKUP(jablka[[#This Row],[Nazwa]],cennik[],2,0) * jablka[[#This Row],[sprzedaż]]</f>
        <v>1385.6000000000001</v>
      </c>
    </row>
    <row r="1287" spans="1:6" x14ac:dyDescent="0.25">
      <c r="A1287" s="2">
        <v>44748</v>
      </c>
      <c r="B1287" s="1" t="s">
        <v>12</v>
      </c>
      <c r="C1287" s="1" t="s">
        <v>68</v>
      </c>
      <c r="D1287" s="1" t="s">
        <v>44</v>
      </c>
      <c r="E1287">
        <v>240</v>
      </c>
      <c r="F1287" s="1">
        <f>VLOOKUP(jablka[[#This Row],[Nazwa]],cennik[],2,0) * jablka[[#This Row],[sprzedaż]]</f>
        <v>648</v>
      </c>
    </row>
    <row r="1288" spans="1:6" x14ac:dyDescent="0.25">
      <c r="A1288" s="2">
        <v>44748</v>
      </c>
      <c r="B1288" s="1" t="s">
        <v>14</v>
      </c>
      <c r="C1288" s="1" t="s">
        <v>67</v>
      </c>
      <c r="D1288" s="1" t="s">
        <v>64</v>
      </c>
      <c r="E1288">
        <v>60</v>
      </c>
      <c r="F1288" s="1">
        <f>VLOOKUP(jablka[[#This Row],[Nazwa]],cennik[],2,0) * jablka[[#This Row],[sprzedaż]]</f>
        <v>210</v>
      </c>
    </row>
    <row r="1289" spans="1:6" x14ac:dyDescent="0.25">
      <c r="A1289" s="2">
        <v>44749</v>
      </c>
      <c r="B1289" s="1" t="s">
        <v>14</v>
      </c>
      <c r="C1289" s="1" t="s">
        <v>67</v>
      </c>
      <c r="D1289" s="1" t="s">
        <v>23</v>
      </c>
      <c r="E1289">
        <v>182</v>
      </c>
      <c r="F1289" s="1">
        <f>VLOOKUP(jablka[[#This Row],[Nazwa]],cennik[],2,0) * jablka[[#This Row],[sprzedaż]]</f>
        <v>637</v>
      </c>
    </row>
    <row r="1290" spans="1:6" x14ac:dyDescent="0.25">
      <c r="A1290" s="2">
        <v>44749</v>
      </c>
      <c r="B1290" s="1" t="s">
        <v>12</v>
      </c>
      <c r="C1290" s="1" t="s">
        <v>68</v>
      </c>
      <c r="D1290" s="1" t="s">
        <v>55</v>
      </c>
      <c r="E1290">
        <v>213</v>
      </c>
      <c r="F1290" s="1">
        <f>VLOOKUP(jablka[[#This Row],[Nazwa]],cennik[],2,0) * jablka[[#This Row],[sprzedaż]]</f>
        <v>575.1</v>
      </c>
    </row>
    <row r="1291" spans="1:6" x14ac:dyDescent="0.25">
      <c r="A1291" s="2">
        <v>44749</v>
      </c>
      <c r="B1291" s="1" t="s">
        <v>12</v>
      </c>
      <c r="C1291" s="1" t="s">
        <v>68</v>
      </c>
      <c r="D1291" s="1" t="s">
        <v>40</v>
      </c>
      <c r="E1291">
        <v>329</v>
      </c>
      <c r="F1291" s="1">
        <f>VLOOKUP(jablka[[#This Row],[Nazwa]],cennik[],2,0) * jablka[[#This Row],[sprzedaż]]</f>
        <v>888.30000000000007</v>
      </c>
    </row>
    <row r="1292" spans="1:6" x14ac:dyDescent="0.25">
      <c r="A1292" s="2">
        <v>44749</v>
      </c>
      <c r="B1292" s="1" t="s">
        <v>12</v>
      </c>
      <c r="C1292" s="1" t="s">
        <v>68</v>
      </c>
      <c r="D1292" s="1" t="s">
        <v>62</v>
      </c>
      <c r="E1292">
        <v>442</v>
      </c>
      <c r="F1292" s="1">
        <f>VLOOKUP(jablka[[#This Row],[Nazwa]],cennik[],2,0) * jablka[[#This Row],[sprzedaż]]</f>
        <v>1193.4000000000001</v>
      </c>
    </row>
    <row r="1293" spans="1:6" x14ac:dyDescent="0.25">
      <c r="A1293" s="2">
        <v>44750</v>
      </c>
      <c r="B1293" s="1" t="s">
        <v>14</v>
      </c>
      <c r="C1293" s="1" t="s">
        <v>67</v>
      </c>
      <c r="D1293" s="1" t="s">
        <v>42</v>
      </c>
      <c r="E1293">
        <v>317</v>
      </c>
      <c r="F1293" s="1">
        <f>VLOOKUP(jablka[[#This Row],[Nazwa]],cennik[],2,0) * jablka[[#This Row],[sprzedaż]]</f>
        <v>1109.5</v>
      </c>
    </row>
    <row r="1294" spans="1:6" x14ac:dyDescent="0.25">
      <c r="A1294" s="2">
        <v>44750</v>
      </c>
      <c r="B1294" s="1" t="s">
        <v>12</v>
      </c>
      <c r="C1294" s="1" t="s">
        <v>68</v>
      </c>
      <c r="D1294" s="1" t="s">
        <v>55</v>
      </c>
      <c r="E1294">
        <v>441</v>
      </c>
      <c r="F1294" s="1">
        <f>VLOOKUP(jablka[[#This Row],[Nazwa]],cennik[],2,0) * jablka[[#This Row],[sprzedaż]]</f>
        <v>1190.7</v>
      </c>
    </row>
    <row r="1295" spans="1:6" x14ac:dyDescent="0.25">
      <c r="A1295" s="2">
        <v>44750</v>
      </c>
      <c r="B1295" s="1" t="s">
        <v>14</v>
      </c>
      <c r="C1295" s="1" t="s">
        <v>67</v>
      </c>
      <c r="D1295" s="1" t="s">
        <v>26</v>
      </c>
      <c r="E1295">
        <v>228</v>
      </c>
      <c r="F1295" s="1">
        <f>VLOOKUP(jablka[[#This Row],[Nazwa]],cennik[],2,0) * jablka[[#This Row],[sprzedaż]]</f>
        <v>798</v>
      </c>
    </row>
    <row r="1296" spans="1:6" x14ac:dyDescent="0.25">
      <c r="A1296" s="2">
        <v>44750</v>
      </c>
      <c r="B1296" s="1" t="s">
        <v>14</v>
      </c>
      <c r="C1296" s="1" t="s">
        <v>67</v>
      </c>
      <c r="D1296" s="1" t="s">
        <v>44</v>
      </c>
      <c r="E1296">
        <v>233</v>
      </c>
      <c r="F1296" s="1">
        <f>VLOOKUP(jablka[[#This Row],[Nazwa]],cennik[],2,0) * jablka[[#This Row],[sprzedaż]]</f>
        <v>815.5</v>
      </c>
    </row>
    <row r="1297" spans="1:6" x14ac:dyDescent="0.25">
      <c r="A1297" s="2">
        <v>44750</v>
      </c>
      <c r="B1297" s="1" t="s">
        <v>13</v>
      </c>
      <c r="C1297" s="1" t="s">
        <v>68</v>
      </c>
      <c r="D1297" s="1" t="s">
        <v>46</v>
      </c>
      <c r="E1297">
        <v>85</v>
      </c>
      <c r="F1297" s="1">
        <f>VLOOKUP(jablka[[#This Row],[Nazwa]],cennik[],2,0) * jablka[[#This Row],[sprzedaż]]</f>
        <v>272</v>
      </c>
    </row>
    <row r="1298" spans="1:6" x14ac:dyDescent="0.25">
      <c r="A1298" s="2">
        <v>44751</v>
      </c>
      <c r="B1298" s="1" t="s">
        <v>14</v>
      </c>
      <c r="C1298" s="1" t="s">
        <v>67</v>
      </c>
      <c r="D1298" s="1" t="s">
        <v>64</v>
      </c>
      <c r="E1298">
        <v>215</v>
      </c>
      <c r="F1298" s="1">
        <f>VLOOKUP(jablka[[#This Row],[Nazwa]],cennik[],2,0) * jablka[[#This Row],[sprzedaż]]</f>
        <v>752.5</v>
      </c>
    </row>
    <row r="1299" spans="1:6" x14ac:dyDescent="0.25">
      <c r="A1299" s="2">
        <v>44751</v>
      </c>
      <c r="B1299" s="1" t="s">
        <v>12</v>
      </c>
      <c r="C1299" s="1" t="s">
        <v>68</v>
      </c>
      <c r="D1299" s="1" t="s">
        <v>57</v>
      </c>
      <c r="E1299">
        <v>58</v>
      </c>
      <c r="F1299" s="1">
        <f>VLOOKUP(jablka[[#This Row],[Nazwa]],cennik[],2,0) * jablka[[#This Row],[sprzedaż]]</f>
        <v>156.60000000000002</v>
      </c>
    </row>
    <row r="1300" spans="1:6" x14ac:dyDescent="0.25">
      <c r="A1300" s="2">
        <v>44751</v>
      </c>
      <c r="B1300" s="1" t="s">
        <v>14</v>
      </c>
      <c r="C1300" s="1" t="s">
        <v>67</v>
      </c>
      <c r="D1300" s="1" t="s">
        <v>30</v>
      </c>
      <c r="E1300">
        <v>161</v>
      </c>
      <c r="F1300" s="1">
        <f>VLOOKUP(jablka[[#This Row],[Nazwa]],cennik[],2,0) * jablka[[#This Row],[sprzedaż]]</f>
        <v>563.5</v>
      </c>
    </row>
    <row r="1301" spans="1:6" x14ac:dyDescent="0.25">
      <c r="A1301" s="2">
        <v>44751</v>
      </c>
      <c r="B1301" s="1" t="s">
        <v>14</v>
      </c>
      <c r="C1301" s="1" t="s">
        <v>67</v>
      </c>
      <c r="D1301" s="1" t="s">
        <v>20</v>
      </c>
      <c r="E1301">
        <v>479</v>
      </c>
      <c r="F1301" s="1">
        <f>VLOOKUP(jablka[[#This Row],[Nazwa]],cennik[],2,0) * jablka[[#This Row],[sprzedaż]]</f>
        <v>1676.5</v>
      </c>
    </row>
    <row r="1302" spans="1:6" x14ac:dyDescent="0.25">
      <c r="A1302" s="2">
        <v>44753</v>
      </c>
      <c r="B1302" s="1" t="s">
        <v>14</v>
      </c>
      <c r="C1302" s="1" t="s">
        <v>67</v>
      </c>
      <c r="D1302" s="1" t="s">
        <v>17</v>
      </c>
      <c r="E1302">
        <v>147</v>
      </c>
      <c r="F1302" s="1">
        <f>VLOOKUP(jablka[[#This Row],[Nazwa]],cennik[],2,0) * jablka[[#This Row],[sprzedaż]]</f>
        <v>514.5</v>
      </c>
    </row>
    <row r="1303" spans="1:6" x14ac:dyDescent="0.25">
      <c r="A1303" s="2">
        <v>44753</v>
      </c>
      <c r="B1303" s="1" t="s">
        <v>14</v>
      </c>
      <c r="C1303" s="1" t="s">
        <v>67</v>
      </c>
      <c r="D1303" s="1" t="s">
        <v>50</v>
      </c>
      <c r="E1303">
        <v>223</v>
      </c>
      <c r="F1303" s="1">
        <f>VLOOKUP(jablka[[#This Row],[Nazwa]],cennik[],2,0) * jablka[[#This Row],[sprzedaż]]</f>
        <v>780.5</v>
      </c>
    </row>
    <row r="1304" spans="1:6" x14ac:dyDescent="0.25">
      <c r="A1304" s="2">
        <v>44753</v>
      </c>
      <c r="B1304" s="1" t="s">
        <v>13</v>
      </c>
      <c r="C1304" s="1" t="s">
        <v>68</v>
      </c>
      <c r="D1304" s="1" t="s">
        <v>29</v>
      </c>
      <c r="E1304">
        <v>62</v>
      </c>
      <c r="F1304" s="1">
        <f>VLOOKUP(jablka[[#This Row],[Nazwa]],cennik[],2,0) * jablka[[#This Row],[sprzedaż]]</f>
        <v>198.4</v>
      </c>
    </row>
    <row r="1305" spans="1:6" x14ac:dyDescent="0.25">
      <c r="A1305" s="2">
        <v>44753</v>
      </c>
      <c r="B1305" s="1" t="s">
        <v>14</v>
      </c>
      <c r="C1305" s="1" t="s">
        <v>67</v>
      </c>
      <c r="D1305" s="1" t="s">
        <v>56</v>
      </c>
      <c r="E1305">
        <v>163</v>
      </c>
      <c r="F1305" s="1">
        <f>VLOOKUP(jablka[[#This Row],[Nazwa]],cennik[],2,0) * jablka[[#This Row],[sprzedaż]]</f>
        <v>570.5</v>
      </c>
    </row>
    <row r="1306" spans="1:6" x14ac:dyDescent="0.25">
      <c r="A1306" s="2">
        <v>44753</v>
      </c>
      <c r="B1306" s="1" t="s">
        <v>14</v>
      </c>
      <c r="C1306" s="1" t="s">
        <v>67</v>
      </c>
      <c r="D1306" s="1" t="s">
        <v>56</v>
      </c>
      <c r="E1306">
        <v>463</v>
      </c>
      <c r="F1306" s="1">
        <f>VLOOKUP(jablka[[#This Row],[Nazwa]],cennik[],2,0) * jablka[[#This Row],[sprzedaż]]</f>
        <v>1620.5</v>
      </c>
    </row>
    <row r="1307" spans="1:6" x14ac:dyDescent="0.25">
      <c r="A1307" s="2">
        <v>44753</v>
      </c>
      <c r="B1307" s="1" t="s">
        <v>13</v>
      </c>
      <c r="C1307" s="1" t="s">
        <v>68</v>
      </c>
      <c r="D1307" s="1" t="s">
        <v>60</v>
      </c>
      <c r="E1307">
        <v>353</v>
      </c>
      <c r="F1307" s="1">
        <f>VLOOKUP(jablka[[#This Row],[Nazwa]],cennik[],2,0) * jablka[[#This Row],[sprzedaż]]</f>
        <v>1129.6000000000001</v>
      </c>
    </row>
    <row r="1308" spans="1:6" x14ac:dyDescent="0.25">
      <c r="A1308" s="2">
        <v>44753</v>
      </c>
      <c r="B1308" s="1" t="s">
        <v>12</v>
      </c>
      <c r="C1308" s="1" t="s">
        <v>68</v>
      </c>
      <c r="D1308" s="1" t="s">
        <v>34</v>
      </c>
      <c r="E1308">
        <v>427</v>
      </c>
      <c r="F1308" s="1">
        <f>VLOOKUP(jablka[[#This Row],[Nazwa]],cennik[],2,0) * jablka[[#This Row],[sprzedaż]]</f>
        <v>1152.9000000000001</v>
      </c>
    </row>
    <row r="1309" spans="1:6" x14ac:dyDescent="0.25">
      <c r="A1309" s="2">
        <v>44753</v>
      </c>
      <c r="B1309" s="1" t="s">
        <v>13</v>
      </c>
      <c r="C1309" s="1" t="s">
        <v>68</v>
      </c>
      <c r="D1309" s="1" t="s">
        <v>55</v>
      </c>
      <c r="E1309">
        <v>149</v>
      </c>
      <c r="F1309" s="1">
        <f>VLOOKUP(jablka[[#This Row],[Nazwa]],cennik[],2,0) * jablka[[#This Row],[sprzedaż]]</f>
        <v>476.8</v>
      </c>
    </row>
    <row r="1310" spans="1:6" x14ac:dyDescent="0.25">
      <c r="A1310" s="2">
        <v>44753</v>
      </c>
      <c r="B1310" s="1" t="s">
        <v>14</v>
      </c>
      <c r="C1310" s="1" t="s">
        <v>67</v>
      </c>
      <c r="D1310" s="1" t="s">
        <v>37</v>
      </c>
      <c r="E1310">
        <v>69</v>
      </c>
      <c r="F1310" s="1">
        <f>VLOOKUP(jablka[[#This Row],[Nazwa]],cennik[],2,0) * jablka[[#This Row],[sprzedaż]]</f>
        <v>241.5</v>
      </c>
    </row>
    <row r="1311" spans="1:6" x14ac:dyDescent="0.25">
      <c r="A1311" s="2">
        <v>44753</v>
      </c>
      <c r="B1311" s="1" t="s">
        <v>13</v>
      </c>
      <c r="C1311" s="1" t="s">
        <v>68</v>
      </c>
      <c r="D1311" s="1" t="s">
        <v>57</v>
      </c>
      <c r="E1311">
        <v>310</v>
      </c>
      <c r="F1311" s="1">
        <f>VLOOKUP(jablka[[#This Row],[Nazwa]],cennik[],2,0) * jablka[[#This Row],[sprzedaż]]</f>
        <v>992</v>
      </c>
    </row>
    <row r="1312" spans="1:6" x14ac:dyDescent="0.25">
      <c r="A1312" s="2">
        <v>44753</v>
      </c>
      <c r="B1312" s="1" t="s">
        <v>12</v>
      </c>
      <c r="C1312" s="1" t="s">
        <v>68</v>
      </c>
      <c r="D1312" s="1" t="s">
        <v>61</v>
      </c>
      <c r="E1312">
        <v>155</v>
      </c>
      <c r="F1312" s="1">
        <f>VLOOKUP(jablka[[#This Row],[Nazwa]],cennik[],2,0) * jablka[[#This Row],[sprzedaż]]</f>
        <v>418.5</v>
      </c>
    </row>
    <row r="1313" spans="1:6" x14ac:dyDescent="0.25">
      <c r="A1313" s="2">
        <v>44753</v>
      </c>
      <c r="B1313" s="1" t="s">
        <v>12</v>
      </c>
      <c r="C1313" s="1" t="s">
        <v>68</v>
      </c>
      <c r="D1313" s="1" t="s">
        <v>18</v>
      </c>
      <c r="E1313">
        <v>231</v>
      </c>
      <c r="F1313" s="1">
        <f>VLOOKUP(jablka[[#This Row],[Nazwa]],cennik[],2,0) * jablka[[#This Row],[sprzedaż]]</f>
        <v>623.70000000000005</v>
      </c>
    </row>
    <row r="1314" spans="1:6" x14ac:dyDescent="0.25">
      <c r="A1314" s="2">
        <v>44753</v>
      </c>
      <c r="B1314" s="1" t="s">
        <v>12</v>
      </c>
      <c r="C1314" s="1" t="s">
        <v>68</v>
      </c>
      <c r="D1314" s="1" t="s">
        <v>64</v>
      </c>
      <c r="E1314">
        <v>170</v>
      </c>
      <c r="F1314" s="1">
        <f>VLOOKUP(jablka[[#This Row],[Nazwa]],cennik[],2,0) * jablka[[#This Row],[sprzedaż]]</f>
        <v>459.00000000000006</v>
      </c>
    </row>
    <row r="1315" spans="1:6" x14ac:dyDescent="0.25">
      <c r="A1315" s="2">
        <v>44754</v>
      </c>
      <c r="B1315" s="1" t="s">
        <v>13</v>
      </c>
      <c r="C1315" s="1" t="s">
        <v>68</v>
      </c>
      <c r="D1315" s="1" t="s">
        <v>40</v>
      </c>
      <c r="E1315">
        <v>342</v>
      </c>
      <c r="F1315" s="1">
        <f>VLOOKUP(jablka[[#This Row],[Nazwa]],cennik[],2,0) * jablka[[#This Row],[sprzedaż]]</f>
        <v>1094.4000000000001</v>
      </c>
    </row>
    <row r="1316" spans="1:6" x14ac:dyDescent="0.25">
      <c r="A1316" s="2">
        <v>44754</v>
      </c>
      <c r="B1316" s="1" t="s">
        <v>12</v>
      </c>
      <c r="C1316" s="1" t="s">
        <v>68</v>
      </c>
      <c r="D1316" s="1" t="s">
        <v>30</v>
      </c>
      <c r="E1316">
        <v>343</v>
      </c>
      <c r="F1316" s="1">
        <f>VLOOKUP(jablka[[#This Row],[Nazwa]],cennik[],2,0) * jablka[[#This Row],[sprzedaż]]</f>
        <v>926.1</v>
      </c>
    </row>
    <row r="1317" spans="1:6" x14ac:dyDescent="0.25">
      <c r="A1317" s="2">
        <v>44754</v>
      </c>
      <c r="B1317" s="1" t="s">
        <v>12</v>
      </c>
      <c r="C1317" s="1" t="s">
        <v>68</v>
      </c>
      <c r="D1317" s="1" t="s">
        <v>48</v>
      </c>
      <c r="E1317">
        <v>221</v>
      </c>
      <c r="F1317" s="1">
        <f>VLOOKUP(jablka[[#This Row],[Nazwa]],cennik[],2,0) * jablka[[#This Row],[sprzedaż]]</f>
        <v>596.70000000000005</v>
      </c>
    </row>
    <row r="1318" spans="1:6" x14ac:dyDescent="0.25">
      <c r="A1318" s="2">
        <v>44754</v>
      </c>
      <c r="B1318" s="1" t="s">
        <v>13</v>
      </c>
      <c r="C1318" s="1" t="s">
        <v>68</v>
      </c>
      <c r="D1318" s="1" t="s">
        <v>62</v>
      </c>
      <c r="E1318">
        <v>405</v>
      </c>
      <c r="F1318" s="1">
        <f>VLOOKUP(jablka[[#This Row],[Nazwa]],cennik[],2,0) * jablka[[#This Row],[sprzedaż]]</f>
        <v>1296</v>
      </c>
    </row>
    <row r="1319" spans="1:6" x14ac:dyDescent="0.25">
      <c r="A1319" s="2">
        <v>44754</v>
      </c>
      <c r="B1319" s="1" t="s">
        <v>14</v>
      </c>
      <c r="C1319" s="1" t="s">
        <v>67</v>
      </c>
      <c r="D1319" s="1" t="s">
        <v>43</v>
      </c>
      <c r="E1319">
        <v>238</v>
      </c>
      <c r="F1319" s="1">
        <f>VLOOKUP(jablka[[#This Row],[Nazwa]],cennik[],2,0) * jablka[[#This Row],[sprzedaż]]</f>
        <v>833</v>
      </c>
    </row>
    <row r="1320" spans="1:6" x14ac:dyDescent="0.25">
      <c r="A1320" s="2">
        <v>44754</v>
      </c>
      <c r="B1320" s="1" t="s">
        <v>14</v>
      </c>
      <c r="C1320" s="1" t="s">
        <v>67</v>
      </c>
      <c r="D1320" s="1" t="s">
        <v>40</v>
      </c>
      <c r="E1320">
        <v>497</v>
      </c>
      <c r="F1320" s="1">
        <f>VLOOKUP(jablka[[#This Row],[Nazwa]],cennik[],2,0) * jablka[[#This Row],[sprzedaż]]</f>
        <v>1739.5</v>
      </c>
    </row>
    <row r="1321" spans="1:6" x14ac:dyDescent="0.25">
      <c r="A1321" s="2">
        <v>44755</v>
      </c>
      <c r="B1321" s="1" t="s">
        <v>12</v>
      </c>
      <c r="C1321" s="1" t="s">
        <v>68</v>
      </c>
      <c r="D1321" s="1" t="s">
        <v>59</v>
      </c>
      <c r="E1321">
        <v>438</v>
      </c>
      <c r="F1321" s="1">
        <f>VLOOKUP(jablka[[#This Row],[Nazwa]],cennik[],2,0) * jablka[[#This Row],[sprzedaż]]</f>
        <v>1182.6000000000001</v>
      </c>
    </row>
    <row r="1322" spans="1:6" x14ac:dyDescent="0.25">
      <c r="A1322" s="2">
        <v>44755</v>
      </c>
      <c r="B1322" s="1" t="s">
        <v>12</v>
      </c>
      <c r="C1322" s="1" t="s">
        <v>68</v>
      </c>
      <c r="D1322" s="1" t="s">
        <v>49</v>
      </c>
      <c r="E1322">
        <v>150</v>
      </c>
      <c r="F1322" s="1">
        <f>VLOOKUP(jablka[[#This Row],[Nazwa]],cennik[],2,0) * jablka[[#This Row],[sprzedaż]]</f>
        <v>405</v>
      </c>
    </row>
    <row r="1323" spans="1:6" x14ac:dyDescent="0.25">
      <c r="A1323" s="2">
        <v>44755</v>
      </c>
      <c r="B1323" s="1" t="s">
        <v>14</v>
      </c>
      <c r="C1323" s="1" t="s">
        <v>67</v>
      </c>
      <c r="D1323" s="1" t="s">
        <v>47</v>
      </c>
      <c r="E1323">
        <v>396</v>
      </c>
      <c r="F1323" s="1">
        <f>VLOOKUP(jablka[[#This Row],[Nazwa]],cennik[],2,0) * jablka[[#This Row],[sprzedaż]]</f>
        <v>1386</v>
      </c>
    </row>
    <row r="1324" spans="1:6" x14ac:dyDescent="0.25">
      <c r="A1324" s="2">
        <v>44755</v>
      </c>
      <c r="B1324" s="1" t="s">
        <v>14</v>
      </c>
      <c r="C1324" s="1" t="s">
        <v>67</v>
      </c>
      <c r="D1324" s="1" t="s">
        <v>65</v>
      </c>
      <c r="E1324">
        <v>233</v>
      </c>
      <c r="F1324" s="1">
        <f>VLOOKUP(jablka[[#This Row],[Nazwa]],cennik[],2,0) * jablka[[#This Row],[sprzedaż]]</f>
        <v>815.5</v>
      </c>
    </row>
    <row r="1325" spans="1:6" x14ac:dyDescent="0.25">
      <c r="A1325" s="2">
        <v>44755</v>
      </c>
      <c r="B1325" s="1" t="s">
        <v>14</v>
      </c>
      <c r="C1325" s="1" t="s">
        <v>67</v>
      </c>
      <c r="D1325" s="1" t="s">
        <v>32</v>
      </c>
      <c r="E1325">
        <v>104</v>
      </c>
      <c r="F1325" s="1">
        <f>VLOOKUP(jablka[[#This Row],[Nazwa]],cennik[],2,0) * jablka[[#This Row],[sprzedaż]]</f>
        <v>364</v>
      </c>
    </row>
    <row r="1326" spans="1:6" x14ac:dyDescent="0.25">
      <c r="A1326" s="2">
        <v>44755</v>
      </c>
      <c r="B1326" s="1" t="s">
        <v>14</v>
      </c>
      <c r="C1326" s="1" t="s">
        <v>67</v>
      </c>
      <c r="D1326" s="1" t="s">
        <v>52</v>
      </c>
      <c r="E1326">
        <v>236</v>
      </c>
      <c r="F1326" s="1">
        <f>VLOOKUP(jablka[[#This Row],[Nazwa]],cennik[],2,0) * jablka[[#This Row],[sprzedaż]]</f>
        <v>826</v>
      </c>
    </row>
    <row r="1327" spans="1:6" x14ac:dyDescent="0.25">
      <c r="A1327" s="2">
        <v>44755</v>
      </c>
      <c r="B1327" s="1" t="s">
        <v>13</v>
      </c>
      <c r="C1327" s="1" t="s">
        <v>68</v>
      </c>
      <c r="D1327" s="1" t="s">
        <v>48</v>
      </c>
      <c r="E1327">
        <v>276</v>
      </c>
      <c r="F1327" s="1">
        <f>VLOOKUP(jablka[[#This Row],[Nazwa]],cennik[],2,0) * jablka[[#This Row],[sprzedaż]]</f>
        <v>883.2</v>
      </c>
    </row>
    <row r="1328" spans="1:6" x14ac:dyDescent="0.25">
      <c r="A1328" s="2">
        <v>44756</v>
      </c>
      <c r="B1328" s="1" t="s">
        <v>13</v>
      </c>
      <c r="C1328" s="1" t="s">
        <v>68</v>
      </c>
      <c r="D1328" s="1" t="s">
        <v>64</v>
      </c>
      <c r="E1328">
        <v>130</v>
      </c>
      <c r="F1328" s="1">
        <f>VLOOKUP(jablka[[#This Row],[Nazwa]],cennik[],2,0) * jablka[[#This Row],[sprzedaż]]</f>
        <v>416</v>
      </c>
    </row>
    <row r="1329" spans="1:6" x14ac:dyDescent="0.25">
      <c r="A1329" s="2">
        <v>44756</v>
      </c>
      <c r="B1329" s="1" t="s">
        <v>12</v>
      </c>
      <c r="C1329" s="1" t="s">
        <v>68</v>
      </c>
      <c r="D1329" s="1" t="s">
        <v>29</v>
      </c>
      <c r="E1329">
        <v>275</v>
      </c>
      <c r="F1329" s="1">
        <f>VLOOKUP(jablka[[#This Row],[Nazwa]],cennik[],2,0) * jablka[[#This Row],[sprzedaż]]</f>
        <v>742.5</v>
      </c>
    </row>
    <row r="1330" spans="1:6" x14ac:dyDescent="0.25">
      <c r="A1330" s="2">
        <v>44756</v>
      </c>
      <c r="B1330" s="1" t="s">
        <v>12</v>
      </c>
      <c r="C1330" s="1" t="s">
        <v>68</v>
      </c>
      <c r="D1330" s="1" t="s">
        <v>22</v>
      </c>
      <c r="E1330">
        <v>373</v>
      </c>
      <c r="F1330" s="1">
        <f>VLOOKUP(jablka[[#This Row],[Nazwa]],cennik[],2,0) * jablka[[#This Row],[sprzedaż]]</f>
        <v>1007.1</v>
      </c>
    </row>
    <row r="1331" spans="1:6" x14ac:dyDescent="0.25">
      <c r="A1331" s="2">
        <v>44756</v>
      </c>
      <c r="B1331" s="1" t="s">
        <v>14</v>
      </c>
      <c r="C1331" s="1" t="s">
        <v>67</v>
      </c>
      <c r="D1331" s="1" t="s">
        <v>51</v>
      </c>
      <c r="E1331">
        <v>408</v>
      </c>
      <c r="F1331" s="1">
        <f>VLOOKUP(jablka[[#This Row],[Nazwa]],cennik[],2,0) * jablka[[#This Row],[sprzedaż]]</f>
        <v>1428</v>
      </c>
    </row>
    <row r="1332" spans="1:6" x14ac:dyDescent="0.25">
      <c r="A1332" s="2">
        <v>44757</v>
      </c>
      <c r="B1332" s="1" t="s">
        <v>13</v>
      </c>
      <c r="C1332" s="1" t="s">
        <v>68</v>
      </c>
      <c r="D1332" s="1" t="s">
        <v>61</v>
      </c>
      <c r="E1332">
        <v>414</v>
      </c>
      <c r="F1332" s="1">
        <f>VLOOKUP(jablka[[#This Row],[Nazwa]],cennik[],2,0) * jablka[[#This Row],[sprzedaż]]</f>
        <v>1324.8000000000002</v>
      </c>
    </row>
    <row r="1333" spans="1:6" x14ac:dyDescent="0.25">
      <c r="A1333" s="2">
        <v>44757</v>
      </c>
      <c r="B1333" s="1" t="s">
        <v>12</v>
      </c>
      <c r="C1333" s="1" t="s">
        <v>68</v>
      </c>
      <c r="D1333" s="1" t="s">
        <v>36</v>
      </c>
      <c r="E1333">
        <v>313</v>
      </c>
      <c r="F1333" s="1">
        <f>VLOOKUP(jablka[[#This Row],[Nazwa]],cennik[],2,0) * jablka[[#This Row],[sprzedaż]]</f>
        <v>845.1</v>
      </c>
    </row>
    <row r="1334" spans="1:6" x14ac:dyDescent="0.25">
      <c r="A1334" s="2">
        <v>44757</v>
      </c>
      <c r="B1334" s="1" t="s">
        <v>14</v>
      </c>
      <c r="C1334" s="1" t="s">
        <v>67</v>
      </c>
      <c r="D1334" s="1" t="s">
        <v>49</v>
      </c>
      <c r="E1334">
        <v>227</v>
      </c>
      <c r="F1334" s="1">
        <f>VLOOKUP(jablka[[#This Row],[Nazwa]],cennik[],2,0) * jablka[[#This Row],[sprzedaż]]</f>
        <v>794.5</v>
      </c>
    </row>
    <row r="1335" spans="1:6" x14ac:dyDescent="0.25">
      <c r="A1335" s="2">
        <v>44757</v>
      </c>
      <c r="B1335" s="1" t="s">
        <v>12</v>
      </c>
      <c r="C1335" s="1" t="s">
        <v>68</v>
      </c>
      <c r="D1335" s="1" t="s">
        <v>19</v>
      </c>
      <c r="E1335">
        <v>144</v>
      </c>
      <c r="F1335" s="1">
        <f>VLOOKUP(jablka[[#This Row],[Nazwa]],cennik[],2,0) * jablka[[#This Row],[sprzedaż]]</f>
        <v>388.8</v>
      </c>
    </row>
    <row r="1336" spans="1:6" x14ac:dyDescent="0.25">
      <c r="A1336" s="2">
        <v>44757</v>
      </c>
      <c r="B1336" s="1" t="s">
        <v>12</v>
      </c>
      <c r="C1336" s="1" t="s">
        <v>68</v>
      </c>
      <c r="D1336" s="1" t="s">
        <v>30</v>
      </c>
      <c r="E1336">
        <v>230</v>
      </c>
      <c r="F1336" s="1">
        <f>VLOOKUP(jablka[[#This Row],[Nazwa]],cennik[],2,0) * jablka[[#This Row],[sprzedaż]]</f>
        <v>621</v>
      </c>
    </row>
    <row r="1337" spans="1:6" x14ac:dyDescent="0.25">
      <c r="A1337" s="2">
        <v>44757</v>
      </c>
      <c r="B1337" s="1" t="s">
        <v>12</v>
      </c>
      <c r="C1337" s="1" t="s">
        <v>68</v>
      </c>
      <c r="D1337" s="1" t="s">
        <v>62</v>
      </c>
      <c r="E1337">
        <v>249</v>
      </c>
      <c r="F1337" s="1">
        <f>VLOOKUP(jablka[[#This Row],[Nazwa]],cennik[],2,0) * jablka[[#This Row],[sprzedaż]]</f>
        <v>672.30000000000007</v>
      </c>
    </row>
    <row r="1338" spans="1:6" x14ac:dyDescent="0.25">
      <c r="A1338" s="2">
        <v>44757</v>
      </c>
      <c r="B1338" s="1" t="s">
        <v>13</v>
      </c>
      <c r="C1338" s="1" t="s">
        <v>68</v>
      </c>
      <c r="D1338" s="1" t="s">
        <v>42</v>
      </c>
      <c r="E1338">
        <v>421</v>
      </c>
      <c r="F1338" s="1">
        <f>VLOOKUP(jablka[[#This Row],[Nazwa]],cennik[],2,0) * jablka[[#This Row],[sprzedaż]]</f>
        <v>1347.2</v>
      </c>
    </row>
    <row r="1339" spans="1:6" x14ac:dyDescent="0.25">
      <c r="A1339" s="2">
        <v>44758</v>
      </c>
      <c r="B1339" s="1" t="s">
        <v>13</v>
      </c>
      <c r="C1339" s="1" t="s">
        <v>68</v>
      </c>
      <c r="D1339" s="1" t="s">
        <v>47</v>
      </c>
      <c r="E1339">
        <v>296</v>
      </c>
      <c r="F1339" s="1">
        <f>VLOOKUP(jablka[[#This Row],[Nazwa]],cennik[],2,0) * jablka[[#This Row],[sprzedaż]]</f>
        <v>947.2</v>
      </c>
    </row>
    <row r="1340" spans="1:6" x14ac:dyDescent="0.25">
      <c r="A1340" s="2">
        <v>44758</v>
      </c>
      <c r="B1340" s="1" t="s">
        <v>13</v>
      </c>
      <c r="C1340" s="1" t="s">
        <v>68</v>
      </c>
      <c r="D1340" s="1" t="s">
        <v>60</v>
      </c>
      <c r="E1340">
        <v>30</v>
      </c>
      <c r="F1340" s="1">
        <f>VLOOKUP(jablka[[#This Row],[Nazwa]],cennik[],2,0) * jablka[[#This Row],[sprzedaż]]</f>
        <v>96</v>
      </c>
    </row>
    <row r="1341" spans="1:6" x14ac:dyDescent="0.25">
      <c r="A1341" s="2">
        <v>44758</v>
      </c>
      <c r="B1341" s="1" t="s">
        <v>12</v>
      </c>
      <c r="C1341" s="1" t="s">
        <v>68</v>
      </c>
      <c r="D1341" s="1" t="s">
        <v>34</v>
      </c>
      <c r="E1341">
        <v>162</v>
      </c>
      <c r="F1341" s="1">
        <f>VLOOKUP(jablka[[#This Row],[Nazwa]],cennik[],2,0) * jablka[[#This Row],[sprzedaż]]</f>
        <v>437.40000000000003</v>
      </c>
    </row>
    <row r="1342" spans="1:6" x14ac:dyDescent="0.25">
      <c r="A1342" s="2">
        <v>44758</v>
      </c>
      <c r="B1342" s="1" t="s">
        <v>14</v>
      </c>
      <c r="C1342" s="1" t="s">
        <v>67</v>
      </c>
      <c r="D1342" s="1" t="s">
        <v>46</v>
      </c>
      <c r="E1342">
        <v>326</v>
      </c>
      <c r="F1342" s="1">
        <f>VLOOKUP(jablka[[#This Row],[Nazwa]],cennik[],2,0) * jablka[[#This Row],[sprzedaż]]</f>
        <v>1141</v>
      </c>
    </row>
    <row r="1343" spans="1:6" x14ac:dyDescent="0.25">
      <c r="A1343" s="2">
        <v>44758</v>
      </c>
      <c r="B1343" s="1" t="s">
        <v>12</v>
      </c>
      <c r="C1343" s="1" t="s">
        <v>68</v>
      </c>
      <c r="D1343" s="1" t="s">
        <v>57</v>
      </c>
      <c r="E1343">
        <v>302</v>
      </c>
      <c r="F1343" s="1">
        <f>VLOOKUP(jablka[[#This Row],[Nazwa]],cennik[],2,0) * jablka[[#This Row],[sprzedaż]]</f>
        <v>815.40000000000009</v>
      </c>
    </row>
    <row r="1344" spans="1:6" x14ac:dyDescent="0.25">
      <c r="A1344" s="2">
        <v>44758</v>
      </c>
      <c r="B1344" s="1" t="s">
        <v>12</v>
      </c>
      <c r="C1344" s="1" t="s">
        <v>68</v>
      </c>
      <c r="D1344" s="1" t="s">
        <v>24</v>
      </c>
      <c r="E1344">
        <v>355</v>
      </c>
      <c r="F1344" s="1">
        <f>VLOOKUP(jablka[[#This Row],[Nazwa]],cennik[],2,0) * jablka[[#This Row],[sprzedaż]]</f>
        <v>958.50000000000011</v>
      </c>
    </row>
    <row r="1345" spans="1:6" x14ac:dyDescent="0.25">
      <c r="A1345" s="2">
        <v>44760</v>
      </c>
      <c r="B1345" s="1" t="s">
        <v>12</v>
      </c>
      <c r="C1345" s="1" t="s">
        <v>68</v>
      </c>
      <c r="D1345" s="1" t="s">
        <v>48</v>
      </c>
      <c r="E1345">
        <v>403</v>
      </c>
      <c r="F1345" s="1">
        <f>VLOOKUP(jablka[[#This Row],[Nazwa]],cennik[],2,0) * jablka[[#This Row],[sprzedaż]]</f>
        <v>1088.1000000000001</v>
      </c>
    </row>
    <row r="1346" spans="1:6" x14ac:dyDescent="0.25">
      <c r="A1346" s="2">
        <v>44760</v>
      </c>
      <c r="B1346" s="1" t="s">
        <v>14</v>
      </c>
      <c r="C1346" s="1" t="s">
        <v>67</v>
      </c>
      <c r="D1346" s="1" t="s">
        <v>25</v>
      </c>
      <c r="E1346">
        <v>77</v>
      </c>
      <c r="F1346" s="1">
        <f>VLOOKUP(jablka[[#This Row],[Nazwa]],cennik[],2,0) * jablka[[#This Row],[sprzedaż]]</f>
        <v>269.5</v>
      </c>
    </row>
    <row r="1347" spans="1:6" x14ac:dyDescent="0.25">
      <c r="A1347" s="2">
        <v>44760</v>
      </c>
      <c r="B1347" s="1" t="s">
        <v>12</v>
      </c>
      <c r="C1347" s="1" t="s">
        <v>68</v>
      </c>
      <c r="D1347" s="1" t="s">
        <v>36</v>
      </c>
      <c r="E1347">
        <v>365</v>
      </c>
      <c r="F1347" s="1">
        <f>VLOOKUP(jablka[[#This Row],[Nazwa]],cennik[],2,0) * jablka[[#This Row],[sprzedaż]]</f>
        <v>985.50000000000011</v>
      </c>
    </row>
    <row r="1348" spans="1:6" x14ac:dyDescent="0.25">
      <c r="A1348" s="2">
        <v>44760</v>
      </c>
      <c r="B1348" s="1" t="s">
        <v>12</v>
      </c>
      <c r="C1348" s="1" t="s">
        <v>68</v>
      </c>
      <c r="D1348" s="1" t="s">
        <v>57</v>
      </c>
      <c r="E1348">
        <v>43</v>
      </c>
      <c r="F1348" s="1">
        <f>VLOOKUP(jablka[[#This Row],[Nazwa]],cennik[],2,0) * jablka[[#This Row],[sprzedaż]]</f>
        <v>116.10000000000001</v>
      </c>
    </row>
    <row r="1349" spans="1:6" x14ac:dyDescent="0.25">
      <c r="A1349" s="2">
        <v>44760</v>
      </c>
      <c r="B1349" s="1" t="s">
        <v>12</v>
      </c>
      <c r="C1349" s="1" t="s">
        <v>68</v>
      </c>
      <c r="D1349" s="1" t="s">
        <v>57</v>
      </c>
      <c r="E1349">
        <v>230</v>
      </c>
      <c r="F1349" s="1">
        <f>VLOOKUP(jablka[[#This Row],[Nazwa]],cennik[],2,0) * jablka[[#This Row],[sprzedaż]]</f>
        <v>621</v>
      </c>
    </row>
    <row r="1350" spans="1:6" x14ac:dyDescent="0.25">
      <c r="A1350" s="2">
        <v>44760</v>
      </c>
      <c r="B1350" s="1" t="s">
        <v>14</v>
      </c>
      <c r="C1350" s="1" t="s">
        <v>67</v>
      </c>
      <c r="D1350" s="1" t="s">
        <v>17</v>
      </c>
      <c r="E1350">
        <v>99</v>
      </c>
      <c r="F1350" s="1">
        <f>VLOOKUP(jablka[[#This Row],[Nazwa]],cennik[],2,0) * jablka[[#This Row],[sprzedaż]]</f>
        <v>346.5</v>
      </c>
    </row>
    <row r="1351" spans="1:6" x14ac:dyDescent="0.25">
      <c r="A1351" s="2">
        <v>44760</v>
      </c>
      <c r="B1351" s="1" t="s">
        <v>12</v>
      </c>
      <c r="C1351" s="1" t="s">
        <v>68</v>
      </c>
      <c r="D1351" s="1" t="s">
        <v>51</v>
      </c>
      <c r="E1351">
        <v>224</v>
      </c>
      <c r="F1351" s="1">
        <f>VLOOKUP(jablka[[#This Row],[Nazwa]],cennik[],2,0) * jablka[[#This Row],[sprzedaż]]</f>
        <v>604.80000000000007</v>
      </c>
    </row>
    <row r="1352" spans="1:6" x14ac:dyDescent="0.25">
      <c r="A1352" s="2">
        <v>44760</v>
      </c>
      <c r="B1352" s="1" t="s">
        <v>12</v>
      </c>
      <c r="C1352" s="1" t="s">
        <v>68</v>
      </c>
      <c r="D1352" s="1" t="s">
        <v>55</v>
      </c>
      <c r="E1352">
        <v>316</v>
      </c>
      <c r="F1352" s="1">
        <f>VLOOKUP(jablka[[#This Row],[Nazwa]],cennik[],2,0) * jablka[[#This Row],[sprzedaż]]</f>
        <v>853.2</v>
      </c>
    </row>
    <row r="1353" spans="1:6" x14ac:dyDescent="0.25">
      <c r="A1353" s="2">
        <v>44760</v>
      </c>
      <c r="B1353" s="1" t="s">
        <v>12</v>
      </c>
      <c r="C1353" s="1" t="s">
        <v>68</v>
      </c>
      <c r="D1353" s="1" t="s">
        <v>63</v>
      </c>
      <c r="E1353">
        <v>293</v>
      </c>
      <c r="F1353" s="1">
        <f>VLOOKUP(jablka[[#This Row],[Nazwa]],cennik[],2,0) * jablka[[#This Row],[sprzedaż]]</f>
        <v>791.1</v>
      </c>
    </row>
    <row r="1354" spans="1:6" x14ac:dyDescent="0.25">
      <c r="A1354" s="2">
        <v>44760</v>
      </c>
      <c r="B1354" s="1" t="s">
        <v>12</v>
      </c>
      <c r="C1354" s="1" t="s">
        <v>68</v>
      </c>
      <c r="D1354" s="1" t="s">
        <v>43</v>
      </c>
      <c r="E1354">
        <v>28</v>
      </c>
      <c r="F1354" s="1">
        <f>VLOOKUP(jablka[[#This Row],[Nazwa]],cennik[],2,0) * jablka[[#This Row],[sprzedaż]]</f>
        <v>75.600000000000009</v>
      </c>
    </row>
    <row r="1355" spans="1:6" x14ac:dyDescent="0.25">
      <c r="A1355" s="2">
        <v>44760</v>
      </c>
      <c r="B1355" s="1" t="s">
        <v>13</v>
      </c>
      <c r="C1355" s="1" t="s">
        <v>68</v>
      </c>
      <c r="D1355" s="1" t="s">
        <v>43</v>
      </c>
      <c r="E1355">
        <v>21</v>
      </c>
      <c r="F1355" s="1">
        <f>VLOOKUP(jablka[[#This Row],[Nazwa]],cennik[],2,0) * jablka[[#This Row],[sprzedaż]]</f>
        <v>67.2</v>
      </c>
    </row>
    <row r="1356" spans="1:6" x14ac:dyDescent="0.25">
      <c r="A1356" s="2">
        <v>44760</v>
      </c>
      <c r="B1356" s="1" t="s">
        <v>12</v>
      </c>
      <c r="C1356" s="1" t="s">
        <v>68</v>
      </c>
      <c r="D1356" s="1" t="s">
        <v>51</v>
      </c>
      <c r="E1356">
        <v>110</v>
      </c>
      <c r="F1356" s="1">
        <f>VLOOKUP(jablka[[#This Row],[Nazwa]],cennik[],2,0) * jablka[[#This Row],[sprzedaż]]</f>
        <v>297</v>
      </c>
    </row>
    <row r="1357" spans="1:6" x14ac:dyDescent="0.25">
      <c r="A1357" s="2">
        <v>44760</v>
      </c>
      <c r="B1357" s="1" t="s">
        <v>12</v>
      </c>
      <c r="C1357" s="1" t="s">
        <v>68</v>
      </c>
      <c r="D1357" s="1" t="s">
        <v>45</v>
      </c>
      <c r="E1357">
        <v>230</v>
      </c>
      <c r="F1357" s="1">
        <f>VLOOKUP(jablka[[#This Row],[Nazwa]],cennik[],2,0) * jablka[[#This Row],[sprzedaż]]</f>
        <v>621</v>
      </c>
    </row>
    <row r="1358" spans="1:6" x14ac:dyDescent="0.25">
      <c r="A1358" s="2">
        <v>44760</v>
      </c>
      <c r="B1358" s="1" t="s">
        <v>12</v>
      </c>
      <c r="C1358" s="1" t="s">
        <v>68</v>
      </c>
      <c r="D1358" s="1" t="s">
        <v>50</v>
      </c>
      <c r="E1358">
        <v>407</v>
      </c>
      <c r="F1358" s="1">
        <f>VLOOKUP(jablka[[#This Row],[Nazwa]],cennik[],2,0) * jablka[[#This Row],[sprzedaż]]</f>
        <v>1098.9000000000001</v>
      </c>
    </row>
    <row r="1359" spans="1:6" x14ac:dyDescent="0.25">
      <c r="A1359" s="2">
        <v>44760</v>
      </c>
      <c r="B1359" s="1" t="s">
        <v>14</v>
      </c>
      <c r="C1359" s="1" t="s">
        <v>67</v>
      </c>
      <c r="D1359" s="1" t="s">
        <v>35</v>
      </c>
      <c r="E1359">
        <v>343</v>
      </c>
      <c r="F1359" s="1">
        <f>VLOOKUP(jablka[[#This Row],[Nazwa]],cennik[],2,0) * jablka[[#This Row],[sprzedaż]]</f>
        <v>1200.5</v>
      </c>
    </row>
    <row r="1360" spans="1:6" x14ac:dyDescent="0.25">
      <c r="A1360" s="2">
        <v>44760</v>
      </c>
      <c r="B1360" s="1" t="s">
        <v>13</v>
      </c>
      <c r="C1360" s="1" t="s">
        <v>68</v>
      </c>
      <c r="D1360" s="1" t="s">
        <v>27</v>
      </c>
      <c r="E1360">
        <v>120</v>
      </c>
      <c r="F1360" s="1">
        <f>VLOOKUP(jablka[[#This Row],[Nazwa]],cennik[],2,0) * jablka[[#This Row],[sprzedaż]]</f>
        <v>384</v>
      </c>
    </row>
    <row r="1361" spans="1:6" x14ac:dyDescent="0.25">
      <c r="A1361" s="2">
        <v>44760</v>
      </c>
      <c r="B1361" s="1" t="s">
        <v>14</v>
      </c>
      <c r="C1361" s="1" t="s">
        <v>67</v>
      </c>
      <c r="D1361" s="1" t="s">
        <v>44</v>
      </c>
      <c r="E1361">
        <v>37</v>
      </c>
      <c r="F1361" s="1">
        <f>VLOOKUP(jablka[[#This Row],[Nazwa]],cennik[],2,0) * jablka[[#This Row],[sprzedaż]]</f>
        <v>129.5</v>
      </c>
    </row>
    <row r="1362" spans="1:6" x14ac:dyDescent="0.25">
      <c r="A1362" s="2">
        <v>44761</v>
      </c>
      <c r="B1362" s="1" t="s">
        <v>14</v>
      </c>
      <c r="C1362" s="1" t="s">
        <v>67</v>
      </c>
      <c r="D1362" s="1" t="s">
        <v>63</v>
      </c>
      <c r="E1362">
        <v>201</v>
      </c>
      <c r="F1362" s="1">
        <f>VLOOKUP(jablka[[#This Row],[Nazwa]],cennik[],2,0) * jablka[[#This Row],[sprzedaż]]</f>
        <v>703.5</v>
      </c>
    </row>
    <row r="1363" spans="1:6" x14ac:dyDescent="0.25">
      <c r="A1363" s="2">
        <v>44761</v>
      </c>
      <c r="B1363" s="1" t="s">
        <v>13</v>
      </c>
      <c r="C1363" s="1" t="s">
        <v>68</v>
      </c>
      <c r="D1363" s="1" t="s">
        <v>29</v>
      </c>
      <c r="E1363">
        <v>389</v>
      </c>
      <c r="F1363" s="1">
        <f>VLOOKUP(jablka[[#This Row],[Nazwa]],cennik[],2,0) * jablka[[#This Row],[sprzedaż]]</f>
        <v>1244.8000000000002</v>
      </c>
    </row>
    <row r="1364" spans="1:6" x14ac:dyDescent="0.25">
      <c r="A1364" s="2">
        <v>44761</v>
      </c>
      <c r="B1364" s="1" t="s">
        <v>13</v>
      </c>
      <c r="C1364" s="1" t="s">
        <v>68</v>
      </c>
      <c r="D1364" s="1" t="s">
        <v>30</v>
      </c>
      <c r="E1364">
        <v>485</v>
      </c>
      <c r="F1364" s="1">
        <f>VLOOKUP(jablka[[#This Row],[Nazwa]],cennik[],2,0) * jablka[[#This Row],[sprzedaż]]</f>
        <v>1552</v>
      </c>
    </row>
    <row r="1365" spans="1:6" x14ac:dyDescent="0.25">
      <c r="A1365" s="2">
        <v>44761</v>
      </c>
      <c r="B1365" s="1" t="s">
        <v>12</v>
      </c>
      <c r="C1365" s="1" t="s">
        <v>68</v>
      </c>
      <c r="D1365" s="1" t="s">
        <v>54</v>
      </c>
      <c r="E1365">
        <v>52</v>
      </c>
      <c r="F1365" s="1">
        <f>VLOOKUP(jablka[[#This Row],[Nazwa]],cennik[],2,0) * jablka[[#This Row],[sprzedaż]]</f>
        <v>140.4</v>
      </c>
    </row>
    <row r="1366" spans="1:6" x14ac:dyDescent="0.25">
      <c r="A1366" s="2">
        <v>44762</v>
      </c>
      <c r="B1366" s="1" t="s">
        <v>13</v>
      </c>
      <c r="C1366" s="1" t="s">
        <v>68</v>
      </c>
      <c r="D1366" s="1" t="s">
        <v>51</v>
      </c>
      <c r="E1366">
        <v>33</v>
      </c>
      <c r="F1366" s="1">
        <f>VLOOKUP(jablka[[#This Row],[Nazwa]],cennik[],2,0) * jablka[[#This Row],[sprzedaż]]</f>
        <v>105.60000000000001</v>
      </c>
    </row>
    <row r="1367" spans="1:6" x14ac:dyDescent="0.25">
      <c r="A1367" s="2">
        <v>44762</v>
      </c>
      <c r="B1367" s="1" t="s">
        <v>13</v>
      </c>
      <c r="C1367" s="1" t="s">
        <v>68</v>
      </c>
      <c r="D1367" s="1" t="s">
        <v>50</v>
      </c>
      <c r="E1367">
        <v>119</v>
      </c>
      <c r="F1367" s="1">
        <f>VLOOKUP(jablka[[#This Row],[Nazwa]],cennik[],2,0) * jablka[[#This Row],[sprzedaż]]</f>
        <v>380.8</v>
      </c>
    </row>
    <row r="1368" spans="1:6" x14ac:dyDescent="0.25">
      <c r="A1368" s="2">
        <v>44762</v>
      </c>
      <c r="B1368" s="1" t="s">
        <v>13</v>
      </c>
      <c r="C1368" s="1" t="s">
        <v>68</v>
      </c>
      <c r="D1368" s="1" t="s">
        <v>21</v>
      </c>
      <c r="E1368">
        <v>455</v>
      </c>
      <c r="F1368" s="1">
        <f>VLOOKUP(jablka[[#This Row],[Nazwa]],cennik[],2,0) * jablka[[#This Row],[sprzedaż]]</f>
        <v>1456</v>
      </c>
    </row>
    <row r="1369" spans="1:6" x14ac:dyDescent="0.25">
      <c r="A1369" s="2">
        <v>44762</v>
      </c>
      <c r="B1369" s="1" t="s">
        <v>13</v>
      </c>
      <c r="C1369" s="1" t="s">
        <v>68</v>
      </c>
      <c r="D1369" s="1" t="s">
        <v>60</v>
      </c>
      <c r="E1369">
        <v>498</v>
      </c>
      <c r="F1369" s="1">
        <f>VLOOKUP(jablka[[#This Row],[Nazwa]],cennik[],2,0) * jablka[[#This Row],[sprzedaż]]</f>
        <v>1593.6000000000001</v>
      </c>
    </row>
    <row r="1370" spans="1:6" x14ac:dyDescent="0.25">
      <c r="A1370" s="2">
        <v>44762</v>
      </c>
      <c r="B1370" s="1" t="s">
        <v>13</v>
      </c>
      <c r="C1370" s="1" t="s">
        <v>68</v>
      </c>
      <c r="D1370" s="1" t="s">
        <v>18</v>
      </c>
      <c r="E1370">
        <v>280</v>
      </c>
      <c r="F1370" s="1">
        <f>VLOOKUP(jablka[[#This Row],[Nazwa]],cennik[],2,0) * jablka[[#This Row],[sprzedaż]]</f>
        <v>896</v>
      </c>
    </row>
    <row r="1371" spans="1:6" x14ac:dyDescent="0.25">
      <c r="A1371" s="2">
        <v>44762</v>
      </c>
      <c r="B1371" s="1" t="s">
        <v>14</v>
      </c>
      <c r="C1371" s="1" t="s">
        <v>67</v>
      </c>
      <c r="D1371" s="1" t="s">
        <v>25</v>
      </c>
      <c r="E1371">
        <v>154</v>
      </c>
      <c r="F1371" s="1">
        <f>VLOOKUP(jablka[[#This Row],[Nazwa]],cennik[],2,0) * jablka[[#This Row],[sprzedaż]]</f>
        <v>539</v>
      </c>
    </row>
    <row r="1372" spans="1:6" x14ac:dyDescent="0.25">
      <c r="A1372" s="2">
        <v>44762</v>
      </c>
      <c r="B1372" s="1" t="s">
        <v>12</v>
      </c>
      <c r="C1372" s="1" t="s">
        <v>68</v>
      </c>
      <c r="D1372" s="1" t="s">
        <v>36</v>
      </c>
      <c r="E1372">
        <v>397</v>
      </c>
      <c r="F1372" s="1">
        <f>VLOOKUP(jablka[[#This Row],[Nazwa]],cennik[],2,0) * jablka[[#This Row],[sprzedaż]]</f>
        <v>1071.9000000000001</v>
      </c>
    </row>
    <row r="1373" spans="1:6" x14ac:dyDescent="0.25">
      <c r="A1373" s="2">
        <v>44762</v>
      </c>
      <c r="B1373" s="1" t="s">
        <v>13</v>
      </c>
      <c r="C1373" s="1" t="s">
        <v>68</v>
      </c>
      <c r="D1373" s="1" t="s">
        <v>22</v>
      </c>
      <c r="E1373">
        <v>352</v>
      </c>
      <c r="F1373" s="1">
        <f>VLOOKUP(jablka[[#This Row],[Nazwa]],cennik[],2,0) * jablka[[#This Row],[sprzedaż]]</f>
        <v>1126.4000000000001</v>
      </c>
    </row>
    <row r="1374" spans="1:6" x14ac:dyDescent="0.25">
      <c r="A1374" s="2">
        <v>44762</v>
      </c>
      <c r="B1374" s="1" t="s">
        <v>13</v>
      </c>
      <c r="C1374" s="1" t="s">
        <v>68</v>
      </c>
      <c r="D1374" s="1" t="s">
        <v>19</v>
      </c>
      <c r="E1374">
        <v>147</v>
      </c>
      <c r="F1374" s="1">
        <f>VLOOKUP(jablka[[#This Row],[Nazwa]],cennik[],2,0) * jablka[[#This Row],[sprzedaż]]</f>
        <v>470.40000000000003</v>
      </c>
    </row>
    <row r="1375" spans="1:6" x14ac:dyDescent="0.25">
      <c r="A1375" s="2">
        <v>44762</v>
      </c>
      <c r="B1375" s="1" t="s">
        <v>14</v>
      </c>
      <c r="C1375" s="1" t="s">
        <v>67</v>
      </c>
      <c r="D1375" s="1" t="s">
        <v>52</v>
      </c>
      <c r="E1375">
        <v>303</v>
      </c>
      <c r="F1375" s="1">
        <f>VLOOKUP(jablka[[#This Row],[Nazwa]],cennik[],2,0) * jablka[[#This Row],[sprzedaż]]</f>
        <v>1060.5</v>
      </c>
    </row>
    <row r="1376" spans="1:6" x14ac:dyDescent="0.25">
      <c r="A1376" s="2">
        <v>44763</v>
      </c>
      <c r="B1376" s="1" t="s">
        <v>13</v>
      </c>
      <c r="C1376" s="1" t="s">
        <v>68</v>
      </c>
      <c r="D1376" s="1" t="s">
        <v>58</v>
      </c>
      <c r="E1376">
        <v>153</v>
      </c>
      <c r="F1376" s="1">
        <f>VLOOKUP(jablka[[#This Row],[Nazwa]],cennik[],2,0) * jablka[[#This Row],[sprzedaż]]</f>
        <v>489.6</v>
      </c>
    </row>
    <row r="1377" spans="1:6" x14ac:dyDescent="0.25">
      <c r="A1377" s="2">
        <v>44763</v>
      </c>
      <c r="B1377" s="1" t="s">
        <v>14</v>
      </c>
      <c r="C1377" s="1" t="s">
        <v>67</v>
      </c>
      <c r="D1377" s="1" t="s">
        <v>27</v>
      </c>
      <c r="E1377">
        <v>73</v>
      </c>
      <c r="F1377" s="1">
        <f>VLOOKUP(jablka[[#This Row],[Nazwa]],cennik[],2,0) * jablka[[#This Row],[sprzedaż]]</f>
        <v>255.5</v>
      </c>
    </row>
    <row r="1378" spans="1:6" x14ac:dyDescent="0.25">
      <c r="A1378" s="2">
        <v>44763</v>
      </c>
      <c r="B1378" s="1" t="s">
        <v>14</v>
      </c>
      <c r="C1378" s="1" t="s">
        <v>67</v>
      </c>
      <c r="D1378" s="1" t="s">
        <v>62</v>
      </c>
      <c r="E1378">
        <v>97</v>
      </c>
      <c r="F1378" s="1">
        <f>VLOOKUP(jablka[[#This Row],[Nazwa]],cennik[],2,0) * jablka[[#This Row],[sprzedaż]]</f>
        <v>339.5</v>
      </c>
    </row>
    <row r="1379" spans="1:6" x14ac:dyDescent="0.25">
      <c r="A1379" s="2">
        <v>44763</v>
      </c>
      <c r="B1379" s="1" t="s">
        <v>12</v>
      </c>
      <c r="C1379" s="1" t="s">
        <v>68</v>
      </c>
      <c r="D1379" s="1" t="s">
        <v>26</v>
      </c>
      <c r="E1379">
        <v>123</v>
      </c>
      <c r="F1379" s="1">
        <f>VLOOKUP(jablka[[#This Row],[Nazwa]],cennik[],2,0) * jablka[[#This Row],[sprzedaż]]</f>
        <v>332.1</v>
      </c>
    </row>
    <row r="1380" spans="1:6" x14ac:dyDescent="0.25">
      <c r="A1380" s="2">
        <v>44764</v>
      </c>
      <c r="B1380" s="1" t="s">
        <v>13</v>
      </c>
      <c r="C1380" s="1" t="s">
        <v>68</v>
      </c>
      <c r="D1380" s="1" t="s">
        <v>22</v>
      </c>
      <c r="E1380">
        <v>262</v>
      </c>
      <c r="F1380" s="1">
        <f>VLOOKUP(jablka[[#This Row],[Nazwa]],cennik[],2,0) * jablka[[#This Row],[sprzedaż]]</f>
        <v>838.40000000000009</v>
      </c>
    </row>
    <row r="1381" spans="1:6" x14ac:dyDescent="0.25">
      <c r="A1381" s="2">
        <v>44764</v>
      </c>
      <c r="B1381" s="1" t="s">
        <v>12</v>
      </c>
      <c r="C1381" s="1" t="s">
        <v>68</v>
      </c>
      <c r="D1381" s="1" t="s">
        <v>28</v>
      </c>
      <c r="E1381">
        <v>345</v>
      </c>
      <c r="F1381" s="1">
        <f>VLOOKUP(jablka[[#This Row],[Nazwa]],cennik[],2,0) * jablka[[#This Row],[sprzedaż]]</f>
        <v>931.50000000000011</v>
      </c>
    </row>
    <row r="1382" spans="1:6" x14ac:dyDescent="0.25">
      <c r="A1382" s="2">
        <v>44764</v>
      </c>
      <c r="B1382" s="1" t="s">
        <v>13</v>
      </c>
      <c r="C1382" s="1" t="s">
        <v>68</v>
      </c>
      <c r="D1382" s="1" t="s">
        <v>19</v>
      </c>
      <c r="E1382">
        <v>481</v>
      </c>
      <c r="F1382" s="1">
        <f>VLOOKUP(jablka[[#This Row],[Nazwa]],cennik[],2,0) * jablka[[#This Row],[sprzedaż]]</f>
        <v>1539.2</v>
      </c>
    </row>
    <row r="1383" spans="1:6" x14ac:dyDescent="0.25">
      <c r="A1383" s="2">
        <v>44764</v>
      </c>
      <c r="B1383" s="1" t="s">
        <v>14</v>
      </c>
      <c r="C1383" s="1" t="s">
        <v>67</v>
      </c>
      <c r="D1383" s="1" t="s">
        <v>36</v>
      </c>
      <c r="E1383">
        <v>302</v>
      </c>
      <c r="F1383" s="1">
        <f>VLOOKUP(jablka[[#This Row],[Nazwa]],cennik[],2,0) * jablka[[#This Row],[sprzedaż]]</f>
        <v>1057</v>
      </c>
    </row>
    <row r="1384" spans="1:6" x14ac:dyDescent="0.25">
      <c r="A1384" s="2">
        <v>44764</v>
      </c>
      <c r="B1384" s="1" t="s">
        <v>13</v>
      </c>
      <c r="C1384" s="1" t="s">
        <v>68</v>
      </c>
      <c r="D1384" s="1" t="s">
        <v>57</v>
      </c>
      <c r="E1384">
        <v>357</v>
      </c>
      <c r="F1384" s="1">
        <f>VLOOKUP(jablka[[#This Row],[Nazwa]],cennik[],2,0) * jablka[[#This Row],[sprzedaż]]</f>
        <v>1142.4000000000001</v>
      </c>
    </row>
    <row r="1385" spans="1:6" x14ac:dyDescent="0.25">
      <c r="A1385" s="2">
        <v>44764</v>
      </c>
      <c r="B1385" s="1" t="s">
        <v>12</v>
      </c>
      <c r="C1385" s="1" t="s">
        <v>68</v>
      </c>
      <c r="D1385" s="1" t="s">
        <v>43</v>
      </c>
      <c r="E1385">
        <v>192</v>
      </c>
      <c r="F1385" s="1">
        <f>VLOOKUP(jablka[[#This Row],[Nazwa]],cennik[],2,0) * jablka[[#This Row],[sprzedaż]]</f>
        <v>518.40000000000009</v>
      </c>
    </row>
    <row r="1386" spans="1:6" x14ac:dyDescent="0.25">
      <c r="A1386" s="2">
        <v>44764</v>
      </c>
      <c r="B1386" s="1" t="s">
        <v>14</v>
      </c>
      <c r="C1386" s="1" t="s">
        <v>67</v>
      </c>
      <c r="D1386" s="1" t="s">
        <v>20</v>
      </c>
      <c r="E1386">
        <v>392</v>
      </c>
      <c r="F1386" s="1">
        <f>VLOOKUP(jablka[[#This Row],[Nazwa]],cennik[],2,0) * jablka[[#This Row],[sprzedaż]]</f>
        <v>1372</v>
      </c>
    </row>
    <row r="1387" spans="1:6" x14ac:dyDescent="0.25">
      <c r="A1387" s="2">
        <v>44764</v>
      </c>
      <c r="B1387" s="1" t="s">
        <v>12</v>
      </c>
      <c r="C1387" s="1" t="s">
        <v>68</v>
      </c>
      <c r="D1387" s="1" t="s">
        <v>28</v>
      </c>
      <c r="E1387">
        <v>147</v>
      </c>
      <c r="F1387" s="1">
        <f>VLOOKUP(jablka[[#This Row],[Nazwa]],cennik[],2,0) * jablka[[#This Row],[sprzedaż]]</f>
        <v>396.90000000000003</v>
      </c>
    </row>
    <row r="1388" spans="1:6" x14ac:dyDescent="0.25">
      <c r="A1388" s="2">
        <v>44764</v>
      </c>
      <c r="B1388" s="1" t="s">
        <v>12</v>
      </c>
      <c r="C1388" s="1" t="s">
        <v>68</v>
      </c>
      <c r="D1388" s="1" t="s">
        <v>28</v>
      </c>
      <c r="E1388">
        <v>419</v>
      </c>
      <c r="F1388" s="1">
        <f>VLOOKUP(jablka[[#This Row],[Nazwa]],cennik[],2,0) * jablka[[#This Row],[sprzedaż]]</f>
        <v>1131.3000000000002</v>
      </c>
    </row>
    <row r="1389" spans="1:6" x14ac:dyDescent="0.25">
      <c r="A1389" s="2">
        <v>44765</v>
      </c>
      <c r="B1389" s="1" t="s">
        <v>14</v>
      </c>
      <c r="C1389" s="1" t="s">
        <v>67</v>
      </c>
      <c r="D1389" s="1" t="s">
        <v>56</v>
      </c>
      <c r="E1389">
        <v>347</v>
      </c>
      <c r="F1389" s="1">
        <f>VLOOKUP(jablka[[#This Row],[Nazwa]],cennik[],2,0) * jablka[[#This Row],[sprzedaż]]</f>
        <v>1214.5</v>
      </c>
    </row>
    <row r="1390" spans="1:6" x14ac:dyDescent="0.25">
      <c r="A1390" s="2">
        <v>44765</v>
      </c>
      <c r="B1390" s="1" t="s">
        <v>12</v>
      </c>
      <c r="C1390" s="1" t="s">
        <v>68</v>
      </c>
      <c r="D1390" s="1" t="s">
        <v>38</v>
      </c>
      <c r="E1390">
        <v>500</v>
      </c>
      <c r="F1390" s="1">
        <f>VLOOKUP(jablka[[#This Row],[Nazwa]],cennik[],2,0) * jablka[[#This Row],[sprzedaż]]</f>
        <v>1350</v>
      </c>
    </row>
    <row r="1391" spans="1:6" x14ac:dyDescent="0.25">
      <c r="A1391" s="2">
        <v>44765</v>
      </c>
      <c r="B1391" s="1" t="s">
        <v>13</v>
      </c>
      <c r="C1391" s="1" t="s">
        <v>68</v>
      </c>
      <c r="D1391" s="1" t="s">
        <v>61</v>
      </c>
      <c r="E1391">
        <v>126</v>
      </c>
      <c r="F1391" s="1">
        <f>VLOOKUP(jablka[[#This Row],[Nazwa]],cennik[],2,0) * jablka[[#This Row],[sprzedaż]]</f>
        <v>403.20000000000005</v>
      </c>
    </row>
    <row r="1392" spans="1:6" x14ac:dyDescent="0.25">
      <c r="A1392" s="2">
        <v>44765</v>
      </c>
      <c r="B1392" s="1" t="s">
        <v>12</v>
      </c>
      <c r="C1392" s="1" t="s">
        <v>68</v>
      </c>
      <c r="D1392" s="1" t="s">
        <v>26</v>
      </c>
      <c r="E1392">
        <v>457</v>
      </c>
      <c r="F1392" s="1">
        <f>VLOOKUP(jablka[[#This Row],[Nazwa]],cennik[],2,0) * jablka[[#This Row],[sprzedaż]]</f>
        <v>1233.9000000000001</v>
      </c>
    </row>
    <row r="1393" spans="1:6" x14ac:dyDescent="0.25">
      <c r="A1393" s="2">
        <v>44765</v>
      </c>
      <c r="B1393" s="1" t="s">
        <v>14</v>
      </c>
      <c r="C1393" s="1" t="s">
        <v>67</v>
      </c>
      <c r="D1393" s="1" t="s">
        <v>35</v>
      </c>
      <c r="E1393">
        <v>449</v>
      </c>
      <c r="F1393" s="1">
        <f>VLOOKUP(jablka[[#This Row],[Nazwa]],cennik[],2,0) * jablka[[#This Row],[sprzedaż]]</f>
        <v>1571.5</v>
      </c>
    </row>
    <row r="1394" spans="1:6" x14ac:dyDescent="0.25">
      <c r="A1394" s="2">
        <v>44765</v>
      </c>
      <c r="B1394" s="1" t="s">
        <v>12</v>
      </c>
      <c r="C1394" s="1" t="s">
        <v>68</v>
      </c>
      <c r="D1394" s="1" t="s">
        <v>31</v>
      </c>
      <c r="E1394">
        <v>310</v>
      </c>
      <c r="F1394" s="1">
        <f>VLOOKUP(jablka[[#This Row],[Nazwa]],cennik[],2,0) * jablka[[#This Row],[sprzedaż]]</f>
        <v>837</v>
      </c>
    </row>
    <row r="1395" spans="1:6" x14ac:dyDescent="0.25">
      <c r="A1395" s="2">
        <v>44767</v>
      </c>
      <c r="B1395" s="1" t="s">
        <v>14</v>
      </c>
      <c r="C1395" s="1" t="s">
        <v>67</v>
      </c>
      <c r="D1395" s="1" t="s">
        <v>44</v>
      </c>
      <c r="E1395">
        <v>214</v>
      </c>
      <c r="F1395" s="1">
        <f>VLOOKUP(jablka[[#This Row],[Nazwa]],cennik[],2,0) * jablka[[#This Row],[sprzedaż]]</f>
        <v>749</v>
      </c>
    </row>
    <row r="1396" spans="1:6" x14ac:dyDescent="0.25">
      <c r="A1396" s="2">
        <v>44767</v>
      </c>
      <c r="B1396" s="1" t="s">
        <v>12</v>
      </c>
      <c r="C1396" s="1" t="s">
        <v>68</v>
      </c>
      <c r="D1396" s="1" t="s">
        <v>49</v>
      </c>
      <c r="E1396">
        <v>432</v>
      </c>
      <c r="F1396" s="1">
        <f>VLOOKUP(jablka[[#This Row],[Nazwa]],cennik[],2,0) * jablka[[#This Row],[sprzedaż]]</f>
        <v>1166.4000000000001</v>
      </c>
    </row>
    <row r="1397" spans="1:6" x14ac:dyDescent="0.25">
      <c r="A1397" s="2">
        <v>44767</v>
      </c>
      <c r="B1397" s="1" t="s">
        <v>12</v>
      </c>
      <c r="C1397" s="1" t="s">
        <v>68</v>
      </c>
      <c r="D1397" s="1" t="s">
        <v>45</v>
      </c>
      <c r="E1397">
        <v>81</v>
      </c>
      <c r="F1397" s="1">
        <f>VLOOKUP(jablka[[#This Row],[Nazwa]],cennik[],2,0) * jablka[[#This Row],[sprzedaż]]</f>
        <v>218.70000000000002</v>
      </c>
    </row>
    <row r="1398" spans="1:6" x14ac:dyDescent="0.25">
      <c r="A1398" s="2">
        <v>44767</v>
      </c>
      <c r="B1398" s="1" t="s">
        <v>12</v>
      </c>
      <c r="C1398" s="1" t="s">
        <v>68</v>
      </c>
      <c r="D1398" s="1" t="s">
        <v>17</v>
      </c>
      <c r="E1398">
        <v>180</v>
      </c>
      <c r="F1398" s="1">
        <f>VLOOKUP(jablka[[#This Row],[Nazwa]],cennik[],2,0) * jablka[[#This Row],[sprzedaż]]</f>
        <v>486.00000000000006</v>
      </c>
    </row>
    <row r="1399" spans="1:6" x14ac:dyDescent="0.25">
      <c r="A1399" s="2">
        <v>44767</v>
      </c>
      <c r="B1399" s="1" t="s">
        <v>13</v>
      </c>
      <c r="C1399" s="1" t="s">
        <v>68</v>
      </c>
      <c r="D1399" s="1" t="s">
        <v>44</v>
      </c>
      <c r="E1399">
        <v>68</v>
      </c>
      <c r="F1399" s="1">
        <f>VLOOKUP(jablka[[#This Row],[Nazwa]],cennik[],2,0) * jablka[[#This Row],[sprzedaż]]</f>
        <v>217.60000000000002</v>
      </c>
    </row>
    <row r="1400" spans="1:6" x14ac:dyDescent="0.25">
      <c r="A1400" s="2">
        <v>44767</v>
      </c>
      <c r="B1400" s="1" t="s">
        <v>14</v>
      </c>
      <c r="C1400" s="1" t="s">
        <v>67</v>
      </c>
      <c r="D1400" s="1" t="s">
        <v>50</v>
      </c>
      <c r="E1400">
        <v>333</v>
      </c>
      <c r="F1400" s="1">
        <f>VLOOKUP(jablka[[#This Row],[Nazwa]],cennik[],2,0) * jablka[[#This Row],[sprzedaż]]</f>
        <v>1165.5</v>
      </c>
    </row>
    <row r="1401" spans="1:6" x14ac:dyDescent="0.25">
      <c r="A1401" s="2">
        <v>44767</v>
      </c>
      <c r="B1401" s="1" t="s">
        <v>13</v>
      </c>
      <c r="C1401" s="1" t="s">
        <v>68</v>
      </c>
      <c r="D1401" s="1" t="s">
        <v>20</v>
      </c>
      <c r="E1401">
        <v>112</v>
      </c>
      <c r="F1401" s="1">
        <f>VLOOKUP(jablka[[#This Row],[Nazwa]],cennik[],2,0) * jablka[[#This Row],[sprzedaż]]</f>
        <v>358.40000000000003</v>
      </c>
    </row>
    <row r="1402" spans="1:6" x14ac:dyDescent="0.25">
      <c r="A1402" s="2">
        <v>44767</v>
      </c>
      <c r="B1402" s="1" t="s">
        <v>12</v>
      </c>
      <c r="C1402" s="1" t="s">
        <v>68</v>
      </c>
      <c r="D1402" s="1" t="s">
        <v>55</v>
      </c>
      <c r="E1402">
        <v>54</v>
      </c>
      <c r="F1402" s="1">
        <f>VLOOKUP(jablka[[#This Row],[Nazwa]],cennik[],2,0) * jablka[[#This Row],[sprzedaż]]</f>
        <v>145.80000000000001</v>
      </c>
    </row>
    <row r="1403" spans="1:6" x14ac:dyDescent="0.25">
      <c r="A1403" s="2">
        <v>44767</v>
      </c>
      <c r="B1403" s="1" t="s">
        <v>14</v>
      </c>
      <c r="C1403" s="1" t="s">
        <v>67</v>
      </c>
      <c r="D1403" s="1" t="s">
        <v>49</v>
      </c>
      <c r="E1403">
        <v>316</v>
      </c>
      <c r="F1403" s="1">
        <f>VLOOKUP(jablka[[#This Row],[Nazwa]],cennik[],2,0) * jablka[[#This Row],[sprzedaż]]</f>
        <v>1106</v>
      </c>
    </row>
    <row r="1404" spans="1:6" x14ac:dyDescent="0.25">
      <c r="A1404" s="2">
        <v>44767</v>
      </c>
      <c r="B1404" s="1" t="s">
        <v>12</v>
      </c>
      <c r="C1404" s="1" t="s">
        <v>68</v>
      </c>
      <c r="D1404" s="1" t="s">
        <v>19</v>
      </c>
      <c r="E1404">
        <v>497</v>
      </c>
      <c r="F1404" s="1">
        <f>VLOOKUP(jablka[[#This Row],[Nazwa]],cennik[],2,0) * jablka[[#This Row],[sprzedaż]]</f>
        <v>1341.9</v>
      </c>
    </row>
    <row r="1405" spans="1:6" x14ac:dyDescent="0.25">
      <c r="A1405" s="2">
        <v>44767</v>
      </c>
      <c r="B1405" s="1" t="s">
        <v>12</v>
      </c>
      <c r="C1405" s="1" t="s">
        <v>68</v>
      </c>
      <c r="D1405" s="1" t="s">
        <v>62</v>
      </c>
      <c r="E1405">
        <v>227</v>
      </c>
      <c r="F1405" s="1">
        <f>VLOOKUP(jablka[[#This Row],[Nazwa]],cennik[],2,0) * jablka[[#This Row],[sprzedaż]]</f>
        <v>612.90000000000009</v>
      </c>
    </row>
    <row r="1406" spans="1:6" x14ac:dyDescent="0.25">
      <c r="A1406" s="2">
        <v>44767</v>
      </c>
      <c r="B1406" s="1" t="s">
        <v>14</v>
      </c>
      <c r="C1406" s="1" t="s">
        <v>67</v>
      </c>
      <c r="D1406" s="1" t="s">
        <v>32</v>
      </c>
      <c r="E1406">
        <v>419</v>
      </c>
      <c r="F1406" s="1">
        <f>VLOOKUP(jablka[[#This Row],[Nazwa]],cennik[],2,0) * jablka[[#This Row],[sprzedaż]]</f>
        <v>1466.5</v>
      </c>
    </row>
    <row r="1407" spans="1:6" x14ac:dyDescent="0.25">
      <c r="A1407" s="2">
        <v>44767</v>
      </c>
      <c r="B1407" s="1" t="s">
        <v>13</v>
      </c>
      <c r="C1407" s="1" t="s">
        <v>68</v>
      </c>
      <c r="D1407" s="1" t="s">
        <v>58</v>
      </c>
      <c r="E1407">
        <v>380</v>
      </c>
      <c r="F1407" s="1">
        <f>VLOOKUP(jablka[[#This Row],[Nazwa]],cennik[],2,0) * jablka[[#This Row],[sprzedaż]]</f>
        <v>1216</v>
      </c>
    </row>
    <row r="1408" spans="1:6" x14ac:dyDescent="0.25">
      <c r="A1408" s="2">
        <v>44767</v>
      </c>
      <c r="B1408" s="1" t="s">
        <v>13</v>
      </c>
      <c r="C1408" s="1" t="s">
        <v>68</v>
      </c>
      <c r="D1408" s="1" t="s">
        <v>56</v>
      </c>
      <c r="E1408">
        <v>314</v>
      </c>
      <c r="F1408" s="1">
        <f>VLOOKUP(jablka[[#This Row],[Nazwa]],cennik[],2,0) * jablka[[#This Row],[sprzedaż]]</f>
        <v>1004.8000000000001</v>
      </c>
    </row>
    <row r="1409" spans="1:6" x14ac:dyDescent="0.25">
      <c r="A1409" s="2">
        <v>44768</v>
      </c>
      <c r="B1409" s="1" t="s">
        <v>13</v>
      </c>
      <c r="C1409" s="1" t="s">
        <v>68</v>
      </c>
      <c r="D1409" s="1" t="s">
        <v>64</v>
      </c>
      <c r="E1409">
        <v>254</v>
      </c>
      <c r="F1409" s="1">
        <f>VLOOKUP(jablka[[#This Row],[Nazwa]],cennik[],2,0) * jablka[[#This Row],[sprzedaż]]</f>
        <v>812.80000000000007</v>
      </c>
    </row>
    <row r="1410" spans="1:6" x14ac:dyDescent="0.25">
      <c r="A1410" s="2">
        <v>44768</v>
      </c>
      <c r="B1410" s="1" t="s">
        <v>13</v>
      </c>
      <c r="C1410" s="1" t="s">
        <v>68</v>
      </c>
      <c r="D1410" s="1" t="s">
        <v>57</v>
      </c>
      <c r="E1410">
        <v>453</v>
      </c>
      <c r="F1410" s="1">
        <f>VLOOKUP(jablka[[#This Row],[Nazwa]],cennik[],2,0) * jablka[[#This Row],[sprzedaż]]</f>
        <v>1449.6000000000001</v>
      </c>
    </row>
    <row r="1411" spans="1:6" x14ac:dyDescent="0.25">
      <c r="A1411" s="2">
        <v>44768</v>
      </c>
      <c r="B1411" s="1" t="s">
        <v>14</v>
      </c>
      <c r="C1411" s="1" t="s">
        <v>67</v>
      </c>
      <c r="D1411" s="1" t="s">
        <v>52</v>
      </c>
      <c r="E1411">
        <v>252</v>
      </c>
      <c r="F1411" s="1">
        <f>VLOOKUP(jablka[[#This Row],[Nazwa]],cennik[],2,0) * jablka[[#This Row],[sprzedaż]]</f>
        <v>882</v>
      </c>
    </row>
    <row r="1412" spans="1:6" x14ac:dyDescent="0.25">
      <c r="A1412" s="2">
        <v>44768</v>
      </c>
      <c r="B1412" s="1" t="s">
        <v>13</v>
      </c>
      <c r="C1412" s="1" t="s">
        <v>68</v>
      </c>
      <c r="D1412" s="1" t="s">
        <v>30</v>
      </c>
      <c r="E1412">
        <v>243</v>
      </c>
      <c r="F1412" s="1">
        <f>VLOOKUP(jablka[[#This Row],[Nazwa]],cennik[],2,0) * jablka[[#This Row],[sprzedaż]]</f>
        <v>777.6</v>
      </c>
    </row>
    <row r="1413" spans="1:6" x14ac:dyDescent="0.25">
      <c r="A1413" s="2">
        <v>44769</v>
      </c>
      <c r="B1413" s="1" t="s">
        <v>13</v>
      </c>
      <c r="C1413" s="1" t="s">
        <v>68</v>
      </c>
      <c r="D1413" s="1" t="s">
        <v>41</v>
      </c>
      <c r="E1413">
        <v>430</v>
      </c>
      <c r="F1413" s="1">
        <f>VLOOKUP(jablka[[#This Row],[Nazwa]],cennik[],2,0) * jablka[[#This Row],[sprzedaż]]</f>
        <v>1376</v>
      </c>
    </row>
    <row r="1414" spans="1:6" x14ac:dyDescent="0.25">
      <c r="A1414" s="2">
        <v>44769</v>
      </c>
      <c r="B1414" s="1" t="s">
        <v>12</v>
      </c>
      <c r="C1414" s="1" t="s">
        <v>68</v>
      </c>
      <c r="D1414" s="1" t="s">
        <v>47</v>
      </c>
      <c r="E1414">
        <v>435</v>
      </c>
      <c r="F1414" s="1">
        <f>VLOOKUP(jablka[[#This Row],[Nazwa]],cennik[],2,0) * jablka[[#This Row],[sprzedaż]]</f>
        <v>1174.5</v>
      </c>
    </row>
    <row r="1415" spans="1:6" x14ac:dyDescent="0.25">
      <c r="A1415" s="2">
        <v>44769</v>
      </c>
      <c r="B1415" s="1" t="s">
        <v>13</v>
      </c>
      <c r="C1415" s="1" t="s">
        <v>68</v>
      </c>
      <c r="D1415" s="1" t="s">
        <v>36</v>
      </c>
      <c r="E1415">
        <v>428</v>
      </c>
      <c r="F1415" s="1">
        <f>VLOOKUP(jablka[[#This Row],[Nazwa]],cennik[],2,0) * jablka[[#This Row],[sprzedaż]]</f>
        <v>1369.6000000000001</v>
      </c>
    </row>
    <row r="1416" spans="1:6" x14ac:dyDescent="0.25">
      <c r="A1416" s="2">
        <v>44769</v>
      </c>
      <c r="B1416" s="1" t="s">
        <v>12</v>
      </c>
      <c r="C1416" s="1" t="s">
        <v>68</v>
      </c>
      <c r="D1416" s="1" t="s">
        <v>40</v>
      </c>
      <c r="E1416">
        <v>408</v>
      </c>
      <c r="F1416" s="1">
        <f>VLOOKUP(jablka[[#This Row],[Nazwa]],cennik[],2,0) * jablka[[#This Row],[sprzedaż]]</f>
        <v>1101.6000000000001</v>
      </c>
    </row>
    <row r="1417" spans="1:6" x14ac:dyDescent="0.25">
      <c r="A1417" s="2">
        <v>44769</v>
      </c>
      <c r="B1417" s="1" t="s">
        <v>14</v>
      </c>
      <c r="C1417" s="1" t="s">
        <v>67</v>
      </c>
      <c r="D1417" s="1" t="s">
        <v>22</v>
      </c>
      <c r="E1417">
        <v>40</v>
      </c>
      <c r="F1417" s="1">
        <f>VLOOKUP(jablka[[#This Row],[Nazwa]],cennik[],2,0) * jablka[[#This Row],[sprzedaż]]</f>
        <v>140</v>
      </c>
    </row>
    <row r="1418" spans="1:6" x14ac:dyDescent="0.25">
      <c r="A1418" s="2">
        <v>44769</v>
      </c>
      <c r="B1418" s="1" t="s">
        <v>13</v>
      </c>
      <c r="C1418" s="1" t="s">
        <v>68</v>
      </c>
      <c r="D1418" s="1" t="s">
        <v>25</v>
      </c>
      <c r="E1418">
        <v>215</v>
      </c>
      <c r="F1418" s="1">
        <f>VLOOKUP(jablka[[#This Row],[Nazwa]],cennik[],2,0) * jablka[[#This Row],[sprzedaż]]</f>
        <v>688</v>
      </c>
    </row>
    <row r="1419" spans="1:6" x14ac:dyDescent="0.25">
      <c r="A1419" s="2">
        <v>44769</v>
      </c>
      <c r="B1419" s="1" t="s">
        <v>14</v>
      </c>
      <c r="C1419" s="1" t="s">
        <v>67</v>
      </c>
      <c r="D1419" s="1" t="s">
        <v>41</v>
      </c>
      <c r="E1419">
        <v>474</v>
      </c>
      <c r="F1419" s="1">
        <f>VLOOKUP(jablka[[#This Row],[Nazwa]],cennik[],2,0) * jablka[[#This Row],[sprzedaż]]</f>
        <v>1659</v>
      </c>
    </row>
    <row r="1420" spans="1:6" x14ac:dyDescent="0.25">
      <c r="A1420" s="2">
        <v>44769</v>
      </c>
      <c r="B1420" s="1" t="s">
        <v>12</v>
      </c>
      <c r="C1420" s="1" t="s">
        <v>68</v>
      </c>
      <c r="D1420" s="1" t="s">
        <v>60</v>
      </c>
      <c r="E1420">
        <v>97</v>
      </c>
      <c r="F1420" s="1">
        <f>VLOOKUP(jablka[[#This Row],[Nazwa]],cennik[],2,0) * jablka[[#This Row],[sprzedaż]]</f>
        <v>261.90000000000003</v>
      </c>
    </row>
    <row r="1421" spans="1:6" x14ac:dyDescent="0.25">
      <c r="A1421" s="2">
        <v>44769</v>
      </c>
      <c r="B1421" s="1" t="s">
        <v>14</v>
      </c>
      <c r="C1421" s="1" t="s">
        <v>67</v>
      </c>
      <c r="D1421" s="1" t="s">
        <v>53</v>
      </c>
      <c r="E1421">
        <v>155</v>
      </c>
      <c r="F1421" s="1">
        <f>VLOOKUP(jablka[[#This Row],[Nazwa]],cennik[],2,0) * jablka[[#This Row],[sprzedaż]]</f>
        <v>542.5</v>
      </c>
    </row>
    <row r="1422" spans="1:6" x14ac:dyDescent="0.25">
      <c r="A1422" s="2">
        <v>44770</v>
      </c>
      <c r="B1422" s="1" t="s">
        <v>14</v>
      </c>
      <c r="C1422" s="1" t="s">
        <v>67</v>
      </c>
      <c r="D1422" s="1" t="s">
        <v>44</v>
      </c>
      <c r="E1422">
        <v>184</v>
      </c>
      <c r="F1422" s="1">
        <f>VLOOKUP(jablka[[#This Row],[Nazwa]],cennik[],2,0) * jablka[[#This Row],[sprzedaż]]</f>
        <v>644</v>
      </c>
    </row>
    <row r="1423" spans="1:6" x14ac:dyDescent="0.25">
      <c r="A1423" s="2">
        <v>44770</v>
      </c>
      <c r="B1423" s="1" t="s">
        <v>13</v>
      </c>
      <c r="C1423" s="1" t="s">
        <v>68</v>
      </c>
      <c r="D1423" s="1" t="s">
        <v>57</v>
      </c>
      <c r="E1423">
        <v>457</v>
      </c>
      <c r="F1423" s="1">
        <f>VLOOKUP(jablka[[#This Row],[Nazwa]],cennik[],2,0) * jablka[[#This Row],[sprzedaż]]</f>
        <v>1462.4</v>
      </c>
    </row>
    <row r="1424" spans="1:6" x14ac:dyDescent="0.25">
      <c r="A1424" s="2">
        <v>44770</v>
      </c>
      <c r="B1424" s="1" t="s">
        <v>14</v>
      </c>
      <c r="C1424" s="1" t="s">
        <v>67</v>
      </c>
      <c r="D1424" s="1" t="s">
        <v>29</v>
      </c>
      <c r="E1424">
        <v>185</v>
      </c>
      <c r="F1424" s="1">
        <f>VLOOKUP(jablka[[#This Row],[Nazwa]],cennik[],2,0) * jablka[[#This Row],[sprzedaż]]</f>
        <v>647.5</v>
      </c>
    </row>
    <row r="1425" spans="1:6" x14ac:dyDescent="0.25">
      <c r="A1425" s="2">
        <v>44770</v>
      </c>
      <c r="B1425" s="1" t="s">
        <v>12</v>
      </c>
      <c r="C1425" s="1" t="s">
        <v>68</v>
      </c>
      <c r="D1425" s="1" t="s">
        <v>17</v>
      </c>
      <c r="E1425">
        <v>183</v>
      </c>
      <c r="F1425" s="1">
        <f>VLOOKUP(jablka[[#This Row],[Nazwa]],cennik[],2,0) * jablka[[#This Row],[sprzedaż]]</f>
        <v>494.1</v>
      </c>
    </row>
    <row r="1426" spans="1:6" x14ac:dyDescent="0.25">
      <c r="A1426" s="2">
        <v>44770</v>
      </c>
      <c r="B1426" s="1" t="s">
        <v>13</v>
      </c>
      <c r="C1426" s="1" t="s">
        <v>68</v>
      </c>
      <c r="D1426" s="1" t="s">
        <v>59</v>
      </c>
      <c r="E1426">
        <v>127</v>
      </c>
      <c r="F1426" s="1">
        <f>VLOOKUP(jablka[[#This Row],[Nazwa]],cennik[],2,0) * jablka[[#This Row],[sprzedaż]]</f>
        <v>406.40000000000003</v>
      </c>
    </row>
    <row r="1427" spans="1:6" x14ac:dyDescent="0.25">
      <c r="A1427" s="2">
        <v>44770</v>
      </c>
      <c r="B1427" s="1" t="s">
        <v>12</v>
      </c>
      <c r="C1427" s="1" t="s">
        <v>68</v>
      </c>
      <c r="D1427" s="1" t="s">
        <v>36</v>
      </c>
      <c r="E1427">
        <v>259</v>
      </c>
      <c r="F1427" s="1">
        <f>VLOOKUP(jablka[[#This Row],[Nazwa]],cennik[],2,0) * jablka[[#This Row],[sprzedaż]]</f>
        <v>699.30000000000007</v>
      </c>
    </row>
    <row r="1428" spans="1:6" x14ac:dyDescent="0.25">
      <c r="A1428" s="2">
        <v>44770</v>
      </c>
      <c r="B1428" s="1" t="s">
        <v>13</v>
      </c>
      <c r="C1428" s="1" t="s">
        <v>68</v>
      </c>
      <c r="D1428" s="1" t="s">
        <v>56</v>
      </c>
      <c r="E1428">
        <v>334</v>
      </c>
      <c r="F1428" s="1">
        <f>VLOOKUP(jablka[[#This Row],[Nazwa]],cennik[],2,0) * jablka[[#This Row],[sprzedaż]]</f>
        <v>1068.8</v>
      </c>
    </row>
    <row r="1429" spans="1:6" x14ac:dyDescent="0.25">
      <c r="A1429" s="2">
        <v>44771</v>
      </c>
      <c r="B1429" s="1" t="s">
        <v>12</v>
      </c>
      <c r="C1429" s="1" t="s">
        <v>68</v>
      </c>
      <c r="D1429" s="1" t="s">
        <v>53</v>
      </c>
      <c r="E1429">
        <v>177</v>
      </c>
      <c r="F1429" s="1">
        <f>VLOOKUP(jablka[[#This Row],[Nazwa]],cennik[],2,0) * jablka[[#This Row],[sprzedaż]]</f>
        <v>477.90000000000003</v>
      </c>
    </row>
    <row r="1430" spans="1:6" x14ac:dyDescent="0.25">
      <c r="A1430" s="2">
        <v>44771</v>
      </c>
      <c r="B1430" s="1" t="s">
        <v>14</v>
      </c>
      <c r="C1430" s="1" t="s">
        <v>67</v>
      </c>
      <c r="D1430" s="1" t="s">
        <v>29</v>
      </c>
      <c r="E1430">
        <v>438</v>
      </c>
      <c r="F1430" s="1">
        <f>VLOOKUP(jablka[[#This Row],[Nazwa]],cennik[],2,0) * jablka[[#This Row],[sprzedaż]]</f>
        <v>1533</v>
      </c>
    </row>
    <row r="1431" spans="1:6" x14ac:dyDescent="0.25">
      <c r="A1431" s="2">
        <v>44771</v>
      </c>
      <c r="B1431" s="1" t="s">
        <v>12</v>
      </c>
      <c r="C1431" s="1" t="s">
        <v>68</v>
      </c>
      <c r="D1431" s="1" t="s">
        <v>27</v>
      </c>
      <c r="E1431">
        <v>82</v>
      </c>
      <c r="F1431" s="1">
        <f>VLOOKUP(jablka[[#This Row],[Nazwa]],cennik[],2,0) * jablka[[#This Row],[sprzedaż]]</f>
        <v>221.4</v>
      </c>
    </row>
    <row r="1432" spans="1:6" x14ac:dyDescent="0.25">
      <c r="A1432" s="2">
        <v>44771</v>
      </c>
      <c r="B1432" s="1" t="s">
        <v>12</v>
      </c>
      <c r="C1432" s="1" t="s">
        <v>68</v>
      </c>
      <c r="D1432" s="1" t="s">
        <v>23</v>
      </c>
      <c r="E1432">
        <v>18</v>
      </c>
      <c r="F1432" s="1">
        <f>VLOOKUP(jablka[[#This Row],[Nazwa]],cennik[],2,0) * jablka[[#This Row],[sprzedaż]]</f>
        <v>48.6</v>
      </c>
    </row>
    <row r="1433" spans="1:6" x14ac:dyDescent="0.25">
      <c r="A1433" s="2">
        <v>44771</v>
      </c>
      <c r="B1433" s="1" t="s">
        <v>12</v>
      </c>
      <c r="C1433" s="1" t="s">
        <v>68</v>
      </c>
      <c r="D1433" s="1" t="s">
        <v>35</v>
      </c>
      <c r="E1433">
        <v>434</v>
      </c>
      <c r="F1433" s="1">
        <f>VLOOKUP(jablka[[#This Row],[Nazwa]],cennik[],2,0) * jablka[[#This Row],[sprzedaż]]</f>
        <v>1171.8000000000002</v>
      </c>
    </row>
    <row r="1434" spans="1:6" x14ac:dyDescent="0.25">
      <c r="A1434" s="2">
        <v>44771</v>
      </c>
      <c r="B1434" s="1" t="s">
        <v>14</v>
      </c>
      <c r="C1434" s="1" t="s">
        <v>67</v>
      </c>
      <c r="D1434" s="1" t="s">
        <v>62</v>
      </c>
      <c r="E1434">
        <v>485</v>
      </c>
      <c r="F1434" s="1">
        <f>VLOOKUP(jablka[[#This Row],[Nazwa]],cennik[],2,0) * jablka[[#This Row],[sprzedaż]]</f>
        <v>1697.5</v>
      </c>
    </row>
    <row r="1435" spans="1:6" x14ac:dyDescent="0.25">
      <c r="A1435" s="2">
        <v>44771</v>
      </c>
      <c r="B1435" s="1" t="s">
        <v>12</v>
      </c>
      <c r="C1435" s="1" t="s">
        <v>68</v>
      </c>
      <c r="D1435" s="1" t="s">
        <v>37</v>
      </c>
      <c r="E1435">
        <v>420</v>
      </c>
      <c r="F1435" s="1">
        <f>VLOOKUP(jablka[[#This Row],[Nazwa]],cennik[],2,0) * jablka[[#This Row],[sprzedaż]]</f>
        <v>1134</v>
      </c>
    </row>
    <row r="1436" spans="1:6" x14ac:dyDescent="0.25">
      <c r="A1436" s="2">
        <v>44771</v>
      </c>
      <c r="B1436" s="1" t="s">
        <v>13</v>
      </c>
      <c r="C1436" s="1" t="s">
        <v>68</v>
      </c>
      <c r="D1436" s="1" t="s">
        <v>43</v>
      </c>
      <c r="E1436">
        <v>353</v>
      </c>
      <c r="F1436" s="1">
        <f>VLOOKUP(jablka[[#This Row],[Nazwa]],cennik[],2,0) * jablka[[#This Row],[sprzedaż]]</f>
        <v>1129.6000000000001</v>
      </c>
    </row>
    <row r="1437" spans="1:6" x14ac:dyDescent="0.25">
      <c r="A1437" s="2">
        <v>44772</v>
      </c>
      <c r="B1437" s="1" t="s">
        <v>13</v>
      </c>
      <c r="C1437" s="1" t="s">
        <v>68</v>
      </c>
      <c r="D1437" s="1" t="s">
        <v>25</v>
      </c>
      <c r="E1437">
        <v>157</v>
      </c>
      <c r="F1437" s="1">
        <f>VLOOKUP(jablka[[#This Row],[Nazwa]],cennik[],2,0) * jablka[[#This Row],[sprzedaż]]</f>
        <v>502.40000000000003</v>
      </c>
    </row>
    <row r="1438" spans="1:6" x14ac:dyDescent="0.25">
      <c r="A1438" s="2">
        <v>44772</v>
      </c>
      <c r="B1438" s="1" t="s">
        <v>13</v>
      </c>
      <c r="C1438" s="1" t="s">
        <v>68</v>
      </c>
      <c r="D1438" s="1" t="s">
        <v>50</v>
      </c>
      <c r="E1438">
        <v>430</v>
      </c>
      <c r="F1438" s="1">
        <f>VLOOKUP(jablka[[#This Row],[Nazwa]],cennik[],2,0) * jablka[[#This Row],[sprzedaż]]</f>
        <v>1376</v>
      </c>
    </row>
    <row r="1439" spans="1:6" x14ac:dyDescent="0.25">
      <c r="A1439" s="2">
        <v>44772</v>
      </c>
      <c r="B1439" s="1" t="s">
        <v>12</v>
      </c>
      <c r="C1439" s="1" t="s">
        <v>68</v>
      </c>
      <c r="D1439" s="1" t="s">
        <v>47</v>
      </c>
      <c r="E1439">
        <v>441</v>
      </c>
      <c r="F1439" s="1">
        <f>VLOOKUP(jablka[[#This Row],[Nazwa]],cennik[],2,0) * jablka[[#This Row],[sprzedaż]]</f>
        <v>1190.7</v>
      </c>
    </row>
    <row r="1440" spans="1:6" x14ac:dyDescent="0.25">
      <c r="A1440" s="2">
        <v>44772</v>
      </c>
      <c r="B1440" s="1" t="s">
        <v>14</v>
      </c>
      <c r="C1440" s="1" t="s">
        <v>67</v>
      </c>
      <c r="D1440" s="1" t="s">
        <v>57</v>
      </c>
      <c r="E1440">
        <v>248</v>
      </c>
      <c r="F1440" s="1">
        <f>VLOOKUP(jablka[[#This Row],[Nazwa]],cennik[],2,0) * jablka[[#This Row],[sprzedaż]]</f>
        <v>868</v>
      </c>
    </row>
    <row r="1441" spans="1:6" x14ac:dyDescent="0.25">
      <c r="A1441" s="2">
        <v>44772</v>
      </c>
      <c r="B1441" s="1" t="s">
        <v>14</v>
      </c>
      <c r="C1441" s="1" t="s">
        <v>67</v>
      </c>
      <c r="D1441" s="1" t="s">
        <v>45</v>
      </c>
      <c r="E1441">
        <v>66</v>
      </c>
      <c r="F1441" s="1">
        <f>VLOOKUP(jablka[[#This Row],[Nazwa]],cennik[],2,0) * jablka[[#This Row],[sprzedaż]]</f>
        <v>231</v>
      </c>
    </row>
    <row r="1442" spans="1:6" x14ac:dyDescent="0.25">
      <c r="A1442" s="2">
        <v>44772</v>
      </c>
      <c r="B1442" s="1" t="s">
        <v>12</v>
      </c>
      <c r="C1442" s="1" t="s">
        <v>68</v>
      </c>
      <c r="D1442" s="1" t="s">
        <v>48</v>
      </c>
      <c r="E1442">
        <v>86</v>
      </c>
      <c r="F1442" s="1">
        <f>VLOOKUP(jablka[[#This Row],[Nazwa]],cennik[],2,0) * jablka[[#This Row],[sprzedaż]]</f>
        <v>232.20000000000002</v>
      </c>
    </row>
    <row r="1443" spans="1:6" x14ac:dyDescent="0.25">
      <c r="A1443" s="2">
        <v>44772</v>
      </c>
      <c r="B1443" s="1" t="s">
        <v>12</v>
      </c>
      <c r="C1443" s="1" t="s">
        <v>68</v>
      </c>
      <c r="D1443" s="1" t="s">
        <v>54</v>
      </c>
      <c r="E1443">
        <v>267</v>
      </c>
      <c r="F1443" s="1">
        <f>VLOOKUP(jablka[[#This Row],[Nazwa]],cennik[],2,0) * jablka[[#This Row],[sprzedaż]]</f>
        <v>720.90000000000009</v>
      </c>
    </row>
    <row r="1444" spans="1:6" x14ac:dyDescent="0.25">
      <c r="A1444" s="2">
        <v>44772</v>
      </c>
      <c r="B1444" s="1" t="s">
        <v>12</v>
      </c>
      <c r="C1444" s="1" t="s">
        <v>68</v>
      </c>
      <c r="D1444" s="1" t="s">
        <v>62</v>
      </c>
      <c r="E1444">
        <v>40</v>
      </c>
      <c r="F1444" s="1">
        <f>VLOOKUP(jablka[[#This Row],[Nazwa]],cennik[],2,0) * jablka[[#This Row],[sprzedaż]]</f>
        <v>108</v>
      </c>
    </row>
    <row r="1445" spans="1:6" x14ac:dyDescent="0.25">
      <c r="A1445" s="2">
        <v>44772</v>
      </c>
      <c r="B1445" s="1" t="s">
        <v>13</v>
      </c>
      <c r="C1445" s="1" t="s">
        <v>68</v>
      </c>
      <c r="D1445" s="1" t="s">
        <v>32</v>
      </c>
      <c r="E1445">
        <v>171</v>
      </c>
      <c r="F1445" s="1">
        <f>VLOOKUP(jablka[[#This Row],[Nazwa]],cennik[],2,0) * jablka[[#This Row],[sprzedaż]]</f>
        <v>547.20000000000005</v>
      </c>
    </row>
    <row r="1446" spans="1:6" x14ac:dyDescent="0.25">
      <c r="A1446" s="2">
        <v>44772</v>
      </c>
      <c r="B1446" s="1" t="s">
        <v>12</v>
      </c>
      <c r="C1446" s="1" t="s">
        <v>68</v>
      </c>
      <c r="D1446" s="1" t="s">
        <v>58</v>
      </c>
      <c r="E1446">
        <v>190</v>
      </c>
      <c r="F1446" s="1">
        <f>VLOOKUP(jablka[[#This Row],[Nazwa]],cennik[],2,0) * jablka[[#This Row],[sprzedaż]]</f>
        <v>513</v>
      </c>
    </row>
    <row r="1447" spans="1:6" x14ac:dyDescent="0.25">
      <c r="A1447" s="2">
        <v>44772</v>
      </c>
      <c r="B1447" s="1" t="s">
        <v>13</v>
      </c>
      <c r="C1447" s="1" t="s">
        <v>68</v>
      </c>
      <c r="D1447" s="1" t="s">
        <v>61</v>
      </c>
      <c r="E1447">
        <v>125</v>
      </c>
      <c r="F1447" s="1">
        <f>VLOOKUP(jablka[[#This Row],[Nazwa]],cennik[],2,0) * jablka[[#This Row],[sprzedaż]]</f>
        <v>400</v>
      </c>
    </row>
    <row r="1448" spans="1:6" x14ac:dyDescent="0.25">
      <c r="A1448" s="2">
        <v>44772</v>
      </c>
      <c r="B1448" s="1" t="s">
        <v>12</v>
      </c>
      <c r="C1448" s="1" t="s">
        <v>68</v>
      </c>
      <c r="D1448" s="1" t="s">
        <v>27</v>
      </c>
      <c r="E1448">
        <v>346</v>
      </c>
      <c r="F1448" s="1">
        <f>VLOOKUP(jablka[[#This Row],[Nazwa]],cennik[],2,0) * jablka[[#This Row],[sprzedaż]]</f>
        <v>934.2</v>
      </c>
    </row>
    <row r="1449" spans="1:6" x14ac:dyDescent="0.25">
      <c r="A1449" s="2">
        <v>44772</v>
      </c>
      <c r="B1449" s="1" t="s">
        <v>13</v>
      </c>
      <c r="C1449" s="1" t="s">
        <v>68</v>
      </c>
      <c r="D1449" s="1" t="s">
        <v>53</v>
      </c>
      <c r="E1449">
        <v>346</v>
      </c>
      <c r="F1449" s="1">
        <f>VLOOKUP(jablka[[#This Row],[Nazwa]],cennik[],2,0) * jablka[[#This Row],[sprzedaż]]</f>
        <v>1107.2</v>
      </c>
    </row>
    <row r="1450" spans="1:6" x14ac:dyDescent="0.25">
      <c r="A1450" s="2">
        <v>44772</v>
      </c>
      <c r="B1450" s="1" t="s">
        <v>13</v>
      </c>
      <c r="C1450" s="1" t="s">
        <v>68</v>
      </c>
      <c r="D1450" s="1" t="s">
        <v>47</v>
      </c>
      <c r="E1450">
        <v>22</v>
      </c>
      <c r="F1450" s="1">
        <f>VLOOKUP(jablka[[#This Row],[Nazwa]],cennik[],2,0) * jablka[[#This Row],[sprzedaż]]</f>
        <v>70.400000000000006</v>
      </c>
    </row>
    <row r="1451" spans="1:6" x14ac:dyDescent="0.25">
      <c r="A1451" s="2">
        <v>44774</v>
      </c>
      <c r="B1451" s="1" t="s">
        <v>12</v>
      </c>
      <c r="C1451" s="1" t="s">
        <v>68</v>
      </c>
      <c r="D1451" s="1" t="s">
        <v>38</v>
      </c>
      <c r="E1451">
        <v>450</v>
      </c>
      <c r="F1451" s="1">
        <f>VLOOKUP(jablka[[#This Row],[Nazwa]],cennik[],2,0) * jablka[[#This Row],[sprzedaż]]</f>
        <v>1215</v>
      </c>
    </row>
    <row r="1452" spans="1:6" x14ac:dyDescent="0.25">
      <c r="A1452" s="2">
        <v>44774</v>
      </c>
      <c r="B1452" s="1" t="s">
        <v>13</v>
      </c>
      <c r="C1452" s="1" t="s">
        <v>68</v>
      </c>
      <c r="D1452" s="1" t="s">
        <v>34</v>
      </c>
      <c r="E1452">
        <v>18</v>
      </c>
      <c r="F1452" s="1">
        <f>VLOOKUP(jablka[[#This Row],[Nazwa]],cennik[],2,0) * jablka[[#This Row],[sprzedaż]]</f>
        <v>57.6</v>
      </c>
    </row>
    <row r="1453" spans="1:6" x14ac:dyDescent="0.25">
      <c r="A1453" s="2">
        <v>44774</v>
      </c>
      <c r="B1453" s="1" t="s">
        <v>13</v>
      </c>
      <c r="C1453" s="1" t="s">
        <v>68</v>
      </c>
      <c r="D1453" s="1" t="s">
        <v>27</v>
      </c>
      <c r="E1453">
        <v>108</v>
      </c>
      <c r="F1453" s="1">
        <f>VLOOKUP(jablka[[#This Row],[Nazwa]],cennik[],2,0) * jablka[[#This Row],[sprzedaż]]</f>
        <v>345.6</v>
      </c>
    </row>
    <row r="1454" spans="1:6" x14ac:dyDescent="0.25">
      <c r="A1454" s="2">
        <v>44774</v>
      </c>
      <c r="B1454" s="1" t="s">
        <v>13</v>
      </c>
      <c r="C1454" s="1" t="s">
        <v>68</v>
      </c>
      <c r="D1454" s="1" t="s">
        <v>26</v>
      </c>
      <c r="E1454">
        <v>321</v>
      </c>
      <c r="F1454" s="1">
        <f>VLOOKUP(jablka[[#This Row],[Nazwa]],cennik[],2,0) * jablka[[#This Row],[sprzedaż]]</f>
        <v>1027.2</v>
      </c>
    </row>
    <row r="1455" spans="1:6" x14ac:dyDescent="0.25">
      <c r="A1455" s="2">
        <v>44774</v>
      </c>
      <c r="B1455" s="1" t="s">
        <v>12</v>
      </c>
      <c r="C1455" s="1" t="s">
        <v>68</v>
      </c>
      <c r="D1455" s="1" t="s">
        <v>36</v>
      </c>
      <c r="E1455">
        <v>165</v>
      </c>
      <c r="F1455" s="1">
        <f>VLOOKUP(jablka[[#This Row],[Nazwa]],cennik[],2,0) * jablka[[#This Row],[sprzedaż]]</f>
        <v>445.50000000000006</v>
      </c>
    </row>
    <row r="1456" spans="1:6" x14ac:dyDescent="0.25">
      <c r="A1456" s="2">
        <v>44774</v>
      </c>
      <c r="B1456" s="1" t="s">
        <v>13</v>
      </c>
      <c r="C1456" s="1" t="s">
        <v>68</v>
      </c>
      <c r="D1456" s="1" t="s">
        <v>33</v>
      </c>
      <c r="E1456">
        <v>418</v>
      </c>
      <c r="F1456" s="1">
        <f>VLOOKUP(jablka[[#This Row],[Nazwa]],cennik[],2,0) * jablka[[#This Row],[sprzedaż]]</f>
        <v>1337.6000000000001</v>
      </c>
    </row>
    <row r="1457" spans="1:6" x14ac:dyDescent="0.25">
      <c r="A1457" s="2">
        <v>44774</v>
      </c>
      <c r="B1457" s="1" t="s">
        <v>13</v>
      </c>
      <c r="C1457" s="1" t="s">
        <v>68</v>
      </c>
      <c r="D1457" s="1" t="s">
        <v>44</v>
      </c>
      <c r="E1457">
        <v>109</v>
      </c>
      <c r="F1457" s="1">
        <f>VLOOKUP(jablka[[#This Row],[Nazwa]],cennik[],2,0) * jablka[[#This Row],[sprzedaż]]</f>
        <v>348.8</v>
      </c>
    </row>
    <row r="1458" spans="1:6" x14ac:dyDescent="0.25">
      <c r="A1458" s="2">
        <v>44774</v>
      </c>
      <c r="B1458" s="1" t="s">
        <v>14</v>
      </c>
      <c r="C1458" s="1" t="s">
        <v>67</v>
      </c>
      <c r="D1458" s="1" t="s">
        <v>58</v>
      </c>
      <c r="E1458">
        <v>297</v>
      </c>
      <c r="F1458" s="1">
        <f>VLOOKUP(jablka[[#This Row],[Nazwa]],cennik[],2,0) * jablka[[#This Row],[sprzedaż]]</f>
        <v>1039.5</v>
      </c>
    </row>
    <row r="1459" spans="1:6" x14ac:dyDescent="0.25">
      <c r="A1459" s="2">
        <v>44774</v>
      </c>
      <c r="B1459" s="1" t="s">
        <v>14</v>
      </c>
      <c r="C1459" s="1" t="s">
        <v>67</v>
      </c>
      <c r="D1459" s="1" t="s">
        <v>45</v>
      </c>
      <c r="E1459">
        <v>284</v>
      </c>
      <c r="F1459" s="1">
        <f>VLOOKUP(jablka[[#This Row],[Nazwa]],cennik[],2,0) * jablka[[#This Row],[sprzedaż]]</f>
        <v>994</v>
      </c>
    </row>
    <row r="1460" spans="1:6" x14ac:dyDescent="0.25">
      <c r="A1460" s="2">
        <v>44774</v>
      </c>
      <c r="B1460" s="1" t="s">
        <v>14</v>
      </c>
      <c r="C1460" s="1" t="s">
        <v>67</v>
      </c>
      <c r="D1460" s="1" t="s">
        <v>66</v>
      </c>
      <c r="E1460">
        <v>381</v>
      </c>
      <c r="F1460" s="1">
        <f>VLOOKUP(jablka[[#This Row],[Nazwa]],cennik[],2,0) * jablka[[#This Row],[sprzedaż]]</f>
        <v>1333.5</v>
      </c>
    </row>
    <row r="1461" spans="1:6" x14ac:dyDescent="0.25">
      <c r="A1461" s="2">
        <v>44774</v>
      </c>
      <c r="B1461" s="1" t="s">
        <v>13</v>
      </c>
      <c r="C1461" s="1" t="s">
        <v>68</v>
      </c>
      <c r="D1461" s="1" t="s">
        <v>22</v>
      </c>
      <c r="E1461">
        <v>317</v>
      </c>
      <c r="F1461" s="1">
        <f>VLOOKUP(jablka[[#This Row],[Nazwa]],cennik[],2,0) * jablka[[#This Row],[sprzedaż]]</f>
        <v>1014.4000000000001</v>
      </c>
    </row>
    <row r="1462" spans="1:6" x14ac:dyDescent="0.25">
      <c r="A1462" s="2">
        <v>44774</v>
      </c>
      <c r="B1462" s="1" t="s">
        <v>14</v>
      </c>
      <c r="C1462" s="1" t="s">
        <v>67</v>
      </c>
      <c r="D1462" s="1" t="s">
        <v>20</v>
      </c>
      <c r="E1462">
        <v>429</v>
      </c>
      <c r="F1462" s="1">
        <f>VLOOKUP(jablka[[#This Row],[Nazwa]],cennik[],2,0) * jablka[[#This Row],[sprzedaż]]</f>
        <v>1501.5</v>
      </c>
    </row>
    <row r="1463" spans="1:6" x14ac:dyDescent="0.25">
      <c r="A1463" s="2">
        <v>44774</v>
      </c>
      <c r="B1463" s="1" t="s">
        <v>13</v>
      </c>
      <c r="C1463" s="1" t="s">
        <v>68</v>
      </c>
      <c r="D1463" s="1" t="s">
        <v>26</v>
      </c>
      <c r="E1463">
        <v>203</v>
      </c>
      <c r="F1463" s="1">
        <f>VLOOKUP(jablka[[#This Row],[Nazwa]],cennik[],2,0) * jablka[[#This Row],[sprzedaż]]</f>
        <v>649.6</v>
      </c>
    </row>
    <row r="1464" spans="1:6" x14ac:dyDescent="0.25">
      <c r="A1464" s="2">
        <v>44775</v>
      </c>
      <c r="B1464" s="1" t="s">
        <v>14</v>
      </c>
      <c r="C1464" s="1" t="s">
        <v>67</v>
      </c>
      <c r="D1464" s="1" t="s">
        <v>48</v>
      </c>
      <c r="E1464">
        <v>166</v>
      </c>
      <c r="F1464" s="1">
        <f>VLOOKUP(jablka[[#This Row],[Nazwa]],cennik[],2,0) * jablka[[#This Row],[sprzedaż]]</f>
        <v>581</v>
      </c>
    </row>
    <row r="1465" spans="1:6" x14ac:dyDescent="0.25">
      <c r="A1465" s="2">
        <v>44775</v>
      </c>
      <c r="B1465" s="1" t="s">
        <v>13</v>
      </c>
      <c r="C1465" s="1" t="s">
        <v>68</v>
      </c>
      <c r="D1465" s="1" t="s">
        <v>51</v>
      </c>
      <c r="E1465">
        <v>312</v>
      </c>
      <c r="F1465" s="1">
        <f>VLOOKUP(jablka[[#This Row],[Nazwa]],cennik[],2,0) * jablka[[#This Row],[sprzedaż]]</f>
        <v>998.40000000000009</v>
      </c>
    </row>
    <row r="1466" spans="1:6" x14ac:dyDescent="0.25">
      <c r="A1466" s="2">
        <v>44775</v>
      </c>
      <c r="B1466" s="1" t="s">
        <v>14</v>
      </c>
      <c r="C1466" s="1" t="s">
        <v>67</v>
      </c>
      <c r="D1466" s="1" t="s">
        <v>66</v>
      </c>
      <c r="E1466">
        <v>118</v>
      </c>
      <c r="F1466" s="1">
        <f>VLOOKUP(jablka[[#This Row],[Nazwa]],cennik[],2,0) * jablka[[#This Row],[sprzedaż]]</f>
        <v>413</v>
      </c>
    </row>
    <row r="1467" spans="1:6" x14ac:dyDescent="0.25">
      <c r="A1467" s="2">
        <v>44775</v>
      </c>
      <c r="B1467" s="1" t="s">
        <v>14</v>
      </c>
      <c r="C1467" s="1" t="s">
        <v>67</v>
      </c>
      <c r="D1467" s="1" t="s">
        <v>54</v>
      </c>
      <c r="E1467">
        <v>115</v>
      </c>
      <c r="F1467" s="1">
        <f>VLOOKUP(jablka[[#This Row],[Nazwa]],cennik[],2,0) * jablka[[#This Row],[sprzedaż]]</f>
        <v>402.5</v>
      </c>
    </row>
    <row r="1468" spans="1:6" x14ac:dyDescent="0.25">
      <c r="A1468" s="2">
        <v>44775</v>
      </c>
      <c r="B1468" s="1" t="s">
        <v>13</v>
      </c>
      <c r="C1468" s="1" t="s">
        <v>68</v>
      </c>
      <c r="D1468" s="1" t="s">
        <v>61</v>
      </c>
      <c r="E1468">
        <v>333</v>
      </c>
      <c r="F1468" s="1">
        <f>VLOOKUP(jablka[[#This Row],[Nazwa]],cennik[],2,0) * jablka[[#This Row],[sprzedaż]]</f>
        <v>1065.6000000000001</v>
      </c>
    </row>
    <row r="1469" spans="1:6" x14ac:dyDescent="0.25">
      <c r="A1469" s="2">
        <v>44775</v>
      </c>
      <c r="B1469" s="1" t="s">
        <v>14</v>
      </c>
      <c r="C1469" s="1" t="s">
        <v>67</v>
      </c>
      <c r="D1469" s="1" t="s">
        <v>59</v>
      </c>
      <c r="E1469">
        <v>162</v>
      </c>
      <c r="F1469" s="1">
        <f>VLOOKUP(jablka[[#This Row],[Nazwa]],cennik[],2,0) * jablka[[#This Row],[sprzedaż]]</f>
        <v>567</v>
      </c>
    </row>
    <row r="1470" spans="1:6" x14ac:dyDescent="0.25">
      <c r="A1470" s="2">
        <v>44775</v>
      </c>
      <c r="B1470" s="1" t="s">
        <v>14</v>
      </c>
      <c r="C1470" s="1" t="s">
        <v>67</v>
      </c>
      <c r="D1470" s="1" t="s">
        <v>51</v>
      </c>
      <c r="E1470">
        <v>70</v>
      </c>
      <c r="F1470" s="1">
        <f>VLOOKUP(jablka[[#This Row],[Nazwa]],cennik[],2,0) * jablka[[#This Row],[sprzedaż]]</f>
        <v>245</v>
      </c>
    </row>
    <row r="1471" spans="1:6" x14ac:dyDescent="0.25">
      <c r="A1471" s="2">
        <v>44775</v>
      </c>
      <c r="B1471" s="1" t="s">
        <v>13</v>
      </c>
      <c r="C1471" s="1" t="s">
        <v>68</v>
      </c>
      <c r="D1471" s="1" t="s">
        <v>34</v>
      </c>
      <c r="E1471">
        <v>232</v>
      </c>
      <c r="F1471" s="1">
        <f>VLOOKUP(jablka[[#This Row],[Nazwa]],cennik[],2,0) * jablka[[#This Row],[sprzedaż]]</f>
        <v>742.40000000000009</v>
      </c>
    </row>
    <row r="1472" spans="1:6" x14ac:dyDescent="0.25">
      <c r="A1472" s="2">
        <v>44775</v>
      </c>
      <c r="B1472" s="1" t="s">
        <v>13</v>
      </c>
      <c r="C1472" s="1" t="s">
        <v>68</v>
      </c>
      <c r="D1472" s="1" t="s">
        <v>20</v>
      </c>
      <c r="E1472">
        <v>39</v>
      </c>
      <c r="F1472" s="1">
        <f>VLOOKUP(jablka[[#This Row],[Nazwa]],cennik[],2,0) * jablka[[#This Row],[sprzedaż]]</f>
        <v>124.80000000000001</v>
      </c>
    </row>
    <row r="1473" spans="1:6" x14ac:dyDescent="0.25">
      <c r="A1473" s="2">
        <v>44775</v>
      </c>
      <c r="B1473" s="1" t="s">
        <v>13</v>
      </c>
      <c r="C1473" s="1" t="s">
        <v>68</v>
      </c>
      <c r="D1473" s="1" t="s">
        <v>50</v>
      </c>
      <c r="E1473">
        <v>43</v>
      </c>
      <c r="F1473" s="1">
        <f>VLOOKUP(jablka[[#This Row],[Nazwa]],cennik[],2,0) * jablka[[#This Row],[sprzedaż]]</f>
        <v>137.6</v>
      </c>
    </row>
    <row r="1474" spans="1:6" x14ac:dyDescent="0.25">
      <c r="A1474" s="2">
        <v>44775</v>
      </c>
      <c r="B1474" s="1" t="s">
        <v>12</v>
      </c>
      <c r="C1474" s="1" t="s">
        <v>68</v>
      </c>
      <c r="D1474" s="1" t="s">
        <v>30</v>
      </c>
      <c r="E1474">
        <v>398</v>
      </c>
      <c r="F1474" s="1">
        <f>VLOOKUP(jablka[[#This Row],[Nazwa]],cennik[],2,0) * jablka[[#This Row],[sprzedaż]]</f>
        <v>1074.6000000000001</v>
      </c>
    </row>
    <row r="1475" spans="1:6" x14ac:dyDescent="0.25">
      <c r="A1475" s="2">
        <v>44776</v>
      </c>
      <c r="B1475" s="1" t="s">
        <v>12</v>
      </c>
      <c r="C1475" s="1" t="s">
        <v>68</v>
      </c>
      <c r="D1475" s="1" t="s">
        <v>54</v>
      </c>
      <c r="E1475">
        <v>113</v>
      </c>
      <c r="F1475" s="1">
        <f>VLOOKUP(jablka[[#This Row],[Nazwa]],cennik[],2,0) * jablka[[#This Row],[sprzedaż]]</f>
        <v>305.10000000000002</v>
      </c>
    </row>
    <row r="1476" spans="1:6" x14ac:dyDescent="0.25">
      <c r="A1476" s="2">
        <v>44776</v>
      </c>
      <c r="B1476" s="1" t="s">
        <v>13</v>
      </c>
      <c r="C1476" s="1" t="s">
        <v>68</v>
      </c>
      <c r="D1476" s="1" t="s">
        <v>64</v>
      </c>
      <c r="E1476">
        <v>128</v>
      </c>
      <c r="F1476" s="1">
        <f>VLOOKUP(jablka[[#This Row],[Nazwa]],cennik[],2,0) * jablka[[#This Row],[sprzedaż]]</f>
        <v>409.6</v>
      </c>
    </row>
    <row r="1477" spans="1:6" x14ac:dyDescent="0.25">
      <c r="A1477" s="2">
        <v>44776</v>
      </c>
      <c r="B1477" s="1" t="s">
        <v>14</v>
      </c>
      <c r="C1477" s="1" t="s">
        <v>67</v>
      </c>
      <c r="D1477" s="1" t="s">
        <v>32</v>
      </c>
      <c r="E1477">
        <v>184</v>
      </c>
      <c r="F1477" s="1">
        <f>VLOOKUP(jablka[[#This Row],[Nazwa]],cennik[],2,0) * jablka[[#This Row],[sprzedaż]]</f>
        <v>644</v>
      </c>
    </row>
    <row r="1478" spans="1:6" x14ac:dyDescent="0.25">
      <c r="A1478" s="2">
        <v>44776</v>
      </c>
      <c r="B1478" s="1" t="s">
        <v>14</v>
      </c>
      <c r="C1478" s="1" t="s">
        <v>67</v>
      </c>
      <c r="D1478" s="1" t="s">
        <v>51</v>
      </c>
      <c r="E1478">
        <v>437</v>
      </c>
      <c r="F1478" s="1">
        <f>VLOOKUP(jablka[[#This Row],[Nazwa]],cennik[],2,0) * jablka[[#This Row],[sprzedaż]]</f>
        <v>1529.5</v>
      </c>
    </row>
    <row r="1479" spans="1:6" x14ac:dyDescent="0.25">
      <c r="A1479" s="2">
        <v>44777</v>
      </c>
      <c r="B1479" s="1" t="s">
        <v>12</v>
      </c>
      <c r="C1479" s="1" t="s">
        <v>68</v>
      </c>
      <c r="D1479" s="1" t="s">
        <v>37</v>
      </c>
      <c r="E1479">
        <v>465</v>
      </c>
      <c r="F1479" s="1">
        <f>VLOOKUP(jablka[[#This Row],[Nazwa]],cennik[],2,0) * jablka[[#This Row],[sprzedaż]]</f>
        <v>1255.5</v>
      </c>
    </row>
    <row r="1480" spans="1:6" x14ac:dyDescent="0.25">
      <c r="A1480" s="2">
        <v>44777</v>
      </c>
      <c r="B1480" s="1" t="s">
        <v>13</v>
      </c>
      <c r="C1480" s="1" t="s">
        <v>68</v>
      </c>
      <c r="D1480" s="1" t="s">
        <v>61</v>
      </c>
      <c r="E1480">
        <v>143</v>
      </c>
      <c r="F1480" s="1">
        <f>VLOOKUP(jablka[[#This Row],[Nazwa]],cennik[],2,0) * jablka[[#This Row],[sprzedaż]]</f>
        <v>457.6</v>
      </c>
    </row>
    <row r="1481" spans="1:6" x14ac:dyDescent="0.25">
      <c r="A1481" s="2">
        <v>44777</v>
      </c>
      <c r="B1481" s="1" t="s">
        <v>13</v>
      </c>
      <c r="C1481" s="1" t="s">
        <v>68</v>
      </c>
      <c r="D1481" s="1" t="s">
        <v>55</v>
      </c>
      <c r="E1481">
        <v>14</v>
      </c>
      <c r="F1481" s="1">
        <f>VLOOKUP(jablka[[#This Row],[Nazwa]],cennik[],2,0) * jablka[[#This Row],[sprzedaż]]</f>
        <v>44.800000000000004</v>
      </c>
    </row>
    <row r="1482" spans="1:6" x14ac:dyDescent="0.25">
      <c r="A1482" s="2">
        <v>44777</v>
      </c>
      <c r="B1482" s="1" t="s">
        <v>14</v>
      </c>
      <c r="C1482" s="1" t="s">
        <v>67</v>
      </c>
      <c r="D1482" s="1" t="s">
        <v>51</v>
      </c>
      <c r="E1482">
        <v>150</v>
      </c>
      <c r="F1482" s="1">
        <f>VLOOKUP(jablka[[#This Row],[Nazwa]],cennik[],2,0) * jablka[[#This Row],[sprzedaż]]</f>
        <v>525</v>
      </c>
    </row>
    <row r="1483" spans="1:6" x14ac:dyDescent="0.25">
      <c r="A1483" s="2">
        <v>44777</v>
      </c>
      <c r="B1483" s="1" t="s">
        <v>12</v>
      </c>
      <c r="C1483" s="1" t="s">
        <v>68</v>
      </c>
      <c r="D1483" s="1" t="s">
        <v>21</v>
      </c>
      <c r="E1483">
        <v>237</v>
      </c>
      <c r="F1483" s="1">
        <f>VLOOKUP(jablka[[#This Row],[Nazwa]],cennik[],2,0) * jablka[[#This Row],[sprzedaż]]</f>
        <v>639.90000000000009</v>
      </c>
    </row>
    <row r="1484" spans="1:6" x14ac:dyDescent="0.25">
      <c r="A1484" s="2">
        <v>44777</v>
      </c>
      <c r="B1484" s="1" t="s">
        <v>13</v>
      </c>
      <c r="C1484" s="1" t="s">
        <v>68</v>
      </c>
      <c r="D1484" s="1" t="s">
        <v>57</v>
      </c>
      <c r="E1484">
        <v>220</v>
      </c>
      <c r="F1484" s="1">
        <f>VLOOKUP(jablka[[#This Row],[Nazwa]],cennik[],2,0) * jablka[[#This Row],[sprzedaż]]</f>
        <v>704</v>
      </c>
    </row>
    <row r="1485" spans="1:6" x14ac:dyDescent="0.25">
      <c r="A1485" s="2">
        <v>44777</v>
      </c>
      <c r="B1485" s="1" t="s">
        <v>14</v>
      </c>
      <c r="C1485" s="1" t="s">
        <v>67</v>
      </c>
      <c r="D1485" s="1" t="s">
        <v>22</v>
      </c>
      <c r="E1485">
        <v>283</v>
      </c>
      <c r="F1485" s="1">
        <f>VLOOKUP(jablka[[#This Row],[Nazwa]],cennik[],2,0) * jablka[[#This Row],[sprzedaż]]</f>
        <v>990.5</v>
      </c>
    </row>
    <row r="1486" spans="1:6" x14ac:dyDescent="0.25">
      <c r="A1486" s="2">
        <v>44777</v>
      </c>
      <c r="B1486" s="1" t="s">
        <v>13</v>
      </c>
      <c r="C1486" s="1" t="s">
        <v>68</v>
      </c>
      <c r="D1486" s="1" t="s">
        <v>50</v>
      </c>
      <c r="E1486">
        <v>18</v>
      </c>
      <c r="F1486" s="1">
        <f>VLOOKUP(jablka[[#This Row],[Nazwa]],cennik[],2,0) * jablka[[#This Row],[sprzedaż]]</f>
        <v>57.6</v>
      </c>
    </row>
    <row r="1487" spans="1:6" x14ac:dyDescent="0.25">
      <c r="A1487" s="2">
        <v>44778</v>
      </c>
      <c r="B1487" s="1" t="s">
        <v>13</v>
      </c>
      <c r="C1487" s="1" t="s">
        <v>68</v>
      </c>
      <c r="D1487" s="1" t="s">
        <v>55</v>
      </c>
      <c r="E1487">
        <v>54</v>
      </c>
      <c r="F1487" s="1">
        <f>VLOOKUP(jablka[[#This Row],[Nazwa]],cennik[],2,0) * jablka[[#This Row],[sprzedaż]]</f>
        <v>172.8</v>
      </c>
    </row>
    <row r="1488" spans="1:6" x14ac:dyDescent="0.25">
      <c r="A1488" s="2">
        <v>44778</v>
      </c>
      <c r="B1488" s="1" t="s">
        <v>12</v>
      </c>
      <c r="C1488" s="1" t="s">
        <v>68</v>
      </c>
      <c r="D1488" s="1" t="s">
        <v>57</v>
      </c>
      <c r="E1488">
        <v>378</v>
      </c>
      <c r="F1488" s="1">
        <f>VLOOKUP(jablka[[#This Row],[Nazwa]],cennik[],2,0) * jablka[[#This Row],[sprzedaż]]</f>
        <v>1020.6</v>
      </c>
    </row>
    <row r="1489" spans="1:6" x14ac:dyDescent="0.25">
      <c r="A1489" s="2">
        <v>44778</v>
      </c>
      <c r="B1489" s="1" t="s">
        <v>12</v>
      </c>
      <c r="C1489" s="1" t="s">
        <v>68</v>
      </c>
      <c r="D1489" s="1" t="s">
        <v>35</v>
      </c>
      <c r="E1489">
        <v>104</v>
      </c>
      <c r="F1489" s="1">
        <f>VLOOKUP(jablka[[#This Row],[Nazwa]],cennik[],2,0) * jablka[[#This Row],[sprzedaż]]</f>
        <v>280.8</v>
      </c>
    </row>
    <row r="1490" spans="1:6" x14ac:dyDescent="0.25">
      <c r="A1490" s="2">
        <v>44778</v>
      </c>
      <c r="B1490" s="1" t="s">
        <v>14</v>
      </c>
      <c r="C1490" s="1" t="s">
        <v>67</v>
      </c>
      <c r="D1490" s="1" t="s">
        <v>35</v>
      </c>
      <c r="E1490">
        <v>146</v>
      </c>
      <c r="F1490" s="1">
        <f>VLOOKUP(jablka[[#This Row],[Nazwa]],cennik[],2,0) * jablka[[#This Row],[sprzedaż]]</f>
        <v>511</v>
      </c>
    </row>
    <row r="1491" spans="1:6" x14ac:dyDescent="0.25">
      <c r="A1491" s="2">
        <v>44779</v>
      </c>
      <c r="B1491" s="1" t="s">
        <v>12</v>
      </c>
      <c r="C1491" s="1" t="s">
        <v>68</v>
      </c>
      <c r="D1491" s="1" t="s">
        <v>54</v>
      </c>
      <c r="E1491">
        <v>137</v>
      </c>
      <c r="F1491" s="1">
        <f>VLOOKUP(jablka[[#This Row],[Nazwa]],cennik[],2,0) * jablka[[#This Row],[sprzedaż]]</f>
        <v>369.90000000000003</v>
      </c>
    </row>
    <row r="1492" spans="1:6" x14ac:dyDescent="0.25">
      <c r="A1492" s="2">
        <v>44779</v>
      </c>
      <c r="B1492" s="1" t="s">
        <v>13</v>
      </c>
      <c r="C1492" s="1" t="s">
        <v>68</v>
      </c>
      <c r="D1492" s="1" t="s">
        <v>30</v>
      </c>
      <c r="E1492">
        <v>489</v>
      </c>
      <c r="F1492" s="1">
        <f>VLOOKUP(jablka[[#This Row],[Nazwa]],cennik[],2,0) * jablka[[#This Row],[sprzedaż]]</f>
        <v>1564.8000000000002</v>
      </c>
    </row>
    <row r="1493" spans="1:6" x14ac:dyDescent="0.25">
      <c r="A1493" s="2">
        <v>44779</v>
      </c>
      <c r="B1493" s="1" t="s">
        <v>14</v>
      </c>
      <c r="C1493" s="1" t="s">
        <v>67</v>
      </c>
      <c r="D1493" s="1" t="s">
        <v>47</v>
      </c>
      <c r="E1493">
        <v>259</v>
      </c>
      <c r="F1493" s="1">
        <f>VLOOKUP(jablka[[#This Row],[Nazwa]],cennik[],2,0) * jablka[[#This Row],[sprzedaż]]</f>
        <v>906.5</v>
      </c>
    </row>
    <row r="1494" spans="1:6" x14ac:dyDescent="0.25">
      <c r="A1494" s="2">
        <v>44779</v>
      </c>
      <c r="B1494" s="1" t="s">
        <v>12</v>
      </c>
      <c r="C1494" s="1" t="s">
        <v>68</v>
      </c>
      <c r="D1494" s="1" t="s">
        <v>21</v>
      </c>
      <c r="E1494">
        <v>105</v>
      </c>
      <c r="F1494" s="1">
        <f>VLOOKUP(jablka[[#This Row],[Nazwa]],cennik[],2,0) * jablka[[#This Row],[sprzedaż]]</f>
        <v>283.5</v>
      </c>
    </row>
    <row r="1495" spans="1:6" x14ac:dyDescent="0.25">
      <c r="A1495" s="2">
        <v>44779</v>
      </c>
      <c r="B1495" s="1" t="s">
        <v>14</v>
      </c>
      <c r="C1495" s="1" t="s">
        <v>67</v>
      </c>
      <c r="D1495" s="1" t="s">
        <v>64</v>
      </c>
      <c r="E1495">
        <v>337</v>
      </c>
      <c r="F1495" s="1">
        <f>VLOOKUP(jablka[[#This Row],[Nazwa]],cennik[],2,0) * jablka[[#This Row],[sprzedaż]]</f>
        <v>1179.5</v>
      </c>
    </row>
    <row r="1496" spans="1:6" x14ac:dyDescent="0.25">
      <c r="A1496" s="2">
        <v>44779</v>
      </c>
      <c r="B1496" s="1" t="s">
        <v>14</v>
      </c>
      <c r="C1496" s="1" t="s">
        <v>67</v>
      </c>
      <c r="D1496" s="1" t="s">
        <v>25</v>
      </c>
      <c r="E1496">
        <v>169</v>
      </c>
      <c r="F1496" s="1">
        <f>VLOOKUP(jablka[[#This Row],[Nazwa]],cennik[],2,0) * jablka[[#This Row],[sprzedaż]]</f>
        <v>591.5</v>
      </c>
    </row>
    <row r="1497" spans="1:6" x14ac:dyDescent="0.25">
      <c r="A1497" s="2">
        <v>44779</v>
      </c>
      <c r="B1497" s="1" t="s">
        <v>12</v>
      </c>
      <c r="C1497" s="1" t="s">
        <v>68</v>
      </c>
      <c r="D1497" s="1" t="s">
        <v>49</v>
      </c>
      <c r="E1497">
        <v>23</v>
      </c>
      <c r="F1497" s="1">
        <f>VLOOKUP(jablka[[#This Row],[Nazwa]],cennik[],2,0) * jablka[[#This Row],[sprzedaż]]</f>
        <v>62.1</v>
      </c>
    </row>
    <row r="1498" spans="1:6" x14ac:dyDescent="0.25">
      <c r="A1498" s="2">
        <v>44779</v>
      </c>
      <c r="B1498" s="1" t="s">
        <v>12</v>
      </c>
      <c r="C1498" s="1" t="s">
        <v>68</v>
      </c>
      <c r="D1498" s="1" t="s">
        <v>48</v>
      </c>
      <c r="E1498">
        <v>353</v>
      </c>
      <c r="F1498" s="1">
        <f>VLOOKUP(jablka[[#This Row],[Nazwa]],cennik[],2,0) * jablka[[#This Row],[sprzedaż]]</f>
        <v>953.1</v>
      </c>
    </row>
    <row r="1499" spans="1:6" x14ac:dyDescent="0.25">
      <c r="A1499" s="2">
        <v>44779</v>
      </c>
      <c r="B1499" s="1" t="s">
        <v>13</v>
      </c>
      <c r="C1499" s="1" t="s">
        <v>68</v>
      </c>
      <c r="D1499" s="1" t="s">
        <v>61</v>
      </c>
      <c r="E1499">
        <v>49</v>
      </c>
      <c r="F1499" s="1">
        <f>VLOOKUP(jablka[[#This Row],[Nazwa]],cennik[],2,0) * jablka[[#This Row],[sprzedaż]]</f>
        <v>156.80000000000001</v>
      </c>
    </row>
    <row r="1500" spans="1:6" x14ac:dyDescent="0.25">
      <c r="A1500" s="2">
        <v>44779</v>
      </c>
      <c r="B1500" s="1" t="s">
        <v>13</v>
      </c>
      <c r="C1500" s="1" t="s">
        <v>68</v>
      </c>
      <c r="D1500" s="1" t="s">
        <v>56</v>
      </c>
      <c r="E1500">
        <v>421</v>
      </c>
      <c r="F1500" s="1">
        <f>VLOOKUP(jablka[[#This Row],[Nazwa]],cennik[],2,0) * jablka[[#This Row],[sprzedaż]]</f>
        <v>1347.2</v>
      </c>
    </row>
    <row r="1501" spans="1:6" x14ac:dyDescent="0.25">
      <c r="A1501" s="2">
        <v>44781</v>
      </c>
      <c r="B1501" s="1" t="s">
        <v>13</v>
      </c>
      <c r="C1501" s="1" t="s">
        <v>68</v>
      </c>
      <c r="D1501" s="1" t="s">
        <v>17</v>
      </c>
      <c r="E1501">
        <v>373</v>
      </c>
      <c r="F1501" s="1">
        <f>VLOOKUP(jablka[[#This Row],[Nazwa]],cennik[],2,0) * jablka[[#This Row],[sprzedaż]]</f>
        <v>1193.6000000000001</v>
      </c>
    </row>
    <row r="1502" spans="1:6" x14ac:dyDescent="0.25">
      <c r="A1502" s="2">
        <v>44781</v>
      </c>
      <c r="B1502" s="1" t="s">
        <v>14</v>
      </c>
      <c r="C1502" s="1" t="s">
        <v>67</v>
      </c>
      <c r="D1502" s="1" t="s">
        <v>38</v>
      </c>
      <c r="E1502">
        <v>459</v>
      </c>
      <c r="F1502" s="1">
        <f>VLOOKUP(jablka[[#This Row],[Nazwa]],cennik[],2,0) * jablka[[#This Row],[sprzedaż]]</f>
        <v>1606.5</v>
      </c>
    </row>
    <row r="1503" spans="1:6" x14ac:dyDescent="0.25">
      <c r="A1503" s="2">
        <v>44781</v>
      </c>
      <c r="B1503" s="1" t="s">
        <v>14</v>
      </c>
      <c r="C1503" s="1" t="s">
        <v>67</v>
      </c>
      <c r="D1503" s="1" t="s">
        <v>66</v>
      </c>
      <c r="E1503">
        <v>139</v>
      </c>
      <c r="F1503" s="1">
        <f>VLOOKUP(jablka[[#This Row],[Nazwa]],cennik[],2,0) * jablka[[#This Row],[sprzedaż]]</f>
        <v>486.5</v>
      </c>
    </row>
    <row r="1504" spans="1:6" x14ac:dyDescent="0.25">
      <c r="A1504" s="2">
        <v>44781</v>
      </c>
      <c r="B1504" s="1" t="s">
        <v>12</v>
      </c>
      <c r="C1504" s="1" t="s">
        <v>68</v>
      </c>
      <c r="D1504" s="1" t="s">
        <v>50</v>
      </c>
      <c r="E1504">
        <v>55</v>
      </c>
      <c r="F1504" s="1">
        <f>VLOOKUP(jablka[[#This Row],[Nazwa]],cennik[],2,0) * jablka[[#This Row],[sprzedaż]]</f>
        <v>148.5</v>
      </c>
    </row>
    <row r="1505" spans="1:6" x14ac:dyDescent="0.25">
      <c r="A1505" s="2">
        <v>44781</v>
      </c>
      <c r="B1505" s="1" t="s">
        <v>13</v>
      </c>
      <c r="C1505" s="1" t="s">
        <v>68</v>
      </c>
      <c r="D1505" s="1" t="s">
        <v>56</v>
      </c>
      <c r="E1505">
        <v>230</v>
      </c>
      <c r="F1505" s="1">
        <f>VLOOKUP(jablka[[#This Row],[Nazwa]],cennik[],2,0) * jablka[[#This Row],[sprzedaż]]</f>
        <v>736</v>
      </c>
    </row>
    <row r="1506" spans="1:6" x14ac:dyDescent="0.25">
      <c r="A1506" s="2">
        <v>44781</v>
      </c>
      <c r="B1506" s="1" t="s">
        <v>14</v>
      </c>
      <c r="C1506" s="1" t="s">
        <v>67</v>
      </c>
      <c r="D1506" s="1" t="s">
        <v>26</v>
      </c>
      <c r="E1506">
        <v>177</v>
      </c>
      <c r="F1506" s="1">
        <f>VLOOKUP(jablka[[#This Row],[Nazwa]],cennik[],2,0) * jablka[[#This Row],[sprzedaż]]</f>
        <v>619.5</v>
      </c>
    </row>
    <row r="1507" spans="1:6" x14ac:dyDescent="0.25">
      <c r="A1507" s="2">
        <v>44781</v>
      </c>
      <c r="B1507" s="1" t="s">
        <v>12</v>
      </c>
      <c r="C1507" s="1" t="s">
        <v>68</v>
      </c>
      <c r="D1507" s="1" t="s">
        <v>37</v>
      </c>
      <c r="E1507">
        <v>499</v>
      </c>
      <c r="F1507" s="1">
        <f>VLOOKUP(jablka[[#This Row],[Nazwa]],cennik[],2,0) * jablka[[#This Row],[sprzedaż]]</f>
        <v>1347.3000000000002</v>
      </c>
    </row>
    <row r="1508" spans="1:6" x14ac:dyDescent="0.25">
      <c r="A1508" s="2">
        <v>44781</v>
      </c>
      <c r="B1508" s="1" t="s">
        <v>14</v>
      </c>
      <c r="C1508" s="1" t="s">
        <v>67</v>
      </c>
      <c r="D1508" s="1" t="s">
        <v>39</v>
      </c>
      <c r="E1508">
        <v>10</v>
      </c>
      <c r="F1508" s="1">
        <f>VLOOKUP(jablka[[#This Row],[Nazwa]],cennik[],2,0) * jablka[[#This Row],[sprzedaż]]</f>
        <v>35</v>
      </c>
    </row>
    <row r="1509" spans="1:6" x14ac:dyDescent="0.25">
      <c r="A1509" s="2">
        <v>44781</v>
      </c>
      <c r="B1509" s="1" t="s">
        <v>14</v>
      </c>
      <c r="C1509" s="1" t="s">
        <v>67</v>
      </c>
      <c r="D1509" s="1" t="s">
        <v>27</v>
      </c>
      <c r="E1509">
        <v>327</v>
      </c>
      <c r="F1509" s="1">
        <f>VLOOKUP(jablka[[#This Row],[Nazwa]],cennik[],2,0) * jablka[[#This Row],[sprzedaż]]</f>
        <v>1144.5</v>
      </c>
    </row>
    <row r="1510" spans="1:6" x14ac:dyDescent="0.25">
      <c r="A1510" s="2">
        <v>44781</v>
      </c>
      <c r="B1510" s="1" t="s">
        <v>14</v>
      </c>
      <c r="C1510" s="1" t="s">
        <v>67</v>
      </c>
      <c r="D1510" s="1" t="s">
        <v>64</v>
      </c>
      <c r="E1510">
        <v>424</v>
      </c>
      <c r="F1510" s="1">
        <f>VLOOKUP(jablka[[#This Row],[Nazwa]],cennik[],2,0) * jablka[[#This Row],[sprzedaż]]</f>
        <v>1484</v>
      </c>
    </row>
    <row r="1511" spans="1:6" x14ac:dyDescent="0.25">
      <c r="A1511" s="2">
        <v>44781</v>
      </c>
      <c r="B1511" s="1" t="s">
        <v>13</v>
      </c>
      <c r="C1511" s="1" t="s">
        <v>68</v>
      </c>
      <c r="D1511" s="1" t="s">
        <v>41</v>
      </c>
      <c r="E1511">
        <v>389</v>
      </c>
      <c r="F1511" s="1">
        <f>VLOOKUP(jablka[[#This Row],[Nazwa]],cennik[],2,0) * jablka[[#This Row],[sprzedaż]]</f>
        <v>1244.8000000000002</v>
      </c>
    </row>
    <row r="1512" spans="1:6" x14ac:dyDescent="0.25">
      <c r="A1512" s="2">
        <v>44781</v>
      </c>
      <c r="B1512" s="1" t="s">
        <v>14</v>
      </c>
      <c r="C1512" s="1" t="s">
        <v>67</v>
      </c>
      <c r="D1512" s="1" t="s">
        <v>54</v>
      </c>
      <c r="E1512">
        <v>290</v>
      </c>
      <c r="F1512" s="1">
        <f>VLOOKUP(jablka[[#This Row],[Nazwa]],cennik[],2,0) * jablka[[#This Row],[sprzedaż]]</f>
        <v>1015</v>
      </c>
    </row>
    <row r="1513" spans="1:6" x14ac:dyDescent="0.25">
      <c r="A1513" s="2">
        <v>44781</v>
      </c>
      <c r="B1513" s="1" t="s">
        <v>12</v>
      </c>
      <c r="C1513" s="1" t="s">
        <v>68</v>
      </c>
      <c r="D1513" s="1" t="s">
        <v>33</v>
      </c>
      <c r="E1513">
        <v>244</v>
      </c>
      <c r="F1513" s="1">
        <f>VLOOKUP(jablka[[#This Row],[Nazwa]],cennik[],2,0) * jablka[[#This Row],[sprzedaż]]</f>
        <v>658.80000000000007</v>
      </c>
    </row>
    <row r="1514" spans="1:6" x14ac:dyDescent="0.25">
      <c r="A1514" s="2">
        <v>44781</v>
      </c>
      <c r="B1514" s="1" t="s">
        <v>14</v>
      </c>
      <c r="C1514" s="1" t="s">
        <v>67</v>
      </c>
      <c r="D1514" s="1" t="s">
        <v>63</v>
      </c>
      <c r="E1514">
        <v>122</v>
      </c>
      <c r="F1514" s="1">
        <f>VLOOKUP(jablka[[#This Row],[Nazwa]],cennik[],2,0) * jablka[[#This Row],[sprzedaż]]</f>
        <v>427</v>
      </c>
    </row>
    <row r="1515" spans="1:6" x14ac:dyDescent="0.25">
      <c r="A1515" s="2">
        <v>44781</v>
      </c>
      <c r="B1515" s="1" t="s">
        <v>13</v>
      </c>
      <c r="C1515" s="1" t="s">
        <v>68</v>
      </c>
      <c r="D1515" s="1" t="s">
        <v>46</v>
      </c>
      <c r="E1515">
        <v>250</v>
      </c>
      <c r="F1515" s="1">
        <f>VLOOKUP(jablka[[#This Row],[Nazwa]],cennik[],2,0) * jablka[[#This Row],[sprzedaż]]</f>
        <v>800</v>
      </c>
    </row>
    <row r="1516" spans="1:6" x14ac:dyDescent="0.25">
      <c r="A1516" s="2">
        <v>44781</v>
      </c>
      <c r="B1516" s="1" t="s">
        <v>13</v>
      </c>
      <c r="C1516" s="1" t="s">
        <v>68</v>
      </c>
      <c r="D1516" s="1" t="s">
        <v>29</v>
      </c>
      <c r="E1516">
        <v>388</v>
      </c>
      <c r="F1516" s="1">
        <f>VLOOKUP(jablka[[#This Row],[Nazwa]],cennik[],2,0) * jablka[[#This Row],[sprzedaż]]</f>
        <v>1241.6000000000001</v>
      </c>
    </row>
    <row r="1517" spans="1:6" x14ac:dyDescent="0.25">
      <c r="A1517" s="2">
        <v>44781</v>
      </c>
      <c r="B1517" s="1" t="s">
        <v>12</v>
      </c>
      <c r="C1517" s="1" t="s">
        <v>68</v>
      </c>
      <c r="D1517" s="1" t="s">
        <v>31</v>
      </c>
      <c r="E1517">
        <v>55</v>
      </c>
      <c r="F1517" s="1">
        <f>VLOOKUP(jablka[[#This Row],[Nazwa]],cennik[],2,0) * jablka[[#This Row],[sprzedaż]]</f>
        <v>148.5</v>
      </c>
    </row>
    <row r="1518" spans="1:6" x14ac:dyDescent="0.25">
      <c r="A1518" s="2">
        <v>44781</v>
      </c>
      <c r="B1518" s="1" t="s">
        <v>13</v>
      </c>
      <c r="C1518" s="1" t="s">
        <v>68</v>
      </c>
      <c r="D1518" s="1" t="s">
        <v>23</v>
      </c>
      <c r="E1518">
        <v>173</v>
      </c>
      <c r="F1518" s="1">
        <f>VLOOKUP(jablka[[#This Row],[Nazwa]],cennik[],2,0) * jablka[[#This Row],[sprzedaż]]</f>
        <v>553.6</v>
      </c>
    </row>
    <row r="1519" spans="1:6" x14ac:dyDescent="0.25">
      <c r="A1519" s="2">
        <v>44781</v>
      </c>
      <c r="B1519" s="1" t="s">
        <v>13</v>
      </c>
      <c r="C1519" s="1" t="s">
        <v>68</v>
      </c>
      <c r="D1519" s="1" t="s">
        <v>17</v>
      </c>
      <c r="E1519">
        <v>52</v>
      </c>
      <c r="F1519" s="1">
        <f>VLOOKUP(jablka[[#This Row],[Nazwa]],cennik[],2,0) * jablka[[#This Row],[sprzedaż]]</f>
        <v>166.4</v>
      </c>
    </row>
    <row r="1520" spans="1:6" x14ac:dyDescent="0.25">
      <c r="A1520" s="2">
        <v>44781</v>
      </c>
      <c r="B1520" s="1" t="s">
        <v>12</v>
      </c>
      <c r="C1520" s="1" t="s">
        <v>68</v>
      </c>
      <c r="D1520" s="1" t="s">
        <v>62</v>
      </c>
      <c r="E1520">
        <v>133</v>
      </c>
      <c r="F1520" s="1">
        <f>VLOOKUP(jablka[[#This Row],[Nazwa]],cennik[],2,0) * jablka[[#This Row],[sprzedaż]]</f>
        <v>359.1</v>
      </c>
    </row>
    <row r="1521" spans="1:6" x14ac:dyDescent="0.25">
      <c r="A1521" s="2">
        <v>44781</v>
      </c>
      <c r="B1521" s="1" t="s">
        <v>14</v>
      </c>
      <c r="C1521" s="1" t="s">
        <v>67</v>
      </c>
      <c r="D1521" s="1" t="s">
        <v>62</v>
      </c>
      <c r="E1521">
        <v>22</v>
      </c>
      <c r="F1521" s="1">
        <f>VLOOKUP(jablka[[#This Row],[Nazwa]],cennik[],2,0) * jablka[[#This Row],[sprzedaż]]</f>
        <v>77</v>
      </c>
    </row>
    <row r="1522" spans="1:6" x14ac:dyDescent="0.25">
      <c r="A1522" s="2">
        <v>44782</v>
      </c>
      <c r="B1522" s="1" t="s">
        <v>12</v>
      </c>
      <c r="C1522" s="1" t="s">
        <v>68</v>
      </c>
      <c r="D1522" s="1" t="s">
        <v>42</v>
      </c>
      <c r="E1522">
        <v>51</v>
      </c>
      <c r="F1522" s="1">
        <f>VLOOKUP(jablka[[#This Row],[Nazwa]],cennik[],2,0) * jablka[[#This Row],[sprzedaż]]</f>
        <v>137.70000000000002</v>
      </c>
    </row>
    <row r="1523" spans="1:6" x14ac:dyDescent="0.25">
      <c r="A1523" s="2">
        <v>44782</v>
      </c>
      <c r="B1523" s="1" t="s">
        <v>14</v>
      </c>
      <c r="C1523" s="1" t="s">
        <v>67</v>
      </c>
      <c r="D1523" s="1" t="s">
        <v>25</v>
      </c>
      <c r="E1523">
        <v>357</v>
      </c>
      <c r="F1523" s="1">
        <f>VLOOKUP(jablka[[#This Row],[Nazwa]],cennik[],2,0) * jablka[[#This Row],[sprzedaż]]</f>
        <v>1249.5</v>
      </c>
    </row>
    <row r="1524" spans="1:6" x14ac:dyDescent="0.25">
      <c r="A1524" s="2">
        <v>44782</v>
      </c>
      <c r="B1524" s="1" t="s">
        <v>13</v>
      </c>
      <c r="C1524" s="1" t="s">
        <v>68</v>
      </c>
      <c r="D1524" s="1" t="s">
        <v>34</v>
      </c>
      <c r="E1524">
        <v>277</v>
      </c>
      <c r="F1524" s="1">
        <f>VLOOKUP(jablka[[#This Row],[Nazwa]],cennik[],2,0) * jablka[[#This Row],[sprzedaż]]</f>
        <v>886.40000000000009</v>
      </c>
    </row>
    <row r="1525" spans="1:6" x14ac:dyDescent="0.25">
      <c r="A1525" s="2">
        <v>44782</v>
      </c>
      <c r="B1525" s="1" t="s">
        <v>12</v>
      </c>
      <c r="C1525" s="1" t="s">
        <v>68</v>
      </c>
      <c r="D1525" s="1" t="s">
        <v>49</v>
      </c>
      <c r="E1525">
        <v>179</v>
      </c>
      <c r="F1525" s="1">
        <f>VLOOKUP(jablka[[#This Row],[Nazwa]],cennik[],2,0) * jablka[[#This Row],[sprzedaż]]</f>
        <v>483.3</v>
      </c>
    </row>
    <row r="1526" spans="1:6" x14ac:dyDescent="0.25">
      <c r="A1526" s="2">
        <v>44782</v>
      </c>
      <c r="B1526" s="1" t="s">
        <v>13</v>
      </c>
      <c r="C1526" s="1" t="s">
        <v>68</v>
      </c>
      <c r="D1526" s="1" t="s">
        <v>22</v>
      </c>
      <c r="E1526">
        <v>300</v>
      </c>
      <c r="F1526" s="1">
        <f>VLOOKUP(jablka[[#This Row],[Nazwa]],cennik[],2,0) * jablka[[#This Row],[sprzedaż]]</f>
        <v>960</v>
      </c>
    </row>
    <row r="1527" spans="1:6" x14ac:dyDescent="0.25">
      <c r="A1527" s="2">
        <v>44782</v>
      </c>
      <c r="B1527" s="1" t="s">
        <v>14</v>
      </c>
      <c r="C1527" s="1" t="s">
        <v>67</v>
      </c>
      <c r="D1527" s="1" t="s">
        <v>46</v>
      </c>
      <c r="E1527">
        <v>334</v>
      </c>
      <c r="F1527" s="1">
        <f>VLOOKUP(jablka[[#This Row],[Nazwa]],cennik[],2,0) * jablka[[#This Row],[sprzedaż]]</f>
        <v>1169</v>
      </c>
    </row>
    <row r="1528" spans="1:6" x14ac:dyDescent="0.25">
      <c r="A1528" s="2">
        <v>44782</v>
      </c>
      <c r="B1528" s="1" t="s">
        <v>12</v>
      </c>
      <c r="C1528" s="1" t="s">
        <v>68</v>
      </c>
      <c r="D1528" s="1" t="s">
        <v>31</v>
      </c>
      <c r="E1528">
        <v>175</v>
      </c>
      <c r="F1528" s="1">
        <f>VLOOKUP(jablka[[#This Row],[Nazwa]],cennik[],2,0) * jablka[[#This Row],[sprzedaż]]</f>
        <v>472.50000000000006</v>
      </c>
    </row>
    <row r="1529" spans="1:6" x14ac:dyDescent="0.25">
      <c r="A1529" s="2">
        <v>44782</v>
      </c>
      <c r="B1529" s="1" t="s">
        <v>13</v>
      </c>
      <c r="C1529" s="1" t="s">
        <v>68</v>
      </c>
      <c r="D1529" s="1" t="s">
        <v>65</v>
      </c>
      <c r="E1529">
        <v>54</v>
      </c>
      <c r="F1529" s="1">
        <f>VLOOKUP(jablka[[#This Row],[Nazwa]],cennik[],2,0) * jablka[[#This Row],[sprzedaż]]</f>
        <v>172.8</v>
      </c>
    </row>
    <row r="1530" spans="1:6" x14ac:dyDescent="0.25">
      <c r="A1530" s="2">
        <v>44782</v>
      </c>
      <c r="B1530" s="1" t="s">
        <v>12</v>
      </c>
      <c r="C1530" s="1" t="s">
        <v>68</v>
      </c>
      <c r="D1530" s="1" t="s">
        <v>29</v>
      </c>
      <c r="E1530">
        <v>48</v>
      </c>
      <c r="F1530" s="1">
        <f>VLOOKUP(jablka[[#This Row],[Nazwa]],cennik[],2,0) * jablka[[#This Row],[sprzedaż]]</f>
        <v>129.60000000000002</v>
      </c>
    </row>
    <row r="1531" spans="1:6" x14ac:dyDescent="0.25">
      <c r="A1531" s="2">
        <v>44783</v>
      </c>
      <c r="B1531" s="1" t="s">
        <v>12</v>
      </c>
      <c r="C1531" s="1" t="s">
        <v>68</v>
      </c>
      <c r="D1531" s="1" t="s">
        <v>57</v>
      </c>
      <c r="E1531">
        <v>34</v>
      </c>
      <c r="F1531" s="1">
        <f>VLOOKUP(jablka[[#This Row],[Nazwa]],cennik[],2,0) * jablka[[#This Row],[sprzedaż]]</f>
        <v>91.800000000000011</v>
      </c>
    </row>
    <row r="1532" spans="1:6" x14ac:dyDescent="0.25">
      <c r="A1532" s="2">
        <v>44783</v>
      </c>
      <c r="B1532" s="1" t="s">
        <v>12</v>
      </c>
      <c r="C1532" s="1" t="s">
        <v>68</v>
      </c>
      <c r="D1532" s="1" t="s">
        <v>41</v>
      </c>
      <c r="E1532">
        <v>369</v>
      </c>
      <c r="F1532" s="1">
        <f>VLOOKUP(jablka[[#This Row],[Nazwa]],cennik[],2,0) * jablka[[#This Row],[sprzedaż]]</f>
        <v>996.30000000000007</v>
      </c>
    </row>
    <row r="1533" spans="1:6" x14ac:dyDescent="0.25">
      <c r="A1533" s="2">
        <v>44783</v>
      </c>
      <c r="B1533" s="1" t="s">
        <v>14</v>
      </c>
      <c r="C1533" s="1" t="s">
        <v>67</v>
      </c>
      <c r="D1533" s="1" t="s">
        <v>47</v>
      </c>
      <c r="E1533">
        <v>291</v>
      </c>
      <c r="F1533" s="1">
        <f>VLOOKUP(jablka[[#This Row],[Nazwa]],cennik[],2,0) * jablka[[#This Row],[sprzedaż]]</f>
        <v>1018.5</v>
      </c>
    </row>
    <row r="1534" spans="1:6" x14ac:dyDescent="0.25">
      <c r="A1534" s="2">
        <v>44783</v>
      </c>
      <c r="B1534" s="1" t="s">
        <v>14</v>
      </c>
      <c r="C1534" s="1" t="s">
        <v>67</v>
      </c>
      <c r="D1534" s="1" t="s">
        <v>57</v>
      </c>
      <c r="E1534">
        <v>274</v>
      </c>
      <c r="F1534" s="1">
        <f>VLOOKUP(jablka[[#This Row],[Nazwa]],cennik[],2,0) * jablka[[#This Row],[sprzedaż]]</f>
        <v>959</v>
      </c>
    </row>
    <row r="1535" spans="1:6" x14ac:dyDescent="0.25">
      <c r="A1535" s="2">
        <v>44783</v>
      </c>
      <c r="B1535" s="1" t="s">
        <v>12</v>
      </c>
      <c r="C1535" s="1" t="s">
        <v>68</v>
      </c>
      <c r="D1535" s="1" t="s">
        <v>65</v>
      </c>
      <c r="E1535">
        <v>57</v>
      </c>
      <c r="F1535" s="1">
        <f>VLOOKUP(jablka[[#This Row],[Nazwa]],cennik[],2,0) * jablka[[#This Row],[sprzedaż]]</f>
        <v>153.9</v>
      </c>
    </row>
    <row r="1536" spans="1:6" x14ac:dyDescent="0.25">
      <c r="A1536" s="2">
        <v>44783</v>
      </c>
      <c r="B1536" s="1" t="s">
        <v>13</v>
      </c>
      <c r="C1536" s="1" t="s">
        <v>68</v>
      </c>
      <c r="D1536" s="1" t="s">
        <v>33</v>
      </c>
      <c r="E1536">
        <v>458</v>
      </c>
      <c r="F1536" s="1">
        <f>VLOOKUP(jablka[[#This Row],[Nazwa]],cennik[],2,0) * jablka[[#This Row],[sprzedaż]]</f>
        <v>1465.6000000000001</v>
      </c>
    </row>
    <row r="1537" spans="1:6" x14ac:dyDescent="0.25">
      <c r="A1537" s="2">
        <v>44783</v>
      </c>
      <c r="B1537" s="1" t="s">
        <v>12</v>
      </c>
      <c r="C1537" s="1" t="s">
        <v>68</v>
      </c>
      <c r="D1537" s="1" t="s">
        <v>31</v>
      </c>
      <c r="E1537">
        <v>37</v>
      </c>
      <c r="F1537" s="1">
        <f>VLOOKUP(jablka[[#This Row],[Nazwa]],cennik[],2,0) * jablka[[#This Row],[sprzedaż]]</f>
        <v>99.9</v>
      </c>
    </row>
    <row r="1538" spans="1:6" x14ac:dyDescent="0.25">
      <c r="A1538" s="2">
        <v>44783</v>
      </c>
      <c r="B1538" s="1" t="s">
        <v>12</v>
      </c>
      <c r="C1538" s="1" t="s">
        <v>68</v>
      </c>
      <c r="D1538" s="1" t="s">
        <v>61</v>
      </c>
      <c r="E1538">
        <v>419</v>
      </c>
      <c r="F1538" s="1">
        <f>VLOOKUP(jablka[[#This Row],[Nazwa]],cennik[],2,0) * jablka[[#This Row],[sprzedaż]]</f>
        <v>1131.3000000000002</v>
      </c>
    </row>
    <row r="1539" spans="1:6" x14ac:dyDescent="0.25">
      <c r="A1539" s="2">
        <v>44783</v>
      </c>
      <c r="B1539" s="1" t="s">
        <v>12</v>
      </c>
      <c r="C1539" s="1" t="s">
        <v>68</v>
      </c>
      <c r="D1539" s="1" t="s">
        <v>21</v>
      </c>
      <c r="E1539">
        <v>388</v>
      </c>
      <c r="F1539" s="1">
        <f>VLOOKUP(jablka[[#This Row],[Nazwa]],cennik[],2,0) * jablka[[#This Row],[sprzedaż]]</f>
        <v>1047.6000000000001</v>
      </c>
    </row>
    <row r="1540" spans="1:6" x14ac:dyDescent="0.25">
      <c r="A1540" s="2">
        <v>44784</v>
      </c>
      <c r="B1540" s="1" t="s">
        <v>13</v>
      </c>
      <c r="C1540" s="1" t="s">
        <v>68</v>
      </c>
      <c r="D1540" s="1" t="s">
        <v>45</v>
      </c>
      <c r="E1540">
        <v>271</v>
      </c>
      <c r="F1540" s="1">
        <f>VLOOKUP(jablka[[#This Row],[Nazwa]],cennik[],2,0) * jablka[[#This Row],[sprzedaż]]</f>
        <v>867.2</v>
      </c>
    </row>
    <row r="1541" spans="1:6" x14ac:dyDescent="0.25">
      <c r="A1541" s="2">
        <v>44784</v>
      </c>
      <c r="B1541" s="1" t="s">
        <v>14</v>
      </c>
      <c r="C1541" s="1" t="s">
        <v>67</v>
      </c>
      <c r="D1541" s="1" t="s">
        <v>18</v>
      </c>
      <c r="E1541">
        <v>196</v>
      </c>
      <c r="F1541" s="1">
        <f>VLOOKUP(jablka[[#This Row],[Nazwa]],cennik[],2,0) * jablka[[#This Row],[sprzedaż]]</f>
        <v>686</v>
      </c>
    </row>
    <row r="1542" spans="1:6" x14ac:dyDescent="0.25">
      <c r="A1542" s="2">
        <v>44784</v>
      </c>
      <c r="B1542" s="1" t="s">
        <v>12</v>
      </c>
      <c r="C1542" s="1" t="s">
        <v>68</v>
      </c>
      <c r="D1542" s="1" t="s">
        <v>55</v>
      </c>
      <c r="E1542">
        <v>102</v>
      </c>
      <c r="F1542" s="1">
        <f>VLOOKUP(jablka[[#This Row],[Nazwa]],cennik[],2,0) * jablka[[#This Row],[sprzedaż]]</f>
        <v>275.40000000000003</v>
      </c>
    </row>
    <row r="1543" spans="1:6" x14ac:dyDescent="0.25">
      <c r="A1543" s="2">
        <v>44784</v>
      </c>
      <c r="B1543" s="1" t="s">
        <v>13</v>
      </c>
      <c r="C1543" s="1" t="s">
        <v>68</v>
      </c>
      <c r="D1543" s="1" t="s">
        <v>42</v>
      </c>
      <c r="E1543">
        <v>309</v>
      </c>
      <c r="F1543" s="1">
        <f>VLOOKUP(jablka[[#This Row],[Nazwa]],cennik[],2,0) * jablka[[#This Row],[sprzedaż]]</f>
        <v>988.80000000000007</v>
      </c>
    </row>
    <row r="1544" spans="1:6" x14ac:dyDescent="0.25">
      <c r="A1544" s="2">
        <v>44784</v>
      </c>
      <c r="B1544" s="1" t="s">
        <v>12</v>
      </c>
      <c r="C1544" s="1" t="s">
        <v>68</v>
      </c>
      <c r="D1544" s="1" t="s">
        <v>35</v>
      </c>
      <c r="E1544">
        <v>34</v>
      </c>
      <c r="F1544" s="1">
        <f>VLOOKUP(jablka[[#This Row],[Nazwa]],cennik[],2,0) * jablka[[#This Row],[sprzedaż]]</f>
        <v>91.800000000000011</v>
      </c>
    </row>
    <row r="1545" spans="1:6" x14ac:dyDescent="0.25">
      <c r="A1545" s="2">
        <v>44784</v>
      </c>
      <c r="B1545" s="1" t="s">
        <v>14</v>
      </c>
      <c r="C1545" s="1" t="s">
        <v>67</v>
      </c>
      <c r="D1545" s="1" t="s">
        <v>46</v>
      </c>
      <c r="E1545">
        <v>406</v>
      </c>
      <c r="F1545" s="1">
        <f>VLOOKUP(jablka[[#This Row],[Nazwa]],cennik[],2,0) * jablka[[#This Row],[sprzedaż]]</f>
        <v>1421</v>
      </c>
    </row>
    <row r="1546" spans="1:6" x14ac:dyDescent="0.25">
      <c r="A1546" s="2">
        <v>44785</v>
      </c>
      <c r="B1546" s="1" t="s">
        <v>13</v>
      </c>
      <c r="C1546" s="1" t="s">
        <v>68</v>
      </c>
      <c r="D1546" s="1" t="s">
        <v>32</v>
      </c>
      <c r="E1546">
        <v>281</v>
      </c>
      <c r="F1546" s="1">
        <f>VLOOKUP(jablka[[#This Row],[Nazwa]],cennik[],2,0) * jablka[[#This Row],[sprzedaż]]</f>
        <v>899.2</v>
      </c>
    </row>
    <row r="1547" spans="1:6" x14ac:dyDescent="0.25">
      <c r="A1547" s="2">
        <v>44785</v>
      </c>
      <c r="B1547" s="1" t="s">
        <v>13</v>
      </c>
      <c r="C1547" s="1" t="s">
        <v>68</v>
      </c>
      <c r="D1547" s="1" t="s">
        <v>19</v>
      </c>
      <c r="E1547">
        <v>179</v>
      </c>
      <c r="F1547" s="1">
        <f>VLOOKUP(jablka[[#This Row],[Nazwa]],cennik[],2,0) * jablka[[#This Row],[sprzedaż]]</f>
        <v>572.80000000000007</v>
      </c>
    </row>
    <row r="1548" spans="1:6" x14ac:dyDescent="0.25">
      <c r="A1548" s="2">
        <v>44785</v>
      </c>
      <c r="B1548" s="1" t="s">
        <v>12</v>
      </c>
      <c r="C1548" s="1" t="s">
        <v>68</v>
      </c>
      <c r="D1548" s="1" t="s">
        <v>32</v>
      </c>
      <c r="E1548">
        <v>472</v>
      </c>
      <c r="F1548" s="1">
        <f>VLOOKUP(jablka[[#This Row],[Nazwa]],cennik[],2,0) * jablka[[#This Row],[sprzedaż]]</f>
        <v>1274.4000000000001</v>
      </c>
    </row>
    <row r="1549" spans="1:6" x14ac:dyDescent="0.25">
      <c r="A1549" s="2">
        <v>44785</v>
      </c>
      <c r="B1549" s="1" t="s">
        <v>14</v>
      </c>
      <c r="C1549" s="1" t="s">
        <v>67</v>
      </c>
      <c r="D1549" s="1" t="s">
        <v>49</v>
      </c>
      <c r="E1549">
        <v>413</v>
      </c>
      <c r="F1549" s="1">
        <f>VLOOKUP(jablka[[#This Row],[Nazwa]],cennik[],2,0) * jablka[[#This Row],[sprzedaż]]</f>
        <v>1445.5</v>
      </c>
    </row>
    <row r="1550" spans="1:6" x14ac:dyDescent="0.25">
      <c r="A1550" s="2">
        <v>44785</v>
      </c>
      <c r="B1550" s="1" t="s">
        <v>14</v>
      </c>
      <c r="C1550" s="1" t="s">
        <v>67</v>
      </c>
      <c r="D1550" s="1" t="s">
        <v>48</v>
      </c>
      <c r="E1550">
        <v>238</v>
      </c>
      <c r="F1550" s="1">
        <f>VLOOKUP(jablka[[#This Row],[Nazwa]],cennik[],2,0) * jablka[[#This Row],[sprzedaż]]</f>
        <v>833</v>
      </c>
    </row>
    <row r="1551" spans="1:6" x14ac:dyDescent="0.25">
      <c r="A1551" s="2">
        <v>44785</v>
      </c>
      <c r="B1551" s="1" t="s">
        <v>13</v>
      </c>
      <c r="C1551" s="1" t="s">
        <v>68</v>
      </c>
      <c r="D1551" s="1" t="s">
        <v>41</v>
      </c>
      <c r="E1551">
        <v>175</v>
      </c>
      <c r="F1551" s="1">
        <f>VLOOKUP(jablka[[#This Row],[Nazwa]],cennik[],2,0) * jablka[[#This Row],[sprzedaż]]</f>
        <v>560</v>
      </c>
    </row>
    <row r="1552" spans="1:6" x14ac:dyDescent="0.25">
      <c r="A1552" s="2">
        <v>44786</v>
      </c>
      <c r="B1552" s="1" t="s">
        <v>14</v>
      </c>
      <c r="C1552" s="1" t="s">
        <v>67</v>
      </c>
      <c r="D1552" s="1" t="s">
        <v>52</v>
      </c>
      <c r="E1552">
        <v>475</v>
      </c>
      <c r="F1552" s="1">
        <f>VLOOKUP(jablka[[#This Row],[Nazwa]],cennik[],2,0) * jablka[[#This Row],[sprzedaż]]</f>
        <v>1662.5</v>
      </c>
    </row>
    <row r="1553" spans="1:6" x14ac:dyDescent="0.25">
      <c r="A1553" s="2">
        <v>44786</v>
      </c>
      <c r="B1553" s="1" t="s">
        <v>14</v>
      </c>
      <c r="C1553" s="1" t="s">
        <v>67</v>
      </c>
      <c r="D1553" s="1" t="s">
        <v>45</v>
      </c>
      <c r="E1553">
        <v>56</v>
      </c>
      <c r="F1553" s="1">
        <f>VLOOKUP(jablka[[#This Row],[Nazwa]],cennik[],2,0) * jablka[[#This Row],[sprzedaż]]</f>
        <v>196</v>
      </c>
    </row>
    <row r="1554" spans="1:6" x14ac:dyDescent="0.25">
      <c r="A1554" s="2">
        <v>44786</v>
      </c>
      <c r="B1554" s="1" t="s">
        <v>14</v>
      </c>
      <c r="C1554" s="1" t="s">
        <v>67</v>
      </c>
      <c r="D1554" s="1" t="s">
        <v>46</v>
      </c>
      <c r="E1554">
        <v>284</v>
      </c>
      <c r="F1554" s="1">
        <f>VLOOKUP(jablka[[#This Row],[Nazwa]],cennik[],2,0) * jablka[[#This Row],[sprzedaż]]</f>
        <v>994</v>
      </c>
    </row>
    <row r="1555" spans="1:6" x14ac:dyDescent="0.25">
      <c r="A1555" s="2">
        <v>44786</v>
      </c>
      <c r="B1555" s="1" t="s">
        <v>12</v>
      </c>
      <c r="C1555" s="1" t="s">
        <v>68</v>
      </c>
      <c r="D1555" s="1" t="s">
        <v>64</v>
      </c>
      <c r="E1555">
        <v>271</v>
      </c>
      <c r="F1555" s="1">
        <f>VLOOKUP(jablka[[#This Row],[Nazwa]],cennik[],2,0) * jablka[[#This Row],[sprzedaż]]</f>
        <v>731.7</v>
      </c>
    </row>
    <row r="1556" spans="1:6" x14ac:dyDescent="0.25">
      <c r="A1556" s="2">
        <v>44786</v>
      </c>
      <c r="B1556" s="1" t="s">
        <v>13</v>
      </c>
      <c r="C1556" s="1" t="s">
        <v>68</v>
      </c>
      <c r="D1556" s="1" t="s">
        <v>61</v>
      </c>
      <c r="E1556">
        <v>51</v>
      </c>
      <c r="F1556" s="1">
        <f>VLOOKUP(jablka[[#This Row],[Nazwa]],cennik[],2,0) * jablka[[#This Row],[sprzedaż]]</f>
        <v>163.20000000000002</v>
      </c>
    </row>
    <row r="1557" spans="1:6" x14ac:dyDescent="0.25">
      <c r="A1557" s="2">
        <v>44788</v>
      </c>
      <c r="B1557" s="1" t="s">
        <v>14</v>
      </c>
      <c r="C1557" s="1" t="s">
        <v>67</v>
      </c>
      <c r="D1557" s="1" t="s">
        <v>59</v>
      </c>
      <c r="E1557">
        <v>448</v>
      </c>
      <c r="F1557" s="1">
        <f>VLOOKUP(jablka[[#This Row],[Nazwa]],cennik[],2,0) * jablka[[#This Row],[sprzedaż]]</f>
        <v>1568</v>
      </c>
    </row>
    <row r="1558" spans="1:6" x14ac:dyDescent="0.25">
      <c r="A1558" s="2">
        <v>44788</v>
      </c>
      <c r="B1558" s="1" t="s">
        <v>12</v>
      </c>
      <c r="C1558" s="1" t="s">
        <v>68</v>
      </c>
      <c r="D1558" s="1" t="s">
        <v>38</v>
      </c>
      <c r="E1558">
        <v>285</v>
      </c>
      <c r="F1558" s="1">
        <f>VLOOKUP(jablka[[#This Row],[Nazwa]],cennik[],2,0) * jablka[[#This Row],[sprzedaż]]</f>
        <v>769.5</v>
      </c>
    </row>
    <row r="1559" spans="1:6" x14ac:dyDescent="0.25">
      <c r="A1559" s="2">
        <v>44788</v>
      </c>
      <c r="B1559" s="1" t="s">
        <v>14</v>
      </c>
      <c r="C1559" s="1" t="s">
        <v>67</v>
      </c>
      <c r="D1559" s="1" t="s">
        <v>26</v>
      </c>
      <c r="E1559">
        <v>43</v>
      </c>
      <c r="F1559" s="1">
        <f>VLOOKUP(jablka[[#This Row],[Nazwa]],cennik[],2,0) * jablka[[#This Row],[sprzedaż]]</f>
        <v>150.5</v>
      </c>
    </row>
    <row r="1560" spans="1:6" x14ac:dyDescent="0.25">
      <c r="A1560" s="2">
        <v>44788</v>
      </c>
      <c r="B1560" s="1" t="s">
        <v>13</v>
      </c>
      <c r="C1560" s="1" t="s">
        <v>68</v>
      </c>
      <c r="D1560" s="1" t="s">
        <v>57</v>
      </c>
      <c r="E1560">
        <v>274</v>
      </c>
      <c r="F1560" s="1">
        <f>VLOOKUP(jablka[[#This Row],[Nazwa]],cennik[],2,0) * jablka[[#This Row],[sprzedaż]]</f>
        <v>876.80000000000007</v>
      </c>
    </row>
    <row r="1561" spans="1:6" x14ac:dyDescent="0.25">
      <c r="A1561" s="2">
        <v>44788</v>
      </c>
      <c r="B1561" s="1" t="s">
        <v>12</v>
      </c>
      <c r="C1561" s="1" t="s">
        <v>68</v>
      </c>
      <c r="D1561" s="1" t="s">
        <v>19</v>
      </c>
      <c r="E1561">
        <v>57</v>
      </c>
      <c r="F1561" s="1">
        <f>VLOOKUP(jablka[[#This Row],[Nazwa]],cennik[],2,0) * jablka[[#This Row],[sprzedaż]]</f>
        <v>153.9</v>
      </c>
    </row>
    <row r="1562" spans="1:6" x14ac:dyDescent="0.25">
      <c r="A1562" s="2">
        <v>44788</v>
      </c>
      <c r="B1562" s="1" t="s">
        <v>13</v>
      </c>
      <c r="C1562" s="1" t="s">
        <v>68</v>
      </c>
      <c r="D1562" s="1" t="s">
        <v>34</v>
      </c>
      <c r="E1562">
        <v>95</v>
      </c>
      <c r="F1562" s="1">
        <f>VLOOKUP(jablka[[#This Row],[Nazwa]],cennik[],2,0) * jablka[[#This Row],[sprzedaż]]</f>
        <v>304</v>
      </c>
    </row>
    <row r="1563" spans="1:6" x14ac:dyDescent="0.25">
      <c r="A1563" s="2">
        <v>44788</v>
      </c>
      <c r="B1563" s="1" t="s">
        <v>14</v>
      </c>
      <c r="C1563" s="1" t="s">
        <v>67</v>
      </c>
      <c r="D1563" s="1" t="s">
        <v>54</v>
      </c>
      <c r="E1563">
        <v>312</v>
      </c>
      <c r="F1563" s="1">
        <f>VLOOKUP(jablka[[#This Row],[Nazwa]],cennik[],2,0) * jablka[[#This Row],[sprzedaż]]</f>
        <v>1092</v>
      </c>
    </row>
    <row r="1564" spans="1:6" x14ac:dyDescent="0.25">
      <c r="A1564" s="2">
        <v>44788</v>
      </c>
      <c r="B1564" s="1" t="s">
        <v>13</v>
      </c>
      <c r="C1564" s="1" t="s">
        <v>68</v>
      </c>
      <c r="D1564" s="1" t="s">
        <v>33</v>
      </c>
      <c r="E1564">
        <v>270</v>
      </c>
      <c r="F1564" s="1">
        <f>VLOOKUP(jablka[[#This Row],[Nazwa]],cennik[],2,0) * jablka[[#This Row],[sprzedaż]]</f>
        <v>864</v>
      </c>
    </row>
    <row r="1565" spans="1:6" x14ac:dyDescent="0.25">
      <c r="A1565" s="2">
        <v>44788</v>
      </c>
      <c r="B1565" s="1" t="s">
        <v>12</v>
      </c>
      <c r="C1565" s="1" t="s">
        <v>68</v>
      </c>
      <c r="D1565" s="1" t="s">
        <v>33</v>
      </c>
      <c r="E1565">
        <v>292</v>
      </c>
      <c r="F1565" s="1">
        <f>VLOOKUP(jablka[[#This Row],[Nazwa]],cennik[],2,0) * jablka[[#This Row],[sprzedaż]]</f>
        <v>788.40000000000009</v>
      </c>
    </row>
    <row r="1566" spans="1:6" x14ac:dyDescent="0.25">
      <c r="A1566" s="2">
        <v>44788</v>
      </c>
      <c r="B1566" s="1" t="s">
        <v>14</v>
      </c>
      <c r="C1566" s="1" t="s">
        <v>67</v>
      </c>
      <c r="D1566" s="1" t="s">
        <v>59</v>
      </c>
      <c r="E1566">
        <v>98</v>
      </c>
      <c r="F1566" s="1">
        <f>VLOOKUP(jablka[[#This Row],[Nazwa]],cennik[],2,0) * jablka[[#This Row],[sprzedaż]]</f>
        <v>343</v>
      </c>
    </row>
    <row r="1567" spans="1:6" x14ac:dyDescent="0.25">
      <c r="A1567" s="2">
        <v>44788</v>
      </c>
      <c r="B1567" s="1" t="s">
        <v>12</v>
      </c>
      <c r="C1567" s="1" t="s">
        <v>68</v>
      </c>
      <c r="D1567" s="1" t="s">
        <v>66</v>
      </c>
      <c r="E1567">
        <v>427</v>
      </c>
      <c r="F1567" s="1">
        <f>VLOOKUP(jablka[[#This Row],[Nazwa]],cennik[],2,0) * jablka[[#This Row],[sprzedaż]]</f>
        <v>1152.9000000000001</v>
      </c>
    </row>
    <row r="1568" spans="1:6" x14ac:dyDescent="0.25">
      <c r="A1568" s="2">
        <v>44788</v>
      </c>
      <c r="B1568" s="1" t="s">
        <v>14</v>
      </c>
      <c r="C1568" s="1" t="s">
        <v>67</v>
      </c>
      <c r="D1568" s="1" t="s">
        <v>21</v>
      </c>
      <c r="E1568">
        <v>473</v>
      </c>
      <c r="F1568" s="1">
        <f>VLOOKUP(jablka[[#This Row],[Nazwa]],cennik[],2,0) * jablka[[#This Row],[sprzedaż]]</f>
        <v>1655.5</v>
      </c>
    </row>
    <row r="1569" spans="1:6" x14ac:dyDescent="0.25">
      <c r="A1569" s="2">
        <v>44788</v>
      </c>
      <c r="B1569" s="1" t="s">
        <v>13</v>
      </c>
      <c r="C1569" s="1" t="s">
        <v>68</v>
      </c>
      <c r="D1569" s="1" t="s">
        <v>17</v>
      </c>
      <c r="E1569">
        <v>465</v>
      </c>
      <c r="F1569" s="1">
        <f>VLOOKUP(jablka[[#This Row],[Nazwa]],cennik[],2,0) * jablka[[#This Row],[sprzedaż]]</f>
        <v>1488</v>
      </c>
    </row>
    <row r="1570" spans="1:6" x14ac:dyDescent="0.25">
      <c r="A1570" s="2">
        <v>44788</v>
      </c>
      <c r="B1570" s="1" t="s">
        <v>12</v>
      </c>
      <c r="C1570" s="1" t="s">
        <v>68</v>
      </c>
      <c r="D1570" s="1" t="s">
        <v>19</v>
      </c>
      <c r="E1570">
        <v>284</v>
      </c>
      <c r="F1570" s="1">
        <f>VLOOKUP(jablka[[#This Row],[Nazwa]],cennik[],2,0) * jablka[[#This Row],[sprzedaż]]</f>
        <v>766.80000000000007</v>
      </c>
    </row>
    <row r="1571" spans="1:6" x14ac:dyDescent="0.25">
      <c r="A1571" s="2">
        <v>44788</v>
      </c>
      <c r="B1571" s="1" t="s">
        <v>12</v>
      </c>
      <c r="C1571" s="1" t="s">
        <v>68</v>
      </c>
      <c r="D1571" s="1" t="s">
        <v>39</v>
      </c>
      <c r="E1571">
        <v>231</v>
      </c>
      <c r="F1571" s="1">
        <f>VLOOKUP(jablka[[#This Row],[Nazwa]],cennik[],2,0) * jablka[[#This Row],[sprzedaż]]</f>
        <v>623.70000000000005</v>
      </c>
    </row>
    <row r="1572" spans="1:6" x14ac:dyDescent="0.25">
      <c r="A1572" s="2">
        <v>44788</v>
      </c>
      <c r="B1572" s="1" t="s">
        <v>13</v>
      </c>
      <c r="C1572" s="1" t="s">
        <v>68</v>
      </c>
      <c r="D1572" s="1" t="s">
        <v>54</v>
      </c>
      <c r="E1572">
        <v>241</v>
      </c>
      <c r="F1572" s="1">
        <f>VLOOKUP(jablka[[#This Row],[Nazwa]],cennik[],2,0) * jablka[[#This Row],[sprzedaż]]</f>
        <v>771.2</v>
      </c>
    </row>
    <row r="1573" spans="1:6" x14ac:dyDescent="0.25">
      <c r="A1573" s="2">
        <v>44789</v>
      </c>
      <c r="B1573" s="1" t="s">
        <v>14</v>
      </c>
      <c r="C1573" s="1" t="s">
        <v>67</v>
      </c>
      <c r="D1573" s="1" t="s">
        <v>36</v>
      </c>
      <c r="E1573">
        <v>189</v>
      </c>
      <c r="F1573" s="1">
        <f>VLOOKUP(jablka[[#This Row],[Nazwa]],cennik[],2,0) * jablka[[#This Row],[sprzedaż]]</f>
        <v>661.5</v>
      </c>
    </row>
    <row r="1574" spans="1:6" x14ac:dyDescent="0.25">
      <c r="A1574" s="2">
        <v>44789</v>
      </c>
      <c r="B1574" s="1" t="s">
        <v>13</v>
      </c>
      <c r="C1574" s="1" t="s">
        <v>68</v>
      </c>
      <c r="D1574" s="1" t="s">
        <v>62</v>
      </c>
      <c r="E1574">
        <v>354</v>
      </c>
      <c r="F1574" s="1">
        <f>VLOOKUP(jablka[[#This Row],[Nazwa]],cennik[],2,0) * jablka[[#This Row],[sprzedaż]]</f>
        <v>1132.8</v>
      </c>
    </row>
    <row r="1575" spans="1:6" x14ac:dyDescent="0.25">
      <c r="A1575" s="2">
        <v>44789</v>
      </c>
      <c r="B1575" s="1" t="s">
        <v>14</v>
      </c>
      <c r="C1575" s="1" t="s">
        <v>67</v>
      </c>
      <c r="D1575" s="1" t="s">
        <v>43</v>
      </c>
      <c r="E1575">
        <v>466</v>
      </c>
      <c r="F1575" s="1">
        <f>VLOOKUP(jablka[[#This Row],[Nazwa]],cennik[],2,0) * jablka[[#This Row],[sprzedaż]]</f>
        <v>1631</v>
      </c>
    </row>
    <row r="1576" spans="1:6" x14ac:dyDescent="0.25">
      <c r="A1576" s="2">
        <v>44790</v>
      </c>
      <c r="B1576" s="1" t="s">
        <v>13</v>
      </c>
      <c r="C1576" s="1" t="s">
        <v>68</v>
      </c>
      <c r="D1576" s="1" t="s">
        <v>18</v>
      </c>
      <c r="E1576">
        <v>420</v>
      </c>
      <c r="F1576" s="1">
        <f>VLOOKUP(jablka[[#This Row],[Nazwa]],cennik[],2,0) * jablka[[#This Row],[sprzedaż]]</f>
        <v>1344</v>
      </c>
    </row>
    <row r="1577" spans="1:6" x14ac:dyDescent="0.25">
      <c r="A1577" s="2">
        <v>44790</v>
      </c>
      <c r="B1577" s="1" t="s">
        <v>12</v>
      </c>
      <c r="C1577" s="1" t="s">
        <v>68</v>
      </c>
      <c r="D1577" s="1" t="s">
        <v>44</v>
      </c>
      <c r="E1577">
        <v>219</v>
      </c>
      <c r="F1577" s="1">
        <f>VLOOKUP(jablka[[#This Row],[Nazwa]],cennik[],2,0) * jablka[[#This Row],[sprzedaż]]</f>
        <v>591.30000000000007</v>
      </c>
    </row>
    <row r="1578" spans="1:6" x14ac:dyDescent="0.25">
      <c r="A1578" s="2">
        <v>44790</v>
      </c>
      <c r="B1578" s="1" t="s">
        <v>13</v>
      </c>
      <c r="C1578" s="1" t="s">
        <v>68</v>
      </c>
      <c r="D1578" s="1" t="s">
        <v>55</v>
      </c>
      <c r="E1578">
        <v>30</v>
      </c>
      <c r="F1578" s="1">
        <f>VLOOKUP(jablka[[#This Row],[Nazwa]],cennik[],2,0) * jablka[[#This Row],[sprzedaż]]</f>
        <v>96</v>
      </c>
    </row>
    <row r="1579" spans="1:6" x14ac:dyDescent="0.25">
      <c r="A1579" s="2">
        <v>44790</v>
      </c>
      <c r="B1579" s="1" t="s">
        <v>13</v>
      </c>
      <c r="C1579" s="1" t="s">
        <v>68</v>
      </c>
      <c r="D1579" s="1" t="s">
        <v>17</v>
      </c>
      <c r="E1579">
        <v>274</v>
      </c>
      <c r="F1579" s="1">
        <f>VLOOKUP(jablka[[#This Row],[Nazwa]],cennik[],2,0) * jablka[[#This Row],[sprzedaż]]</f>
        <v>876.80000000000007</v>
      </c>
    </row>
    <row r="1580" spans="1:6" x14ac:dyDescent="0.25">
      <c r="A1580" s="2">
        <v>44791</v>
      </c>
      <c r="B1580" s="1" t="s">
        <v>14</v>
      </c>
      <c r="C1580" s="1" t="s">
        <v>67</v>
      </c>
      <c r="D1580" s="1" t="s">
        <v>26</v>
      </c>
      <c r="E1580">
        <v>472</v>
      </c>
      <c r="F1580" s="1">
        <f>VLOOKUP(jablka[[#This Row],[Nazwa]],cennik[],2,0) * jablka[[#This Row],[sprzedaż]]</f>
        <v>1652</v>
      </c>
    </row>
    <row r="1581" spans="1:6" x14ac:dyDescent="0.25">
      <c r="A1581" s="2">
        <v>44791</v>
      </c>
      <c r="B1581" s="1" t="s">
        <v>14</v>
      </c>
      <c r="C1581" s="1" t="s">
        <v>67</v>
      </c>
      <c r="D1581" s="1" t="s">
        <v>17</v>
      </c>
      <c r="E1581">
        <v>100</v>
      </c>
      <c r="F1581" s="1">
        <f>VLOOKUP(jablka[[#This Row],[Nazwa]],cennik[],2,0) * jablka[[#This Row],[sprzedaż]]</f>
        <v>350</v>
      </c>
    </row>
    <row r="1582" spans="1:6" x14ac:dyDescent="0.25">
      <c r="A1582" s="2">
        <v>44791</v>
      </c>
      <c r="B1582" s="1" t="s">
        <v>12</v>
      </c>
      <c r="C1582" s="1" t="s">
        <v>68</v>
      </c>
      <c r="D1582" s="1" t="s">
        <v>39</v>
      </c>
      <c r="E1582">
        <v>315</v>
      </c>
      <c r="F1582" s="1">
        <f>VLOOKUP(jablka[[#This Row],[Nazwa]],cennik[],2,0) * jablka[[#This Row],[sprzedaż]]</f>
        <v>850.5</v>
      </c>
    </row>
    <row r="1583" spans="1:6" x14ac:dyDescent="0.25">
      <c r="A1583" s="2">
        <v>44791</v>
      </c>
      <c r="B1583" s="1" t="s">
        <v>12</v>
      </c>
      <c r="C1583" s="1" t="s">
        <v>68</v>
      </c>
      <c r="D1583" s="1" t="s">
        <v>66</v>
      </c>
      <c r="E1583">
        <v>438</v>
      </c>
      <c r="F1583" s="1">
        <f>VLOOKUP(jablka[[#This Row],[Nazwa]],cennik[],2,0) * jablka[[#This Row],[sprzedaż]]</f>
        <v>1182.6000000000001</v>
      </c>
    </row>
    <row r="1584" spans="1:6" x14ac:dyDescent="0.25">
      <c r="A1584" s="2">
        <v>44791</v>
      </c>
      <c r="B1584" s="1" t="s">
        <v>13</v>
      </c>
      <c r="C1584" s="1" t="s">
        <v>68</v>
      </c>
      <c r="D1584" s="1" t="s">
        <v>60</v>
      </c>
      <c r="E1584">
        <v>335</v>
      </c>
      <c r="F1584" s="1">
        <f>VLOOKUP(jablka[[#This Row],[Nazwa]],cennik[],2,0) * jablka[[#This Row],[sprzedaż]]</f>
        <v>1072</v>
      </c>
    </row>
    <row r="1585" spans="1:6" x14ac:dyDescent="0.25">
      <c r="A1585" s="2">
        <v>44791</v>
      </c>
      <c r="B1585" s="1" t="s">
        <v>14</v>
      </c>
      <c r="C1585" s="1" t="s">
        <v>67</v>
      </c>
      <c r="D1585" s="1" t="s">
        <v>59</v>
      </c>
      <c r="E1585">
        <v>266</v>
      </c>
      <c r="F1585" s="1">
        <f>VLOOKUP(jablka[[#This Row],[Nazwa]],cennik[],2,0) * jablka[[#This Row],[sprzedaż]]</f>
        <v>931</v>
      </c>
    </row>
    <row r="1586" spans="1:6" x14ac:dyDescent="0.25">
      <c r="A1586" s="2">
        <v>44792</v>
      </c>
      <c r="B1586" s="1" t="s">
        <v>12</v>
      </c>
      <c r="C1586" s="1" t="s">
        <v>68</v>
      </c>
      <c r="D1586" s="1" t="s">
        <v>41</v>
      </c>
      <c r="E1586">
        <v>143</v>
      </c>
      <c r="F1586" s="1">
        <f>VLOOKUP(jablka[[#This Row],[Nazwa]],cennik[],2,0) * jablka[[#This Row],[sprzedaż]]</f>
        <v>386.1</v>
      </c>
    </row>
    <row r="1587" spans="1:6" x14ac:dyDescent="0.25">
      <c r="A1587" s="2">
        <v>44792</v>
      </c>
      <c r="B1587" s="1" t="s">
        <v>14</v>
      </c>
      <c r="C1587" s="1" t="s">
        <v>67</v>
      </c>
      <c r="D1587" s="1" t="s">
        <v>33</v>
      </c>
      <c r="E1587">
        <v>244</v>
      </c>
      <c r="F1587" s="1">
        <f>VLOOKUP(jablka[[#This Row],[Nazwa]],cennik[],2,0) * jablka[[#This Row],[sprzedaż]]</f>
        <v>854</v>
      </c>
    </row>
    <row r="1588" spans="1:6" x14ac:dyDescent="0.25">
      <c r="A1588" s="2">
        <v>44792</v>
      </c>
      <c r="B1588" s="1" t="s">
        <v>14</v>
      </c>
      <c r="C1588" s="1" t="s">
        <v>67</v>
      </c>
      <c r="D1588" s="1" t="s">
        <v>32</v>
      </c>
      <c r="E1588">
        <v>66</v>
      </c>
      <c r="F1588" s="1">
        <f>VLOOKUP(jablka[[#This Row],[Nazwa]],cennik[],2,0) * jablka[[#This Row],[sprzedaż]]</f>
        <v>231</v>
      </c>
    </row>
    <row r="1589" spans="1:6" x14ac:dyDescent="0.25">
      <c r="A1589" s="2">
        <v>44792</v>
      </c>
      <c r="B1589" s="1" t="s">
        <v>14</v>
      </c>
      <c r="C1589" s="1" t="s">
        <v>67</v>
      </c>
      <c r="D1589" s="1" t="s">
        <v>43</v>
      </c>
      <c r="E1589">
        <v>61</v>
      </c>
      <c r="F1589" s="1">
        <f>VLOOKUP(jablka[[#This Row],[Nazwa]],cennik[],2,0) * jablka[[#This Row],[sprzedaż]]</f>
        <v>213.5</v>
      </c>
    </row>
    <row r="1590" spans="1:6" x14ac:dyDescent="0.25">
      <c r="A1590" s="2">
        <v>44792</v>
      </c>
      <c r="B1590" s="1" t="s">
        <v>13</v>
      </c>
      <c r="C1590" s="1" t="s">
        <v>68</v>
      </c>
      <c r="D1590" s="1" t="s">
        <v>17</v>
      </c>
      <c r="E1590">
        <v>490</v>
      </c>
      <c r="F1590" s="1">
        <f>VLOOKUP(jablka[[#This Row],[Nazwa]],cennik[],2,0) * jablka[[#This Row],[sprzedaż]]</f>
        <v>1568</v>
      </c>
    </row>
    <row r="1591" spans="1:6" x14ac:dyDescent="0.25">
      <c r="A1591" s="2">
        <v>44792</v>
      </c>
      <c r="B1591" s="1" t="s">
        <v>13</v>
      </c>
      <c r="C1591" s="1" t="s">
        <v>68</v>
      </c>
      <c r="D1591" s="1" t="s">
        <v>48</v>
      </c>
      <c r="E1591">
        <v>67</v>
      </c>
      <c r="F1591" s="1">
        <f>VLOOKUP(jablka[[#This Row],[Nazwa]],cennik[],2,0) * jablka[[#This Row],[sprzedaż]]</f>
        <v>214.4</v>
      </c>
    </row>
    <row r="1592" spans="1:6" x14ac:dyDescent="0.25">
      <c r="A1592" s="2">
        <v>44792</v>
      </c>
      <c r="B1592" s="1" t="s">
        <v>14</v>
      </c>
      <c r="C1592" s="1" t="s">
        <v>67</v>
      </c>
      <c r="D1592" s="1" t="s">
        <v>38</v>
      </c>
      <c r="E1592">
        <v>66</v>
      </c>
      <c r="F1592" s="1">
        <f>VLOOKUP(jablka[[#This Row],[Nazwa]],cennik[],2,0) * jablka[[#This Row],[sprzedaż]]</f>
        <v>231</v>
      </c>
    </row>
    <row r="1593" spans="1:6" x14ac:dyDescent="0.25">
      <c r="A1593" s="2">
        <v>44793</v>
      </c>
      <c r="B1593" s="1" t="s">
        <v>12</v>
      </c>
      <c r="C1593" s="1" t="s">
        <v>68</v>
      </c>
      <c r="D1593" s="1" t="s">
        <v>24</v>
      </c>
      <c r="E1593">
        <v>383</v>
      </c>
      <c r="F1593" s="1">
        <f>VLOOKUP(jablka[[#This Row],[Nazwa]],cennik[],2,0) * jablka[[#This Row],[sprzedaż]]</f>
        <v>1034.1000000000001</v>
      </c>
    </row>
    <row r="1594" spans="1:6" x14ac:dyDescent="0.25">
      <c r="A1594" s="2">
        <v>44793</v>
      </c>
      <c r="B1594" s="1" t="s">
        <v>12</v>
      </c>
      <c r="C1594" s="1" t="s">
        <v>68</v>
      </c>
      <c r="D1594" s="1" t="s">
        <v>63</v>
      </c>
      <c r="E1594">
        <v>261</v>
      </c>
      <c r="F1594" s="1">
        <f>VLOOKUP(jablka[[#This Row],[Nazwa]],cennik[],2,0) * jablka[[#This Row],[sprzedaż]]</f>
        <v>704.7</v>
      </c>
    </row>
    <row r="1595" spans="1:6" x14ac:dyDescent="0.25">
      <c r="A1595" s="2">
        <v>44793</v>
      </c>
      <c r="B1595" s="1" t="s">
        <v>12</v>
      </c>
      <c r="C1595" s="1" t="s">
        <v>68</v>
      </c>
      <c r="D1595" s="1" t="s">
        <v>65</v>
      </c>
      <c r="E1595">
        <v>466</v>
      </c>
      <c r="F1595" s="1">
        <f>VLOOKUP(jablka[[#This Row],[Nazwa]],cennik[],2,0) * jablka[[#This Row],[sprzedaż]]</f>
        <v>1258.2</v>
      </c>
    </row>
    <row r="1596" spans="1:6" x14ac:dyDescent="0.25">
      <c r="A1596" s="2">
        <v>44793</v>
      </c>
      <c r="B1596" s="1" t="s">
        <v>12</v>
      </c>
      <c r="C1596" s="1" t="s">
        <v>68</v>
      </c>
      <c r="D1596" s="1" t="s">
        <v>50</v>
      </c>
      <c r="E1596">
        <v>305</v>
      </c>
      <c r="F1596" s="1">
        <f>VLOOKUP(jablka[[#This Row],[Nazwa]],cennik[],2,0) * jablka[[#This Row],[sprzedaż]]</f>
        <v>823.5</v>
      </c>
    </row>
    <row r="1597" spans="1:6" x14ac:dyDescent="0.25">
      <c r="A1597" s="2">
        <v>44793</v>
      </c>
      <c r="B1597" s="1" t="s">
        <v>14</v>
      </c>
      <c r="C1597" s="1" t="s">
        <v>67</v>
      </c>
      <c r="D1597" s="1" t="s">
        <v>21</v>
      </c>
      <c r="E1597">
        <v>223</v>
      </c>
      <c r="F1597" s="1">
        <f>VLOOKUP(jablka[[#This Row],[Nazwa]],cennik[],2,0) * jablka[[#This Row],[sprzedaż]]</f>
        <v>780.5</v>
      </c>
    </row>
    <row r="1598" spans="1:6" x14ac:dyDescent="0.25">
      <c r="A1598" s="2">
        <v>44793</v>
      </c>
      <c r="B1598" s="1" t="s">
        <v>12</v>
      </c>
      <c r="C1598" s="1" t="s">
        <v>68</v>
      </c>
      <c r="D1598" s="1" t="s">
        <v>25</v>
      </c>
      <c r="E1598">
        <v>426</v>
      </c>
      <c r="F1598" s="1">
        <f>VLOOKUP(jablka[[#This Row],[Nazwa]],cennik[],2,0) * jablka[[#This Row],[sprzedaż]]</f>
        <v>1150.2</v>
      </c>
    </row>
    <row r="1599" spans="1:6" x14ac:dyDescent="0.25">
      <c r="A1599" s="2">
        <v>44793</v>
      </c>
      <c r="B1599" s="1" t="s">
        <v>14</v>
      </c>
      <c r="C1599" s="1" t="s">
        <v>67</v>
      </c>
      <c r="D1599" s="1" t="s">
        <v>30</v>
      </c>
      <c r="E1599">
        <v>147</v>
      </c>
      <c r="F1599" s="1">
        <f>VLOOKUP(jablka[[#This Row],[Nazwa]],cennik[],2,0) * jablka[[#This Row],[sprzedaż]]</f>
        <v>514.5</v>
      </c>
    </row>
    <row r="1600" spans="1:6" x14ac:dyDescent="0.25">
      <c r="A1600" s="2">
        <v>44795</v>
      </c>
      <c r="B1600" s="1" t="s">
        <v>14</v>
      </c>
      <c r="C1600" s="1" t="s">
        <v>67</v>
      </c>
      <c r="D1600" s="1" t="s">
        <v>37</v>
      </c>
      <c r="E1600">
        <v>285</v>
      </c>
      <c r="F1600" s="1">
        <f>VLOOKUP(jablka[[#This Row],[Nazwa]],cennik[],2,0) * jablka[[#This Row],[sprzedaż]]</f>
        <v>997.5</v>
      </c>
    </row>
    <row r="1601" spans="1:6" x14ac:dyDescent="0.25">
      <c r="A1601" s="2">
        <v>44795</v>
      </c>
      <c r="B1601" s="1" t="s">
        <v>12</v>
      </c>
      <c r="C1601" s="1" t="s">
        <v>68</v>
      </c>
      <c r="D1601" s="1" t="s">
        <v>35</v>
      </c>
      <c r="E1601">
        <v>240</v>
      </c>
      <c r="F1601" s="1">
        <f>VLOOKUP(jablka[[#This Row],[Nazwa]],cennik[],2,0) * jablka[[#This Row],[sprzedaż]]</f>
        <v>648</v>
      </c>
    </row>
    <row r="1602" spans="1:6" x14ac:dyDescent="0.25">
      <c r="A1602" s="2">
        <v>44795</v>
      </c>
      <c r="B1602" s="1" t="s">
        <v>14</v>
      </c>
      <c r="C1602" s="1" t="s">
        <v>67</v>
      </c>
      <c r="D1602" s="1" t="s">
        <v>22</v>
      </c>
      <c r="E1602">
        <v>219</v>
      </c>
      <c r="F1602" s="1">
        <f>VLOOKUP(jablka[[#This Row],[Nazwa]],cennik[],2,0) * jablka[[#This Row],[sprzedaż]]</f>
        <v>766.5</v>
      </c>
    </row>
    <row r="1603" spans="1:6" x14ac:dyDescent="0.25">
      <c r="A1603" s="2">
        <v>44795</v>
      </c>
      <c r="B1603" s="1" t="s">
        <v>12</v>
      </c>
      <c r="C1603" s="1" t="s">
        <v>68</v>
      </c>
      <c r="D1603" s="1" t="s">
        <v>53</v>
      </c>
      <c r="E1603">
        <v>249</v>
      </c>
      <c r="F1603" s="1">
        <f>VLOOKUP(jablka[[#This Row],[Nazwa]],cennik[],2,0) * jablka[[#This Row],[sprzedaż]]</f>
        <v>672.30000000000007</v>
      </c>
    </row>
    <row r="1604" spans="1:6" x14ac:dyDescent="0.25">
      <c r="A1604" s="2">
        <v>44795</v>
      </c>
      <c r="B1604" s="1" t="s">
        <v>12</v>
      </c>
      <c r="C1604" s="1" t="s">
        <v>68</v>
      </c>
      <c r="D1604" s="1" t="s">
        <v>40</v>
      </c>
      <c r="E1604">
        <v>490</v>
      </c>
      <c r="F1604" s="1">
        <f>VLOOKUP(jablka[[#This Row],[Nazwa]],cennik[],2,0) * jablka[[#This Row],[sprzedaż]]</f>
        <v>1323</v>
      </c>
    </row>
    <row r="1605" spans="1:6" x14ac:dyDescent="0.25">
      <c r="A1605" s="2">
        <v>44795</v>
      </c>
      <c r="B1605" s="1" t="s">
        <v>13</v>
      </c>
      <c r="C1605" s="1" t="s">
        <v>68</v>
      </c>
      <c r="D1605" s="1" t="s">
        <v>32</v>
      </c>
      <c r="E1605">
        <v>239</v>
      </c>
      <c r="F1605" s="1">
        <f>VLOOKUP(jablka[[#This Row],[Nazwa]],cennik[],2,0) * jablka[[#This Row],[sprzedaż]]</f>
        <v>764.80000000000007</v>
      </c>
    </row>
    <row r="1606" spans="1:6" x14ac:dyDescent="0.25">
      <c r="A1606" s="2">
        <v>44795</v>
      </c>
      <c r="B1606" s="1" t="s">
        <v>13</v>
      </c>
      <c r="C1606" s="1" t="s">
        <v>68</v>
      </c>
      <c r="D1606" s="1" t="s">
        <v>66</v>
      </c>
      <c r="E1606">
        <v>136</v>
      </c>
      <c r="F1606" s="1">
        <f>VLOOKUP(jablka[[#This Row],[Nazwa]],cennik[],2,0) * jablka[[#This Row],[sprzedaż]]</f>
        <v>435.20000000000005</v>
      </c>
    </row>
    <row r="1607" spans="1:6" x14ac:dyDescent="0.25">
      <c r="A1607" s="2">
        <v>44795</v>
      </c>
      <c r="B1607" s="1" t="s">
        <v>14</v>
      </c>
      <c r="C1607" s="1" t="s">
        <v>67</v>
      </c>
      <c r="D1607" s="1" t="s">
        <v>22</v>
      </c>
      <c r="E1607">
        <v>201</v>
      </c>
      <c r="F1607" s="1">
        <f>VLOOKUP(jablka[[#This Row],[Nazwa]],cennik[],2,0) * jablka[[#This Row],[sprzedaż]]</f>
        <v>703.5</v>
      </c>
    </row>
    <row r="1608" spans="1:6" x14ac:dyDescent="0.25">
      <c r="A1608" s="2">
        <v>44795</v>
      </c>
      <c r="B1608" s="1" t="s">
        <v>12</v>
      </c>
      <c r="C1608" s="1" t="s">
        <v>68</v>
      </c>
      <c r="D1608" s="1" t="s">
        <v>22</v>
      </c>
      <c r="E1608">
        <v>387</v>
      </c>
      <c r="F1608" s="1">
        <f>VLOOKUP(jablka[[#This Row],[Nazwa]],cennik[],2,0) * jablka[[#This Row],[sprzedaż]]</f>
        <v>1044.9000000000001</v>
      </c>
    </row>
    <row r="1609" spans="1:6" x14ac:dyDescent="0.25">
      <c r="A1609" s="2">
        <v>44795</v>
      </c>
      <c r="B1609" s="1" t="s">
        <v>13</v>
      </c>
      <c r="C1609" s="1" t="s">
        <v>68</v>
      </c>
      <c r="D1609" s="1" t="s">
        <v>47</v>
      </c>
      <c r="E1609">
        <v>330</v>
      </c>
      <c r="F1609" s="1">
        <f>VLOOKUP(jablka[[#This Row],[Nazwa]],cennik[],2,0) * jablka[[#This Row],[sprzedaż]]</f>
        <v>1056</v>
      </c>
    </row>
    <row r="1610" spans="1:6" x14ac:dyDescent="0.25">
      <c r="A1610" s="2">
        <v>44795</v>
      </c>
      <c r="B1610" s="1" t="s">
        <v>14</v>
      </c>
      <c r="C1610" s="1" t="s">
        <v>67</v>
      </c>
      <c r="D1610" s="1" t="s">
        <v>24</v>
      </c>
      <c r="E1610">
        <v>383</v>
      </c>
      <c r="F1610" s="1">
        <f>VLOOKUP(jablka[[#This Row],[Nazwa]],cennik[],2,0) * jablka[[#This Row],[sprzedaż]]</f>
        <v>1340.5</v>
      </c>
    </row>
    <row r="1611" spans="1:6" x14ac:dyDescent="0.25">
      <c r="A1611" s="2">
        <v>44795</v>
      </c>
      <c r="B1611" s="1" t="s">
        <v>14</v>
      </c>
      <c r="C1611" s="1" t="s">
        <v>67</v>
      </c>
      <c r="D1611" s="1" t="s">
        <v>35</v>
      </c>
      <c r="E1611">
        <v>217</v>
      </c>
      <c r="F1611" s="1">
        <f>VLOOKUP(jablka[[#This Row],[Nazwa]],cennik[],2,0) * jablka[[#This Row],[sprzedaż]]</f>
        <v>759.5</v>
      </c>
    </row>
    <row r="1612" spans="1:6" x14ac:dyDescent="0.25">
      <c r="A1612" s="2">
        <v>44795</v>
      </c>
      <c r="B1612" s="1" t="s">
        <v>14</v>
      </c>
      <c r="C1612" s="1" t="s">
        <v>67</v>
      </c>
      <c r="D1612" s="1" t="s">
        <v>51</v>
      </c>
      <c r="E1612">
        <v>495</v>
      </c>
      <c r="F1612" s="1">
        <f>VLOOKUP(jablka[[#This Row],[Nazwa]],cennik[],2,0) * jablka[[#This Row],[sprzedaż]]</f>
        <v>1732.5</v>
      </c>
    </row>
    <row r="1613" spans="1:6" x14ac:dyDescent="0.25">
      <c r="A1613" s="2">
        <v>44796</v>
      </c>
      <c r="B1613" s="1" t="s">
        <v>12</v>
      </c>
      <c r="C1613" s="1" t="s">
        <v>68</v>
      </c>
      <c r="D1613" s="1" t="s">
        <v>29</v>
      </c>
      <c r="E1613">
        <v>472</v>
      </c>
      <c r="F1613" s="1">
        <f>VLOOKUP(jablka[[#This Row],[Nazwa]],cennik[],2,0) * jablka[[#This Row],[sprzedaż]]</f>
        <v>1274.4000000000001</v>
      </c>
    </row>
    <row r="1614" spans="1:6" x14ac:dyDescent="0.25">
      <c r="A1614" s="2">
        <v>44797</v>
      </c>
      <c r="B1614" s="1" t="s">
        <v>13</v>
      </c>
      <c r="C1614" s="1" t="s">
        <v>68</v>
      </c>
      <c r="D1614" s="1" t="s">
        <v>32</v>
      </c>
      <c r="E1614">
        <v>108</v>
      </c>
      <c r="F1614" s="1">
        <f>VLOOKUP(jablka[[#This Row],[Nazwa]],cennik[],2,0) * jablka[[#This Row],[sprzedaż]]</f>
        <v>345.6</v>
      </c>
    </row>
    <row r="1615" spans="1:6" x14ac:dyDescent="0.25">
      <c r="A1615" s="2">
        <v>44797</v>
      </c>
      <c r="B1615" s="1" t="s">
        <v>12</v>
      </c>
      <c r="C1615" s="1" t="s">
        <v>68</v>
      </c>
      <c r="D1615" s="1" t="s">
        <v>47</v>
      </c>
      <c r="E1615">
        <v>445</v>
      </c>
      <c r="F1615" s="1">
        <f>VLOOKUP(jablka[[#This Row],[Nazwa]],cennik[],2,0) * jablka[[#This Row],[sprzedaż]]</f>
        <v>1201.5</v>
      </c>
    </row>
    <row r="1616" spans="1:6" x14ac:dyDescent="0.25">
      <c r="A1616" s="2">
        <v>44797</v>
      </c>
      <c r="B1616" s="1" t="s">
        <v>13</v>
      </c>
      <c r="C1616" s="1" t="s">
        <v>68</v>
      </c>
      <c r="D1616" s="1" t="s">
        <v>64</v>
      </c>
      <c r="E1616">
        <v>277</v>
      </c>
      <c r="F1616" s="1">
        <f>VLOOKUP(jablka[[#This Row],[Nazwa]],cennik[],2,0) * jablka[[#This Row],[sprzedaż]]</f>
        <v>886.40000000000009</v>
      </c>
    </row>
    <row r="1617" spans="1:6" x14ac:dyDescent="0.25">
      <c r="A1617" s="2">
        <v>44797</v>
      </c>
      <c r="B1617" s="1" t="s">
        <v>13</v>
      </c>
      <c r="C1617" s="1" t="s">
        <v>68</v>
      </c>
      <c r="D1617" s="1" t="s">
        <v>33</v>
      </c>
      <c r="E1617">
        <v>356</v>
      </c>
      <c r="F1617" s="1">
        <f>VLOOKUP(jablka[[#This Row],[Nazwa]],cennik[],2,0) * jablka[[#This Row],[sprzedaż]]</f>
        <v>1139.2</v>
      </c>
    </row>
    <row r="1618" spans="1:6" x14ac:dyDescent="0.25">
      <c r="A1618" s="2">
        <v>44798</v>
      </c>
      <c r="B1618" s="1" t="s">
        <v>14</v>
      </c>
      <c r="C1618" s="1" t="s">
        <v>67</v>
      </c>
      <c r="D1618" s="1" t="s">
        <v>56</v>
      </c>
      <c r="E1618">
        <v>306</v>
      </c>
      <c r="F1618" s="1">
        <f>VLOOKUP(jablka[[#This Row],[Nazwa]],cennik[],2,0) * jablka[[#This Row],[sprzedaż]]</f>
        <v>1071</v>
      </c>
    </row>
    <row r="1619" spans="1:6" x14ac:dyDescent="0.25">
      <c r="A1619" s="2">
        <v>44798</v>
      </c>
      <c r="B1619" s="1" t="s">
        <v>14</v>
      </c>
      <c r="C1619" s="1" t="s">
        <v>67</v>
      </c>
      <c r="D1619" s="1" t="s">
        <v>38</v>
      </c>
      <c r="E1619">
        <v>435</v>
      </c>
      <c r="F1619" s="1">
        <f>VLOOKUP(jablka[[#This Row],[Nazwa]],cennik[],2,0) * jablka[[#This Row],[sprzedaż]]</f>
        <v>1522.5</v>
      </c>
    </row>
    <row r="1620" spans="1:6" x14ac:dyDescent="0.25">
      <c r="A1620" s="2">
        <v>44799</v>
      </c>
      <c r="B1620" s="1" t="s">
        <v>12</v>
      </c>
      <c r="C1620" s="1" t="s">
        <v>68</v>
      </c>
      <c r="D1620" s="1" t="s">
        <v>41</v>
      </c>
      <c r="E1620">
        <v>248</v>
      </c>
      <c r="F1620" s="1">
        <f>VLOOKUP(jablka[[#This Row],[Nazwa]],cennik[],2,0) * jablka[[#This Row],[sprzedaż]]</f>
        <v>669.6</v>
      </c>
    </row>
    <row r="1621" spans="1:6" x14ac:dyDescent="0.25">
      <c r="A1621" s="2">
        <v>44799</v>
      </c>
      <c r="B1621" s="1" t="s">
        <v>13</v>
      </c>
      <c r="C1621" s="1" t="s">
        <v>68</v>
      </c>
      <c r="D1621" s="1" t="s">
        <v>33</v>
      </c>
      <c r="E1621">
        <v>332</v>
      </c>
      <c r="F1621" s="1">
        <f>VLOOKUP(jablka[[#This Row],[Nazwa]],cennik[],2,0) * jablka[[#This Row],[sprzedaż]]</f>
        <v>1062.4000000000001</v>
      </c>
    </row>
    <row r="1622" spans="1:6" x14ac:dyDescent="0.25">
      <c r="A1622" s="2">
        <v>44799</v>
      </c>
      <c r="B1622" s="1" t="s">
        <v>12</v>
      </c>
      <c r="C1622" s="1" t="s">
        <v>68</v>
      </c>
      <c r="D1622" s="1" t="s">
        <v>31</v>
      </c>
      <c r="E1622">
        <v>96</v>
      </c>
      <c r="F1622" s="1">
        <f>VLOOKUP(jablka[[#This Row],[Nazwa]],cennik[],2,0) * jablka[[#This Row],[sprzedaż]]</f>
        <v>259.20000000000005</v>
      </c>
    </row>
    <row r="1623" spans="1:6" x14ac:dyDescent="0.25">
      <c r="A1623" s="2">
        <v>44799</v>
      </c>
      <c r="B1623" s="1" t="s">
        <v>12</v>
      </c>
      <c r="C1623" s="1" t="s">
        <v>68</v>
      </c>
      <c r="D1623" s="1" t="s">
        <v>17</v>
      </c>
      <c r="E1623">
        <v>191</v>
      </c>
      <c r="F1623" s="1">
        <f>VLOOKUP(jablka[[#This Row],[Nazwa]],cennik[],2,0) * jablka[[#This Row],[sprzedaż]]</f>
        <v>515.70000000000005</v>
      </c>
    </row>
    <row r="1624" spans="1:6" x14ac:dyDescent="0.25">
      <c r="A1624" s="2">
        <v>44799</v>
      </c>
      <c r="B1624" s="1" t="s">
        <v>13</v>
      </c>
      <c r="C1624" s="1" t="s">
        <v>68</v>
      </c>
      <c r="D1624" s="1" t="s">
        <v>23</v>
      </c>
      <c r="E1624">
        <v>335</v>
      </c>
      <c r="F1624" s="1">
        <f>VLOOKUP(jablka[[#This Row],[Nazwa]],cennik[],2,0) * jablka[[#This Row],[sprzedaż]]</f>
        <v>1072</v>
      </c>
    </row>
    <row r="1625" spans="1:6" x14ac:dyDescent="0.25">
      <c r="A1625" s="2">
        <v>44799</v>
      </c>
      <c r="B1625" s="1" t="s">
        <v>14</v>
      </c>
      <c r="C1625" s="1" t="s">
        <v>67</v>
      </c>
      <c r="D1625" s="1" t="s">
        <v>64</v>
      </c>
      <c r="E1625">
        <v>287</v>
      </c>
      <c r="F1625" s="1">
        <f>VLOOKUP(jablka[[#This Row],[Nazwa]],cennik[],2,0) * jablka[[#This Row],[sprzedaż]]</f>
        <v>1004.5</v>
      </c>
    </row>
    <row r="1626" spans="1:6" x14ac:dyDescent="0.25">
      <c r="A1626" s="2">
        <v>44799</v>
      </c>
      <c r="B1626" s="1" t="s">
        <v>14</v>
      </c>
      <c r="C1626" s="1" t="s">
        <v>67</v>
      </c>
      <c r="D1626" s="1" t="s">
        <v>27</v>
      </c>
      <c r="E1626">
        <v>392</v>
      </c>
      <c r="F1626" s="1">
        <f>VLOOKUP(jablka[[#This Row],[Nazwa]],cennik[],2,0) * jablka[[#This Row],[sprzedaż]]</f>
        <v>1372</v>
      </c>
    </row>
    <row r="1627" spans="1:6" x14ac:dyDescent="0.25">
      <c r="A1627" s="2">
        <v>44799</v>
      </c>
      <c r="B1627" s="1" t="s">
        <v>12</v>
      </c>
      <c r="C1627" s="1" t="s">
        <v>68</v>
      </c>
      <c r="D1627" s="1" t="s">
        <v>57</v>
      </c>
      <c r="E1627">
        <v>246</v>
      </c>
      <c r="F1627" s="1">
        <f>VLOOKUP(jablka[[#This Row],[Nazwa]],cennik[],2,0) * jablka[[#This Row],[sprzedaż]]</f>
        <v>664.2</v>
      </c>
    </row>
    <row r="1628" spans="1:6" x14ac:dyDescent="0.25">
      <c r="A1628" s="2">
        <v>44799</v>
      </c>
      <c r="B1628" s="1" t="s">
        <v>14</v>
      </c>
      <c r="C1628" s="1" t="s">
        <v>67</v>
      </c>
      <c r="D1628" s="1" t="s">
        <v>49</v>
      </c>
      <c r="E1628">
        <v>15</v>
      </c>
      <c r="F1628" s="1">
        <f>VLOOKUP(jablka[[#This Row],[Nazwa]],cennik[],2,0) * jablka[[#This Row],[sprzedaż]]</f>
        <v>52.5</v>
      </c>
    </row>
    <row r="1629" spans="1:6" x14ac:dyDescent="0.25">
      <c r="A1629" s="2">
        <v>44799</v>
      </c>
      <c r="B1629" s="1" t="s">
        <v>14</v>
      </c>
      <c r="C1629" s="1" t="s">
        <v>67</v>
      </c>
      <c r="D1629" s="1" t="s">
        <v>34</v>
      </c>
      <c r="E1629">
        <v>234</v>
      </c>
      <c r="F1629" s="1">
        <f>VLOOKUP(jablka[[#This Row],[Nazwa]],cennik[],2,0) * jablka[[#This Row],[sprzedaż]]</f>
        <v>819</v>
      </c>
    </row>
    <row r="1630" spans="1:6" x14ac:dyDescent="0.25">
      <c r="A1630" s="2">
        <v>44800</v>
      </c>
      <c r="B1630" s="1" t="s">
        <v>14</v>
      </c>
      <c r="C1630" s="1" t="s">
        <v>67</v>
      </c>
      <c r="D1630" s="1" t="s">
        <v>57</v>
      </c>
      <c r="E1630">
        <v>235</v>
      </c>
      <c r="F1630" s="1">
        <f>VLOOKUP(jablka[[#This Row],[Nazwa]],cennik[],2,0) * jablka[[#This Row],[sprzedaż]]</f>
        <v>822.5</v>
      </c>
    </row>
    <row r="1631" spans="1:6" x14ac:dyDescent="0.25">
      <c r="A1631" s="2">
        <v>44800</v>
      </c>
      <c r="B1631" s="1" t="s">
        <v>12</v>
      </c>
      <c r="C1631" s="1" t="s">
        <v>68</v>
      </c>
      <c r="D1631" s="1" t="s">
        <v>34</v>
      </c>
      <c r="E1631">
        <v>432</v>
      </c>
      <c r="F1631" s="1">
        <f>VLOOKUP(jablka[[#This Row],[Nazwa]],cennik[],2,0) * jablka[[#This Row],[sprzedaż]]</f>
        <v>1166.4000000000001</v>
      </c>
    </row>
    <row r="1632" spans="1:6" x14ac:dyDescent="0.25">
      <c r="A1632" s="2">
        <v>44800</v>
      </c>
      <c r="B1632" s="1" t="s">
        <v>14</v>
      </c>
      <c r="C1632" s="1" t="s">
        <v>67</v>
      </c>
      <c r="D1632" s="1" t="s">
        <v>66</v>
      </c>
      <c r="E1632">
        <v>391</v>
      </c>
      <c r="F1632" s="1">
        <f>VLOOKUP(jablka[[#This Row],[Nazwa]],cennik[],2,0) * jablka[[#This Row],[sprzedaż]]</f>
        <v>1368.5</v>
      </c>
    </row>
    <row r="1633" spans="1:6" x14ac:dyDescent="0.25">
      <c r="A1633" s="2">
        <v>44800</v>
      </c>
      <c r="B1633" s="1" t="s">
        <v>13</v>
      </c>
      <c r="C1633" s="1" t="s">
        <v>68</v>
      </c>
      <c r="D1633" s="1" t="s">
        <v>18</v>
      </c>
      <c r="E1633">
        <v>471</v>
      </c>
      <c r="F1633" s="1">
        <f>VLOOKUP(jablka[[#This Row],[Nazwa]],cennik[],2,0) * jablka[[#This Row],[sprzedaż]]</f>
        <v>1507.2</v>
      </c>
    </row>
    <row r="1634" spans="1:6" x14ac:dyDescent="0.25">
      <c r="A1634" s="2">
        <v>44802</v>
      </c>
      <c r="B1634" s="1" t="s">
        <v>13</v>
      </c>
      <c r="C1634" s="1" t="s">
        <v>68</v>
      </c>
      <c r="D1634" s="1" t="s">
        <v>49</v>
      </c>
      <c r="E1634">
        <v>411</v>
      </c>
      <c r="F1634" s="1">
        <f>VLOOKUP(jablka[[#This Row],[Nazwa]],cennik[],2,0) * jablka[[#This Row],[sprzedaż]]</f>
        <v>1315.2</v>
      </c>
    </row>
    <row r="1635" spans="1:6" x14ac:dyDescent="0.25">
      <c r="A1635" s="2">
        <v>44802</v>
      </c>
      <c r="B1635" s="1" t="s">
        <v>14</v>
      </c>
      <c r="C1635" s="1" t="s">
        <v>67</v>
      </c>
      <c r="D1635" s="1" t="s">
        <v>56</v>
      </c>
      <c r="E1635">
        <v>473</v>
      </c>
      <c r="F1635" s="1">
        <f>VLOOKUP(jablka[[#This Row],[Nazwa]],cennik[],2,0) * jablka[[#This Row],[sprzedaż]]</f>
        <v>1655.5</v>
      </c>
    </row>
    <row r="1636" spans="1:6" x14ac:dyDescent="0.25">
      <c r="A1636" s="2">
        <v>44802</v>
      </c>
      <c r="B1636" s="1" t="s">
        <v>12</v>
      </c>
      <c r="C1636" s="1" t="s">
        <v>68</v>
      </c>
      <c r="D1636" s="1" t="s">
        <v>21</v>
      </c>
      <c r="E1636">
        <v>279</v>
      </c>
      <c r="F1636" s="1">
        <f>VLOOKUP(jablka[[#This Row],[Nazwa]],cennik[],2,0) * jablka[[#This Row],[sprzedaż]]</f>
        <v>753.30000000000007</v>
      </c>
    </row>
    <row r="1637" spans="1:6" x14ac:dyDescent="0.25">
      <c r="A1637" s="2">
        <v>44802</v>
      </c>
      <c r="B1637" s="1" t="s">
        <v>14</v>
      </c>
      <c r="C1637" s="1" t="s">
        <v>67</v>
      </c>
      <c r="D1637" s="1" t="s">
        <v>27</v>
      </c>
      <c r="E1637">
        <v>302</v>
      </c>
      <c r="F1637" s="1">
        <f>VLOOKUP(jablka[[#This Row],[Nazwa]],cennik[],2,0) * jablka[[#This Row],[sprzedaż]]</f>
        <v>1057</v>
      </c>
    </row>
    <row r="1638" spans="1:6" x14ac:dyDescent="0.25">
      <c r="A1638" s="2">
        <v>44802</v>
      </c>
      <c r="B1638" s="1" t="s">
        <v>13</v>
      </c>
      <c r="C1638" s="1" t="s">
        <v>68</v>
      </c>
      <c r="D1638" s="1" t="s">
        <v>56</v>
      </c>
      <c r="E1638">
        <v>191</v>
      </c>
      <c r="F1638" s="1">
        <f>VLOOKUP(jablka[[#This Row],[Nazwa]],cennik[],2,0) * jablka[[#This Row],[sprzedaż]]</f>
        <v>611.20000000000005</v>
      </c>
    </row>
    <row r="1639" spans="1:6" x14ac:dyDescent="0.25">
      <c r="A1639" s="2">
        <v>44802</v>
      </c>
      <c r="B1639" s="1" t="s">
        <v>12</v>
      </c>
      <c r="C1639" s="1" t="s">
        <v>68</v>
      </c>
      <c r="D1639" s="1" t="s">
        <v>54</v>
      </c>
      <c r="E1639">
        <v>143</v>
      </c>
      <c r="F1639" s="1">
        <f>VLOOKUP(jablka[[#This Row],[Nazwa]],cennik[],2,0) * jablka[[#This Row],[sprzedaż]]</f>
        <v>386.1</v>
      </c>
    </row>
    <row r="1640" spans="1:6" x14ac:dyDescent="0.25">
      <c r="A1640" s="2">
        <v>44802</v>
      </c>
      <c r="B1640" s="1" t="s">
        <v>13</v>
      </c>
      <c r="C1640" s="1" t="s">
        <v>68</v>
      </c>
      <c r="D1640" s="1" t="s">
        <v>27</v>
      </c>
      <c r="E1640">
        <v>328</v>
      </c>
      <c r="F1640" s="1">
        <f>VLOOKUP(jablka[[#This Row],[Nazwa]],cennik[],2,0) * jablka[[#This Row],[sprzedaż]]</f>
        <v>1049.6000000000001</v>
      </c>
    </row>
    <row r="1641" spans="1:6" x14ac:dyDescent="0.25">
      <c r="A1641" s="2">
        <v>44802</v>
      </c>
      <c r="B1641" s="1" t="s">
        <v>12</v>
      </c>
      <c r="C1641" s="1" t="s">
        <v>68</v>
      </c>
      <c r="D1641" s="1" t="s">
        <v>33</v>
      </c>
      <c r="E1641">
        <v>429</v>
      </c>
      <c r="F1641" s="1">
        <f>VLOOKUP(jablka[[#This Row],[Nazwa]],cennik[],2,0) * jablka[[#This Row],[sprzedaż]]</f>
        <v>1158.3000000000002</v>
      </c>
    </row>
    <row r="1642" spans="1:6" x14ac:dyDescent="0.25">
      <c r="A1642" s="2">
        <v>44802</v>
      </c>
      <c r="B1642" s="1" t="s">
        <v>12</v>
      </c>
      <c r="C1642" s="1" t="s">
        <v>68</v>
      </c>
      <c r="D1642" s="1" t="s">
        <v>42</v>
      </c>
      <c r="E1642">
        <v>293</v>
      </c>
      <c r="F1642" s="1">
        <f>VLOOKUP(jablka[[#This Row],[Nazwa]],cennik[],2,0) * jablka[[#This Row],[sprzedaż]]</f>
        <v>791.1</v>
      </c>
    </row>
    <row r="1643" spans="1:6" x14ac:dyDescent="0.25">
      <c r="A1643" s="2">
        <v>44802</v>
      </c>
      <c r="B1643" s="1" t="s">
        <v>14</v>
      </c>
      <c r="C1643" s="1" t="s">
        <v>67</v>
      </c>
      <c r="D1643" s="1" t="s">
        <v>46</v>
      </c>
      <c r="E1643">
        <v>44</v>
      </c>
      <c r="F1643" s="1">
        <f>VLOOKUP(jablka[[#This Row],[Nazwa]],cennik[],2,0) * jablka[[#This Row],[sprzedaż]]</f>
        <v>154</v>
      </c>
    </row>
    <row r="1644" spans="1:6" x14ac:dyDescent="0.25">
      <c r="A1644" s="2">
        <v>44802</v>
      </c>
      <c r="B1644" s="1" t="s">
        <v>12</v>
      </c>
      <c r="C1644" s="1" t="s">
        <v>68</v>
      </c>
      <c r="D1644" s="1" t="s">
        <v>49</v>
      </c>
      <c r="E1644">
        <v>401</v>
      </c>
      <c r="F1644" s="1">
        <f>VLOOKUP(jablka[[#This Row],[Nazwa]],cennik[],2,0) * jablka[[#This Row],[sprzedaż]]</f>
        <v>1082.7</v>
      </c>
    </row>
    <row r="1645" spans="1:6" x14ac:dyDescent="0.25">
      <c r="A1645" s="2">
        <v>44802</v>
      </c>
      <c r="B1645" s="1" t="s">
        <v>13</v>
      </c>
      <c r="C1645" s="1" t="s">
        <v>68</v>
      </c>
      <c r="D1645" s="1" t="s">
        <v>21</v>
      </c>
      <c r="E1645">
        <v>448</v>
      </c>
      <c r="F1645" s="1">
        <f>VLOOKUP(jablka[[#This Row],[Nazwa]],cennik[],2,0) * jablka[[#This Row],[sprzedaż]]</f>
        <v>1433.6000000000001</v>
      </c>
    </row>
    <row r="1646" spans="1:6" x14ac:dyDescent="0.25">
      <c r="A1646" s="2">
        <v>44802</v>
      </c>
      <c r="B1646" s="1" t="s">
        <v>13</v>
      </c>
      <c r="C1646" s="1" t="s">
        <v>68</v>
      </c>
      <c r="D1646" s="1" t="s">
        <v>35</v>
      </c>
      <c r="E1646">
        <v>319</v>
      </c>
      <c r="F1646" s="1">
        <f>VLOOKUP(jablka[[#This Row],[Nazwa]],cennik[],2,0) * jablka[[#This Row],[sprzedaż]]</f>
        <v>1020.8000000000001</v>
      </c>
    </row>
    <row r="1647" spans="1:6" x14ac:dyDescent="0.25">
      <c r="A1647" s="2">
        <v>44802</v>
      </c>
      <c r="B1647" s="1" t="s">
        <v>12</v>
      </c>
      <c r="C1647" s="1" t="s">
        <v>68</v>
      </c>
      <c r="D1647" s="1" t="s">
        <v>30</v>
      </c>
      <c r="E1647">
        <v>62</v>
      </c>
      <c r="F1647" s="1">
        <f>VLOOKUP(jablka[[#This Row],[Nazwa]],cennik[],2,0) * jablka[[#This Row],[sprzedaż]]</f>
        <v>167.4</v>
      </c>
    </row>
    <row r="1648" spans="1:6" x14ac:dyDescent="0.25">
      <c r="A1648" s="2">
        <v>44802</v>
      </c>
      <c r="B1648" s="1" t="s">
        <v>13</v>
      </c>
      <c r="C1648" s="1" t="s">
        <v>68</v>
      </c>
      <c r="D1648" s="1" t="s">
        <v>60</v>
      </c>
      <c r="E1648">
        <v>350</v>
      </c>
      <c r="F1648" s="1">
        <f>VLOOKUP(jablka[[#This Row],[Nazwa]],cennik[],2,0) * jablka[[#This Row],[sprzedaż]]</f>
        <v>1120</v>
      </c>
    </row>
    <row r="1649" spans="1:6" x14ac:dyDescent="0.25">
      <c r="A1649" s="2">
        <v>44803</v>
      </c>
      <c r="B1649" s="1" t="s">
        <v>14</v>
      </c>
      <c r="C1649" s="1" t="s">
        <v>67</v>
      </c>
      <c r="D1649" s="1" t="s">
        <v>30</v>
      </c>
      <c r="E1649">
        <v>146</v>
      </c>
      <c r="F1649" s="1">
        <f>VLOOKUP(jablka[[#This Row],[Nazwa]],cennik[],2,0) * jablka[[#This Row],[sprzedaż]]</f>
        <v>511</v>
      </c>
    </row>
    <row r="1650" spans="1:6" x14ac:dyDescent="0.25">
      <c r="A1650" s="2">
        <v>44803</v>
      </c>
      <c r="B1650" s="1" t="s">
        <v>13</v>
      </c>
      <c r="C1650" s="1" t="s">
        <v>68</v>
      </c>
      <c r="D1650" s="1" t="s">
        <v>21</v>
      </c>
      <c r="E1650">
        <v>205</v>
      </c>
      <c r="F1650" s="1">
        <f>VLOOKUP(jablka[[#This Row],[Nazwa]],cennik[],2,0) * jablka[[#This Row],[sprzedaż]]</f>
        <v>656</v>
      </c>
    </row>
    <row r="1651" spans="1:6" x14ac:dyDescent="0.25">
      <c r="A1651" s="2">
        <v>44803</v>
      </c>
      <c r="B1651" s="1" t="s">
        <v>13</v>
      </c>
      <c r="C1651" s="1" t="s">
        <v>68</v>
      </c>
      <c r="D1651" s="1" t="s">
        <v>21</v>
      </c>
      <c r="E1651">
        <v>289</v>
      </c>
      <c r="F1651" s="1">
        <f>VLOOKUP(jablka[[#This Row],[Nazwa]],cennik[],2,0) * jablka[[#This Row],[sprzedaż]]</f>
        <v>924.80000000000007</v>
      </c>
    </row>
    <row r="1652" spans="1:6" x14ac:dyDescent="0.25">
      <c r="A1652" s="2">
        <v>44803</v>
      </c>
      <c r="B1652" s="1" t="s">
        <v>14</v>
      </c>
      <c r="C1652" s="1" t="s">
        <v>67</v>
      </c>
      <c r="D1652" s="1" t="s">
        <v>39</v>
      </c>
      <c r="E1652">
        <v>438</v>
      </c>
      <c r="F1652" s="1">
        <f>VLOOKUP(jablka[[#This Row],[Nazwa]],cennik[],2,0) * jablka[[#This Row],[sprzedaż]]</f>
        <v>1533</v>
      </c>
    </row>
    <row r="1653" spans="1:6" x14ac:dyDescent="0.25">
      <c r="A1653" s="2">
        <v>44803</v>
      </c>
      <c r="B1653" s="1" t="s">
        <v>12</v>
      </c>
      <c r="C1653" s="1" t="s">
        <v>68</v>
      </c>
      <c r="D1653" s="1" t="s">
        <v>57</v>
      </c>
      <c r="E1653">
        <v>447</v>
      </c>
      <c r="F1653" s="1">
        <f>VLOOKUP(jablka[[#This Row],[Nazwa]],cennik[],2,0) * jablka[[#This Row],[sprzedaż]]</f>
        <v>1206.9000000000001</v>
      </c>
    </row>
    <row r="1654" spans="1:6" x14ac:dyDescent="0.25">
      <c r="A1654" s="2">
        <v>44803</v>
      </c>
      <c r="B1654" s="1" t="s">
        <v>13</v>
      </c>
      <c r="C1654" s="1" t="s">
        <v>68</v>
      </c>
      <c r="D1654" s="1" t="s">
        <v>54</v>
      </c>
      <c r="E1654">
        <v>379</v>
      </c>
      <c r="F1654" s="1">
        <f>VLOOKUP(jablka[[#This Row],[Nazwa]],cennik[],2,0) * jablka[[#This Row],[sprzedaż]]</f>
        <v>1212.8</v>
      </c>
    </row>
    <row r="1655" spans="1:6" x14ac:dyDescent="0.25">
      <c r="A1655" s="2">
        <v>44803</v>
      </c>
      <c r="B1655" s="1" t="s">
        <v>12</v>
      </c>
      <c r="C1655" s="1" t="s">
        <v>68</v>
      </c>
      <c r="D1655" s="1" t="s">
        <v>55</v>
      </c>
      <c r="E1655">
        <v>74</v>
      </c>
      <c r="F1655" s="1">
        <f>VLOOKUP(jablka[[#This Row],[Nazwa]],cennik[],2,0) * jablka[[#This Row],[sprzedaż]]</f>
        <v>199.8</v>
      </c>
    </row>
    <row r="1656" spans="1:6" x14ac:dyDescent="0.25">
      <c r="A1656" s="2">
        <v>44803</v>
      </c>
      <c r="B1656" s="1" t="s">
        <v>14</v>
      </c>
      <c r="C1656" s="1" t="s">
        <v>67</v>
      </c>
      <c r="D1656" s="1" t="s">
        <v>27</v>
      </c>
      <c r="E1656">
        <v>421</v>
      </c>
      <c r="F1656" s="1">
        <f>VLOOKUP(jablka[[#This Row],[Nazwa]],cennik[],2,0) * jablka[[#This Row],[sprzedaż]]</f>
        <v>1473.5</v>
      </c>
    </row>
    <row r="1657" spans="1:6" x14ac:dyDescent="0.25">
      <c r="A1657" s="2">
        <v>44803</v>
      </c>
      <c r="B1657" s="1" t="s">
        <v>12</v>
      </c>
      <c r="C1657" s="1" t="s">
        <v>68</v>
      </c>
      <c r="D1657" s="1" t="s">
        <v>66</v>
      </c>
      <c r="E1657">
        <v>228</v>
      </c>
      <c r="F1657" s="1">
        <f>VLOOKUP(jablka[[#This Row],[Nazwa]],cennik[],2,0) * jablka[[#This Row],[sprzedaż]]</f>
        <v>615.6</v>
      </c>
    </row>
    <row r="1658" spans="1:6" x14ac:dyDescent="0.25">
      <c r="A1658" s="2">
        <v>44803</v>
      </c>
      <c r="B1658" s="1" t="s">
        <v>12</v>
      </c>
      <c r="C1658" s="1" t="s">
        <v>68</v>
      </c>
      <c r="D1658" s="1" t="s">
        <v>24</v>
      </c>
      <c r="E1658">
        <v>444</v>
      </c>
      <c r="F1658" s="1">
        <f>VLOOKUP(jablka[[#This Row],[Nazwa]],cennik[],2,0) * jablka[[#This Row],[sprzedaż]]</f>
        <v>1198.8000000000002</v>
      </c>
    </row>
    <row r="1659" spans="1:6" x14ac:dyDescent="0.25">
      <c r="A1659" s="2">
        <v>44803</v>
      </c>
      <c r="B1659" s="1" t="s">
        <v>14</v>
      </c>
      <c r="C1659" s="1" t="s">
        <v>67</v>
      </c>
      <c r="D1659" s="1" t="s">
        <v>60</v>
      </c>
      <c r="E1659">
        <v>180</v>
      </c>
      <c r="F1659" s="1">
        <f>VLOOKUP(jablka[[#This Row],[Nazwa]],cennik[],2,0) * jablka[[#This Row],[sprzedaż]]</f>
        <v>630</v>
      </c>
    </row>
    <row r="1660" spans="1:6" x14ac:dyDescent="0.25">
      <c r="A1660" s="2">
        <v>44804</v>
      </c>
      <c r="B1660" s="1" t="s">
        <v>12</v>
      </c>
      <c r="C1660" s="1" t="s">
        <v>68</v>
      </c>
      <c r="D1660" s="1" t="s">
        <v>47</v>
      </c>
      <c r="E1660">
        <v>210</v>
      </c>
      <c r="F1660" s="1">
        <f>VLOOKUP(jablka[[#This Row],[Nazwa]],cennik[],2,0) * jablka[[#This Row],[sprzedaż]]</f>
        <v>567</v>
      </c>
    </row>
    <row r="1661" spans="1:6" x14ac:dyDescent="0.25">
      <c r="A1661" s="2">
        <v>44804</v>
      </c>
      <c r="B1661" s="1" t="s">
        <v>12</v>
      </c>
      <c r="C1661" s="1" t="s">
        <v>68</v>
      </c>
      <c r="D1661" s="1" t="s">
        <v>58</v>
      </c>
      <c r="E1661">
        <v>385</v>
      </c>
      <c r="F1661" s="1">
        <f>VLOOKUP(jablka[[#This Row],[Nazwa]],cennik[],2,0) * jablka[[#This Row],[sprzedaż]]</f>
        <v>1039.5</v>
      </c>
    </row>
    <row r="1662" spans="1:6" x14ac:dyDescent="0.25">
      <c r="A1662" s="2">
        <v>44804</v>
      </c>
      <c r="B1662" s="1" t="s">
        <v>12</v>
      </c>
      <c r="C1662" s="1" t="s">
        <v>68</v>
      </c>
      <c r="D1662" s="1" t="s">
        <v>64</v>
      </c>
      <c r="E1662">
        <v>362</v>
      </c>
      <c r="F1662" s="1">
        <f>VLOOKUP(jablka[[#This Row],[Nazwa]],cennik[],2,0) * jablka[[#This Row],[sprzedaż]]</f>
        <v>977.40000000000009</v>
      </c>
    </row>
    <row r="1663" spans="1:6" x14ac:dyDescent="0.25">
      <c r="A1663" s="2">
        <v>44804</v>
      </c>
      <c r="B1663" s="1" t="s">
        <v>12</v>
      </c>
      <c r="C1663" s="1" t="s">
        <v>68</v>
      </c>
      <c r="D1663" s="1" t="s">
        <v>32</v>
      </c>
      <c r="E1663">
        <v>66</v>
      </c>
      <c r="F1663" s="1">
        <f>VLOOKUP(jablka[[#This Row],[Nazwa]],cennik[],2,0) * jablka[[#This Row],[sprzedaż]]</f>
        <v>178.20000000000002</v>
      </c>
    </row>
    <row r="1664" spans="1:6" x14ac:dyDescent="0.25">
      <c r="A1664" s="2">
        <v>44805</v>
      </c>
      <c r="B1664" s="1" t="s">
        <v>1</v>
      </c>
      <c r="C1664" s="1" t="s">
        <v>67</v>
      </c>
      <c r="D1664" s="1" t="s">
        <v>58</v>
      </c>
      <c r="E1664">
        <v>398</v>
      </c>
      <c r="F1664" s="1">
        <f>VLOOKUP(jablka[[#This Row],[Nazwa]],cennik[],2,0) * jablka[[#This Row],[sprzedaż]]</f>
        <v>1273.6000000000001</v>
      </c>
    </row>
    <row r="1665" spans="1:6" x14ac:dyDescent="0.25">
      <c r="A1665" s="2">
        <v>44805</v>
      </c>
      <c r="B1665" s="1" t="s">
        <v>1</v>
      </c>
      <c r="C1665" s="1" t="s">
        <v>67</v>
      </c>
      <c r="D1665" s="1" t="s">
        <v>50</v>
      </c>
      <c r="E1665">
        <v>223</v>
      </c>
      <c r="F1665" s="1">
        <f>VLOOKUP(jablka[[#This Row],[Nazwa]],cennik[],2,0) * jablka[[#This Row],[sprzedaż]]</f>
        <v>713.6</v>
      </c>
    </row>
    <row r="1666" spans="1:6" x14ac:dyDescent="0.25">
      <c r="A1666" s="2">
        <v>44805</v>
      </c>
      <c r="B1666" s="1" t="s">
        <v>9</v>
      </c>
      <c r="C1666" s="1" t="s">
        <v>67</v>
      </c>
      <c r="D1666" s="1" t="s">
        <v>31</v>
      </c>
      <c r="E1666">
        <v>267</v>
      </c>
      <c r="F1666" s="1">
        <f>VLOOKUP(jablka[[#This Row],[Nazwa]],cennik[],2,0) * jablka[[#This Row],[sprzedaż]]</f>
        <v>667.5</v>
      </c>
    </row>
    <row r="1667" spans="1:6" x14ac:dyDescent="0.25">
      <c r="A1667" s="2">
        <v>44805</v>
      </c>
      <c r="B1667" s="1" t="s">
        <v>14</v>
      </c>
      <c r="C1667" s="1" t="s">
        <v>67</v>
      </c>
      <c r="D1667" s="1" t="s">
        <v>53</v>
      </c>
      <c r="E1667">
        <v>99</v>
      </c>
      <c r="F1667" s="1">
        <f>VLOOKUP(jablka[[#This Row],[Nazwa]],cennik[],2,0) * jablka[[#This Row],[sprzedaż]]</f>
        <v>346.5</v>
      </c>
    </row>
    <row r="1668" spans="1:6" x14ac:dyDescent="0.25">
      <c r="A1668" s="2">
        <v>44805</v>
      </c>
      <c r="B1668" s="1" t="s">
        <v>3</v>
      </c>
      <c r="C1668" s="1" t="s">
        <v>67</v>
      </c>
      <c r="D1668" s="1" t="s">
        <v>60</v>
      </c>
      <c r="E1668">
        <v>301</v>
      </c>
      <c r="F1668" s="1">
        <f>VLOOKUP(jablka[[#This Row],[Nazwa]],cennik[],2,0) * jablka[[#This Row],[sprzedaż]]</f>
        <v>963.2</v>
      </c>
    </row>
    <row r="1669" spans="1:6" x14ac:dyDescent="0.25">
      <c r="A1669" s="2">
        <v>44805</v>
      </c>
      <c r="B1669" s="1" t="s">
        <v>14</v>
      </c>
      <c r="C1669" s="1" t="s">
        <v>67</v>
      </c>
      <c r="D1669" s="1" t="s">
        <v>17</v>
      </c>
      <c r="E1669">
        <v>332</v>
      </c>
      <c r="F1669" s="1">
        <f>VLOOKUP(jablka[[#This Row],[Nazwa]],cennik[],2,0) * jablka[[#This Row],[sprzedaż]]</f>
        <v>1162</v>
      </c>
    </row>
    <row r="1670" spans="1:6" x14ac:dyDescent="0.25">
      <c r="A1670" s="2">
        <v>44805</v>
      </c>
      <c r="B1670" s="1" t="s">
        <v>14</v>
      </c>
      <c r="C1670" s="1" t="s">
        <v>67</v>
      </c>
      <c r="D1670" s="1" t="s">
        <v>60</v>
      </c>
      <c r="E1670">
        <v>328</v>
      </c>
      <c r="F1670" s="1">
        <f>VLOOKUP(jablka[[#This Row],[Nazwa]],cennik[],2,0) * jablka[[#This Row],[sprzedaż]]</f>
        <v>1148</v>
      </c>
    </row>
    <row r="1671" spans="1:6" x14ac:dyDescent="0.25">
      <c r="A1671" s="2">
        <v>44806</v>
      </c>
      <c r="B1671" s="1" t="s">
        <v>1</v>
      </c>
      <c r="C1671" s="1" t="s">
        <v>67</v>
      </c>
      <c r="D1671" s="1" t="s">
        <v>26</v>
      </c>
      <c r="E1671">
        <v>217</v>
      </c>
      <c r="F1671" s="1">
        <f>VLOOKUP(jablka[[#This Row],[Nazwa]],cennik[],2,0) * jablka[[#This Row],[sprzedaż]]</f>
        <v>694.40000000000009</v>
      </c>
    </row>
    <row r="1672" spans="1:6" x14ac:dyDescent="0.25">
      <c r="A1672" s="2">
        <v>44806</v>
      </c>
      <c r="B1672" s="1" t="s">
        <v>1</v>
      </c>
      <c r="C1672" s="1" t="s">
        <v>67</v>
      </c>
      <c r="D1672" s="1" t="s">
        <v>20</v>
      </c>
      <c r="E1672">
        <v>93</v>
      </c>
      <c r="F1672" s="1">
        <f>VLOOKUP(jablka[[#This Row],[Nazwa]],cennik[],2,0) * jablka[[#This Row],[sprzedaż]]</f>
        <v>297.60000000000002</v>
      </c>
    </row>
    <row r="1673" spans="1:6" x14ac:dyDescent="0.25">
      <c r="A1673" s="2">
        <v>44806</v>
      </c>
      <c r="B1673" s="1" t="s">
        <v>14</v>
      </c>
      <c r="C1673" s="1" t="s">
        <v>67</v>
      </c>
      <c r="D1673" s="1" t="s">
        <v>52</v>
      </c>
      <c r="E1673">
        <v>179</v>
      </c>
      <c r="F1673" s="1">
        <f>VLOOKUP(jablka[[#This Row],[Nazwa]],cennik[],2,0) * jablka[[#This Row],[sprzedaż]]</f>
        <v>626.5</v>
      </c>
    </row>
    <row r="1674" spans="1:6" x14ac:dyDescent="0.25">
      <c r="A1674" s="2">
        <v>44806</v>
      </c>
      <c r="B1674" s="1" t="s">
        <v>3</v>
      </c>
      <c r="C1674" s="1" t="s">
        <v>67</v>
      </c>
      <c r="D1674" s="1" t="s">
        <v>39</v>
      </c>
      <c r="E1674">
        <v>474</v>
      </c>
      <c r="F1674" s="1">
        <f>VLOOKUP(jablka[[#This Row],[Nazwa]],cennik[],2,0) * jablka[[#This Row],[sprzedaż]]</f>
        <v>1516.8000000000002</v>
      </c>
    </row>
    <row r="1675" spans="1:6" x14ac:dyDescent="0.25">
      <c r="A1675" s="2">
        <v>44806</v>
      </c>
      <c r="B1675" s="1" t="s">
        <v>3</v>
      </c>
      <c r="C1675" s="1" t="s">
        <v>67</v>
      </c>
      <c r="D1675" s="1" t="s">
        <v>21</v>
      </c>
      <c r="E1675">
        <v>269</v>
      </c>
      <c r="F1675" s="1">
        <f>VLOOKUP(jablka[[#This Row],[Nazwa]],cennik[],2,0) * jablka[[#This Row],[sprzedaż]]</f>
        <v>860.80000000000007</v>
      </c>
    </row>
    <row r="1676" spans="1:6" x14ac:dyDescent="0.25">
      <c r="A1676" s="2">
        <v>44806</v>
      </c>
      <c r="B1676" s="1" t="s">
        <v>11</v>
      </c>
      <c r="C1676" s="1" t="s">
        <v>67</v>
      </c>
      <c r="D1676" s="1" t="s">
        <v>24</v>
      </c>
      <c r="E1676">
        <v>271</v>
      </c>
      <c r="F1676" s="1">
        <f>VLOOKUP(jablka[[#This Row],[Nazwa]],cennik[],2,0) * jablka[[#This Row],[sprzedaż]]</f>
        <v>677.5</v>
      </c>
    </row>
    <row r="1677" spans="1:6" x14ac:dyDescent="0.25">
      <c r="A1677" s="2">
        <v>44806</v>
      </c>
      <c r="B1677" s="1" t="s">
        <v>3</v>
      </c>
      <c r="C1677" s="1" t="s">
        <v>67</v>
      </c>
      <c r="D1677" s="1" t="s">
        <v>39</v>
      </c>
      <c r="E1677">
        <v>118</v>
      </c>
      <c r="F1677" s="1">
        <f>VLOOKUP(jablka[[#This Row],[Nazwa]],cennik[],2,0) * jablka[[#This Row],[sprzedaż]]</f>
        <v>377.6</v>
      </c>
    </row>
    <row r="1678" spans="1:6" x14ac:dyDescent="0.25">
      <c r="A1678" s="2">
        <v>44806</v>
      </c>
      <c r="B1678" s="1" t="s">
        <v>14</v>
      </c>
      <c r="C1678" s="1" t="s">
        <v>67</v>
      </c>
      <c r="D1678" s="1" t="s">
        <v>50</v>
      </c>
      <c r="E1678">
        <v>251</v>
      </c>
      <c r="F1678" s="1">
        <f>VLOOKUP(jablka[[#This Row],[Nazwa]],cennik[],2,0) * jablka[[#This Row],[sprzedaż]]</f>
        <v>878.5</v>
      </c>
    </row>
    <row r="1679" spans="1:6" x14ac:dyDescent="0.25">
      <c r="A1679" s="2">
        <v>44806</v>
      </c>
      <c r="B1679" s="1" t="s">
        <v>14</v>
      </c>
      <c r="C1679" s="1" t="s">
        <v>67</v>
      </c>
      <c r="D1679" s="1" t="s">
        <v>27</v>
      </c>
      <c r="E1679">
        <v>275</v>
      </c>
      <c r="F1679" s="1">
        <f>VLOOKUP(jablka[[#This Row],[Nazwa]],cennik[],2,0) * jablka[[#This Row],[sprzedaż]]</f>
        <v>962.5</v>
      </c>
    </row>
    <row r="1680" spans="1:6" x14ac:dyDescent="0.25">
      <c r="A1680" s="2">
        <v>44806</v>
      </c>
      <c r="B1680" s="1" t="s">
        <v>11</v>
      </c>
      <c r="C1680" s="1" t="s">
        <v>67</v>
      </c>
      <c r="D1680" s="1" t="s">
        <v>65</v>
      </c>
      <c r="E1680">
        <v>136</v>
      </c>
      <c r="F1680" s="1">
        <f>VLOOKUP(jablka[[#This Row],[Nazwa]],cennik[],2,0) * jablka[[#This Row],[sprzedaż]]</f>
        <v>340</v>
      </c>
    </row>
    <row r="1681" spans="1:6" x14ac:dyDescent="0.25">
      <c r="A1681" s="2">
        <v>44807</v>
      </c>
      <c r="B1681" s="1" t="s">
        <v>9</v>
      </c>
      <c r="C1681" s="1" t="s">
        <v>67</v>
      </c>
      <c r="D1681" s="1" t="s">
        <v>30</v>
      </c>
      <c r="E1681">
        <v>366</v>
      </c>
      <c r="F1681" s="1">
        <f>VLOOKUP(jablka[[#This Row],[Nazwa]],cennik[],2,0) * jablka[[#This Row],[sprzedaż]]</f>
        <v>915</v>
      </c>
    </row>
    <row r="1682" spans="1:6" x14ac:dyDescent="0.25">
      <c r="A1682" s="2">
        <v>44807</v>
      </c>
      <c r="B1682" s="1" t="s">
        <v>14</v>
      </c>
      <c r="C1682" s="1" t="s">
        <v>67</v>
      </c>
      <c r="D1682" s="1" t="s">
        <v>32</v>
      </c>
      <c r="E1682">
        <v>357</v>
      </c>
      <c r="F1682" s="1">
        <f>VLOOKUP(jablka[[#This Row],[Nazwa]],cennik[],2,0) * jablka[[#This Row],[sprzedaż]]</f>
        <v>1249.5</v>
      </c>
    </row>
    <row r="1683" spans="1:6" x14ac:dyDescent="0.25">
      <c r="A1683" s="2">
        <v>44807</v>
      </c>
      <c r="B1683" s="1" t="s">
        <v>1</v>
      </c>
      <c r="C1683" s="1" t="s">
        <v>67</v>
      </c>
      <c r="D1683" s="1" t="s">
        <v>61</v>
      </c>
      <c r="E1683">
        <v>261</v>
      </c>
      <c r="F1683" s="1">
        <f>VLOOKUP(jablka[[#This Row],[Nazwa]],cennik[],2,0) * jablka[[#This Row],[sprzedaż]]</f>
        <v>835.2</v>
      </c>
    </row>
    <row r="1684" spans="1:6" x14ac:dyDescent="0.25">
      <c r="A1684" s="2">
        <v>44807</v>
      </c>
      <c r="B1684" s="1" t="s">
        <v>1</v>
      </c>
      <c r="C1684" s="1" t="s">
        <v>67</v>
      </c>
      <c r="D1684" s="1" t="s">
        <v>26</v>
      </c>
      <c r="E1684">
        <v>176</v>
      </c>
      <c r="F1684" s="1">
        <f>VLOOKUP(jablka[[#This Row],[Nazwa]],cennik[],2,0) * jablka[[#This Row],[sprzedaż]]</f>
        <v>563.20000000000005</v>
      </c>
    </row>
    <row r="1685" spans="1:6" x14ac:dyDescent="0.25">
      <c r="A1685" s="2">
        <v>44807</v>
      </c>
      <c r="B1685" s="1" t="s">
        <v>1</v>
      </c>
      <c r="C1685" s="1" t="s">
        <v>67</v>
      </c>
      <c r="D1685" s="1" t="s">
        <v>39</v>
      </c>
      <c r="E1685">
        <v>58</v>
      </c>
      <c r="F1685" s="1">
        <f>VLOOKUP(jablka[[#This Row],[Nazwa]],cennik[],2,0) * jablka[[#This Row],[sprzedaż]]</f>
        <v>185.60000000000002</v>
      </c>
    </row>
    <row r="1686" spans="1:6" x14ac:dyDescent="0.25">
      <c r="A1686" s="2">
        <v>44807</v>
      </c>
      <c r="B1686" s="1" t="s">
        <v>14</v>
      </c>
      <c r="C1686" s="1" t="s">
        <v>67</v>
      </c>
      <c r="D1686" s="1" t="s">
        <v>45</v>
      </c>
      <c r="E1686">
        <v>99</v>
      </c>
      <c r="F1686" s="1">
        <f>VLOOKUP(jablka[[#This Row],[Nazwa]],cennik[],2,0) * jablka[[#This Row],[sprzedaż]]</f>
        <v>346.5</v>
      </c>
    </row>
    <row r="1687" spans="1:6" x14ac:dyDescent="0.25">
      <c r="A1687" s="2">
        <v>44809</v>
      </c>
      <c r="B1687" s="1" t="s">
        <v>9</v>
      </c>
      <c r="C1687" s="1" t="s">
        <v>67</v>
      </c>
      <c r="D1687" s="1" t="s">
        <v>26</v>
      </c>
      <c r="E1687">
        <v>143</v>
      </c>
      <c r="F1687" s="1">
        <f>VLOOKUP(jablka[[#This Row],[Nazwa]],cennik[],2,0) * jablka[[#This Row],[sprzedaż]]</f>
        <v>357.5</v>
      </c>
    </row>
    <row r="1688" spans="1:6" x14ac:dyDescent="0.25">
      <c r="A1688" s="2">
        <v>44809</v>
      </c>
      <c r="B1688" s="1" t="s">
        <v>9</v>
      </c>
      <c r="C1688" s="1" t="s">
        <v>67</v>
      </c>
      <c r="D1688" s="1" t="s">
        <v>33</v>
      </c>
      <c r="E1688">
        <v>470</v>
      </c>
      <c r="F1688" s="1">
        <f>VLOOKUP(jablka[[#This Row],[Nazwa]],cennik[],2,0) * jablka[[#This Row],[sprzedaż]]</f>
        <v>1175</v>
      </c>
    </row>
    <row r="1689" spans="1:6" x14ac:dyDescent="0.25">
      <c r="A1689" s="2">
        <v>44809</v>
      </c>
      <c r="B1689" s="1" t="s">
        <v>14</v>
      </c>
      <c r="C1689" s="1" t="s">
        <v>67</v>
      </c>
      <c r="D1689" s="1" t="s">
        <v>63</v>
      </c>
      <c r="E1689">
        <v>132</v>
      </c>
      <c r="F1689" s="1">
        <f>VLOOKUP(jablka[[#This Row],[Nazwa]],cennik[],2,0) * jablka[[#This Row],[sprzedaż]]</f>
        <v>462</v>
      </c>
    </row>
    <row r="1690" spans="1:6" x14ac:dyDescent="0.25">
      <c r="A1690" s="2">
        <v>44809</v>
      </c>
      <c r="B1690" s="1" t="s">
        <v>9</v>
      </c>
      <c r="C1690" s="1" t="s">
        <v>67</v>
      </c>
      <c r="D1690" s="1" t="s">
        <v>57</v>
      </c>
      <c r="E1690">
        <v>38</v>
      </c>
      <c r="F1690" s="1">
        <f>VLOOKUP(jablka[[#This Row],[Nazwa]],cennik[],2,0) * jablka[[#This Row],[sprzedaż]]</f>
        <v>95</v>
      </c>
    </row>
    <row r="1691" spans="1:6" x14ac:dyDescent="0.25">
      <c r="A1691" s="2">
        <v>44809</v>
      </c>
      <c r="B1691" s="1" t="s">
        <v>3</v>
      </c>
      <c r="C1691" s="1" t="s">
        <v>67</v>
      </c>
      <c r="D1691" s="1" t="s">
        <v>65</v>
      </c>
      <c r="E1691">
        <v>471</v>
      </c>
      <c r="F1691" s="1">
        <f>VLOOKUP(jablka[[#This Row],[Nazwa]],cennik[],2,0) * jablka[[#This Row],[sprzedaż]]</f>
        <v>1507.2</v>
      </c>
    </row>
    <row r="1692" spans="1:6" x14ac:dyDescent="0.25">
      <c r="A1692" s="2">
        <v>44809</v>
      </c>
      <c r="B1692" s="1" t="s">
        <v>3</v>
      </c>
      <c r="C1692" s="1" t="s">
        <v>67</v>
      </c>
      <c r="D1692" s="1" t="s">
        <v>32</v>
      </c>
      <c r="E1692">
        <v>340</v>
      </c>
      <c r="F1692" s="1">
        <f>VLOOKUP(jablka[[#This Row],[Nazwa]],cennik[],2,0) * jablka[[#This Row],[sprzedaż]]</f>
        <v>1088</v>
      </c>
    </row>
    <row r="1693" spans="1:6" x14ac:dyDescent="0.25">
      <c r="A1693" s="2">
        <v>44809</v>
      </c>
      <c r="B1693" s="1" t="s">
        <v>3</v>
      </c>
      <c r="C1693" s="1" t="s">
        <v>67</v>
      </c>
      <c r="D1693" s="1" t="s">
        <v>34</v>
      </c>
      <c r="E1693">
        <v>167</v>
      </c>
      <c r="F1693" s="1">
        <f>VLOOKUP(jablka[[#This Row],[Nazwa]],cennik[],2,0) * jablka[[#This Row],[sprzedaż]]</f>
        <v>534.4</v>
      </c>
    </row>
    <row r="1694" spans="1:6" x14ac:dyDescent="0.25">
      <c r="A1694" s="2">
        <v>44809</v>
      </c>
      <c r="B1694" s="1" t="s">
        <v>11</v>
      </c>
      <c r="C1694" s="1" t="s">
        <v>67</v>
      </c>
      <c r="D1694" s="1" t="s">
        <v>51</v>
      </c>
      <c r="E1694">
        <v>498</v>
      </c>
      <c r="F1694" s="1">
        <f>VLOOKUP(jablka[[#This Row],[Nazwa]],cennik[],2,0) * jablka[[#This Row],[sprzedaż]]</f>
        <v>1245</v>
      </c>
    </row>
    <row r="1695" spans="1:6" x14ac:dyDescent="0.25">
      <c r="A1695" s="2">
        <v>44809</v>
      </c>
      <c r="B1695" s="1" t="s">
        <v>1</v>
      </c>
      <c r="C1695" s="1" t="s">
        <v>67</v>
      </c>
      <c r="D1695" s="1" t="s">
        <v>23</v>
      </c>
      <c r="E1695">
        <v>461</v>
      </c>
      <c r="F1695" s="1">
        <f>VLOOKUP(jablka[[#This Row],[Nazwa]],cennik[],2,0) * jablka[[#This Row],[sprzedaż]]</f>
        <v>1475.2</v>
      </c>
    </row>
    <row r="1696" spans="1:6" x14ac:dyDescent="0.25">
      <c r="A1696" s="2">
        <v>44809</v>
      </c>
      <c r="B1696" s="1" t="s">
        <v>11</v>
      </c>
      <c r="C1696" s="1" t="s">
        <v>67</v>
      </c>
      <c r="D1696" s="1" t="s">
        <v>23</v>
      </c>
      <c r="E1696">
        <v>437</v>
      </c>
      <c r="F1696" s="1">
        <f>VLOOKUP(jablka[[#This Row],[Nazwa]],cennik[],2,0) * jablka[[#This Row],[sprzedaż]]</f>
        <v>1092.5</v>
      </c>
    </row>
    <row r="1697" spans="1:6" x14ac:dyDescent="0.25">
      <c r="A1697" s="2">
        <v>44809</v>
      </c>
      <c r="B1697" s="1" t="s">
        <v>14</v>
      </c>
      <c r="C1697" s="1" t="s">
        <v>67</v>
      </c>
      <c r="D1697" s="1" t="s">
        <v>50</v>
      </c>
      <c r="E1697">
        <v>429</v>
      </c>
      <c r="F1697" s="1">
        <f>VLOOKUP(jablka[[#This Row],[Nazwa]],cennik[],2,0) * jablka[[#This Row],[sprzedaż]]</f>
        <v>1501.5</v>
      </c>
    </row>
    <row r="1698" spans="1:6" x14ac:dyDescent="0.25">
      <c r="A1698" s="2">
        <v>44809</v>
      </c>
      <c r="B1698" s="1" t="s">
        <v>9</v>
      </c>
      <c r="C1698" s="1" t="s">
        <v>67</v>
      </c>
      <c r="D1698" s="1" t="s">
        <v>50</v>
      </c>
      <c r="E1698">
        <v>447</v>
      </c>
      <c r="F1698" s="1">
        <f>VLOOKUP(jablka[[#This Row],[Nazwa]],cennik[],2,0) * jablka[[#This Row],[sprzedaż]]</f>
        <v>1117.5</v>
      </c>
    </row>
    <row r="1699" spans="1:6" x14ac:dyDescent="0.25">
      <c r="A1699" s="2">
        <v>44809</v>
      </c>
      <c r="B1699" s="1" t="s">
        <v>3</v>
      </c>
      <c r="C1699" s="1" t="s">
        <v>67</v>
      </c>
      <c r="D1699" s="1" t="s">
        <v>23</v>
      </c>
      <c r="E1699">
        <v>211</v>
      </c>
      <c r="F1699" s="1">
        <f>VLOOKUP(jablka[[#This Row],[Nazwa]],cennik[],2,0) * jablka[[#This Row],[sprzedaż]]</f>
        <v>675.2</v>
      </c>
    </row>
    <row r="1700" spans="1:6" x14ac:dyDescent="0.25">
      <c r="A1700" s="2">
        <v>44809</v>
      </c>
      <c r="B1700" s="1" t="s">
        <v>14</v>
      </c>
      <c r="C1700" s="1" t="s">
        <v>67</v>
      </c>
      <c r="D1700" s="1" t="s">
        <v>20</v>
      </c>
      <c r="E1700">
        <v>207</v>
      </c>
      <c r="F1700" s="1">
        <f>VLOOKUP(jablka[[#This Row],[Nazwa]],cennik[],2,0) * jablka[[#This Row],[sprzedaż]]</f>
        <v>724.5</v>
      </c>
    </row>
    <row r="1701" spans="1:6" x14ac:dyDescent="0.25">
      <c r="A1701" s="2">
        <v>44810</v>
      </c>
      <c r="B1701" s="1" t="s">
        <v>14</v>
      </c>
      <c r="C1701" s="1" t="s">
        <v>67</v>
      </c>
      <c r="D1701" s="1" t="s">
        <v>50</v>
      </c>
      <c r="E1701">
        <v>210</v>
      </c>
      <c r="F1701" s="1">
        <f>VLOOKUP(jablka[[#This Row],[Nazwa]],cennik[],2,0) * jablka[[#This Row],[sprzedaż]]</f>
        <v>735</v>
      </c>
    </row>
    <row r="1702" spans="1:6" x14ac:dyDescent="0.25">
      <c r="A1702" s="2">
        <v>44810</v>
      </c>
      <c r="B1702" s="1" t="s">
        <v>3</v>
      </c>
      <c r="C1702" s="1" t="s">
        <v>67</v>
      </c>
      <c r="D1702" s="1" t="s">
        <v>36</v>
      </c>
      <c r="E1702">
        <v>34</v>
      </c>
      <c r="F1702" s="1">
        <f>VLOOKUP(jablka[[#This Row],[Nazwa]],cennik[],2,0) * jablka[[#This Row],[sprzedaż]]</f>
        <v>108.80000000000001</v>
      </c>
    </row>
    <row r="1703" spans="1:6" x14ac:dyDescent="0.25">
      <c r="A1703" s="2">
        <v>44810</v>
      </c>
      <c r="B1703" s="1" t="s">
        <v>11</v>
      </c>
      <c r="C1703" s="1" t="s">
        <v>67</v>
      </c>
      <c r="D1703" s="1" t="s">
        <v>19</v>
      </c>
      <c r="E1703">
        <v>222</v>
      </c>
      <c r="F1703" s="1">
        <f>VLOOKUP(jablka[[#This Row],[Nazwa]],cennik[],2,0) * jablka[[#This Row],[sprzedaż]]</f>
        <v>555</v>
      </c>
    </row>
    <row r="1704" spans="1:6" x14ac:dyDescent="0.25">
      <c r="A1704" s="2">
        <v>44810</v>
      </c>
      <c r="B1704" s="1" t="s">
        <v>11</v>
      </c>
      <c r="C1704" s="1" t="s">
        <v>67</v>
      </c>
      <c r="D1704" s="1" t="s">
        <v>35</v>
      </c>
      <c r="E1704">
        <v>20</v>
      </c>
      <c r="F1704" s="1">
        <f>VLOOKUP(jablka[[#This Row],[Nazwa]],cennik[],2,0) * jablka[[#This Row],[sprzedaż]]</f>
        <v>50</v>
      </c>
    </row>
    <row r="1705" spans="1:6" x14ac:dyDescent="0.25">
      <c r="A1705" s="2">
        <v>44810</v>
      </c>
      <c r="B1705" s="1" t="s">
        <v>14</v>
      </c>
      <c r="C1705" s="1" t="s">
        <v>67</v>
      </c>
      <c r="D1705" s="1" t="s">
        <v>59</v>
      </c>
      <c r="E1705">
        <v>132</v>
      </c>
      <c r="F1705" s="1">
        <f>VLOOKUP(jablka[[#This Row],[Nazwa]],cennik[],2,0) * jablka[[#This Row],[sprzedaż]]</f>
        <v>462</v>
      </c>
    </row>
    <row r="1706" spans="1:6" x14ac:dyDescent="0.25">
      <c r="A1706" s="2">
        <v>44810</v>
      </c>
      <c r="B1706" s="1" t="s">
        <v>1</v>
      </c>
      <c r="C1706" s="1" t="s">
        <v>67</v>
      </c>
      <c r="D1706" s="1" t="s">
        <v>27</v>
      </c>
      <c r="E1706">
        <v>29</v>
      </c>
      <c r="F1706" s="1">
        <f>VLOOKUP(jablka[[#This Row],[Nazwa]],cennik[],2,0) * jablka[[#This Row],[sprzedaż]]</f>
        <v>92.800000000000011</v>
      </c>
    </row>
    <row r="1707" spans="1:6" x14ac:dyDescent="0.25">
      <c r="A1707" s="2">
        <v>44810</v>
      </c>
      <c r="B1707" s="1" t="s">
        <v>11</v>
      </c>
      <c r="C1707" s="1" t="s">
        <v>67</v>
      </c>
      <c r="D1707" s="1" t="s">
        <v>59</v>
      </c>
      <c r="E1707">
        <v>246</v>
      </c>
      <c r="F1707" s="1">
        <f>VLOOKUP(jablka[[#This Row],[Nazwa]],cennik[],2,0) * jablka[[#This Row],[sprzedaż]]</f>
        <v>615</v>
      </c>
    </row>
    <row r="1708" spans="1:6" x14ac:dyDescent="0.25">
      <c r="A1708" s="2">
        <v>44810</v>
      </c>
      <c r="B1708" s="1" t="s">
        <v>3</v>
      </c>
      <c r="C1708" s="1" t="s">
        <v>67</v>
      </c>
      <c r="D1708" s="1" t="s">
        <v>35</v>
      </c>
      <c r="E1708">
        <v>331</v>
      </c>
      <c r="F1708" s="1">
        <f>VLOOKUP(jablka[[#This Row],[Nazwa]],cennik[],2,0) * jablka[[#This Row],[sprzedaż]]</f>
        <v>1059.2</v>
      </c>
    </row>
    <row r="1709" spans="1:6" x14ac:dyDescent="0.25">
      <c r="A1709" s="2">
        <v>44810</v>
      </c>
      <c r="B1709" s="1" t="s">
        <v>9</v>
      </c>
      <c r="C1709" s="1" t="s">
        <v>67</v>
      </c>
      <c r="D1709" s="1" t="s">
        <v>65</v>
      </c>
      <c r="E1709">
        <v>167</v>
      </c>
      <c r="F1709" s="1">
        <f>VLOOKUP(jablka[[#This Row],[Nazwa]],cennik[],2,0) * jablka[[#This Row],[sprzedaż]]</f>
        <v>417.5</v>
      </c>
    </row>
    <row r="1710" spans="1:6" x14ac:dyDescent="0.25">
      <c r="A1710" s="2">
        <v>44810</v>
      </c>
      <c r="B1710" s="1" t="s">
        <v>1</v>
      </c>
      <c r="C1710" s="1" t="s">
        <v>67</v>
      </c>
      <c r="D1710" s="1" t="s">
        <v>41</v>
      </c>
      <c r="E1710">
        <v>22</v>
      </c>
      <c r="F1710" s="1">
        <f>VLOOKUP(jablka[[#This Row],[Nazwa]],cennik[],2,0) * jablka[[#This Row],[sprzedaż]]</f>
        <v>70.400000000000006</v>
      </c>
    </row>
    <row r="1711" spans="1:6" x14ac:dyDescent="0.25">
      <c r="A1711" s="2">
        <v>44811</v>
      </c>
      <c r="B1711" s="1" t="s">
        <v>3</v>
      </c>
      <c r="C1711" s="1" t="s">
        <v>67</v>
      </c>
      <c r="D1711" s="1" t="s">
        <v>66</v>
      </c>
      <c r="E1711">
        <v>28</v>
      </c>
      <c r="F1711" s="1">
        <f>VLOOKUP(jablka[[#This Row],[Nazwa]],cennik[],2,0) * jablka[[#This Row],[sprzedaż]]</f>
        <v>89.600000000000009</v>
      </c>
    </row>
    <row r="1712" spans="1:6" x14ac:dyDescent="0.25">
      <c r="A1712" s="2">
        <v>44811</v>
      </c>
      <c r="B1712" s="1" t="s">
        <v>3</v>
      </c>
      <c r="C1712" s="1" t="s">
        <v>67</v>
      </c>
      <c r="D1712" s="1" t="s">
        <v>31</v>
      </c>
      <c r="E1712">
        <v>18</v>
      </c>
      <c r="F1712" s="1">
        <f>VLOOKUP(jablka[[#This Row],[Nazwa]],cennik[],2,0) * jablka[[#This Row],[sprzedaż]]</f>
        <v>57.6</v>
      </c>
    </row>
    <row r="1713" spans="1:6" x14ac:dyDescent="0.25">
      <c r="A1713" s="2">
        <v>44811</v>
      </c>
      <c r="B1713" s="1" t="s">
        <v>14</v>
      </c>
      <c r="C1713" s="1" t="s">
        <v>67</v>
      </c>
      <c r="D1713" s="1" t="s">
        <v>65</v>
      </c>
      <c r="E1713">
        <v>266</v>
      </c>
      <c r="F1713" s="1">
        <f>VLOOKUP(jablka[[#This Row],[Nazwa]],cennik[],2,0) * jablka[[#This Row],[sprzedaż]]</f>
        <v>931</v>
      </c>
    </row>
    <row r="1714" spans="1:6" x14ac:dyDescent="0.25">
      <c r="A1714" s="2">
        <v>44811</v>
      </c>
      <c r="B1714" s="1" t="s">
        <v>9</v>
      </c>
      <c r="C1714" s="1" t="s">
        <v>67</v>
      </c>
      <c r="D1714" s="1" t="s">
        <v>22</v>
      </c>
      <c r="E1714">
        <v>358</v>
      </c>
      <c r="F1714" s="1">
        <f>VLOOKUP(jablka[[#This Row],[Nazwa]],cennik[],2,0) * jablka[[#This Row],[sprzedaż]]</f>
        <v>895</v>
      </c>
    </row>
    <row r="1715" spans="1:6" x14ac:dyDescent="0.25">
      <c r="A1715" s="2">
        <v>44811</v>
      </c>
      <c r="B1715" s="1" t="s">
        <v>14</v>
      </c>
      <c r="C1715" s="1" t="s">
        <v>67</v>
      </c>
      <c r="D1715" s="1" t="s">
        <v>37</v>
      </c>
      <c r="E1715">
        <v>416</v>
      </c>
      <c r="F1715" s="1">
        <f>VLOOKUP(jablka[[#This Row],[Nazwa]],cennik[],2,0) * jablka[[#This Row],[sprzedaż]]</f>
        <v>1456</v>
      </c>
    </row>
    <row r="1716" spans="1:6" x14ac:dyDescent="0.25">
      <c r="A1716" s="2">
        <v>44811</v>
      </c>
      <c r="B1716" s="1" t="s">
        <v>14</v>
      </c>
      <c r="C1716" s="1" t="s">
        <v>67</v>
      </c>
      <c r="D1716" s="1" t="s">
        <v>24</v>
      </c>
      <c r="E1716">
        <v>17</v>
      </c>
      <c r="F1716" s="1">
        <f>VLOOKUP(jablka[[#This Row],[Nazwa]],cennik[],2,0) * jablka[[#This Row],[sprzedaż]]</f>
        <v>59.5</v>
      </c>
    </row>
    <row r="1717" spans="1:6" x14ac:dyDescent="0.25">
      <c r="A1717" s="2">
        <v>44811</v>
      </c>
      <c r="B1717" s="1" t="s">
        <v>11</v>
      </c>
      <c r="C1717" s="1" t="s">
        <v>67</v>
      </c>
      <c r="D1717" s="1" t="s">
        <v>21</v>
      </c>
      <c r="E1717">
        <v>229</v>
      </c>
      <c r="F1717" s="1">
        <f>VLOOKUP(jablka[[#This Row],[Nazwa]],cennik[],2,0) * jablka[[#This Row],[sprzedaż]]</f>
        <v>572.5</v>
      </c>
    </row>
    <row r="1718" spans="1:6" x14ac:dyDescent="0.25">
      <c r="A1718" s="2">
        <v>44811</v>
      </c>
      <c r="B1718" s="1" t="s">
        <v>9</v>
      </c>
      <c r="C1718" s="1" t="s">
        <v>67</v>
      </c>
      <c r="D1718" s="1" t="s">
        <v>40</v>
      </c>
      <c r="E1718">
        <v>291</v>
      </c>
      <c r="F1718" s="1">
        <f>VLOOKUP(jablka[[#This Row],[Nazwa]],cennik[],2,0) * jablka[[#This Row],[sprzedaż]]</f>
        <v>727.5</v>
      </c>
    </row>
    <row r="1719" spans="1:6" x14ac:dyDescent="0.25">
      <c r="A1719" s="2">
        <v>44812</v>
      </c>
      <c r="B1719" s="1" t="s">
        <v>11</v>
      </c>
      <c r="C1719" s="1" t="s">
        <v>67</v>
      </c>
      <c r="D1719" s="1" t="s">
        <v>56</v>
      </c>
      <c r="E1719">
        <v>348</v>
      </c>
      <c r="F1719" s="1">
        <f>VLOOKUP(jablka[[#This Row],[Nazwa]],cennik[],2,0) * jablka[[#This Row],[sprzedaż]]</f>
        <v>870</v>
      </c>
    </row>
    <row r="1720" spans="1:6" x14ac:dyDescent="0.25">
      <c r="A1720" s="2">
        <v>44812</v>
      </c>
      <c r="B1720" s="1" t="s">
        <v>1</v>
      </c>
      <c r="C1720" s="1" t="s">
        <v>67</v>
      </c>
      <c r="D1720" s="1" t="s">
        <v>46</v>
      </c>
      <c r="E1720">
        <v>328</v>
      </c>
      <c r="F1720" s="1">
        <f>VLOOKUP(jablka[[#This Row],[Nazwa]],cennik[],2,0) * jablka[[#This Row],[sprzedaż]]</f>
        <v>1049.6000000000001</v>
      </c>
    </row>
    <row r="1721" spans="1:6" x14ac:dyDescent="0.25">
      <c r="A1721" s="2">
        <v>44812</v>
      </c>
      <c r="B1721" s="1" t="s">
        <v>14</v>
      </c>
      <c r="C1721" s="1" t="s">
        <v>67</v>
      </c>
      <c r="D1721" s="1" t="s">
        <v>21</v>
      </c>
      <c r="E1721">
        <v>286</v>
      </c>
      <c r="F1721" s="1">
        <f>VLOOKUP(jablka[[#This Row],[Nazwa]],cennik[],2,0) * jablka[[#This Row],[sprzedaż]]</f>
        <v>1001</v>
      </c>
    </row>
    <row r="1722" spans="1:6" x14ac:dyDescent="0.25">
      <c r="A1722" s="2">
        <v>44812</v>
      </c>
      <c r="B1722" s="1" t="s">
        <v>14</v>
      </c>
      <c r="C1722" s="1" t="s">
        <v>67</v>
      </c>
      <c r="D1722" s="1" t="s">
        <v>42</v>
      </c>
      <c r="E1722">
        <v>334</v>
      </c>
      <c r="F1722" s="1">
        <f>VLOOKUP(jablka[[#This Row],[Nazwa]],cennik[],2,0) * jablka[[#This Row],[sprzedaż]]</f>
        <v>1169</v>
      </c>
    </row>
    <row r="1723" spans="1:6" x14ac:dyDescent="0.25">
      <c r="A1723" s="2">
        <v>44812</v>
      </c>
      <c r="B1723" s="1" t="s">
        <v>11</v>
      </c>
      <c r="C1723" s="1" t="s">
        <v>67</v>
      </c>
      <c r="D1723" s="1" t="s">
        <v>62</v>
      </c>
      <c r="E1723">
        <v>386</v>
      </c>
      <c r="F1723" s="1">
        <f>VLOOKUP(jablka[[#This Row],[Nazwa]],cennik[],2,0) * jablka[[#This Row],[sprzedaż]]</f>
        <v>965</v>
      </c>
    </row>
    <row r="1724" spans="1:6" x14ac:dyDescent="0.25">
      <c r="A1724" s="2">
        <v>44812</v>
      </c>
      <c r="B1724" s="1" t="s">
        <v>9</v>
      </c>
      <c r="C1724" s="1" t="s">
        <v>67</v>
      </c>
      <c r="D1724" s="1" t="s">
        <v>59</v>
      </c>
      <c r="E1724">
        <v>405</v>
      </c>
      <c r="F1724" s="1">
        <f>VLOOKUP(jablka[[#This Row],[Nazwa]],cennik[],2,0) * jablka[[#This Row],[sprzedaż]]</f>
        <v>1012.5</v>
      </c>
    </row>
    <row r="1725" spans="1:6" x14ac:dyDescent="0.25">
      <c r="A1725" s="2">
        <v>44812</v>
      </c>
      <c r="B1725" s="1" t="s">
        <v>9</v>
      </c>
      <c r="C1725" s="1" t="s">
        <v>67</v>
      </c>
      <c r="D1725" s="1" t="s">
        <v>45</v>
      </c>
      <c r="E1725">
        <v>53</v>
      </c>
      <c r="F1725" s="1">
        <f>VLOOKUP(jablka[[#This Row],[Nazwa]],cennik[],2,0) * jablka[[#This Row],[sprzedaż]]</f>
        <v>132.5</v>
      </c>
    </row>
    <row r="1726" spans="1:6" x14ac:dyDescent="0.25">
      <c r="A1726" s="2">
        <v>44812</v>
      </c>
      <c r="B1726" s="1" t="s">
        <v>14</v>
      </c>
      <c r="C1726" s="1" t="s">
        <v>67</v>
      </c>
      <c r="D1726" s="1" t="s">
        <v>64</v>
      </c>
      <c r="E1726">
        <v>180</v>
      </c>
      <c r="F1726" s="1">
        <f>VLOOKUP(jablka[[#This Row],[Nazwa]],cennik[],2,0) * jablka[[#This Row],[sprzedaż]]</f>
        <v>630</v>
      </c>
    </row>
    <row r="1727" spans="1:6" x14ac:dyDescent="0.25">
      <c r="A1727" s="2">
        <v>44812</v>
      </c>
      <c r="B1727" s="1" t="s">
        <v>11</v>
      </c>
      <c r="C1727" s="1" t="s">
        <v>67</v>
      </c>
      <c r="D1727" s="1" t="s">
        <v>53</v>
      </c>
      <c r="E1727">
        <v>94</v>
      </c>
      <c r="F1727" s="1">
        <f>VLOOKUP(jablka[[#This Row],[Nazwa]],cennik[],2,0) * jablka[[#This Row],[sprzedaż]]</f>
        <v>235</v>
      </c>
    </row>
    <row r="1728" spans="1:6" x14ac:dyDescent="0.25">
      <c r="A1728" s="2">
        <v>44812</v>
      </c>
      <c r="B1728" s="1" t="s">
        <v>3</v>
      </c>
      <c r="C1728" s="1" t="s">
        <v>67</v>
      </c>
      <c r="D1728" s="1" t="s">
        <v>55</v>
      </c>
      <c r="E1728">
        <v>346</v>
      </c>
      <c r="F1728" s="1">
        <f>VLOOKUP(jablka[[#This Row],[Nazwa]],cennik[],2,0) * jablka[[#This Row],[sprzedaż]]</f>
        <v>1107.2</v>
      </c>
    </row>
    <row r="1729" spans="1:6" x14ac:dyDescent="0.25">
      <c r="A1729" s="2">
        <v>44812</v>
      </c>
      <c r="B1729" s="1" t="s">
        <v>11</v>
      </c>
      <c r="C1729" s="1" t="s">
        <v>67</v>
      </c>
      <c r="D1729" s="1" t="s">
        <v>18</v>
      </c>
      <c r="E1729">
        <v>396</v>
      </c>
      <c r="F1729" s="1">
        <f>VLOOKUP(jablka[[#This Row],[Nazwa]],cennik[],2,0) * jablka[[#This Row],[sprzedaż]]</f>
        <v>990</v>
      </c>
    </row>
    <row r="1730" spans="1:6" x14ac:dyDescent="0.25">
      <c r="A1730" s="2">
        <v>44812</v>
      </c>
      <c r="B1730" s="1" t="s">
        <v>9</v>
      </c>
      <c r="C1730" s="1" t="s">
        <v>67</v>
      </c>
      <c r="D1730" s="1" t="s">
        <v>24</v>
      </c>
      <c r="E1730">
        <v>397</v>
      </c>
      <c r="F1730" s="1">
        <f>VLOOKUP(jablka[[#This Row],[Nazwa]],cennik[],2,0) * jablka[[#This Row],[sprzedaż]]</f>
        <v>992.5</v>
      </c>
    </row>
    <row r="1731" spans="1:6" x14ac:dyDescent="0.25">
      <c r="A1731" s="2">
        <v>44813</v>
      </c>
      <c r="B1731" s="1" t="s">
        <v>14</v>
      </c>
      <c r="C1731" s="1" t="s">
        <v>67</v>
      </c>
      <c r="D1731" s="1" t="s">
        <v>36</v>
      </c>
      <c r="E1731">
        <v>434</v>
      </c>
      <c r="F1731" s="1">
        <f>VLOOKUP(jablka[[#This Row],[Nazwa]],cennik[],2,0) * jablka[[#This Row],[sprzedaż]]</f>
        <v>1519</v>
      </c>
    </row>
    <row r="1732" spans="1:6" x14ac:dyDescent="0.25">
      <c r="A1732" s="2">
        <v>44813</v>
      </c>
      <c r="B1732" s="1" t="s">
        <v>14</v>
      </c>
      <c r="C1732" s="1" t="s">
        <v>67</v>
      </c>
      <c r="D1732" s="1" t="s">
        <v>62</v>
      </c>
      <c r="E1732">
        <v>492</v>
      </c>
      <c r="F1732" s="1">
        <f>VLOOKUP(jablka[[#This Row],[Nazwa]],cennik[],2,0) * jablka[[#This Row],[sprzedaż]]</f>
        <v>1722</v>
      </c>
    </row>
    <row r="1733" spans="1:6" x14ac:dyDescent="0.25">
      <c r="A1733" s="2">
        <v>44813</v>
      </c>
      <c r="B1733" s="1" t="s">
        <v>14</v>
      </c>
      <c r="C1733" s="1" t="s">
        <v>67</v>
      </c>
      <c r="D1733" s="1" t="s">
        <v>35</v>
      </c>
      <c r="E1733">
        <v>398</v>
      </c>
      <c r="F1733" s="1">
        <f>VLOOKUP(jablka[[#This Row],[Nazwa]],cennik[],2,0) * jablka[[#This Row],[sprzedaż]]</f>
        <v>1393</v>
      </c>
    </row>
    <row r="1734" spans="1:6" x14ac:dyDescent="0.25">
      <c r="A1734" s="2">
        <v>44813</v>
      </c>
      <c r="B1734" s="1" t="s">
        <v>11</v>
      </c>
      <c r="C1734" s="1" t="s">
        <v>67</v>
      </c>
      <c r="D1734" s="1" t="s">
        <v>28</v>
      </c>
      <c r="E1734">
        <v>354</v>
      </c>
      <c r="F1734" s="1">
        <f>VLOOKUP(jablka[[#This Row],[Nazwa]],cennik[],2,0) * jablka[[#This Row],[sprzedaż]]</f>
        <v>885</v>
      </c>
    </row>
    <row r="1735" spans="1:6" x14ac:dyDescent="0.25">
      <c r="A1735" s="2">
        <v>44813</v>
      </c>
      <c r="B1735" s="1" t="s">
        <v>3</v>
      </c>
      <c r="C1735" s="1" t="s">
        <v>67</v>
      </c>
      <c r="D1735" s="1" t="s">
        <v>18</v>
      </c>
      <c r="E1735">
        <v>391</v>
      </c>
      <c r="F1735" s="1">
        <f>VLOOKUP(jablka[[#This Row],[Nazwa]],cennik[],2,0) * jablka[[#This Row],[sprzedaż]]</f>
        <v>1251.2</v>
      </c>
    </row>
    <row r="1736" spans="1:6" x14ac:dyDescent="0.25">
      <c r="A1736" s="2">
        <v>44813</v>
      </c>
      <c r="B1736" s="1" t="s">
        <v>11</v>
      </c>
      <c r="C1736" s="1" t="s">
        <v>67</v>
      </c>
      <c r="D1736" s="1" t="s">
        <v>19</v>
      </c>
      <c r="E1736">
        <v>268</v>
      </c>
      <c r="F1736" s="1">
        <f>VLOOKUP(jablka[[#This Row],[Nazwa]],cennik[],2,0) * jablka[[#This Row],[sprzedaż]]</f>
        <v>670</v>
      </c>
    </row>
    <row r="1737" spans="1:6" x14ac:dyDescent="0.25">
      <c r="A1737" s="2">
        <v>44813</v>
      </c>
      <c r="B1737" s="1" t="s">
        <v>11</v>
      </c>
      <c r="C1737" s="1" t="s">
        <v>67</v>
      </c>
      <c r="D1737" s="1" t="s">
        <v>37</v>
      </c>
      <c r="E1737">
        <v>203</v>
      </c>
      <c r="F1737" s="1">
        <f>VLOOKUP(jablka[[#This Row],[Nazwa]],cennik[],2,0) * jablka[[#This Row],[sprzedaż]]</f>
        <v>507.5</v>
      </c>
    </row>
    <row r="1738" spans="1:6" x14ac:dyDescent="0.25">
      <c r="A1738" s="2">
        <v>44813</v>
      </c>
      <c r="B1738" s="1" t="s">
        <v>3</v>
      </c>
      <c r="C1738" s="1" t="s">
        <v>67</v>
      </c>
      <c r="D1738" s="1" t="s">
        <v>20</v>
      </c>
      <c r="E1738">
        <v>380</v>
      </c>
      <c r="F1738" s="1">
        <f>VLOOKUP(jablka[[#This Row],[Nazwa]],cennik[],2,0) * jablka[[#This Row],[sprzedaż]]</f>
        <v>1216</v>
      </c>
    </row>
    <row r="1739" spans="1:6" x14ac:dyDescent="0.25">
      <c r="A1739" s="2">
        <v>44813</v>
      </c>
      <c r="B1739" s="1" t="s">
        <v>14</v>
      </c>
      <c r="C1739" s="1" t="s">
        <v>67</v>
      </c>
      <c r="D1739" s="1" t="s">
        <v>51</v>
      </c>
      <c r="E1739">
        <v>481</v>
      </c>
      <c r="F1739" s="1">
        <f>VLOOKUP(jablka[[#This Row],[Nazwa]],cennik[],2,0) * jablka[[#This Row],[sprzedaż]]</f>
        <v>1683.5</v>
      </c>
    </row>
    <row r="1740" spans="1:6" x14ac:dyDescent="0.25">
      <c r="A1740" s="2">
        <v>44814</v>
      </c>
      <c r="B1740" s="1" t="s">
        <v>14</v>
      </c>
      <c r="C1740" s="1" t="s">
        <v>67</v>
      </c>
      <c r="D1740" s="1" t="s">
        <v>66</v>
      </c>
      <c r="E1740">
        <v>161</v>
      </c>
      <c r="F1740" s="1">
        <f>VLOOKUP(jablka[[#This Row],[Nazwa]],cennik[],2,0) * jablka[[#This Row],[sprzedaż]]</f>
        <v>563.5</v>
      </c>
    </row>
    <row r="1741" spans="1:6" x14ac:dyDescent="0.25">
      <c r="A1741" s="2">
        <v>44814</v>
      </c>
      <c r="B1741" s="1" t="s">
        <v>14</v>
      </c>
      <c r="C1741" s="1" t="s">
        <v>67</v>
      </c>
      <c r="D1741" s="1" t="s">
        <v>50</v>
      </c>
      <c r="E1741">
        <v>410</v>
      </c>
      <c r="F1741" s="1">
        <f>VLOOKUP(jablka[[#This Row],[Nazwa]],cennik[],2,0) * jablka[[#This Row],[sprzedaż]]</f>
        <v>1435</v>
      </c>
    </row>
    <row r="1742" spans="1:6" x14ac:dyDescent="0.25">
      <c r="A1742" s="2">
        <v>44814</v>
      </c>
      <c r="B1742" s="1" t="s">
        <v>9</v>
      </c>
      <c r="C1742" s="1" t="s">
        <v>67</v>
      </c>
      <c r="D1742" s="1" t="s">
        <v>18</v>
      </c>
      <c r="E1742">
        <v>108</v>
      </c>
      <c r="F1742" s="1">
        <f>VLOOKUP(jablka[[#This Row],[Nazwa]],cennik[],2,0) * jablka[[#This Row],[sprzedaż]]</f>
        <v>270</v>
      </c>
    </row>
    <row r="1743" spans="1:6" x14ac:dyDescent="0.25">
      <c r="A1743" s="2">
        <v>44814</v>
      </c>
      <c r="B1743" s="1" t="s">
        <v>14</v>
      </c>
      <c r="C1743" s="1" t="s">
        <v>67</v>
      </c>
      <c r="D1743" s="1" t="s">
        <v>41</v>
      </c>
      <c r="E1743">
        <v>458</v>
      </c>
      <c r="F1743" s="1">
        <f>VLOOKUP(jablka[[#This Row],[Nazwa]],cennik[],2,0) * jablka[[#This Row],[sprzedaż]]</f>
        <v>1603</v>
      </c>
    </row>
    <row r="1744" spans="1:6" x14ac:dyDescent="0.25">
      <c r="A1744" s="2">
        <v>44814</v>
      </c>
      <c r="B1744" s="1" t="s">
        <v>1</v>
      </c>
      <c r="C1744" s="1" t="s">
        <v>67</v>
      </c>
      <c r="D1744" s="1" t="s">
        <v>29</v>
      </c>
      <c r="E1744">
        <v>129</v>
      </c>
      <c r="F1744" s="1">
        <f>VLOOKUP(jablka[[#This Row],[Nazwa]],cennik[],2,0) * jablka[[#This Row],[sprzedaż]]</f>
        <v>412.8</v>
      </c>
    </row>
    <row r="1745" spans="1:6" x14ac:dyDescent="0.25">
      <c r="A1745" s="2">
        <v>44816</v>
      </c>
      <c r="B1745" s="1" t="s">
        <v>1</v>
      </c>
      <c r="C1745" s="1" t="s">
        <v>67</v>
      </c>
      <c r="D1745" s="1" t="s">
        <v>24</v>
      </c>
      <c r="E1745">
        <v>227</v>
      </c>
      <c r="F1745" s="1">
        <f>VLOOKUP(jablka[[#This Row],[Nazwa]],cennik[],2,0) * jablka[[#This Row],[sprzedaż]]</f>
        <v>726.40000000000009</v>
      </c>
    </row>
    <row r="1746" spans="1:6" x14ac:dyDescent="0.25">
      <c r="A1746" s="2">
        <v>44816</v>
      </c>
      <c r="B1746" s="1" t="s">
        <v>9</v>
      </c>
      <c r="C1746" s="1" t="s">
        <v>67</v>
      </c>
      <c r="D1746" s="1" t="s">
        <v>49</v>
      </c>
      <c r="E1746">
        <v>370</v>
      </c>
      <c r="F1746" s="1">
        <f>VLOOKUP(jablka[[#This Row],[Nazwa]],cennik[],2,0) * jablka[[#This Row],[sprzedaż]]</f>
        <v>925</v>
      </c>
    </row>
    <row r="1747" spans="1:6" x14ac:dyDescent="0.25">
      <c r="A1747" s="2">
        <v>44816</v>
      </c>
      <c r="B1747" s="1" t="s">
        <v>1</v>
      </c>
      <c r="C1747" s="1" t="s">
        <v>67</v>
      </c>
      <c r="D1747" s="1" t="s">
        <v>33</v>
      </c>
      <c r="E1747">
        <v>18</v>
      </c>
      <c r="F1747" s="1">
        <f>VLOOKUP(jablka[[#This Row],[Nazwa]],cennik[],2,0) * jablka[[#This Row],[sprzedaż]]</f>
        <v>57.6</v>
      </c>
    </row>
    <row r="1748" spans="1:6" x14ac:dyDescent="0.25">
      <c r="A1748" s="2">
        <v>44816</v>
      </c>
      <c r="B1748" s="1" t="s">
        <v>14</v>
      </c>
      <c r="C1748" s="1" t="s">
        <v>67</v>
      </c>
      <c r="D1748" s="1" t="s">
        <v>56</v>
      </c>
      <c r="E1748">
        <v>398</v>
      </c>
      <c r="F1748" s="1">
        <f>VLOOKUP(jablka[[#This Row],[Nazwa]],cennik[],2,0) * jablka[[#This Row],[sprzedaż]]</f>
        <v>1393</v>
      </c>
    </row>
    <row r="1749" spans="1:6" x14ac:dyDescent="0.25">
      <c r="A1749" s="2">
        <v>44816</v>
      </c>
      <c r="B1749" s="1" t="s">
        <v>14</v>
      </c>
      <c r="C1749" s="1" t="s">
        <v>67</v>
      </c>
      <c r="D1749" s="1" t="s">
        <v>22</v>
      </c>
      <c r="E1749">
        <v>401</v>
      </c>
      <c r="F1749" s="1">
        <f>VLOOKUP(jablka[[#This Row],[Nazwa]],cennik[],2,0) * jablka[[#This Row],[sprzedaż]]</f>
        <v>1403.5</v>
      </c>
    </row>
    <row r="1750" spans="1:6" x14ac:dyDescent="0.25">
      <c r="A1750" s="2">
        <v>44816</v>
      </c>
      <c r="B1750" s="1" t="s">
        <v>3</v>
      </c>
      <c r="C1750" s="1" t="s">
        <v>67</v>
      </c>
      <c r="D1750" s="1" t="s">
        <v>33</v>
      </c>
      <c r="E1750">
        <v>443</v>
      </c>
      <c r="F1750" s="1">
        <f>VLOOKUP(jablka[[#This Row],[Nazwa]],cennik[],2,0) * jablka[[#This Row],[sprzedaż]]</f>
        <v>1417.6000000000001</v>
      </c>
    </row>
    <row r="1751" spans="1:6" x14ac:dyDescent="0.25">
      <c r="A1751" s="2">
        <v>44816</v>
      </c>
      <c r="B1751" s="1" t="s">
        <v>14</v>
      </c>
      <c r="C1751" s="1" t="s">
        <v>67</v>
      </c>
      <c r="D1751" s="1" t="s">
        <v>59</v>
      </c>
      <c r="E1751">
        <v>29</v>
      </c>
      <c r="F1751" s="1">
        <f>VLOOKUP(jablka[[#This Row],[Nazwa]],cennik[],2,0) * jablka[[#This Row],[sprzedaż]]</f>
        <v>101.5</v>
      </c>
    </row>
    <row r="1752" spans="1:6" x14ac:dyDescent="0.25">
      <c r="A1752" s="2">
        <v>44816</v>
      </c>
      <c r="B1752" s="1" t="s">
        <v>14</v>
      </c>
      <c r="C1752" s="1" t="s">
        <v>67</v>
      </c>
      <c r="D1752" s="1" t="s">
        <v>51</v>
      </c>
      <c r="E1752">
        <v>433</v>
      </c>
      <c r="F1752" s="1">
        <f>VLOOKUP(jablka[[#This Row],[Nazwa]],cennik[],2,0) * jablka[[#This Row],[sprzedaż]]</f>
        <v>1515.5</v>
      </c>
    </row>
    <row r="1753" spans="1:6" x14ac:dyDescent="0.25">
      <c r="A1753" s="2">
        <v>44816</v>
      </c>
      <c r="B1753" s="1" t="s">
        <v>3</v>
      </c>
      <c r="C1753" s="1" t="s">
        <v>67</v>
      </c>
      <c r="D1753" s="1" t="s">
        <v>60</v>
      </c>
      <c r="E1753">
        <v>80</v>
      </c>
      <c r="F1753" s="1">
        <f>VLOOKUP(jablka[[#This Row],[Nazwa]],cennik[],2,0) * jablka[[#This Row],[sprzedaż]]</f>
        <v>256</v>
      </c>
    </row>
    <row r="1754" spans="1:6" x14ac:dyDescent="0.25">
      <c r="A1754" s="2">
        <v>44816</v>
      </c>
      <c r="B1754" s="1" t="s">
        <v>3</v>
      </c>
      <c r="C1754" s="1" t="s">
        <v>67</v>
      </c>
      <c r="D1754" s="1" t="s">
        <v>33</v>
      </c>
      <c r="E1754">
        <v>83</v>
      </c>
      <c r="F1754" s="1">
        <f>VLOOKUP(jablka[[#This Row],[Nazwa]],cennik[],2,0) * jablka[[#This Row],[sprzedaż]]</f>
        <v>265.60000000000002</v>
      </c>
    </row>
    <row r="1755" spans="1:6" x14ac:dyDescent="0.25">
      <c r="A1755" s="2">
        <v>44817</v>
      </c>
      <c r="B1755" s="1" t="s">
        <v>14</v>
      </c>
      <c r="C1755" s="1" t="s">
        <v>67</v>
      </c>
      <c r="D1755" s="1" t="s">
        <v>28</v>
      </c>
      <c r="E1755">
        <v>420</v>
      </c>
      <c r="F1755" s="1">
        <f>VLOOKUP(jablka[[#This Row],[Nazwa]],cennik[],2,0) * jablka[[#This Row],[sprzedaż]]</f>
        <v>1470</v>
      </c>
    </row>
    <row r="1756" spans="1:6" x14ac:dyDescent="0.25">
      <c r="A1756" s="2">
        <v>44817</v>
      </c>
      <c r="B1756" s="1" t="s">
        <v>14</v>
      </c>
      <c r="C1756" s="1" t="s">
        <v>67</v>
      </c>
      <c r="D1756" s="1" t="s">
        <v>17</v>
      </c>
      <c r="E1756">
        <v>404</v>
      </c>
      <c r="F1756" s="1">
        <f>VLOOKUP(jablka[[#This Row],[Nazwa]],cennik[],2,0) * jablka[[#This Row],[sprzedaż]]</f>
        <v>1414</v>
      </c>
    </row>
    <row r="1757" spans="1:6" x14ac:dyDescent="0.25">
      <c r="A1757" s="2">
        <v>44817</v>
      </c>
      <c r="B1757" s="1" t="s">
        <v>14</v>
      </c>
      <c r="C1757" s="1" t="s">
        <v>67</v>
      </c>
      <c r="D1757" s="1" t="s">
        <v>55</v>
      </c>
      <c r="E1757">
        <v>401</v>
      </c>
      <c r="F1757" s="1">
        <f>VLOOKUP(jablka[[#This Row],[Nazwa]],cennik[],2,0) * jablka[[#This Row],[sprzedaż]]</f>
        <v>1403.5</v>
      </c>
    </row>
    <row r="1758" spans="1:6" x14ac:dyDescent="0.25">
      <c r="A1758" s="2">
        <v>44817</v>
      </c>
      <c r="B1758" s="1" t="s">
        <v>1</v>
      </c>
      <c r="C1758" s="1" t="s">
        <v>67</v>
      </c>
      <c r="D1758" s="1" t="s">
        <v>39</v>
      </c>
      <c r="E1758">
        <v>423</v>
      </c>
      <c r="F1758" s="1">
        <f>VLOOKUP(jablka[[#This Row],[Nazwa]],cennik[],2,0) * jablka[[#This Row],[sprzedaż]]</f>
        <v>1353.6000000000001</v>
      </c>
    </row>
    <row r="1759" spans="1:6" x14ac:dyDescent="0.25">
      <c r="A1759" s="2">
        <v>44817</v>
      </c>
      <c r="B1759" s="1" t="s">
        <v>9</v>
      </c>
      <c r="C1759" s="1" t="s">
        <v>67</v>
      </c>
      <c r="D1759" s="1" t="s">
        <v>59</v>
      </c>
      <c r="E1759">
        <v>201</v>
      </c>
      <c r="F1759" s="1">
        <f>VLOOKUP(jablka[[#This Row],[Nazwa]],cennik[],2,0) * jablka[[#This Row],[sprzedaż]]</f>
        <v>502.5</v>
      </c>
    </row>
    <row r="1760" spans="1:6" x14ac:dyDescent="0.25">
      <c r="A1760" s="2">
        <v>44818</v>
      </c>
      <c r="B1760" s="1" t="s">
        <v>3</v>
      </c>
      <c r="C1760" s="1" t="s">
        <v>67</v>
      </c>
      <c r="D1760" s="1" t="s">
        <v>36</v>
      </c>
      <c r="E1760">
        <v>393</v>
      </c>
      <c r="F1760" s="1">
        <f>VLOOKUP(jablka[[#This Row],[Nazwa]],cennik[],2,0) * jablka[[#This Row],[sprzedaż]]</f>
        <v>1257.6000000000001</v>
      </c>
    </row>
    <row r="1761" spans="1:6" x14ac:dyDescent="0.25">
      <c r="A1761" s="2">
        <v>44818</v>
      </c>
      <c r="B1761" s="1" t="s">
        <v>1</v>
      </c>
      <c r="C1761" s="1" t="s">
        <v>67</v>
      </c>
      <c r="D1761" s="1" t="s">
        <v>64</v>
      </c>
      <c r="E1761">
        <v>455</v>
      </c>
      <c r="F1761" s="1">
        <f>VLOOKUP(jablka[[#This Row],[Nazwa]],cennik[],2,0) * jablka[[#This Row],[sprzedaż]]</f>
        <v>1456</v>
      </c>
    </row>
    <row r="1762" spans="1:6" x14ac:dyDescent="0.25">
      <c r="A1762" s="2">
        <v>44819</v>
      </c>
      <c r="B1762" s="1" t="s">
        <v>9</v>
      </c>
      <c r="C1762" s="1" t="s">
        <v>67</v>
      </c>
      <c r="D1762" s="1" t="s">
        <v>23</v>
      </c>
      <c r="E1762">
        <v>345</v>
      </c>
      <c r="F1762" s="1">
        <f>VLOOKUP(jablka[[#This Row],[Nazwa]],cennik[],2,0) * jablka[[#This Row],[sprzedaż]]</f>
        <v>862.5</v>
      </c>
    </row>
    <row r="1763" spans="1:6" x14ac:dyDescent="0.25">
      <c r="A1763" s="2">
        <v>44819</v>
      </c>
      <c r="B1763" s="1" t="s">
        <v>9</v>
      </c>
      <c r="C1763" s="1" t="s">
        <v>67</v>
      </c>
      <c r="D1763" s="1" t="s">
        <v>45</v>
      </c>
      <c r="E1763">
        <v>260</v>
      </c>
      <c r="F1763" s="1">
        <f>VLOOKUP(jablka[[#This Row],[Nazwa]],cennik[],2,0) * jablka[[#This Row],[sprzedaż]]</f>
        <v>650</v>
      </c>
    </row>
    <row r="1764" spans="1:6" x14ac:dyDescent="0.25">
      <c r="A1764" s="2">
        <v>44819</v>
      </c>
      <c r="B1764" s="1" t="s">
        <v>11</v>
      </c>
      <c r="C1764" s="1" t="s">
        <v>67</v>
      </c>
      <c r="D1764" s="1" t="s">
        <v>26</v>
      </c>
      <c r="E1764">
        <v>203</v>
      </c>
      <c r="F1764" s="1">
        <f>VLOOKUP(jablka[[#This Row],[Nazwa]],cennik[],2,0) * jablka[[#This Row],[sprzedaż]]</f>
        <v>507.5</v>
      </c>
    </row>
    <row r="1765" spans="1:6" x14ac:dyDescent="0.25">
      <c r="A1765" s="2">
        <v>44819</v>
      </c>
      <c r="B1765" s="1" t="s">
        <v>11</v>
      </c>
      <c r="C1765" s="1" t="s">
        <v>67</v>
      </c>
      <c r="D1765" s="1" t="s">
        <v>44</v>
      </c>
      <c r="E1765">
        <v>334</v>
      </c>
      <c r="F1765" s="1">
        <f>VLOOKUP(jablka[[#This Row],[Nazwa]],cennik[],2,0) * jablka[[#This Row],[sprzedaż]]</f>
        <v>835</v>
      </c>
    </row>
    <row r="1766" spans="1:6" x14ac:dyDescent="0.25">
      <c r="A1766" s="2">
        <v>44819</v>
      </c>
      <c r="B1766" s="1" t="s">
        <v>11</v>
      </c>
      <c r="C1766" s="1" t="s">
        <v>67</v>
      </c>
      <c r="D1766" s="1" t="s">
        <v>21</v>
      </c>
      <c r="E1766">
        <v>284</v>
      </c>
      <c r="F1766" s="1">
        <f>VLOOKUP(jablka[[#This Row],[Nazwa]],cennik[],2,0) * jablka[[#This Row],[sprzedaż]]</f>
        <v>710</v>
      </c>
    </row>
    <row r="1767" spans="1:6" x14ac:dyDescent="0.25">
      <c r="A1767" s="2">
        <v>44819</v>
      </c>
      <c r="B1767" s="1" t="s">
        <v>14</v>
      </c>
      <c r="C1767" s="1" t="s">
        <v>67</v>
      </c>
      <c r="D1767" s="1" t="s">
        <v>65</v>
      </c>
      <c r="E1767">
        <v>487</v>
      </c>
      <c r="F1767" s="1">
        <f>VLOOKUP(jablka[[#This Row],[Nazwa]],cennik[],2,0) * jablka[[#This Row],[sprzedaż]]</f>
        <v>1704.5</v>
      </c>
    </row>
    <row r="1768" spans="1:6" x14ac:dyDescent="0.25">
      <c r="A1768" s="2">
        <v>44819</v>
      </c>
      <c r="B1768" s="1" t="s">
        <v>3</v>
      </c>
      <c r="C1768" s="1" t="s">
        <v>67</v>
      </c>
      <c r="D1768" s="1" t="s">
        <v>44</v>
      </c>
      <c r="E1768">
        <v>138</v>
      </c>
      <c r="F1768" s="1">
        <f>VLOOKUP(jablka[[#This Row],[Nazwa]],cennik[],2,0) * jablka[[#This Row],[sprzedaż]]</f>
        <v>441.6</v>
      </c>
    </row>
    <row r="1769" spans="1:6" x14ac:dyDescent="0.25">
      <c r="A1769" s="2">
        <v>44819</v>
      </c>
      <c r="B1769" s="1" t="s">
        <v>11</v>
      </c>
      <c r="C1769" s="1" t="s">
        <v>67</v>
      </c>
      <c r="D1769" s="1" t="s">
        <v>46</v>
      </c>
      <c r="E1769">
        <v>196</v>
      </c>
      <c r="F1769" s="1">
        <f>VLOOKUP(jablka[[#This Row],[Nazwa]],cennik[],2,0) * jablka[[#This Row],[sprzedaż]]</f>
        <v>490</v>
      </c>
    </row>
    <row r="1770" spans="1:6" x14ac:dyDescent="0.25">
      <c r="A1770" s="2">
        <v>44820</v>
      </c>
      <c r="B1770" s="1" t="s">
        <v>3</v>
      </c>
      <c r="C1770" s="1" t="s">
        <v>67</v>
      </c>
      <c r="D1770" s="1" t="s">
        <v>42</v>
      </c>
      <c r="E1770">
        <v>355</v>
      </c>
      <c r="F1770" s="1">
        <f>VLOOKUP(jablka[[#This Row],[Nazwa]],cennik[],2,0) * jablka[[#This Row],[sprzedaż]]</f>
        <v>1136</v>
      </c>
    </row>
    <row r="1771" spans="1:6" x14ac:dyDescent="0.25">
      <c r="A1771" s="2">
        <v>44820</v>
      </c>
      <c r="B1771" s="1" t="s">
        <v>3</v>
      </c>
      <c r="C1771" s="1" t="s">
        <v>67</v>
      </c>
      <c r="D1771" s="1" t="s">
        <v>40</v>
      </c>
      <c r="E1771">
        <v>348</v>
      </c>
      <c r="F1771" s="1">
        <f>VLOOKUP(jablka[[#This Row],[Nazwa]],cennik[],2,0) * jablka[[#This Row],[sprzedaż]]</f>
        <v>1113.6000000000001</v>
      </c>
    </row>
    <row r="1772" spans="1:6" x14ac:dyDescent="0.25">
      <c r="A1772" s="2">
        <v>44820</v>
      </c>
      <c r="B1772" s="1" t="s">
        <v>14</v>
      </c>
      <c r="C1772" s="1" t="s">
        <v>67</v>
      </c>
      <c r="D1772" s="1" t="s">
        <v>51</v>
      </c>
      <c r="E1772">
        <v>15</v>
      </c>
      <c r="F1772" s="1">
        <f>VLOOKUP(jablka[[#This Row],[Nazwa]],cennik[],2,0) * jablka[[#This Row],[sprzedaż]]</f>
        <v>52.5</v>
      </c>
    </row>
    <row r="1773" spans="1:6" x14ac:dyDescent="0.25">
      <c r="A1773" s="2">
        <v>44820</v>
      </c>
      <c r="B1773" s="1" t="s">
        <v>1</v>
      </c>
      <c r="C1773" s="1" t="s">
        <v>67</v>
      </c>
      <c r="D1773" s="1" t="s">
        <v>55</v>
      </c>
      <c r="E1773">
        <v>475</v>
      </c>
      <c r="F1773" s="1">
        <f>VLOOKUP(jablka[[#This Row],[Nazwa]],cennik[],2,0) * jablka[[#This Row],[sprzedaż]]</f>
        <v>1520</v>
      </c>
    </row>
    <row r="1774" spans="1:6" x14ac:dyDescent="0.25">
      <c r="A1774" s="2">
        <v>44820</v>
      </c>
      <c r="B1774" s="1" t="s">
        <v>14</v>
      </c>
      <c r="C1774" s="1" t="s">
        <v>67</v>
      </c>
      <c r="D1774" s="1" t="s">
        <v>28</v>
      </c>
      <c r="E1774">
        <v>234</v>
      </c>
      <c r="F1774" s="1">
        <f>VLOOKUP(jablka[[#This Row],[Nazwa]],cennik[],2,0) * jablka[[#This Row],[sprzedaż]]</f>
        <v>819</v>
      </c>
    </row>
    <row r="1775" spans="1:6" x14ac:dyDescent="0.25">
      <c r="A1775" s="2">
        <v>44820</v>
      </c>
      <c r="B1775" s="1" t="s">
        <v>14</v>
      </c>
      <c r="C1775" s="1" t="s">
        <v>67</v>
      </c>
      <c r="D1775" s="1" t="s">
        <v>56</v>
      </c>
      <c r="E1775">
        <v>198</v>
      </c>
      <c r="F1775" s="1">
        <f>VLOOKUP(jablka[[#This Row],[Nazwa]],cennik[],2,0) * jablka[[#This Row],[sprzedaż]]</f>
        <v>693</v>
      </c>
    </row>
    <row r="1776" spans="1:6" x14ac:dyDescent="0.25">
      <c r="A1776" s="2">
        <v>44821</v>
      </c>
      <c r="B1776" s="1" t="s">
        <v>14</v>
      </c>
      <c r="C1776" s="1" t="s">
        <v>67</v>
      </c>
      <c r="D1776" s="1" t="s">
        <v>33</v>
      </c>
      <c r="E1776">
        <v>459</v>
      </c>
      <c r="F1776" s="1">
        <f>VLOOKUP(jablka[[#This Row],[Nazwa]],cennik[],2,0) * jablka[[#This Row],[sprzedaż]]</f>
        <v>1606.5</v>
      </c>
    </row>
    <row r="1777" spans="1:6" x14ac:dyDescent="0.25">
      <c r="A1777" s="2">
        <v>44821</v>
      </c>
      <c r="B1777" s="1" t="s">
        <v>14</v>
      </c>
      <c r="C1777" s="1" t="s">
        <v>67</v>
      </c>
      <c r="D1777" s="1" t="s">
        <v>23</v>
      </c>
      <c r="E1777">
        <v>299</v>
      </c>
      <c r="F1777" s="1">
        <f>VLOOKUP(jablka[[#This Row],[Nazwa]],cennik[],2,0) * jablka[[#This Row],[sprzedaż]]</f>
        <v>1046.5</v>
      </c>
    </row>
    <row r="1778" spans="1:6" x14ac:dyDescent="0.25">
      <c r="A1778" s="2">
        <v>44821</v>
      </c>
      <c r="B1778" s="1" t="s">
        <v>11</v>
      </c>
      <c r="C1778" s="1" t="s">
        <v>67</v>
      </c>
      <c r="D1778" s="1" t="s">
        <v>42</v>
      </c>
      <c r="E1778">
        <v>138</v>
      </c>
      <c r="F1778" s="1">
        <f>VLOOKUP(jablka[[#This Row],[Nazwa]],cennik[],2,0) * jablka[[#This Row],[sprzedaż]]</f>
        <v>345</v>
      </c>
    </row>
    <row r="1779" spans="1:6" x14ac:dyDescent="0.25">
      <c r="A1779" s="2">
        <v>44821</v>
      </c>
      <c r="B1779" s="1" t="s">
        <v>9</v>
      </c>
      <c r="C1779" s="1" t="s">
        <v>67</v>
      </c>
      <c r="D1779" s="1" t="s">
        <v>25</v>
      </c>
      <c r="E1779">
        <v>173</v>
      </c>
      <c r="F1779" s="1">
        <f>VLOOKUP(jablka[[#This Row],[Nazwa]],cennik[],2,0) * jablka[[#This Row],[sprzedaż]]</f>
        <v>432.5</v>
      </c>
    </row>
    <row r="1780" spans="1:6" x14ac:dyDescent="0.25">
      <c r="A1780" s="2">
        <v>44821</v>
      </c>
      <c r="B1780" s="1" t="s">
        <v>14</v>
      </c>
      <c r="C1780" s="1" t="s">
        <v>67</v>
      </c>
      <c r="D1780" s="1" t="s">
        <v>23</v>
      </c>
      <c r="E1780">
        <v>126</v>
      </c>
      <c r="F1780" s="1">
        <f>VLOOKUP(jablka[[#This Row],[Nazwa]],cennik[],2,0) * jablka[[#This Row],[sprzedaż]]</f>
        <v>441</v>
      </c>
    </row>
    <row r="1781" spans="1:6" x14ac:dyDescent="0.25">
      <c r="A1781" s="2">
        <v>44821</v>
      </c>
      <c r="B1781" s="1" t="s">
        <v>14</v>
      </c>
      <c r="C1781" s="1" t="s">
        <v>67</v>
      </c>
      <c r="D1781" s="1" t="s">
        <v>35</v>
      </c>
      <c r="E1781">
        <v>88</v>
      </c>
      <c r="F1781" s="1">
        <f>VLOOKUP(jablka[[#This Row],[Nazwa]],cennik[],2,0) * jablka[[#This Row],[sprzedaż]]</f>
        <v>308</v>
      </c>
    </row>
    <row r="1782" spans="1:6" x14ac:dyDescent="0.25">
      <c r="A1782" s="2">
        <v>44821</v>
      </c>
      <c r="B1782" s="1" t="s">
        <v>11</v>
      </c>
      <c r="C1782" s="1" t="s">
        <v>67</v>
      </c>
      <c r="D1782" s="1" t="s">
        <v>55</v>
      </c>
      <c r="E1782">
        <v>129</v>
      </c>
      <c r="F1782" s="1">
        <f>VLOOKUP(jablka[[#This Row],[Nazwa]],cennik[],2,0) * jablka[[#This Row],[sprzedaż]]</f>
        <v>322.5</v>
      </c>
    </row>
    <row r="1783" spans="1:6" x14ac:dyDescent="0.25">
      <c r="A1783" s="2">
        <v>44821</v>
      </c>
      <c r="B1783" s="1" t="s">
        <v>3</v>
      </c>
      <c r="C1783" s="1" t="s">
        <v>67</v>
      </c>
      <c r="D1783" s="1" t="s">
        <v>56</v>
      </c>
      <c r="E1783">
        <v>325</v>
      </c>
      <c r="F1783" s="1">
        <f>VLOOKUP(jablka[[#This Row],[Nazwa]],cennik[],2,0) * jablka[[#This Row],[sprzedaż]]</f>
        <v>1040</v>
      </c>
    </row>
    <row r="1784" spans="1:6" x14ac:dyDescent="0.25">
      <c r="A1784" s="2">
        <v>44821</v>
      </c>
      <c r="B1784" s="1" t="s">
        <v>14</v>
      </c>
      <c r="C1784" s="1" t="s">
        <v>67</v>
      </c>
      <c r="D1784" s="1" t="s">
        <v>51</v>
      </c>
      <c r="E1784">
        <v>324</v>
      </c>
      <c r="F1784" s="1">
        <f>VLOOKUP(jablka[[#This Row],[Nazwa]],cennik[],2,0) * jablka[[#This Row],[sprzedaż]]</f>
        <v>1134</v>
      </c>
    </row>
    <row r="1785" spans="1:6" x14ac:dyDescent="0.25">
      <c r="A1785" s="2">
        <v>44821</v>
      </c>
      <c r="B1785" s="1" t="s">
        <v>14</v>
      </c>
      <c r="C1785" s="1" t="s">
        <v>67</v>
      </c>
      <c r="D1785" s="1" t="s">
        <v>51</v>
      </c>
      <c r="E1785">
        <v>497</v>
      </c>
      <c r="F1785" s="1">
        <f>VLOOKUP(jablka[[#This Row],[Nazwa]],cennik[],2,0) * jablka[[#This Row],[sprzedaż]]</f>
        <v>1739.5</v>
      </c>
    </row>
    <row r="1786" spans="1:6" x14ac:dyDescent="0.25">
      <c r="A1786" s="2">
        <v>44823</v>
      </c>
      <c r="B1786" s="1" t="s">
        <v>3</v>
      </c>
      <c r="C1786" s="1" t="s">
        <v>67</v>
      </c>
      <c r="D1786" s="1" t="s">
        <v>60</v>
      </c>
      <c r="E1786">
        <v>62</v>
      </c>
      <c r="F1786" s="1">
        <f>VLOOKUP(jablka[[#This Row],[Nazwa]],cennik[],2,0) * jablka[[#This Row],[sprzedaż]]</f>
        <v>198.4</v>
      </c>
    </row>
    <row r="1787" spans="1:6" x14ac:dyDescent="0.25">
      <c r="A1787" s="2">
        <v>44823</v>
      </c>
      <c r="B1787" s="1" t="s">
        <v>9</v>
      </c>
      <c r="C1787" s="1" t="s">
        <v>67</v>
      </c>
      <c r="D1787" s="1" t="s">
        <v>45</v>
      </c>
      <c r="E1787">
        <v>164</v>
      </c>
      <c r="F1787" s="1">
        <f>VLOOKUP(jablka[[#This Row],[Nazwa]],cennik[],2,0) * jablka[[#This Row],[sprzedaż]]</f>
        <v>410</v>
      </c>
    </row>
    <row r="1788" spans="1:6" x14ac:dyDescent="0.25">
      <c r="A1788" s="2">
        <v>44823</v>
      </c>
      <c r="B1788" s="1" t="s">
        <v>1</v>
      </c>
      <c r="C1788" s="1" t="s">
        <v>67</v>
      </c>
      <c r="D1788" s="1" t="s">
        <v>34</v>
      </c>
      <c r="E1788">
        <v>101</v>
      </c>
      <c r="F1788" s="1">
        <f>VLOOKUP(jablka[[#This Row],[Nazwa]],cennik[],2,0) * jablka[[#This Row],[sprzedaż]]</f>
        <v>323.20000000000005</v>
      </c>
    </row>
    <row r="1789" spans="1:6" x14ac:dyDescent="0.25">
      <c r="A1789" s="2">
        <v>44823</v>
      </c>
      <c r="B1789" s="1" t="s">
        <v>9</v>
      </c>
      <c r="C1789" s="1" t="s">
        <v>67</v>
      </c>
      <c r="D1789" s="1" t="s">
        <v>24</v>
      </c>
      <c r="E1789">
        <v>37</v>
      </c>
      <c r="F1789" s="1">
        <f>VLOOKUP(jablka[[#This Row],[Nazwa]],cennik[],2,0) * jablka[[#This Row],[sprzedaż]]</f>
        <v>92.5</v>
      </c>
    </row>
    <row r="1790" spans="1:6" x14ac:dyDescent="0.25">
      <c r="A1790" s="2">
        <v>44823</v>
      </c>
      <c r="B1790" s="1" t="s">
        <v>14</v>
      </c>
      <c r="C1790" s="1" t="s">
        <v>67</v>
      </c>
      <c r="D1790" s="1" t="s">
        <v>56</v>
      </c>
      <c r="E1790">
        <v>200</v>
      </c>
      <c r="F1790" s="1">
        <f>VLOOKUP(jablka[[#This Row],[Nazwa]],cennik[],2,0) * jablka[[#This Row],[sprzedaż]]</f>
        <v>700</v>
      </c>
    </row>
    <row r="1791" spans="1:6" x14ac:dyDescent="0.25">
      <c r="A1791" s="2">
        <v>44823</v>
      </c>
      <c r="B1791" s="1" t="s">
        <v>14</v>
      </c>
      <c r="C1791" s="1" t="s">
        <v>67</v>
      </c>
      <c r="D1791" s="1" t="s">
        <v>23</v>
      </c>
      <c r="E1791">
        <v>303</v>
      </c>
      <c r="F1791" s="1">
        <f>VLOOKUP(jablka[[#This Row],[Nazwa]],cennik[],2,0) * jablka[[#This Row],[sprzedaż]]</f>
        <v>1060.5</v>
      </c>
    </row>
    <row r="1792" spans="1:6" x14ac:dyDescent="0.25">
      <c r="A1792" s="2">
        <v>44823</v>
      </c>
      <c r="B1792" s="1" t="s">
        <v>11</v>
      </c>
      <c r="C1792" s="1" t="s">
        <v>67</v>
      </c>
      <c r="D1792" s="1" t="s">
        <v>26</v>
      </c>
      <c r="E1792">
        <v>325</v>
      </c>
      <c r="F1792" s="1">
        <f>VLOOKUP(jablka[[#This Row],[Nazwa]],cennik[],2,0) * jablka[[#This Row],[sprzedaż]]</f>
        <v>812.5</v>
      </c>
    </row>
    <row r="1793" spans="1:6" x14ac:dyDescent="0.25">
      <c r="A1793" s="2">
        <v>44823</v>
      </c>
      <c r="B1793" s="1" t="s">
        <v>11</v>
      </c>
      <c r="C1793" s="1" t="s">
        <v>67</v>
      </c>
      <c r="D1793" s="1" t="s">
        <v>37</v>
      </c>
      <c r="E1793">
        <v>394</v>
      </c>
      <c r="F1793" s="1">
        <f>VLOOKUP(jablka[[#This Row],[Nazwa]],cennik[],2,0) * jablka[[#This Row],[sprzedaż]]</f>
        <v>985</v>
      </c>
    </row>
    <row r="1794" spans="1:6" x14ac:dyDescent="0.25">
      <c r="A1794" s="2">
        <v>44823</v>
      </c>
      <c r="B1794" s="1" t="s">
        <v>9</v>
      </c>
      <c r="C1794" s="1" t="s">
        <v>67</v>
      </c>
      <c r="D1794" s="1" t="s">
        <v>56</v>
      </c>
      <c r="E1794">
        <v>353</v>
      </c>
      <c r="F1794" s="1">
        <f>VLOOKUP(jablka[[#This Row],[Nazwa]],cennik[],2,0) * jablka[[#This Row],[sprzedaż]]</f>
        <v>882.5</v>
      </c>
    </row>
    <row r="1795" spans="1:6" x14ac:dyDescent="0.25">
      <c r="A1795" s="2">
        <v>44823</v>
      </c>
      <c r="B1795" s="1" t="s">
        <v>14</v>
      </c>
      <c r="C1795" s="1" t="s">
        <v>67</v>
      </c>
      <c r="D1795" s="1" t="s">
        <v>20</v>
      </c>
      <c r="E1795">
        <v>432</v>
      </c>
      <c r="F1795" s="1">
        <f>VLOOKUP(jablka[[#This Row],[Nazwa]],cennik[],2,0) * jablka[[#This Row],[sprzedaż]]</f>
        <v>1512</v>
      </c>
    </row>
    <row r="1796" spans="1:6" x14ac:dyDescent="0.25">
      <c r="A1796" s="2">
        <v>44823</v>
      </c>
      <c r="B1796" s="1" t="s">
        <v>3</v>
      </c>
      <c r="C1796" s="1" t="s">
        <v>67</v>
      </c>
      <c r="D1796" s="1" t="s">
        <v>66</v>
      </c>
      <c r="E1796">
        <v>306</v>
      </c>
      <c r="F1796" s="1">
        <f>VLOOKUP(jablka[[#This Row],[Nazwa]],cennik[],2,0) * jablka[[#This Row],[sprzedaż]]</f>
        <v>979.2</v>
      </c>
    </row>
    <row r="1797" spans="1:6" x14ac:dyDescent="0.25">
      <c r="A1797" s="2">
        <v>44823</v>
      </c>
      <c r="B1797" s="1" t="s">
        <v>14</v>
      </c>
      <c r="C1797" s="1" t="s">
        <v>67</v>
      </c>
      <c r="D1797" s="1" t="s">
        <v>21</v>
      </c>
      <c r="E1797">
        <v>82</v>
      </c>
      <c r="F1797" s="1">
        <f>VLOOKUP(jablka[[#This Row],[Nazwa]],cennik[],2,0) * jablka[[#This Row],[sprzedaż]]</f>
        <v>287</v>
      </c>
    </row>
    <row r="1798" spans="1:6" x14ac:dyDescent="0.25">
      <c r="A1798" s="2">
        <v>44824</v>
      </c>
      <c r="B1798" s="1" t="s">
        <v>11</v>
      </c>
      <c r="C1798" s="1" t="s">
        <v>67</v>
      </c>
      <c r="D1798" s="1" t="s">
        <v>45</v>
      </c>
      <c r="E1798">
        <v>498</v>
      </c>
      <c r="F1798" s="1">
        <f>VLOOKUP(jablka[[#This Row],[Nazwa]],cennik[],2,0) * jablka[[#This Row],[sprzedaż]]</f>
        <v>1245</v>
      </c>
    </row>
    <row r="1799" spans="1:6" x14ac:dyDescent="0.25">
      <c r="A1799" s="2">
        <v>44824</v>
      </c>
      <c r="B1799" s="1" t="s">
        <v>9</v>
      </c>
      <c r="C1799" s="1" t="s">
        <v>67</v>
      </c>
      <c r="D1799" s="1" t="s">
        <v>61</v>
      </c>
      <c r="E1799">
        <v>82</v>
      </c>
      <c r="F1799" s="1">
        <f>VLOOKUP(jablka[[#This Row],[Nazwa]],cennik[],2,0) * jablka[[#This Row],[sprzedaż]]</f>
        <v>205</v>
      </c>
    </row>
    <row r="1800" spans="1:6" x14ac:dyDescent="0.25">
      <c r="A1800" s="2">
        <v>44825</v>
      </c>
      <c r="B1800" s="1" t="s">
        <v>1</v>
      </c>
      <c r="C1800" s="1" t="s">
        <v>67</v>
      </c>
      <c r="D1800" s="1" t="s">
        <v>47</v>
      </c>
      <c r="E1800">
        <v>215</v>
      </c>
      <c r="F1800" s="1">
        <f>VLOOKUP(jablka[[#This Row],[Nazwa]],cennik[],2,0) * jablka[[#This Row],[sprzedaż]]</f>
        <v>688</v>
      </c>
    </row>
    <row r="1801" spans="1:6" x14ac:dyDescent="0.25">
      <c r="A1801" s="2">
        <v>44825</v>
      </c>
      <c r="B1801" s="1" t="s">
        <v>9</v>
      </c>
      <c r="C1801" s="1" t="s">
        <v>67</v>
      </c>
      <c r="D1801" s="1" t="s">
        <v>55</v>
      </c>
      <c r="E1801">
        <v>107</v>
      </c>
      <c r="F1801" s="1">
        <f>VLOOKUP(jablka[[#This Row],[Nazwa]],cennik[],2,0) * jablka[[#This Row],[sprzedaż]]</f>
        <v>267.5</v>
      </c>
    </row>
    <row r="1802" spans="1:6" x14ac:dyDescent="0.25">
      <c r="A1802" s="2">
        <v>44825</v>
      </c>
      <c r="B1802" s="1" t="s">
        <v>9</v>
      </c>
      <c r="C1802" s="1" t="s">
        <v>67</v>
      </c>
      <c r="D1802" s="1" t="s">
        <v>32</v>
      </c>
      <c r="E1802">
        <v>399</v>
      </c>
      <c r="F1802" s="1">
        <f>VLOOKUP(jablka[[#This Row],[Nazwa]],cennik[],2,0) * jablka[[#This Row],[sprzedaż]]</f>
        <v>997.5</v>
      </c>
    </row>
    <row r="1803" spans="1:6" x14ac:dyDescent="0.25">
      <c r="A1803" s="2">
        <v>44825</v>
      </c>
      <c r="B1803" s="1" t="s">
        <v>1</v>
      </c>
      <c r="C1803" s="1" t="s">
        <v>67</v>
      </c>
      <c r="D1803" s="1" t="s">
        <v>45</v>
      </c>
      <c r="E1803">
        <v>307</v>
      </c>
      <c r="F1803" s="1">
        <f>VLOOKUP(jablka[[#This Row],[Nazwa]],cennik[],2,0) * jablka[[#This Row],[sprzedaż]]</f>
        <v>982.40000000000009</v>
      </c>
    </row>
    <row r="1804" spans="1:6" x14ac:dyDescent="0.25">
      <c r="A1804" s="2">
        <v>44825</v>
      </c>
      <c r="B1804" s="1" t="s">
        <v>3</v>
      </c>
      <c r="C1804" s="1" t="s">
        <v>67</v>
      </c>
      <c r="D1804" s="1" t="s">
        <v>57</v>
      </c>
      <c r="E1804">
        <v>211</v>
      </c>
      <c r="F1804" s="1">
        <f>VLOOKUP(jablka[[#This Row],[Nazwa]],cennik[],2,0) * jablka[[#This Row],[sprzedaż]]</f>
        <v>675.2</v>
      </c>
    </row>
    <row r="1805" spans="1:6" x14ac:dyDescent="0.25">
      <c r="A1805" s="2">
        <v>44825</v>
      </c>
      <c r="B1805" s="1" t="s">
        <v>1</v>
      </c>
      <c r="C1805" s="1" t="s">
        <v>67</v>
      </c>
      <c r="D1805" s="1" t="s">
        <v>46</v>
      </c>
      <c r="E1805">
        <v>401</v>
      </c>
      <c r="F1805" s="1">
        <f>VLOOKUP(jablka[[#This Row],[Nazwa]],cennik[],2,0) * jablka[[#This Row],[sprzedaż]]</f>
        <v>1283.2</v>
      </c>
    </row>
    <row r="1806" spans="1:6" x14ac:dyDescent="0.25">
      <c r="A1806" s="2">
        <v>44825</v>
      </c>
      <c r="B1806" s="1" t="s">
        <v>3</v>
      </c>
      <c r="C1806" s="1" t="s">
        <v>67</v>
      </c>
      <c r="D1806" s="1" t="s">
        <v>29</v>
      </c>
      <c r="E1806">
        <v>164</v>
      </c>
      <c r="F1806" s="1">
        <f>VLOOKUP(jablka[[#This Row],[Nazwa]],cennik[],2,0) * jablka[[#This Row],[sprzedaż]]</f>
        <v>524.80000000000007</v>
      </c>
    </row>
    <row r="1807" spans="1:6" x14ac:dyDescent="0.25">
      <c r="A1807" s="2">
        <v>44825</v>
      </c>
      <c r="B1807" s="1" t="s">
        <v>14</v>
      </c>
      <c r="C1807" s="1" t="s">
        <v>67</v>
      </c>
      <c r="D1807" s="1" t="s">
        <v>54</v>
      </c>
      <c r="E1807">
        <v>281</v>
      </c>
      <c r="F1807" s="1">
        <f>VLOOKUP(jablka[[#This Row],[Nazwa]],cennik[],2,0) * jablka[[#This Row],[sprzedaż]]</f>
        <v>983.5</v>
      </c>
    </row>
    <row r="1808" spans="1:6" x14ac:dyDescent="0.25">
      <c r="A1808" s="2">
        <v>44825</v>
      </c>
      <c r="B1808" s="1" t="s">
        <v>14</v>
      </c>
      <c r="C1808" s="1" t="s">
        <v>67</v>
      </c>
      <c r="D1808" s="1" t="s">
        <v>60</v>
      </c>
      <c r="E1808">
        <v>236</v>
      </c>
      <c r="F1808" s="1">
        <f>VLOOKUP(jablka[[#This Row],[Nazwa]],cennik[],2,0) * jablka[[#This Row],[sprzedaż]]</f>
        <v>826</v>
      </c>
    </row>
    <row r="1809" spans="1:6" x14ac:dyDescent="0.25">
      <c r="A1809" s="2">
        <v>44825</v>
      </c>
      <c r="B1809" s="1" t="s">
        <v>9</v>
      </c>
      <c r="C1809" s="1" t="s">
        <v>67</v>
      </c>
      <c r="D1809" s="1" t="s">
        <v>26</v>
      </c>
      <c r="E1809">
        <v>458</v>
      </c>
      <c r="F1809" s="1">
        <f>VLOOKUP(jablka[[#This Row],[Nazwa]],cennik[],2,0) * jablka[[#This Row],[sprzedaż]]</f>
        <v>1145</v>
      </c>
    </row>
    <row r="1810" spans="1:6" x14ac:dyDescent="0.25">
      <c r="A1810" s="2">
        <v>44825</v>
      </c>
      <c r="B1810" s="1" t="s">
        <v>3</v>
      </c>
      <c r="C1810" s="1" t="s">
        <v>67</v>
      </c>
      <c r="D1810" s="1" t="s">
        <v>20</v>
      </c>
      <c r="E1810">
        <v>136</v>
      </c>
      <c r="F1810" s="1">
        <f>VLOOKUP(jablka[[#This Row],[Nazwa]],cennik[],2,0) * jablka[[#This Row],[sprzedaż]]</f>
        <v>435.20000000000005</v>
      </c>
    </row>
    <row r="1811" spans="1:6" x14ac:dyDescent="0.25">
      <c r="A1811" s="2">
        <v>44825</v>
      </c>
      <c r="B1811" s="1" t="s">
        <v>14</v>
      </c>
      <c r="C1811" s="1" t="s">
        <v>67</v>
      </c>
      <c r="D1811" s="1" t="s">
        <v>46</v>
      </c>
      <c r="E1811">
        <v>150</v>
      </c>
      <c r="F1811" s="1">
        <f>VLOOKUP(jablka[[#This Row],[Nazwa]],cennik[],2,0) * jablka[[#This Row],[sprzedaż]]</f>
        <v>525</v>
      </c>
    </row>
    <row r="1812" spans="1:6" x14ac:dyDescent="0.25">
      <c r="A1812" s="2">
        <v>44826</v>
      </c>
      <c r="B1812" s="1" t="s">
        <v>3</v>
      </c>
      <c r="C1812" s="1" t="s">
        <v>67</v>
      </c>
      <c r="D1812" s="1" t="s">
        <v>19</v>
      </c>
      <c r="E1812">
        <v>263</v>
      </c>
      <c r="F1812" s="1">
        <f>VLOOKUP(jablka[[#This Row],[Nazwa]],cennik[],2,0) * jablka[[#This Row],[sprzedaż]]</f>
        <v>841.6</v>
      </c>
    </row>
    <row r="1813" spans="1:6" x14ac:dyDescent="0.25">
      <c r="A1813" s="2">
        <v>44826</v>
      </c>
      <c r="B1813" s="1" t="s">
        <v>3</v>
      </c>
      <c r="C1813" s="1" t="s">
        <v>67</v>
      </c>
      <c r="D1813" s="1" t="s">
        <v>60</v>
      </c>
      <c r="E1813">
        <v>24</v>
      </c>
      <c r="F1813" s="1">
        <f>VLOOKUP(jablka[[#This Row],[Nazwa]],cennik[],2,0) * jablka[[#This Row],[sprzedaż]]</f>
        <v>76.800000000000011</v>
      </c>
    </row>
    <row r="1814" spans="1:6" x14ac:dyDescent="0.25">
      <c r="A1814" s="2">
        <v>44826</v>
      </c>
      <c r="B1814" s="1" t="s">
        <v>1</v>
      </c>
      <c r="C1814" s="1" t="s">
        <v>67</v>
      </c>
      <c r="D1814" s="1" t="s">
        <v>31</v>
      </c>
      <c r="E1814">
        <v>374</v>
      </c>
      <c r="F1814" s="1">
        <f>VLOOKUP(jablka[[#This Row],[Nazwa]],cennik[],2,0) * jablka[[#This Row],[sprzedaż]]</f>
        <v>1196.8</v>
      </c>
    </row>
    <row r="1815" spans="1:6" x14ac:dyDescent="0.25">
      <c r="A1815" s="2">
        <v>44826</v>
      </c>
      <c r="B1815" s="1" t="s">
        <v>1</v>
      </c>
      <c r="C1815" s="1" t="s">
        <v>67</v>
      </c>
      <c r="D1815" s="1" t="s">
        <v>56</v>
      </c>
      <c r="E1815">
        <v>101</v>
      </c>
      <c r="F1815" s="1">
        <f>VLOOKUP(jablka[[#This Row],[Nazwa]],cennik[],2,0) * jablka[[#This Row],[sprzedaż]]</f>
        <v>323.20000000000005</v>
      </c>
    </row>
    <row r="1816" spans="1:6" x14ac:dyDescent="0.25">
      <c r="A1816" s="2">
        <v>44826</v>
      </c>
      <c r="B1816" s="1" t="s">
        <v>1</v>
      </c>
      <c r="C1816" s="1" t="s">
        <v>67</v>
      </c>
      <c r="D1816" s="1" t="s">
        <v>17</v>
      </c>
      <c r="E1816">
        <v>156</v>
      </c>
      <c r="F1816" s="1">
        <f>VLOOKUP(jablka[[#This Row],[Nazwa]],cennik[],2,0) * jablka[[#This Row],[sprzedaż]]</f>
        <v>499.20000000000005</v>
      </c>
    </row>
    <row r="1817" spans="1:6" x14ac:dyDescent="0.25">
      <c r="A1817" s="2">
        <v>44826</v>
      </c>
      <c r="B1817" s="1" t="s">
        <v>14</v>
      </c>
      <c r="C1817" s="1" t="s">
        <v>67</v>
      </c>
      <c r="D1817" s="1" t="s">
        <v>50</v>
      </c>
      <c r="E1817">
        <v>481</v>
      </c>
      <c r="F1817" s="1">
        <f>VLOOKUP(jablka[[#This Row],[Nazwa]],cennik[],2,0) * jablka[[#This Row],[sprzedaż]]</f>
        <v>1683.5</v>
      </c>
    </row>
    <row r="1818" spans="1:6" x14ac:dyDescent="0.25">
      <c r="A1818" s="2">
        <v>44826</v>
      </c>
      <c r="B1818" s="1" t="s">
        <v>14</v>
      </c>
      <c r="C1818" s="1" t="s">
        <v>67</v>
      </c>
      <c r="D1818" s="1" t="s">
        <v>57</v>
      </c>
      <c r="E1818">
        <v>464</v>
      </c>
      <c r="F1818" s="1">
        <f>VLOOKUP(jablka[[#This Row],[Nazwa]],cennik[],2,0) * jablka[[#This Row],[sprzedaż]]</f>
        <v>1624</v>
      </c>
    </row>
    <row r="1819" spans="1:6" x14ac:dyDescent="0.25">
      <c r="A1819" s="2">
        <v>44826</v>
      </c>
      <c r="B1819" s="1" t="s">
        <v>11</v>
      </c>
      <c r="C1819" s="1" t="s">
        <v>67</v>
      </c>
      <c r="D1819" s="1" t="s">
        <v>47</v>
      </c>
      <c r="E1819">
        <v>449</v>
      </c>
      <c r="F1819" s="1">
        <f>VLOOKUP(jablka[[#This Row],[Nazwa]],cennik[],2,0) * jablka[[#This Row],[sprzedaż]]</f>
        <v>1122.5</v>
      </c>
    </row>
    <row r="1820" spans="1:6" x14ac:dyDescent="0.25">
      <c r="A1820" s="2">
        <v>44826</v>
      </c>
      <c r="B1820" s="1" t="s">
        <v>9</v>
      </c>
      <c r="C1820" s="1" t="s">
        <v>67</v>
      </c>
      <c r="D1820" s="1" t="s">
        <v>54</v>
      </c>
      <c r="E1820">
        <v>290</v>
      </c>
      <c r="F1820" s="1">
        <f>VLOOKUP(jablka[[#This Row],[Nazwa]],cennik[],2,0) * jablka[[#This Row],[sprzedaż]]</f>
        <v>725</v>
      </c>
    </row>
    <row r="1821" spans="1:6" x14ac:dyDescent="0.25">
      <c r="A1821" s="2">
        <v>44826</v>
      </c>
      <c r="B1821" s="1" t="s">
        <v>9</v>
      </c>
      <c r="C1821" s="1" t="s">
        <v>67</v>
      </c>
      <c r="D1821" s="1" t="s">
        <v>18</v>
      </c>
      <c r="E1821">
        <v>165</v>
      </c>
      <c r="F1821" s="1">
        <f>VLOOKUP(jablka[[#This Row],[Nazwa]],cennik[],2,0) * jablka[[#This Row],[sprzedaż]]</f>
        <v>412.5</v>
      </c>
    </row>
    <row r="1822" spans="1:6" x14ac:dyDescent="0.25">
      <c r="A1822" s="2">
        <v>44826</v>
      </c>
      <c r="B1822" s="1" t="s">
        <v>14</v>
      </c>
      <c r="C1822" s="1" t="s">
        <v>67</v>
      </c>
      <c r="D1822" s="1" t="s">
        <v>40</v>
      </c>
      <c r="E1822">
        <v>446</v>
      </c>
      <c r="F1822" s="1">
        <f>VLOOKUP(jablka[[#This Row],[Nazwa]],cennik[],2,0) * jablka[[#This Row],[sprzedaż]]</f>
        <v>1561</v>
      </c>
    </row>
    <row r="1823" spans="1:6" x14ac:dyDescent="0.25">
      <c r="A1823" s="2">
        <v>44827</v>
      </c>
      <c r="B1823" s="1" t="s">
        <v>3</v>
      </c>
      <c r="C1823" s="1" t="s">
        <v>67</v>
      </c>
      <c r="D1823" s="1" t="s">
        <v>66</v>
      </c>
      <c r="E1823">
        <v>149</v>
      </c>
      <c r="F1823" s="1">
        <f>VLOOKUP(jablka[[#This Row],[Nazwa]],cennik[],2,0) * jablka[[#This Row],[sprzedaż]]</f>
        <v>476.8</v>
      </c>
    </row>
    <row r="1824" spans="1:6" x14ac:dyDescent="0.25">
      <c r="A1824" s="2">
        <v>44827</v>
      </c>
      <c r="B1824" s="1" t="s">
        <v>14</v>
      </c>
      <c r="C1824" s="1" t="s">
        <v>67</v>
      </c>
      <c r="D1824" s="1" t="s">
        <v>36</v>
      </c>
      <c r="E1824">
        <v>242</v>
      </c>
      <c r="F1824" s="1">
        <f>VLOOKUP(jablka[[#This Row],[Nazwa]],cennik[],2,0) * jablka[[#This Row],[sprzedaż]]</f>
        <v>847</v>
      </c>
    </row>
    <row r="1825" spans="1:6" x14ac:dyDescent="0.25">
      <c r="A1825" s="2">
        <v>44827</v>
      </c>
      <c r="B1825" s="1" t="s">
        <v>3</v>
      </c>
      <c r="C1825" s="1" t="s">
        <v>67</v>
      </c>
      <c r="D1825" s="1" t="s">
        <v>35</v>
      </c>
      <c r="E1825">
        <v>370</v>
      </c>
      <c r="F1825" s="1">
        <f>VLOOKUP(jablka[[#This Row],[Nazwa]],cennik[],2,0) * jablka[[#This Row],[sprzedaż]]</f>
        <v>1184</v>
      </c>
    </row>
    <row r="1826" spans="1:6" x14ac:dyDescent="0.25">
      <c r="A1826" s="2">
        <v>44827</v>
      </c>
      <c r="B1826" s="1" t="s">
        <v>14</v>
      </c>
      <c r="C1826" s="1" t="s">
        <v>67</v>
      </c>
      <c r="D1826" s="1" t="s">
        <v>37</v>
      </c>
      <c r="E1826">
        <v>364</v>
      </c>
      <c r="F1826" s="1">
        <f>VLOOKUP(jablka[[#This Row],[Nazwa]],cennik[],2,0) * jablka[[#This Row],[sprzedaż]]</f>
        <v>1274</v>
      </c>
    </row>
    <row r="1827" spans="1:6" x14ac:dyDescent="0.25">
      <c r="A1827" s="2">
        <v>44827</v>
      </c>
      <c r="B1827" s="1" t="s">
        <v>14</v>
      </c>
      <c r="C1827" s="1" t="s">
        <v>67</v>
      </c>
      <c r="D1827" s="1" t="s">
        <v>58</v>
      </c>
      <c r="E1827">
        <v>56</v>
      </c>
      <c r="F1827" s="1">
        <f>VLOOKUP(jablka[[#This Row],[Nazwa]],cennik[],2,0) * jablka[[#This Row],[sprzedaż]]</f>
        <v>196</v>
      </c>
    </row>
    <row r="1828" spans="1:6" x14ac:dyDescent="0.25">
      <c r="A1828" s="2">
        <v>44827</v>
      </c>
      <c r="B1828" s="1" t="s">
        <v>9</v>
      </c>
      <c r="C1828" s="1" t="s">
        <v>67</v>
      </c>
      <c r="D1828" s="1" t="s">
        <v>60</v>
      </c>
      <c r="E1828">
        <v>294</v>
      </c>
      <c r="F1828" s="1">
        <f>VLOOKUP(jablka[[#This Row],[Nazwa]],cennik[],2,0) * jablka[[#This Row],[sprzedaż]]</f>
        <v>735</v>
      </c>
    </row>
    <row r="1829" spans="1:6" x14ac:dyDescent="0.25">
      <c r="A1829" s="2">
        <v>44827</v>
      </c>
      <c r="B1829" s="1" t="s">
        <v>14</v>
      </c>
      <c r="C1829" s="1" t="s">
        <v>67</v>
      </c>
      <c r="D1829" s="1" t="s">
        <v>19</v>
      </c>
      <c r="E1829">
        <v>305</v>
      </c>
      <c r="F1829" s="1">
        <f>VLOOKUP(jablka[[#This Row],[Nazwa]],cennik[],2,0) * jablka[[#This Row],[sprzedaż]]</f>
        <v>1067.5</v>
      </c>
    </row>
    <row r="1830" spans="1:6" x14ac:dyDescent="0.25">
      <c r="A1830" s="2">
        <v>44827</v>
      </c>
      <c r="B1830" s="1" t="s">
        <v>14</v>
      </c>
      <c r="C1830" s="1" t="s">
        <v>67</v>
      </c>
      <c r="D1830" s="1" t="s">
        <v>21</v>
      </c>
      <c r="E1830">
        <v>333</v>
      </c>
      <c r="F1830" s="1">
        <f>VLOOKUP(jablka[[#This Row],[Nazwa]],cennik[],2,0) * jablka[[#This Row],[sprzedaż]]</f>
        <v>1165.5</v>
      </c>
    </row>
    <row r="1831" spans="1:6" x14ac:dyDescent="0.25">
      <c r="A1831" s="2">
        <v>44827</v>
      </c>
      <c r="B1831" s="1" t="s">
        <v>3</v>
      </c>
      <c r="C1831" s="1" t="s">
        <v>67</v>
      </c>
      <c r="D1831" s="1" t="s">
        <v>46</v>
      </c>
      <c r="E1831">
        <v>198</v>
      </c>
      <c r="F1831" s="1">
        <f>VLOOKUP(jablka[[#This Row],[Nazwa]],cennik[],2,0) * jablka[[#This Row],[sprzedaż]]</f>
        <v>633.6</v>
      </c>
    </row>
    <row r="1832" spans="1:6" x14ac:dyDescent="0.25">
      <c r="A1832" s="2">
        <v>44827</v>
      </c>
      <c r="B1832" s="1" t="s">
        <v>3</v>
      </c>
      <c r="C1832" s="1" t="s">
        <v>67</v>
      </c>
      <c r="D1832" s="1" t="s">
        <v>52</v>
      </c>
      <c r="E1832">
        <v>477</v>
      </c>
      <c r="F1832" s="1">
        <f>VLOOKUP(jablka[[#This Row],[Nazwa]],cennik[],2,0) * jablka[[#This Row],[sprzedaż]]</f>
        <v>1526.4</v>
      </c>
    </row>
    <row r="1833" spans="1:6" x14ac:dyDescent="0.25">
      <c r="A1833" s="2">
        <v>44827</v>
      </c>
      <c r="B1833" s="1" t="s">
        <v>11</v>
      </c>
      <c r="C1833" s="1" t="s">
        <v>67</v>
      </c>
      <c r="D1833" s="1" t="s">
        <v>65</v>
      </c>
      <c r="E1833">
        <v>32</v>
      </c>
      <c r="F1833" s="1">
        <f>VLOOKUP(jablka[[#This Row],[Nazwa]],cennik[],2,0) * jablka[[#This Row],[sprzedaż]]</f>
        <v>80</v>
      </c>
    </row>
    <row r="1834" spans="1:6" x14ac:dyDescent="0.25">
      <c r="A1834" s="2">
        <v>44828</v>
      </c>
      <c r="B1834" s="1" t="s">
        <v>14</v>
      </c>
      <c r="C1834" s="1" t="s">
        <v>67</v>
      </c>
      <c r="D1834" s="1" t="s">
        <v>51</v>
      </c>
      <c r="E1834">
        <v>417</v>
      </c>
      <c r="F1834" s="1">
        <f>VLOOKUP(jablka[[#This Row],[Nazwa]],cennik[],2,0) * jablka[[#This Row],[sprzedaż]]</f>
        <v>1459.5</v>
      </c>
    </row>
    <row r="1835" spans="1:6" x14ac:dyDescent="0.25">
      <c r="A1835" s="2">
        <v>44828</v>
      </c>
      <c r="B1835" s="1" t="s">
        <v>3</v>
      </c>
      <c r="C1835" s="1" t="s">
        <v>67</v>
      </c>
      <c r="D1835" s="1" t="s">
        <v>63</v>
      </c>
      <c r="E1835">
        <v>342</v>
      </c>
      <c r="F1835" s="1">
        <f>VLOOKUP(jablka[[#This Row],[Nazwa]],cennik[],2,0) * jablka[[#This Row],[sprzedaż]]</f>
        <v>1094.4000000000001</v>
      </c>
    </row>
    <row r="1836" spans="1:6" x14ac:dyDescent="0.25">
      <c r="A1836" s="2">
        <v>44828</v>
      </c>
      <c r="B1836" s="1" t="s">
        <v>1</v>
      </c>
      <c r="C1836" s="1" t="s">
        <v>67</v>
      </c>
      <c r="D1836" s="1" t="s">
        <v>23</v>
      </c>
      <c r="E1836">
        <v>485</v>
      </c>
      <c r="F1836" s="1">
        <f>VLOOKUP(jablka[[#This Row],[Nazwa]],cennik[],2,0) * jablka[[#This Row],[sprzedaż]]</f>
        <v>1552</v>
      </c>
    </row>
    <row r="1837" spans="1:6" x14ac:dyDescent="0.25">
      <c r="A1837" s="2">
        <v>44828</v>
      </c>
      <c r="B1837" s="1" t="s">
        <v>3</v>
      </c>
      <c r="C1837" s="1" t="s">
        <v>67</v>
      </c>
      <c r="D1837" s="1" t="s">
        <v>21</v>
      </c>
      <c r="E1837">
        <v>89</v>
      </c>
      <c r="F1837" s="1">
        <f>VLOOKUP(jablka[[#This Row],[Nazwa]],cennik[],2,0) * jablka[[#This Row],[sprzedaż]]</f>
        <v>284.8</v>
      </c>
    </row>
    <row r="1838" spans="1:6" x14ac:dyDescent="0.25">
      <c r="A1838" s="2">
        <v>44828</v>
      </c>
      <c r="B1838" s="1" t="s">
        <v>9</v>
      </c>
      <c r="C1838" s="1" t="s">
        <v>67</v>
      </c>
      <c r="D1838" s="1" t="s">
        <v>32</v>
      </c>
      <c r="E1838">
        <v>26</v>
      </c>
      <c r="F1838" s="1">
        <f>VLOOKUP(jablka[[#This Row],[Nazwa]],cennik[],2,0) * jablka[[#This Row],[sprzedaż]]</f>
        <v>65</v>
      </c>
    </row>
    <row r="1839" spans="1:6" x14ac:dyDescent="0.25">
      <c r="A1839" s="2">
        <v>44828</v>
      </c>
      <c r="B1839" s="1" t="s">
        <v>3</v>
      </c>
      <c r="C1839" s="1" t="s">
        <v>67</v>
      </c>
      <c r="D1839" s="1" t="s">
        <v>35</v>
      </c>
      <c r="E1839">
        <v>298</v>
      </c>
      <c r="F1839" s="1">
        <f>VLOOKUP(jablka[[#This Row],[Nazwa]],cennik[],2,0) * jablka[[#This Row],[sprzedaż]]</f>
        <v>953.6</v>
      </c>
    </row>
    <row r="1840" spans="1:6" x14ac:dyDescent="0.25">
      <c r="A1840" s="2">
        <v>44830</v>
      </c>
      <c r="B1840" s="1" t="s">
        <v>1</v>
      </c>
      <c r="C1840" s="1" t="s">
        <v>67</v>
      </c>
      <c r="D1840" s="1" t="s">
        <v>21</v>
      </c>
      <c r="E1840">
        <v>57</v>
      </c>
      <c r="F1840" s="1">
        <f>VLOOKUP(jablka[[#This Row],[Nazwa]],cennik[],2,0) * jablka[[#This Row],[sprzedaż]]</f>
        <v>182.4</v>
      </c>
    </row>
    <row r="1841" spans="1:6" x14ac:dyDescent="0.25">
      <c r="A1841" s="2">
        <v>44830</v>
      </c>
      <c r="B1841" s="1" t="s">
        <v>9</v>
      </c>
      <c r="C1841" s="1" t="s">
        <v>67</v>
      </c>
      <c r="D1841" s="1" t="s">
        <v>65</v>
      </c>
      <c r="E1841">
        <v>21</v>
      </c>
      <c r="F1841" s="1">
        <f>VLOOKUP(jablka[[#This Row],[Nazwa]],cennik[],2,0) * jablka[[#This Row],[sprzedaż]]</f>
        <v>52.5</v>
      </c>
    </row>
    <row r="1842" spans="1:6" x14ac:dyDescent="0.25">
      <c r="A1842" s="2">
        <v>44830</v>
      </c>
      <c r="B1842" s="1" t="s">
        <v>3</v>
      </c>
      <c r="C1842" s="1" t="s">
        <v>67</v>
      </c>
      <c r="D1842" s="1" t="s">
        <v>49</v>
      </c>
      <c r="E1842">
        <v>444</v>
      </c>
      <c r="F1842" s="1">
        <f>VLOOKUP(jablka[[#This Row],[Nazwa]],cennik[],2,0) * jablka[[#This Row],[sprzedaż]]</f>
        <v>1420.8000000000002</v>
      </c>
    </row>
    <row r="1843" spans="1:6" x14ac:dyDescent="0.25">
      <c r="A1843" s="2">
        <v>44830</v>
      </c>
      <c r="B1843" s="1" t="s">
        <v>14</v>
      </c>
      <c r="C1843" s="1" t="s">
        <v>67</v>
      </c>
      <c r="D1843" s="1" t="s">
        <v>18</v>
      </c>
      <c r="E1843">
        <v>20</v>
      </c>
      <c r="F1843" s="1">
        <f>VLOOKUP(jablka[[#This Row],[Nazwa]],cennik[],2,0) * jablka[[#This Row],[sprzedaż]]</f>
        <v>70</v>
      </c>
    </row>
    <row r="1844" spans="1:6" x14ac:dyDescent="0.25">
      <c r="A1844" s="2">
        <v>44830</v>
      </c>
      <c r="B1844" s="1" t="s">
        <v>3</v>
      </c>
      <c r="C1844" s="1" t="s">
        <v>67</v>
      </c>
      <c r="D1844" s="1" t="s">
        <v>65</v>
      </c>
      <c r="E1844">
        <v>104</v>
      </c>
      <c r="F1844" s="1">
        <f>VLOOKUP(jablka[[#This Row],[Nazwa]],cennik[],2,0) * jablka[[#This Row],[sprzedaż]]</f>
        <v>332.8</v>
      </c>
    </row>
    <row r="1845" spans="1:6" x14ac:dyDescent="0.25">
      <c r="A1845" s="2">
        <v>44830</v>
      </c>
      <c r="B1845" s="1" t="s">
        <v>14</v>
      </c>
      <c r="C1845" s="1" t="s">
        <v>67</v>
      </c>
      <c r="D1845" s="1" t="s">
        <v>53</v>
      </c>
      <c r="E1845">
        <v>469</v>
      </c>
      <c r="F1845" s="1">
        <f>VLOOKUP(jablka[[#This Row],[Nazwa]],cennik[],2,0) * jablka[[#This Row],[sprzedaż]]</f>
        <v>1641.5</v>
      </c>
    </row>
    <row r="1846" spans="1:6" x14ac:dyDescent="0.25">
      <c r="A1846" s="2">
        <v>44830</v>
      </c>
      <c r="B1846" s="1" t="s">
        <v>3</v>
      </c>
      <c r="C1846" s="1" t="s">
        <v>67</v>
      </c>
      <c r="D1846" s="1" t="s">
        <v>62</v>
      </c>
      <c r="E1846">
        <v>137</v>
      </c>
      <c r="F1846" s="1">
        <f>VLOOKUP(jablka[[#This Row],[Nazwa]],cennik[],2,0) * jablka[[#This Row],[sprzedaż]]</f>
        <v>438.40000000000003</v>
      </c>
    </row>
    <row r="1847" spans="1:6" x14ac:dyDescent="0.25">
      <c r="A1847" s="2">
        <v>44830</v>
      </c>
      <c r="B1847" s="1" t="s">
        <v>9</v>
      </c>
      <c r="C1847" s="1" t="s">
        <v>67</v>
      </c>
      <c r="D1847" s="1" t="s">
        <v>35</v>
      </c>
      <c r="E1847">
        <v>495</v>
      </c>
      <c r="F1847" s="1">
        <f>VLOOKUP(jablka[[#This Row],[Nazwa]],cennik[],2,0) * jablka[[#This Row],[sprzedaż]]</f>
        <v>1237.5</v>
      </c>
    </row>
    <row r="1848" spans="1:6" x14ac:dyDescent="0.25">
      <c r="A1848" s="2">
        <v>44830</v>
      </c>
      <c r="B1848" s="1" t="s">
        <v>1</v>
      </c>
      <c r="C1848" s="1" t="s">
        <v>67</v>
      </c>
      <c r="D1848" s="1" t="s">
        <v>53</v>
      </c>
      <c r="E1848">
        <v>247</v>
      </c>
      <c r="F1848" s="1">
        <f>VLOOKUP(jablka[[#This Row],[Nazwa]],cennik[],2,0) * jablka[[#This Row],[sprzedaż]]</f>
        <v>790.40000000000009</v>
      </c>
    </row>
    <row r="1849" spans="1:6" x14ac:dyDescent="0.25">
      <c r="A1849" s="2">
        <v>44830</v>
      </c>
      <c r="B1849" s="1" t="s">
        <v>3</v>
      </c>
      <c r="C1849" s="1" t="s">
        <v>67</v>
      </c>
      <c r="D1849" s="1" t="s">
        <v>52</v>
      </c>
      <c r="E1849">
        <v>19</v>
      </c>
      <c r="F1849" s="1">
        <f>VLOOKUP(jablka[[#This Row],[Nazwa]],cennik[],2,0) * jablka[[#This Row],[sprzedaż]]</f>
        <v>60.800000000000004</v>
      </c>
    </row>
    <row r="1850" spans="1:6" x14ac:dyDescent="0.25">
      <c r="A1850" s="2">
        <v>44831</v>
      </c>
      <c r="B1850" s="1" t="s">
        <v>1</v>
      </c>
      <c r="C1850" s="1" t="s">
        <v>67</v>
      </c>
      <c r="D1850" s="1" t="s">
        <v>55</v>
      </c>
      <c r="E1850">
        <v>88</v>
      </c>
      <c r="F1850" s="1">
        <f>VLOOKUP(jablka[[#This Row],[Nazwa]],cennik[],2,0) * jablka[[#This Row],[sprzedaż]]</f>
        <v>281.60000000000002</v>
      </c>
    </row>
    <row r="1851" spans="1:6" x14ac:dyDescent="0.25">
      <c r="A1851" s="2">
        <v>44831</v>
      </c>
      <c r="B1851" s="1" t="s">
        <v>1</v>
      </c>
      <c r="C1851" s="1" t="s">
        <v>67</v>
      </c>
      <c r="D1851" s="1" t="s">
        <v>53</v>
      </c>
      <c r="E1851">
        <v>269</v>
      </c>
      <c r="F1851" s="1">
        <f>VLOOKUP(jablka[[#This Row],[Nazwa]],cennik[],2,0) * jablka[[#This Row],[sprzedaż]]</f>
        <v>860.80000000000007</v>
      </c>
    </row>
    <row r="1852" spans="1:6" x14ac:dyDescent="0.25">
      <c r="A1852" s="2">
        <v>44831</v>
      </c>
      <c r="B1852" s="1" t="s">
        <v>1</v>
      </c>
      <c r="C1852" s="1" t="s">
        <v>67</v>
      </c>
      <c r="D1852" s="1" t="s">
        <v>59</v>
      </c>
      <c r="E1852">
        <v>266</v>
      </c>
      <c r="F1852" s="1">
        <f>VLOOKUP(jablka[[#This Row],[Nazwa]],cennik[],2,0) * jablka[[#This Row],[sprzedaż]]</f>
        <v>851.2</v>
      </c>
    </row>
    <row r="1853" spans="1:6" x14ac:dyDescent="0.25">
      <c r="A1853" s="2">
        <v>44831</v>
      </c>
      <c r="B1853" s="1" t="s">
        <v>14</v>
      </c>
      <c r="C1853" s="1" t="s">
        <v>67</v>
      </c>
      <c r="D1853" s="1" t="s">
        <v>33</v>
      </c>
      <c r="E1853">
        <v>367</v>
      </c>
      <c r="F1853" s="1">
        <f>VLOOKUP(jablka[[#This Row],[Nazwa]],cennik[],2,0) * jablka[[#This Row],[sprzedaż]]</f>
        <v>1284.5</v>
      </c>
    </row>
    <row r="1854" spans="1:6" x14ac:dyDescent="0.25">
      <c r="A1854" s="2">
        <v>44831</v>
      </c>
      <c r="B1854" s="1" t="s">
        <v>14</v>
      </c>
      <c r="C1854" s="1" t="s">
        <v>67</v>
      </c>
      <c r="D1854" s="1" t="s">
        <v>65</v>
      </c>
      <c r="E1854">
        <v>484</v>
      </c>
      <c r="F1854" s="1">
        <f>VLOOKUP(jablka[[#This Row],[Nazwa]],cennik[],2,0) * jablka[[#This Row],[sprzedaż]]</f>
        <v>1694</v>
      </c>
    </row>
    <row r="1855" spans="1:6" x14ac:dyDescent="0.25">
      <c r="A1855" s="2">
        <v>44831</v>
      </c>
      <c r="B1855" s="1" t="s">
        <v>14</v>
      </c>
      <c r="C1855" s="1" t="s">
        <v>67</v>
      </c>
      <c r="D1855" s="1" t="s">
        <v>66</v>
      </c>
      <c r="E1855">
        <v>159</v>
      </c>
      <c r="F1855" s="1">
        <f>VLOOKUP(jablka[[#This Row],[Nazwa]],cennik[],2,0) * jablka[[#This Row],[sprzedaż]]</f>
        <v>556.5</v>
      </c>
    </row>
    <row r="1856" spans="1:6" x14ac:dyDescent="0.25">
      <c r="A1856" s="2">
        <v>44831</v>
      </c>
      <c r="B1856" s="1" t="s">
        <v>1</v>
      </c>
      <c r="C1856" s="1" t="s">
        <v>67</v>
      </c>
      <c r="D1856" s="1" t="s">
        <v>49</v>
      </c>
      <c r="E1856">
        <v>215</v>
      </c>
      <c r="F1856" s="1">
        <f>VLOOKUP(jablka[[#This Row],[Nazwa]],cennik[],2,0) * jablka[[#This Row],[sprzedaż]]</f>
        <v>688</v>
      </c>
    </row>
    <row r="1857" spans="1:6" x14ac:dyDescent="0.25">
      <c r="A1857" s="2">
        <v>44832</v>
      </c>
      <c r="B1857" s="1" t="s">
        <v>1</v>
      </c>
      <c r="C1857" s="1" t="s">
        <v>67</v>
      </c>
      <c r="D1857" s="1" t="s">
        <v>39</v>
      </c>
      <c r="E1857">
        <v>418</v>
      </c>
      <c r="F1857" s="1">
        <f>VLOOKUP(jablka[[#This Row],[Nazwa]],cennik[],2,0) * jablka[[#This Row],[sprzedaż]]</f>
        <v>1337.6000000000001</v>
      </c>
    </row>
    <row r="1858" spans="1:6" x14ac:dyDescent="0.25">
      <c r="A1858" s="2">
        <v>44832</v>
      </c>
      <c r="B1858" s="1" t="s">
        <v>3</v>
      </c>
      <c r="C1858" s="1" t="s">
        <v>67</v>
      </c>
      <c r="D1858" s="1" t="s">
        <v>34</v>
      </c>
      <c r="E1858">
        <v>340</v>
      </c>
      <c r="F1858" s="1">
        <f>VLOOKUP(jablka[[#This Row],[Nazwa]],cennik[],2,0) * jablka[[#This Row],[sprzedaż]]</f>
        <v>1088</v>
      </c>
    </row>
    <row r="1859" spans="1:6" x14ac:dyDescent="0.25">
      <c r="A1859" s="2">
        <v>44832</v>
      </c>
      <c r="B1859" s="1" t="s">
        <v>9</v>
      </c>
      <c r="C1859" s="1" t="s">
        <v>67</v>
      </c>
      <c r="D1859" s="1" t="s">
        <v>22</v>
      </c>
      <c r="E1859">
        <v>289</v>
      </c>
      <c r="F1859" s="1">
        <f>VLOOKUP(jablka[[#This Row],[Nazwa]],cennik[],2,0) * jablka[[#This Row],[sprzedaż]]</f>
        <v>722.5</v>
      </c>
    </row>
    <row r="1860" spans="1:6" x14ac:dyDescent="0.25">
      <c r="A1860" s="2">
        <v>44833</v>
      </c>
      <c r="B1860" s="1" t="s">
        <v>11</v>
      </c>
      <c r="C1860" s="1" t="s">
        <v>67</v>
      </c>
      <c r="D1860" s="1" t="s">
        <v>36</v>
      </c>
      <c r="E1860">
        <v>364</v>
      </c>
      <c r="F1860" s="1">
        <f>VLOOKUP(jablka[[#This Row],[Nazwa]],cennik[],2,0) * jablka[[#This Row],[sprzedaż]]</f>
        <v>910</v>
      </c>
    </row>
    <row r="1861" spans="1:6" x14ac:dyDescent="0.25">
      <c r="A1861" s="2">
        <v>44833</v>
      </c>
      <c r="B1861" s="1" t="s">
        <v>14</v>
      </c>
      <c r="C1861" s="1" t="s">
        <v>67</v>
      </c>
      <c r="D1861" s="1" t="s">
        <v>22</v>
      </c>
      <c r="E1861">
        <v>494</v>
      </c>
      <c r="F1861" s="1">
        <f>VLOOKUP(jablka[[#This Row],[Nazwa]],cennik[],2,0) * jablka[[#This Row],[sprzedaż]]</f>
        <v>1729</v>
      </c>
    </row>
    <row r="1862" spans="1:6" x14ac:dyDescent="0.25">
      <c r="A1862" s="2">
        <v>44833</v>
      </c>
      <c r="B1862" s="1" t="s">
        <v>14</v>
      </c>
      <c r="C1862" s="1" t="s">
        <v>67</v>
      </c>
      <c r="D1862" s="1" t="s">
        <v>34</v>
      </c>
      <c r="E1862">
        <v>226</v>
      </c>
      <c r="F1862" s="1">
        <f>VLOOKUP(jablka[[#This Row],[Nazwa]],cennik[],2,0) * jablka[[#This Row],[sprzedaż]]</f>
        <v>791</v>
      </c>
    </row>
    <row r="1863" spans="1:6" x14ac:dyDescent="0.25">
      <c r="A1863" s="2">
        <v>44833</v>
      </c>
      <c r="B1863" s="1" t="s">
        <v>3</v>
      </c>
      <c r="C1863" s="1" t="s">
        <v>67</v>
      </c>
      <c r="D1863" s="1" t="s">
        <v>65</v>
      </c>
      <c r="E1863">
        <v>29</v>
      </c>
      <c r="F1863" s="1">
        <f>VLOOKUP(jablka[[#This Row],[Nazwa]],cennik[],2,0) * jablka[[#This Row],[sprzedaż]]</f>
        <v>92.800000000000011</v>
      </c>
    </row>
    <row r="1864" spans="1:6" x14ac:dyDescent="0.25">
      <c r="A1864" s="2">
        <v>44833</v>
      </c>
      <c r="B1864" s="1" t="s">
        <v>14</v>
      </c>
      <c r="C1864" s="1" t="s">
        <v>67</v>
      </c>
      <c r="D1864" s="1" t="s">
        <v>66</v>
      </c>
      <c r="E1864">
        <v>225</v>
      </c>
      <c r="F1864" s="1">
        <f>VLOOKUP(jablka[[#This Row],[Nazwa]],cennik[],2,0) * jablka[[#This Row],[sprzedaż]]</f>
        <v>787.5</v>
      </c>
    </row>
    <row r="1865" spans="1:6" x14ac:dyDescent="0.25">
      <c r="A1865" s="2">
        <v>44834</v>
      </c>
      <c r="B1865" s="1" t="s">
        <v>14</v>
      </c>
      <c r="C1865" s="1" t="s">
        <v>67</v>
      </c>
      <c r="D1865" s="1" t="s">
        <v>54</v>
      </c>
      <c r="E1865">
        <v>128</v>
      </c>
      <c r="F1865" s="1">
        <f>VLOOKUP(jablka[[#This Row],[Nazwa]],cennik[],2,0) * jablka[[#This Row],[sprzedaż]]</f>
        <v>448</v>
      </c>
    </row>
    <row r="1866" spans="1:6" x14ac:dyDescent="0.25">
      <c r="A1866" s="2">
        <v>44834</v>
      </c>
      <c r="B1866" s="1" t="s">
        <v>1</v>
      </c>
      <c r="C1866" s="1" t="s">
        <v>67</v>
      </c>
      <c r="D1866" s="1" t="s">
        <v>20</v>
      </c>
      <c r="E1866">
        <v>333</v>
      </c>
      <c r="F1866" s="1">
        <f>VLOOKUP(jablka[[#This Row],[Nazwa]],cennik[],2,0) * jablka[[#This Row],[sprzedaż]]</f>
        <v>1065.6000000000001</v>
      </c>
    </row>
    <row r="1867" spans="1:6" x14ac:dyDescent="0.25">
      <c r="A1867" s="2">
        <v>44834</v>
      </c>
      <c r="B1867" s="1" t="s">
        <v>14</v>
      </c>
      <c r="C1867" s="1" t="s">
        <v>67</v>
      </c>
      <c r="D1867" s="1" t="s">
        <v>39</v>
      </c>
      <c r="E1867">
        <v>291</v>
      </c>
      <c r="F1867" s="1">
        <f>VLOOKUP(jablka[[#This Row],[Nazwa]],cennik[],2,0) * jablka[[#This Row],[sprzedaż]]</f>
        <v>1018.5</v>
      </c>
    </row>
    <row r="1868" spans="1:6" x14ac:dyDescent="0.25">
      <c r="A1868" s="2">
        <v>44834</v>
      </c>
      <c r="B1868" s="1" t="s">
        <v>14</v>
      </c>
      <c r="C1868" s="1" t="s">
        <v>67</v>
      </c>
      <c r="D1868" s="1" t="s">
        <v>51</v>
      </c>
      <c r="E1868">
        <v>397</v>
      </c>
      <c r="F1868" s="1">
        <f>VLOOKUP(jablka[[#This Row],[Nazwa]],cennik[],2,0) * jablka[[#This Row],[sprzedaż]]</f>
        <v>1389.5</v>
      </c>
    </row>
    <row r="1869" spans="1:6" x14ac:dyDescent="0.25">
      <c r="A1869" s="2">
        <v>44834</v>
      </c>
      <c r="B1869" s="1" t="s">
        <v>14</v>
      </c>
      <c r="C1869" s="1" t="s">
        <v>67</v>
      </c>
      <c r="D1869" s="1" t="s">
        <v>30</v>
      </c>
      <c r="E1869">
        <v>253</v>
      </c>
      <c r="F1869" s="1">
        <f>VLOOKUP(jablka[[#This Row],[Nazwa]],cennik[],2,0) * jablka[[#This Row],[sprzedaż]]</f>
        <v>885.5</v>
      </c>
    </row>
    <row r="1870" spans="1:6" x14ac:dyDescent="0.25">
      <c r="A1870" s="2">
        <v>44835</v>
      </c>
      <c r="B1870" s="1" t="s">
        <v>14</v>
      </c>
      <c r="C1870" s="1" t="s">
        <v>67</v>
      </c>
      <c r="D1870" s="1" t="s">
        <v>65</v>
      </c>
      <c r="E1870">
        <v>137</v>
      </c>
      <c r="F1870" s="1">
        <f>VLOOKUP(jablka[[#This Row],[Nazwa]],cennik[],2,0) * jablka[[#This Row],[sprzedaż]]</f>
        <v>479.5</v>
      </c>
    </row>
    <row r="1871" spans="1:6" x14ac:dyDescent="0.25">
      <c r="A1871" s="2">
        <v>44835</v>
      </c>
      <c r="B1871" s="1" t="s">
        <v>14</v>
      </c>
      <c r="C1871" s="1" t="s">
        <v>67</v>
      </c>
      <c r="D1871" s="1" t="s">
        <v>62</v>
      </c>
      <c r="E1871">
        <v>198</v>
      </c>
      <c r="F1871" s="1">
        <f>VLOOKUP(jablka[[#This Row],[Nazwa]],cennik[],2,0) * jablka[[#This Row],[sprzedaż]]</f>
        <v>693</v>
      </c>
    </row>
    <row r="1872" spans="1:6" x14ac:dyDescent="0.25">
      <c r="A1872" s="2">
        <v>44835</v>
      </c>
      <c r="B1872" s="1" t="s">
        <v>14</v>
      </c>
      <c r="C1872" s="1" t="s">
        <v>67</v>
      </c>
      <c r="D1872" s="1" t="s">
        <v>28</v>
      </c>
      <c r="E1872">
        <v>338</v>
      </c>
      <c r="F1872" s="1">
        <f>VLOOKUP(jablka[[#This Row],[Nazwa]],cennik[],2,0) * jablka[[#This Row],[sprzedaż]]</f>
        <v>1183</v>
      </c>
    </row>
    <row r="1873" spans="1:6" x14ac:dyDescent="0.25">
      <c r="A1873" s="2">
        <v>44835</v>
      </c>
      <c r="B1873" s="1" t="s">
        <v>1</v>
      </c>
      <c r="C1873" s="1" t="s">
        <v>67</v>
      </c>
      <c r="D1873" s="1" t="s">
        <v>66</v>
      </c>
      <c r="E1873">
        <v>226</v>
      </c>
      <c r="F1873" s="1">
        <f>VLOOKUP(jablka[[#This Row],[Nazwa]],cennik[],2,0) * jablka[[#This Row],[sprzedaż]]</f>
        <v>723.2</v>
      </c>
    </row>
    <row r="1874" spans="1:6" x14ac:dyDescent="0.25">
      <c r="A1874" s="2">
        <v>44835</v>
      </c>
      <c r="B1874" s="1" t="s">
        <v>1</v>
      </c>
      <c r="C1874" s="1" t="s">
        <v>67</v>
      </c>
      <c r="D1874" s="1" t="s">
        <v>33</v>
      </c>
      <c r="E1874">
        <v>280</v>
      </c>
      <c r="F1874" s="1">
        <f>VLOOKUP(jablka[[#This Row],[Nazwa]],cennik[],2,0) * jablka[[#This Row],[sprzedaż]]</f>
        <v>896</v>
      </c>
    </row>
    <row r="1875" spans="1:6" x14ac:dyDescent="0.25">
      <c r="A1875" s="2">
        <v>44835</v>
      </c>
      <c r="B1875" s="1" t="s">
        <v>3</v>
      </c>
      <c r="C1875" s="1" t="s">
        <v>67</v>
      </c>
      <c r="D1875" s="1" t="s">
        <v>65</v>
      </c>
      <c r="E1875">
        <v>415</v>
      </c>
      <c r="F1875" s="1">
        <f>VLOOKUP(jablka[[#This Row],[Nazwa]],cennik[],2,0) * jablka[[#This Row],[sprzedaż]]</f>
        <v>1328</v>
      </c>
    </row>
    <row r="1876" spans="1:6" x14ac:dyDescent="0.25">
      <c r="A1876" s="2">
        <v>44835</v>
      </c>
      <c r="B1876" s="1" t="s">
        <v>3</v>
      </c>
      <c r="C1876" s="1" t="s">
        <v>67</v>
      </c>
      <c r="D1876" s="1" t="s">
        <v>31</v>
      </c>
      <c r="E1876">
        <v>187</v>
      </c>
      <c r="F1876" s="1">
        <f>VLOOKUP(jablka[[#This Row],[Nazwa]],cennik[],2,0) * jablka[[#This Row],[sprzedaż]]</f>
        <v>598.4</v>
      </c>
    </row>
    <row r="1877" spans="1:6" x14ac:dyDescent="0.25">
      <c r="A1877" s="2">
        <v>44835</v>
      </c>
      <c r="B1877" s="1" t="s">
        <v>14</v>
      </c>
      <c r="C1877" s="1" t="s">
        <v>67</v>
      </c>
      <c r="D1877" s="1" t="s">
        <v>55</v>
      </c>
      <c r="E1877">
        <v>174</v>
      </c>
      <c r="F1877" s="1">
        <f>VLOOKUP(jablka[[#This Row],[Nazwa]],cennik[],2,0) * jablka[[#This Row],[sprzedaż]]</f>
        <v>609</v>
      </c>
    </row>
    <row r="1878" spans="1:6" x14ac:dyDescent="0.25">
      <c r="A1878" s="2">
        <v>44835</v>
      </c>
      <c r="B1878" s="1" t="s">
        <v>3</v>
      </c>
      <c r="C1878" s="1" t="s">
        <v>67</v>
      </c>
      <c r="D1878" s="1" t="s">
        <v>42</v>
      </c>
      <c r="E1878">
        <v>471</v>
      </c>
      <c r="F1878" s="1">
        <f>VLOOKUP(jablka[[#This Row],[Nazwa]],cennik[],2,0) * jablka[[#This Row],[sprzedaż]]</f>
        <v>1507.2</v>
      </c>
    </row>
    <row r="1879" spans="1:6" x14ac:dyDescent="0.25">
      <c r="A1879" s="2">
        <v>44835</v>
      </c>
      <c r="B1879" s="1" t="s">
        <v>3</v>
      </c>
      <c r="C1879" s="1" t="s">
        <v>67</v>
      </c>
      <c r="D1879" s="1" t="s">
        <v>43</v>
      </c>
      <c r="E1879">
        <v>131</v>
      </c>
      <c r="F1879" s="1">
        <f>VLOOKUP(jablka[[#This Row],[Nazwa]],cennik[],2,0) * jablka[[#This Row],[sprzedaż]]</f>
        <v>419.20000000000005</v>
      </c>
    </row>
    <row r="1880" spans="1:6" x14ac:dyDescent="0.25">
      <c r="A1880" s="2">
        <v>44837</v>
      </c>
      <c r="B1880" s="1" t="s">
        <v>9</v>
      </c>
      <c r="C1880" s="1" t="s">
        <v>67</v>
      </c>
      <c r="D1880" s="1" t="s">
        <v>20</v>
      </c>
      <c r="E1880">
        <v>238</v>
      </c>
      <c r="F1880" s="1">
        <f>VLOOKUP(jablka[[#This Row],[Nazwa]],cennik[],2,0) * jablka[[#This Row],[sprzedaż]]</f>
        <v>595</v>
      </c>
    </row>
    <row r="1881" spans="1:6" x14ac:dyDescent="0.25">
      <c r="A1881" s="2">
        <v>44837</v>
      </c>
      <c r="B1881" s="1" t="s">
        <v>1</v>
      </c>
      <c r="C1881" s="1" t="s">
        <v>67</v>
      </c>
      <c r="D1881" s="1" t="s">
        <v>56</v>
      </c>
      <c r="E1881">
        <v>433</v>
      </c>
      <c r="F1881" s="1">
        <f>VLOOKUP(jablka[[#This Row],[Nazwa]],cennik[],2,0) * jablka[[#This Row],[sprzedaż]]</f>
        <v>1385.6000000000001</v>
      </c>
    </row>
    <row r="1882" spans="1:6" x14ac:dyDescent="0.25">
      <c r="A1882" s="2">
        <v>44837</v>
      </c>
      <c r="B1882" s="1" t="s">
        <v>14</v>
      </c>
      <c r="C1882" s="1" t="s">
        <v>67</v>
      </c>
      <c r="D1882" s="1" t="s">
        <v>36</v>
      </c>
      <c r="E1882">
        <v>314</v>
      </c>
      <c r="F1882" s="1">
        <f>VLOOKUP(jablka[[#This Row],[Nazwa]],cennik[],2,0) * jablka[[#This Row],[sprzedaż]]</f>
        <v>1099</v>
      </c>
    </row>
    <row r="1883" spans="1:6" x14ac:dyDescent="0.25">
      <c r="A1883" s="2">
        <v>44837</v>
      </c>
      <c r="B1883" s="1" t="s">
        <v>1</v>
      </c>
      <c r="C1883" s="1" t="s">
        <v>67</v>
      </c>
      <c r="D1883" s="1" t="s">
        <v>23</v>
      </c>
      <c r="E1883">
        <v>90</v>
      </c>
      <c r="F1883" s="1">
        <f>VLOOKUP(jablka[[#This Row],[Nazwa]],cennik[],2,0) * jablka[[#This Row],[sprzedaż]]</f>
        <v>288</v>
      </c>
    </row>
    <row r="1884" spans="1:6" x14ac:dyDescent="0.25">
      <c r="A1884" s="2">
        <v>44837</v>
      </c>
      <c r="B1884" s="1" t="s">
        <v>1</v>
      </c>
      <c r="C1884" s="1" t="s">
        <v>67</v>
      </c>
      <c r="D1884" s="1" t="s">
        <v>59</v>
      </c>
      <c r="E1884">
        <v>95</v>
      </c>
      <c r="F1884" s="1">
        <f>VLOOKUP(jablka[[#This Row],[Nazwa]],cennik[],2,0) * jablka[[#This Row],[sprzedaż]]</f>
        <v>304</v>
      </c>
    </row>
    <row r="1885" spans="1:6" x14ac:dyDescent="0.25">
      <c r="A1885" s="2">
        <v>44837</v>
      </c>
      <c r="B1885" s="1" t="s">
        <v>3</v>
      </c>
      <c r="C1885" s="1" t="s">
        <v>67</v>
      </c>
      <c r="D1885" s="1" t="s">
        <v>33</v>
      </c>
      <c r="E1885">
        <v>408</v>
      </c>
      <c r="F1885" s="1">
        <f>VLOOKUP(jablka[[#This Row],[Nazwa]],cennik[],2,0) * jablka[[#This Row],[sprzedaż]]</f>
        <v>1305.6000000000001</v>
      </c>
    </row>
    <row r="1886" spans="1:6" x14ac:dyDescent="0.25">
      <c r="A1886" s="2">
        <v>44837</v>
      </c>
      <c r="B1886" s="1" t="s">
        <v>14</v>
      </c>
      <c r="C1886" s="1" t="s">
        <v>67</v>
      </c>
      <c r="D1886" s="1" t="s">
        <v>47</v>
      </c>
      <c r="E1886">
        <v>423</v>
      </c>
      <c r="F1886" s="1">
        <f>VLOOKUP(jablka[[#This Row],[Nazwa]],cennik[],2,0) * jablka[[#This Row],[sprzedaż]]</f>
        <v>1480.5</v>
      </c>
    </row>
    <row r="1887" spans="1:6" x14ac:dyDescent="0.25">
      <c r="A1887" s="2">
        <v>44837</v>
      </c>
      <c r="B1887" s="1" t="s">
        <v>3</v>
      </c>
      <c r="C1887" s="1" t="s">
        <v>67</v>
      </c>
      <c r="D1887" s="1" t="s">
        <v>56</v>
      </c>
      <c r="E1887">
        <v>179</v>
      </c>
      <c r="F1887" s="1">
        <f>VLOOKUP(jablka[[#This Row],[Nazwa]],cennik[],2,0) * jablka[[#This Row],[sprzedaż]]</f>
        <v>572.80000000000007</v>
      </c>
    </row>
    <row r="1888" spans="1:6" x14ac:dyDescent="0.25">
      <c r="A1888" s="2">
        <v>44837</v>
      </c>
      <c r="B1888" s="1" t="s">
        <v>3</v>
      </c>
      <c r="C1888" s="1" t="s">
        <v>67</v>
      </c>
      <c r="D1888" s="1" t="s">
        <v>58</v>
      </c>
      <c r="E1888">
        <v>400</v>
      </c>
      <c r="F1888" s="1">
        <f>VLOOKUP(jablka[[#This Row],[Nazwa]],cennik[],2,0) * jablka[[#This Row],[sprzedaż]]</f>
        <v>1280</v>
      </c>
    </row>
    <row r="1889" spans="1:6" x14ac:dyDescent="0.25">
      <c r="A1889" s="2">
        <v>44837</v>
      </c>
      <c r="B1889" s="1" t="s">
        <v>1</v>
      </c>
      <c r="C1889" s="1" t="s">
        <v>67</v>
      </c>
      <c r="D1889" s="1" t="s">
        <v>29</v>
      </c>
      <c r="E1889">
        <v>217</v>
      </c>
      <c r="F1889" s="1">
        <f>VLOOKUP(jablka[[#This Row],[Nazwa]],cennik[],2,0) * jablka[[#This Row],[sprzedaż]]</f>
        <v>694.40000000000009</v>
      </c>
    </row>
    <row r="1890" spans="1:6" x14ac:dyDescent="0.25">
      <c r="A1890" s="2">
        <v>44837</v>
      </c>
      <c r="B1890" s="1" t="s">
        <v>9</v>
      </c>
      <c r="C1890" s="1" t="s">
        <v>67</v>
      </c>
      <c r="D1890" s="1" t="s">
        <v>49</v>
      </c>
      <c r="E1890">
        <v>46</v>
      </c>
      <c r="F1890" s="1">
        <f>VLOOKUP(jablka[[#This Row],[Nazwa]],cennik[],2,0) * jablka[[#This Row],[sprzedaż]]</f>
        <v>115</v>
      </c>
    </row>
    <row r="1891" spans="1:6" x14ac:dyDescent="0.25">
      <c r="A1891" s="2">
        <v>44837</v>
      </c>
      <c r="B1891" s="1" t="s">
        <v>3</v>
      </c>
      <c r="C1891" s="1" t="s">
        <v>67</v>
      </c>
      <c r="D1891" s="1" t="s">
        <v>51</v>
      </c>
      <c r="E1891">
        <v>139</v>
      </c>
      <c r="F1891" s="1">
        <f>VLOOKUP(jablka[[#This Row],[Nazwa]],cennik[],2,0) * jablka[[#This Row],[sprzedaż]]</f>
        <v>444.8</v>
      </c>
    </row>
    <row r="1892" spans="1:6" x14ac:dyDescent="0.25">
      <c r="A1892" s="2">
        <v>44837</v>
      </c>
      <c r="B1892" s="1" t="s">
        <v>3</v>
      </c>
      <c r="C1892" s="1" t="s">
        <v>67</v>
      </c>
      <c r="D1892" s="1" t="s">
        <v>59</v>
      </c>
      <c r="E1892">
        <v>171</v>
      </c>
      <c r="F1892" s="1">
        <f>VLOOKUP(jablka[[#This Row],[Nazwa]],cennik[],2,0) * jablka[[#This Row],[sprzedaż]]</f>
        <v>547.20000000000005</v>
      </c>
    </row>
    <row r="1893" spans="1:6" x14ac:dyDescent="0.25">
      <c r="A1893" s="2">
        <v>44837</v>
      </c>
      <c r="B1893" s="1" t="s">
        <v>14</v>
      </c>
      <c r="C1893" s="1" t="s">
        <v>67</v>
      </c>
      <c r="D1893" s="1" t="s">
        <v>21</v>
      </c>
      <c r="E1893">
        <v>384</v>
      </c>
      <c r="F1893" s="1">
        <f>VLOOKUP(jablka[[#This Row],[Nazwa]],cennik[],2,0) * jablka[[#This Row],[sprzedaż]]</f>
        <v>1344</v>
      </c>
    </row>
    <row r="1894" spans="1:6" x14ac:dyDescent="0.25">
      <c r="A1894" s="2">
        <v>44837</v>
      </c>
      <c r="B1894" s="1" t="s">
        <v>3</v>
      </c>
      <c r="C1894" s="1" t="s">
        <v>67</v>
      </c>
      <c r="D1894" s="1" t="s">
        <v>32</v>
      </c>
      <c r="E1894">
        <v>374</v>
      </c>
      <c r="F1894" s="1">
        <f>VLOOKUP(jablka[[#This Row],[Nazwa]],cennik[],2,0) * jablka[[#This Row],[sprzedaż]]</f>
        <v>1196.8</v>
      </c>
    </row>
    <row r="1895" spans="1:6" x14ac:dyDescent="0.25">
      <c r="A1895" s="2">
        <v>44837</v>
      </c>
      <c r="B1895" s="1" t="s">
        <v>9</v>
      </c>
      <c r="C1895" s="1" t="s">
        <v>67</v>
      </c>
      <c r="D1895" s="1" t="s">
        <v>19</v>
      </c>
      <c r="E1895">
        <v>80</v>
      </c>
      <c r="F1895" s="1">
        <f>VLOOKUP(jablka[[#This Row],[Nazwa]],cennik[],2,0) * jablka[[#This Row],[sprzedaż]]</f>
        <v>200</v>
      </c>
    </row>
    <row r="1896" spans="1:6" x14ac:dyDescent="0.25">
      <c r="A1896" s="2">
        <v>44837</v>
      </c>
      <c r="B1896" s="1" t="s">
        <v>1</v>
      </c>
      <c r="C1896" s="1" t="s">
        <v>67</v>
      </c>
      <c r="D1896" s="1" t="s">
        <v>41</v>
      </c>
      <c r="E1896">
        <v>243</v>
      </c>
      <c r="F1896" s="1">
        <f>VLOOKUP(jablka[[#This Row],[Nazwa]],cennik[],2,0) * jablka[[#This Row],[sprzedaż]]</f>
        <v>777.6</v>
      </c>
    </row>
    <row r="1897" spans="1:6" x14ac:dyDescent="0.25">
      <c r="A1897" s="2">
        <v>44838</v>
      </c>
      <c r="B1897" s="1" t="s">
        <v>1</v>
      </c>
      <c r="C1897" s="1" t="s">
        <v>67</v>
      </c>
      <c r="D1897" s="1" t="s">
        <v>54</v>
      </c>
      <c r="E1897">
        <v>84</v>
      </c>
      <c r="F1897" s="1">
        <f>VLOOKUP(jablka[[#This Row],[Nazwa]],cennik[],2,0) * jablka[[#This Row],[sprzedaż]]</f>
        <v>268.8</v>
      </c>
    </row>
    <row r="1898" spans="1:6" x14ac:dyDescent="0.25">
      <c r="A1898" s="2">
        <v>44838</v>
      </c>
      <c r="B1898" s="1" t="s">
        <v>14</v>
      </c>
      <c r="C1898" s="1" t="s">
        <v>67</v>
      </c>
      <c r="D1898" s="1" t="s">
        <v>35</v>
      </c>
      <c r="E1898">
        <v>35</v>
      </c>
      <c r="F1898" s="1">
        <f>VLOOKUP(jablka[[#This Row],[Nazwa]],cennik[],2,0) * jablka[[#This Row],[sprzedaż]]</f>
        <v>122.5</v>
      </c>
    </row>
    <row r="1899" spans="1:6" x14ac:dyDescent="0.25">
      <c r="A1899" s="2">
        <v>44838</v>
      </c>
      <c r="B1899" s="1" t="s">
        <v>14</v>
      </c>
      <c r="C1899" s="1" t="s">
        <v>67</v>
      </c>
      <c r="D1899" s="1" t="s">
        <v>43</v>
      </c>
      <c r="E1899">
        <v>337</v>
      </c>
      <c r="F1899" s="1">
        <f>VLOOKUP(jablka[[#This Row],[Nazwa]],cennik[],2,0) * jablka[[#This Row],[sprzedaż]]</f>
        <v>1179.5</v>
      </c>
    </row>
    <row r="1900" spans="1:6" x14ac:dyDescent="0.25">
      <c r="A1900" s="2">
        <v>44838</v>
      </c>
      <c r="B1900" s="1" t="s">
        <v>14</v>
      </c>
      <c r="C1900" s="1" t="s">
        <v>67</v>
      </c>
      <c r="D1900" s="1" t="s">
        <v>42</v>
      </c>
      <c r="E1900">
        <v>312</v>
      </c>
      <c r="F1900" s="1">
        <f>VLOOKUP(jablka[[#This Row],[Nazwa]],cennik[],2,0) * jablka[[#This Row],[sprzedaż]]</f>
        <v>1092</v>
      </c>
    </row>
    <row r="1901" spans="1:6" x14ac:dyDescent="0.25">
      <c r="A1901" s="2">
        <v>44839</v>
      </c>
      <c r="B1901" s="1" t="s">
        <v>3</v>
      </c>
      <c r="C1901" s="1" t="s">
        <v>67</v>
      </c>
      <c r="D1901" s="1" t="s">
        <v>30</v>
      </c>
      <c r="E1901">
        <v>107</v>
      </c>
      <c r="F1901" s="1">
        <f>VLOOKUP(jablka[[#This Row],[Nazwa]],cennik[],2,0) * jablka[[#This Row],[sprzedaż]]</f>
        <v>342.40000000000003</v>
      </c>
    </row>
    <row r="1902" spans="1:6" x14ac:dyDescent="0.25">
      <c r="A1902" s="2">
        <v>44839</v>
      </c>
      <c r="B1902" s="1" t="s">
        <v>3</v>
      </c>
      <c r="C1902" s="1" t="s">
        <v>67</v>
      </c>
      <c r="D1902" s="1" t="s">
        <v>40</v>
      </c>
      <c r="E1902">
        <v>354</v>
      </c>
      <c r="F1902" s="1">
        <f>VLOOKUP(jablka[[#This Row],[Nazwa]],cennik[],2,0) * jablka[[#This Row],[sprzedaż]]</f>
        <v>1132.8</v>
      </c>
    </row>
    <row r="1903" spans="1:6" x14ac:dyDescent="0.25">
      <c r="A1903" s="2">
        <v>44839</v>
      </c>
      <c r="B1903" s="1" t="s">
        <v>3</v>
      </c>
      <c r="C1903" s="1" t="s">
        <v>67</v>
      </c>
      <c r="D1903" s="1" t="s">
        <v>34</v>
      </c>
      <c r="E1903">
        <v>372</v>
      </c>
      <c r="F1903" s="1">
        <f>VLOOKUP(jablka[[#This Row],[Nazwa]],cennik[],2,0) * jablka[[#This Row],[sprzedaż]]</f>
        <v>1190.4000000000001</v>
      </c>
    </row>
    <row r="1904" spans="1:6" x14ac:dyDescent="0.25">
      <c r="A1904" s="2">
        <v>44839</v>
      </c>
      <c r="B1904" s="1" t="s">
        <v>14</v>
      </c>
      <c r="C1904" s="1" t="s">
        <v>67</v>
      </c>
      <c r="D1904" s="1" t="s">
        <v>51</v>
      </c>
      <c r="E1904">
        <v>96</v>
      </c>
      <c r="F1904" s="1">
        <f>VLOOKUP(jablka[[#This Row],[Nazwa]],cennik[],2,0) * jablka[[#This Row],[sprzedaż]]</f>
        <v>336</v>
      </c>
    </row>
    <row r="1905" spans="1:6" x14ac:dyDescent="0.25">
      <c r="A1905" s="2">
        <v>44839</v>
      </c>
      <c r="B1905" s="1" t="s">
        <v>14</v>
      </c>
      <c r="C1905" s="1" t="s">
        <v>67</v>
      </c>
      <c r="D1905" s="1" t="s">
        <v>39</v>
      </c>
      <c r="E1905">
        <v>436</v>
      </c>
      <c r="F1905" s="1">
        <f>VLOOKUP(jablka[[#This Row],[Nazwa]],cennik[],2,0) * jablka[[#This Row],[sprzedaż]]</f>
        <v>1526</v>
      </c>
    </row>
    <row r="1906" spans="1:6" x14ac:dyDescent="0.25">
      <c r="A1906" s="2">
        <v>44839</v>
      </c>
      <c r="B1906" s="1" t="s">
        <v>1</v>
      </c>
      <c r="C1906" s="1" t="s">
        <v>67</v>
      </c>
      <c r="D1906" s="1" t="s">
        <v>50</v>
      </c>
      <c r="E1906">
        <v>181</v>
      </c>
      <c r="F1906" s="1">
        <f>VLOOKUP(jablka[[#This Row],[Nazwa]],cennik[],2,0) * jablka[[#This Row],[sprzedaż]]</f>
        <v>579.20000000000005</v>
      </c>
    </row>
    <row r="1907" spans="1:6" x14ac:dyDescent="0.25">
      <c r="A1907" s="2">
        <v>44839</v>
      </c>
      <c r="B1907" s="1" t="s">
        <v>9</v>
      </c>
      <c r="C1907" s="1" t="s">
        <v>67</v>
      </c>
      <c r="D1907" s="1" t="s">
        <v>23</v>
      </c>
      <c r="E1907">
        <v>170</v>
      </c>
      <c r="F1907" s="1">
        <f>VLOOKUP(jablka[[#This Row],[Nazwa]],cennik[],2,0) * jablka[[#This Row],[sprzedaż]]</f>
        <v>425</v>
      </c>
    </row>
    <row r="1908" spans="1:6" x14ac:dyDescent="0.25">
      <c r="A1908" s="2">
        <v>44839</v>
      </c>
      <c r="B1908" s="1" t="s">
        <v>1</v>
      </c>
      <c r="C1908" s="1" t="s">
        <v>67</v>
      </c>
      <c r="D1908" s="1" t="s">
        <v>56</v>
      </c>
      <c r="E1908">
        <v>132</v>
      </c>
      <c r="F1908" s="1">
        <f>VLOOKUP(jablka[[#This Row],[Nazwa]],cennik[],2,0) * jablka[[#This Row],[sprzedaż]]</f>
        <v>422.40000000000003</v>
      </c>
    </row>
    <row r="1909" spans="1:6" x14ac:dyDescent="0.25">
      <c r="A1909" s="2">
        <v>44839</v>
      </c>
      <c r="B1909" s="1" t="s">
        <v>1</v>
      </c>
      <c r="C1909" s="1" t="s">
        <v>67</v>
      </c>
      <c r="D1909" s="1" t="s">
        <v>24</v>
      </c>
      <c r="E1909">
        <v>135</v>
      </c>
      <c r="F1909" s="1">
        <f>VLOOKUP(jablka[[#This Row],[Nazwa]],cennik[],2,0) * jablka[[#This Row],[sprzedaż]]</f>
        <v>432</v>
      </c>
    </row>
    <row r="1910" spans="1:6" x14ac:dyDescent="0.25">
      <c r="A1910" s="2">
        <v>44839</v>
      </c>
      <c r="B1910" s="1" t="s">
        <v>11</v>
      </c>
      <c r="C1910" s="1" t="s">
        <v>67</v>
      </c>
      <c r="D1910" s="1" t="s">
        <v>35</v>
      </c>
      <c r="E1910">
        <v>177</v>
      </c>
      <c r="F1910" s="1">
        <f>VLOOKUP(jablka[[#This Row],[Nazwa]],cennik[],2,0) * jablka[[#This Row],[sprzedaż]]</f>
        <v>442.5</v>
      </c>
    </row>
    <row r="1911" spans="1:6" x14ac:dyDescent="0.25">
      <c r="A1911" s="2">
        <v>44839</v>
      </c>
      <c r="B1911" s="1" t="s">
        <v>14</v>
      </c>
      <c r="C1911" s="1" t="s">
        <v>67</v>
      </c>
      <c r="D1911" s="1" t="s">
        <v>32</v>
      </c>
      <c r="E1911">
        <v>259</v>
      </c>
      <c r="F1911" s="1">
        <f>VLOOKUP(jablka[[#This Row],[Nazwa]],cennik[],2,0) * jablka[[#This Row],[sprzedaż]]</f>
        <v>906.5</v>
      </c>
    </row>
    <row r="1912" spans="1:6" x14ac:dyDescent="0.25">
      <c r="A1912" s="2">
        <v>44840</v>
      </c>
      <c r="B1912" s="1" t="s">
        <v>14</v>
      </c>
      <c r="C1912" s="1" t="s">
        <v>67</v>
      </c>
      <c r="D1912" s="1" t="s">
        <v>43</v>
      </c>
      <c r="E1912">
        <v>163</v>
      </c>
      <c r="F1912" s="1">
        <f>VLOOKUP(jablka[[#This Row],[Nazwa]],cennik[],2,0) * jablka[[#This Row],[sprzedaż]]</f>
        <v>570.5</v>
      </c>
    </row>
    <row r="1913" spans="1:6" x14ac:dyDescent="0.25">
      <c r="A1913" s="2">
        <v>44840</v>
      </c>
      <c r="B1913" s="1" t="s">
        <v>14</v>
      </c>
      <c r="C1913" s="1" t="s">
        <v>67</v>
      </c>
      <c r="D1913" s="1" t="s">
        <v>49</v>
      </c>
      <c r="E1913">
        <v>465</v>
      </c>
      <c r="F1913" s="1">
        <f>VLOOKUP(jablka[[#This Row],[Nazwa]],cennik[],2,0) * jablka[[#This Row],[sprzedaż]]</f>
        <v>1627.5</v>
      </c>
    </row>
    <row r="1914" spans="1:6" x14ac:dyDescent="0.25">
      <c r="A1914" s="2">
        <v>44841</v>
      </c>
      <c r="B1914" s="1" t="s">
        <v>1</v>
      </c>
      <c r="C1914" s="1" t="s">
        <v>67</v>
      </c>
      <c r="D1914" s="1" t="s">
        <v>29</v>
      </c>
      <c r="E1914">
        <v>252</v>
      </c>
      <c r="F1914" s="1">
        <f>VLOOKUP(jablka[[#This Row],[Nazwa]],cennik[],2,0) * jablka[[#This Row],[sprzedaż]]</f>
        <v>806.40000000000009</v>
      </c>
    </row>
    <row r="1915" spans="1:6" x14ac:dyDescent="0.25">
      <c r="A1915" s="2">
        <v>44841</v>
      </c>
      <c r="B1915" s="1" t="s">
        <v>9</v>
      </c>
      <c r="C1915" s="1" t="s">
        <v>67</v>
      </c>
      <c r="D1915" s="1" t="s">
        <v>57</v>
      </c>
      <c r="E1915">
        <v>425</v>
      </c>
      <c r="F1915" s="1">
        <f>VLOOKUP(jablka[[#This Row],[Nazwa]],cennik[],2,0) * jablka[[#This Row],[sprzedaż]]</f>
        <v>1062.5</v>
      </c>
    </row>
    <row r="1916" spans="1:6" x14ac:dyDescent="0.25">
      <c r="A1916" s="2">
        <v>44841</v>
      </c>
      <c r="B1916" s="1" t="s">
        <v>3</v>
      </c>
      <c r="C1916" s="1" t="s">
        <v>67</v>
      </c>
      <c r="D1916" s="1" t="s">
        <v>51</v>
      </c>
      <c r="E1916">
        <v>124</v>
      </c>
      <c r="F1916" s="1">
        <f>VLOOKUP(jablka[[#This Row],[Nazwa]],cennik[],2,0) * jablka[[#This Row],[sprzedaż]]</f>
        <v>396.8</v>
      </c>
    </row>
    <row r="1917" spans="1:6" x14ac:dyDescent="0.25">
      <c r="A1917" s="2">
        <v>44842</v>
      </c>
      <c r="B1917" s="1" t="s">
        <v>14</v>
      </c>
      <c r="C1917" s="1" t="s">
        <v>67</v>
      </c>
      <c r="D1917" s="1" t="s">
        <v>56</v>
      </c>
      <c r="E1917">
        <v>268</v>
      </c>
      <c r="F1917" s="1">
        <f>VLOOKUP(jablka[[#This Row],[Nazwa]],cennik[],2,0) * jablka[[#This Row],[sprzedaż]]</f>
        <v>938</v>
      </c>
    </row>
    <row r="1918" spans="1:6" x14ac:dyDescent="0.25">
      <c r="A1918" s="2">
        <v>44842</v>
      </c>
      <c r="B1918" s="1" t="s">
        <v>9</v>
      </c>
      <c r="C1918" s="1" t="s">
        <v>67</v>
      </c>
      <c r="D1918" s="1" t="s">
        <v>66</v>
      </c>
      <c r="E1918">
        <v>460</v>
      </c>
      <c r="F1918" s="1">
        <f>VLOOKUP(jablka[[#This Row],[Nazwa]],cennik[],2,0) * jablka[[#This Row],[sprzedaż]]</f>
        <v>1150</v>
      </c>
    </row>
    <row r="1919" spans="1:6" x14ac:dyDescent="0.25">
      <c r="A1919" s="2">
        <v>44842</v>
      </c>
      <c r="B1919" s="1" t="s">
        <v>3</v>
      </c>
      <c r="C1919" s="1" t="s">
        <v>67</v>
      </c>
      <c r="D1919" s="1" t="s">
        <v>54</v>
      </c>
      <c r="E1919">
        <v>24</v>
      </c>
      <c r="F1919" s="1">
        <f>VLOOKUP(jablka[[#This Row],[Nazwa]],cennik[],2,0) * jablka[[#This Row],[sprzedaż]]</f>
        <v>76.800000000000011</v>
      </c>
    </row>
    <row r="1920" spans="1:6" x14ac:dyDescent="0.25">
      <c r="A1920" s="2">
        <v>44842</v>
      </c>
      <c r="B1920" s="1" t="s">
        <v>9</v>
      </c>
      <c r="C1920" s="1" t="s">
        <v>67</v>
      </c>
      <c r="D1920" s="1" t="s">
        <v>23</v>
      </c>
      <c r="E1920">
        <v>466</v>
      </c>
      <c r="F1920" s="1">
        <f>VLOOKUP(jablka[[#This Row],[Nazwa]],cennik[],2,0) * jablka[[#This Row],[sprzedaż]]</f>
        <v>1165</v>
      </c>
    </row>
    <row r="1921" spans="1:6" x14ac:dyDescent="0.25">
      <c r="A1921" s="2">
        <v>44842</v>
      </c>
      <c r="B1921" s="1" t="s">
        <v>11</v>
      </c>
      <c r="C1921" s="1" t="s">
        <v>67</v>
      </c>
      <c r="D1921" s="1" t="s">
        <v>46</v>
      </c>
      <c r="E1921">
        <v>260</v>
      </c>
      <c r="F1921" s="1">
        <f>VLOOKUP(jablka[[#This Row],[Nazwa]],cennik[],2,0) * jablka[[#This Row],[sprzedaż]]</f>
        <v>650</v>
      </c>
    </row>
    <row r="1922" spans="1:6" x14ac:dyDescent="0.25">
      <c r="A1922" s="2">
        <v>44842</v>
      </c>
      <c r="B1922" s="1" t="s">
        <v>11</v>
      </c>
      <c r="C1922" s="1" t="s">
        <v>67</v>
      </c>
      <c r="D1922" s="1" t="s">
        <v>64</v>
      </c>
      <c r="E1922">
        <v>343</v>
      </c>
      <c r="F1922" s="1">
        <f>VLOOKUP(jablka[[#This Row],[Nazwa]],cennik[],2,0) * jablka[[#This Row],[sprzedaż]]</f>
        <v>857.5</v>
      </c>
    </row>
    <row r="1923" spans="1:6" x14ac:dyDescent="0.25">
      <c r="A1923" s="2">
        <v>44842</v>
      </c>
      <c r="B1923" s="1" t="s">
        <v>14</v>
      </c>
      <c r="C1923" s="1" t="s">
        <v>67</v>
      </c>
      <c r="D1923" s="1" t="s">
        <v>48</v>
      </c>
      <c r="E1923">
        <v>430</v>
      </c>
      <c r="F1923" s="1">
        <f>VLOOKUP(jablka[[#This Row],[Nazwa]],cennik[],2,0) * jablka[[#This Row],[sprzedaż]]</f>
        <v>1505</v>
      </c>
    </row>
    <row r="1924" spans="1:6" x14ac:dyDescent="0.25">
      <c r="A1924" s="2">
        <v>44844</v>
      </c>
      <c r="B1924" s="1" t="s">
        <v>9</v>
      </c>
      <c r="C1924" s="1" t="s">
        <v>67</v>
      </c>
      <c r="D1924" s="1" t="s">
        <v>26</v>
      </c>
      <c r="E1924">
        <v>146</v>
      </c>
      <c r="F1924" s="1">
        <f>VLOOKUP(jablka[[#This Row],[Nazwa]],cennik[],2,0) * jablka[[#This Row],[sprzedaż]]</f>
        <v>365</v>
      </c>
    </row>
    <row r="1925" spans="1:6" x14ac:dyDescent="0.25">
      <c r="A1925" s="2">
        <v>44844</v>
      </c>
      <c r="B1925" s="1" t="s">
        <v>1</v>
      </c>
      <c r="C1925" s="1" t="s">
        <v>67</v>
      </c>
      <c r="D1925" s="1" t="s">
        <v>19</v>
      </c>
      <c r="E1925">
        <v>400</v>
      </c>
      <c r="F1925" s="1">
        <f>VLOOKUP(jablka[[#This Row],[Nazwa]],cennik[],2,0) * jablka[[#This Row],[sprzedaż]]</f>
        <v>1280</v>
      </c>
    </row>
    <row r="1926" spans="1:6" x14ac:dyDescent="0.25">
      <c r="A1926" s="2">
        <v>44844</v>
      </c>
      <c r="B1926" s="1" t="s">
        <v>3</v>
      </c>
      <c r="C1926" s="1" t="s">
        <v>67</v>
      </c>
      <c r="D1926" s="1" t="s">
        <v>44</v>
      </c>
      <c r="E1926">
        <v>306</v>
      </c>
      <c r="F1926" s="1">
        <f>VLOOKUP(jablka[[#This Row],[Nazwa]],cennik[],2,0) * jablka[[#This Row],[sprzedaż]]</f>
        <v>979.2</v>
      </c>
    </row>
    <row r="1927" spans="1:6" x14ac:dyDescent="0.25">
      <c r="A1927" s="2">
        <v>44844</v>
      </c>
      <c r="B1927" s="1" t="s">
        <v>3</v>
      </c>
      <c r="C1927" s="1" t="s">
        <v>67</v>
      </c>
      <c r="D1927" s="1" t="s">
        <v>53</v>
      </c>
      <c r="E1927">
        <v>340</v>
      </c>
      <c r="F1927" s="1">
        <f>VLOOKUP(jablka[[#This Row],[Nazwa]],cennik[],2,0) * jablka[[#This Row],[sprzedaż]]</f>
        <v>1088</v>
      </c>
    </row>
    <row r="1928" spans="1:6" x14ac:dyDescent="0.25">
      <c r="A1928" s="2">
        <v>44844</v>
      </c>
      <c r="B1928" s="1" t="s">
        <v>9</v>
      </c>
      <c r="C1928" s="1" t="s">
        <v>67</v>
      </c>
      <c r="D1928" s="1" t="s">
        <v>57</v>
      </c>
      <c r="E1928">
        <v>385</v>
      </c>
      <c r="F1928" s="1">
        <f>VLOOKUP(jablka[[#This Row],[Nazwa]],cennik[],2,0) * jablka[[#This Row],[sprzedaż]]</f>
        <v>962.5</v>
      </c>
    </row>
    <row r="1929" spans="1:6" x14ac:dyDescent="0.25">
      <c r="A1929" s="2">
        <v>44844</v>
      </c>
      <c r="B1929" s="1" t="s">
        <v>1</v>
      </c>
      <c r="C1929" s="1" t="s">
        <v>67</v>
      </c>
      <c r="D1929" s="1" t="s">
        <v>48</v>
      </c>
      <c r="E1929">
        <v>413</v>
      </c>
      <c r="F1929" s="1">
        <f>VLOOKUP(jablka[[#This Row],[Nazwa]],cennik[],2,0) * jablka[[#This Row],[sprzedaż]]</f>
        <v>1321.6000000000001</v>
      </c>
    </row>
    <row r="1930" spans="1:6" x14ac:dyDescent="0.25">
      <c r="A1930" s="2">
        <v>44844</v>
      </c>
      <c r="B1930" s="1" t="s">
        <v>1</v>
      </c>
      <c r="C1930" s="1" t="s">
        <v>67</v>
      </c>
      <c r="D1930" s="1" t="s">
        <v>66</v>
      </c>
      <c r="E1930">
        <v>343</v>
      </c>
      <c r="F1930" s="1">
        <f>VLOOKUP(jablka[[#This Row],[Nazwa]],cennik[],2,0) * jablka[[#This Row],[sprzedaż]]</f>
        <v>1097.6000000000001</v>
      </c>
    </row>
    <row r="1931" spans="1:6" x14ac:dyDescent="0.25">
      <c r="A1931" s="2">
        <v>44844</v>
      </c>
      <c r="B1931" s="1" t="s">
        <v>14</v>
      </c>
      <c r="C1931" s="1" t="s">
        <v>67</v>
      </c>
      <c r="D1931" s="1" t="s">
        <v>63</v>
      </c>
      <c r="E1931">
        <v>178</v>
      </c>
      <c r="F1931" s="1">
        <f>VLOOKUP(jablka[[#This Row],[Nazwa]],cennik[],2,0) * jablka[[#This Row],[sprzedaż]]</f>
        <v>623</v>
      </c>
    </row>
    <row r="1932" spans="1:6" x14ac:dyDescent="0.25">
      <c r="A1932" s="2">
        <v>44844</v>
      </c>
      <c r="B1932" s="1" t="s">
        <v>14</v>
      </c>
      <c r="C1932" s="1" t="s">
        <v>67</v>
      </c>
      <c r="D1932" s="1" t="s">
        <v>23</v>
      </c>
      <c r="E1932">
        <v>492</v>
      </c>
      <c r="F1932" s="1">
        <f>VLOOKUP(jablka[[#This Row],[Nazwa]],cennik[],2,0) * jablka[[#This Row],[sprzedaż]]</f>
        <v>1722</v>
      </c>
    </row>
    <row r="1933" spans="1:6" x14ac:dyDescent="0.25">
      <c r="A1933" s="2">
        <v>44844</v>
      </c>
      <c r="B1933" s="1" t="s">
        <v>1</v>
      </c>
      <c r="C1933" s="1" t="s">
        <v>67</v>
      </c>
      <c r="D1933" s="1" t="s">
        <v>26</v>
      </c>
      <c r="E1933">
        <v>468</v>
      </c>
      <c r="F1933" s="1">
        <f>VLOOKUP(jablka[[#This Row],[Nazwa]],cennik[],2,0) * jablka[[#This Row],[sprzedaż]]</f>
        <v>1497.6000000000001</v>
      </c>
    </row>
    <row r="1934" spans="1:6" x14ac:dyDescent="0.25">
      <c r="A1934" s="2">
        <v>44844</v>
      </c>
      <c r="B1934" s="1" t="s">
        <v>14</v>
      </c>
      <c r="C1934" s="1" t="s">
        <v>67</v>
      </c>
      <c r="D1934" s="1" t="s">
        <v>50</v>
      </c>
      <c r="E1934">
        <v>189</v>
      </c>
      <c r="F1934" s="1">
        <f>VLOOKUP(jablka[[#This Row],[Nazwa]],cennik[],2,0) * jablka[[#This Row],[sprzedaż]]</f>
        <v>661.5</v>
      </c>
    </row>
    <row r="1935" spans="1:6" x14ac:dyDescent="0.25">
      <c r="A1935" s="2">
        <v>44845</v>
      </c>
      <c r="B1935" s="1" t="s">
        <v>11</v>
      </c>
      <c r="C1935" s="1" t="s">
        <v>67</v>
      </c>
      <c r="D1935" s="1" t="s">
        <v>29</v>
      </c>
      <c r="E1935">
        <v>438</v>
      </c>
      <c r="F1935" s="1">
        <f>VLOOKUP(jablka[[#This Row],[Nazwa]],cennik[],2,0) * jablka[[#This Row],[sprzedaż]]</f>
        <v>1095</v>
      </c>
    </row>
    <row r="1936" spans="1:6" x14ac:dyDescent="0.25">
      <c r="A1936" s="2">
        <v>44845</v>
      </c>
      <c r="B1936" s="1" t="s">
        <v>11</v>
      </c>
      <c r="C1936" s="1" t="s">
        <v>67</v>
      </c>
      <c r="D1936" s="1" t="s">
        <v>66</v>
      </c>
      <c r="E1936">
        <v>305</v>
      </c>
      <c r="F1936" s="1">
        <f>VLOOKUP(jablka[[#This Row],[Nazwa]],cennik[],2,0) * jablka[[#This Row],[sprzedaż]]</f>
        <v>762.5</v>
      </c>
    </row>
    <row r="1937" spans="1:6" x14ac:dyDescent="0.25">
      <c r="A1937" s="2">
        <v>44846</v>
      </c>
      <c r="B1937" s="1" t="s">
        <v>14</v>
      </c>
      <c r="C1937" s="1" t="s">
        <v>67</v>
      </c>
      <c r="D1937" s="1" t="s">
        <v>21</v>
      </c>
      <c r="E1937">
        <v>141</v>
      </c>
      <c r="F1937" s="1">
        <f>VLOOKUP(jablka[[#This Row],[Nazwa]],cennik[],2,0) * jablka[[#This Row],[sprzedaż]]</f>
        <v>493.5</v>
      </c>
    </row>
    <row r="1938" spans="1:6" x14ac:dyDescent="0.25">
      <c r="A1938" s="2">
        <v>44846</v>
      </c>
      <c r="B1938" s="1" t="s">
        <v>14</v>
      </c>
      <c r="C1938" s="1" t="s">
        <v>67</v>
      </c>
      <c r="D1938" s="1" t="s">
        <v>41</v>
      </c>
      <c r="E1938">
        <v>238</v>
      </c>
      <c r="F1938" s="1">
        <f>VLOOKUP(jablka[[#This Row],[Nazwa]],cennik[],2,0) * jablka[[#This Row],[sprzedaż]]</f>
        <v>833</v>
      </c>
    </row>
    <row r="1939" spans="1:6" x14ac:dyDescent="0.25">
      <c r="A1939" s="2">
        <v>44846</v>
      </c>
      <c r="B1939" s="1" t="s">
        <v>11</v>
      </c>
      <c r="C1939" s="1" t="s">
        <v>67</v>
      </c>
      <c r="D1939" s="1" t="s">
        <v>30</v>
      </c>
      <c r="E1939">
        <v>425</v>
      </c>
      <c r="F1939" s="1">
        <f>VLOOKUP(jablka[[#This Row],[Nazwa]],cennik[],2,0) * jablka[[#This Row],[sprzedaż]]</f>
        <v>1062.5</v>
      </c>
    </row>
    <row r="1940" spans="1:6" x14ac:dyDescent="0.25">
      <c r="A1940" s="2">
        <v>44846</v>
      </c>
      <c r="B1940" s="1" t="s">
        <v>11</v>
      </c>
      <c r="C1940" s="1" t="s">
        <v>67</v>
      </c>
      <c r="D1940" s="1" t="s">
        <v>51</v>
      </c>
      <c r="E1940">
        <v>416</v>
      </c>
      <c r="F1940" s="1">
        <f>VLOOKUP(jablka[[#This Row],[Nazwa]],cennik[],2,0) * jablka[[#This Row],[sprzedaż]]</f>
        <v>1040</v>
      </c>
    </row>
    <row r="1941" spans="1:6" x14ac:dyDescent="0.25">
      <c r="A1941" s="2">
        <v>44846</v>
      </c>
      <c r="B1941" s="1" t="s">
        <v>3</v>
      </c>
      <c r="C1941" s="1" t="s">
        <v>67</v>
      </c>
      <c r="D1941" s="1" t="s">
        <v>64</v>
      </c>
      <c r="E1941">
        <v>32</v>
      </c>
      <c r="F1941" s="1">
        <f>VLOOKUP(jablka[[#This Row],[Nazwa]],cennik[],2,0) * jablka[[#This Row],[sprzedaż]]</f>
        <v>102.4</v>
      </c>
    </row>
    <row r="1942" spans="1:6" x14ac:dyDescent="0.25">
      <c r="A1942" s="2">
        <v>44846</v>
      </c>
      <c r="B1942" s="1" t="s">
        <v>3</v>
      </c>
      <c r="C1942" s="1" t="s">
        <v>67</v>
      </c>
      <c r="D1942" s="1" t="s">
        <v>63</v>
      </c>
      <c r="E1942">
        <v>292</v>
      </c>
      <c r="F1942" s="1">
        <f>VLOOKUP(jablka[[#This Row],[Nazwa]],cennik[],2,0) * jablka[[#This Row],[sprzedaż]]</f>
        <v>934.40000000000009</v>
      </c>
    </row>
    <row r="1943" spans="1:6" x14ac:dyDescent="0.25">
      <c r="A1943" s="2">
        <v>44846</v>
      </c>
      <c r="B1943" s="1" t="s">
        <v>14</v>
      </c>
      <c r="C1943" s="1" t="s">
        <v>67</v>
      </c>
      <c r="D1943" s="1" t="s">
        <v>20</v>
      </c>
      <c r="E1943">
        <v>475</v>
      </c>
      <c r="F1943" s="1">
        <f>VLOOKUP(jablka[[#This Row],[Nazwa]],cennik[],2,0) * jablka[[#This Row],[sprzedaż]]</f>
        <v>1662.5</v>
      </c>
    </row>
    <row r="1944" spans="1:6" x14ac:dyDescent="0.25">
      <c r="A1944" s="2">
        <v>44847</v>
      </c>
      <c r="B1944" s="1" t="s">
        <v>9</v>
      </c>
      <c r="C1944" s="1" t="s">
        <v>67</v>
      </c>
      <c r="D1944" s="1" t="s">
        <v>44</v>
      </c>
      <c r="E1944">
        <v>478</v>
      </c>
      <c r="F1944" s="1">
        <f>VLOOKUP(jablka[[#This Row],[Nazwa]],cennik[],2,0) * jablka[[#This Row],[sprzedaż]]</f>
        <v>1195</v>
      </c>
    </row>
    <row r="1945" spans="1:6" x14ac:dyDescent="0.25">
      <c r="A1945" s="2">
        <v>44847</v>
      </c>
      <c r="B1945" s="1" t="s">
        <v>14</v>
      </c>
      <c r="C1945" s="1" t="s">
        <v>67</v>
      </c>
      <c r="D1945" s="1" t="s">
        <v>46</v>
      </c>
      <c r="E1945">
        <v>395</v>
      </c>
      <c r="F1945" s="1">
        <f>VLOOKUP(jablka[[#This Row],[Nazwa]],cennik[],2,0) * jablka[[#This Row],[sprzedaż]]</f>
        <v>1382.5</v>
      </c>
    </row>
    <row r="1946" spans="1:6" x14ac:dyDescent="0.25">
      <c r="A1946" s="2">
        <v>44847</v>
      </c>
      <c r="B1946" s="1" t="s">
        <v>9</v>
      </c>
      <c r="C1946" s="1" t="s">
        <v>67</v>
      </c>
      <c r="D1946" s="1" t="s">
        <v>38</v>
      </c>
      <c r="E1946">
        <v>234</v>
      </c>
      <c r="F1946" s="1">
        <f>VLOOKUP(jablka[[#This Row],[Nazwa]],cennik[],2,0) * jablka[[#This Row],[sprzedaż]]</f>
        <v>585</v>
      </c>
    </row>
    <row r="1947" spans="1:6" x14ac:dyDescent="0.25">
      <c r="A1947" s="2">
        <v>44847</v>
      </c>
      <c r="B1947" s="1" t="s">
        <v>9</v>
      </c>
      <c r="C1947" s="1" t="s">
        <v>67</v>
      </c>
      <c r="D1947" s="1" t="s">
        <v>37</v>
      </c>
      <c r="E1947">
        <v>454</v>
      </c>
      <c r="F1947" s="1">
        <f>VLOOKUP(jablka[[#This Row],[Nazwa]],cennik[],2,0) * jablka[[#This Row],[sprzedaż]]</f>
        <v>1135</v>
      </c>
    </row>
    <row r="1948" spans="1:6" x14ac:dyDescent="0.25">
      <c r="A1948" s="2">
        <v>44847</v>
      </c>
      <c r="B1948" s="1" t="s">
        <v>9</v>
      </c>
      <c r="C1948" s="1" t="s">
        <v>67</v>
      </c>
      <c r="D1948" s="1" t="s">
        <v>29</v>
      </c>
      <c r="E1948">
        <v>379</v>
      </c>
      <c r="F1948" s="1">
        <f>VLOOKUP(jablka[[#This Row],[Nazwa]],cennik[],2,0) * jablka[[#This Row],[sprzedaż]]</f>
        <v>947.5</v>
      </c>
    </row>
    <row r="1949" spans="1:6" x14ac:dyDescent="0.25">
      <c r="A1949" s="2">
        <v>44847</v>
      </c>
      <c r="B1949" s="1" t="s">
        <v>11</v>
      </c>
      <c r="C1949" s="1" t="s">
        <v>67</v>
      </c>
      <c r="D1949" s="1" t="s">
        <v>51</v>
      </c>
      <c r="E1949">
        <v>17</v>
      </c>
      <c r="F1949" s="1">
        <f>VLOOKUP(jablka[[#This Row],[Nazwa]],cennik[],2,0) * jablka[[#This Row],[sprzedaż]]</f>
        <v>42.5</v>
      </c>
    </row>
    <row r="1950" spans="1:6" x14ac:dyDescent="0.25">
      <c r="A1950" s="2">
        <v>44848</v>
      </c>
      <c r="B1950" s="1" t="s">
        <v>9</v>
      </c>
      <c r="C1950" s="1" t="s">
        <v>67</v>
      </c>
      <c r="D1950" s="1" t="s">
        <v>20</v>
      </c>
      <c r="E1950">
        <v>232</v>
      </c>
      <c r="F1950" s="1">
        <f>VLOOKUP(jablka[[#This Row],[Nazwa]],cennik[],2,0) * jablka[[#This Row],[sprzedaż]]</f>
        <v>580</v>
      </c>
    </row>
    <row r="1951" spans="1:6" x14ac:dyDescent="0.25">
      <c r="A1951" s="2">
        <v>44848</v>
      </c>
      <c r="B1951" s="1" t="s">
        <v>14</v>
      </c>
      <c r="C1951" s="1" t="s">
        <v>67</v>
      </c>
      <c r="D1951" s="1" t="s">
        <v>43</v>
      </c>
      <c r="E1951">
        <v>499</v>
      </c>
      <c r="F1951" s="1">
        <f>VLOOKUP(jablka[[#This Row],[Nazwa]],cennik[],2,0) * jablka[[#This Row],[sprzedaż]]</f>
        <v>1746.5</v>
      </c>
    </row>
    <row r="1952" spans="1:6" x14ac:dyDescent="0.25">
      <c r="A1952" s="2">
        <v>44848</v>
      </c>
      <c r="B1952" s="1" t="s">
        <v>14</v>
      </c>
      <c r="C1952" s="1" t="s">
        <v>67</v>
      </c>
      <c r="D1952" s="1" t="s">
        <v>22</v>
      </c>
      <c r="E1952">
        <v>458</v>
      </c>
      <c r="F1952" s="1">
        <f>VLOOKUP(jablka[[#This Row],[Nazwa]],cennik[],2,0) * jablka[[#This Row],[sprzedaż]]</f>
        <v>1603</v>
      </c>
    </row>
    <row r="1953" spans="1:6" x14ac:dyDescent="0.25">
      <c r="A1953" s="2">
        <v>44848</v>
      </c>
      <c r="B1953" s="1" t="s">
        <v>1</v>
      </c>
      <c r="C1953" s="1" t="s">
        <v>67</v>
      </c>
      <c r="D1953" s="1" t="s">
        <v>48</v>
      </c>
      <c r="E1953">
        <v>110</v>
      </c>
      <c r="F1953" s="1">
        <f>VLOOKUP(jablka[[#This Row],[Nazwa]],cennik[],2,0) * jablka[[#This Row],[sprzedaż]]</f>
        <v>352</v>
      </c>
    </row>
    <row r="1954" spans="1:6" x14ac:dyDescent="0.25">
      <c r="A1954" s="2">
        <v>44848</v>
      </c>
      <c r="B1954" s="1" t="s">
        <v>11</v>
      </c>
      <c r="C1954" s="1" t="s">
        <v>67</v>
      </c>
      <c r="D1954" s="1" t="s">
        <v>54</v>
      </c>
      <c r="E1954">
        <v>254</v>
      </c>
      <c r="F1954" s="1">
        <f>VLOOKUP(jablka[[#This Row],[Nazwa]],cennik[],2,0) * jablka[[#This Row],[sprzedaż]]</f>
        <v>635</v>
      </c>
    </row>
    <row r="1955" spans="1:6" x14ac:dyDescent="0.25">
      <c r="A1955" s="2">
        <v>44849</v>
      </c>
      <c r="B1955" s="1" t="s">
        <v>9</v>
      </c>
      <c r="C1955" s="1" t="s">
        <v>67</v>
      </c>
      <c r="D1955" s="1" t="s">
        <v>23</v>
      </c>
      <c r="E1955">
        <v>346</v>
      </c>
      <c r="F1955" s="1">
        <f>VLOOKUP(jablka[[#This Row],[Nazwa]],cennik[],2,0) * jablka[[#This Row],[sprzedaż]]</f>
        <v>865</v>
      </c>
    </row>
    <row r="1956" spans="1:6" x14ac:dyDescent="0.25">
      <c r="A1956" s="2">
        <v>44849</v>
      </c>
      <c r="B1956" s="1" t="s">
        <v>9</v>
      </c>
      <c r="C1956" s="1" t="s">
        <v>67</v>
      </c>
      <c r="D1956" s="1" t="s">
        <v>48</v>
      </c>
      <c r="E1956">
        <v>423</v>
      </c>
      <c r="F1956" s="1">
        <f>VLOOKUP(jablka[[#This Row],[Nazwa]],cennik[],2,0) * jablka[[#This Row],[sprzedaż]]</f>
        <v>1057.5</v>
      </c>
    </row>
    <row r="1957" spans="1:6" x14ac:dyDescent="0.25">
      <c r="A1957" s="2">
        <v>44849</v>
      </c>
      <c r="B1957" s="1" t="s">
        <v>14</v>
      </c>
      <c r="C1957" s="1" t="s">
        <v>67</v>
      </c>
      <c r="D1957" s="1" t="s">
        <v>36</v>
      </c>
      <c r="E1957">
        <v>386</v>
      </c>
      <c r="F1957" s="1">
        <f>VLOOKUP(jablka[[#This Row],[Nazwa]],cennik[],2,0) * jablka[[#This Row],[sprzedaż]]</f>
        <v>1351</v>
      </c>
    </row>
    <row r="1958" spans="1:6" x14ac:dyDescent="0.25">
      <c r="A1958" s="2">
        <v>44849</v>
      </c>
      <c r="B1958" s="1" t="s">
        <v>14</v>
      </c>
      <c r="C1958" s="1" t="s">
        <v>67</v>
      </c>
      <c r="D1958" s="1" t="s">
        <v>49</v>
      </c>
      <c r="E1958">
        <v>487</v>
      </c>
      <c r="F1958" s="1">
        <f>VLOOKUP(jablka[[#This Row],[Nazwa]],cennik[],2,0) * jablka[[#This Row],[sprzedaż]]</f>
        <v>1704.5</v>
      </c>
    </row>
    <row r="1959" spans="1:6" x14ac:dyDescent="0.25">
      <c r="A1959" s="2">
        <v>44849</v>
      </c>
      <c r="B1959" s="1" t="s">
        <v>14</v>
      </c>
      <c r="C1959" s="1" t="s">
        <v>67</v>
      </c>
      <c r="D1959" s="1" t="s">
        <v>46</v>
      </c>
      <c r="E1959">
        <v>388</v>
      </c>
      <c r="F1959" s="1">
        <f>VLOOKUP(jablka[[#This Row],[Nazwa]],cennik[],2,0) * jablka[[#This Row],[sprzedaż]]</f>
        <v>1358</v>
      </c>
    </row>
    <row r="1960" spans="1:6" x14ac:dyDescent="0.25">
      <c r="A1960" s="2">
        <v>44849</v>
      </c>
      <c r="B1960" s="1" t="s">
        <v>14</v>
      </c>
      <c r="C1960" s="1" t="s">
        <v>67</v>
      </c>
      <c r="D1960" s="1" t="s">
        <v>29</v>
      </c>
      <c r="E1960">
        <v>168</v>
      </c>
      <c r="F1960" s="1">
        <f>VLOOKUP(jablka[[#This Row],[Nazwa]],cennik[],2,0) * jablka[[#This Row],[sprzedaż]]</f>
        <v>588</v>
      </c>
    </row>
    <row r="1961" spans="1:6" x14ac:dyDescent="0.25">
      <c r="A1961" s="2">
        <v>44849</v>
      </c>
      <c r="B1961" s="1" t="s">
        <v>14</v>
      </c>
      <c r="C1961" s="1" t="s">
        <v>67</v>
      </c>
      <c r="D1961" s="1" t="s">
        <v>66</v>
      </c>
      <c r="E1961">
        <v>356</v>
      </c>
      <c r="F1961" s="1">
        <f>VLOOKUP(jablka[[#This Row],[Nazwa]],cennik[],2,0) * jablka[[#This Row],[sprzedaż]]</f>
        <v>1246</v>
      </c>
    </row>
    <row r="1962" spans="1:6" x14ac:dyDescent="0.25">
      <c r="A1962" s="2">
        <v>44851</v>
      </c>
      <c r="B1962" s="1" t="s">
        <v>14</v>
      </c>
      <c r="C1962" s="1" t="s">
        <v>67</v>
      </c>
      <c r="D1962" s="1" t="s">
        <v>41</v>
      </c>
      <c r="E1962">
        <v>338</v>
      </c>
      <c r="F1962" s="1">
        <f>VLOOKUP(jablka[[#This Row],[Nazwa]],cennik[],2,0) * jablka[[#This Row],[sprzedaż]]</f>
        <v>1183</v>
      </c>
    </row>
    <row r="1963" spans="1:6" x14ac:dyDescent="0.25">
      <c r="A1963" s="2">
        <v>44851</v>
      </c>
      <c r="B1963" s="1" t="s">
        <v>1</v>
      </c>
      <c r="C1963" s="1" t="s">
        <v>67</v>
      </c>
      <c r="D1963" s="1" t="s">
        <v>43</v>
      </c>
      <c r="E1963">
        <v>86</v>
      </c>
      <c r="F1963" s="1">
        <f>VLOOKUP(jablka[[#This Row],[Nazwa]],cennik[],2,0) * jablka[[#This Row],[sprzedaż]]</f>
        <v>275.2</v>
      </c>
    </row>
    <row r="1964" spans="1:6" x14ac:dyDescent="0.25">
      <c r="A1964" s="2">
        <v>44851</v>
      </c>
      <c r="B1964" s="1" t="s">
        <v>3</v>
      </c>
      <c r="C1964" s="1" t="s">
        <v>67</v>
      </c>
      <c r="D1964" s="1" t="s">
        <v>57</v>
      </c>
      <c r="E1964">
        <v>251</v>
      </c>
      <c r="F1964" s="1">
        <f>VLOOKUP(jablka[[#This Row],[Nazwa]],cennik[],2,0) * jablka[[#This Row],[sprzedaż]]</f>
        <v>803.2</v>
      </c>
    </row>
    <row r="1965" spans="1:6" x14ac:dyDescent="0.25">
      <c r="A1965" s="2">
        <v>44851</v>
      </c>
      <c r="B1965" s="1" t="s">
        <v>11</v>
      </c>
      <c r="C1965" s="1" t="s">
        <v>67</v>
      </c>
      <c r="D1965" s="1" t="s">
        <v>52</v>
      </c>
      <c r="E1965">
        <v>30</v>
      </c>
      <c r="F1965" s="1">
        <f>VLOOKUP(jablka[[#This Row],[Nazwa]],cennik[],2,0) * jablka[[#This Row],[sprzedaż]]</f>
        <v>75</v>
      </c>
    </row>
    <row r="1966" spans="1:6" x14ac:dyDescent="0.25">
      <c r="A1966" s="2">
        <v>44851</v>
      </c>
      <c r="B1966" s="1" t="s">
        <v>11</v>
      </c>
      <c r="C1966" s="1" t="s">
        <v>67</v>
      </c>
      <c r="D1966" s="1" t="s">
        <v>30</v>
      </c>
      <c r="E1966">
        <v>364</v>
      </c>
      <c r="F1966" s="1">
        <f>VLOOKUP(jablka[[#This Row],[Nazwa]],cennik[],2,0) * jablka[[#This Row],[sprzedaż]]</f>
        <v>910</v>
      </c>
    </row>
    <row r="1967" spans="1:6" x14ac:dyDescent="0.25">
      <c r="A1967" s="2">
        <v>44851</v>
      </c>
      <c r="B1967" s="1" t="s">
        <v>14</v>
      </c>
      <c r="C1967" s="1" t="s">
        <v>67</v>
      </c>
      <c r="D1967" s="1" t="s">
        <v>28</v>
      </c>
      <c r="E1967">
        <v>396</v>
      </c>
      <c r="F1967" s="1">
        <f>VLOOKUP(jablka[[#This Row],[Nazwa]],cennik[],2,0) * jablka[[#This Row],[sprzedaż]]</f>
        <v>1386</v>
      </c>
    </row>
    <row r="1968" spans="1:6" x14ac:dyDescent="0.25">
      <c r="A1968" s="2">
        <v>44851</v>
      </c>
      <c r="B1968" s="1" t="s">
        <v>14</v>
      </c>
      <c r="C1968" s="1" t="s">
        <v>67</v>
      </c>
      <c r="D1968" s="1" t="s">
        <v>22</v>
      </c>
      <c r="E1968">
        <v>38</v>
      </c>
      <c r="F1968" s="1">
        <f>VLOOKUP(jablka[[#This Row],[Nazwa]],cennik[],2,0) * jablka[[#This Row],[sprzedaż]]</f>
        <v>133</v>
      </c>
    </row>
    <row r="1969" spans="1:6" x14ac:dyDescent="0.25">
      <c r="A1969" s="2">
        <v>44851</v>
      </c>
      <c r="B1969" s="1" t="s">
        <v>14</v>
      </c>
      <c r="C1969" s="1" t="s">
        <v>67</v>
      </c>
      <c r="D1969" s="1" t="s">
        <v>42</v>
      </c>
      <c r="E1969">
        <v>350</v>
      </c>
      <c r="F1969" s="1">
        <f>VLOOKUP(jablka[[#This Row],[Nazwa]],cennik[],2,0) * jablka[[#This Row],[sprzedaż]]</f>
        <v>1225</v>
      </c>
    </row>
    <row r="1970" spans="1:6" x14ac:dyDescent="0.25">
      <c r="A1970" s="2">
        <v>44851</v>
      </c>
      <c r="B1970" s="1" t="s">
        <v>1</v>
      </c>
      <c r="C1970" s="1" t="s">
        <v>67</v>
      </c>
      <c r="D1970" s="1" t="s">
        <v>63</v>
      </c>
      <c r="E1970">
        <v>263</v>
      </c>
      <c r="F1970" s="1">
        <f>VLOOKUP(jablka[[#This Row],[Nazwa]],cennik[],2,0) * jablka[[#This Row],[sprzedaż]]</f>
        <v>841.6</v>
      </c>
    </row>
    <row r="1971" spans="1:6" x14ac:dyDescent="0.25">
      <c r="A1971" s="2">
        <v>44851</v>
      </c>
      <c r="B1971" s="1" t="s">
        <v>1</v>
      </c>
      <c r="C1971" s="1" t="s">
        <v>67</v>
      </c>
      <c r="D1971" s="1" t="s">
        <v>61</v>
      </c>
      <c r="E1971">
        <v>208</v>
      </c>
      <c r="F1971" s="1">
        <f>VLOOKUP(jablka[[#This Row],[Nazwa]],cennik[],2,0) * jablka[[#This Row],[sprzedaż]]</f>
        <v>665.6</v>
      </c>
    </row>
    <row r="1972" spans="1:6" x14ac:dyDescent="0.25">
      <c r="A1972" s="2">
        <v>44851</v>
      </c>
      <c r="B1972" s="1" t="s">
        <v>3</v>
      </c>
      <c r="C1972" s="1" t="s">
        <v>67</v>
      </c>
      <c r="D1972" s="1" t="s">
        <v>50</v>
      </c>
      <c r="E1972">
        <v>253</v>
      </c>
      <c r="F1972" s="1">
        <f>VLOOKUP(jablka[[#This Row],[Nazwa]],cennik[],2,0) * jablka[[#This Row],[sprzedaż]]</f>
        <v>809.6</v>
      </c>
    </row>
    <row r="1973" spans="1:6" x14ac:dyDescent="0.25">
      <c r="A1973" s="2">
        <v>44851</v>
      </c>
      <c r="B1973" s="1" t="s">
        <v>3</v>
      </c>
      <c r="C1973" s="1" t="s">
        <v>67</v>
      </c>
      <c r="D1973" s="1" t="s">
        <v>61</v>
      </c>
      <c r="E1973">
        <v>361</v>
      </c>
      <c r="F1973" s="1">
        <f>VLOOKUP(jablka[[#This Row],[Nazwa]],cennik[],2,0) * jablka[[#This Row],[sprzedaż]]</f>
        <v>1155.2</v>
      </c>
    </row>
    <row r="1974" spans="1:6" x14ac:dyDescent="0.25">
      <c r="A1974" s="2">
        <v>44851</v>
      </c>
      <c r="B1974" s="1" t="s">
        <v>11</v>
      </c>
      <c r="C1974" s="1" t="s">
        <v>67</v>
      </c>
      <c r="D1974" s="1" t="s">
        <v>47</v>
      </c>
      <c r="E1974">
        <v>373</v>
      </c>
      <c r="F1974" s="1">
        <f>VLOOKUP(jablka[[#This Row],[Nazwa]],cennik[],2,0) * jablka[[#This Row],[sprzedaż]]</f>
        <v>932.5</v>
      </c>
    </row>
    <row r="1975" spans="1:6" x14ac:dyDescent="0.25">
      <c r="A1975" s="2">
        <v>44851</v>
      </c>
      <c r="B1975" s="1" t="s">
        <v>11</v>
      </c>
      <c r="C1975" s="1" t="s">
        <v>67</v>
      </c>
      <c r="D1975" s="1" t="s">
        <v>23</v>
      </c>
      <c r="E1975">
        <v>57</v>
      </c>
      <c r="F1975" s="1">
        <f>VLOOKUP(jablka[[#This Row],[Nazwa]],cennik[],2,0) * jablka[[#This Row],[sprzedaż]]</f>
        <v>142.5</v>
      </c>
    </row>
    <row r="1976" spans="1:6" x14ac:dyDescent="0.25">
      <c r="A1976" s="2">
        <v>44852</v>
      </c>
      <c r="B1976" s="1" t="s">
        <v>9</v>
      </c>
      <c r="C1976" s="1" t="s">
        <v>67</v>
      </c>
      <c r="D1976" s="1" t="s">
        <v>20</v>
      </c>
      <c r="E1976">
        <v>15</v>
      </c>
      <c r="F1976" s="1">
        <f>VLOOKUP(jablka[[#This Row],[Nazwa]],cennik[],2,0) * jablka[[#This Row],[sprzedaż]]</f>
        <v>37.5</v>
      </c>
    </row>
    <row r="1977" spans="1:6" x14ac:dyDescent="0.25">
      <c r="A1977" s="2">
        <v>44852</v>
      </c>
      <c r="B1977" s="1" t="s">
        <v>9</v>
      </c>
      <c r="C1977" s="1" t="s">
        <v>67</v>
      </c>
      <c r="D1977" s="1" t="s">
        <v>44</v>
      </c>
      <c r="E1977">
        <v>72</v>
      </c>
      <c r="F1977" s="1">
        <f>VLOOKUP(jablka[[#This Row],[Nazwa]],cennik[],2,0) * jablka[[#This Row],[sprzedaż]]</f>
        <v>180</v>
      </c>
    </row>
    <row r="1978" spans="1:6" x14ac:dyDescent="0.25">
      <c r="A1978" s="2">
        <v>44852</v>
      </c>
      <c r="B1978" s="1" t="s">
        <v>3</v>
      </c>
      <c r="C1978" s="1" t="s">
        <v>67</v>
      </c>
      <c r="D1978" s="1" t="s">
        <v>50</v>
      </c>
      <c r="E1978">
        <v>269</v>
      </c>
      <c r="F1978" s="1">
        <f>VLOOKUP(jablka[[#This Row],[Nazwa]],cennik[],2,0) * jablka[[#This Row],[sprzedaż]]</f>
        <v>860.80000000000007</v>
      </c>
    </row>
    <row r="1979" spans="1:6" x14ac:dyDescent="0.25">
      <c r="A1979" s="2">
        <v>44852</v>
      </c>
      <c r="B1979" s="1" t="s">
        <v>9</v>
      </c>
      <c r="C1979" s="1" t="s">
        <v>67</v>
      </c>
      <c r="D1979" s="1" t="s">
        <v>54</v>
      </c>
      <c r="E1979">
        <v>342</v>
      </c>
      <c r="F1979" s="1">
        <f>VLOOKUP(jablka[[#This Row],[Nazwa]],cennik[],2,0) * jablka[[#This Row],[sprzedaż]]</f>
        <v>855</v>
      </c>
    </row>
    <row r="1980" spans="1:6" x14ac:dyDescent="0.25">
      <c r="A1980" s="2">
        <v>44852</v>
      </c>
      <c r="B1980" s="1" t="s">
        <v>14</v>
      </c>
      <c r="C1980" s="1" t="s">
        <v>67</v>
      </c>
      <c r="D1980" s="1" t="s">
        <v>26</v>
      </c>
      <c r="E1980">
        <v>207</v>
      </c>
      <c r="F1980" s="1">
        <f>VLOOKUP(jablka[[#This Row],[Nazwa]],cennik[],2,0) * jablka[[#This Row],[sprzedaż]]</f>
        <v>724.5</v>
      </c>
    </row>
    <row r="1981" spans="1:6" x14ac:dyDescent="0.25">
      <c r="A1981" s="2">
        <v>44852</v>
      </c>
      <c r="B1981" s="1" t="s">
        <v>1</v>
      </c>
      <c r="C1981" s="1" t="s">
        <v>67</v>
      </c>
      <c r="D1981" s="1" t="s">
        <v>22</v>
      </c>
      <c r="E1981">
        <v>308</v>
      </c>
      <c r="F1981" s="1">
        <f>VLOOKUP(jablka[[#This Row],[Nazwa]],cennik[],2,0) * jablka[[#This Row],[sprzedaż]]</f>
        <v>985.6</v>
      </c>
    </row>
    <row r="1982" spans="1:6" x14ac:dyDescent="0.25">
      <c r="A1982" s="2">
        <v>44852</v>
      </c>
      <c r="B1982" s="1" t="s">
        <v>9</v>
      </c>
      <c r="C1982" s="1" t="s">
        <v>67</v>
      </c>
      <c r="D1982" s="1" t="s">
        <v>25</v>
      </c>
      <c r="E1982">
        <v>274</v>
      </c>
      <c r="F1982" s="1">
        <f>VLOOKUP(jablka[[#This Row],[Nazwa]],cennik[],2,0) * jablka[[#This Row],[sprzedaż]]</f>
        <v>685</v>
      </c>
    </row>
    <row r="1983" spans="1:6" x14ac:dyDescent="0.25">
      <c r="A1983" s="2">
        <v>44853</v>
      </c>
      <c r="B1983" s="1" t="s">
        <v>1</v>
      </c>
      <c r="C1983" s="1" t="s">
        <v>67</v>
      </c>
      <c r="D1983" s="1" t="s">
        <v>47</v>
      </c>
      <c r="E1983">
        <v>26</v>
      </c>
      <c r="F1983" s="1">
        <f>VLOOKUP(jablka[[#This Row],[Nazwa]],cennik[],2,0) * jablka[[#This Row],[sprzedaż]]</f>
        <v>83.2</v>
      </c>
    </row>
    <row r="1984" spans="1:6" x14ac:dyDescent="0.25">
      <c r="A1984" s="2">
        <v>44853</v>
      </c>
      <c r="B1984" s="1" t="s">
        <v>14</v>
      </c>
      <c r="C1984" s="1" t="s">
        <v>67</v>
      </c>
      <c r="D1984" s="1" t="s">
        <v>45</v>
      </c>
      <c r="E1984">
        <v>490</v>
      </c>
      <c r="F1984" s="1">
        <f>VLOOKUP(jablka[[#This Row],[Nazwa]],cennik[],2,0) * jablka[[#This Row],[sprzedaż]]</f>
        <v>1715</v>
      </c>
    </row>
    <row r="1985" spans="1:6" x14ac:dyDescent="0.25">
      <c r="A1985" s="2">
        <v>44853</v>
      </c>
      <c r="B1985" s="1" t="s">
        <v>14</v>
      </c>
      <c r="C1985" s="1" t="s">
        <v>67</v>
      </c>
      <c r="D1985" s="1" t="s">
        <v>22</v>
      </c>
      <c r="E1985">
        <v>52</v>
      </c>
      <c r="F1985" s="1">
        <f>VLOOKUP(jablka[[#This Row],[Nazwa]],cennik[],2,0) * jablka[[#This Row],[sprzedaż]]</f>
        <v>182</v>
      </c>
    </row>
    <row r="1986" spans="1:6" x14ac:dyDescent="0.25">
      <c r="A1986" s="2">
        <v>44853</v>
      </c>
      <c r="B1986" s="1" t="s">
        <v>3</v>
      </c>
      <c r="C1986" s="1" t="s">
        <v>67</v>
      </c>
      <c r="D1986" s="1" t="s">
        <v>65</v>
      </c>
      <c r="E1986">
        <v>457</v>
      </c>
      <c r="F1986" s="1">
        <f>VLOOKUP(jablka[[#This Row],[Nazwa]],cennik[],2,0) * jablka[[#This Row],[sprzedaż]]</f>
        <v>1462.4</v>
      </c>
    </row>
    <row r="1987" spans="1:6" x14ac:dyDescent="0.25">
      <c r="A1987" s="2">
        <v>44853</v>
      </c>
      <c r="B1987" s="1" t="s">
        <v>1</v>
      </c>
      <c r="C1987" s="1" t="s">
        <v>67</v>
      </c>
      <c r="D1987" s="1" t="s">
        <v>47</v>
      </c>
      <c r="E1987">
        <v>347</v>
      </c>
      <c r="F1987" s="1">
        <f>VLOOKUP(jablka[[#This Row],[Nazwa]],cennik[],2,0) * jablka[[#This Row],[sprzedaż]]</f>
        <v>1110.4000000000001</v>
      </c>
    </row>
    <row r="1988" spans="1:6" x14ac:dyDescent="0.25">
      <c r="A1988" s="2">
        <v>44853</v>
      </c>
      <c r="B1988" s="1" t="s">
        <v>11</v>
      </c>
      <c r="C1988" s="1" t="s">
        <v>67</v>
      </c>
      <c r="D1988" s="1" t="s">
        <v>49</v>
      </c>
      <c r="E1988">
        <v>24</v>
      </c>
      <c r="F1988" s="1">
        <f>VLOOKUP(jablka[[#This Row],[Nazwa]],cennik[],2,0) * jablka[[#This Row],[sprzedaż]]</f>
        <v>60</v>
      </c>
    </row>
    <row r="1989" spans="1:6" x14ac:dyDescent="0.25">
      <c r="A1989" s="2">
        <v>44853</v>
      </c>
      <c r="B1989" s="1" t="s">
        <v>9</v>
      </c>
      <c r="C1989" s="1" t="s">
        <v>67</v>
      </c>
      <c r="D1989" s="1" t="s">
        <v>26</v>
      </c>
      <c r="E1989">
        <v>117</v>
      </c>
      <c r="F1989" s="1">
        <f>VLOOKUP(jablka[[#This Row],[Nazwa]],cennik[],2,0) * jablka[[#This Row],[sprzedaż]]</f>
        <v>292.5</v>
      </c>
    </row>
    <row r="1990" spans="1:6" x14ac:dyDescent="0.25">
      <c r="A1990" s="2">
        <v>44854</v>
      </c>
      <c r="B1990" s="1" t="s">
        <v>11</v>
      </c>
      <c r="C1990" s="1" t="s">
        <v>67</v>
      </c>
      <c r="D1990" s="1" t="s">
        <v>49</v>
      </c>
      <c r="E1990">
        <v>376</v>
      </c>
      <c r="F1990" s="1">
        <f>VLOOKUP(jablka[[#This Row],[Nazwa]],cennik[],2,0) * jablka[[#This Row],[sprzedaż]]</f>
        <v>940</v>
      </c>
    </row>
    <row r="1991" spans="1:6" x14ac:dyDescent="0.25">
      <c r="A1991" s="2">
        <v>44854</v>
      </c>
      <c r="B1991" s="1" t="s">
        <v>1</v>
      </c>
      <c r="C1991" s="1" t="s">
        <v>67</v>
      </c>
      <c r="D1991" s="1" t="s">
        <v>52</v>
      </c>
      <c r="E1991">
        <v>398</v>
      </c>
      <c r="F1991" s="1">
        <f>VLOOKUP(jablka[[#This Row],[Nazwa]],cennik[],2,0) * jablka[[#This Row],[sprzedaż]]</f>
        <v>1273.6000000000001</v>
      </c>
    </row>
    <row r="1992" spans="1:6" x14ac:dyDescent="0.25">
      <c r="A1992" s="2">
        <v>44855</v>
      </c>
      <c r="B1992" s="1" t="s">
        <v>9</v>
      </c>
      <c r="C1992" s="1" t="s">
        <v>67</v>
      </c>
      <c r="D1992" s="1" t="s">
        <v>61</v>
      </c>
      <c r="E1992">
        <v>421</v>
      </c>
      <c r="F1992" s="1">
        <f>VLOOKUP(jablka[[#This Row],[Nazwa]],cennik[],2,0) * jablka[[#This Row],[sprzedaż]]</f>
        <v>1052.5</v>
      </c>
    </row>
    <row r="1993" spans="1:6" x14ac:dyDescent="0.25">
      <c r="A1993" s="2">
        <v>44855</v>
      </c>
      <c r="B1993" s="1" t="s">
        <v>14</v>
      </c>
      <c r="C1993" s="1" t="s">
        <v>67</v>
      </c>
      <c r="D1993" s="1" t="s">
        <v>51</v>
      </c>
      <c r="E1993">
        <v>27</v>
      </c>
      <c r="F1993" s="1">
        <f>VLOOKUP(jablka[[#This Row],[Nazwa]],cennik[],2,0) * jablka[[#This Row],[sprzedaż]]</f>
        <v>94.5</v>
      </c>
    </row>
    <row r="1994" spans="1:6" x14ac:dyDescent="0.25">
      <c r="A1994" s="2">
        <v>44855</v>
      </c>
      <c r="B1994" s="1" t="s">
        <v>11</v>
      </c>
      <c r="C1994" s="1" t="s">
        <v>67</v>
      </c>
      <c r="D1994" s="1" t="s">
        <v>62</v>
      </c>
      <c r="E1994">
        <v>259</v>
      </c>
      <c r="F1994" s="1">
        <f>VLOOKUP(jablka[[#This Row],[Nazwa]],cennik[],2,0) * jablka[[#This Row],[sprzedaż]]</f>
        <v>647.5</v>
      </c>
    </row>
    <row r="1995" spans="1:6" x14ac:dyDescent="0.25">
      <c r="A1995" s="2">
        <v>44855</v>
      </c>
      <c r="B1995" s="1" t="s">
        <v>14</v>
      </c>
      <c r="C1995" s="1" t="s">
        <v>67</v>
      </c>
      <c r="D1995" s="1" t="s">
        <v>34</v>
      </c>
      <c r="E1995">
        <v>248</v>
      </c>
      <c r="F1995" s="1">
        <f>VLOOKUP(jablka[[#This Row],[Nazwa]],cennik[],2,0) * jablka[[#This Row],[sprzedaż]]</f>
        <v>868</v>
      </c>
    </row>
    <row r="1996" spans="1:6" x14ac:dyDescent="0.25">
      <c r="A1996" s="2">
        <v>44855</v>
      </c>
      <c r="B1996" s="1" t="s">
        <v>3</v>
      </c>
      <c r="C1996" s="1" t="s">
        <v>67</v>
      </c>
      <c r="D1996" s="1" t="s">
        <v>43</v>
      </c>
      <c r="E1996">
        <v>415</v>
      </c>
      <c r="F1996" s="1">
        <f>VLOOKUP(jablka[[#This Row],[Nazwa]],cennik[],2,0) * jablka[[#This Row],[sprzedaż]]</f>
        <v>1328</v>
      </c>
    </row>
    <row r="1997" spans="1:6" x14ac:dyDescent="0.25">
      <c r="A1997" s="2">
        <v>44855</v>
      </c>
      <c r="B1997" s="1" t="s">
        <v>3</v>
      </c>
      <c r="C1997" s="1" t="s">
        <v>67</v>
      </c>
      <c r="D1997" s="1" t="s">
        <v>22</v>
      </c>
      <c r="E1997">
        <v>87</v>
      </c>
      <c r="F1997" s="1">
        <f>VLOOKUP(jablka[[#This Row],[Nazwa]],cennik[],2,0) * jablka[[#This Row],[sprzedaż]]</f>
        <v>278.40000000000003</v>
      </c>
    </row>
    <row r="1998" spans="1:6" x14ac:dyDescent="0.25">
      <c r="A1998" s="2">
        <v>44856</v>
      </c>
      <c r="B1998" s="1" t="s">
        <v>3</v>
      </c>
      <c r="C1998" s="1" t="s">
        <v>67</v>
      </c>
      <c r="D1998" s="1" t="s">
        <v>18</v>
      </c>
      <c r="E1998">
        <v>142</v>
      </c>
      <c r="F1998" s="1">
        <f>VLOOKUP(jablka[[#This Row],[Nazwa]],cennik[],2,0) * jablka[[#This Row],[sprzedaż]]</f>
        <v>454.40000000000003</v>
      </c>
    </row>
    <row r="1999" spans="1:6" x14ac:dyDescent="0.25">
      <c r="A1999" s="2">
        <v>44856</v>
      </c>
      <c r="B1999" s="1" t="s">
        <v>3</v>
      </c>
      <c r="C1999" s="1" t="s">
        <v>67</v>
      </c>
      <c r="D1999" s="1" t="s">
        <v>24</v>
      </c>
      <c r="E1999">
        <v>450</v>
      </c>
      <c r="F1999" s="1">
        <f>VLOOKUP(jablka[[#This Row],[Nazwa]],cennik[],2,0) * jablka[[#This Row],[sprzedaż]]</f>
        <v>1440</v>
      </c>
    </row>
    <row r="2000" spans="1:6" x14ac:dyDescent="0.25">
      <c r="A2000" s="2">
        <v>44856</v>
      </c>
      <c r="B2000" s="1" t="s">
        <v>3</v>
      </c>
      <c r="C2000" s="1" t="s">
        <v>67</v>
      </c>
      <c r="D2000" s="1" t="s">
        <v>49</v>
      </c>
      <c r="E2000">
        <v>357</v>
      </c>
      <c r="F2000" s="1">
        <f>VLOOKUP(jablka[[#This Row],[Nazwa]],cennik[],2,0) * jablka[[#This Row],[sprzedaż]]</f>
        <v>1142.4000000000001</v>
      </c>
    </row>
    <row r="2001" spans="1:6" x14ac:dyDescent="0.25">
      <c r="A2001" s="2">
        <v>44856</v>
      </c>
      <c r="B2001" s="1" t="s">
        <v>9</v>
      </c>
      <c r="C2001" s="1" t="s">
        <v>67</v>
      </c>
      <c r="D2001" s="1" t="s">
        <v>28</v>
      </c>
      <c r="E2001">
        <v>53</v>
      </c>
      <c r="F2001" s="1">
        <f>VLOOKUP(jablka[[#This Row],[Nazwa]],cennik[],2,0) * jablka[[#This Row],[sprzedaż]]</f>
        <v>132.5</v>
      </c>
    </row>
    <row r="2002" spans="1:6" x14ac:dyDescent="0.25">
      <c r="A2002" s="2">
        <v>44856</v>
      </c>
      <c r="B2002" s="1" t="s">
        <v>14</v>
      </c>
      <c r="C2002" s="1" t="s">
        <v>67</v>
      </c>
      <c r="D2002" s="1" t="s">
        <v>35</v>
      </c>
      <c r="E2002">
        <v>218</v>
      </c>
      <c r="F2002" s="1">
        <f>VLOOKUP(jablka[[#This Row],[Nazwa]],cennik[],2,0) * jablka[[#This Row],[sprzedaż]]</f>
        <v>763</v>
      </c>
    </row>
    <row r="2003" spans="1:6" x14ac:dyDescent="0.25">
      <c r="A2003" s="2">
        <v>44856</v>
      </c>
      <c r="B2003" s="1" t="s">
        <v>14</v>
      </c>
      <c r="C2003" s="1" t="s">
        <v>67</v>
      </c>
      <c r="D2003" s="1" t="s">
        <v>48</v>
      </c>
      <c r="E2003">
        <v>396</v>
      </c>
      <c r="F2003" s="1">
        <f>VLOOKUP(jablka[[#This Row],[Nazwa]],cennik[],2,0) * jablka[[#This Row],[sprzedaż]]</f>
        <v>1386</v>
      </c>
    </row>
    <row r="2004" spans="1:6" x14ac:dyDescent="0.25">
      <c r="A2004" s="2">
        <v>44856</v>
      </c>
      <c r="B2004" s="1" t="s">
        <v>14</v>
      </c>
      <c r="C2004" s="1" t="s">
        <v>67</v>
      </c>
      <c r="D2004" s="1" t="s">
        <v>35</v>
      </c>
      <c r="E2004">
        <v>148</v>
      </c>
      <c r="F2004" s="1">
        <f>VLOOKUP(jablka[[#This Row],[Nazwa]],cennik[],2,0) * jablka[[#This Row],[sprzedaż]]</f>
        <v>518</v>
      </c>
    </row>
    <row r="2005" spans="1:6" x14ac:dyDescent="0.25">
      <c r="A2005" s="2">
        <v>44856</v>
      </c>
      <c r="B2005" s="1" t="s">
        <v>9</v>
      </c>
      <c r="C2005" s="1" t="s">
        <v>67</v>
      </c>
      <c r="D2005" s="1" t="s">
        <v>32</v>
      </c>
      <c r="E2005">
        <v>315</v>
      </c>
      <c r="F2005" s="1">
        <f>VLOOKUP(jablka[[#This Row],[Nazwa]],cennik[],2,0) * jablka[[#This Row],[sprzedaż]]</f>
        <v>787.5</v>
      </c>
    </row>
    <row r="2006" spans="1:6" x14ac:dyDescent="0.25">
      <c r="A2006" s="2">
        <v>44856</v>
      </c>
      <c r="B2006" s="1" t="s">
        <v>14</v>
      </c>
      <c r="C2006" s="1" t="s">
        <v>67</v>
      </c>
      <c r="D2006" s="1" t="s">
        <v>37</v>
      </c>
      <c r="E2006">
        <v>102</v>
      </c>
      <c r="F2006" s="1">
        <f>VLOOKUP(jablka[[#This Row],[Nazwa]],cennik[],2,0) * jablka[[#This Row],[sprzedaż]]</f>
        <v>357</v>
      </c>
    </row>
    <row r="2007" spans="1:6" x14ac:dyDescent="0.25">
      <c r="A2007" s="2">
        <v>44858</v>
      </c>
      <c r="B2007" s="1" t="s">
        <v>9</v>
      </c>
      <c r="C2007" s="1" t="s">
        <v>67</v>
      </c>
      <c r="D2007" s="1" t="s">
        <v>19</v>
      </c>
      <c r="E2007">
        <v>47</v>
      </c>
      <c r="F2007" s="1">
        <f>VLOOKUP(jablka[[#This Row],[Nazwa]],cennik[],2,0) * jablka[[#This Row],[sprzedaż]]</f>
        <v>117.5</v>
      </c>
    </row>
    <row r="2008" spans="1:6" x14ac:dyDescent="0.25">
      <c r="A2008" s="2">
        <v>44858</v>
      </c>
      <c r="B2008" s="1" t="s">
        <v>3</v>
      </c>
      <c r="C2008" s="1" t="s">
        <v>67</v>
      </c>
      <c r="D2008" s="1" t="s">
        <v>38</v>
      </c>
      <c r="E2008">
        <v>336</v>
      </c>
      <c r="F2008" s="1">
        <f>VLOOKUP(jablka[[#This Row],[Nazwa]],cennik[],2,0) * jablka[[#This Row],[sprzedaż]]</f>
        <v>1075.2</v>
      </c>
    </row>
    <row r="2009" spans="1:6" x14ac:dyDescent="0.25">
      <c r="A2009" s="2">
        <v>44858</v>
      </c>
      <c r="B2009" s="1" t="s">
        <v>11</v>
      </c>
      <c r="C2009" s="1" t="s">
        <v>67</v>
      </c>
      <c r="D2009" s="1" t="s">
        <v>43</v>
      </c>
      <c r="E2009">
        <v>32</v>
      </c>
      <c r="F2009" s="1">
        <f>VLOOKUP(jablka[[#This Row],[Nazwa]],cennik[],2,0) * jablka[[#This Row],[sprzedaż]]</f>
        <v>80</v>
      </c>
    </row>
    <row r="2010" spans="1:6" x14ac:dyDescent="0.25">
      <c r="A2010" s="2">
        <v>44858</v>
      </c>
      <c r="B2010" s="1" t="s">
        <v>9</v>
      </c>
      <c r="C2010" s="1" t="s">
        <v>67</v>
      </c>
      <c r="D2010" s="1" t="s">
        <v>58</v>
      </c>
      <c r="E2010">
        <v>23</v>
      </c>
      <c r="F2010" s="1">
        <f>VLOOKUP(jablka[[#This Row],[Nazwa]],cennik[],2,0) * jablka[[#This Row],[sprzedaż]]</f>
        <v>57.5</v>
      </c>
    </row>
    <row r="2011" spans="1:6" x14ac:dyDescent="0.25">
      <c r="A2011" s="2">
        <v>44858</v>
      </c>
      <c r="B2011" s="1" t="s">
        <v>1</v>
      </c>
      <c r="C2011" s="1" t="s">
        <v>67</v>
      </c>
      <c r="D2011" s="1" t="s">
        <v>19</v>
      </c>
      <c r="E2011">
        <v>217</v>
      </c>
      <c r="F2011" s="1">
        <f>VLOOKUP(jablka[[#This Row],[Nazwa]],cennik[],2,0) * jablka[[#This Row],[sprzedaż]]</f>
        <v>694.40000000000009</v>
      </c>
    </row>
    <row r="2012" spans="1:6" x14ac:dyDescent="0.25">
      <c r="A2012" s="2">
        <v>44858</v>
      </c>
      <c r="B2012" s="1" t="s">
        <v>14</v>
      </c>
      <c r="C2012" s="1" t="s">
        <v>67</v>
      </c>
      <c r="D2012" s="1" t="s">
        <v>29</v>
      </c>
      <c r="E2012">
        <v>133</v>
      </c>
      <c r="F2012" s="1">
        <f>VLOOKUP(jablka[[#This Row],[Nazwa]],cennik[],2,0) * jablka[[#This Row],[sprzedaż]]</f>
        <v>465.5</v>
      </c>
    </row>
    <row r="2013" spans="1:6" x14ac:dyDescent="0.25">
      <c r="A2013" s="2">
        <v>44858</v>
      </c>
      <c r="B2013" s="1" t="s">
        <v>14</v>
      </c>
      <c r="C2013" s="1" t="s">
        <v>67</v>
      </c>
      <c r="D2013" s="1" t="s">
        <v>23</v>
      </c>
      <c r="E2013">
        <v>478</v>
      </c>
      <c r="F2013" s="1">
        <f>VLOOKUP(jablka[[#This Row],[Nazwa]],cennik[],2,0) * jablka[[#This Row],[sprzedaż]]</f>
        <v>1673</v>
      </c>
    </row>
    <row r="2014" spans="1:6" x14ac:dyDescent="0.25">
      <c r="A2014" s="2">
        <v>44858</v>
      </c>
      <c r="B2014" s="1" t="s">
        <v>1</v>
      </c>
      <c r="C2014" s="1" t="s">
        <v>67</v>
      </c>
      <c r="D2014" s="1" t="s">
        <v>50</v>
      </c>
      <c r="E2014">
        <v>281</v>
      </c>
      <c r="F2014" s="1">
        <f>VLOOKUP(jablka[[#This Row],[Nazwa]],cennik[],2,0) * jablka[[#This Row],[sprzedaż]]</f>
        <v>899.2</v>
      </c>
    </row>
    <row r="2015" spans="1:6" x14ac:dyDescent="0.25">
      <c r="A2015" s="2">
        <v>44858</v>
      </c>
      <c r="B2015" s="1" t="s">
        <v>14</v>
      </c>
      <c r="C2015" s="1" t="s">
        <v>67</v>
      </c>
      <c r="D2015" s="1" t="s">
        <v>30</v>
      </c>
      <c r="E2015">
        <v>167</v>
      </c>
      <c r="F2015" s="1">
        <f>VLOOKUP(jablka[[#This Row],[Nazwa]],cennik[],2,0) * jablka[[#This Row],[sprzedaż]]</f>
        <v>584.5</v>
      </c>
    </row>
    <row r="2016" spans="1:6" x14ac:dyDescent="0.25">
      <c r="A2016" s="2">
        <v>44859</v>
      </c>
      <c r="B2016" s="1" t="s">
        <v>14</v>
      </c>
      <c r="C2016" s="1" t="s">
        <v>67</v>
      </c>
      <c r="D2016" s="1" t="s">
        <v>42</v>
      </c>
      <c r="E2016">
        <v>69</v>
      </c>
      <c r="F2016" s="1">
        <f>VLOOKUP(jablka[[#This Row],[Nazwa]],cennik[],2,0) * jablka[[#This Row],[sprzedaż]]</f>
        <v>241.5</v>
      </c>
    </row>
    <row r="2017" spans="1:6" x14ac:dyDescent="0.25">
      <c r="A2017" s="2">
        <v>44859</v>
      </c>
      <c r="B2017" s="1" t="s">
        <v>9</v>
      </c>
      <c r="C2017" s="1" t="s">
        <v>67</v>
      </c>
      <c r="D2017" s="1" t="s">
        <v>29</v>
      </c>
      <c r="E2017">
        <v>455</v>
      </c>
      <c r="F2017" s="1">
        <f>VLOOKUP(jablka[[#This Row],[Nazwa]],cennik[],2,0) * jablka[[#This Row],[sprzedaż]]</f>
        <v>1137.5</v>
      </c>
    </row>
    <row r="2018" spans="1:6" x14ac:dyDescent="0.25">
      <c r="A2018" s="2">
        <v>44859</v>
      </c>
      <c r="B2018" s="1" t="s">
        <v>9</v>
      </c>
      <c r="C2018" s="1" t="s">
        <v>67</v>
      </c>
      <c r="D2018" s="1" t="s">
        <v>56</v>
      </c>
      <c r="E2018">
        <v>492</v>
      </c>
      <c r="F2018" s="1">
        <f>VLOOKUP(jablka[[#This Row],[Nazwa]],cennik[],2,0) * jablka[[#This Row],[sprzedaż]]</f>
        <v>1230</v>
      </c>
    </row>
    <row r="2019" spans="1:6" x14ac:dyDescent="0.25">
      <c r="A2019" s="2">
        <v>44859</v>
      </c>
      <c r="B2019" s="1" t="s">
        <v>14</v>
      </c>
      <c r="C2019" s="1" t="s">
        <v>67</v>
      </c>
      <c r="D2019" s="1" t="s">
        <v>45</v>
      </c>
      <c r="E2019">
        <v>339</v>
      </c>
      <c r="F2019" s="1">
        <f>VLOOKUP(jablka[[#This Row],[Nazwa]],cennik[],2,0) * jablka[[#This Row],[sprzedaż]]</f>
        <v>1186.5</v>
      </c>
    </row>
    <row r="2020" spans="1:6" x14ac:dyDescent="0.25">
      <c r="A2020" s="2">
        <v>44860</v>
      </c>
      <c r="B2020" s="1" t="s">
        <v>9</v>
      </c>
      <c r="C2020" s="1" t="s">
        <v>67</v>
      </c>
      <c r="D2020" s="1" t="s">
        <v>47</v>
      </c>
      <c r="E2020">
        <v>192</v>
      </c>
      <c r="F2020" s="1">
        <f>VLOOKUP(jablka[[#This Row],[Nazwa]],cennik[],2,0) * jablka[[#This Row],[sprzedaż]]</f>
        <v>480</v>
      </c>
    </row>
    <row r="2021" spans="1:6" x14ac:dyDescent="0.25">
      <c r="A2021" s="2">
        <v>44860</v>
      </c>
      <c r="B2021" s="1" t="s">
        <v>1</v>
      </c>
      <c r="C2021" s="1" t="s">
        <v>67</v>
      </c>
      <c r="D2021" s="1" t="s">
        <v>63</v>
      </c>
      <c r="E2021">
        <v>489</v>
      </c>
      <c r="F2021" s="1">
        <f>VLOOKUP(jablka[[#This Row],[Nazwa]],cennik[],2,0) * jablka[[#This Row],[sprzedaż]]</f>
        <v>1564.8000000000002</v>
      </c>
    </row>
    <row r="2022" spans="1:6" x14ac:dyDescent="0.25">
      <c r="A2022" s="2">
        <v>44860</v>
      </c>
      <c r="B2022" s="1" t="s">
        <v>11</v>
      </c>
      <c r="C2022" s="1" t="s">
        <v>67</v>
      </c>
      <c r="D2022" s="1" t="s">
        <v>50</v>
      </c>
      <c r="E2022">
        <v>420</v>
      </c>
      <c r="F2022" s="1">
        <f>VLOOKUP(jablka[[#This Row],[Nazwa]],cennik[],2,0) * jablka[[#This Row],[sprzedaż]]</f>
        <v>1050</v>
      </c>
    </row>
    <row r="2023" spans="1:6" x14ac:dyDescent="0.25">
      <c r="A2023" s="2">
        <v>44860</v>
      </c>
      <c r="B2023" s="1" t="s">
        <v>14</v>
      </c>
      <c r="C2023" s="1" t="s">
        <v>67</v>
      </c>
      <c r="D2023" s="1" t="s">
        <v>27</v>
      </c>
      <c r="E2023">
        <v>369</v>
      </c>
      <c r="F2023" s="1">
        <f>VLOOKUP(jablka[[#This Row],[Nazwa]],cennik[],2,0) * jablka[[#This Row],[sprzedaż]]</f>
        <v>1291.5</v>
      </c>
    </row>
    <row r="2024" spans="1:6" x14ac:dyDescent="0.25">
      <c r="A2024" s="2">
        <v>44861</v>
      </c>
      <c r="B2024" s="1" t="s">
        <v>14</v>
      </c>
      <c r="C2024" s="1" t="s">
        <v>67</v>
      </c>
      <c r="D2024" s="1" t="s">
        <v>17</v>
      </c>
      <c r="E2024">
        <v>164</v>
      </c>
      <c r="F2024" s="1">
        <f>VLOOKUP(jablka[[#This Row],[Nazwa]],cennik[],2,0) * jablka[[#This Row],[sprzedaż]]</f>
        <v>574</v>
      </c>
    </row>
    <row r="2025" spans="1:6" x14ac:dyDescent="0.25">
      <c r="A2025" s="2">
        <v>44861</v>
      </c>
      <c r="B2025" s="1" t="s">
        <v>9</v>
      </c>
      <c r="C2025" s="1" t="s">
        <v>67</v>
      </c>
      <c r="D2025" s="1" t="s">
        <v>22</v>
      </c>
      <c r="E2025">
        <v>405</v>
      </c>
      <c r="F2025" s="1">
        <f>VLOOKUP(jablka[[#This Row],[Nazwa]],cennik[],2,0) * jablka[[#This Row],[sprzedaż]]</f>
        <v>1012.5</v>
      </c>
    </row>
    <row r="2026" spans="1:6" x14ac:dyDescent="0.25">
      <c r="A2026" s="2">
        <v>44861</v>
      </c>
      <c r="B2026" s="1" t="s">
        <v>14</v>
      </c>
      <c r="C2026" s="1" t="s">
        <v>67</v>
      </c>
      <c r="D2026" s="1" t="s">
        <v>45</v>
      </c>
      <c r="E2026">
        <v>251</v>
      </c>
      <c r="F2026" s="1">
        <f>VLOOKUP(jablka[[#This Row],[Nazwa]],cennik[],2,0) * jablka[[#This Row],[sprzedaż]]</f>
        <v>878.5</v>
      </c>
    </row>
    <row r="2027" spans="1:6" x14ac:dyDescent="0.25">
      <c r="A2027" s="2">
        <v>44861</v>
      </c>
      <c r="B2027" s="1" t="s">
        <v>1</v>
      </c>
      <c r="C2027" s="1" t="s">
        <v>67</v>
      </c>
      <c r="D2027" s="1" t="s">
        <v>36</v>
      </c>
      <c r="E2027">
        <v>316</v>
      </c>
      <c r="F2027" s="1">
        <f>VLOOKUP(jablka[[#This Row],[Nazwa]],cennik[],2,0) * jablka[[#This Row],[sprzedaż]]</f>
        <v>1011.2</v>
      </c>
    </row>
    <row r="2028" spans="1:6" x14ac:dyDescent="0.25">
      <c r="A2028" s="2">
        <v>44861</v>
      </c>
      <c r="B2028" s="1" t="s">
        <v>9</v>
      </c>
      <c r="C2028" s="1" t="s">
        <v>67</v>
      </c>
      <c r="D2028" s="1" t="s">
        <v>30</v>
      </c>
      <c r="E2028">
        <v>92</v>
      </c>
      <c r="F2028" s="1">
        <f>VLOOKUP(jablka[[#This Row],[Nazwa]],cennik[],2,0) * jablka[[#This Row],[sprzedaż]]</f>
        <v>230</v>
      </c>
    </row>
    <row r="2029" spans="1:6" x14ac:dyDescent="0.25">
      <c r="A2029" s="2">
        <v>44861</v>
      </c>
      <c r="B2029" s="1" t="s">
        <v>9</v>
      </c>
      <c r="C2029" s="1" t="s">
        <v>67</v>
      </c>
      <c r="D2029" s="1" t="s">
        <v>23</v>
      </c>
      <c r="E2029">
        <v>101</v>
      </c>
      <c r="F2029" s="1">
        <f>VLOOKUP(jablka[[#This Row],[Nazwa]],cennik[],2,0) * jablka[[#This Row],[sprzedaż]]</f>
        <v>252.5</v>
      </c>
    </row>
    <row r="2030" spans="1:6" x14ac:dyDescent="0.25">
      <c r="A2030" s="2">
        <v>44861</v>
      </c>
      <c r="B2030" s="1" t="s">
        <v>14</v>
      </c>
      <c r="C2030" s="1" t="s">
        <v>67</v>
      </c>
      <c r="D2030" s="1" t="s">
        <v>61</v>
      </c>
      <c r="E2030">
        <v>395</v>
      </c>
      <c r="F2030" s="1">
        <f>VLOOKUP(jablka[[#This Row],[Nazwa]],cennik[],2,0) * jablka[[#This Row],[sprzedaż]]</f>
        <v>1382.5</v>
      </c>
    </row>
    <row r="2031" spans="1:6" x14ac:dyDescent="0.25">
      <c r="A2031" s="2">
        <v>44861</v>
      </c>
      <c r="B2031" s="1" t="s">
        <v>3</v>
      </c>
      <c r="C2031" s="1" t="s">
        <v>67</v>
      </c>
      <c r="D2031" s="1" t="s">
        <v>29</v>
      </c>
      <c r="E2031">
        <v>365</v>
      </c>
      <c r="F2031" s="1">
        <f>VLOOKUP(jablka[[#This Row],[Nazwa]],cennik[],2,0) * jablka[[#This Row],[sprzedaż]]</f>
        <v>1168</v>
      </c>
    </row>
    <row r="2032" spans="1:6" x14ac:dyDescent="0.25">
      <c r="A2032" s="2">
        <v>44861</v>
      </c>
      <c r="B2032" s="1" t="s">
        <v>9</v>
      </c>
      <c r="C2032" s="1" t="s">
        <v>67</v>
      </c>
      <c r="D2032" s="1" t="s">
        <v>25</v>
      </c>
      <c r="E2032">
        <v>283</v>
      </c>
      <c r="F2032" s="1">
        <f>VLOOKUP(jablka[[#This Row],[Nazwa]],cennik[],2,0) * jablka[[#This Row],[sprzedaż]]</f>
        <v>707.5</v>
      </c>
    </row>
    <row r="2033" spans="1:6" x14ac:dyDescent="0.25">
      <c r="A2033" s="2">
        <v>44861</v>
      </c>
      <c r="B2033" s="1" t="s">
        <v>9</v>
      </c>
      <c r="C2033" s="1" t="s">
        <v>67</v>
      </c>
      <c r="D2033" s="1" t="s">
        <v>22</v>
      </c>
      <c r="E2033">
        <v>361</v>
      </c>
      <c r="F2033" s="1">
        <f>VLOOKUP(jablka[[#This Row],[Nazwa]],cennik[],2,0) * jablka[[#This Row],[sprzedaż]]</f>
        <v>902.5</v>
      </c>
    </row>
    <row r="2034" spans="1:6" x14ac:dyDescent="0.25">
      <c r="A2034" s="2">
        <v>44862</v>
      </c>
      <c r="B2034" s="1" t="s">
        <v>11</v>
      </c>
      <c r="C2034" s="1" t="s">
        <v>67</v>
      </c>
      <c r="D2034" s="1" t="s">
        <v>52</v>
      </c>
      <c r="E2034">
        <v>249</v>
      </c>
      <c r="F2034" s="1">
        <f>VLOOKUP(jablka[[#This Row],[Nazwa]],cennik[],2,0) * jablka[[#This Row],[sprzedaż]]</f>
        <v>622.5</v>
      </c>
    </row>
    <row r="2035" spans="1:6" x14ac:dyDescent="0.25">
      <c r="A2035" s="2">
        <v>44862</v>
      </c>
      <c r="B2035" s="1" t="s">
        <v>1</v>
      </c>
      <c r="C2035" s="1" t="s">
        <v>67</v>
      </c>
      <c r="D2035" s="1" t="s">
        <v>32</v>
      </c>
      <c r="E2035">
        <v>358</v>
      </c>
      <c r="F2035" s="1">
        <f>VLOOKUP(jablka[[#This Row],[Nazwa]],cennik[],2,0) * jablka[[#This Row],[sprzedaż]]</f>
        <v>1145.6000000000001</v>
      </c>
    </row>
    <row r="2036" spans="1:6" x14ac:dyDescent="0.25">
      <c r="A2036" s="2">
        <v>44862</v>
      </c>
      <c r="B2036" s="1" t="s">
        <v>11</v>
      </c>
      <c r="C2036" s="1" t="s">
        <v>67</v>
      </c>
      <c r="D2036" s="1" t="s">
        <v>54</v>
      </c>
      <c r="E2036">
        <v>329</v>
      </c>
      <c r="F2036" s="1">
        <f>VLOOKUP(jablka[[#This Row],[Nazwa]],cennik[],2,0) * jablka[[#This Row],[sprzedaż]]</f>
        <v>822.5</v>
      </c>
    </row>
    <row r="2037" spans="1:6" x14ac:dyDescent="0.25">
      <c r="A2037" s="2">
        <v>44862</v>
      </c>
      <c r="B2037" s="1" t="s">
        <v>14</v>
      </c>
      <c r="C2037" s="1" t="s">
        <v>67</v>
      </c>
      <c r="D2037" s="1" t="s">
        <v>57</v>
      </c>
      <c r="E2037">
        <v>67</v>
      </c>
      <c r="F2037" s="1">
        <f>VLOOKUP(jablka[[#This Row],[Nazwa]],cennik[],2,0) * jablka[[#This Row],[sprzedaż]]</f>
        <v>234.5</v>
      </c>
    </row>
    <row r="2038" spans="1:6" x14ac:dyDescent="0.25">
      <c r="A2038" s="2">
        <v>44862</v>
      </c>
      <c r="B2038" s="1" t="s">
        <v>11</v>
      </c>
      <c r="C2038" s="1" t="s">
        <v>67</v>
      </c>
      <c r="D2038" s="1" t="s">
        <v>20</v>
      </c>
      <c r="E2038">
        <v>102</v>
      </c>
      <c r="F2038" s="1">
        <f>VLOOKUP(jablka[[#This Row],[Nazwa]],cennik[],2,0) * jablka[[#This Row],[sprzedaż]]</f>
        <v>255</v>
      </c>
    </row>
    <row r="2039" spans="1:6" x14ac:dyDescent="0.25">
      <c r="A2039" s="2">
        <v>44862</v>
      </c>
      <c r="B2039" s="1" t="s">
        <v>11</v>
      </c>
      <c r="C2039" s="1" t="s">
        <v>67</v>
      </c>
      <c r="D2039" s="1" t="s">
        <v>51</v>
      </c>
      <c r="E2039">
        <v>305</v>
      </c>
      <c r="F2039" s="1">
        <f>VLOOKUP(jablka[[#This Row],[Nazwa]],cennik[],2,0) * jablka[[#This Row],[sprzedaż]]</f>
        <v>762.5</v>
      </c>
    </row>
    <row r="2040" spans="1:6" x14ac:dyDescent="0.25">
      <c r="A2040" s="2">
        <v>44863</v>
      </c>
      <c r="B2040" s="1" t="s">
        <v>14</v>
      </c>
      <c r="C2040" s="1" t="s">
        <v>67</v>
      </c>
      <c r="D2040" s="1" t="s">
        <v>23</v>
      </c>
      <c r="E2040">
        <v>228</v>
      </c>
      <c r="F2040" s="1">
        <f>VLOOKUP(jablka[[#This Row],[Nazwa]],cennik[],2,0) * jablka[[#This Row],[sprzedaż]]</f>
        <v>798</v>
      </c>
    </row>
    <row r="2041" spans="1:6" x14ac:dyDescent="0.25">
      <c r="A2041" s="2">
        <v>44863</v>
      </c>
      <c r="B2041" s="1" t="s">
        <v>1</v>
      </c>
      <c r="C2041" s="1" t="s">
        <v>67</v>
      </c>
      <c r="D2041" s="1" t="s">
        <v>64</v>
      </c>
      <c r="E2041">
        <v>86</v>
      </c>
      <c r="F2041" s="1">
        <f>VLOOKUP(jablka[[#This Row],[Nazwa]],cennik[],2,0) * jablka[[#This Row],[sprzedaż]]</f>
        <v>275.2</v>
      </c>
    </row>
    <row r="2042" spans="1:6" x14ac:dyDescent="0.25">
      <c r="A2042" s="2">
        <v>44863</v>
      </c>
      <c r="B2042" s="1" t="s">
        <v>14</v>
      </c>
      <c r="C2042" s="1" t="s">
        <v>67</v>
      </c>
      <c r="D2042" s="1" t="s">
        <v>20</v>
      </c>
      <c r="E2042">
        <v>133</v>
      </c>
      <c r="F2042" s="1">
        <f>VLOOKUP(jablka[[#This Row],[Nazwa]],cennik[],2,0) * jablka[[#This Row],[sprzedaż]]</f>
        <v>465.5</v>
      </c>
    </row>
    <row r="2043" spans="1:6" x14ac:dyDescent="0.25">
      <c r="A2043" s="2">
        <v>44863</v>
      </c>
      <c r="B2043" s="1" t="s">
        <v>14</v>
      </c>
      <c r="C2043" s="1" t="s">
        <v>67</v>
      </c>
      <c r="D2043" s="1" t="s">
        <v>32</v>
      </c>
      <c r="E2043">
        <v>226</v>
      </c>
      <c r="F2043" s="1">
        <f>VLOOKUP(jablka[[#This Row],[Nazwa]],cennik[],2,0) * jablka[[#This Row],[sprzedaż]]</f>
        <v>791</v>
      </c>
    </row>
    <row r="2044" spans="1:6" x14ac:dyDescent="0.25">
      <c r="A2044" s="2">
        <v>44863</v>
      </c>
      <c r="B2044" s="1" t="s">
        <v>14</v>
      </c>
      <c r="C2044" s="1" t="s">
        <v>67</v>
      </c>
      <c r="D2044" s="1" t="s">
        <v>62</v>
      </c>
      <c r="E2044">
        <v>66</v>
      </c>
      <c r="F2044" s="1">
        <f>VLOOKUP(jablka[[#This Row],[Nazwa]],cennik[],2,0) * jablka[[#This Row],[sprzedaż]]</f>
        <v>231</v>
      </c>
    </row>
    <row r="2045" spans="1:6" x14ac:dyDescent="0.25">
      <c r="A2045" s="2">
        <v>44863</v>
      </c>
      <c r="B2045" s="1" t="s">
        <v>3</v>
      </c>
      <c r="C2045" s="1" t="s">
        <v>67</v>
      </c>
      <c r="D2045" s="1" t="s">
        <v>40</v>
      </c>
      <c r="E2045">
        <v>10</v>
      </c>
      <c r="F2045" s="1">
        <f>VLOOKUP(jablka[[#This Row],[Nazwa]],cennik[],2,0) * jablka[[#This Row],[sprzedaż]]</f>
        <v>32</v>
      </c>
    </row>
    <row r="2046" spans="1:6" x14ac:dyDescent="0.25">
      <c r="A2046" s="2">
        <v>44863</v>
      </c>
      <c r="B2046" s="1" t="s">
        <v>11</v>
      </c>
      <c r="C2046" s="1" t="s">
        <v>67</v>
      </c>
      <c r="D2046" s="1" t="s">
        <v>19</v>
      </c>
      <c r="E2046">
        <v>80</v>
      </c>
      <c r="F2046" s="1">
        <f>VLOOKUP(jablka[[#This Row],[Nazwa]],cennik[],2,0) * jablka[[#This Row],[sprzedaż]]</f>
        <v>200</v>
      </c>
    </row>
    <row r="2047" spans="1:6" x14ac:dyDescent="0.25">
      <c r="A2047" s="2">
        <v>44863</v>
      </c>
      <c r="B2047" s="1" t="s">
        <v>11</v>
      </c>
      <c r="C2047" s="1" t="s">
        <v>67</v>
      </c>
      <c r="D2047" s="1" t="s">
        <v>56</v>
      </c>
      <c r="E2047">
        <v>19</v>
      </c>
      <c r="F2047" s="1">
        <f>VLOOKUP(jablka[[#This Row],[Nazwa]],cennik[],2,0) * jablka[[#This Row],[sprzedaż]]</f>
        <v>47.5</v>
      </c>
    </row>
    <row r="2048" spans="1:6" x14ac:dyDescent="0.25">
      <c r="A2048" s="2">
        <v>44863</v>
      </c>
      <c r="B2048" s="1" t="s">
        <v>9</v>
      </c>
      <c r="C2048" s="1" t="s">
        <v>67</v>
      </c>
      <c r="D2048" s="1" t="s">
        <v>61</v>
      </c>
      <c r="E2048">
        <v>242</v>
      </c>
      <c r="F2048" s="1">
        <f>VLOOKUP(jablka[[#This Row],[Nazwa]],cennik[],2,0) * jablka[[#This Row],[sprzedaż]]</f>
        <v>605</v>
      </c>
    </row>
    <row r="2049" spans="1:6" x14ac:dyDescent="0.25">
      <c r="A2049" s="2">
        <v>44863</v>
      </c>
      <c r="B2049" s="1" t="s">
        <v>3</v>
      </c>
      <c r="C2049" s="1" t="s">
        <v>67</v>
      </c>
      <c r="D2049" s="1" t="s">
        <v>53</v>
      </c>
      <c r="E2049">
        <v>477</v>
      </c>
      <c r="F2049" s="1">
        <f>VLOOKUP(jablka[[#This Row],[Nazwa]],cennik[],2,0) * jablka[[#This Row],[sprzedaż]]</f>
        <v>1526.4</v>
      </c>
    </row>
    <row r="2050" spans="1:6" x14ac:dyDescent="0.25">
      <c r="A2050" s="2">
        <v>44863</v>
      </c>
      <c r="B2050" s="1" t="s">
        <v>3</v>
      </c>
      <c r="C2050" s="1" t="s">
        <v>67</v>
      </c>
      <c r="D2050" s="1" t="s">
        <v>19</v>
      </c>
      <c r="E2050">
        <v>344</v>
      </c>
      <c r="F2050" s="1">
        <f>VLOOKUP(jablka[[#This Row],[Nazwa]],cennik[],2,0) * jablka[[#This Row],[sprzedaż]]</f>
        <v>1100.8</v>
      </c>
    </row>
    <row r="2051" spans="1:6" x14ac:dyDescent="0.25">
      <c r="A2051" s="2">
        <v>44863</v>
      </c>
      <c r="B2051" s="1" t="s">
        <v>14</v>
      </c>
      <c r="C2051" s="1" t="s">
        <v>67</v>
      </c>
      <c r="D2051" s="1" t="s">
        <v>28</v>
      </c>
      <c r="E2051">
        <v>287</v>
      </c>
      <c r="F2051" s="1">
        <f>VLOOKUP(jablka[[#This Row],[Nazwa]],cennik[],2,0) * jablka[[#This Row],[sprzedaż]]</f>
        <v>1004.5</v>
      </c>
    </row>
    <row r="2052" spans="1:6" x14ac:dyDescent="0.25">
      <c r="A2052" s="2">
        <v>44863</v>
      </c>
      <c r="B2052" s="1" t="s">
        <v>11</v>
      </c>
      <c r="C2052" s="1" t="s">
        <v>67</v>
      </c>
      <c r="D2052" s="1" t="s">
        <v>34</v>
      </c>
      <c r="E2052">
        <v>395</v>
      </c>
      <c r="F2052" s="1">
        <f>VLOOKUP(jablka[[#This Row],[Nazwa]],cennik[],2,0) * jablka[[#This Row],[sprzedaż]]</f>
        <v>987.5</v>
      </c>
    </row>
    <row r="2053" spans="1:6" x14ac:dyDescent="0.25">
      <c r="A2053" s="2">
        <v>44863</v>
      </c>
      <c r="B2053" s="1" t="s">
        <v>1</v>
      </c>
      <c r="C2053" s="1" t="s">
        <v>67</v>
      </c>
      <c r="D2053" s="1" t="s">
        <v>32</v>
      </c>
      <c r="E2053">
        <v>479</v>
      </c>
      <c r="F2053" s="1">
        <f>VLOOKUP(jablka[[#This Row],[Nazwa]],cennik[],2,0) * jablka[[#This Row],[sprzedaż]]</f>
        <v>1532.8000000000002</v>
      </c>
    </row>
    <row r="2054" spans="1:6" x14ac:dyDescent="0.25">
      <c r="A2054" s="2">
        <v>44863</v>
      </c>
      <c r="B2054" s="1" t="s">
        <v>3</v>
      </c>
      <c r="C2054" s="1" t="s">
        <v>67</v>
      </c>
      <c r="D2054" s="1" t="s">
        <v>65</v>
      </c>
      <c r="E2054">
        <v>403</v>
      </c>
      <c r="F2054" s="1">
        <f>VLOOKUP(jablka[[#This Row],[Nazwa]],cennik[],2,0) * jablka[[#This Row],[sprzedaż]]</f>
        <v>1289.6000000000001</v>
      </c>
    </row>
    <row r="2055" spans="1:6" x14ac:dyDescent="0.25">
      <c r="A2055" s="2">
        <v>44865</v>
      </c>
      <c r="B2055" s="1" t="s">
        <v>3</v>
      </c>
      <c r="C2055" s="1" t="s">
        <v>67</v>
      </c>
      <c r="D2055" s="1" t="s">
        <v>35</v>
      </c>
      <c r="E2055">
        <v>38</v>
      </c>
      <c r="F2055" s="1">
        <f>VLOOKUP(jablka[[#This Row],[Nazwa]],cennik[],2,0) * jablka[[#This Row],[sprzedaż]]</f>
        <v>121.60000000000001</v>
      </c>
    </row>
    <row r="2056" spans="1:6" x14ac:dyDescent="0.25">
      <c r="A2056" s="2">
        <v>44865</v>
      </c>
      <c r="B2056" s="1" t="s">
        <v>14</v>
      </c>
      <c r="C2056" s="1" t="s">
        <v>67</v>
      </c>
      <c r="D2056" s="1" t="s">
        <v>23</v>
      </c>
      <c r="E2056">
        <v>500</v>
      </c>
      <c r="F2056" s="1">
        <f>VLOOKUP(jablka[[#This Row],[Nazwa]],cennik[],2,0) * jablka[[#This Row],[sprzedaż]]</f>
        <v>1750</v>
      </c>
    </row>
    <row r="2057" spans="1:6" x14ac:dyDescent="0.25">
      <c r="A2057" s="2">
        <v>44865</v>
      </c>
      <c r="B2057" s="1" t="s">
        <v>11</v>
      </c>
      <c r="C2057" s="1" t="s">
        <v>67</v>
      </c>
      <c r="D2057" s="1" t="s">
        <v>32</v>
      </c>
      <c r="E2057">
        <v>174</v>
      </c>
      <c r="F2057" s="1">
        <f>VLOOKUP(jablka[[#This Row],[Nazwa]],cennik[],2,0) * jablka[[#This Row],[sprzedaż]]</f>
        <v>435</v>
      </c>
    </row>
    <row r="2058" spans="1:6" x14ac:dyDescent="0.25">
      <c r="A2058" s="2">
        <v>44865</v>
      </c>
      <c r="B2058" s="1" t="s">
        <v>1</v>
      </c>
      <c r="C2058" s="1" t="s">
        <v>67</v>
      </c>
      <c r="D2058" s="1" t="s">
        <v>49</v>
      </c>
      <c r="E2058">
        <v>243</v>
      </c>
      <c r="F2058" s="1">
        <f>VLOOKUP(jablka[[#This Row],[Nazwa]],cennik[],2,0) * jablka[[#This Row],[sprzedaż]]</f>
        <v>777.6</v>
      </c>
    </row>
    <row r="2059" spans="1:6" x14ac:dyDescent="0.25">
      <c r="A2059" s="2">
        <v>44865</v>
      </c>
      <c r="B2059" s="1" t="s">
        <v>14</v>
      </c>
      <c r="C2059" s="1" t="s">
        <v>67</v>
      </c>
      <c r="D2059" s="1" t="s">
        <v>29</v>
      </c>
      <c r="E2059">
        <v>284</v>
      </c>
      <c r="F2059" s="1">
        <f>VLOOKUP(jablka[[#This Row],[Nazwa]],cennik[],2,0) * jablka[[#This Row],[sprzedaż]]</f>
        <v>994</v>
      </c>
    </row>
    <row r="2060" spans="1:6" x14ac:dyDescent="0.25">
      <c r="A2060" s="2">
        <v>44865</v>
      </c>
      <c r="B2060" s="1" t="s">
        <v>11</v>
      </c>
      <c r="C2060" s="1" t="s">
        <v>67</v>
      </c>
      <c r="D2060" s="1" t="s">
        <v>25</v>
      </c>
      <c r="E2060">
        <v>259</v>
      </c>
      <c r="F2060" s="1">
        <f>VLOOKUP(jablka[[#This Row],[Nazwa]],cennik[],2,0) * jablka[[#This Row],[sprzedaż]]</f>
        <v>647.5</v>
      </c>
    </row>
    <row r="2061" spans="1:6" x14ac:dyDescent="0.25">
      <c r="A2061" s="2">
        <v>44865</v>
      </c>
      <c r="B2061" s="1" t="s">
        <v>11</v>
      </c>
      <c r="C2061" s="1" t="s">
        <v>67</v>
      </c>
      <c r="D2061" s="1" t="s">
        <v>17</v>
      </c>
      <c r="E2061">
        <v>415</v>
      </c>
      <c r="F2061" s="1">
        <f>VLOOKUP(jablka[[#This Row],[Nazwa]],cennik[],2,0) * jablka[[#This Row],[sprzedaż]]</f>
        <v>1037.5</v>
      </c>
    </row>
    <row r="2062" spans="1:6" x14ac:dyDescent="0.25">
      <c r="A2062" s="2">
        <v>44865</v>
      </c>
      <c r="B2062" s="1" t="s">
        <v>9</v>
      </c>
      <c r="C2062" s="1" t="s">
        <v>67</v>
      </c>
      <c r="D2062" s="1" t="s">
        <v>41</v>
      </c>
      <c r="E2062">
        <v>194</v>
      </c>
      <c r="F2062" s="1">
        <f>VLOOKUP(jablka[[#This Row],[Nazwa]],cennik[],2,0) * jablka[[#This Row],[sprzedaż]]</f>
        <v>485</v>
      </c>
    </row>
    <row r="2063" spans="1:6" x14ac:dyDescent="0.25">
      <c r="A2063" s="2">
        <v>44865</v>
      </c>
      <c r="B2063" s="1" t="s">
        <v>11</v>
      </c>
      <c r="C2063" s="1" t="s">
        <v>67</v>
      </c>
      <c r="D2063" s="1" t="s">
        <v>35</v>
      </c>
      <c r="E2063">
        <v>426</v>
      </c>
      <c r="F2063" s="1">
        <f>VLOOKUP(jablka[[#This Row],[Nazwa]],cennik[],2,0) * jablka[[#This Row],[sprzedaż]]</f>
        <v>1065</v>
      </c>
    </row>
    <row r="2064" spans="1:6" x14ac:dyDescent="0.25">
      <c r="A2064" s="2">
        <v>44865</v>
      </c>
      <c r="B2064" s="1" t="s">
        <v>3</v>
      </c>
      <c r="C2064" s="1" t="s">
        <v>67</v>
      </c>
      <c r="D2064" s="1" t="s">
        <v>63</v>
      </c>
      <c r="E2064">
        <v>41</v>
      </c>
      <c r="F2064" s="1">
        <f>VLOOKUP(jablka[[#This Row],[Nazwa]],cennik[],2,0) * jablka[[#This Row],[sprzedaż]]</f>
        <v>131.20000000000002</v>
      </c>
    </row>
    <row r="2065" spans="1:6" x14ac:dyDescent="0.25">
      <c r="A2065" s="2">
        <v>44865</v>
      </c>
      <c r="B2065" s="1" t="s">
        <v>14</v>
      </c>
      <c r="C2065" s="1" t="s">
        <v>67</v>
      </c>
      <c r="D2065" s="1" t="s">
        <v>62</v>
      </c>
      <c r="E2065">
        <v>280</v>
      </c>
      <c r="F2065" s="1">
        <f>VLOOKUP(jablka[[#This Row],[Nazwa]],cennik[],2,0) * jablka[[#This Row],[sprzedaż]]</f>
        <v>980</v>
      </c>
    </row>
    <row r="2066" spans="1:6" x14ac:dyDescent="0.25">
      <c r="A2066" s="2">
        <v>44865</v>
      </c>
      <c r="B2066" s="1" t="s">
        <v>9</v>
      </c>
      <c r="C2066" s="1" t="s">
        <v>67</v>
      </c>
      <c r="D2066" s="1" t="s">
        <v>52</v>
      </c>
      <c r="E2066">
        <v>267</v>
      </c>
      <c r="F2066" s="1">
        <f>VLOOKUP(jablka[[#This Row],[Nazwa]],cennik[],2,0) * jablka[[#This Row],[sprzedaż]]</f>
        <v>667.5</v>
      </c>
    </row>
    <row r="2067" spans="1:6" x14ac:dyDescent="0.25">
      <c r="A2067" s="2">
        <v>44865</v>
      </c>
      <c r="B2067" s="1" t="s">
        <v>1</v>
      </c>
      <c r="C2067" s="1" t="s">
        <v>67</v>
      </c>
      <c r="D2067" s="1" t="s">
        <v>60</v>
      </c>
      <c r="E2067">
        <v>370</v>
      </c>
      <c r="F2067" s="1">
        <f>VLOOKUP(jablka[[#This Row],[Nazwa]],cennik[],2,0) * jablka[[#This Row],[sprzedaż]]</f>
        <v>1184</v>
      </c>
    </row>
    <row r="2068" spans="1:6" x14ac:dyDescent="0.25">
      <c r="A2068" s="2">
        <v>44865</v>
      </c>
      <c r="B2068" s="1" t="s">
        <v>3</v>
      </c>
      <c r="C2068" s="1" t="s">
        <v>67</v>
      </c>
      <c r="D2068" s="1" t="s">
        <v>49</v>
      </c>
      <c r="E2068">
        <v>115</v>
      </c>
      <c r="F2068" s="1">
        <f>VLOOKUP(jablka[[#This Row],[Nazwa]],cennik[],2,0) * jablka[[#This Row],[sprzedaż]]</f>
        <v>368</v>
      </c>
    </row>
    <row r="2069" spans="1:6" x14ac:dyDescent="0.25">
      <c r="A2069" s="2">
        <v>44865</v>
      </c>
      <c r="B2069" s="1" t="s">
        <v>1</v>
      </c>
      <c r="C2069" s="1" t="s">
        <v>67</v>
      </c>
      <c r="D2069" s="1" t="s">
        <v>36</v>
      </c>
      <c r="E2069">
        <v>446</v>
      </c>
      <c r="F2069" s="1">
        <f>VLOOKUP(jablka[[#This Row],[Nazwa]],cennik[],2,0) * jablka[[#This Row],[sprzedaż]]</f>
        <v>1427.2</v>
      </c>
    </row>
    <row r="2070" spans="1:6" x14ac:dyDescent="0.25">
      <c r="A2070" s="2">
        <v>44865</v>
      </c>
      <c r="B2070" s="1" t="s">
        <v>9</v>
      </c>
      <c r="C2070" s="1" t="s">
        <v>67</v>
      </c>
      <c r="D2070" s="1" t="s">
        <v>54</v>
      </c>
      <c r="E2070">
        <v>127</v>
      </c>
      <c r="F2070" s="1">
        <f>VLOOKUP(jablka[[#This Row],[Nazwa]],cennik[],2,0) * jablka[[#This Row],[sprzedaż]]</f>
        <v>317.5</v>
      </c>
    </row>
    <row r="2071" spans="1:6" x14ac:dyDescent="0.25">
      <c r="A2071" s="2">
        <v>44865</v>
      </c>
      <c r="B2071" s="1" t="s">
        <v>9</v>
      </c>
      <c r="C2071" s="1" t="s">
        <v>67</v>
      </c>
      <c r="D2071" s="1" t="s">
        <v>40</v>
      </c>
      <c r="E2071">
        <v>246</v>
      </c>
      <c r="F2071" s="1">
        <f>VLOOKUP(jablka[[#This Row],[Nazwa]],cennik[],2,0) * jablka[[#This Row],[sprzedaż]]</f>
        <v>615</v>
      </c>
    </row>
    <row r="2072" spans="1:6" x14ac:dyDescent="0.25">
      <c r="A2072" s="2">
        <v>44865</v>
      </c>
      <c r="B2072" s="1" t="s">
        <v>9</v>
      </c>
      <c r="C2072" s="1" t="s">
        <v>67</v>
      </c>
      <c r="D2072" s="1" t="s">
        <v>55</v>
      </c>
      <c r="E2072">
        <v>98</v>
      </c>
      <c r="F2072" s="1">
        <f>VLOOKUP(jablka[[#This Row],[Nazwa]],cennik[],2,0) * jablka[[#This Row],[sprzedaż]]</f>
        <v>245</v>
      </c>
    </row>
    <row r="2073" spans="1:6" x14ac:dyDescent="0.25">
      <c r="A2073" s="2">
        <v>44865</v>
      </c>
      <c r="B2073" s="1" t="s">
        <v>11</v>
      </c>
      <c r="C2073" s="1" t="s">
        <v>67</v>
      </c>
      <c r="D2073" s="1" t="s">
        <v>37</v>
      </c>
      <c r="E2073">
        <v>475</v>
      </c>
      <c r="F2073" s="1">
        <f>VLOOKUP(jablka[[#This Row],[Nazwa]],cennik[],2,0) * jablka[[#This Row],[sprzedaż]]</f>
        <v>1187.5</v>
      </c>
    </row>
    <row r="2074" spans="1:6" x14ac:dyDescent="0.25">
      <c r="A2074" s="2">
        <v>44866</v>
      </c>
      <c r="B2074" s="1" t="s">
        <v>14</v>
      </c>
      <c r="C2074" s="1" t="s">
        <v>67</v>
      </c>
      <c r="D2074" s="1" t="s">
        <v>61</v>
      </c>
      <c r="E2074">
        <v>444</v>
      </c>
      <c r="F2074" s="1">
        <f>VLOOKUP(jablka[[#This Row],[Nazwa]],cennik[],2,0) * jablka[[#This Row],[sprzedaż]]</f>
        <v>1554</v>
      </c>
    </row>
    <row r="2075" spans="1:6" x14ac:dyDescent="0.25">
      <c r="A2075" s="2">
        <v>44866</v>
      </c>
      <c r="B2075" s="1" t="s">
        <v>14</v>
      </c>
      <c r="C2075" s="1" t="s">
        <v>67</v>
      </c>
      <c r="D2075" s="1" t="s">
        <v>42</v>
      </c>
      <c r="E2075">
        <v>244</v>
      </c>
      <c r="F2075" s="1">
        <f>VLOOKUP(jablka[[#This Row],[Nazwa]],cennik[],2,0) * jablka[[#This Row],[sprzedaż]]</f>
        <v>854</v>
      </c>
    </row>
    <row r="2076" spans="1:6" x14ac:dyDescent="0.25">
      <c r="A2076" s="2">
        <v>44866</v>
      </c>
      <c r="B2076" s="1" t="s">
        <v>11</v>
      </c>
      <c r="C2076" s="1" t="s">
        <v>67</v>
      </c>
      <c r="D2076" s="1" t="s">
        <v>55</v>
      </c>
      <c r="E2076">
        <v>424</v>
      </c>
      <c r="F2076" s="1">
        <f>VLOOKUP(jablka[[#This Row],[Nazwa]],cennik[],2,0) * jablka[[#This Row],[sprzedaż]]</f>
        <v>1060</v>
      </c>
    </row>
    <row r="2077" spans="1:6" x14ac:dyDescent="0.25">
      <c r="A2077" s="2">
        <v>44866</v>
      </c>
      <c r="B2077" s="1" t="s">
        <v>11</v>
      </c>
      <c r="C2077" s="1" t="s">
        <v>67</v>
      </c>
      <c r="D2077" s="1" t="s">
        <v>32</v>
      </c>
      <c r="E2077">
        <v>390</v>
      </c>
      <c r="F2077" s="1">
        <f>VLOOKUP(jablka[[#This Row],[Nazwa]],cennik[],2,0) * jablka[[#This Row],[sprzedaż]]</f>
        <v>975</v>
      </c>
    </row>
    <row r="2078" spans="1:6" x14ac:dyDescent="0.25">
      <c r="A2078" s="2">
        <v>44866</v>
      </c>
      <c r="B2078" s="1" t="s">
        <v>1</v>
      </c>
      <c r="C2078" s="1" t="s">
        <v>67</v>
      </c>
      <c r="D2078" s="1" t="s">
        <v>53</v>
      </c>
      <c r="E2078">
        <v>128</v>
      </c>
      <c r="F2078" s="1">
        <f>VLOOKUP(jablka[[#This Row],[Nazwa]],cennik[],2,0) * jablka[[#This Row],[sprzedaż]]</f>
        <v>409.6</v>
      </c>
    </row>
    <row r="2079" spans="1:6" x14ac:dyDescent="0.25">
      <c r="A2079" s="2">
        <v>44867</v>
      </c>
      <c r="B2079" s="1" t="s">
        <v>3</v>
      </c>
      <c r="C2079" s="1" t="s">
        <v>67</v>
      </c>
      <c r="D2079" s="1" t="s">
        <v>28</v>
      </c>
      <c r="E2079">
        <v>190</v>
      </c>
      <c r="F2079" s="1">
        <f>VLOOKUP(jablka[[#This Row],[Nazwa]],cennik[],2,0) * jablka[[#This Row],[sprzedaż]]</f>
        <v>608</v>
      </c>
    </row>
    <row r="2080" spans="1:6" x14ac:dyDescent="0.25">
      <c r="A2080" s="2">
        <v>44867</v>
      </c>
      <c r="B2080" s="1" t="s">
        <v>3</v>
      </c>
      <c r="C2080" s="1" t="s">
        <v>67</v>
      </c>
      <c r="D2080" s="1" t="s">
        <v>54</v>
      </c>
      <c r="E2080">
        <v>298</v>
      </c>
      <c r="F2080" s="1">
        <f>VLOOKUP(jablka[[#This Row],[Nazwa]],cennik[],2,0) * jablka[[#This Row],[sprzedaż]]</f>
        <v>953.6</v>
      </c>
    </row>
    <row r="2081" spans="1:6" x14ac:dyDescent="0.25">
      <c r="A2081" s="2">
        <v>44867</v>
      </c>
      <c r="B2081" s="1" t="s">
        <v>1</v>
      </c>
      <c r="C2081" s="1" t="s">
        <v>67</v>
      </c>
      <c r="D2081" s="1" t="s">
        <v>44</v>
      </c>
      <c r="E2081">
        <v>282</v>
      </c>
      <c r="F2081" s="1">
        <f>VLOOKUP(jablka[[#This Row],[Nazwa]],cennik[],2,0) * jablka[[#This Row],[sprzedaż]]</f>
        <v>902.40000000000009</v>
      </c>
    </row>
    <row r="2082" spans="1:6" x14ac:dyDescent="0.25">
      <c r="A2082" s="2">
        <v>44867</v>
      </c>
      <c r="B2082" s="1" t="s">
        <v>11</v>
      </c>
      <c r="C2082" s="1" t="s">
        <v>67</v>
      </c>
      <c r="D2082" s="1" t="s">
        <v>62</v>
      </c>
      <c r="E2082">
        <v>403</v>
      </c>
      <c r="F2082" s="1">
        <f>VLOOKUP(jablka[[#This Row],[Nazwa]],cennik[],2,0) * jablka[[#This Row],[sprzedaż]]</f>
        <v>1007.5</v>
      </c>
    </row>
    <row r="2083" spans="1:6" x14ac:dyDescent="0.25">
      <c r="A2083" s="2">
        <v>44867</v>
      </c>
      <c r="B2083" s="1" t="s">
        <v>1</v>
      </c>
      <c r="C2083" s="1" t="s">
        <v>67</v>
      </c>
      <c r="D2083" s="1" t="s">
        <v>41</v>
      </c>
      <c r="E2083">
        <v>327</v>
      </c>
      <c r="F2083" s="1">
        <f>VLOOKUP(jablka[[#This Row],[Nazwa]],cennik[],2,0) * jablka[[#This Row],[sprzedaż]]</f>
        <v>1046.4000000000001</v>
      </c>
    </row>
    <row r="2084" spans="1:6" x14ac:dyDescent="0.25">
      <c r="A2084" s="2">
        <v>44867</v>
      </c>
      <c r="B2084" s="1" t="s">
        <v>9</v>
      </c>
      <c r="C2084" s="1" t="s">
        <v>67</v>
      </c>
      <c r="D2084" s="1" t="s">
        <v>51</v>
      </c>
      <c r="E2084">
        <v>236</v>
      </c>
      <c r="F2084" s="1">
        <f>VLOOKUP(jablka[[#This Row],[Nazwa]],cennik[],2,0) * jablka[[#This Row],[sprzedaż]]</f>
        <v>590</v>
      </c>
    </row>
    <row r="2085" spans="1:6" x14ac:dyDescent="0.25">
      <c r="A2085" s="2">
        <v>44868</v>
      </c>
      <c r="B2085" s="1" t="s">
        <v>1</v>
      </c>
      <c r="C2085" s="1" t="s">
        <v>67</v>
      </c>
      <c r="D2085" s="1" t="s">
        <v>26</v>
      </c>
      <c r="E2085">
        <v>413</v>
      </c>
      <c r="F2085" s="1">
        <f>VLOOKUP(jablka[[#This Row],[Nazwa]],cennik[],2,0) * jablka[[#This Row],[sprzedaż]]</f>
        <v>1321.6000000000001</v>
      </c>
    </row>
    <row r="2086" spans="1:6" x14ac:dyDescent="0.25">
      <c r="A2086" s="2">
        <v>44868</v>
      </c>
      <c r="B2086" s="1" t="s">
        <v>9</v>
      </c>
      <c r="C2086" s="1" t="s">
        <v>67</v>
      </c>
      <c r="D2086" s="1" t="s">
        <v>19</v>
      </c>
      <c r="E2086">
        <v>207</v>
      </c>
      <c r="F2086" s="1">
        <f>VLOOKUP(jablka[[#This Row],[Nazwa]],cennik[],2,0) * jablka[[#This Row],[sprzedaż]]</f>
        <v>517.5</v>
      </c>
    </row>
    <row r="2087" spans="1:6" x14ac:dyDescent="0.25">
      <c r="A2087" s="2">
        <v>44868</v>
      </c>
      <c r="B2087" s="1" t="s">
        <v>3</v>
      </c>
      <c r="C2087" s="1" t="s">
        <v>67</v>
      </c>
      <c r="D2087" s="1" t="s">
        <v>65</v>
      </c>
      <c r="E2087">
        <v>68</v>
      </c>
      <c r="F2087" s="1">
        <f>VLOOKUP(jablka[[#This Row],[Nazwa]],cennik[],2,0) * jablka[[#This Row],[sprzedaż]]</f>
        <v>217.60000000000002</v>
      </c>
    </row>
    <row r="2088" spans="1:6" x14ac:dyDescent="0.25">
      <c r="A2088" s="2">
        <v>44868</v>
      </c>
      <c r="B2088" s="1" t="s">
        <v>14</v>
      </c>
      <c r="C2088" s="1" t="s">
        <v>67</v>
      </c>
      <c r="D2088" s="1" t="s">
        <v>55</v>
      </c>
      <c r="E2088">
        <v>169</v>
      </c>
      <c r="F2088" s="1">
        <f>VLOOKUP(jablka[[#This Row],[Nazwa]],cennik[],2,0) * jablka[[#This Row],[sprzedaż]]</f>
        <v>591.5</v>
      </c>
    </row>
    <row r="2089" spans="1:6" x14ac:dyDescent="0.25">
      <c r="A2089" s="2">
        <v>44869</v>
      </c>
      <c r="B2089" s="1" t="s">
        <v>3</v>
      </c>
      <c r="C2089" s="1" t="s">
        <v>67</v>
      </c>
      <c r="D2089" s="1" t="s">
        <v>63</v>
      </c>
      <c r="E2089">
        <v>179</v>
      </c>
      <c r="F2089" s="1">
        <f>VLOOKUP(jablka[[#This Row],[Nazwa]],cennik[],2,0) * jablka[[#This Row],[sprzedaż]]</f>
        <v>572.80000000000007</v>
      </c>
    </row>
    <row r="2090" spans="1:6" x14ac:dyDescent="0.25">
      <c r="A2090" s="2">
        <v>44869</v>
      </c>
      <c r="B2090" s="1" t="s">
        <v>1</v>
      </c>
      <c r="C2090" s="1" t="s">
        <v>67</v>
      </c>
      <c r="D2090" s="1" t="s">
        <v>36</v>
      </c>
      <c r="E2090">
        <v>467</v>
      </c>
      <c r="F2090" s="1">
        <f>VLOOKUP(jablka[[#This Row],[Nazwa]],cennik[],2,0) * jablka[[#This Row],[sprzedaż]]</f>
        <v>1494.4</v>
      </c>
    </row>
    <row r="2091" spans="1:6" x14ac:dyDescent="0.25">
      <c r="A2091" s="2">
        <v>44869</v>
      </c>
      <c r="B2091" s="1" t="s">
        <v>9</v>
      </c>
      <c r="C2091" s="1" t="s">
        <v>67</v>
      </c>
      <c r="D2091" s="1" t="s">
        <v>31</v>
      </c>
      <c r="E2091">
        <v>25</v>
      </c>
      <c r="F2091" s="1">
        <f>VLOOKUP(jablka[[#This Row],[Nazwa]],cennik[],2,0) * jablka[[#This Row],[sprzedaż]]</f>
        <v>62.5</v>
      </c>
    </row>
    <row r="2092" spans="1:6" x14ac:dyDescent="0.25">
      <c r="A2092" s="2">
        <v>44869</v>
      </c>
      <c r="B2092" s="1" t="s">
        <v>14</v>
      </c>
      <c r="C2092" s="1" t="s">
        <v>67</v>
      </c>
      <c r="D2092" s="1" t="s">
        <v>32</v>
      </c>
      <c r="E2092">
        <v>214</v>
      </c>
      <c r="F2092" s="1">
        <f>VLOOKUP(jablka[[#This Row],[Nazwa]],cennik[],2,0) * jablka[[#This Row],[sprzedaż]]</f>
        <v>749</v>
      </c>
    </row>
    <row r="2093" spans="1:6" x14ac:dyDescent="0.25">
      <c r="A2093" s="2">
        <v>44869</v>
      </c>
      <c r="B2093" s="1" t="s">
        <v>14</v>
      </c>
      <c r="C2093" s="1" t="s">
        <v>67</v>
      </c>
      <c r="D2093" s="1" t="s">
        <v>59</v>
      </c>
      <c r="E2093">
        <v>401</v>
      </c>
      <c r="F2093" s="1">
        <f>VLOOKUP(jablka[[#This Row],[Nazwa]],cennik[],2,0) * jablka[[#This Row],[sprzedaż]]</f>
        <v>1403.5</v>
      </c>
    </row>
    <row r="2094" spans="1:6" x14ac:dyDescent="0.25">
      <c r="A2094" s="2">
        <v>44869</v>
      </c>
      <c r="B2094" s="1" t="s">
        <v>9</v>
      </c>
      <c r="C2094" s="1" t="s">
        <v>67</v>
      </c>
      <c r="D2094" s="1" t="s">
        <v>42</v>
      </c>
      <c r="E2094">
        <v>224</v>
      </c>
      <c r="F2094" s="1">
        <f>VLOOKUP(jablka[[#This Row],[Nazwa]],cennik[],2,0) * jablka[[#This Row],[sprzedaż]]</f>
        <v>560</v>
      </c>
    </row>
    <row r="2095" spans="1:6" x14ac:dyDescent="0.25">
      <c r="A2095" s="2">
        <v>44869</v>
      </c>
      <c r="B2095" s="1" t="s">
        <v>11</v>
      </c>
      <c r="C2095" s="1" t="s">
        <v>67</v>
      </c>
      <c r="D2095" s="1" t="s">
        <v>47</v>
      </c>
      <c r="E2095">
        <v>426</v>
      </c>
      <c r="F2095" s="1">
        <f>VLOOKUP(jablka[[#This Row],[Nazwa]],cennik[],2,0) * jablka[[#This Row],[sprzedaż]]</f>
        <v>1065</v>
      </c>
    </row>
    <row r="2096" spans="1:6" x14ac:dyDescent="0.25">
      <c r="A2096" s="2">
        <v>44869</v>
      </c>
      <c r="B2096" s="1" t="s">
        <v>9</v>
      </c>
      <c r="C2096" s="1" t="s">
        <v>67</v>
      </c>
      <c r="D2096" s="1" t="s">
        <v>23</v>
      </c>
      <c r="E2096">
        <v>393</v>
      </c>
      <c r="F2096" s="1">
        <f>VLOOKUP(jablka[[#This Row],[Nazwa]],cennik[],2,0) * jablka[[#This Row],[sprzedaż]]</f>
        <v>982.5</v>
      </c>
    </row>
    <row r="2097" spans="1:6" x14ac:dyDescent="0.25">
      <c r="A2097" s="2">
        <v>44869</v>
      </c>
      <c r="B2097" s="1" t="s">
        <v>3</v>
      </c>
      <c r="C2097" s="1" t="s">
        <v>67</v>
      </c>
      <c r="D2097" s="1" t="s">
        <v>58</v>
      </c>
      <c r="E2097">
        <v>119</v>
      </c>
      <c r="F2097" s="1">
        <f>VLOOKUP(jablka[[#This Row],[Nazwa]],cennik[],2,0) * jablka[[#This Row],[sprzedaż]]</f>
        <v>380.8</v>
      </c>
    </row>
    <row r="2098" spans="1:6" x14ac:dyDescent="0.25">
      <c r="A2098" s="2">
        <v>44869</v>
      </c>
      <c r="B2098" s="1" t="s">
        <v>14</v>
      </c>
      <c r="C2098" s="1" t="s">
        <v>67</v>
      </c>
      <c r="D2098" s="1" t="s">
        <v>49</v>
      </c>
      <c r="E2098">
        <v>250</v>
      </c>
      <c r="F2098" s="1">
        <f>VLOOKUP(jablka[[#This Row],[Nazwa]],cennik[],2,0) * jablka[[#This Row],[sprzedaż]]</f>
        <v>875</v>
      </c>
    </row>
    <row r="2099" spans="1:6" x14ac:dyDescent="0.25">
      <c r="A2099" s="2">
        <v>44869</v>
      </c>
      <c r="B2099" s="1" t="s">
        <v>3</v>
      </c>
      <c r="C2099" s="1" t="s">
        <v>67</v>
      </c>
      <c r="D2099" s="1" t="s">
        <v>65</v>
      </c>
      <c r="E2099">
        <v>178</v>
      </c>
      <c r="F2099" s="1">
        <f>VLOOKUP(jablka[[#This Row],[Nazwa]],cennik[],2,0) * jablka[[#This Row],[sprzedaż]]</f>
        <v>569.6</v>
      </c>
    </row>
    <row r="2100" spans="1:6" x14ac:dyDescent="0.25">
      <c r="A2100" s="2">
        <v>44870</v>
      </c>
      <c r="B2100" s="1" t="s">
        <v>3</v>
      </c>
      <c r="C2100" s="1" t="s">
        <v>67</v>
      </c>
      <c r="D2100" s="1" t="s">
        <v>27</v>
      </c>
      <c r="E2100">
        <v>473</v>
      </c>
      <c r="F2100" s="1">
        <f>VLOOKUP(jablka[[#This Row],[Nazwa]],cennik[],2,0) * jablka[[#This Row],[sprzedaż]]</f>
        <v>1513.6000000000001</v>
      </c>
    </row>
    <row r="2101" spans="1:6" x14ac:dyDescent="0.25">
      <c r="A2101" s="2">
        <v>44870</v>
      </c>
      <c r="B2101" s="1" t="s">
        <v>1</v>
      </c>
      <c r="C2101" s="1" t="s">
        <v>67</v>
      </c>
      <c r="D2101" s="1" t="s">
        <v>20</v>
      </c>
      <c r="E2101">
        <v>459</v>
      </c>
      <c r="F2101" s="1">
        <f>VLOOKUP(jablka[[#This Row],[Nazwa]],cennik[],2,0) * jablka[[#This Row],[sprzedaż]]</f>
        <v>1468.8000000000002</v>
      </c>
    </row>
    <row r="2102" spans="1:6" x14ac:dyDescent="0.25">
      <c r="A2102" s="2">
        <v>44870</v>
      </c>
      <c r="B2102" s="1" t="s">
        <v>14</v>
      </c>
      <c r="C2102" s="1" t="s">
        <v>67</v>
      </c>
      <c r="D2102" s="1" t="s">
        <v>64</v>
      </c>
      <c r="E2102">
        <v>333</v>
      </c>
      <c r="F2102" s="1">
        <f>VLOOKUP(jablka[[#This Row],[Nazwa]],cennik[],2,0) * jablka[[#This Row],[sprzedaż]]</f>
        <v>1165.5</v>
      </c>
    </row>
    <row r="2103" spans="1:6" x14ac:dyDescent="0.25">
      <c r="A2103" s="2">
        <v>44870</v>
      </c>
      <c r="B2103" s="1" t="s">
        <v>3</v>
      </c>
      <c r="C2103" s="1" t="s">
        <v>67</v>
      </c>
      <c r="D2103" s="1" t="s">
        <v>29</v>
      </c>
      <c r="E2103">
        <v>178</v>
      </c>
      <c r="F2103" s="1">
        <f>VLOOKUP(jablka[[#This Row],[Nazwa]],cennik[],2,0) * jablka[[#This Row],[sprzedaż]]</f>
        <v>569.6</v>
      </c>
    </row>
    <row r="2104" spans="1:6" x14ac:dyDescent="0.25">
      <c r="A2104" s="2">
        <v>44870</v>
      </c>
      <c r="B2104" s="1" t="s">
        <v>14</v>
      </c>
      <c r="C2104" s="1" t="s">
        <v>67</v>
      </c>
      <c r="D2104" s="1" t="s">
        <v>26</v>
      </c>
      <c r="E2104">
        <v>482</v>
      </c>
      <c r="F2104" s="1">
        <f>VLOOKUP(jablka[[#This Row],[Nazwa]],cennik[],2,0) * jablka[[#This Row],[sprzedaż]]</f>
        <v>1687</v>
      </c>
    </row>
    <row r="2105" spans="1:6" x14ac:dyDescent="0.25">
      <c r="A2105" s="2">
        <v>44870</v>
      </c>
      <c r="B2105" s="1" t="s">
        <v>1</v>
      </c>
      <c r="C2105" s="1" t="s">
        <v>67</v>
      </c>
      <c r="D2105" s="1" t="s">
        <v>33</v>
      </c>
      <c r="E2105">
        <v>443</v>
      </c>
      <c r="F2105" s="1">
        <f>VLOOKUP(jablka[[#This Row],[Nazwa]],cennik[],2,0) * jablka[[#This Row],[sprzedaż]]</f>
        <v>1417.6000000000001</v>
      </c>
    </row>
    <row r="2106" spans="1:6" x14ac:dyDescent="0.25">
      <c r="A2106" s="2">
        <v>44870</v>
      </c>
      <c r="B2106" s="1" t="s">
        <v>3</v>
      </c>
      <c r="C2106" s="1" t="s">
        <v>67</v>
      </c>
      <c r="D2106" s="1" t="s">
        <v>20</v>
      </c>
      <c r="E2106">
        <v>297</v>
      </c>
      <c r="F2106" s="1">
        <f>VLOOKUP(jablka[[#This Row],[Nazwa]],cennik[],2,0) * jablka[[#This Row],[sprzedaż]]</f>
        <v>950.40000000000009</v>
      </c>
    </row>
    <row r="2107" spans="1:6" x14ac:dyDescent="0.25">
      <c r="A2107" s="2">
        <v>44870</v>
      </c>
      <c r="B2107" s="1" t="s">
        <v>3</v>
      </c>
      <c r="C2107" s="1" t="s">
        <v>67</v>
      </c>
      <c r="D2107" s="1" t="s">
        <v>51</v>
      </c>
      <c r="E2107">
        <v>279</v>
      </c>
      <c r="F2107" s="1">
        <f>VLOOKUP(jablka[[#This Row],[Nazwa]],cennik[],2,0) * jablka[[#This Row],[sprzedaż]]</f>
        <v>892.80000000000007</v>
      </c>
    </row>
    <row r="2108" spans="1:6" x14ac:dyDescent="0.25">
      <c r="A2108" s="2">
        <v>44872</v>
      </c>
      <c r="B2108" s="1" t="s">
        <v>3</v>
      </c>
      <c r="C2108" s="1" t="s">
        <v>67</v>
      </c>
      <c r="D2108" s="1" t="s">
        <v>42</v>
      </c>
      <c r="E2108">
        <v>369</v>
      </c>
      <c r="F2108" s="1">
        <f>VLOOKUP(jablka[[#This Row],[Nazwa]],cennik[],2,0) * jablka[[#This Row],[sprzedaż]]</f>
        <v>1180.8</v>
      </c>
    </row>
    <row r="2109" spans="1:6" x14ac:dyDescent="0.25">
      <c r="A2109" s="2">
        <v>44872</v>
      </c>
      <c r="B2109" s="1" t="s">
        <v>14</v>
      </c>
      <c r="C2109" s="1" t="s">
        <v>67</v>
      </c>
      <c r="D2109" s="1" t="s">
        <v>19</v>
      </c>
      <c r="E2109">
        <v>136</v>
      </c>
      <c r="F2109" s="1">
        <f>VLOOKUP(jablka[[#This Row],[Nazwa]],cennik[],2,0) * jablka[[#This Row],[sprzedaż]]</f>
        <v>476</v>
      </c>
    </row>
    <row r="2110" spans="1:6" x14ac:dyDescent="0.25">
      <c r="A2110" s="2">
        <v>44872</v>
      </c>
      <c r="B2110" s="1" t="s">
        <v>1</v>
      </c>
      <c r="C2110" s="1" t="s">
        <v>67</v>
      </c>
      <c r="D2110" s="1" t="s">
        <v>45</v>
      </c>
      <c r="E2110">
        <v>23</v>
      </c>
      <c r="F2110" s="1">
        <f>VLOOKUP(jablka[[#This Row],[Nazwa]],cennik[],2,0) * jablka[[#This Row],[sprzedaż]]</f>
        <v>73.600000000000009</v>
      </c>
    </row>
    <row r="2111" spans="1:6" x14ac:dyDescent="0.25">
      <c r="A2111" s="2">
        <v>44872</v>
      </c>
      <c r="B2111" s="1" t="s">
        <v>14</v>
      </c>
      <c r="C2111" s="1" t="s">
        <v>67</v>
      </c>
      <c r="D2111" s="1" t="s">
        <v>50</v>
      </c>
      <c r="E2111">
        <v>413</v>
      </c>
      <c r="F2111" s="1">
        <f>VLOOKUP(jablka[[#This Row],[Nazwa]],cennik[],2,0) * jablka[[#This Row],[sprzedaż]]</f>
        <v>1445.5</v>
      </c>
    </row>
    <row r="2112" spans="1:6" x14ac:dyDescent="0.25">
      <c r="A2112" s="2">
        <v>44872</v>
      </c>
      <c r="B2112" s="1" t="s">
        <v>1</v>
      </c>
      <c r="C2112" s="1" t="s">
        <v>67</v>
      </c>
      <c r="D2112" s="1" t="s">
        <v>17</v>
      </c>
      <c r="E2112">
        <v>178</v>
      </c>
      <c r="F2112" s="1">
        <f>VLOOKUP(jablka[[#This Row],[Nazwa]],cennik[],2,0) * jablka[[#This Row],[sprzedaż]]</f>
        <v>569.6</v>
      </c>
    </row>
    <row r="2113" spans="1:6" x14ac:dyDescent="0.25">
      <c r="A2113" s="2">
        <v>44872</v>
      </c>
      <c r="B2113" s="1" t="s">
        <v>3</v>
      </c>
      <c r="C2113" s="1" t="s">
        <v>67</v>
      </c>
      <c r="D2113" s="1" t="s">
        <v>59</v>
      </c>
      <c r="E2113">
        <v>325</v>
      </c>
      <c r="F2113" s="1">
        <f>VLOOKUP(jablka[[#This Row],[Nazwa]],cennik[],2,0) * jablka[[#This Row],[sprzedaż]]</f>
        <v>1040</v>
      </c>
    </row>
    <row r="2114" spans="1:6" x14ac:dyDescent="0.25">
      <c r="A2114" s="2">
        <v>44872</v>
      </c>
      <c r="B2114" s="1" t="s">
        <v>11</v>
      </c>
      <c r="C2114" s="1" t="s">
        <v>67</v>
      </c>
      <c r="D2114" s="1" t="s">
        <v>65</v>
      </c>
      <c r="E2114">
        <v>435</v>
      </c>
      <c r="F2114" s="1">
        <f>VLOOKUP(jablka[[#This Row],[Nazwa]],cennik[],2,0) * jablka[[#This Row],[sprzedaż]]</f>
        <v>1087.5</v>
      </c>
    </row>
    <row r="2115" spans="1:6" x14ac:dyDescent="0.25">
      <c r="A2115" s="2">
        <v>44872</v>
      </c>
      <c r="B2115" s="1" t="s">
        <v>14</v>
      </c>
      <c r="C2115" s="1" t="s">
        <v>67</v>
      </c>
      <c r="D2115" s="1" t="s">
        <v>66</v>
      </c>
      <c r="E2115">
        <v>261</v>
      </c>
      <c r="F2115" s="1">
        <f>VLOOKUP(jablka[[#This Row],[Nazwa]],cennik[],2,0) * jablka[[#This Row],[sprzedaż]]</f>
        <v>913.5</v>
      </c>
    </row>
    <row r="2116" spans="1:6" x14ac:dyDescent="0.25">
      <c r="A2116" s="2">
        <v>44872</v>
      </c>
      <c r="B2116" s="1" t="s">
        <v>9</v>
      </c>
      <c r="C2116" s="1" t="s">
        <v>67</v>
      </c>
      <c r="D2116" s="1" t="s">
        <v>43</v>
      </c>
      <c r="E2116">
        <v>239</v>
      </c>
      <c r="F2116" s="1">
        <f>VLOOKUP(jablka[[#This Row],[Nazwa]],cennik[],2,0) * jablka[[#This Row],[sprzedaż]]</f>
        <v>597.5</v>
      </c>
    </row>
    <row r="2117" spans="1:6" x14ac:dyDescent="0.25">
      <c r="A2117" s="2">
        <v>44872</v>
      </c>
      <c r="B2117" s="1" t="s">
        <v>9</v>
      </c>
      <c r="C2117" s="1" t="s">
        <v>67</v>
      </c>
      <c r="D2117" s="1" t="s">
        <v>37</v>
      </c>
      <c r="E2117">
        <v>70</v>
      </c>
      <c r="F2117" s="1">
        <f>VLOOKUP(jablka[[#This Row],[Nazwa]],cennik[],2,0) * jablka[[#This Row],[sprzedaż]]</f>
        <v>175</v>
      </c>
    </row>
    <row r="2118" spans="1:6" x14ac:dyDescent="0.25">
      <c r="A2118" s="2">
        <v>44872</v>
      </c>
      <c r="B2118" s="1" t="s">
        <v>9</v>
      </c>
      <c r="C2118" s="1" t="s">
        <v>67</v>
      </c>
      <c r="D2118" s="1" t="s">
        <v>33</v>
      </c>
      <c r="E2118">
        <v>454</v>
      </c>
      <c r="F2118" s="1">
        <f>VLOOKUP(jablka[[#This Row],[Nazwa]],cennik[],2,0) * jablka[[#This Row],[sprzedaż]]</f>
        <v>1135</v>
      </c>
    </row>
    <row r="2119" spans="1:6" x14ac:dyDescent="0.25">
      <c r="A2119" s="2">
        <v>44872</v>
      </c>
      <c r="B2119" s="1" t="s">
        <v>1</v>
      </c>
      <c r="C2119" s="1" t="s">
        <v>67</v>
      </c>
      <c r="D2119" s="1" t="s">
        <v>59</v>
      </c>
      <c r="E2119">
        <v>164</v>
      </c>
      <c r="F2119" s="1">
        <f>VLOOKUP(jablka[[#This Row],[Nazwa]],cennik[],2,0) * jablka[[#This Row],[sprzedaż]]</f>
        <v>524.80000000000007</v>
      </c>
    </row>
    <row r="2120" spans="1:6" x14ac:dyDescent="0.25">
      <c r="A2120" s="2">
        <v>44872</v>
      </c>
      <c r="B2120" s="1" t="s">
        <v>1</v>
      </c>
      <c r="C2120" s="1" t="s">
        <v>67</v>
      </c>
      <c r="D2120" s="1" t="s">
        <v>22</v>
      </c>
      <c r="E2120">
        <v>488</v>
      </c>
      <c r="F2120" s="1">
        <f>VLOOKUP(jablka[[#This Row],[Nazwa]],cennik[],2,0) * jablka[[#This Row],[sprzedaż]]</f>
        <v>1561.6000000000001</v>
      </c>
    </row>
    <row r="2121" spans="1:6" x14ac:dyDescent="0.25">
      <c r="A2121" s="2">
        <v>44873</v>
      </c>
      <c r="B2121" s="1" t="s">
        <v>14</v>
      </c>
      <c r="C2121" s="1" t="s">
        <v>67</v>
      </c>
      <c r="D2121" s="1" t="s">
        <v>18</v>
      </c>
      <c r="E2121">
        <v>161</v>
      </c>
      <c r="F2121" s="1">
        <f>VLOOKUP(jablka[[#This Row],[Nazwa]],cennik[],2,0) * jablka[[#This Row],[sprzedaż]]</f>
        <v>563.5</v>
      </c>
    </row>
    <row r="2122" spans="1:6" x14ac:dyDescent="0.25">
      <c r="A2122" s="2">
        <v>44873</v>
      </c>
      <c r="B2122" s="1" t="s">
        <v>14</v>
      </c>
      <c r="C2122" s="1" t="s">
        <v>67</v>
      </c>
      <c r="D2122" s="1" t="s">
        <v>63</v>
      </c>
      <c r="E2122">
        <v>311</v>
      </c>
      <c r="F2122" s="1">
        <f>VLOOKUP(jablka[[#This Row],[Nazwa]],cennik[],2,0) * jablka[[#This Row],[sprzedaż]]</f>
        <v>1088.5</v>
      </c>
    </row>
    <row r="2123" spans="1:6" x14ac:dyDescent="0.25">
      <c r="A2123" s="2">
        <v>44873</v>
      </c>
      <c r="B2123" s="1" t="s">
        <v>3</v>
      </c>
      <c r="C2123" s="1" t="s">
        <v>67</v>
      </c>
      <c r="D2123" s="1" t="s">
        <v>17</v>
      </c>
      <c r="E2123">
        <v>351</v>
      </c>
      <c r="F2123" s="1">
        <f>VLOOKUP(jablka[[#This Row],[Nazwa]],cennik[],2,0) * jablka[[#This Row],[sprzedaż]]</f>
        <v>1123.2</v>
      </c>
    </row>
    <row r="2124" spans="1:6" x14ac:dyDescent="0.25">
      <c r="A2124" s="2">
        <v>44873</v>
      </c>
      <c r="B2124" s="1" t="s">
        <v>3</v>
      </c>
      <c r="C2124" s="1" t="s">
        <v>67</v>
      </c>
      <c r="D2124" s="1" t="s">
        <v>58</v>
      </c>
      <c r="E2124">
        <v>127</v>
      </c>
      <c r="F2124" s="1">
        <f>VLOOKUP(jablka[[#This Row],[Nazwa]],cennik[],2,0) * jablka[[#This Row],[sprzedaż]]</f>
        <v>406.40000000000003</v>
      </c>
    </row>
    <row r="2125" spans="1:6" x14ac:dyDescent="0.25">
      <c r="A2125" s="2">
        <v>44874</v>
      </c>
      <c r="B2125" s="1" t="s">
        <v>14</v>
      </c>
      <c r="C2125" s="1" t="s">
        <v>67</v>
      </c>
      <c r="D2125" s="1" t="s">
        <v>49</v>
      </c>
      <c r="E2125">
        <v>349</v>
      </c>
      <c r="F2125" s="1">
        <f>VLOOKUP(jablka[[#This Row],[Nazwa]],cennik[],2,0) * jablka[[#This Row],[sprzedaż]]</f>
        <v>1221.5</v>
      </c>
    </row>
    <row r="2126" spans="1:6" x14ac:dyDescent="0.25">
      <c r="A2126" s="2">
        <v>44874</v>
      </c>
      <c r="B2126" s="1" t="s">
        <v>11</v>
      </c>
      <c r="C2126" s="1" t="s">
        <v>67</v>
      </c>
      <c r="D2126" s="1" t="s">
        <v>22</v>
      </c>
      <c r="E2126">
        <v>244</v>
      </c>
      <c r="F2126" s="1">
        <f>VLOOKUP(jablka[[#This Row],[Nazwa]],cennik[],2,0) * jablka[[#This Row],[sprzedaż]]</f>
        <v>610</v>
      </c>
    </row>
    <row r="2127" spans="1:6" x14ac:dyDescent="0.25">
      <c r="A2127" s="2">
        <v>44874</v>
      </c>
      <c r="B2127" s="1" t="s">
        <v>1</v>
      </c>
      <c r="C2127" s="1" t="s">
        <v>67</v>
      </c>
      <c r="D2127" s="1" t="s">
        <v>31</v>
      </c>
      <c r="E2127">
        <v>77</v>
      </c>
      <c r="F2127" s="1">
        <f>VLOOKUP(jablka[[#This Row],[Nazwa]],cennik[],2,0) * jablka[[#This Row],[sprzedaż]]</f>
        <v>246.4</v>
      </c>
    </row>
    <row r="2128" spans="1:6" x14ac:dyDescent="0.25">
      <c r="A2128" s="2">
        <v>44874</v>
      </c>
      <c r="B2128" s="1" t="s">
        <v>9</v>
      </c>
      <c r="C2128" s="1" t="s">
        <v>67</v>
      </c>
      <c r="D2128" s="1" t="s">
        <v>43</v>
      </c>
      <c r="E2128">
        <v>167</v>
      </c>
      <c r="F2128" s="1">
        <f>VLOOKUP(jablka[[#This Row],[Nazwa]],cennik[],2,0) * jablka[[#This Row],[sprzedaż]]</f>
        <v>417.5</v>
      </c>
    </row>
    <row r="2129" spans="1:6" x14ac:dyDescent="0.25">
      <c r="A2129" s="2">
        <v>44874</v>
      </c>
      <c r="B2129" s="1" t="s">
        <v>3</v>
      </c>
      <c r="C2129" s="1" t="s">
        <v>67</v>
      </c>
      <c r="D2129" s="1" t="s">
        <v>56</v>
      </c>
      <c r="E2129">
        <v>318</v>
      </c>
      <c r="F2129" s="1">
        <f>VLOOKUP(jablka[[#This Row],[Nazwa]],cennik[],2,0) * jablka[[#This Row],[sprzedaż]]</f>
        <v>1017.6</v>
      </c>
    </row>
    <row r="2130" spans="1:6" x14ac:dyDescent="0.25">
      <c r="A2130" s="2">
        <v>44874</v>
      </c>
      <c r="B2130" s="1" t="s">
        <v>9</v>
      </c>
      <c r="C2130" s="1" t="s">
        <v>67</v>
      </c>
      <c r="D2130" s="1" t="s">
        <v>21</v>
      </c>
      <c r="E2130">
        <v>465</v>
      </c>
      <c r="F2130" s="1">
        <f>VLOOKUP(jablka[[#This Row],[Nazwa]],cennik[],2,0) * jablka[[#This Row],[sprzedaż]]</f>
        <v>1162.5</v>
      </c>
    </row>
    <row r="2131" spans="1:6" x14ac:dyDescent="0.25">
      <c r="A2131" s="2">
        <v>44874</v>
      </c>
      <c r="B2131" s="1" t="s">
        <v>14</v>
      </c>
      <c r="C2131" s="1" t="s">
        <v>67</v>
      </c>
      <c r="D2131" s="1" t="s">
        <v>30</v>
      </c>
      <c r="E2131">
        <v>94</v>
      </c>
      <c r="F2131" s="1">
        <f>VLOOKUP(jablka[[#This Row],[Nazwa]],cennik[],2,0) * jablka[[#This Row],[sprzedaż]]</f>
        <v>329</v>
      </c>
    </row>
    <row r="2132" spans="1:6" x14ac:dyDescent="0.25">
      <c r="A2132" s="2">
        <v>44875</v>
      </c>
      <c r="B2132" s="1" t="s">
        <v>14</v>
      </c>
      <c r="C2132" s="1" t="s">
        <v>67</v>
      </c>
      <c r="D2132" s="1" t="s">
        <v>35</v>
      </c>
      <c r="E2132">
        <v>437</v>
      </c>
      <c r="F2132" s="1">
        <f>VLOOKUP(jablka[[#This Row],[Nazwa]],cennik[],2,0) * jablka[[#This Row],[sprzedaż]]</f>
        <v>1529.5</v>
      </c>
    </row>
    <row r="2133" spans="1:6" x14ac:dyDescent="0.25">
      <c r="A2133" s="2">
        <v>44875</v>
      </c>
      <c r="B2133" s="1" t="s">
        <v>9</v>
      </c>
      <c r="C2133" s="1" t="s">
        <v>67</v>
      </c>
      <c r="D2133" s="1" t="s">
        <v>66</v>
      </c>
      <c r="E2133">
        <v>357</v>
      </c>
      <c r="F2133" s="1">
        <f>VLOOKUP(jablka[[#This Row],[Nazwa]],cennik[],2,0) * jablka[[#This Row],[sprzedaż]]</f>
        <v>892.5</v>
      </c>
    </row>
    <row r="2134" spans="1:6" x14ac:dyDescent="0.25">
      <c r="A2134" s="2">
        <v>44875</v>
      </c>
      <c r="B2134" s="1" t="s">
        <v>14</v>
      </c>
      <c r="C2134" s="1" t="s">
        <v>67</v>
      </c>
      <c r="D2134" s="1" t="s">
        <v>21</v>
      </c>
      <c r="E2134">
        <v>349</v>
      </c>
      <c r="F2134" s="1">
        <f>VLOOKUP(jablka[[#This Row],[Nazwa]],cennik[],2,0) * jablka[[#This Row],[sprzedaż]]</f>
        <v>1221.5</v>
      </c>
    </row>
    <row r="2135" spans="1:6" x14ac:dyDescent="0.25">
      <c r="A2135" s="2">
        <v>44875</v>
      </c>
      <c r="B2135" s="1" t="s">
        <v>11</v>
      </c>
      <c r="C2135" s="1" t="s">
        <v>67</v>
      </c>
      <c r="D2135" s="1" t="s">
        <v>42</v>
      </c>
      <c r="E2135">
        <v>407</v>
      </c>
      <c r="F2135" s="1">
        <f>VLOOKUP(jablka[[#This Row],[Nazwa]],cennik[],2,0) * jablka[[#This Row],[sprzedaż]]</f>
        <v>1017.5</v>
      </c>
    </row>
    <row r="2136" spans="1:6" x14ac:dyDescent="0.25">
      <c r="A2136" s="2">
        <v>44875</v>
      </c>
      <c r="B2136" s="1" t="s">
        <v>3</v>
      </c>
      <c r="C2136" s="1" t="s">
        <v>67</v>
      </c>
      <c r="D2136" s="1" t="s">
        <v>50</v>
      </c>
      <c r="E2136">
        <v>66</v>
      </c>
      <c r="F2136" s="1">
        <f>VLOOKUP(jablka[[#This Row],[Nazwa]],cennik[],2,0) * jablka[[#This Row],[sprzedaż]]</f>
        <v>211.20000000000002</v>
      </c>
    </row>
    <row r="2137" spans="1:6" x14ac:dyDescent="0.25">
      <c r="A2137" s="2">
        <v>44875</v>
      </c>
      <c r="B2137" s="1" t="s">
        <v>11</v>
      </c>
      <c r="C2137" s="1" t="s">
        <v>67</v>
      </c>
      <c r="D2137" s="1" t="s">
        <v>34</v>
      </c>
      <c r="E2137">
        <v>286</v>
      </c>
      <c r="F2137" s="1">
        <f>VLOOKUP(jablka[[#This Row],[Nazwa]],cennik[],2,0) * jablka[[#This Row],[sprzedaż]]</f>
        <v>715</v>
      </c>
    </row>
    <row r="2138" spans="1:6" x14ac:dyDescent="0.25">
      <c r="A2138" s="2">
        <v>44876</v>
      </c>
      <c r="B2138" s="1" t="s">
        <v>9</v>
      </c>
      <c r="C2138" s="1" t="s">
        <v>67</v>
      </c>
      <c r="D2138" s="1" t="s">
        <v>17</v>
      </c>
      <c r="E2138">
        <v>415</v>
      </c>
      <c r="F2138" s="1">
        <f>VLOOKUP(jablka[[#This Row],[Nazwa]],cennik[],2,0) * jablka[[#This Row],[sprzedaż]]</f>
        <v>1037.5</v>
      </c>
    </row>
    <row r="2139" spans="1:6" x14ac:dyDescent="0.25">
      <c r="A2139" s="2">
        <v>44876</v>
      </c>
      <c r="B2139" s="1" t="s">
        <v>9</v>
      </c>
      <c r="C2139" s="1" t="s">
        <v>67</v>
      </c>
      <c r="D2139" s="1" t="s">
        <v>53</v>
      </c>
      <c r="E2139">
        <v>10</v>
      </c>
      <c r="F2139" s="1">
        <f>VLOOKUP(jablka[[#This Row],[Nazwa]],cennik[],2,0) * jablka[[#This Row],[sprzedaż]]</f>
        <v>25</v>
      </c>
    </row>
    <row r="2140" spans="1:6" x14ac:dyDescent="0.25">
      <c r="A2140" s="2">
        <v>44876</v>
      </c>
      <c r="B2140" s="1" t="s">
        <v>11</v>
      </c>
      <c r="C2140" s="1" t="s">
        <v>67</v>
      </c>
      <c r="D2140" s="1" t="s">
        <v>25</v>
      </c>
      <c r="E2140">
        <v>242</v>
      </c>
      <c r="F2140" s="1">
        <f>VLOOKUP(jablka[[#This Row],[Nazwa]],cennik[],2,0) * jablka[[#This Row],[sprzedaż]]</f>
        <v>605</v>
      </c>
    </row>
    <row r="2141" spans="1:6" x14ac:dyDescent="0.25">
      <c r="A2141" s="2">
        <v>44877</v>
      </c>
      <c r="B2141" s="1" t="s">
        <v>1</v>
      </c>
      <c r="C2141" s="1" t="s">
        <v>67</v>
      </c>
      <c r="D2141" s="1" t="s">
        <v>19</v>
      </c>
      <c r="E2141">
        <v>487</v>
      </c>
      <c r="F2141" s="1">
        <f>VLOOKUP(jablka[[#This Row],[Nazwa]],cennik[],2,0) * jablka[[#This Row],[sprzedaż]]</f>
        <v>1558.4</v>
      </c>
    </row>
    <row r="2142" spans="1:6" x14ac:dyDescent="0.25">
      <c r="A2142" s="2">
        <v>44877</v>
      </c>
      <c r="B2142" s="1" t="s">
        <v>3</v>
      </c>
      <c r="C2142" s="1" t="s">
        <v>67</v>
      </c>
      <c r="D2142" s="1" t="s">
        <v>21</v>
      </c>
      <c r="E2142">
        <v>262</v>
      </c>
      <c r="F2142" s="1">
        <f>VLOOKUP(jablka[[#This Row],[Nazwa]],cennik[],2,0) * jablka[[#This Row],[sprzedaż]]</f>
        <v>838.40000000000009</v>
      </c>
    </row>
    <row r="2143" spans="1:6" x14ac:dyDescent="0.25">
      <c r="A2143" s="2">
        <v>44877</v>
      </c>
      <c r="B2143" s="1" t="s">
        <v>3</v>
      </c>
      <c r="C2143" s="1" t="s">
        <v>67</v>
      </c>
      <c r="D2143" s="1" t="s">
        <v>66</v>
      </c>
      <c r="E2143">
        <v>406</v>
      </c>
      <c r="F2143" s="1">
        <f>VLOOKUP(jablka[[#This Row],[Nazwa]],cennik[],2,0) * jablka[[#This Row],[sprzedaż]]</f>
        <v>1299.2</v>
      </c>
    </row>
    <row r="2144" spans="1:6" x14ac:dyDescent="0.25">
      <c r="A2144" s="2">
        <v>44877</v>
      </c>
      <c r="B2144" s="1" t="s">
        <v>3</v>
      </c>
      <c r="C2144" s="1" t="s">
        <v>67</v>
      </c>
      <c r="D2144" s="1" t="s">
        <v>61</v>
      </c>
      <c r="E2144">
        <v>172</v>
      </c>
      <c r="F2144" s="1">
        <f>VLOOKUP(jablka[[#This Row],[Nazwa]],cennik[],2,0) * jablka[[#This Row],[sprzedaż]]</f>
        <v>550.4</v>
      </c>
    </row>
    <row r="2145" spans="1:6" x14ac:dyDescent="0.25">
      <c r="A2145" s="2">
        <v>44877</v>
      </c>
      <c r="B2145" s="1" t="s">
        <v>1</v>
      </c>
      <c r="C2145" s="1" t="s">
        <v>67</v>
      </c>
      <c r="D2145" s="1" t="s">
        <v>27</v>
      </c>
      <c r="E2145">
        <v>52</v>
      </c>
      <c r="F2145" s="1">
        <f>VLOOKUP(jablka[[#This Row],[Nazwa]],cennik[],2,0) * jablka[[#This Row],[sprzedaż]]</f>
        <v>166.4</v>
      </c>
    </row>
    <row r="2146" spans="1:6" x14ac:dyDescent="0.25">
      <c r="A2146" s="2">
        <v>44879</v>
      </c>
      <c r="B2146" s="1" t="s">
        <v>14</v>
      </c>
      <c r="C2146" s="1" t="s">
        <v>67</v>
      </c>
      <c r="D2146" s="1" t="s">
        <v>64</v>
      </c>
      <c r="E2146">
        <v>223</v>
      </c>
      <c r="F2146" s="1">
        <f>VLOOKUP(jablka[[#This Row],[Nazwa]],cennik[],2,0) * jablka[[#This Row],[sprzedaż]]</f>
        <v>780.5</v>
      </c>
    </row>
    <row r="2147" spans="1:6" x14ac:dyDescent="0.25">
      <c r="A2147" s="2">
        <v>44879</v>
      </c>
      <c r="B2147" s="1" t="s">
        <v>14</v>
      </c>
      <c r="C2147" s="1" t="s">
        <v>67</v>
      </c>
      <c r="D2147" s="1" t="s">
        <v>17</v>
      </c>
      <c r="E2147">
        <v>65</v>
      </c>
      <c r="F2147" s="1">
        <f>VLOOKUP(jablka[[#This Row],[Nazwa]],cennik[],2,0) * jablka[[#This Row],[sprzedaż]]</f>
        <v>227.5</v>
      </c>
    </row>
    <row r="2148" spans="1:6" x14ac:dyDescent="0.25">
      <c r="A2148" s="2">
        <v>44879</v>
      </c>
      <c r="B2148" s="1" t="s">
        <v>14</v>
      </c>
      <c r="C2148" s="1" t="s">
        <v>67</v>
      </c>
      <c r="D2148" s="1" t="s">
        <v>59</v>
      </c>
      <c r="E2148">
        <v>405</v>
      </c>
      <c r="F2148" s="1">
        <f>VLOOKUP(jablka[[#This Row],[Nazwa]],cennik[],2,0) * jablka[[#This Row],[sprzedaż]]</f>
        <v>1417.5</v>
      </c>
    </row>
    <row r="2149" spans="1:6" x14ac:dyDescent="0.25">
      <c r="A2149" s="2">
        <v>44879</v>
      </c>
      <c r="B2149" s="1" t="s">
        <v>9</v>
      </c>
      <c r="C2149" s="1" t="s">
        <v>67</v>
      </c>
      <c r="D2149" s="1" t="s">
        <v>19</v>
      </c>
      <c r="E2149">
        <v>90</v>
      </c>
      <c r="F2149" s="1">
        <f>VLOOKUP(jablka[[#This Row],[Nazwa]],cennik[],2,0) * jablka[[#This Row],[sprzedaż]]</f>
        <v>225</v>
      </c>
    </row>
    <row r="2150" spans="1:6" x14ac:dyDescent="0.25">
      <c r="A2150" s="2">
        <v>44879</v>
      </c>
      <c r="B2150" s="1" t="s">
        <v>9</v>
      </c>
      <c r="C2150" s="1" t="s">
        <v>67</v>
      </c>
      <c r="D2150" s="1" t="s">
        <v>23</v>
      </c>
      <c r="E2150">
        <v>416</v>
      </c>
      <c r="F2150" s="1">
        <f>VLOOKUP(jablka[[#This Row],[Nazwa]],cennik[],2,0) * jablka[[#This Row],[sprzedaż]]</f>
        <v>1040</v>
      </c>
    </row>
    <row r="2151" spans="1:6" x14ac:dyDescent="0.25">
      <c r="A2151" s="2">
        <v>44879</v>
      </c>
      <c r="B2151" s="1" t="s">
        <v>14</v>
      </c>
      <c r="C2151" s="1" t="s">
        <v>67</v>
      </c>
      <c r="D2151" s="1" t="s">
        <v>39</v>
      </c>
      <c r="E2151">
        <v>43</v>
      </c>
      <c r="F2151" s="1">
        <f>VLOOKUP(jablka[[#This Row],[Nazwa]],cennik[],2,0) * jablka[[#This Row],[sprzedaż]]</f>
        <v>150.5</v>
      </c>
    </row>
    <row r="2152" spans="1:6" x14ac:dyDescent="0.25">
      <c r="A2152" s="2">
        <v>44879</v>
      </c>
      <c r="B2152" s="1" t="s">
        <v>1</v>
      </c>
      <c r="C2152" s="1" t="s">
        <v>67</v>
      </c>
      <c r="D2152" s="1" t="s">
        <v>43</v>
      </c>
      <c r="E2152">
        <v>423</v>
      </c>
      <c r="F2152" s="1">
        <f>VLOOKUP(jablka[[#This Row],[Nazwa]],cennik[],2,0) * jablka[[#This Row],[sprzedaż]]</f>
        <v>1353.6000000000001</v>
      </c>
    </row>
    <row r="2153" spans="1:6" x14ac:dyDescent="0.25">
      <c r="A2153" s="2">
        <v>44879</v>
      </c>
      <c r="B2153" s="1" t="s">
        <v>14</v>
      </c>
      <c r="C2153" s="1" t="s">
        <v>67</v>
      </c>
      <c r="D2153" s="1" t="s">
        <v>44</v>
      </c>
      <c r="E2153">
        <v>172</v>
      </c>
      <c r="F2153" s="1">
        <f>VLOOKUP(jablka[[#This Row],[Nazwa]],cennik[],2,0) * jablka[[#This Row],[sprzedaż]]</f>
        <v>602</v>
      </c>
    </row>
    <row r="2154" spans="1:6" x14ac:dyDescent="0.25">
      <c r="A2154" s="2">
        <v>44879</v>
      </c>
      <c r="B2154" s="1" t="s">
        <v>14</v>
      </c>
      <c r="C2154" s="1" t="s">
        <v>67</v>
      </c>
      <c r="D2154" s="1" t="s">
        <v>41</v>
      </c>
      <c r="E2154">
        <v>484</v>
      </c>
      <c r="F2154" s="1">
        <f>VLOOKUP(jablka[[#This Row],[Nazwa]],cennik[],2,0) * jablka[[#This Row],[sprzedaż]]</f>
        <v>1694</v>
      </c>
    </row>
    <row r="2155" spans="1:6" x14ac:dyDescent="0.25">
      <c r="A2155" s="2">
        <v>44879</v>
      </c>
      <c r="B2155" s="1" t="s">
        <v>3</v>
      </c>
      <c r="C2155" s="1" t="s">
        <v>67</v>
      </c>
      <c r="D2155" s="1" t="s">
        <v>30</v>
      </c>
      <c r="E2155">
        <v>401</v>
      </c>
      <c r="F2155" s="1">
        <f>VLOOKUP(jablka[[#This Row],[Nazwa]],cennik[],2,0) * jablka[[#This Row],[sprzedaż]]</f>
        <v>1283.2</v>
      </c>
    </row>
    <row r="2156" spans="1:6" x14ac:dyDescent="0.25">
      <c r="A2156" s="2">
        <v>44879</v>
      </c>
      <c r="B2156" s="1" t="s">
        <v>14</v>
      </c>
      <c r="C2156" s="1" t="s">
        <v>67</v>
      </c>
      <c r="D2156" s="1" t="s">
        <v>52</v>
      </c>
      <c r="E2156">
        <v>230</v>
      </c>
      <c r="F2156" s="1">
        <f>VLOOKUP(jablka[[#This Row],[Nazwa]],cennik[],2,0) * jablka[[#This Row],[sprzedaż]]</f>
        <v>805</v>
      </c>
    </row>
    <row r="2157" spans="1:6" x14ac:dyDescent="0.25">
      <c r="A2157" s="2">
        <v>44879</v>
      </c>
      <c r="B2157" s="1" t="s">
        <v>14</v>
      </c>
      <c r="C2157" s="1" t="s">
        <v>67</v>
      </c>
      <c r="D2157" s="1" t="s">
        <v>42</v>
      </c>
      <c r="E2157">
        <v>224</v>
      </c>
      <c r="F2157" s="1">
        <f>VLOOKUP(jablka[[#This Row],[Nazwa]],cennik[],2,0) * jablka[[#This Row],[sprzedaż]]</f>
        <v>784</v>
      </c>
    </row>
    <row r="2158" spans="1:6" x14ac:dyDescent="0.25">
      <c r="A2158" s="2">
        <v>44880</v>
      </c>
      <c r="B2158" s="1" t="s">
        <v>1</v>
      </c>
      <c r="C2158" s="1" t="s">
        <v>67</v>
      </c>
      <c r="D2158" s="1" t="s">
        <v>61</v>
      </c>
      <c r="E2158">
        <v>264</v>
      </c>
      <c r="F2158" s="1">
        <f>VLOOKUP(jablka[[#This Row],[Nazwa]],cennik[],2,0) * jablka[[#This Row],[sprzedaż]]</f>
        <v>844.80000000000007</v>
      </c>
    </row>
    <row r="2159" spans="1:6" x14ac:dyDescent="0.25">
      <c r="A2159" s="2">
        <v>44880</v>
      </c>
      <c r="B2159" s="1" t="s">
        <v>14</v>
      </c>
      <c r="C2159" s="1" t="s">
        <v>67</v>
      </c>
      <c r="D2159" s="1" t="s">
        <v>26</v>
      </c>
      <c r="E2159">
        <v>276</v>
      </c>
      <c r="F2159" s="1">
        <f>VLOOKUP(jablka[[#This Row],[Nazwa]],cennik[],2,0) * jablka[[#This Row],[sprzedaż]]</f>
        <v>966</v>
      </c>
    </row>
    <row r="2160" spans="1:6" x14ac:dyDescent="0.25">
      <c r="A2160" s="2">
        <v>44880</v>
      </c>
      <c r="B2160" s="1" t="s">
        <v>3</v>
      </c>
      <c r="C2160" s="1" t="s">
        <v>67</v>
      </c>
      <c r="D2160" s="1" t="s">
        <v>66</v>
      </c>
      <c r="E2160">
        <v>72</v>
      </c>
      <c r="F2160" s="1">
        <f>VLOOKUP(jablka[[#This Row],[Nazwa]],cennik[],2,0) * jablka[[#This Row],[sprzedaż]]</f>
        <v>230.4</v>
      </c>
    </row>
    <row r="2161" spans="1:6" x14ac:dyDescent="0.25">
      <c r="A2161" s="2">
        <v>44880</v>
      </c>
      <c r="B2161" s="1" t="s">
        <v>11</v>
      </c>
      <c r="C2161" s="1" t="s">
        <v>67</v>
      </c>
      <c r="D2161" s="1" t="s">
        <v>64</v>
      </c>
      <c r="E2161">
        <v>376</v>
      </c>
      <c r="F2161" s="1">
        <f>VLOOKUP(jablka[[#This Row],[Nazwa]],cennik[],2,0) * jablka[[#This Row],[sprzedaż]]</f>
        <v>940</v>
      </c>
    </row>
    <row r="2162" spans="1:6" x14ac:dyDescent="0.25">
      <c r="A2162" s="2">
        <v>44880</v>
      </c>
      <c r="B2162" s="1" t="s">
        <v>11</v>
      </c>
      <c r="C2162" s="1" t="s">
        <v>67</v>
      </c>
      <c r="D2162" s="1" t="s">
        <v>64</v>
      </c>
      <c r="E2162">
        <v>494</v>
      </c>
      <c r="F2162" s="1">
        <f>VLOOKUP(jablka[[#This Row],[Nazwa]],cennik[],2,0) * jablka[[#This Row],[sprzedaż]]</f>
        <v>1235</v>
      </c>
    </row>
    <row r="2163" spans="1:6" x14ac:dyDescent="0.25">
      <c r="A2163" s="2">
        <v>44880</v>
      </c>
      <c r="B2163" s="1" t="s">
        <v>11</v>
      </c>
      <c r="C2163" s="1" t="s">
        <v>67</v>
      </c>
      <c r="D2163" s="1" t="s">
        <v>48</v>
      </c>
      <c r="E2163">
        <v>365</v>
      </c>
      <c r="F2163" s="1">
        <f>VLOOKUP(jablka[[#This Row],[Nazwa]],cennik[],2,0) * jablka[[#This Row],[sprzedaż]]</f>
        <v>912.5</v>
      </c>
    </row>
    <row r="2164" spans="1:6" x14ac:dyDescent="0.25">
      <c r="A2164" s="2">
        <v>44880</v>
      </c>
      <c r="B2164" s="1" t="s">
        <v>14</v>
      </c>
      <c r="C2164" s="1" t="s">
        <v>67</v>
      </c>
      <c r="D2164" s="1" t="s">
        <v>62</v>
      </c>
      <c r="E2164">
        <v>217</v>
      </c>
      <c r="F2164" s="1">
        <f>VLOOKUP(jablka[[#This Row],[Nazwa]],cennik[],2,0) * jablka[[#This Row],[sprzedaż]]</f>
        <v>759.5</v>
      </c>
    </row>
    <row r="2165" spans="1:6" x14ac:dyDescent="0.25">
      <c r="A2165" s="2">
        <v>44880</v>
      </c>
      <c r="B2165" s="1" t="s">
        <v>1</v>
      </c>
      <c r="C2165" s="1" t="s">
        <v>67</v>
      </c>
      <c r="D2165" s="1" t="s">
        <v>25</v>
      </c>
      <c r="E2165">
        <v>462</v>
      </c>
      <c r="F2165" s="1">
        <f>VLOOKUP(jablka[[#This Row],[Nazwa]],cennik[],2,0) * jablka[[#This Row],[sprzedaż]]</f>
        <v>1478.4</v>
      </c>
    </row>
    <row r="2166" spans="1:6" x14ac:dyDescent="0.25">
      <c r="A2166" s="2">
        <v>44880</v>
      </c>
      <c r="B2166" s="1" t="s">
        <v>11</v>
      </c>
      <c r="C2166" s="1" t="s">
        <v>67</v>
      </c>
      <c r="D2166" s="1" t="s">
        <v>44</v>
      </c>
      <c r="E2166">
        <v>465</v>
      </c>
      <c r="F2166" s="1">
        <f>VLOOKUP(jablka[[#This Row],[Nazwa]],cennik[],2,0) * jablka[[#This Row],[sprzedaż]]</f>
        <v>1162.5</v>
      </c>
    </row>
    <row r="2167" spans="1:6" x14ac:dyDescent="0.25">
      <c r="A2167" s="2">
        <v>44881</v>
      </c>
      <c r="B2167" s="1" t="s">
        <v>3</v>
      </c>
      <c r="C2167" s="1" t="s">
        <v>67</v>
      </c>
      <c r="D2167" s="1" t="s">
        <v>49</v>
      </c>
      <c r="E2167">
        <v>353</v>
      </c>
      <c r="F2167" s="1">
        <f>VLOOKUP(jablka[[#This Row],[Nazwa]],cennik[],2,0) * jablka[[#This Row],[sprzedaż]]</f>
        <v>1129.6000000000001</v>
      </c>
    </row>
    <row r="2168" spans="1:6" x14ac:dyDescent="0.25">
      <c r="A2168" s="2">
        <v>44881</v>
      </c>
      <c r="B2168" s="1" t="s">
        <v>14</v>
      </c>
      <c r="C2168" s="1" t="s">
        <v>67</v>
      </c>
      <c r="D2168" s="1" t="s">
        <v>17</v>
      </c>
      <c r="E2168">
        <v>376</v>
      </c>
      <c r="F2168" s="1">
        <f>VLOOKUP(jablka[[#This Row],[Nazwa]],cennik[],2,0) * jablka[[#This Row],[sprzedaż]]</f>
        <v>1316</v>
      </c>
    </row>
    <row r="2169" spans="1:6" x14ac:dyDescent="0.25">
      <c r="A2169" s="2">
        <v>44881</v>
      </c>
      <c r="B2169" s="1" t="s">
        <v>14</v>
      </c>
      <c r="C2169" s="1" t="s">
        <v>67</v>
      </c>
      <c r="D2169" s="1" t="s">
        <v>52</v>
      </c>
      <c r="E2169">
        <v>440</v>
      </c>
      <c r="F2169" s="1">
        <f>VLOOKUP(jablka[[#This Row],[Nazwa]],cennik[],2,0) * jablka[[#This Row],[sprzedaż]]</f>
        <v>1540</v>
      </c>
    </row>
    <row r="2170" spans="1:6" x14ac:dyDescent="0.25">
      <c r="A2170" s="2">
        <v>44881</v>
      </c>
      <c r="B2170" s="1" t="s">
        <v>9</v>
      </c>
      <c r="C2170" s="1" t="s">
        <v>67</v>
      </c>
      <c r="D2170" s="1" t="s">
        <v>46</v>
      </c>
      <c r="E2170">
        <v>42</v>
      </c>
      <c r="F2170" s="1">
        <f>VLOOKUP(jablka[[#This Row],[Nazwa]],cennik[],2,0) * jablka[[#This Row],[sprzedaż]]</f>
        <v>105</v>
      </c>
    </row>
    <row r="2171" spans="1:6" x14ac:dyDescent="0.25">
      <c r="A2171" s="2">
        <v>44881</v>
      </c>
      <c r="B2171" s="1" t="s">
        <v>14</v>
      </c>
      <c r="C2171" s="1" t="s">
        <v>67</v>
      </c>
      <c r="D2171" s="1" t="s">
        <v>44</v>
      </c>
      <c r="E2171">
        <v>356</v>
      </c>
      <c r="F2171" s="1">
        <f>VLOOKUP(jablka[[#This Row],[Nazwa]],cennik[],2,0) * jablka[[#This Row],[sprzedaż]]</f>
        <v>1246</v>
      </c>
    </row>
    <row r="2172" spans="1:6" x14ac:dyDescent="0.25">
      <c r="A2172" s="2">
        <v>44881</v>
      </c>
      <c r="B2172" s="1" t="s">
        <v>9</v>
      </c>
      <c r="C2172" s="1" t="s">
        <v>67</v>
      </c>
      <c r="D2172" s="1" t="s">
        <v>54</v>
      </c>
      <c r="E2172">
        <v>109</v>
      </c>
      <c r="F2172" s="1">
        <f>VLOOKUP(jablka[[#This Row],[Nazwa]],cennik[],2,0) * jablka[[#This Row],[sprzedaż]]</f>
        <v>272.5</v>
      </c>
    </row>
    <row r="2173" spans="1:6" x14ac:dyDescent="0.25">
      <c r="A2173" s="2">
        <v>44881</v>
      </c>
      <c r="B2173" s="1" t="s">
        <v>9</v>
      </c>
      <c r="C2173" s="1" t="s">
        <v>67</v>
      </c>
      <c r="D2173" s="1" t="s">
        <v>62</v>
      </c>
      <c r="E2173">
        <v>372</v>
      </c>
      <c r="F2173" s="1">
        <f>VLOOKUP(jablka[[#This Row],[Nazwa]],cennik[],2,0) * jablka[[#This Row],[sprzedaż]]</f>
        <v>930</v>
      </c>
    </row>
    <row r="2174" spans="1:6" x14ac:dyDescent="0.25">
      <c r="A2174" s="2">
        <v>44882</v>
      </c>
      <c r="B2174" s="1" t="s">
        <v>9</v>
      </c>
      <c r="C2174" s="1" t="s">
        <v>67</v>
      </c>
      <c r="D2174" s="1" t="s">
        <v>45</v>
      </c>
      <c r="E2174">
        <v>244</v>
      </c>
      <c r="F2174" s="1">
        <f>VLOOKUP(jablka[[#This Row],[Nazwa]],cennik[],2,0) * jablka[[#This Row],[sprzedaż]]</f>
        <v>610</v>
      </c>
    </row>
    <row r="2175" spans="1:6" x14ac:dyDescent="0.25">
      <c r="A2175" s="2">
        <v>44882</v>
      </c>
      <c r="B2175" s="1" t="s">
        <v>3</v>
      </c>
      <c r="C2175" s="1" t="s">
        <v>67</v>
      </c>
      <c r="D2175" s="1" t="s">
        <v>22</v>
      </c>
      <c r="E2175">
        <v>469</v>
      </c>
      <c r="F2175" s="1">
        <f>VLOOKUP(jablka[[#This Row],[Nazwa]],cennik[],2,0) * jablka[[#This Row],[sprzedaż]]</f>
        <v>1500.8000000000002</v>
      </c>
    </row>
    <row r="2176" spans="1:6" x14ac:dyDescent="0.25">
      <c r="A2176" s="2">
        <v>44882</v>
      </c>
      <c r="B2176" s="1" t="s">
        <v>14</v>
      </c>
      <c r="C2176" s="1" t="s">
        <v>67</v>
      </c>
      <c r="D2176" s="1" t="s">
        <v>61</v>
      </c>
      <c r="E2176">
        <v>172</v>
      </c>
      <c r="F2176" s="1">
        <f>VLOOKUP(jablka[[#This Row],[Nazwa]],cennik[],2,0) * jablka[[#This Row],[sprzedaż]]</f>
        <v>602</v>
      </c>
    </row>
    <row r="2177" spans="1:6" x14ac:dyDescent="0.25">
      <c r="A2177" s="2">
        <v>44882</v>
      </c>
      <c r="B2177" s="1" t="s">
        <v>14</v>
      </c>
      <c r="C2177" s="1" t="s">
        <v>67</v>
      </c>
      <c r="D2177" s="1" t="s">
        <v>24</v>
      </c>
      <c r="E2177">
        <v>452</v>
      </c>
      <c r="F2177" s="1">
        <f>VLOOKUP(jablka[[#This Row],[Nazwa]],cennik[],2,0) * jablka[[#This Row],[sprzedaż]]</f>
        <v>1582</v>
      </c>
    </row>
    <row r="2178" spans="1:6" x14ac:dyDescent="0.25">
      <c r="A2178" s="2">
        <v>44882</v>
      </c>
      <c r="B2178" s="1" t="s">
        <v>11</v>
      </c>
      <c r="C2178" s="1" t="s">
        <v>67</v>
      </c>
      <c r="D2178" s="1" t="s">
        <v>42</v>
      </c>
      <c r="E2178">
        <v>46</v>
      </c>
      <c r="F2178" s="1">
        <f>VLOOKUP(jablka[[#This Row],[Nazwa]],cennik[],2,0) * jablka[[#This Row],[sprzedaż]]</f>
        <v>115</v>
      </c>
    </row>
    <row r="2179" spans="1:6" x14ac:dyDescent="0.25">
      <c r="A2179" s="2">
        <v>44882</v>
      </c>
      <c r="B2179" s="1" t="s">
        <v>14</v>
      </c>
      <c r="C2179" s="1" t="s">
        <v>67</v>
      </c>
      <c r="D2179" s="1" t="s">
        <v>49</v>
      </c>
      <c r="E2179">
        <v>288</v>
      </c>
      <c r="F2179" s="1">
        <f>VLOOKUP(jablka[[#This Row],[Nazwa]],cennik[],2,0) * jablka[[#This Row],[sprzedaż]]</f>
        <v>1008</v>
      </c>
    </row>
    <row r="2180" spans="1:6" x14ac:dyDescent="0.25">
      <c r="A2180" s="2">
        <v>44883</v>
      </c>
      <c r="B2180" s="1" t="s">
        <v>11</v>
      </c>
      <c r="C2180" s="1" t="s">
        <v>67</v>
      </c>
      <c r="D2180" s="1" t="s">
        <v>57</v>
      </c>
      <c r="E2180">
        <v>239</v>
      </c>
      <c r="F2180" s="1">
        <f>VLOOKUP(jablka[[#This Row],[Nazwa]],cennik[],2,0) * jablka[[#This Row],[sprzedaż]]</f>
        <v>597.5</v>
      </c>
    </row>
    <row r="2181" spans="1:6" x14ac:dyDescent="0.25">
      <c r="A2181" s="2">
        <v>44883</v>
      </c>
      <c r="B2181" s="1" t="s">
        <v>11</v>
      </c>
      <c r="C2181" s="1" t="s">
        <v>67</v>
      </c>
      <c r="D2181" s="1" t="s">
        <v>43</v>
      </c>
      <c r="E2181">
        <v>246</v>
      </c>
      <c r="F2181" s="1">
        <f>VLOOKUP(jablka[[#This Row],[Nazwa]],cennik[],2,0) * jablka[[#This Row],[sprzedaż]]</f>
        <v>615</v>
      </c>
    </row>
    <row r="2182" spans="1:6" x14ac:dyDescent="0.25">
      <c r="A2182" s="2">
        <v>44883</v>
      </c>
      <c r="B2182" s="1" t="s">
        <v>11</v>
      </c>
      <c r="C2182" s="1" t="s">
        <v>67</v>
      </c>
      <c r="D2182" s="1" t="s">
        <v>65</v>
      </c>
      <c r="E2182">
        <v>238</v>
      </c>
      <c r="F2182" s="1">
        <f>VLOOKUP(jablka[[#This Row],[Nazwa]],cennik[],2,0) * jablka[[#This Row],[sprzedaż]]</f>
        <v>595</v>
      </c>
    </row>
    <row r="2183" spans="1:6" x14ac:dyDescent="0.25">
      <c r="A2183" s="2">
        <v>44883</v>
      </c>
      <c r="B2183" s="1" t="s">
        <v>14</v>
      </c>
      <c r="C2183" s="1" t="s">
        <v>67</v>
      </c>
      <c r="D2183" s="1" t="s">
        <v>63</v>
      </c>
      <c r="E2183">
        <v>16</v>
      </c>
      <c r="F2183" s="1">
        <f>VLOOKUP(jablka[[#This Row],[Nazwa]],cennik[],2,0) * jablka[[#This Row],[sprzedaż]]</f>
        <v>56</v>
      </c>
    </row>
    <row r="2184" spans="1:6" x14ac:dyDescent="0.25">
      <c r="A2184" s="2">
        <v>44883</v>
      </c>
      <c r="B2184" s="1" t="s">
        <v>1</v>
      </c>
      <c r="C2184" s="1" t="s">
        <v>67</v>
      </c>
      <c r="D2184" s="1" t="s">
        <v>41</v>
      </c>
      <c r="E2184">
        <v>424</v>
      </c>
      <c r="F2184" s="1">
        <f>VLOOKUP(jablka[[#This Row],[Nazwa]],cennik[],2,0) * jablka[[#This Row],[sprzedaż]]</f>
        <v>1356.8000000000002</v>
      </c>
    </row>
    <row r="2185" spans="1:6" x14ac:dyDescent="0.25">
      <c r="A2185" s="2">
        <v>44883</v>
      </c>
      <c r="B2185" s="1" t="s">
        <v>14</v>
      </c>
      <c r="C2185" s="1" t="s">
        <v>67</v>
      </c>
      <c r="D2185" s="1" t="s">
        <v>57</v>
      </c>
      <c r="E2185">
        <v>388</v>
      </c>
      <c r="F2185" s="1">
        <f>VLOOKUP(jablka[[#This Row],[Nazwa]],cennik[],2,0) * jablka[[#This Row],[sprzedaż]]</f>
        <v>1358</v>
      </c>
    </row>
    <row r="2186" spans="1:6" x14ac:dyDescent="0.25">
      <c r="A2186" s="2">
        <v>44883</v>
      </c>
      <c r="B2186" s="1" t="s">
        <v>3</v>
      </c>
      <c r="C2186" s="1" t="s">
        <v>67</v>
      </c>
      <c r="D2186" s="1" t="s">
        <v>28</v>
      </c>
      <c r="E2186">
        <v>462</v>
      </c>
      <c r="F2186" s="1">
        <f>VLOOKUP(jablka[[#This Row],[Nazwa]],cennik[],2,0) * jablka[[#This Row],[sprzedaż]]</f>
        <v>1478.4</v>
      </c>
    </row>
    <row r="2187" spans="1:6" x14ac:dyDescent="0.25">
      <c r="A2187" s="2">
        <v>44883</v>
      </c>
      <c r="B2187" s="1" t="s">
        <v>1</v>
      </c>
      <c r="C2187" s="1" t="s">
        <v>67</v>
      </c>
      <c r="D2187" s="1" t="s">
        <v>20</v>
      </c>
      <c r="E2187">
        <v>72</v>
      </c>
      <c r="F2187" s="1">
        <f>VLOOKUP(jablka[[#This Row],[Nazwa]],cennik[],2,0) * jablka[[#This Row],[sprzedaż]]</f>
        <v>230.4</v>
      </c>
    </row>
    <row r="2188" spans="1:6" x14ac:dyDescent="0.25">
      <c r="A2188" s="2">
        <v>44883</v>
      </c>
      <c r="B2188" s="1" t="s">
        <v>1</v>
      </c>
      <c r="C2188" s="1" t="s">
        <v>67</v>
      </c>
      <c r="D2188" s="1" t="s">
        <v>55</v>
      </c>
      <c r="E2188">
        <v>325</v>
      </c>
      <c r="F2188" s="1">
        <f>VLOOKUP(jablka[[#This Row],[Nazwa]],cennik[],2,0) * jablka[[#This Row],[sprzedaż]]</f>
        <v>1040</v>
      </c>
    </row>
    <row r="2189" spans="1:6" x14ac:dyDescent="0.25">
      <c r="A2189" s="2">
        <v>44883</v>
      </c>
      <c r="B2189" s="1" t="s">
        <v>11</v>
      </c>
      <c r="C2189" s="1" t="s">
        <v>67</v>
      </c>
      <c r="D2189" s="1" t="s">
        <v>63</v>
      </c>
      <c r="E2189">
        <v>417</v>
      </c>
      <c r="F2189" s="1">
        <f>VLOOKUP(jablka[[#This Row],[Nazwa]],cennik[],2,0) * jablka[[#This Row],[sprzedaż]]</f>
        <v>1042.5</v>
      </c>
    </row>
    <row r="2190" spans="1:6" x14ac:dyDescent="0.25">
      <c r="A2190" s="2">
        <v>44884</v>
      </c>
      <c r="B2190" s="1" t="s">
        <v>14</v>
      </c>
      <c r="C2190" s="1" t="s">
        <v>67</v>
      </c>
      <c r="D2190" s="1" t="s">
        <v>50</v>
      </c>
      <c r="E2190">
        <v>410</v>
      </c>
      <c r="F2190" s="1">
        <f>VLOOKUP(jablka[[#This Row],[Nazwa]],cennik[],2,0) * jablka[[#This Row],[sprzedaż]]</f>
        <v>1435</v>
      </c>
    </row>
    <row r="2191" spans="1:6" x14ac:dyDescent="0.25">
      <c r="A2191" s="2">
        <v>44884</v>
      </c>
      <c r="B2191" s="1" t="s">
        <v>14</v>
      </c>
      <c r="C2191" s="1" t="s">
        <v>67</v>
      </c>
      <c r="D2191" s="1" t="s">
        <v>46</v>
      </c>
      <c r="E2191">
        <v>341</v>
      </c>
      <c r="F2191" s="1">
        <f>VLOOKUP(jablka[[#This Row],[Nazwa]],cennik[],2,0) * jablka[[#This Row],[sprzedaż]]</f>
        <v>1193.5</v>
      </c>
    </row>
    <row r="2192" spans="1:6" x14ac:dyDescent="0.25">
      <c r="A2192" s="2">
        <v>44884</v>
      </c>
      <c r="B2192" s="1" t="s">
        <v>11</v>
      </c>
      <c r="C2192" s="1" t="s">
        <v>67</v>
      </c>
      <c r="D2192" s="1" t="s">
        <v>47</v>
      </c>
      <c r="E2192">
        <v>340</v>
      </c>
      <c r="F2192" s="1">
        <f>VLOOKUP(jablka[[#This Row],[Nazwa]],cennik[],2,0) * jablka[[#This Row],[sprzedaż]]</f>
        <v>850</v>
      </c>
    </row>
    <row r="2193" spans="1:6" x14ac:dyDescent="0.25">
      <c r="A2193" s="2">
        <v>44884</v>
      </c>
      <c r="B2193" s="1" t="s">
        <v>14</v>
      </c>
      <c r="C2193" s="1" t="s">
        <v>67</v>
      </c>
      <c r="D2193" s="1" t="s">
        <v>52</v>
      </c>
      <c r="E2193">
        <v>84</v>
      </c>
      <c r="F2193" s="1">
        <f>VLOOKUP(jablka[[#This Row],[Nazwa]],cennik[],2,0) * jablka[[#This Row],[sprzedaż]]</f>
        <v>294</v>
      </c>
    </row>
    <row r="2194" spans="1:6" x14ac:dyDescent="0.25">
      <c r="A2194" s="2">
        <v>44884</v>
      </c>
      <c r="B2194" s="1" t="s">
        <v>11</v>
      </c>
      <c r="C2194" s="1" t="s">
        <v>67</v>
      </c>
      <c r="D2194" s="1" t="s">
        <v>22</v>
      </c>
      <c r="E2194">
        <v>396</v>
      </c>
      <c r="F2194" s="1">
        <f>VLOOKUP(jablka[[#This Row],[Nazwa]],cennik[],2,0) * jablka[[#This Row],[sprzedaż]]</f>
        <v>990</v>
      </c>
    </row>
    <row r="2195" spans="1:6" x14ac:dyDescent="0.25">
      <c r="A2195" s="2">
        <v>44884</v>
      </c>
      <c r="B2195" s="1" t="s">
        <v>14</v>
      </c>
      <c r="C2195" s="1" t="s">
        <v>67</v>
      </c>
      <c r="D2195" s="1" t="s">
        <v>50</v>
      </c>
      <c r="E2195">
        <v>320</v>
      </c>
      <c r="F2195" s="1">
        <f>VLOOKUP(jablka[[#This Row],[Nazwa]],cennik[],2,0) * jablka[[#This Row],[sprzedaż]]</f>
        <v>1120</v>
      </c>
    </row>
    <row r="2196" spans="1:6" x14ac:dyDescent="0.25">
      <c r="A2196" s="2">
        <v>44884</v>
      </c>
      <c r="B2196" s="1" t="s">
        <v>14</v>
      </c>
      <c r="C2196" s="1" t="s">
        <v>67</v>
      </c>
      <c r="D2196" s="1" t="s">
        <v>53</v>
      </c>
      <c r="E2196">
        <v>189</v>
      </c>
      <c r="F2196" s="1">
        <f>VLOOKUP(jablka[[#This Row],[Nazwa]],cennik[],2,0) * jablka[[#This Row],[sprzedaż]]</f>
        <v>661.5</v>
      </c>
    </row>
    <row r="2197" spans="1:6" x14ac:dyDescent="0.25">
      <c r="A2197" s="2">
        <v>44884</v>
      </c>
      <c r="B2197" s="1" t="s">
        <v>11</v>
      </c>
      <c r="C2197" s="1" t="s">
        <v>67</v>
      </c>
      <c r="D2197" s="1" t="s">
        <v>52</v>
      </c>
      <c r="E2197">
        <v>16</v>
      </c>
      <c r="F2197" s="1">
        <f>VLOOKUP(jablka[[#This Row],[Nazwa]],cennik[],2,0) * jablka[[#This Row],[sprzedaż]]</f>
        <v>40</v>
      </c>
    </row>
    <row r="2198" spans="1:6" x14ac:dyDescent="0.25">
      <c r="A2198" s="2">
        <v>44884</v>
      </c>
      <c r="B2198" s="1" t="s">
        <v>14</v>
      </c>
      <c r="C2198" s="1" t="s">
        <v>67</v>
      </c>
      <c r="D2198" s="1" t="s">
        <v>64</v>
      </c>
      <c r="E2198">
        <v>153</v>
      </c>
      <c r="F2198" s="1">
        <f>VLOOKUP(jablka[[#This Row],[Nazwa]],cennik[],2,0) * jablka[[#This Row],[sprzedaż]]</f>
        <v>535.5</v>
      </c>
    </row>
    <row r="2199" spans="1:6" x14ac:dyDescent="0.25">
      <c r="A2199" s="2">
        <v>44884</v>
      </c>
      <c r="B2199" s="1" t="s">
        <v>14</v>
      </c>
      <c r="C2199" s="1" t="s">
        <v>67</v>
      </c>
      <c r="D2199" s="1" t="s">
        <v>27</v>
      </c>
      <c r="E2199">
        <v>263</v>
      </c>
      <c r="F2199" s="1">
        <f>VLOOKUP(jablka[[#This Row],[Nazwa]],cennik[],2,0) * jablka[[#This Row],[sprzedaż]]</f>
        <v>920.5</v>
      </c>
    </row>
    <row r="2200" spans="1:6" x14ac:dyDescent="0.25">
      <c r="A2200" s="2">
        <v>44884</v>
      </c>
      <c r="B2200" s="1" t="s">
        <v>1</v>
      </c>
      <c r="C2200" s="1" t="s">
        <v>67</v>
      </c>
      <c r="D2200" s="1" t="s">
        <v>23</v>
      </c>
      <c r="E2200">
        <v>272</v>
      </c>
      <c r="F2200" s="1">
        <f>VLOOKUP(jablka[[#This Row],[Nazwa]],cennik[],2,0) * jablka[[#This Row],[sprzedaż]]</f>
        <v>870.40000000000009</v>
      </c>
    </row>
    <row r="2201" spans="1:6" x14ac:dyDescent="0.25">
      <c r="A2201" s="2">
        <v>44886</v>
      </c>
      <c r="B2201" s="1" t="s">
        <v>14</v>
      </c>
      <c r="C2201" s="1" t="s">
        <v>67</v>
      </c>
      <c r="D2201" s="1" t="s">
        <v>29</v>
      </c>
      <c r="E2201">
        <v>14</v>
      </c>
      <c r="F2201" s="1">
        <f>VLOOKUP(jablka[[#This Row],[Nazwa]],cennik[],2,0) * jablka[[#This Row],[sprzedaż]]</f>
        <v>49</v>
      </c>
    </row>
    <row r="2202" spans="1:6" x14ac:dyDescent="0.25">
      <c r="A2202" s="2">
        <v>44886</v>
      </c>
      <c r="B2202" s="1" t="s">
        <v>14</v>
      </c>
      <c r="C2202" s="1" t="s">
        <v>67</v>
      </c>
      <c r="D2202" s="1" t="s">
        <v>29</v>
      </c>
      <c r="E2202">
        <v>283</v>
      </c>
      <c r="F2202" s="1">
        <f>VLOOKUP(jablka[[#This Row],[Nazwa]],cennik[],2,0) * jablka[[#This Row],[sprzedaż]]</f>
        <v>990.5</v>
      </c>
    </row>
    <row r="2203" spans="1:6" x14ac:dyDescent="0.25">
      <c r="A2203" s="2">
        <v>44886</v>
      </c>
      <c r="B2203" s="1" t="s">
        <v>14</v>
      </c>
      <c r="C2203" s="1" t="s">
        <v>67</v>
      </c>
      <c r="D2203" s="1" t="s">
        <v>55</v>
      </c>
      <c r="E2203">
        <v>424</v>
      </c>
      <c r="F2203" s="1">
        <f>VLOOKUP(jablka[[#This Row],[Nazwa]],cennik[],2,0) * jablka[[#This Row],[sprzedaż]]</f>
        <v>1484</v>
      </c>
    </row>
    <row r="2204" spans="1:6" x14ac:dyDescent="0.25">
      <c r="A2204" s="2">
        <v>44886</v>
      </c>
      <c r="B2204" s="1" t="s">
        <v>9</v>
      </c>
      <c r="C2204" s="1" t="s">
        <v>67</v>
      </c>
      <c r="D2204" s="1" t="s">
        <v>31</v>
      </c>
      <c r="E2204">
        <v>25</v>
      </c>
      <c r="F2204" s="1">
        <f>VLOOKUP(jablka[[#This Row],[Nazwa]],cennik[],2,0) * jablka[[#This Row],[sprzedaż]]</f>
        <v>62.5</v>
      </c>
    </row>
    <row r="2205" spans="1:6" x14ac:dyDescent="0.25">
      <c r="A2205" s="2">
        <v>44886</v>
      </c>
      <c r="B2205" s="1" t="s">
        <v>14</v>
      </c>
      <c r="C2205" s="1" t="s">
        <v>67</v>
      </c>
      <c r="D2205" s="1" t="s">
        <v>25</v>
      </c>
      <c r="E2205">
        <v>116</v>
      </c>
      <c r="F2205" s="1">
        <f>VLOOKUP(jablka[[#This Row],[Nazwa]],cennik[],2,0) * jablka[[#This Row],[sprzedaż]]</f>
        <v>406</v>
      </c>
    </row>
    <row r="2206" spans="1:6" x14ac:dyDescent="0.25">
      <c r="A2206" s="2">
        <v>44886</v>
      </c>
      <c r="B2206" s="1" t="s">
        <v>14</v>
      </c>
      <c r="C2206" s="1" t="s">
        <v>67</v>
      </c>
      <c r="D2206" s="1" t="s">
        <v>50</v>
      </c>
      <c r="E2206">
        <v>124</v>
      </c>
      <c r="F2206" s="1">
        <f>VLOOKUP(jablka[[#This Row],[Nazwa]],cennik[],2,0) * jablka[[#This Row],[sprzedaż]]</f>
        <v>434</v>
      </c>
    </row>
    <row r="2207" spans="1:6" x14ac:dyDescent="0.25">
      <c r="A2207" s="2">
        <v>44886</v>
      </c>
      <c r="B2207" s="1" t="s">
        <v>14</v>
      </c>
      <c r="C2207" s="1" t="s">
        <v>67</v>
      </c>
      <c r="D2207" s="1" t="s">
        <v>38</v>
      </c>
      <c r="E2207">
        <v>387</v>
      </c>
      <c r="F2207" s="1">
        <f>VLOOKUP(jablka[[#This Row],[Nazwa]],cennik[],2,0) * jablka[[#This Row],[sprzedaż]]</f>
        <v>1354.5</v>
      </c>
    </row>
    <row r="2208" spans="1:6" x14ac:dyDescent="0.25">
      <c r="A2208" s="2">
        <v>44886</v>
      </c>
      <c r="B2208" s="1" t="s">
        <v>11</v>
      </c>
      <c r="C2208" s="1" t="s">
        <v>67</v>
      </c>
      <c r="D2208" s="1" t="s">
        <v>62</v>
      </c>
      <c r="E2208">
        <v>189</v>
      </c>
      <c r="F2208" s="1">
        <f>VLOOKUP(jablka[[#This Row],[Nazwa]],cennik[],2,0) * jablka[[#This Row],[sprzedaż]]</f>
        <v>472.5</v>
      </c>
    </row>
    <row r="2209" spans="1:6" x14ac:dyDescent="0.25">
      <c r="A2209" s="2">
        <v>44886</v>
      </c>
      <c r="B2209" s="1" t="s">
        <v>3</v>
      </c>
      <c r="C2209" s="1" t="s">
        <v>67</v>
      </c>
      <c r="D2209" s="1" t="s">
        <v>43</v>
      </c>
      <c r="E2209">
        <v>225</v>
      </c>
      <c r="F2209" s="1">
        <f>VLOOKUP(jablka[[#This Row],[Nazwa]],cennik[],2,0) * jablka[[#This Row],[sprzedaż]]</f>
        <v>720</v>
      </c>
    </row>
    <row r="2210" spans="1:6" x14ac:dyDescent="0.25">
      <c r="A2210" s="2">
        <v>44886</v>
      </c>
      <c r="B2210" s="1" t="s">
        <v>3</v>
      </c>
      <c r="C2210" s="1" t="s">
        <v>67</v>
      </c>
      <c r="D2210" s="1" t="s">
        <v>37</v>
      </c>
      <c r="E2210">
        <v>435</v>
      </c>
      <c r="F2210" s="1">
        <f>VLOOKUP(jablka[[#This Row],[Nazwa]],cennik[],2,0) * jablka[[#This Row],[sprzedaż]]</f>
        <v>1392</v>
      </c>
    </row>
    <row r="2211" spans="1:6" x14ac:dyDescent="0.25">
      <c r="A2211" s="2">
        <v>44886</v>
      </c>
      <c r="B2211" s="1" t="s">
        <v>14</v>
      </c>
      <c r="C2211" s="1" t="s">
        <v>67</v>
      </c>
      <c r="D2211" s="1" t="s">
        <v>35</v>
      </c>
      <c r="E2211">
        <v>221</v>
      </c>
      <c r="F2211" s="1">
        <f>VLOOKUP(jablka[[#This Row],[Nazwa]],cennik[],2,0) * jablka[[#This Row],[sprzedaż]]</f>
        <v>773.5</v>
      </c>
    </row>
    <row r="2212" spans="1:6" x14ac:dyDescent="0.25">
      <c r="A2212" s="2">
        <v>44886</v>
      </c>
      <c r="B2212" s="1" t="s">
        <v>14</v>
      </c>
      <c r="C2212" s="1" t="s">
        <v>67</v>
      </c>
      <c r="D2212" s="1" t="s">
        <v>53</v>
      </c>
      <c r="E2212">
        <v>103</v>
      </c>
      <c r="F2212" s="1">
        <f>VLOOKUP(jablka[[#This Row],[Nazwa]],cennik[],2,0) * jablka[[#This Row],[sprzedaż]]</f>
        <v>360.5</v>
      </c>
    </row>
    <row r="2213" spans="1:6" x14ac:dyDescent="0.25">
      <c r="A2213" s="2">
        <v>44887</v>
      </c>
      <c r="B2213" s="1" t="s">
        <v>9</v>
      </c>
      <c r="C2213" s="1" t="s">
        <v>67</v>
      </c>
      <c r="D2213" s="1" t="s">
        <v>48</v>
      </c>
      <c r="E2213">
        <v>51</v>
      </c>
      <c r="F2213" s="1">
        <f>VLOOKUP(jablka[[#This Row],[Nazwa]],cennik[],2,0) * jablka[[#This Row],[sprzedaż]]</f>
        <v>127.5</v>
      </c>
    </row>
    <row r="2214" spans="1:6" x14ac:dyDescent="0.25">
      <c r="A2214" s="2">
        <v>44887</v>
      </c>
      <c r="B2214" s="1" t="s">
        <v>11</v>
      </c>
      <c r="C2214" s="1" t="s">
        <v>67</v>
      </c>
      <c r="D2214" s="1" t="s">
        <v>64</v>
      </c>
      <c r="E2214">
        <v>108</v>
      </c>
      <c r="F2214" s="1">
        <f>VLOOKUP(jablka[[#This Row],[Nazwa]],cennik[],2,0) * jablka[[#This Row],[sprzedaż]]</f>
        <v>270</v>
      </c>
    </row>
    <row r="2215" spans="1:6" x14ac:dyDescent="0.25">
      <c r="A2215" s="2">
        <v>44887</v>
      </c>
      <c r="B2215" s="1" t="s">
        <v>1</v>
      </c>
      <c r="C2215" s="1" t="s">
        <v>67</v>
      </c>
      <c r="D2215" s="1" t="s">
        <v>52</v>
      </c>
      <c r="E2215">
        <v>173</v>
      </c>
      <c r="F2215" s="1">
        <f>VLOOKUP(jablka[[#This Row],[Nazwa]],cennik[],2,0) * jablka[[#This Row],[sprzedaż]]</f>
        <v>553.6</v>
      </c>
    </row>
    <row r="2216" spans="1:6" x14ac:dyDescent="0.25">
      <c r="A2216" s="2">
        <v>44887</v>
      </c>
      <c r="B2216" s="1" t="s">
        <v>11</v>
      </c>
      <c r="C2216" s="1" t="s">
        <v>67</v>
      </c>
      <c r="D2216" s="1" t="s">
        <v>64</v>
      </c>
      <c r="E2216">
        <v>310</v>
      </c>
      <c r="F2216" s="1">
        <f>VLOOKUP(jablka[[#This Row],[Nazwa]],cennik[],2,0) * jablka[[#This Row],[sprzedaż]]</f>
        <v>775</v>
      </c>
    </row>
    <row r="2217" spans="1:6" x14ac:dyDescent="0.25">
      <c r="A2217" s="2">
        <v>44887</v>
      </c>
      <c r="B2217" s="1" t="s">
        <v>3</v>
      </c>
      <c r="C2217" s="1" t="s">
        <v>67</v>
      </c>
      <c r="D2217" s="1" t="s">
        <v>61</v>
      </c>
      <c r="E2217">
        <v>110</v>
      </c>
      <c r="F2217" s="1">
        <f>VLOOKUP(jablka[[#This Row],[Nazwa]],cennik[],2,0) * jablka[[#This Row],[sprzedaż]]</f>
        <v>352</v>
      </c>
    </row>
    <row r="2218" spans="1:6" x14ac:dyDescent="0.25">
      <c r="A2218" s="2">
        <v>44887</v>
      </c>
      <c r="B2218" s="1" t="s">
        <v>14</v>
      </c>
      <c r="C2218" s="1" t="s">
        <v>67</v>
      </c>
      <c r="D2218" s="1" t="s">
        <v>43</v>
      </c>
      <c r="E2218">
        <v>307</v>
      </c>
      <c r="F2218" s="1">
        <f>VLOOKUP(jablka[[#This Row],[Nazwa]],cennik[],2,0) * jablka[[#This Row],[sprzedaż]]</f>
        <v>1074.5</v>
      </c>
    </row>
    <row r="2219" spans="1:6" x14ac:dyDescent="0.25">
      <c r="A2219" s="2">
        <v>44887</v>
      </c>
      <c r="B2219" s="1" t="s">
        <v>9</v>
      </c>
      <c r="C2219" s="1" t="s">
        <v>67</v>
      </c>
      <c r="D2219" s="1" t="s">
        <v>25</v>
      </c>
      <c r="E2219">
        <v>453</v>
      </c>
      <c r="F2219" s="1">
        <f>VLOOKUP(jablka[[#This Row],[Nazwa]],cennik[],2,0) * jablka[[#This Row],[sprzedaż]]</f>
        <v>1132.5</v>
      </c>
    </row>
    <row r="2220" spans="1:6" x14ac:dyDescent="0.25">
      <c r="A2220" s="2">
        <v>44887</v>
      </c>
      <c r="B2220" s="1" t="s">
        <v>9</v>
      </c>
      <c r="C2220" s="1" t="s">
        <v>67</v>
      </c>
      <c r="D2220" s="1" t="s">
        <v>29</v>
      </c>
      <c r="E2220">
        <v>10</v>
      </c>
      <c r="F2220" s="1">
        <f>VLOOKUP(jablka[[#This Row],[Nazwa]],cennik[],2,0) * jablka[[#This Row],[sprzedaż]]</f>
        <v>25</v>
      </c>
    </row>
    <row r="2221" spans="1:6" x14ac:dyDescent="0.25">
      <c r="A2221" s="2">
        <v>44887</v>
      </c>
      <c r="B2221" s="1" t="s">
        <v>14</v>
      </c>
      <c r="C2221" s="1" t="s">
        <v>67</v>
      </c>
      <c r="D2221" s="1" t="s">
        <v>38</v>
      </c>
      <c r="E2221">
        <v>453</v>
      </c>
      <c r="F2221" s="1">
        <f>VLOOKUP(jablka[[#This Row],[Nazwa]],cennik[],2,0) * jablka[[#This Row],[sprzedaż]]</f>
        <v>1585.5</v>
      </c>
    </row>
    <row r="2222" spans="1:6" x14ac:dyDescent="0.25">
      <c r="A2222" s="2">
        <v>44887</v>
      </c>
      <c r="B2222" s="1" t="s">
        <v>1</v>
      </c>
      <c r="C2222" s="1" t="s">
        <v>67</v>
      </c>
      <c r="D2222" s="1" t="s">
        <v>54</v>
      </c>
      <c r="E2222">
        <v>108</v>
      </c>
      <c r="F2222" s="1">
        <f>VLOOKUP(jablka[[#This Row],[Nazwa]],cennik[],2,0) * jablka[[#This Row],[sprzedaż]]</f>
        <v>345.6</v>
      </c>
    </row>
    <row r="2223" spans="1:6" x14ac:dyDescent="0.25">
      <c r="A2223" s="2">
        <v>44887</v>
      </c>
      <c r="B2223" s="1" t="s">
        <v>3</v>
      </c>
      <c r="C2223" s="1" t="s">
        <v>67</v>
      </c>
      <c r="D2223" s="1" t="s">
        <v>63</v>
      </c>
      <c r="E2223">
        <v>213</v>
      </c>
      <c r="F2223" s="1">
        <f>VLOOKUP(jablka[[#This Row],[Nazwa]],cennik[],2,0) * jablka[[#This Row],[sprzedaż]]</f>
        <v>681.6</v>
      </c>
    </row>
    <row r="2224" spans="1:6" x14ac:dyDescent="0.25">
      <c r="A2224" s="2">
        <v>44888</v>
      </c>
      <c r="B2224" s="1" t="s">
        <v>11</v>
      </c>
      <c r="C2224" s="1" t="s">
        <v>67</v>
      </c>
      <c r="D2224" s="1" t="s">
        <v>45</v>
      </c>
      <c r="E2224">
        <v>454</v>
      </c>
      <c r="F2224" s="1">
        <f>VLOOKUP(jablka[[#This Row],[Nazwa]],cennik[],2,0) * jablka[[#This Row],[sprzedaż]]</f>
        <v>1135</v>
      </c>
    </row>
    <row r="2225" spans="1:6" x14ac:dyDescent="0.25">
      <c r="A2225" s="2">
        <v>44888</v>
      </c>
      <c r="B2225" s="1" t="s">
        <v>14</v>
      </c>
      <c r="C2225" s="1" t="s">
        <v>67</v>
      </c>
      <c r="D2225" s="1" t="s">
        <v>62</v>
      </c>
      <c r="E2225">
        <v>301</v>
      </c>
      <c r="F2225" s="1">
        <f>VLOOKUP(jablka[[#This Row],[Nazwa]],cennik[],2,0) * jablka[[#This Row],[sprzedaż]]</f>
        <v>1053.5</v>
      </c>
    </row>
    <row r="2226" spans="1:6" x14ac:dyDescent="0.25">
      <c r="A2226" s="2">
        <v>44888</v>
      </c>
      <c r="B2226" s="1" t="s">
        <v>14</v>
      </c>
      <c r="C2226" s="1" t="s">
        <v>67</v>
      </c>
      <c r="D2226" s="1" t="s">
        <v>54</v>
      </c>
      <c r="E2226">
        <v>411</v>
      </c>
      <c r="F2226" s="1">
        <f>VLOOKUP(jablka[[#This Row],[Nazwa]],cennik[],2,0) * jablka[[#This Row],[sprzedaż]]</f>
        <v>1438.5</v>
      </c>
    </row>
    <row r="2227" spans="1:6" x14ac:dyDescent="0.25">
      <c r="A2227" s="2">
        <v>44888</v>
      </c>
      <c r="B2227" s="1" t="s">
        <v>3</v>
      </c>
      <c r="C2227" s="1" t="s">
        <v>67</v>
      </c>
      <c r="D2227" s="1" t="s">
        <v>51</v>
      </c>
      <c r="E2227">
        <v>418</v>
      </c>
      <c r="F2227" s="1">
        <f>VLOOKUP(jablka[[#This Row],[Nazwa]],cennik[],2,0) * jablka[[#This Row],[sprzedaż]]</f>
        <v>1337.6000000000001</v>
      </c>
    </row>
    <row r="2228" spans="1:6" x14ac:dyDescent="0.25">
      <c r="A2228" s="2">
        <v>44888</v>
      </c>
      <c r="B2228" s="1" t="s">
        <v>1</v>
      </c>
      <c r="C2228" s="1" t="s">
        <v>67</v>
      </c>
      <c r="D2228" s="1" t="s">
        <v>37</v>
      </c>
      <c r="E2228">
        <v>149</v>
      </c>
      <c r="F2228" s="1">
        <f>VLOOKUP(jablka[[#This Row],[Nazwa]],cennik[],2,0) * jablka[[#This Row],[sprzedaż]]</f>
        <v>476.8</v>
      </c>
    </row>
    <row r="2229" spans="1:6" x14ac:dyDescent="0.25">
      <c r="A2229" s="2">
        <v>44888</v>
      </c>
      <c r="B2229" s="1" t="s">
        <v>11</v>
      </c>
      <c r="C2229" s="1" t="s">
        <v>67</v>
      </c>
      <c r="D2229" s="1" t="s">
        <v>59</v>
      </c>
      <c r="E2229">
        <v>231</v>
      </c>
      <c r="F2229" s="1">
        <f>VLOOKUP(jablka[[#This Row],[Nazwa]],cennik[],2,0) * jablka[[#This Row],[sprzedaż]]</f>
        <v>577.5</v>
      </c>
    </row>
    <row r="2230" spans="1:6" x14ac:dyDescent="0.25">
      <c r="A2230" s="2">
        <v>44888</v>
      </c>
      <c r="B2230" s="1" t="s">
        <v>3</v>
      </c>
      <c r="C2230" s="1" t="s">
        <v>67</v>
      </c>
      <c r="D2230" s="1" t="s">
        <v>61</v>
      </c>
      <c r="E2230">
        <v>495</v>
      </c>
      <c r="F2230" s="1">
        <f>VLOOKUP(jablka[[#This Row],[Nazwa]],cennik[],2,0) * jablka[[#This Row],[sprzedaż]]</f>
        <v>1584</v>
      </c>
    </row>
    <row r="2231" spans="1:6" x14ac:dyDescent="0.25">
      <c r="A2231" s="2">
        <v>44888</v>
      </c>
      <c r="B2231" s="1" t="s">
        <v>3</v>
      </c>
      <c r="C2231" s="1" t="s">
        <v>67</v>
      </c>
      <c r="D2231" s="1" t="s">
        <v>49</v>
      </c>
      <c r="E2231">
        <v>107</v>
      </c>
      <c r="F2231" s="1">
        <f>VLOOKUP(jablka[[#This Row],[Nazwa]],cennik[],2,0) * jablka[[#This Row],[sprzedaż]]</f>
        <v>342.40000000000003</v>
      </c>
    </row>
    <row r="2232" spans="1:6" x14ac:dyDescent="0.25">
      <c r="A2232" s="2">
        <v>44889</v>
      </c>
      <c r="B2232" s="1" t="s">
        <v>3</v>
      </c>
      <c r="C2232" s="1" t="s">
        <v>67</v>
      </c>
      <c r="D2232" s="1" t="s">
        <v>65</v>
      </c>
      <c r="E2232">
        <v>150</v>
      </c>
      <c r="F2232" s="1">
        <f>VLOOKUP(jablka[[#This Row],[Nazwa]],cennik[],2,0) * jablka[[#This Row],[sprzedaż]]</f>
        <v>480</v>
      </c>
    </row>
    <row r="2233" spans="1:6" x14ac:dyDescent="0.25">
      <c r="A2233" s="2">
        <v>44889</v>
      </c>
      <c r="B2233" s="1" t="s">
        <v>14</v>
      </c>
      <c r="C2233" s="1" t="s">
        <v>67</v>
      </c>
      <c r="D2233" s="1" t="s">
        <v>42</v>
      </c>
      <c r="E2233">
        <v>363</v>
      </c>
      <c r="F2233" s="1">
        <f>VLOOKUP(jablka[[#This Row],[Nazwa]],cennik[],2,0) * jablka[[#This Row],[sprzedaż]]</f>
        <v>1270.5</v>
      </c>
    </row>
    <row r="2234" spans="1:6" x14ac:dyDescent="0.25">
      <c r="A2234" s="2">
        <v>44889</v>
      </c>
      <c r="B2234" s="1" t="s">
        <v>14</v>
      </c>
      <c r="C2234" s="1" t="s">
        <v>67</v>
      </c>
      <c r="D2234" s="1" t="s">
        <v>48</v>
      </c>
      <c r="E2234">
        <v>48</v>
      </c>
      <c r="F2234" s="1">
        <f>VLOOKUP(jablka[[#This Row],[Nazwa]],cennik[],2,0) * jablka[[#This Row],[sprzedaż]]</f>
        <v>168</v>
      </c>
    </row>
    <row r="2235" spans="1:6" x14ac:dyDescent="0.25">
      <c r="A2235" s="2">
        <v>44889</v>
      </c>
      <c r="B2235" s="1" t="s">
        <v>11</v>
      </c>
      <c r="C2235" s="1" t="s">
        <v>67</v>
      </c>
      <c r="D2235" s="1" t="s">
        <v>28</v>
      </c>
      <c r="E2235">
        <v>479</v>
      </c>
      <c r="F2235" s="1">
        <f>VLOOKUP(jablka[[#This Row],[Nazwa]],cennik[],2,0) * jablka[[#This Row],[sprzedaż]]</f>
        <v>1197.5</v>
      </c>
    </row>
    <row r="2236" spans="1:6" x14ac:dyDescent="0.25">
      <c r="A2236" s="2">
        <v>44889</v>
      </c>
      <c r="B2236" s="1" t="s">
        <v>14</v>
      </c>
      <c r="C2236" s="1" t="s">
        <v>67</v>
      </c>
      <c r="D2236" s="1" t="s">
        <v>57</v>
      </c>
      <c r="E2236">
        <v>215</v>
      </c>
      <c r="F2236" s="1">
        <f>VLOOKUP(jablka[[#This Row],[Nazwa]],cennik[],2,0) * jablka[[#This Row],[sprzedaż]]</f>
        <v>752.5</v>
      </c>
    </row>
    <row r="2237" spans="1:6" x14ac:dyDescent="0.25">
      <c r="A2237" s="2">
        <v>44889</v>
      </c>
      <c r="B2237" s="1" t="s">
        <v>3</v>
      </c>
      <c r="C2237" s="1" t="s">
        <v>67</v>
      </c>
      <c r="D2237" s="1" t="s">
        <v>18</v>
      </c>
      <c r="E2237">
        <v>226</v>
      </c>
      <c r="F2237" s="1">
        <f>VLOOKUP(jablka[[#This Row],[Nazwa]],cennik[],2,0) * jablka[[#This Row],[sprzedaż]]</f>
        <v>723.2</v>
      </c>
    </row>
    <row r="2238" spans="1:6" x14ac:dyDescent="0.25">
      <c r="A2238" s="2">
        <v>44889</v>
      </c>
      <c r="B2238" s="1" t="s">
        <v>14</v>
      </c>
      <c r="C2238" s="1" t="s">
        <v>67</v>
      </c>
      <c r="D2238" s="1" t="s">
        <v>22</v>
      </c>
      <c r="E2238">
        <v>257</v>
      </c>
      <c r="F2238" s="1">
        <f>VLOOKUP(jablka[[#This Row],[Nazwa]],cennik[],2,0) * jablka[[#This Row],[sprzedaż]]</f>
        <v>899.5</v>
      </c>
    </row>
    <row r="2239" spans="1:6" x14ac:dyDescent="0.25">
      <c r="A2239" s="2">
        <v>44890</v>
      </c>
      <c r="B2239" s="1" t="s">
        <v>14</v>
      </c>
      <c r="C2239" s="1" t="s">
        <v>67</v>
      </c>
      <c r="D2239" s="1" t="s">
        <v>21</v>
      </c>
      <c r="E2239">
        <v>44</v>
      </c>
      <c r="F2239" s="1">
        <f>VLOOKUP(jablka[[#This Row],[Nazwa]],cennik[],2,0) * jablka[[#This Row],[sprzedaż]]</f>
        <v>154</v>
      </c>
    </row>
    <row r="2240" spans="1:6" x14ac:dyDescent="0.25">
      <c r="A2240" s="2">
        <v>44890</v>
      </c>
      <c r="B2240" s="1" t="s">
        <v>14</v>
      </c>
      <c r="C2240" s="1" t="s">
        <v>67</v>
      </c>
      <c r="D2240" s="1" t="s">
        <v>32</v>
      </c>
      <c r="E2240">
        <v>426</v>
      </c>
      <c r="F2240" s="1">
        <f>VLOOKUP(jablka[[#This Row],[Nazwa]],cennik[],2,0) * jablka[[#This Row],[sprzedaż]]</f>
        <v>1491</v>
      </c>
    </row>
    <row r="2241" spans="1:6" x14ac:dyDescent="0.25">
      <c r="A2241" s="2">
        <v>44890</v>
      </c>
      <c r="B2241" s="1" t="s">
        <v>14</v>
      </c>
      <c r="C2241" s="1" t="s">
        <v>67</v>
      </c>
      <c r="D2241" s="1" t="s">
        <v>43</v>
      </c>
      <c r="E2241">
        <v>46</v>
      </c>
      <c r="F2241" s="1">
        <f>VLOOKUP(jablka[[#This Row],[Nazwa]],cennik[],2,0) * jablka[[#This Row],[sprzedaż]]</f>
        <v>161</v>
      </c>
    </row>
    <row r="2242" spans="1:6" x14ac:dyDescent="0.25">
      <c r="A2242" s="2">
        <v>44890</v>
      </c>
      <c r="B2242" s="1" t="s">
        <v>9</v>
      </c>
      <c r="C2242" s="1" t="s">
        <v>67</v>
      </c>
      <c r="D2242" s="1" t="s">
        <v>49</v>
      </c>
      <c r="E2242">
        <v>73</v>
      </c>
      <c r="F2242" s="1">
        <f>VLOOKUP(jablka[[#This Row],[Nazwa]],cennik[],2,0) * jablka[[#This Row],[sprzedaż]]</f>
        <v>182.5</v>
      </c>
    </row>
    <row r="2243" spans="1:6" x14ac:dyDescent="0.25">
      <c r="A2243" s="2">
        <v>44890</v>
      </c>
      <c r="B2243" s="1" t="s">
        <v>1</v>
      </c>
      <c r="C2243" s="1" t="s">
        <v>67</v>
      </c>
      <c r="D2243" s="1" t="s">
        <v>46</v>
      </c>
      <c r="E2243">
        <v>132</v>
      </c>
      <c r="F2243" s="1">
        <f>VLOOKUP(jablka[[#This Row],[Nazwa]],cennik[],2,0) * jablka[[#This Row],[sprzedaż]]</f>
        <v>422.40000000000003</v>
      </c>
    </row>
    <row r="2244" spans="1:6" x14ac:dyDescent="0.25">
      <c r="A2244" s="2">
        <v>44890</v>
      </c>
      <c r="B2244" s="1" t="s">
        <v>14</v>
      </c>
      <c r="C2244" s="1" t="s">
        <v>67</v>
      </c>
      <c r="D2244" s="1" t="s">
        <v>53</v>
      </c>
      <c r="E2244">
        <v>461</v>
      </c>
      <c r="F2244" s="1">
        <f>VLOOKUP(jablka[[#This Row],[Nazwa]],cennik[],2,0) * jablka[[#This Row],[sprzedaż]]</f>
        <v>1613.5</v>
      </c>
    </row>
    <row r="2245" spans="1:6" x14ac:dyDescent="0.25">
      <c r="A2245" s="2">
        <v>44890</v>
      </c>
      <c r="B2245" s="1" t="s">
        <v>1</v>
      </c>
      <c r="C2245" s="1" t="s">
        <v>67</v>
      </c>
      <c r="D2245" s="1" t="s">
        <v>51</v>
      </c>
      <c r="E2245">
        <v>210</v>
      </c>
      <c r="F2245" s="1">
        <f>VLOOKUP(jablka[[#This Row],[Nazwa]],cennik[],2,0) * jablka[[#This Row],[sprzedaż]]</f>
        <v>672</v>
      </c>
    </row>
    <row r="2246" spans="1:6" x14ac:dyDescent="0.25">
      <c r="A2246" s="2">
        <v>44890</v>
      </c>
      <c r="B2246" s="1" t="s">
        <v>3</v>
      </c>
      <c r="C2246" s="1" t="s">
        <v>67</v>
      </c>
      <c r="D2246" s="1" t="s">
        <v>30</v>
      </c>
      <c r="E2246">
        <v>258</v>
      </c>
      <c r="F2246" s="1">
        <f>VLOOKUP(jablka[[#This Row],[Nazwa]],cennik[],2,0) * jablka[[#This Row],[sprzedaż]]</f>
        <v>825.6</v>
      </c>
    </row>
    <row r="2247" spans="1:6" x14ac:dyDescent="0.25">
      <c r="A2247" s="2">
        <v>44890</v>
      </c>
      <c r="B2247" s="1" t="s">
        <v>3</v>
      </c>
      <c r="C2247" s="1" t="s">
        <v>67</v>
      </c>
      <c r="D2247" s="1" t="s">
        <v>60</v>
      </c>
      <c r="E2247">
        <v>369</v>
      </c>
      <c r="F2247" s="1">
        <f>VLOOKUP(jablka[[#This Row],[Nazwa]],cennik[],2,0) * jablka[[#This Row],[sprzedaż]]</f>
        <v>1180.8</v>
      </c>
    </row>
    <row r="2248" spans="1:6" x14ac:dyDescent="0.25">
      <c r="A2248" s="2">
        <v>44890</v>
      </c>
      <c r="B2248" s="1" t="s">
        <v>9</v>
      </c>
      <c r="C2248" s="1" t="s">
        <v>67</v>
      </c>
      <c r="D2248" s="1" t="s">
        <v>49</v>
      </c>
      <c r="E2248">
        <v>11</v>
      </c>
      <c r="F2248" s="1">
        <f>VLOOKUP(jablka[[#This Row],[Nazwa]],cennik[],2,0) * jablka[[#This Row],[sprzedaż]]</f>
        <v>27.5</v>
      </c>
    </row>
    <row r="2249" spans="1:6" x14ac:dyDescent="0.25">
      <c r="A2249" s="2">
        <v>44891</v>
      </c>
      <c r="B2249" s="1" t="s">
        <v>14</v>
      </c>
      <c r="C2249" s="1" t="s">
        <v>67</v>
      </c>
      <c r="D2249" s="1" t="s">
        <v>57</v>
      </c>
      <c r="E2249">
        <v>248</v>
      </c>
      <c r="F2249" s="1">
        <f>VLOOKUP(jablka[[#This Row],[Nazwa]],cennik[],2,0) * jablka[[#This Row],[sprzedaż]]</f>
        <v>868</v>
      </c>
    </row>
    <row r="2250" spans="1:6" x14ac:dyDescent="0.25">
      <c r="A2250" s="2">
        <v>44891</v>
      </c>
      <c r="B2250" s="1" t="s">
        <v>11</v>
      </c>
      <c r="C2250" s="1" t="s">
        <v>67</v>
      </c>
      <c r="D2250" s="1" t="s">
        <v>38</v>
      </c>
      <c r="E2250">
        <v>173</v>
      </c>
      <c r="F2250" s="1">
        <f>VLOOKUP(jablka[[#This Row],[Nazwa]],cennik[],2,0) * jablka[[#This Row],[sprzedaż]]</f>
        <v>432.5</v>
      </c>
    </row>
    <row r="2251" spans="1:6" x14ac:dyDescent="0.25">
      <c r="A2251" s="2">
        <v>44891</v>
      </c>
      <c r="B2251" s="1" t="s">
        <v>9</v>
      </c>
      <c r="C2251" s="1" t="s">
        <v>67</v>
      </c>
      <c r="D2251" s="1" t="s">
        <v>20</v>
      </c>
      <c r="E2251">
        <v>85</v>
      </c>
      <c r="F2251" s="1">
        <f>VLOOKUP(jablka[[#This Row],[Nazwa]],cennik[],2,0) * jablka[[#This Row],[sprzedaż]]</f>
        <v>212.5</v>
      </c>
    </row>
    <row r="2252" spans="1:6" x14ac:dyDescent="0.25">
      <c r="A2252" s="2">
        <v>44891</v>
      </c>
      <c r="B2252" s="1" t="s">
        <v>11</v>
      </c>
      <c r="C2252" s="1" t="s">
        <v>67</v>
      </c>
      <c r="D2252" s="1" t="s">
        <v>36</v>
      </c>
      <c r="E2252">
        <v>350</v>
      </c>
      <c r="F2252" s="1">
        <f>VLOOKUP(jablka[[#This Row],[Nazwa]],cennik[],2,0) * jablka[[#This Row],[sprzedaż]]</f>
        <v>875</v>
      </c>
    </row>
    <row r="2253" spans="1:6" x14ac:dyDescent="0.25">
      <c r="A2253" s="2">
        <v>44891</v>
      </c>
      <c r="B2253" s="1" t="s">
        <v>14</v>
      </c>
      <c r="C2253" s="1" t="s">
        <v>67</v>
      </c>
      <c r="D2253" s="1" t="s">
        <v>31</v>
      </c>
      <c r="E2253">
        <v>85</v>
      </c>
      <c r="F2253" s="1">
        <f>VLOOKUP(jablka[[#This Row],[Nazwa]],cennik[],2,0) * jablka[[#This Row],[sprzedaż]]</f>
        <v>297.5</v>
      </c>
    </row>
    <row r="2254" spans="1:6" x14ac:dyDescent="0.25">
      <c r="A2254" s="2">
        <v>44893</v>
      </c>
      <c r="B2254" s="1" t="s">
        <v>14</v>
      </c>
      <c r="C2254" s="1" t="s">
        <v>67</v>
      </c>
      <c r="D2254" s="1" t="s">
        <v>49</v>
      </c>
      <c r="E2254">
        <v>262</v>
      </c>
      <c r="F2254" s="1">
        <f>VLOOKUP(jablka[[#This Row],[Nazwa]],cennik[],2,0) * jablka[[#This Row],[sprzedaż]]</f>
        <v>917</v>
      </c>
    </row>
    <row r="2255" spans="1:6" x14ac:dyDescent="0.25">
      <c r="A2255" s="2">
        <v>44893</v>
      </c>
      <c r="B2255" s="1" t="s">
        <v>9</v>
      </c>
      <c r="C2255" s="1" t="s">
        <v>67</v>
      </c>
      <c r="D2255" s="1" t="s">
        <v>25</v>
      </c>
      <c r="E2255">
        <v>389</v>
      </c>
      <c r="F2255" s="1">
        <f>VLOOKUP(jablka[[#This Row],[Nazwa]],cennik[],2,0) * jablka[[#This Row],[sprzedaż]]</f>
        <v>972.5</v>
      </c>
    </row>
    <row r="2256" spans="1:6" x14ac:dyDescent="0.25">
      <c r="A2256" s="2">
        <v>44893</v>
      </c>
      <c r="B2256" s="1" t="s">
        <v>14</v>
      </c>
      <c r="C2256" s="1" t="s">
        <v>67</v>
      </c>
      <c r="D2256" s="1" t="s">
        <v>41</v>
      </c>
      <c r="E2256">
        <v>338</v>
      </c>
      <c r="F2256" s="1">
        <f>VLOOKUP(jablka[[#This Row],[Nazwa]],cennik[],2,0) * jablka[[#This Row],[sprzedaż]]</f>
        <v>1183</v>
      </c>
    </row>
    <row r="2257" spans="1:6" x14ac:dyDescent="0.25">
      <c r="A2257" s="2">
        <v>44893</v>
      </c>
      <c r="B2257" s="1" t="s">
        <v>14</v>
      </c>
      <c r="C2257" s="1" t="s">
        <v>67</v>
      </c>
      <c r="D2257" s="1" t="s">
        <v>23</v>
      </c>
      <c r="E2257">
        <v>497</v>
      </c>
      <c r="F2257" s="1">
        <f>VLOOKUP(jablka[[#This Row],[Nazwa]],cennik[],2,0) * jablka[[#This Row],[sprzedaż]]</f>
        <v>1739.5</v>
      </c>
    </row>
    <row r="2258" spans="1:6" x14ac:dyDescent="0.25">
      <c r="A2258" s="2">
        <v>44893</v>
      </c>
      <c r="B2258" s="1" t="s">
        <v>1</v>
      </c>
      <c r="C2258" s="1" t="s">
        <v>67</v>
      </c>
      <c r="D2258" s="1" t="s">
        <v>36</v>
      </c>
      <c r="E2258">
        <v>160</v>
      </c>
      <c r="F2258" s="1">
        <f>VLOOKUP(jablka[[#This Row],[Nazwa]],cennik[],2,0) * jablka[[#This Row],[sprzedaż]]</f>
        <v>512</v>
      </c>
    </row>
    <row r="2259" spans="1:6" x14ac:dyDescent="0.25">
      <c r="A2259" s="2">
        <v>44893</v>
      </c>
      <c r="B2259" s="1" t="s">
        <v>11</v>
      </c>
      <c r="C2259" s="1" t="s">
        <v>67</v>
      </c>
      <c r="D2259" s="1" t="s">
        <v>55</v>
      </c>
      <c r="E2259">
        <v>476</v>
      </c>
      <c r="F2259" s="1">
        <f>VLOOKUP(jablka[[#This Row],[Nazwa]],cennik[],2,0) * jablka[[#This Row],[sprzedaż]]</f>
        <v>1190</v>
      </c>
    </row>
    <row r="2260" spans="1:6" x14ac:dyDescent="0.25">
      <c r="A2260" s="2">
        <v>44893</v>
      </c>
      <c r="B2260" s="1" t="s">
        <v>3</v>
      </c>
      <c r="C2260" s="1" t="s">
        <v>67</v>
      </c>
      <c r="D2260" s="1" t="s">
        <v>57</v>
      </c>
      <c r="E2260">
        <v>345</v>
      </c>
      <c r="F2260" s="1">
        <f>VLOOKUP(jablka[[#This Row],[Nazwa]],cennik[],2,0) * jablka[[#This Row],[sprzedaż]]</f>
        <v>1104</v>
      </c>
    </row>
    <row r="2261" spans="1:6" x14ac:dyDescent="0.25">
      <c r="A2261" s="2">
        <v>44893</v>
      </c>
      <c r="B2261" s="1" t="s">
        <v>14</v>
      </c>
      <c r="C2261" s="1" t="s">
        <v>67</v>
      </c>
      <c r="D2261" s="1" t="s">
        <v>23</v>
      </c>
      <c r="E2261">
        <v>393</v>
      </c>
      <c r="F2261" s="1">
        <f>VLOOKUP(jablka[[#This Row],[Nazwa]],cennik[],2,0) * jablka[[#This Row],[sprzedaż]]</f>
        <v>1375.5</v>
      </c>
    </row>
    <row r="2262" spans="1:6" x14ac:dyDescent="0.25">
      <c r="A2262" s="2">
        <v>44893</v>
      </c>
      <c r="B2262" s="1" t="s">
        <v>3</v>
      </c>
      <c r="C2262" s="1" t="s">
        <v>67</v>
      </c>
      <c r="D2262" s="1" t="s">
        <v>21</v>
      </c>
      <c r="E2262">
        <v>158</v>
      </c>
      <c r="F2262" s="1">
        <f>VLOOKUP(jablka[[#This Row],[Nazwa]],cennik[],2,0) * jablka[[#This Row],[sprzedaż]]</f>
        <v>505.6</v>
      </c>
    </row>
    <row r="2263" spans="1:6" x14ac:dyDescent="0.25">
      <c r="A2263" s="2">
        <v>44893</v>
      </c>
      <c r="B2263" s="1" t="s">
        <v>3</v>
      </c>
      <c r="C2263" s="1" t="s">
        <v>67</v>
      </c>
      <c r="D2263" s="1" t="s">
        <v>30</v>
      </c>
      <c r="E2263">
        <v>86</v>
      </c>
      <c r="F2263" s="1">
        <f>VLOOKUP(jablka[[#This Row],[Nazwa]],cennik[],2,0) * jablka[[#This Row],[sprzedaż]]</f>
        <v>275.2</v>
      </c>
    </row>
    <row r="2264" spans="1:6" x14ac:dyDescent="0.25">
      <c r="A2264" s="2">
        <v>44893</v>
      </c>
      <c r="B2264" s="1" t="s">
        <v>3</v>
      </c>
      <c r="C2264" s="1" t="s">
        <v>67</v>
      </c>
      <c r="D2264" s="1" t="s">
        <v>42</v>
      </c>
      <c r="E2264">
        <v>100</v>
      </c>
      <c r="F2264" s="1">
        <f>VLOOKUP(jablka[[#This Row],[Nazwa]],cennik[],2,0) * jablka[[#This Row],[sprzedaż]]</f>
        <v>320</v>
      </c>
    </row>
    <row r="2265" spans="1:6" x14ac:dyDescent="0.25">
      <c r="A2265" s="2">
        <v>44893</v>
      </c>
      <c r="B2265" s="1" t="s">
        <v>14</v>
      </c>
      <c r="C2265" s="1" t="s">
        <v>67</v>
      </c>
      <c r="D2265" s="1" t="s">
        <v>65</v>
      </c>
      <c r="E2265">
        <v>205</v>
      </c>
      <c r="F2265" s="1">
        <f>VLOOKUP(jablka[[#This Row],[Nazwa]],cennik[],2,0) * jablka[[#This Row],[sprzedaż]]</f>
        <v>717.5</v>
      </c>
    </row>
    <row r="2266" spans="1:6" x14ac:dyDescent="0.25">
      <c r="A2266" s="2">
        <v>44893</v>
      </c>
      <c r="B2266" s="1" t="s">
        <v>1</v>
      </c>
      <c r="C2266" s="1" t="s">
        <v>67</v>
      </c>
      <c r="D2266" s="1" t="s">
        <v>55</v>
      </c>
      <c r="E2266">
        <v>374</v>
      </c>
      <c r="F2266" s="1">
        <f>VLOOKUP(jablka[[#This Row],[Nazwa]],cennik[],2,0) * jablka[[#This Row],[sprzedaż]]</f>
        <v>1196.8</v>
      </c>
    </row>
    <row r="2267" spans="1:6" x14ac:dyDescent="0.25">
      <c r="A2267" s="2">
        <v>44893</v>
      </c>
      <c r="B2267" s="1" t="s">
        <v>9</v>
      </c>
      <c r="C2267" s="1" t="s">
        <v>67</v>
      </c>
      <c r="D2267" s="1" t="s">
        <v>22</v>
      </c>
      <c r="E2267">
        <v>118</v>
      </c>
      <c r="F2267" s="1">
        <f>VLOOKUP(jablka[[#This Row],[Nazwa]],cennik[],2,0) * jablka[[#This Row],[sprzedaż]]</f>
        <v>295</v>
      </c>
    </row>
    <row r="2268" spans="1:6" x14ac:dyDescent="0.25">
      <c r="A2268" s="2">
        <v>44893</v>
      </c>
      <c r="B2268" s="1" t="s">
        <v>11</v>
      </c>
      <c r="C2268" s="1" t="s">
        <v>67</v>
      </c>
      <c r="D2268" s="1" t="s">
        <v>58</v>
      </c>
      <c r="E2268">
        <v>370</v>
      </c>
      <c r="F2268" s="1">
        <f>VLOOKUP(jablka[[#This Row],[Nazwa]],cennik[],2,0) * jablka[[#This Row],[sprzedaż]]</f>
        <v>925</v>
      </c>
    </row>
    <row r="2269" spans="1:6" x14ac:dyDescent="0.25">
      <c r="A2269" s="2">
        <v>44893</v>
      </c>
      <c r="B2269" s="1" t="s">
        <v>3</v>
      </c>
      <c r="C2269" s="1" t="s">
        <v>67</v>
      </c>
      <c r="D2269" s="1" t="s">
        <v>47</v>
      </c>
      <c r="E2269">
        <v>362</v>
      </c>
      <c r="F2269" s="1">
        <f>VLOOKUP(jablka[[#This Row],[Nazwa]],cennik[],2,0) * jablka[[#This Row],[sprzedaż]]</f>
        <v>1158.4000000000001</v>
      </c>
    </row>
    <row r="2270" spans="1:6" x14ac:dyDescent="0.25">
      <c r="A2270" s="2">
        <v>44893</v>
      </c>
      <c r="B2270" s="1" t="s">
        <v>14</v>
      </c>
      <c r="C2270" s="1" t="s">
        <v>67</v>
      </c>
      <c r="D2270" s="1" t="s">
        <v>28</v>
      </c>
      <c r="E2270">
        <v>369</v>
      </c>
      <c r="F2270" s="1">
        <f>VLOOKUP(jablka[[#This Row],[Nazwa]],cennik[],2,0) * jablka[[#This Row],[sprzedaż]]</f>
        <v>1291.5</v>
      </c>
    </row>
    <row r="2271" spans="1:6" x14ac:dyDescent="0.25">
      <c r="A2271" s="2">
        <v>44894</v>
      </c>
      <c r="B2271" s="1" t="s">
        <v>14</v>
      </c>
      <c r="C2271" s="1" t="s">
        <v>67</v>
      </c>
      <c r="D2271" s="1" t="s">
        <v>48</v>
      </c>
      <c r="E2271">
        <v>339</v>
      </c>
      <c r="F2271" s="1">
        <f>VLOOKUP(jablka[[#This Row],[Nazwa]],cennik[],2,0) * jablka[[#This Row],[sprzedaż]]</f>
        <v>1186.5</v>
      </c>
    </row>
    <row r="2272" spans="1:6" x14ac:dyDescent="0.25">
      <c r="A2272" s="2">
        <v>44894</v>
      </c>
      <c r="B2272" s="1" t="s">
        <v>1</v>
      </c>
      <c r="C2272" s="1" t="s">
        <v>67</v>
      </c>
      <c r="D2272" s="1" t="s">
        <v>61</v>
      </c>
      <c r="E2272">
        <v>17</v>
      </c>
      <c r="F2272" s="1">
        <f>VLOOKUP(jablka[[#This Row],[Nazwa]],cennik[],2,0) * jablka[[#This Row],[sprzedaż]]</f>
        <v>54.400000000000006</v>
      </c>
    </row>
    <row r="2273" spans="1:6" x14ac:dyDescent="0.25">
      <c r="A2273" s="2">
        <v>44894</v>
      </c>
      <c r="B2273" s="1" t="s">
        <v>1</v>
      </c>
      <c r="C2273" s="1" t="s">
        <v>67</v>
      </c>
      <c r="D2273" s="1" t="s">
        <v>55</v>
      </c>
      <c r="E2273">
        <v>271</v>
      </c>
      <c r="F2273" s="1">
        <f>VLOOKUP(jablka[[#This Row],[Nazwa]],cennik[],2,0) * jablka[[#This Row],[sprzedaż]]</f>
        <v>867.2</v>
      </c>
    </row>
    <row r="2274" spans="1:6" x14ac:dyDescent="0.25">
      <c r="A2274" s="2">
        <v>44895</v>
      </c>
      <c r="B2274" s="1" t="s">
        <v>14</v>
      </c>
      <c r="C2274" s="1" t="s">
        <v>67</v>
      </c>
      <c r="D2274" s="1" t="s">
        <v>66</v>
      </c>
      <c r="E2274">
        <v>322</v>
      </c>
      <c r="F2274" s="1">
        <f>VLOOKUP(jablka[[#This Row],[Nazwa]],cennik[],2,0) * jablka[[#This Row],[sprzedaż]]</f>
        <v>1127</v>
      </c>
    </row>
    <row r="2275" spans="1:6" x14ac:dyDescent="0.25">
      <c r="A2275" s="2">
        <v>44895</v>
      </c>
      <c r="B2275" s="1" t="s">
        <v>14</v>
      </c>
      <c r="C2275" s="1" t="s">
        <v>67</v>
      </c>
      <c r="D2275" s="1" t="s">
        <v>27</v>
      </c>
      <c r="E2275">
        <v>58</v>
      </c>
      <c r="F2275" s="1">
        <f>VLOOKUP(jablka[[#This Row],[Nazwa]],cennik[],2,0) * jablka[[#This Row],[sprzedaż]]</f>
        <v>203</v>
      </c>
    </row>
    <row r="2276" spans="1:6" x14ac:dyDescent="0.25">
      <c r="A2276" s="2">
        <v>44895</v>
      </c>
      <c r="B2276" s="1" t="s">
        <v>3</v>
      </c>
      <c r="C2276" s="1" t="s">
        <v>67</v>
      </c>
      <c r="D2276" s="1" t="s">
        <v>58</v>
      </c>
      <c r="E2276">
        <v>372</v>
      </c>
      <c r="F2276" s="1">
        <f>VLOOKUP(jablka[[#This Row],[Nazwa]],cennik[],2,0) * jablka[[#This Row],[sprzedaż]]</f>
        <v>1190.4000000000001</v>
      </c>
    </row>
    <row r="2277" spans="1:6" x14ac:dyDescent="0.25">
      <c r="A2277" s="2">
        <v>44895</v>
      </c>
      <c r="B2277" s="1" t="s">
        <v>11</v>
      </c>
      <c r="C2277" s="1" t="s">
        <v>67</v>
      </c>
      <c r="D2277" s="1" t="s">
        <v>44</v>
      </c>
      <c r="E2277">
        <v>301</v>
      </c>
      <c r="F2277" s="1">
        <f>VLOOKUP(jablka[[#This Row],[Nazwa]],cennik[],2,0) * jablka[[#This Row],[sprzedaż]]</f>
        <v>752.5</v>
      </c>
    </row>
    <row r="2278" spans="1:6" x14ac:dyDescent="0.25">
      <c r="A2278" s="2">
        <v>44896</v>
      </c>
      <c r="B2278" s="1" t="s">
        <v>10</v>
      </c>
      <c r="C2278" s="1" t="s">
        <v>16</v>
      </c>
      <c r="D2278" s="1" t="s">
        <v>31</v>
      </c>
      <c r="E2278">
        <v>181</v>
      </c>
      <c r="F2278" s="1">
        <f>VLOOKUP(jablka[[#This Row],[Nazwa]],cennik[],2,0) * jablka[[#This Row],[sprzedaż]]</f>
        <v>615.4</v>
      </c>
    </row>
    <row r="2279" spans="1:6" x14ac:dyDescent="0.25">
      <c r="A2279" s="2">
        <v>44896</v>
      </c>
      <c r="B2279" s="1" t="s">
        <v>15</v>
      </c>
      <c r="C2279" s="1" t="s">
        <v>16</v>
      </c>
      <c r="D2279" s="1" t="s">
        <v>54</v>
      </c>
      <c r="E2279">
        <v>160</v>
      </c>
      <c r="F2279" s="1">
        <f>VLOOKUP(jablka[[#This Row],[Nazwa]],cennik[],2,0) * jablka[[#This Row],[sprzedaż]]</f>
        <v>384</v>
      </c>
    </row>
    <row r="2280" spans="1:6" x14ac:dyDescent="0.25">
      <c r="A2280" s="2">
        <v>44896</v>
      </c>
      <c r="B2280" s="1" t="s">
        <v>10</v>
      </c>
      <c r="C2280" s="1" t="s">
        <v>16</v>
      </c>
      <c r="D2280" s="1" t="s">
        <v>59</v>
      </c>
      <c r="E2280">
        <v>219</v>
      </c>
      <c r="F2280" s="1">
        <f>VLOOKUP(jablka[[#This Row],[Nazwa]],cennik[],2,0) * jablka[[#This Row],[sprzedaż]]</f>
        <v>744.6</v>
      </c>
    </row>
    <row r="2281" spans="1:6" x14ac:dyDescent="0.25">
      <c r="A2281" s="2">
        <v>44896</v>
      </c>
      <c r="B2281" s="1" t="s">
        <v>0</v>
      </c>
      <c r="C2281" s="1" t="s">
        <v>16</v>
      </c>
      <c r="D2281" s="1" t="s">
        <v>58</v>
      </c>
      <c r="E2281">
        <v>296</v>
      </c>
      <c r="F2281" s="1">
        <f>VLOOKUP(jablka[[#This Row],[Nazwa]],cennik[],2,0) * jablka[[#This Row],[sprzedaż]]</f>
        <v>858.4</v>
      </c>
    </row>
    <row r="2282" spans="1:6" x14ac:dyDescent="0.25">
      <c r="A2282" s="2">
        <v>44896</v>
      </c>
      <c r="B2282" s="1" t="s">
        <v>5</v>
      </c>
      <c r="C2282" s="1" t="s">
        <v>16</v>
      </c>
      <c r="D2282" s="1" t="s">
        <v>22</v>
      </c>
      <c r="E2282">
        <v>458</v>
      </c>
      <c r="F2282" s="1">
        <f>VLOOKUP(jablka[[#This Row],[Nazwa]],cennik[],2,0) * jablka[[#This Row],[sprzedaż]]</f>
        <v>1557.2</v>
      </c>
    </row>
    <row r="2283" spans="1:6" x14ac:dyDescent="0.25">
      <c r="A2283" s="2">
        <v>44896</v>
      </c>
      <c r="B2283" s="1" t="s">
        <v>10</v>
      </c>
      <c r="C2283" s="1" t="s">
        <v>16</v>
      </c>
      <c r="D2283" s="1" t="s">
        <v>55</v>
      </c>
      <c r="E2283">
        <v>446</v>
      </c>
      <c r="F2283" s="1">
        <f>VLOOKUP(jablka[[#This Row],[Nazwa]],cennik[],2,0) * jablka[[#This Row],[sprzedaż]]</f>
        <v>1516.3999999999999</v>
      </c>
    </row>
    <row r="2284" spans="1:6" x14ac:dyDescent="0.25">
      <c r="A2284" s="2">
        <v>44896</v>
      </c>
      <c r="B2284" s="1" t="s">
        <v>5</v>
      </c>
      <c r="C2284" s="1" t="s">
        <v>16</v>
      </c>
      <c r="D2284" s="1" t="s">
        <v>38</v>
      </c>
      <c r="E2284">
        <v>377</v>
      </c>
      <c r="F2284" s="1">
        <f>VLOOKUP(jablka[[#This Row],[Nazwa]],cennik[],2,0) * jablka[[#This Row],[sprzedaż]]</f>
        <v>1281.8</v>
      </c>
    </row>
    <row r="2285" spans="1:6" x14ac:dyDescent="0.25">
      <c r="A2285" s="2">
        <v>44896</v>
      </c>
      <c r="B2285" s="1" t="s">
        <v>2</v>
      </c>
      <c r="C2285" s="1" t="s">
        <v>16</v>
      </c>
      <c r="D2285" s="1" t="s">
        <v>40</v>
      </c>
      <c r="E2285">
        <v>480</v>
      </c>
      <c r="F2285" s="1">
        <f>VLOOKUP(jablka[[#This Row],[Nazwa]],cennik[],2,0) * jablka[[#This Row],[sprzedaż]]</f>
        <v>1536</v>
      </c>
    </row>
    <row r="2286" spans="1:6" x14ac:dyDescent="0.25">
      <c r="A2286" s="2">
        <v>44896</v>
      </c>
      <c r="B2286" s="1" t="s">
        <v>15</v>
      </c>
      <c r="C2286" s="1" t="s">
        <v>16</v>
      </c>
      <c r="D2286" s="1" t="s">
        <v>20</v>
      </c>
      <c r="E2286">
        <v>397</v>
      </c>
      <c r="F2286" s="1">
        <f>VLOOKUP(jablka[[#This Row],[Nazwa]],cennik[],2,0) * jablka[[#This Row],[sprzedaż]]</f>
        <v>952.8</v>
      </c>
    </row>
    <row r="2287" spans="1:6" x14ac:dyDescent="0.25">
      <c r="A2287" s="2">
        <v>44896</v>
      </c>
      <c r="B2287" s="1" t="s">
        <v>7</v>
      </c>
      <c r="C2287" s="1" t="s">
        <v>16</v>
      </c>
      <c r="D2287" s="1" t="s">
        <v>34</v>
      </c>
      <c r="E2287">
        <v>648</v>
      </c>
      <c r="F2287" s="1">
        <f>VLOOKUP(jablka[[#This Row],[Nazwa]],cennik[],2,0) * jablka[[#This Row],[sprzedaż]]</f>
        <v>2203.1999999999998</v>
      </c>
    </row>
    <row r="2288" spans="1:6" x14ac:dyDescent="0.25">
      <c r="A2288" s="2">
        <v>44897</v>
      </c>
      <c r="B2288" s="1" t="s">
        <v>6</v>
      </c>
      <c r="C2288" s="1" t="s">
        <v>16</v>
      </c>
      <c r="D2288" s="1" t="s">
        <v>61</v>
      </c>
      <c r="E2288">
        <v>458</v>
      </c>
      <c r="F2288" s="1">
        <f>VLOOKUP(jablka[[#This Row],[Nazwa]],cennik[],2,0) * jablka[[#This Row],[sprzedaż]]</f>
        <v>1557.2</v>
      </c>
    </row>
    <row r="2289" spans="1:6" x14ac:dyDescent="0.25">
      <c r="A2289" s="2">
        <v>44897</v>
      </c>
      <c r="B2289" s="1" t="s">
        <v>4</v>
      </c>
      <c r="C2289" s="1" t="s">
        <v>16</v>
      </c>
      <c r="D2289" s="1" t="s">
        <v>35</v>
      </c>
      <c r="E2289">
        <v>714</v>
      </c>
      <c r="F2289" s="1">
        <f>VLOOKUP(jablka[[#This Row],[Nazwa]],cennik[],2,0) * jablka[[#This Row],[sprzedaż]]</f>
        <v>2427.6</v>
      </c>
    </row>
    <row r="2290" spans="1:6" x14ac:dyDescent="0.25">
      <c r="A2290" s="2">
        <v>44897</v>
      </c>
      <c r="B2290" s="1" t="s">
        <v>5</v>
      </c>
      <c r="C2290" s="1" t="s">
        <v>16</v>
      </c>
      <c r="D2290" s="1" t="s">
        <v>20</v>
      </c>
      <c r="E2290">
        <v>207</v>
      </c>
      <c r="F2290" s="1">
        <f>VLOOKUP(jablka[[#This Row],[Nazwa]],cennik[],2,0) * jablka[[#This Row],[sprzedaż]]</f>
        <v>703.8</v>
      </c>
    </row>
    <row r="2291" spans="1:6" x14ac:dyDescent="0.25">
      <c r="A2291" s="2">
        <v>44897</v>
      </c>
      <c r="B2291" s="1" t="s">
        <v>2</v>
      </c>
      <c r="C2291" s="1" t="s">
        <v>16</v>
      </c>
      <c r="D2291" s="1" t="s">
        <v>23</v>
      </c>
      <c r="E2291">
        <v>277</v>
      </c>
      <c r="F2291" s="1">
        <f>VLOOKUP(jablka[[#This Row],[Nazwa]],cennik[],2,0) * jablka[[#This Row],[sprzedaż]]</f>
        <v>886.40000000000009</v>
      </c>
    </row>
    <row r="2292" spans="1:6" x14ac:dyDescent="0.25">
      <c r="A2292" s="2">
        <v>44897</v>
      </c>
      <c r="B2292" s="1" t="s">
        <v>5</v>
      </c>
      <c r="C2292" s="1" t="s">
        <v>16</v>
      </c>
      <c r="D2292" s="1" t="s">
        <v>34</v>
      </c>
      <c r="E2292">
        <v>394</v>
      </c>
      <c r="F2292" s="1">
        <f>VLOOKUP(jablka[[#This Row],[Nazwa]],cennik[],2,0) * jablka[[#This Row],[sprzedaż]]</f>
        <v>1339.6</v>
      </c>
    </row>
    <row r="2293" spans="1:6" x14ac:dyDescent="0.25">
      <c r="A2293" s="2">
        <v>44897</v>
      </c>
      <c r="B2293" s="1" t="s">
        <v>8</v>
      </c>
      <c r="C2293" s="1" t="s">
        <v>16</v>
      </c>
      <c r="D2293" s="1" t="s">
        <v>47</v>
      </c>
      <c r="E2293">
        <v>418</v>
      </c>
      <c r="F2293" s="1">
        <f>VLOOKUP(jablka[[#This Row],[Nazwa]],cennik[],2,0) * jablka[[#This Row],[sprzedaż]]</f>
        <v>1463</v>
      </c>
    </row>
    <row r="2294" spans="1:6" x14ac:dyDescent="0.25">
      <c r="A2294" s="2">
        <v>44897</v>
      </c>
      <c r="B2294" s="1" t="s">
        <v>7</v>
      </c>
      <c r="C2294" s="1" t="s">
        <v>16</v>
      </c>
      <c r="D2294" s="1" t="s">
        <v>56</v>
      </c>
      <c r="E2294">
        <v>398</v>
      </c>
      <c r="F2294" s="1">
        <f>VLOOKUP(jablka[[#This Row],[Nazwa]],cennik[],2,0) * jablka[[#This Row],[sprzedaż]]</f>
        <v>1353.2</v>
      </c>
    </row>
    <row r="2295" spans="1:6" x14ac:dyDescent="0.25">
      <c r="A2295" s="2">
        <v>44897</v>
      </c>
      <c r="B2295" s="1" t="s">
        <v>8</v>
      </c>
      <c r="C2295" s="1" t="s">
        <v>16</v>
      </c>
      <c r="D2295" s="1" t="s">
        <v>26</v>
      </c>
      <c r="E2295">
        <v>223</v>
      </c>
      <c r="F2295" s="1">
        <f>VLOOKUP(jablka[[#This Row],[Nazwa]],cennik[],2,0) * jablka[[#This Row],[sprzedaż]]</f>
        <v>780.5</v>
      </c>
    </row>
    <row r="2296" spans="1:6" x14ac:dyDescent="0.25">
      <c r="A2296" s="2">
        <v>44897</v>
      </c>
      <c r="B2296" s="1" t="s">
        <v>5</v>
      </c>
      <c r="C2296" s="1" t="s">
        <v>16</v>
      </c>
      <c r="D2296" s="1" t="s">
        <v>30</v>
      </c>
      <c r="E2296">
        <v>90</v>
      </c>
      <c r="F2296" s="1">
        <f>VLOOKUP(jablka[[#This Row],[Nazwa]],cennik[],2,0) * jablka[[#This Row],[sprzedaż]]</f>
        <v>306</v>
      </c>
    </row>
    <row r="2297" spans="1:6" x14ac:dyDescent="0.25">
      <c r="A2297" s="2">
        <v>44898</v>
      </c>
      <c r="B2297" s="1" t="s">
        <v>4</v>
      </c>
      <c r="C2297" s="1" t="s">
        <v>16</v>
      </c>
      <c r="D2297" s="1" t="s">
        <v>66</v>
      </c>
      <c r="E2297">
        <v>778</v>
      </c>
      <c r="F2297" s="1">
        <f>VLOOKUP(jablka[[#This Row],[Nazwa]],cennik[],2,0) * jablka[[#This Row],[sprzedaż]]</f>
        <v>2645.2</v>
      </c>
    </row>
    <row r="2298" spans="1:6" x14ac:dyDescent="0.25">
      <c r="A2298" s="2">
        <v>44898</v>
      </c>
      <c r="B2298" s="1" t="s">
        <v>7</v>
      </c>
      <c r="C2298" s="1" t="s">
        <v>16</v>
      </c>
      <c r="D2298" s="1" t="s">
        <v>27</v>
      </c>
      <c r="E2298">
        <v>582</v>
      </c>
      <c r="F2298" s="1">
        <f>VLOOKUP(jablka[[#This Row],[Nazwa]],cennik[],2,0) * jablka[[#This Row],[sprzedaż]]</f>
        <v>1978.8</v>
      </c>
    </row>
    <row r="2299" spans="1:6" x14ac:dyDescent="0.25">
      <c r="A2299" s="2">
        <v>44898</v>
      </c>
      <c r="B2299" s="1" t="s">
        <v>5</v>
      </c>
      <c r="C2299" s="1" t="s">
        <v>16</v>
      </c>
      <c r="D2299" s="1" t="s">
        <v>32</v>
      </c>
      <c r="E2299">
        <v>218</v>
      </c>
      <c r="F2299" s="1">
        <f>VLOOKUP(jablka[[#This Row],[Nazwa]],cennik[],2,0) * jablka[[#This Row],[sprzedaż]]</f>
        <v>741.19999999999993</v>
      </c>
    </row>
    <row r="2300" spans="1:6" x14ac:dyDescent="0.25">
      <c r="A2300" s="2">
        <v>44898</v>
      </c>
      <c r="B2300" s="1" t="s">
        <v>5</v>
      </c>
      <c r="C2300" s="1" t="s">
        <v>16</v>
      </c>
      <c r="D2300" s="1" t="s">
        <v>26</v>
      </c>
      <c r="E2300">
        <v>290</v>
      </c>
      <c r="F2300" s="1">
        <f>VLOOKUP(jablka[[#This Row],[Nazwa]],cennik[],2,0) * jablka[[#This Row],[sprzedaż]]</f>
        <v>986</v>
      </c>
    </row>
    <row r="2301" spans="1:6" x14ac:dyDescent="0.25">
      <c r="A2301" s="2">
        <v>44898</v>
      </c>
      <c r="B2301" s="1" t="s">
        <v>10</v>
      </c>
      <c r="C2301" s="1" t="s">
        <v>16</v>
      </c>
      <c r="D2301" s="1" t="s">
        <v>36</v>
      </c>
      <c r="E2301">
        <v>437</v>
      </c>
      <c r="F2301" s="1">
        <f>VLOOKUP(jablka[[#This Row],[Nazwa]],cennik[],2,0) * jablka[[#This Row],[sprzedaż]]</f>
        <v>1485.8</v>
      </c>
    </row>
    <row r="2302" spans="1:6" x14ac:dyDescent="0.25">
      <c r="A2302" s="2">
        <v>44900</v>
      </c>
      <c r="B2302" s="1" t="s">
        <v>8</v>
      </c>
      <c r="C2302" s="1" t="s">
        <v>16</v>
      </c>
      <c r="D2302" s="1" t="s">
        <v>29</v>
      </c>
      <c r="E2302">
        <v>469</v>
      </c>
      <c r="F2302" s="1">
        <f>VLOOKUP(jablka[[#This Row],[Nazwa]],cennik[],2,0) * jablka[[#This Row],[sprzedaż]]</f>
        <v>1641.5</v>
      </c>
    </row>
    <row r="2303" spans="1:6" x14ac:dyDescent="0.25">
      <c r="A2303" s="2">
        <v>44900</v>
      </c>
      <c r="B2303" s="1" t="s">
        <v>0</v>
      </c>
      <c r="C2303" s="1" t="s">
        <v>16</v>
      </c>
      <c r="D2303" s="1" t="s">
        <v>63</v>
      </c>
      <c r="E2303">
        <v>33</v>
      </c>
      <c r="F2303" s="1">
        <f>VLOOKUP(jablka[[#This Row],[Nazwa]],cennik[],2,0) * jablka[[#This Row],[sprzedaż]]</f>
        <v>95.7</v>
      </c>
    </row>
    <row r="2304" spans="1:6" x14ac:dyDescent="0.25">
      <c r="A2304" s="2">
        <v>44900</v>
      </c>
      <c r="B2304" s="1" t="s">
        <v>10</v>
      </c>
      <c r="C2304" s="1" t="s">
        <v>16</v>
      </c>
      <c r="D2304" s="1" t="s">
        <v>55</v>
      </c>
      <c r="E2304">
        <v>79</v>
      </c>
      <c r="F2304" s="1">
        <f>VLOOKUP(jablka[[#This Row],[Nazwa]],cennik[],2,0) * jablka[[#This Row],[sprzedaż]]</f>
        <v>268.59999999999997</v>
      </c>
    </row>
    <row r="2305" spans="1:6" x14ac:dyDescent="0.25">
      <c r="A2305" s="2">
        <v>44900</v>
      </c>
      <c r="B2305" s="1" t="s">
        <v>8</v>
      </c>
      <c r="C2305" s="1" t="s">
        <v>16</v>
      </c>
      <c r="D2305" s="1" t="s">
        <v>34</v>
      </c>
      <c r="E2305">
        <v>332</v>
      </c>
      <c r="F2305" s="1">
        <f>VLOOKUP(jablka[[#This Row],[Nazwa]],cennik[],2,0) * jablka[[#This Row],[sprzedaż]]</f>
        <v>1162</v>
      </c>
    </row>
    <row r="2306" spans="1:6" x14ac:dyDescent="0.25">
      <c r="A2306" s="2">
        <v>44900</v>
      </c>
      <c r="B2306" s="1" t="s">
        <v>15</v>
      </c>
      <c r="C2306" s="1" t="s">
        <v>16</v>
      </c>
      <c r="D2306" s="1" t="s">
        <v>49</v>
      </c>
      <c r="E2306">
        <v>132</v>
      </c>
      <c r="F2306" s="1">
        <f>VLOOKUP(jablka[[#This Row],[Nazwa]],cennik[],2,0) * jablka[[#This Row],[sprzedaż]]</f>
        <v>316.8</v>
      </c>
    </row>
    <row r="2307" spans="1:6" x14ac:dyDescent="0.25">
      <c r="A2307" s="2">
        <v>44900</v>
      </c>
      <c r="B2307" s="1" t="s">
        <v>8</v>
      </c>
      <c r="C2307" s="1" t="s">
        <v>16</v>
      </c>
      <c r="D2307" s="1" t="s">
        <v>26</v>
      </c>
      <c r="E2307">
        <v>547</v>
      </c>
      <c r="F2307" s="1">
        <f>VLOOKUP(jablka[[#This Row],[Nazwa]],cennik[],2,0) * jablka[[#This Row],[sprzedaż]]</f>
        <v>1914.5</v>
      </c>
    </row>
    <row r="2308" spans="1:6" x14ac:dyDescent="0.25">
      <c r="A2308" s="2">
        <v>44900</v>
      </c>
      <c r="B2308" s="1" t="s">
        <v>10</v>
      </c>
      <c r="C2308" s="1" t="s">
        <v>16</v>
      </c>
      <c r="D2308" s="1" t="s">
        <v>35</v>
      </c>
      <c r="E2308">
        <v>295</v>
      </c>
      <c r="F2308" s="1">
        <f>VLOOKUP(jablka[[#This Row],[Nazwa]],cennik[],2,0) * jablka[[#This Row],[sprzedaż]]</f>
        <v>1003</v>
      </c>
    </row>
    <row r="2309" spans="1:6" x14ac:dyDescent="0.25">
      <c r="A2309" s="2">
        <v>44900</v>
      </c>
      <c r="B2309" s="1" t="s">
        <v>7</v>
      </c>
      <c r="C2309" s="1" t="s">
        <v>16</v>
      </c>
      <c r="D2309" s="1" t="s">
        <v>22</v>
      </c>
      <c r="E2309">
        <v>540</v>
      </c>
      <c r="F2309" s="1">
        <f>VLOOKUP(jablka[[#This Row],[Nazwa]],cennik[],2,0) * jablka[[#This Row],[sprzedaż]]</f>
        <v>1836</v>
      </c>
    </row>
    <row r="2310" spans="1:6" x14ac:dyDescent="0.25">
      <c r="A2310" s="2">
        <v>44900</v>
      </c>
      <c r="B2310" s="1" t="s">
        <v>7</v>
      </c>
      <c r="C2310" s="1" t="s">
        <v>16</v>
      </c>
      <c r="D2310" s="1" t="s">
        <v>37</v>
      </c>
      <c r="E2310">
        <v>222</v>
      </c>
      <c r="F2310" s="1">
        <f>VLOOKUP(jablka[[#This Row],[Nazwa]],cennik[],2,0) * jablka[[#This Row],[sprzedaż]]</f>
        <v>754.8</v>
      </c>
    </row>
    <row r="2311" spans="1:6" x14ac:dyDescent="0.25">
      <c r="A2311" s="2">
        <v>44900</v>
      </c>
      <c r="B2311" s="1" t="s">
        <v>10</v>
      </c>
      <c r="C2311" s="1" t="s">
        <v>16</v>
      </c>
      <c r="D2311" s="1" t="s">
        <v>30</v>
      </c>
      <c r="E2311">
        <v>394</v>
      </c>
      <c r="F2311" s="1">
        <f>VLOOKUP(jablka[[#This Row],[Nazwa]],cennik[],2,0) * jablka[[#This Row],[sprzedaż]]</f>
        <v>1339.6</v>
      </c>
    </row>
    <row r="2312" spans="1:6" x14ac:dyDescent="0.25">
      <c r="A2312" s="2">
        <v>44900</v>
      </c>
      <c r="B2312" s="1" t="s">
        <v>0</v>
      </c>
      <c r="C2312" s="1" t="s">
        <v>16</v>
      </c>
      <c r="D2312" s="1" t="s">
        <v>62</v>
      </c>
      <c r="E2312">
        <v>325</v>
      </c>
      <c r="F2312" s="1">
        <f>VLOOKUP(jablka[[#This Row],[Nazwa]],cennik[],2,0) * jablka[[#This Row],[sprzedaż]]</f>
        <v>942.5</v>
      </c>
    </row>
    <row r="2313" spans="1:6" x14ac:dyDescent="0.25">
      <c r="A2313" s="2">
        <v>44901</v>
      </c>
      <c r="B2313" s="1" t="s">
        <v>15</v>
      </c>
      <c r="C2313" s="1" t="s">
        <v>16</v>
      </c>
      <c r="D2313" s="1" t="s">
        <v>27</v>
      </c>
      <c r="E2313">
        <v>457</v>
      </c>
      <c r="F2313" s="1">
        <f>VLOOKUP(jablka[[#This Row],[Nazwa]],cennik[],2,0) * jablka[[#This Row],[sprzedaż]]</f>
        <v>1096.8</v>
      </c>
    </row>
    <row r="2314" spans="1:6" x14ac:dyDescent="0.25">
      <c r="A2314" s="2">
        <v>44901</v>
      </c>
      <c r="B2314" s="1" t="s">
        <v>6</v>
      </c>
      <c r="C2314" s="1" t="s">
        <v>16</v>
      </c>
      <c r="D2314" s="1" t="s">
        <v>51</v>
      </c>
      <c r="E2314">
        <v>64</v>
      </c>
      <c r="F2314" s="1">
        <f>VLOOKUP(jablka[[#This Row],[Nazwa]],cennik[],2,0) * jablka[[#This Row],[sprzedaż]]</f>
        <v>217.6</v>
      </c>
    </row>
    <row r="2315" spans="1:6" x14ac:dyDescent="0.25">
      <c r="A2315" s="2">
        <v>44901</v>
      </c>
      <c r="B2315" s="1" t="s">
        <v>7</v>
      </c>
      <c r="C2315" s="1" t="s">
        <v>16</v>
      </c>
      <c r="D2315" s="1" t="s">
        <v>24</v>
      </c>
      <c r="E2315">
        <v>298</v>
      </c>
      <c r="F2315" s="1">
        <f>VLOOKUP(jablka[[#This Row],[Nazwa]],cennik[],2,0) * jablka[[#This Row],[sprzedaż]]</f>
        <v>1013.1999999999999</v>
      </c>
    </row>
    <row r="2316" spans="1:6" x14ac:dyDescent="0.25">
      <c r="A2316" s="2">
        <v>44901</v>
      </c>
      <c r="B2316" s="1" t="s">
        <v>7</v>
      </c>
      <c r="C2316" s="1" t="s">
        <v>16</v>
      </c>
      <c r="D2316" s="1" t="s">
        <v>28</v>
      </c>
      <c r="E2316">
        <v>606</v>
      </c>
      <c r="F2316" s="1">
        <f>VLOOKUP(jablka[[#This Row],[Nazwa]],cennik[],2,0) * jablka[[#This Row],[sprzedaż]]</f>
        <v>2060.4</v>
      </c>
    </row>
    <row r="2317" spans="1:6" x14ac:dyDescent="0.25">
      <c r="A2317" s="2">
        <v>44901</v>
      </c>
      <c r="B2317" s="1" t="s">
        <v>8</v>
      </c>
      <c r="C2317" s="1" t="s">
        <v>16</v>
      </c>
      <c r="D2317" s="1" t="s">
        <v>28</v>
      </c>
      <c r="E2317">
        <v>276</v>
      </c>
      <c r="F2317" s="1">
        <f>VLOOKUP(jablka[[#This Row],[Nazwa]],cennik[],2,0) * jablka[[#This Row],[sprzedaż]]</f>
        <v>966</v>
      </c>
    </row>
    <row r="2318" spans="1:6" x14ac:dyDescent="0.25">
      <c r="A2318" s="2">
        <v>44901</v>
      </c>
      <c r="B2318" s="1" t="s">
        <v>15</v>
      </c>
      <c r="C2318" s="1" t="s">
        <v>16</v>
      </c>
      <c r="D2318" s="1" t="s">
        <v>61</v>
      </c>
      <c r="E2318">
        <v>142</v>
      </c>
      <c r="F2318" s="1">
        <f>VLOOKUP(jablka[[#This Row],[Nazwa]],cennik[],2,0) * jablka[[#This Row],[sprzedaż]]</f>
        <v>340.8</v>
      </c>
    </row>
    <row r="2319" spans="1:6" x14ac:dyDescent="0.25">
      <c r="A2319" s="2">
        <v>44901</v>
      </c>
      <c r="B2319" s="1" t="s">
        <v>0</v>
      </c>
      <c r="C2319" s="1" t="s">
        <v>16</v>
      </c>
      <c r="D2319" s="1" t="s">
        <v>23</v>
      </c>
      <c r="E2319">
        <v>263</v>
      </c>
      <c r="F2319" s="1">
        <f>VLOOKUP(jablka[[#This Row],[Nazwa]],cennik[],2,0) * jablka[[#This Row],[sprzedaż]]</f>
        <v>762.69999999999993</v>
      </c>
    </row>
    <row r="2320" spans="1:6" x14ac:dyDescent="0.25">
      <c r="A2320" s="2">
        <v>44901</v>
      </c>
      <c r="B2320" s="1" t="s">
        <v>5</v>
      </c>
      <c r="C2320" s="1" t="s">
        <v>16</v>
      </c>
      <c r="D2320" s="1" t="s">
        <v>66</v>
      </c>
      <c r="E2320">
        <v>81</v>
      </c>
      <c r="F2320" s="1">
        <f>VLOOKUP(jablka[[#This Row],[Nazwa]],cennik[],2,0) * jablka[[#This Row],[sprzedaż]]</f>
        <v>275.39999999999998</v>
      </c>
    </row>
    <row r="2321" spans="1:6" x14ac:dyDescent="0.25">
      <c r="A2321" s="2">
        <v>44901</v>
      </c>
      <c r="B2321" s="1" t="s">
        <v>10</v>
      </c>
      <c r="C2321" s="1" t="s">
        <v>16</v>
      </c>
      <c r="D2321" s="1" t="s">
        <v>63</v>
      </c>
      <c r="E2321">
        <v>347</v>
      </c>
      <c r="F2321" s="1">
        <f>VLOOKUP(jablka[[#This Row],[Nazwa]],cennik[],2,0) * jablka[[#This Row],[sprzedaż]]</f>
        <v>1179.8</v>
      </c>
    </row>
    <row r="2322" spans="1:6" x14ac:dyDescent="0.25">
      <c r="A2322" s="2">
        <v>44901</v>
      </c>
      <c r="B2322" s="1" t="s">
        <v>8</v>
      </c>
      <c r="C2322" s="1" t="s">
        <v>16</v>
      </c>
      <c r="D2322" s="1" t="s">
        <v>44</v>
      </c>
      <c r="E2322">
        <v>443</v>
      </c>
      <c r="F2322" s="1">
        <f>VLOOKUP(jablka[[#This Row],[Nazwa]],cennik[],2,0) * jablka[[#This Row],[sprzedaż]]</f>
        <v>1550.5</v>
      </c>
    </row>
    <row r="2323" spans="1:6" x14ac:dyDescent="0.25">
      <c r="A2323" s="2">
        <v>44901</v>
      </c>
      <c r="B2323" s="1" t="s">
        <v>2</v>
      </c>
      <c r="C2323" s="1" t="s">
        <v>16</v>
      </c>
      <c r="D2323" s="1" t="s">
        <v>50</v>
      </c>
      <c r="E2323">
        <v>261</v>
      </c>
      <c r="F2323" s="1">
        <f>VLOOKUP(jablka[[#This Row],[Nazwa]],cennik[],2,0) * jablka[[#This Row],[sprzedaż]]</f>
        <v>835.2</v>
      </c>
    </row>
    <row r="2324" spans="1:6" x14ac:dyDescent="0.25">
      <c r="A2324" s="2">
        <v>44902</v>
      </c>
      <c r="B2324" s="1" t="s">
        <v>8</v>
      </c>
      <c r="C2324" s="1" t="s">
        <v>16</v>
      </c>
      <c r="D2324" s="1" t="s">
        <v>28</v>
      </c>
      <c r="E2324">
        <v>389</v>
      </c>
      <c r="F2324" s="1">
        <f>VLOOKUP(jablka[[#This Row],[Nazwa]],cennik[],2,0) * jablka[[#This Row],[sprzedaż]]</f>
        <v>1361.5</v>
      </c>
    </row>
    <row r="2325" spans="1:6" x14ac:dyDescent="0.25">
      <c r="A2325" s="2">
        <v>44902</v>
      </c>
      <c r="B2325" s="1" t="s">
        <v>2</v>
      </c>
      <c r="C2325" s="1" t="s">
        <v>16</v>
      </c>
      <c r="D2325" s="1" t="s">
        <v>65</v>
      </c>
      <c r="E2325">
        <v>279</v>
      </c>
      <c r="F2325" s="1">
        <f>VLOOKUP(jablka[[#This Row],[Nazwa]],cennik[],2,0) * jablka[[#This Row],[sprzedaż]]</f>
        <v>892.80000000000007</v>
      </c>
    </row>
    <row r="2326" spans="1:6" x14ac:dyDescent="0.25">
      <c r="A2326" s="2">
        <v>44902</v>
      </c>
      <c r="B2326" s="1" t="s">
        <v>5</v>
      </c>
      <c r="C2326" s="1" t="s">
        <v>16</v>
      </c>
      <c r="D2326" s="1" t="s">
        <v>60</v>
      </c>
      <c r="E2326">
        <v>402</v>
      </c>
      <c r="F2326" s="1">
        <f>VLOOKUP(jablka[[#This Row],[Nazwa]],cennik[],2,0) * jablka[[#This Row],[sprzedaż]]</f>
        <v>1366.8</v>
      </c>
    </row>
    <row r="2327" spans="1:6" x14ac:dyDescent="0.25">
      <c r="A2327" s="2">
        <v>44902</v>
      </c>
      <c r="B2327" s="1" t="s">
        <v>2</v>
      </c>
      <c r="C2327" s="1" t="s">
        <v>16</v>
      </c>
      <c r="D2327" s="1" t="s">
        <v>44</v>
      </c>
      <c r="E2327">
        <v>343</v>
      </c>
      <c r="F2327" s="1">
        <f>VLOOKUP(jablka[[#This Row],[Nazwa]],cennik[],2,0) * jablka[[#This Row],[sprzedaż]]</f>
        <v>1097.6000000000001</v>
      </c>
    </row>
    <row r="2328" spans="1:6" x14ac:dyDescent="0.25">
      <c r="A2328" s="2">
        <v>44902</v>
      </c>
      <c r="B2328" s="1" t="s">
        <v>6</v>
      </c>
      <c r="C2328" s="1" t="s">
        <v>16</v>
      </c>
      <c r="D2328" s="1" t="s">
        <v>65</v>
      </c>
      <c r="E2328">
        <v>36</v>
      </c>
      <c r="F2328" s="1">
        <f>VLOOKUP(jablka[[#This Row],[Nazwa]],cennik[],2,0) * jablka[[#This Row],[sprzedaż]]</f>
        <v>122.39999999999999</v>
      </c>
    </row>
    <row r="2329" spans="1:6" x14ac:dyDescent="0.25">
      <c r="A2329" s="2">
        <v>44902</v>
      </c>
      <c r="B2329" s="1" t="s">
        <v>7</v>
      </c>
      <c r="C2329" s="1" t="s">
        <v>16</v>
      </c>
      <c r="D2329" s="1" t="s">
        <v>49</v>
      </c>
      <c r="E2329">
        <v>454</v>
      </c>
      <c r="F2329" s="1">
        <f>VLOOKUP(jablka[[#This Row],[Nazwa]],cennik[],2,0) * jablka[[#This Row],[sprzedaż]]</f>
        <v>1543.6</v>
      </c>
    </row>
    <row r="2330" spans="1:6" x14ac:dyDescent="0.25">
      <c r="A2330" s="2">
        <v>44902</v>
      </c>
      <c r="B2330" s="1" t="s">
        <v>5</v>
      </c>
      <c r="C2330" s="1" t="s">
        <v>16</v>
      </c>
      <c r="D2330" s="1" t="s">
        <v>30</v>
      </c>
      <c r="E2330">
        <v>281</v>
      </c>
      <c r="F2330" s="1">
        <f>VLOOKUP(jablka[[#This Row],[Nazwa]],cennik[],2,0) * jablka[[#This Row],[sprzedaż]]</f>
        <v>955.4</v>
      </c>
    </row>
    <row r="2331" spans="1:6" x14ac:dyDescent="0.25">
      <c r="A2331" s="2">
        <v>44902</v>
      </c>
      <c r="B2331" s="1" t="s">
        <v>7</v>
      </c>
      <c r="C2331" s="1" t="s">
        <v>16</v>
      </c>
      <c r="D2331" s="1" t="s">
        <v>20</v>
      </c>
      <c r="E2331">
        <v>501</v>
      </c>
      <c r="F2331" s="1">
        <f>VLOOKUP(jablka[[#This Row],[Nazwa]],cennik[],2,0) * jablka[[#This Row],[sprzedaż]]</f>
        <v>1703.3999999999999</v>
      </c>
    </row>
    <row r="2332" spans="1:6" x14ac:dyDescent="0.25">
      <c r="A2332" s="2">
        <v>44902</v>
      </c>
      <c r="B2332" s="1" t="s">
        <v>6</v>
      </c>
      <c r="C2332" s="1" t="s">
        <v>16</v>
      </c>
      <c r="D2332" s="1" t="s">
        <v>46</v>
      </c>
      <c r="E2332">
        <v>22</v>
      </c>
      <c r="F2332" s="1">
        <f>VLOOKUP(jablka[[#This Row],[Nazwa]],cennik[],2,0) * jablka[[#This Row],[sprzedaż]]</f>
        <v>74.8</v>
      </c>
    </row>
    <row r="2333" spans="1:6" x14ac:dyDescent="0.25">
      <c r="A2333" s="2">
        <v>44902</v>
      </c>
      <c r="B2333" s="1" t="s">
        <v>5</v>
      </c>
      <c r="C2333" s="1" t="s">
        <v>16</v>
      </c>
      <c r="D2333" s="1" t="s">
        <v>21</v>
      </c>
      <c r="E2333">
        <v>247</v>
      </c>
      <c r="F2333" s="1">
        <f>VLOOKUP(jablka[[#This Row],[Nazwa]],cennik[],2,0) * jablka[[#This Row],[sprzedaż]]</f>
        <v>839.8</v>
      </c>
    </row>
    <row r="2334" spans="1:6" x14ac:dyDescent="0.25">
      <c r="A2334" s="2">
        <v>44903</v>
      </c>
      <c r="B2334" s="1" t="s">
        <v>4</v>
      </c>
      <c r="C2334" s="1" t="s">
        <v>16</v>
      </c>
      <c r="D2334" s="1" t="s">
        <v>35</v>
      </c>
      <c r="E2334">
        <v>406</v>
      </c>
      <c r="F2334" s="1">
        <f>VLOOKUP(jablka[[#This Row],[Nazwa]],cennik[],2,0) * jablka[[#This Row],[sprzedaż]]</f>
        <v>1380.3999999999999</v>
      </c>
    </row>
    <row r="2335" spans="1:6" x14ac:dyDescent="0.25">
      <c r="A2335" s="2">
        <v>44903</v>
      </c>
      <c r="B2335" s="1" t="s">
        <v>5</v>
      </c>
      <c r="C2335" s="1" t="s">
        <v>16</v>
      </c>
      <c r="D2335" s="1" t="s">
        <v>61</v>
      </c>
      <c r="E2335">
        <v>382</v>
      </c>
      <c r="F2335" s="1">
        <f>VLOOKUP(jablka[[#This Row],[Nazwa]],cennik[],2,0) * jablka[[#This Row],[sprzedaż]]</f>
        <v>1298.8</v>
      </c>
    </row>
    <row r="2336" spans="1:6" x14ac:dyDescent="0.25">
      <c r="A2336" s="2">
        <v>44903</v>
      </c>
      <c r="B2336" s="1" t="s">
        <v>5</v>
      </c>
      <c r="C2336" s="1" t="s">
        <v>16</v>
      </c>
      <c r="D2336" s="1" t="s">
        <v>22</v>
      </c>
      <c r="E2336">
        <v>322</v>
      </c>
      <c r="F2336" s="1">
        <f>VLOOKUP(jablka[[#This Row],[Nazwa]],cennik[],2,0) * jablka[[#This Row],[sprzedaż]]</f>
        <v>1094.8</v>
      </c>
    </row>
    <row r="2337" spans="1:6" x14ac:dyDescent="0.25">
      <c r="A2337" s="2">
        <v>44903</v>
      </c>
      <c r="B2337" s="1" t="s">
        <v>6</v>
      </c>
      <c r="C2337" s="1" t="s">
        <v>16</v>
      </c>
      <c r="D2337" s="1" t="s">
        <v>37</v>
      </c>
      <c r="E2337">
        <v>393</v>
      </c>
      <c r="F2337" s="1">
        <f>VLOOKUP(jablka[[#This Row],[Nazwa]],cennik[],2,0) * jablka[[#This Row],[sprzedaż]]</f>
        <v>1336.2</v>
      </c>
    </row>
    <row r="2338" spans="1:6" x14ac:dyDescent="0.25">
      <c r="A2338" s="2">
        <v>44903</v>
      </c>
      <c r="B2338" s="1" t="s">
        <v>5</v>
      </c>
      <c r="C2338" s="1" t="s">
        <v>16</v>
      </c>
      <c r="D2338" s="1" t="s">
        <v>50</v>
      </c>
      <c r="E2338">
        <v>109</v>
      </c>
      <c r="F2338" s="1">
        <f>VLOOKUP(jablka[[#This Row],[Nazwa]],cennik[],2,0) * jablka[[#This Row],[sprzedaż]]</f>
        <v>370.59999999999997</v>
      </c>
    </row>
    <row r="2339" spans="1:6" x14ac:dyDescent="0.25">
      <c r="A2339" s="2">
        <v>44903</v>
      </c>
      <c r="B2339" s="1" t="s">
        <v>8</v>
      </c>
      <c r="C2339" s="1" t="s">
        <v>16</v>
      </c>
      <c r="D2339" s="1" t="s">
        <v>41</v>
      </c>
      <c r="E2339">
        <v>421</v>
      </c>
      <c r="F2339" s="1">
        <f>VLOOKUP(jablka[[#This Row],[Nazwa]],cennik[],2,0) * jablka[[#This Row],[sprzedaż]]</f>
        <v>1473.5</v>
      </c>
    </row>
    <row r="2340" spans="1:6" x14ac:dyDescent="0.25">
      <c r="A2340" s="2">
        <v>44904</v>
      </c>
      <c r="B2340" s="1" t="s">
        <v>0</v>
      </c>
      <c r="C2340" s="1" t="s">
        <v>16</v>
      </c>
      <c r="D2340" s="1" t="s">
        <v>47</v>
      </c>
      <c r="E2340">
        <v>462</v>
      </c>
      <c r="F2340" s="1">
        <f>VLOOKUP(jablka[[#This Row],[Nazwa]],cennik[],2,0) * jablka[[#This Row],[sprzedaż]]</f>
        <v>1339.8</v>
      </c>
    </row>
    <row r="2341" spans="1:6" x14ac:dyDescent="0.25">
      <c r="A2341" s="2">
        <v>44904</v>
      </c>
      <c r="B2341" s="1" t="s">
        <v>0</v>
      </c>
      <c r="C2341" s="1" t="s">
        <v>16</v>
      </c>
      <c r="D2341" s="1" t="s">
        <v>29</v>
      </c>
      <c r="E2341">
        <v>263</v>
      </c>
      <c r="F2341" s="1">
        <f>VLOOKUP(jablka[[#This Row],[Nazwa]],cennik[],2,0) * jablka[[#This Row],[sprzedaż]]</f>
        <v>762.69999999999993</v>
      </c>
    </row>
    <row r="2342" spans="1:6" x14ac:dyDescent="0.25">
      <c r="A2342" s="2">
        <v>44904</v>
      </c>
      <c r="B2342" s="1" t="s">
        <v>5</v>
      </c>
      <c r="C2342" s="1" t="s">
        <v>16</v>
      </c>
      <c r="D2342" s="1" t="s">
        <v>30</v>
      </c>
      <c r="E2342">
        <v>65</v>
      </c>
      <c r="F2342" s="1">
        <f>VLOOKUP(jablka[[#This Row],[Nazwa]],cennik[],2,0) * jablka[[#This Row],[sprzedaż]]</f>
        <v>221</v>
      </c>
    </row>
    <row r="2343" spans="1:6" x14ac:dyDescent="0.25">
      <c r="A2343" s="2">
        <v>44904</v>
      </c>
      <c r="B2343" s="1" t="s">
        <v>15</v>
      </c>
      <c r="C2343" s="1" t="s">
        <v>16</v>
      </c>
      <c r="D2343" s="1" t="s">
        <v>34</v>
      </c>
      <c r="E2343">
        <v>148</v>
      </c>
      <c r="F2343" s="1">
        <f>VLOOKUP(jablka[[#This Row],[Nazwa]],cennik[],2,0) * jablka[[#This Row],[sprzedaż]]</f>
        <v>355.2</v>
      </c>
    </row>
    <row r="2344" spans="1:6" x14ac:dyDescent="0.25">
      <c r="A2344" s="2">
        <v>44905</v>
      </c>
      <c r="B2344" s="1" t="s">
        <v>10</v>
      </c>
      <c r="C2344" s="1" t="s">
        <v>16</v>
      </c>
      <c r="D2344" s="1" t="s">
        <v>17</v>
      </c>
      <c r="E2344">
        <v>489</v>
      </c>
      <c r="F2344" s="1">
        <f>VLOOKUP(jablka[[#This Row],[Nazwa]],cennik[],2,0) * jablka[[#This Row],[sprzedaż]]</f>
        <v>1662.6</v>
      </c>
    </row>
    <row r="2345" spans="1:6" x14ac:dyDescent="0.25">
      <c r="A2345" s="2">
        <v>44905</v>
      </c>
      <c r="B2345" s="1" t="s">
        <v>8</v>
      </c>
      <c r="C2345" s="1" t="s">
        <v>16</v>
      </c>
      <c r="D2345" s="1" t="s">
        <v>48</v>
      </c>
      <c r="E2345">
        <v>490</v>
      </c>
      <c r="F2345" s="1">
        <f>VLOOKUP(jablka[[#This Row],[Nazwa]],cennik[],2,0) * jablka[[#This Row],[sprzedaż]]</f>
        <v>1715</v>
      </c>
    </row>
    <row r="2346" spans="1:6" x14ac:dyDescent="0.25">
      <c r="A2346" s="2">
        <v>44905</v>
      </c>
      <c r="B2346" s="1" t="s">
        <v>7</v>
      </c>
      <c r="C2346" s="1" t="s">
        <v>16</v>
      </c>
      <c r="D2346" s="1" t="s">
        <v>50</v>
      </c>
      <c r="E2346">
        <v>561</v>
      </c>
      <c r="F2346" s="1">
        <f>VLOOKUP(jablka[[#This Row],[Nazwa]],cennik[],2,0) * jablka[[#This Row],[sprzedaż]]</f>
        <v>1907.3999999999999</v>
      </c>
    </row>
    <row r="2347" spans="1:6" x14ac:dyDescent="0.25">
      <c r="A2347" s="2">
        <v>44905</v>
      </c>
      <c r="B2347" s="1" t="s">
        <v>4</v>
      </c>
      <c r="C2347" s="1" t="s">
        <v>16</v>
      </c>
      <c r="D2347" s="1" t="s">
        <v>60</v>
      </c>
      <c r="E2347">
        <v>465</v>
      </c>
      <c r="F2347" s="1">
        <f>VLOOKUP(jablka[[#This Row],[Nazwa]],cennik[],2,0) * jablka[[#This Row],[sprzedaż]]</f>
        <v>1581</v>
      </c>
    </row>
    <row r="2348" spans="1:6" x14ac:dyDescent="0.25">
      <c r="A2348" s="2">
        <v>44905</v>
      </c>
      <c r="B2348" s="1" t="s">
        <v>15</v>
      </c>
      <c r="C2348" s="1" t="s">
        <v>16</v>
      </c>
      <c r="D2348" s="1" t="s">
        <v>60</v>
      </c>
      <c r="E2348">
        <v>585</v>
      </c>
      <c r="F2348" s="1">
        <f>VLOOKUP(jablka[[#This Row],[Nazwa]],cennik[],2,0) * jablka[[#This Row],[sprzedaż]]</f>
        <v>1404</v>
      </c>
    </row>
    <row r="2349" spans="1:6" x14ac:dyDescent="0.25">
      <c r="A2349" s="2">
        <v>44905</v>
      </c>
      <c r="B2349" s="1" t="s">
        <v>15</v>
      </c>
      <c r="C2349" s="1" t="s">
        <v>16</v>
      </c>
      <c r="D2349" s="1" t="s">
        <v>34</v>
      </c>
      <c r="E2349">
        <v>579</v>
      </c>
      <c r="F2349" s="1">
        <f>VLOOKUP(jablka[[#This Row],[Nazwa]],cennik[],2,0) * jablka[[#This Row],[sprzedaż]]</f>
        <v>1389.6</v>
      </c>
    </row>
    <row r="2350" spans="1:6" x14ac:dyDescent="0.25">
      <c r="A2350" s="2">
        <v>44905</v>
      </c>
      <c r="B2350" s="1" t="s">
        <v>15</v>
      </c>
      <c r="C2350" s="1" t="s">
        <v>16</v>
      </c>
      <c r="D2350" s="1" t="s">
        <v>22</v>
      </c>
      <c r="E2350">
        <v>382</v>
      </c>
      <c r="F2350" s="1">
        <f>VLOOKUP(jablka[[#This Row],[Nazwa]],cennik[],2,0) * jablka[[#This Row],[sprzedaż]]</f>
        <v>916.8</v>
      </c>
    </row>
    <row r="2351" spans="1:6" x14ac:dyDescent="0.25">
      <c r="A2351" s="2">
        <v>44907</v>
      </c>
      <c r="B2351" s="1" t="s">
        <v>7</v>
      </c>
      <c r="C2351" s="1" t="s">
        <v>16</v>
      </c>
      <c r="D2351" s="1" t="s">
        <v>17</v>
      </c>
      <c r="E2351">
        <v>224</v>
      </c>
      <c r="F2351" s="1">
        <f>VLOOKUP(jablka[[#This Row],[Nazwa]],cennik[],2,0) * jablka[[#This Row],[sprzedaż]]</f>
        <v>761.6</v>
      </c>
    </row>
    <row r="2352" spans="1:6" x14ac:dyDescent="0.25">
      <c r="A2352" s="2">
        <v>44907</v>
      </c>
      <c r="B2352" s="1" t="s">
        <v>15</v>
      </c>
      <c r="C2352" s="1" t="s">
        <v>16</v>
      </c>
      <c r="D2352" s="1" t="s">
        <v>36</v>
      </c>
      <c r="E2352">
        <v>303</v>
      </c>
      <c r="F2352" s="1">
        <f>VLOOKUP(jablka[[#This Row],[Nazwa]],cennik[],2,0) * jablka[[#This Row],[sprzedaż]]</f>
        <v>727.19999999999993</v>
      </c>
    </row>
    <row r="2353" spans="1:6" x14ac:dyDescent="0.25">
      <c r="A2353" s="2">
        <v>44907</v>
      </c>
      <c r="B2353" s="1" t="s">
        <v>5</v>
      </c>
      <c r="C2353" s="1" t="s">
        <v>16</v>
      </c>
      <c r="D2353" s="1" t="s">
        <v>54</v>
      </c>
      <c r="E2353">
        <v>238</v>
      </c>
      <c r="F2353" s="1">
        <f>VLOOKUP(jablka[[#This Row],[Nazwa]],cennik[],2,0) * jablka[[#This Row],[sprzedaż]]</f>
        <v>809.19999999999993</v>
      </c>
    </row>
    <row r="2354" spans="1:6" x14ac:dyDescent="0.25">
      <c r="A2354" s="2">
        <v>44907</v>
      </c>
      <c r="B2354" s="1" t="s">
        <v>15</v>
      </c>
      <c r="C2354" s="1" t="s">
        <v>16</v>
      </c>
      <c r="D2354" s="1" t="s">
        <v>23</v>
      </c>
      <c r="E2354">
        <v>464</v>
      </c>
      <c r="F2354" s="1">
        <f>VLOOKUP(jablka[[#This Row],[Nazwa]],cennik[],2,0) * jablka[[#This Row],[sprzedaż]]</f>
        <v>1113.5999999999999</v>
      </c>
    </row>
    <row r="2355" spans="1:6" x14ac:dyDescent="0.25">
      <c r="A2355" s="2">
        <v>44907</v>
      </c>
      <c r="B2355" s="1" t="s">
        <v>4</v>
      </c>
      <c r="C2355" s="1" t="s">
        <v>16</v>
      </c>
      <c r="D2355" s="1" t="s">
        <v>36</v>
      </c>
      <c r="E2355">
        <v>579</v>
      </c>
      <c r="F2355" s="1">
        <f>VLOOKUP(jablka[[#This Row],[Nazwa]],cennik[],2,0) * jablka[[#This Row],[sprzedaż]]</f>
        <v>1968.6</v>
      </c>
    </row>
    <row r="2356" spans="1:6" x14ac:dyDescent="0.25">
      <c r="A2356" s="2">
        <v>44907</v>
      </c>
      <c r="B2356" s="1" t="s">
        <v>6</v>
      </c>
      <c r="C2356" s="1" t="s">
        <v>16</v>
      </c>
      <c r="D2356" s="1" t="s">
        <v>60</v>
      </c>
      <c r="E2356">
        <v>70</v>
      </c>
      <c r="F2356" s="1">
        <f>VLOOKUP(jablka[[#This Row],[Nazwa]],cennik[],2,0) * jablka[[#This Row],[sprzedaż]]</f>
        <v>238</v>
      </c>
    </row>
    <row r="2357" spans="1:6" x14ac:dyDescent="0.25">
      <c r="A2357" s="2">
        <v>44907</v>
      </c>
      <c r="B2357" s="1" t="s">
        <v>8</v>
      </c>
      <c r="C2357" s="1" t="s">
        <v>16</v>
      </c>
      <c r="D2357" s="1" t="s">
        <v>42</v>
      </c>
      <c r="E2357">
        <v>654</v>
      </c>
      <c r="F2357" s="1">
        <f>VLOOKUP(jablka[[#This Row],[Nazwa]],cennik[],2,0) * jablka[[#This Row],[sprzedaż]]</f>
        <v>2289</v>
      </c>
    </row>
    <row r="2358" spans="1:6" x14ac:dyDescent="0.25">
      <c r="A2358" s="2">
        <v>44907</v>
      </c>
      <c r="B2358" s="1" t="s">
        <v>7</v>
      </c>
      <c r="C2358" s="1" t="s">
        <v>16</v>
      </c>
      <c r="D2358" s="1" t="s">
        <v>46</v>
      </c>
      <c r="E2358">
        <v>364</v>
      </c>
      <c r="F2358" s="1">
        <f>VLOOKUP(jablka[[#This Row],[Nazwa]],cennik[],2,0) * jablka[[#This Row],[sprzedaż]]</f>
        <v>1237.5999999999999</v>
      </c>
    </row>
    <row r="2359" spans="1:6" x14ac:dyDescent="0.25">
      <c r="A2359" s="2">
        <v>44907</v>
      </c>
      <c r="B2359" s="1" t="s">
        <v>8</v>
      </c>
      <c r="C2359" s="1" t="s">
        <v>16</v>
      </c>
      <c r="D2359" s="1" t="s">
        <v>44</v>
      </c>
      <c r="E2359">
        <v>670</v>
      </c>
      <c r="F2359" s="1">
        <f>VLOOKUP(jablka[[#This Row],[Nazwa]],cennik[],2,0) * jablka[[#This Row],[sprzedaż]]</f>
        <v>2345</v>
      </c>
    </row>
    <row r="2360" spans="1:6" x14ac:dyDescent="0.25">
      <c r="A2360" s="2">
        <v>44907</v>
      </c>
      <c r="B2360" s="1" t="s">
        <v>15</v>
      </c>
      <c r="C2360" s="1" t="s">
        <v>16</v>
      </c>
      <c r="D2360" s="1" t="s">
        <v>39</v>
      </c>
      <c r="E2360">
        <v>419</v>
      </c>
      <c r="F2360" s="1">
        <f>VLOOKUP(jablka[[#This Row],[Nazwa]],cennik[],2,0) * jablka[[#This Row],[sprzedaż]]</f>
        <v>1005.5999999999999</v>
      </c>
    </row>
    <row r="2361" spans="1:6" x14ac:dyDescent="0.25">
      <c r="A2361" s="2">
        <v>44907</v>
      </c>
      <c r="B2361" s="1" t="s">
        <v>0</v>
      </c>
      <c r="C2361" s="1" t="s">
        <v>16</v>
      </c>
      <c r="D2361" s="1" t="s">
        <v>38</v>
      </c>
      <c r="E2361">
        <v>161</v>
      </c>
      <c r="F2361" s="1">
        <f>VLOOKUP(jablka[[#This Row],[Nazwa]],cennik[],2,0) * jablka[[#This Row],[sprzedaż]]</f>
        <v>466.9</v>
      </c>
    </row>
    <row r="2362" spans="1:6" x14ac:dyDescent="0.25">
      <c r="A2362" s="2">
        <v>44907</v>
      </c>
      <c r="B2362" s="1" t="s">
        <v>7</v>
      </c>
      <c r="C2362" s="1" t="s">
        <v>16</v>
      </c>
      <c r="D2362" s="1" t="s">
        <v>54</v>
      </c>
      <c r="E2362">
        <v>317</v>
      </c>
      <c r="F2362" s="1">
        <f>VLOOKUP(jablka[[#This Row],[Nazwa]],cennik[],2,0) * jablka[[#This Row],[sprzedaż]]</f>
        <v>1077.8</v>
      </c>
    </row>
    <row r="2363" spans="1:6" x14ac:dyDescent="0.25">
      <c r="A2363" s="2">
        <v>44907</v>
      </c>
      <c r="B2363" s="1" t="s">
        <v>2</v>
      </c>
      <c r="C2363" s="1" t="s">
        <v>16</v>
      </c>
      <c r="D2363" s="1" t="s">
        <v>31</v>
      </c>
      <c r="E2363">
        <v>404</v>
      </c>
      <c r="F2363" s="1">
        <f>VLOOKUP(jablka[[#This Row],[Nazwa]],cennik[],2,0) * jablka[[#This Row],[sprzedaż]]</f>
        <v>1292.8000000000002</v>
      </c>
    </row>
    <row r="2364" spans="1:6" x14ac:dyDescent="0.25">
      <c r="A2364" s="2">
        <v>44908</v>
      </c>
      <c r="B2364" s="1" t="s">
        <v>15</v>
      </c>
      <c r="C2364" s="1" t="s">
        <v>16</v>
      </c>
      <c r="D2364" s="1" t="s">
        <v>19</v>
      </c>
      <c r="E2364">
        <v>459</v>
      </c>
      <c r="F2364" s="1">
        <f>VLOOKUP(jablka[[#This Row],[Nazwa]],cennik[],2,0) * jablka[[#This Row],[sprzedaż]]</f>
        <v>1101.5999999999999</v>
      </c>
    </row>
    <row r="2365" spans="1:6" x14ac:dyDescent="0.25">
      <c r="A2365" s="2">
        <v>44908</v>
      </c>
      <c r="B2365" s="1" t="s">
        <v>0</v>
      </c>
      <c r="C2365" s="1" t="s">
        <v>16</v>
      </c>
      <c r="D2365" s="1" t="s">
        <v>29</v>
      </c>
      <c r="E2365">
        <v>26</v>
      </c>
      <c r="F2365" s="1">
        <f>VLOOKUP(jablka[[#This Row],[Nazwa]],cennik[],2,0) * jablka[[#This Row],[sprzedaż]]</f>
        <v>75.399999999999991</v>
      </c>
    </row>
    <row r="2366" spans="1:6" x14ac:dyDescent="0.25">
      <c r="A2366" s="2">
        <v>44908</v>
      </c>
      <c r="B2366" s="1" t="s">
        <v>8</v>
      </c>
      <c r="C2366" s="1" t="s">
        <v>16</v>
      </c>
      <c r="D2366" s="1" t="s">
        <v>47</v>
      </c>
      <c r="E2366">
        <v>389</v>
      </c>
      <c r="F2366" s="1">
        <f>VLOOKUP(jablka[[#This Row],[Nazwa]],cennik[],2,0) * jablka[[#This Row],[sprzedaż]]</f>
        <v>1361.5</v>
      </c>
    </row>
    <row r="2367" spans="1:6" x14ac:dyDescent="0.25">
      <c r="A2367" s="2">
        <v>44908</v>
      </c>
      <c r="B2367" s="1" t="s">
        <v>5</v>
      </c>
      <c r="C2367" s="1" t="s">
        <v>16</v>
      </c>
      <c r="D2367" s="1" t="s">
        <v>41</v>
      </c>
      <c r="E2367">
        <v>318</v>
      </c>
      <c r="F2367" s="1">
        <f>VLOOKUP(jablka[[#This Row],[Nazwa]],cennik[],2,0) * jablka[[#This Row],[sprzedaż]]</f>
        <v>1081.2</v>
      </c>
    </row>
    <row r="2368" spans="1:6" x14ac:dyDescent="0.25">
      <c r="A2368" s="2">
        <v>44908</v>
      </c>
      <c r="B2368" s="1" t="s">
        <v>0</v>
      </c>
      <c r="C2368" s="1" t="s">
        <v>16</v>
      </c>
      <c r="D2368" s="1" t="s">
        <v>65</v>
      </c>
      <c r="E2368">
        <v>333</v>
      </c>
      <c r="F2368" s="1">
        <f>VLOOKUP(jablka[[#This Row],[Nazwa]],cennik[],2,0) * jablka[[#This Row],[sprzedaż]]</f>
        <v>965.69999999999993</v>
      </c>
    </row>
    <row r="2369" spans="1:6" x14ac:dyDescent="0.25">
      <c r="A2369" s="2">
        <v>44908</v>
      </c>
      <c r="B2369" s="1" t="s">
        <v>4</v>
      </c>
      <c r="C2369" s="1" t="s">
        <v>16</v>
      </c>
      <c r="D2369" s="1" t="s">
        <v>47</v>
      </c>
      <c r="E2369">
        <v>477</v>
      </c>
      <c r="F2369" s="1">
        <f>VLOOKUP(jablka[[#This Row],[Nazwa]],cennik[],2,0) * jablka[[#This Row],[sprzedaż]]</f>
        <v>1621.8</v>
      </c>
    </row>
    <row r="2370" spans="1:6" x14ac:dyDescent="0.25">
      <c r="A2370" s="2">
        <v>44908</v>
      </c>
      <c r="B2370" s="1" t="s">
        <v>4</v>
      </c>
      <c r="C2370" s="1" t="s">
        <v>16</v>
      </c>
      <c r="D2370" s="1" t="s">
        <v>30</v>
      </c>
      <c r="E2370">
        <v>567</v>
      </c>
      <c r="F2370" s="1">
        <f>VLOOKUP(jablka[[#This Row],[Nazwa]],cennik[],2,0) * jablka[[#This Row],[sprzedaż]]</f>
        <v>1927.8</v>
      </c>
    </row>
    <row r="2371" spans="1:6" x14ac:dyDescent="0.25">
      <c r="A2371" s="2">
        <v>44908</v>
      </c>
      <c r="B2371" s="1" t="s">
        <v>10</v>
      </c>
      <c r="C2371" s="1" t="s">
        <v>16</v>
      </c>
      <c r="D2371" s="1" t="s">
        <v>25</v>
      </c>
      <c r="E2371">
        <v>256</v>
      </c>
      <c r="F2371" s="1">
        <f>VLOOKUP(jablka[[#This Row],[Nazwa]],cennik[],2,0) * jablka[[#This Row],[sprzedaż]]</f>
        <v>870.4</v>
      </c>
    </row>
    <row r="2372" spans="1:6" x14ac:dyDescent="0.25">
      <c r="A2372" s="2">
        <v>44908</v>
      </c>
      <c r="B2372" s="1" t="s">
        <v>0</v>
      </c>
      <c r="C2372" s="1" t="s">
        <v>16</v>
      </c>
      <c r="D2372" s="1" t="s">
        <v>46</v>
      </c>
      <c r="E2372">
        <v>377</v>
      </c>
      <c r="F2372" s="1">
        <f>VLOOKUP(jablka[[#This Row],[Nazwa]],cennik[],2,0) * jablka[[#This Row],[sprzedaż]]</f>
        <v>1093.3</v>
      </c>
    </row>
    <row r="2373" spans="1:6" x14ac:dyDescent="0.25">
      <c r="A2373" s="2">
        <v>44908</v>
      </c>
      <c r="B2373" s="1" t="s">
        <v>6</v>
      </c>
      <c r="C2373" s="1" t="s">
        <v>16</v>
      </c>
      <c r="D2373" s="1" t="s">
        <v>34</v>
      </c>
      <c r="E2373">
        <v>275</v>
      </c>
      <c r="F2373" s="1">
        <f>VLOOKUP(jablka[[#This Row],[Nazwa]],cennik[],2,0) * jablka[[#This Row],[sprzedaż]]</f>
        <v>935</v>
      </c>
    </row>
    <row r="2374" spans="1:6" x14ac:dyDescent="0.25">
      <c r="A2374" s="2">
        <v>44909</v>
      </c>
      <c r="B2374" s="1" t="s">
        <v>10</v>
      </c>
      <c r="C2374" s="1" t="s">
        <v>16</v>
      </c>
      <c r="D2374" s="1" t="s">
        <v>21</v>
      </c>
      <c r="E2374">
        <v>205</v>
      </c>
      <c r="F2374" s="1">
        <f>VLOOKUP(jablka[[#This Row],[Nazwa]],cennik[],2,0) * jablka[[#This Row],[sprzedaż]]</f>
        <v>697</v>
      </c>
    </row>
    <row r="2375" spans="1:6" x14ac:dyDescent="0.25">
      <c r="A2375" s="2">
        <v>44909</v>
      </c>
      <c r="B2375" s="1" t="s">
        <v>2</v>
      </c>
      <c r="C2375" s="1" t="s">
        <v>16</v>
      </c>
      <c r="D2375" s="1" t="s">
        <v>17</v>
      </c>
      <c r="E2375">
        <v>346</v>
      </c>
      <c r="F2375" s="1">
        <f>VLOOKUP(jablka[[#This Row],[Nazwa]],cennik[],2,0) * jablka[[#This Row],[sprzedaż]]</f>
        <v>1107.2</v>
      </c>
    </row>
    <row r="2376" spans="1:6" x14ac:dyDescent="0.25">
      <c r="A2376" s="2">
        <v>44909</v>
      </c>
      <c r="B2376" s="1" t="s">
        <v>4</v>
      </c>
      <c r="C2376" s="1" t="s">
        <v>16</v>
      </c>
      <c r="D2376" s="1" t="s">
        <v>46</v>
      </c>
      <c r="E2376">
        <v>432</v>
      </c>
      <c r="F2376" s="1">
        <f>VLOOKUP(jablka[[#This Row],[Nazwa]],cennik[],2,0) * jablka[[#This Row],[sprzedaż]]</f>
        <v>1468.8</v>
      </c>
    </row>
    <row r="2377" spans="1:6" x14ac:dyDescent="0.25">
      <c r="A2377" s="2">
        <v>44909</v>
      </c>
      <c r="B2377" s="1" t="s">
        <v>15</v>
      </c>
      <c r="C2377" s="1" t="s">
        <v>16</v>
      </c>
      <c r="D2377" s="1" t="s">
        <v>52</v>
      </c>
      <c r="E2377">
        <v>153</v>
      </c>
      <c r="F2377" s="1">
        <f>VLOOKUP(jablka[[#This Row],[Nazwa]],cennik[],2,0) * jablka[[#This Row],[sprzedaż]]</f>
        <v>367.2</v>
      </c>
    </row>
    <row r="2378" spans="1:6" x14ac:dyDescent="0.25">
      <c r="A2378" s="2">
        <v>44909</v>
      </c>
      <c r="B2378" s="1" t="s">
        <v>7</v>
      </c>
      <c r="C2378" s="1" t="s">
        <v>16</v>
      </c>
      <c r="D2378" s="1" t="s">
        <v>48</v>
      </c>
      <c r="E2378">
        <v>394</v>
      </c>
      <c r="F2378" s="1">
        <f>VLOOKUP(jablka[[#This Row],[Nazwa]],cennik[],2,0) * jablka[[#This Row],[sprzedaż]]</f>
        <v>1339.6</v>
      </c>
    </row>
    <row r="2379" spans="1:6" x14ac:dyDescent="0.25">
      <c r="A2379" s="2">
        <v>44910</v>
      </c>
      <c r="B2379" s="1" t="s">
        <v>2</v>
      </c>
      <c r="C2379" s="1" t="s">
        <v>16</v>
      </c>
      <c r="D2379" s="1" t="s">
        <v>44</v>
      </c>
      <c r="E2379">
        <v>106</v>
      </c>
      <c r="F2379" s="1">
        <f>VLOOKUP(jablka[[#This Row],[Nazwa]],cennik[],2,0) * jablka[[#This Row],[sprzedaż]]</f>
        <v>339.20000000000005</v>
      </c>
    </row>
    <row r="2380" spans="1:6" x14ac:dyDescent="0.25">
      <c r="A2380" s="2">
        <v>44910</v>
      </c>
      <c r="B2380" s="1" t="s">
        <v>15</v>
      </c>
      <c r="C2380" s="1" t="s">
        <v>16</v>
      </c>
      <c r="D2380" s="1" t="s">
        <v>23</v>
      </c>
      <c r="E2380">
        <v>578</v>
      </c>
      <c r="F2380" s="1">
        <f>VLOOKUP(jablka[[#This Row],[Nazwa]],cennik[],2,0) * jablka[[#This Row],[sprzedaż]]</f>
        <v>1387.2</v>
      </c>
    </row>
    <row r="2381" spans="1:6" x14ac:dyDescent="0.25">
      <c r="A2381" s="2">
        <v>44910</v>
      </c>
      <c r="B2381" s="1" t="s">
        <v>8</v>
      </c>
      <c r="C2381" s="1" t="s">
        <v>16</v>
      </c>
      <c r="D2381" s="1" t="s">
        <v>50</v>
      </c>
      <c r="E2381">
        <v>337</v>
      </c>
      <c r="F2381" s="1">
        <f>VLOOKUP(jablka[[#This Row],[Nazwa]],cennik[],2,0) * jablka[[#This Row],[sprzedaż]]</f>
        <v>1179.5</v>
      </c>
    </row>
    <row r="2382" spans="1:6" x14ac:dyDescent="0.25">
      <c r="A2382" s="2">
        <v>44910</v>
      </c>
      <c r="B2382" s="1" t="s">
        <v>6</v>
      </c>
      <c r="C2382" s="1" t="s">
        <v>16</v>
      </c>
      <c r="D2382" s="1" t="s">
        <v>60</v>
      </c>
      <c r="E2382">
        <v>223</v>
      </c>
      <c r="F2382" s="1">
        <f>VLOOKUP(jablka[[#This Row],[Nazwa]],cennik[],2,0) * jablka[[#This Row],[sprzedaż]]</f>
        <v>758.19999999999993</v>
      </c>
    </row>
    <row r="2383" spans="1:6" x14ac:dyDescent="0.25">
      <c r="A2383" s="2">
        <v>44910</v>
      </c>
      <c r="B2383" s="1" t="s">
        <v>10</v>
      </c>
      <c r="C2383" s="1" t="s">
        <v>16</v>
      </c>
      <c r="D2383" s="1" t="s">
        <v>34</v>
      </c>
      <c r="E2383">
        <v>254</v>
      </c>
      <c r="F2383" s="1">
        <f>VLOOKUP(jablka[[#This Row],[Nazwa]],cennik[],2,0) * jablka[[#This Row],[sprzedaż]]</f>
        <v>863.6</v>
      </c>
    </row>
    <row r="2384" spans="1:6" x14ac:dyDescent="0.25">
      <c r="A2384" s="2">
        <v>44910</v>
      </c>
      <c r="B2384" s="1" t="s">
        <v>10</v>
      </c>
      <c r="C2384" s="1" t="s">
        <v>16</v>
      </c>
      <c r="D2384" s="1" t="s">
        <v>55</v>
      </c>
      <c r="E2384">
        <v>335</v>
      </c>
      <c r="F2384" s="1">
        <f>VLOOKUP(jablka[[#This Row],[Nazwa]],cennik[],2,0) * jablka[[#This Row],[sprzedaż]]</f>
        <v>1139</v>
      </c>
    </row>
    <row r="2385" spans="1:6" x14ac:dyDescent="0.25">
      <c r="A2385" s="2">
        <v>44910</v>
      </c>
      <c r="B2385" s="1" t="s">
        <v>6</v>
      </c>
      <c r="C2385" s="1" t="s">
        <v>16</v>
      </c>
      <c r="D2385" s="1" t="s">
        <v>63</v>
      </c>
      <c r="E2385">
        <v>167</v>
      </c>
      <c r="F2385" s="1">
        <f>VLOOKUP(jablka[[#This Row],[Nazwa]],cennik[],2,0) * jablka[[#This Row],[sprzedaż]]</f>
        <v>567.79999999999995</v>
      </c>
    </row>
    <row r="2386" spans="1:6" x14ac:dyDescent="0.25">
      <c r="A2386" s="2">
        <v>44910</v>
      </c>
      <c r="B2386" s="1" t="s">
        <v>10</v>
      </c>
      <c r="C2386" s="1" t="s">
        <v>16</v>
      </c>
      <c r="D2386" s="1" t="s">
        <v>62</v>
      </c>
      <c r="E2386">
        <v>416</v>
      </c>
      <c r="F2386" s="1">
        <f>VLOOKUP(jablka[[#This Row],[Nazwa]],cennik[],2,0) * jablka[[#This Row],[sprzedaż]]</f>
        <v>1414.3999999999999</v>
      </c>
    </row>
    <row r="2387" spans="1:6" x14ac:dyDescent="0.25">
      <c r="A2387" s="2">
        <v>44911</v>
      </c>
      <c r="B2387" s="1" t="s">
        <v>2</v>
      </c>
      <c r="C2387" s="1" t="s">
        <v>16</v>
      </c>
      <c r="D2387" s="1" t="s">
        <v>47</v>
      </c>
      <c r="E2387">
        <v>25</v>
      </c>
      <c r="F2387" s="1">
        <f>VLOOKUP(jablka[[#This Row],[Nazwa]],cennik[],2,0) * jablka[[#This Row],[sprzedaż]]</f>
        <v>80</v>
      </c>
    </row>
    <row r="2388" spans="1:6" x14ac:dyDescent="0.25">
      <c r="A2388" s="2">
        <v>44911</v>
      </c>
      <c r="B2388" s="1" t="s">
        <v>6</v>
      </c>
      <c r="C2388" s="1" t="s">
        <v>16</v>
      </c>
      <c r="D2388" s="1" t="s">
        <v>39</v>
      </c>
      <c r="E2388">
        <v>301</v>
      </c>
      <c r="F2388" s="1">
        <f>VLOOKUP(jablka[[#This Row],[Nazwa]],cennik[],2,0) * jablka[[#This Row],[sprzedaż]]</f>
        <v>1023.4</v>
      </c>
    </row>
    <row r="2389" spans="1:6" x14ac:dyDescent="0.25">
      <c r="A2389" s="2">
        <v>44911</v>
      </c>
      <c r="B2389" s="1" t="s">
        <v>8</v>
      </c>
      <c r="C2389" s="1" t="s">
        <v>16</v>
      </c>
      <c r="D2389" s="1" t="s">
        <v>28</v>
      </c>
      <c r="E2389">
        <v>681</v>
      </c>
      <c r="F2389" s="1">
        <f>VLOOKUP(jablka[[#This Row],[Nazwa]],cennik[],2,0) * jablka[[#This Row],[sprzedaż]]</f>
        <v>2383.5</v>
      </c>
    </row>
    <row r="2390" spans="1:6" x14ac:dyDescent="0.25">
      <c r="A2390" s="2">
        <v>44911</v>
      </c>
      <c r="B2390" s="1" t="s">
        <v>8</v>
      </c>
      <c r="C2390" s="1" t="s">
        <v>16</v>
      </c>
      <c r="D2390" s="1" t="s">
        <v>50</v>
      </c>
      <c r="E2390">
        <v>686</v>
      </c>
      <c r="F2390" s="1">
        <f>VLOOKUP(jablka[[#This Row],[Nazwa]],cennik[],2,0) * jablka[[#This Row],[sprzedaż]]</f>
        <v>2401</v>
      </c>
    </row>
    <row r="2391" spans="1:6" x14ac:dyDescent="0.25">
      <c r="A2391" s="2">
        <v>44911</v>
      </c>
      <c r="B2391" s="1" t="s">
        <v>15</v>
      </c>
      <c r="C2391" s="1" t="s">
        <v>16</v>
      </c>
      <c r="D2391" s="1" t="s">
        <v>62</v>
      </c>
      <c r="E2391">
        <v>359</v>
      </c>
      <c r="F2391" s="1">
        <f>VLOOKUP(jablka[[#This Row],[Nazwa]],cennik[],2,0) * jablka[[#This Row],[sprzedaż]]</f>
        <v>861.6</v>
      </c>
    </row>
    <row r="2392" spans="1:6" x14ac:dyDescent="0.25">
      <c r="A2392" s="2">
        <v>44911</v>
      </c>
      <c r="B2392" s="1" t="s">
        <v>6</v>
      </c>
      <c r="C2392" s="1" t="s">
        <v>16</v>
      </c>
      <c r="D2392" s="1" t="s">
        <v>35</v>
      </c>
      <c r="E2392">
        <v>72</v>
      </c>
      <c r="F2392" s="1">
        <f>VLOOKUP(jablka[[#This Row],[Nazwa]],cennik[],2,0) * jablka[[#This Row],[sprzedaż]]</f>
        <v>244.79999999999998</v>
      </c>
    </row>
    <row r="2393" spans="1:6" x14ac:dyDescent="0.25">
      <c r="A2393" s="2">
        <v>44911</v>
      </c>
      <c r="B2393" s="1" t="s">
        <v>15</v>
      </c>
      <c r="C2393" s="1" t="s">
        <v>16</v>
      </c>
      <c r="D2393" s="1" t="s">
        <v>50</v>
      </c>
      <c r="E2393">
        <v>442</v>
      </c>
      <c r="F2393" s="1">
        <f>VLOOKUP(jablka[[#This Row],[Nazwa]],cennik[],2,0) * jablka[[#This Row],[sprzedaż]]</f>
        <v>1060.8</v>
      </c>
    </row>
    <row r="2394" spans="1:6" x14ac:dyDescent="0.25">
      <c r="A2394" s="2">
        <v>44911</v>
      </c>
      <c r="B2394" s="1" t="s">
        <v>4</v>
      </c>
      <c r="C2394" s="1" t="s">
        <v>16</v>
      </c>
      <c r="D2394" s="1" t="s">
        <v>55</v>
      </c>
      <c r="E2394">
        <v>645</v>
      </c>
      <c r="F2394" s="1">
        <f>VLOOKUP(jablka[[#This Row],[Nazwa]],cennik[],2,0) * jablka[[#This Row],[sprzedaż]]</f>
        <v>2193</v>
      </c>
    </row>
    <row r="2395" spans="1:6" x14ac:dyDescent="0.25">
      <c r="A2395" s="2">
        <v>44911</v>
      </c>
      <c r="B2395" s="1" t="s">
        <v>15</v>
      </c>
      <c r="C2395" s="1" t="s">
        <v>16</v>
      </c>
      <c r="D2395" s="1" t="s">
        <v>23</v>
      </c>
      <c r="E2395">
        <v>417</v>
      </c>
      <c r="F2395" s="1">
        <f>VLOOKUP(jablka[[#This Row],[Nazwa]],cennik[],2,0) * jablka[[#This Row],[sprzedaż]]</f>
        <v>1000.8</v>
      </c>
    </row>
    <row r="2396" spans="1:6" x14ac:dyDescent="0.25">
      <c r="A2396" s="2">
        <v>44911</v>
      </c>
      <c r="B2396" s="1" t="s">
        <v>7</v>
      </c>
      <c r="C2396" s="1" t="s">
        <v>16</v>
      </c>
      <c r="D2396" s="1" t="s">
        <v>46</v>
      </c>
      <c r="E2396">
        <v>464</v>
      </c>
      <c r="F2396" s="1">
        <f>VLOOKUP(jablka[[#This Row],[Nazwa]],cennik[],2,0) * jablka[[#This Row],[sprzedaż]]</f>
        <v>1577.6</v>
      </c>
    </row>
    <row r="2397" spans="1:6" x14ac:dyDescent="0.25">
      <c r="A2397" s="2">
        <v>44912</v>
      </c>
      <c r="B2397" s="1" t="s">
        <v>0</v>
      </c>
      <c r="C2397" s="1" t="s">
        <v>16</v>
      </c>
      <c r="D2397" s="1" t="s">
        <v>51</v>
      </c>
      <c r="E2397">
        <v>470</v>
      </c>
      <c r="F2397" s="1">
        <f>VLOOKUP(jablka[[#This Row],[Nazwa]],cennik[],2,0) * jablka[[#This Row],[sprzedaż]]</f>
        <v>1363</v>
      </c>
    </row>
    <row r="2398" spans="1:6" x14ac:dyDescent="0.25">
      <c r="A2398" s="2">
        <v>44912</v>
      </c>
      <c r="B2398" s="1" t="s">
        <v>0</v>
      </c>
      <c r="C2398" s="1" t="s">
        <v>16</v>
      </c>
      <c r="D2398" s="1" t="s">
        <v>30</v>
      </c>
      <c r="E2398">
        <v>39</v>
      </c>
      <c r="F2398" s="1">
        <f>VLOOKUP(jablka[[#This Row],[Nazwa]],cennik[],2,0) * jablka[[#This Row],[sprzedaż]]</f>
        <v>113.1</v>
      </c>
    </row>
    <row r="2399" spans="1:6" x14ac:dyDescent="0.25">
      <c r="A2399" s="2">
        <v>44912</v>
      </c>
      <c r="B2399" s="1" t="s">
        <v>2</v>
      </c>
      <c r="C2399" s="1" t="s">
        <v>16</v>
      </c>
      <c r="D2399" s="1" t="s">
        <v>46</v>
      </c>
      <c r="E2399">
        <v>96</v>
      </c>
      <c r="F2399" s="1">
        <f>VLOOKUP(jablka[[#This Row],[Nazwa]],cennik[],2,0) * jablka[[#This Row],[sprzedaż]]</f>
        <v>307.20000000000005</v>
      </c>
    </row>
    <row r="2400" spans="1:6" x14ac:dyDescent="0.25">
      <c r="A2400" s="2">
        <v>44912</v>
      </c>
      <c r="B2400" s="1" t="s">
        <v>6</v>
      </c>
      <c r="C2400" s="1" t="s">
        <v>16</v>
      </c>
      <c r="D2400" s="1" t="s">
        <v>29</v>
      </c>
      <c r="E2400">
        <v>438</v>
      </c>
      <c r="F2400" s="1">
        <f>VLOOKUP(jablka[[#This Row],[Nazwa]],cennik[],2,0) * jablka[[#This Row],[sprzedaż]]</f>
        <v>1489.2</v>
      </c>
    </row>
    <row r="2401" spans="1:6" x14ac:dyDescent="0.25">
      <c r="A2401" s="2">
        <v>44912</v>
      </c>
      <c r="B2401" s="1" t="s">
        <v>8</v>
      </c>
      <c r="C2401" s="1" t="s">
        <v>16</v>
      </c>
      <c r="D2401" s="1" t="s">
        <v>39</v>
      </c>
      <c r="E2401">
        <v>413</v>
      </c>
      <c r="F2401" s="1">
        <f>VLOOKUP(jablka[[#This Row],[Nazwa]],cennik[],2,0) * jablka[[#This Row],[sprzedaż]]</f>
        <v>1445.5</v>
      </c>
    </row>
    <row r="2402" spans="1:6" x14ac:dyDescent="0.25">
      <c r="A2402" s="2">
        <v>44912</v>
      </c>
      <c r="B2402" s="1" t="s">
        <v>0</v>
      </c>
      <c r="C2402" s="1" t="s">
        <v>16</v>
      </c>
      <c r="D2402" s="1" t="s">
        <v>51</v>
      </c>
      <c r="E2402">
        <v>153</v>
      </c>
      <c r="F2402" s="1">
        <f>VLOOKUP(jablka[[#This Row],[Nazwa]],cennik[],2,0) * jablka[[#This Row],[sprzedaż]]</f>
        <v>443.7</v>
      </c>
    </row>
    <row r="2403" spans="1:6" x14ac:dyDescent="0.25">
      <c r="A2403" s="2">
        <v>44914</v>
      </c>
      <c r="B2403" s="1" t="s">
        <v>10</v>
      </c>
      <c r="C2403" s="1" t="s">
        <v>16</v>
      </c>
      <c r="D2403" s="1" t="s">
        <v>36</v>
      </c>
      <c r="E2403">
        <v>418</v>
      </c>
      <c r="F2403" s="1">
        <f>VLOOKUP(jablka[[#This Row],[Nazwa]],cennik[],2,0) * jablka[[#This Row],[sprzedaż]]</f>
        <v>1421.2</v>
      </c>
    </row>
    <row r="2404" spans="1:6" x14ac:dyDescent="0.25">
      <c r="A2404" s="2">
        <v>44914</v>
      </c>
      <c r="B2404" s="1" t="s">
        <v>10</v>
      </c>
      <c r="C2404" s="1" t="s">
        <v>16</v>
      </c>
      <c r="D2404" s="1" t="s">
        <v>27</v>
      </c>
      <c r="E2404">
        <v>340</v>
      </c>
      <c r="F2404" s="1">
        <f>VLOOKUP(jablka[[#This Row],[Nazwa]],cennik[],2,0) * jablka[[#This Row],[sprzedaż]]</f>
        <v>1156</v>
      </c>
    </row>
    <row r="2405" spans="1:6" x14ac:dyDescent="0.25">
      <c r="A2405" s="2">
        <v>44914</v>
      </c>
      <c r="B2405" s="1" t="s">
        <v>6</v>
      </c>
      <c r="C2405" s="1" t="s">
        <v>16</v>
      </c>
      <c r="D2405" s="1" t="s">
        <v>41</v>
      </c>
      <c r="E2405">
        <v>452</v>
      </c>
      <c r="F2405" s="1">
        <f>VLOOKUP(jablka[[#This Row],[Nazwa]],cennik[],2,0) * jablka[[#This Row],[sprzedaż]]</f>
        <v>1536.8</v>
      </c>
    </row>
    <row r="2406" spans="1:6" x14ac:dyDescent="0.25">
      <c r="A2406" s="2">
        <v>44914</v>
      </c>
      <c r="B2406" s="1" t="s">
        <v>2</v>
      </c>
      <c r="C2406" s="1" t="s">
        <v>16</v>
      </c>
      <c r="D2406" s="1" t="s">
        <v>64</v>
      </c>
      <c r="E2406">
        <v>482</v>
      </c>
      <c r="F2406" s="1">
        <f>VLOOKUP(jablka[[#This Row],[Nazwa]],cennik[],2,0) * jablka[[#This Row],[sprzedaż]]</f>
        <v>1542.4</v>
      </c>
    </row>
    <row r="2407" spans="1:6" x14ac:dyDescent="0.25">
      <c r="A2407" s="2">
        <v>44914</v>
      </c>
      <c r="B2407" s="1" t="s">
        <v>7</v>
      </c>
      <c r="C2407" s="1" t="s">
        <v>16</v>
      </c>
      <c r="D2407" s="1" t="s">
        <v>43</v>
      </c>
      <c r="E2407">
        <v>283</v>
      </c>
      <c r="F2407" s="1">
        <f>VLOOKUP(jablka[[#This Row],[Nazwa]],cennik[],2,0) * jablka[[#This Row],[sprzedaż]]</f>
        <v>962.19999999999993</v>
      </c>
    </row>
    <row r="2408" spans="1:6" x14ac:dyDescent="0.25">
      <c r="A2408" s="2">
        <v>44914</v>
      </c>
      <c r="B2408" s="1" t="s">
        <v>10</v>
      </c>
      <c r="C2408" s="1" t="s">
        <v>16</v>
      </c>
      <c r="D2408" s="1" t="s">
        <v>36</v>
      </c>
      <c r="E2408">
        <v>272</v>
      </c>
      <c r="F2408" s="1">
        <f>VLOOKUP(jablka[[#This Row],[Nazwa]],cennik[],2,0) * jablka[[#This Row],[sprzedaż]]</f>
        <v>924.8</v>
      </c>
    </row>
    <row r="2409" spans="1:6" x14ac:dyDescent="0.25">
      <c r="A2409" s="2">
        <v>44914</v>
      </c>
      <c r="B2409" s="1" t="s">
        <v>0</v>
      </c>
      <c r="C2409" s="1" t="s">
        <v>16</v>
      </c>
      <c r="D2409" s="1" t="s">
        <v>23</v>
      </c>
      <c r="E2409">
        <v>170</v>
      </c>
      <c r="F2409" s="1">
        <f>VLOOKUP(jablka[[#This Row],[Nazwa]],cennik[],2,0) * jablka[[#This Row],[sprzedaż]]</f>
        <v>493</v>
      </c>
    </row>
    <row r="2410" spans="1:6" x14ac:dyDescent="0.25">
      <c r="A2410" s="2">
        <v>44914</v>
      </c>
      <c r="B2410" s="1" t="s">
        <v>0</v>
      </c>
      <c r="C2410" s="1" t="s">
        <v>16</v>
      </c>
      <c r="D2410" s="1" t="s">
        <v>65</v>
      </c>
      <c r="E2410">
        <v>417</v>
      </c>
      <c r="F2410" s="1">
        <f>VLOOKUP(jablka[[#This Row],[Nazwa]],cennik[],2,0) * jablka[[#This Row],[sprzedaż]]</f>
        <v>1209.3</v>
      </c>
    </row>
    <row r="2411" spans="1:6" x14ac:dyDescent="0.25">
      <c r="A2411" s="2">
        <v>44914</v>
      </c>
      <c r="B2411" s="1" t="s">
        <v>8</v>
      </c>
      <c r="C2411" s="1" t="s">
        <v>16</v>
      </c>
      <c r="D2411" s="1" t="s">
        <v>38</v>
      </c>
      <c r="E2411">
        <v>512</v>
      </c>
      <c r="F2411" s="1">
        <f>VLOOKUP(jablka[[#This Row],[Nazwa]],cennik[],2,0) * jablka[[#This Row],[sprzedaż]]</f>
        <v>1792</v>
      </c>
    </row>
    <row r="2412" spans="1:6" x14ac:dyDescent="0.25">
      <c r="A2412" s="2">
        <v>44914</v>
      </c>
      <c r="B2412" s="1" t="s">
        <v>0</v>
      </c>
      <c r="C2412" s="1" t="s">
        <v>16</v>
      </c>
      <c r="D2412" s="1" t="s">
        <v>50</v>
      </c>
      <c r="E2412">
        <v>261</v>
      </c>
      <c r="F2412" s="1">
        <f>VLOOKUP(jablka[[#This Row],[Nazwa]],cennik[],2,0) * jablka[[#This Row],[sprzedaż]]</f>
        <v>756.9</v>
      </c>
    </row>
    <row r="2413" spans="1:6" x14ac:dyDescent="0.25">
      <c r="A2413" s="2">
        <v>44914</v>
      </c>
      <c r="B2413" s="1" t="s">
        <v>0</v>
      </c>
      <c r="C2413" s="1" t="s">
        <v>16</v>
      </c>
      <c r="D2413" s="1" t="s">
        <v>38</v>
      </c>
      <c r="E2413">
        <v>137</v>
      </c>
      <c r="F2413" s="1">
        <f>VLOOKUP(jablka[[#This Row],[Nazwa]],cennik[],2,0) * jablka[[#This Row],[sprzedaż]]</f>
        <v>397.3</v>
      </c>
    </row>
    <row r="2414" spans="1:6" x14ac:dyDescent="0.25">
      <c r="A2414" s="2">
        <v>44914</v>
      </c>
      <c r="B2414" s="1" t="s">
        <v>6</v>
      </c>
      <c r="C2414" s="1" t="s">
        <v>16</v>
      </c>
      <c r="D2414" s="1" t="s">
        <v>53</v>
      </c>
      <c r="E2414">
        <v>338</v>
      </c>
      <c r="F2414" s="1">
        <f>VLOOKUP(jablka[[#This Row],[Nazwa]],cennik[],2,0) * jablka[[#This Row],[sprzedaż]]</f>
        <v>1149.2</v>
      </c>
    </row>
    <row r="2415" spans="1:6" x14ac:dyDescent="0.25">
      <c r="A2415" s="2">
        <v>44914</v>
      </c>
      <c r="B2415" s="1" t="s">
        <v>8</v>
      </c>
      <c r="C2415" s="1" t="s">
        <v>16</v>
      </c>
      <c r="D2415" s="1" t="s">
        <v>46</v>
      </c>
      <c r="E2415">
        <v>221</v>
      </c>
      <c r="F2415" s="1">
        <f>VLOOKUP(jablka[[#This Row],[Nazwa]],cennik[],2,0) * jablka[[#This Row],[sprzedaż]]</f>
        <v>773.5</v>
      </c>
    </row>
    <row r="2416" spans="1:6" x14ac:dyDescent="0.25">
      <c r="A2416" s="2">
        <v>44914</v>
      </c>
      <c r="B2416" s="1" t="s">
        <v>10</v>
      </c>
      <c r="C2416" s="1" t="s">
        <v>16</v>
      </c>
      <c r="D2416" s="1" t="s">
        <v>38</v>
      </c>
      <c r="E2416">
        <v>204</v>
      </c>
      <c r="F2416" s="1">
        <f>VLOOKUP(jablka[[#This Row],[Nazwa]],cennik[],2,0) * jablka[[#This Row],[sprzedaż]]</f>
        <v>693.6</v>
      </c>
    </row>
    <row r="2417" spans="1:6" x14ac:dyDescent="0.25">
      <c r="A2417" s="2">
        <v>44914</v>
      </c>
      <c r="B2417" s="1" t="s">
        <v>2</v>
      </c>
      <c r="C2417" s="1" t="s">
        <v>16</v>
      </c>
      <c r="D2417" s="1" t="s">
        <v>64</v>
      </c>
      <c r="E2417">
        <v>243</v>
      </c>
      <c r="F2417" s="1">
        <f>VLOOKUP(jablka[[#This Row],[Nazwa]],cennik[],2,0) * jablka[[#This Row],[sprzedaż]]</f>
        <v>777.6</v>
      </c>
    </row>
    <row r="2418" spans="1:6" x14ac:dyDescent="0.25">
      <c r="A2418" s="2">
        <v>44914</v>
      </c>
      <c r="B2418" s="1" t="s">
        <v>7</v>
      </c>
      <c r="C2418" s="1" t="s">
        <v>16</v>
      </c>
      <c r="D2418" s="1" t="s">
        <v>38</v>
      </c>
      <c r="E2418">
        <v>430</v>
      </c>
      <c r="F2418" s="1">
        <f>VLOOKUP(jablka[[#This Row],[Nazwa]],cennik[],2,0) * jablka[[#This Row],[sprzedaż]]</f>
        <v>1462</v>
      </c>
    </row>
    <row r="2419" spans="1:6" x14ac:dyDescent="0.25">
      <c r="A2419" s="2">
        <v>44915</v>
      </c>
      <c r="B2419" s="1" t="s">
        <v>2</v>
      </c>
      <c r="C2419" s="1" t="s">
        <v>16</v>
      </c>
      <c r="D2419" s="1" t="s">
        <v>61</v>
      </c>
      <c r="E2419">
        <v>337</v>
      </c>
      <c r="F2419" s="1">
        <f>VLOOKUP(jablka[[#This Row],[Nazwa]],cennik[],2,0) * jablka[[#This Row],[sprzedaż]]</f>
        <v>1078.4000000000001</v>
      </c>
    </row>
    <row r="2420" spans="1:6" x14ac:dyDescent="0.25">
      <c r="A2420" s="2">
        <v>44915</v>
      </c>
      <c r="B2420" s="1" t="s">
        <v>4</v>
      </c>
      <c r="C2420" s="1" t="s">
        <v>16</v>
      </c>
      <c r="D2420" s="1" t="s">
        <v>53</v>
      </c>
      <c r="E2420">
        <v>689</v>
      </c>
      <c r="F2420" s="1">
        <f>VLOOKUP(jablka[[#This Row],[Nazwa]],cennik[],2,0) * jablka[[#This Row],[sprzedaż]]</f>
        <v>2342.6</v>
      </c>
    </row>
    <row r="2421" spans="1:6" x14ac:dyDescent="0.25">
      <c r="A2421" s="2">
        <v>44915</v>
      </c>
      <c r="B2421" s="1" t="s">
        <v>2</v>
      </c>
      <c r="C2421" s="1" t="s">
        <v>16</v>
      </c>
      <c r="D2421" s="1" t="s">
        <v>51</v>
      </c>
      <c r="E2421">
        <v>206</v>
      </c>
      <c r="F2421" s="1">
        <f>VLOOKUP(jablka[[#This Row],[Nazwa]],cennik[],2,0) * jablka[[#This Row],[sprzedaż]]</f>
        <v>659.2</v>
      </c>
    </row>
    <row r="2422" spans="1:6" x14ac:dyDescent="0.25">
      <c r="A2422" s="2">
        <v>44915</v>
      </c>
      <c r="B2422" s="1" t="s">
        <v>5</v>
      </c>
      <c r="C2422" s="1" t="s">
        <v>16</v>
      </c>
      <c r="D2422" s="1" t="s">
        <v>27</v>
      </c>
      <c r="E2422">
        <v>369</v>
      </c>
      <c r="F2422" s="1">
        <f>VLOOKUP(jablka[[#This Row],[Nazwa]],cennik[],2,0) * jablka[[#This Row],[sprzedaż]]</f>
        <v>1254.5999999999999</v>
      </c>
    </row>
    <row r="2423" spans="1:6" x14ac:dyDescent="0.25">
      <c r="A2423" s="2">
        <v>44915</v>
      </c>
      <c r="B2423" s="1" t="s">
        <v>7</v>
      </c>
      <c r="C2423" s="1" t="s">
        <v>16</v>
      </c>
      <c r="D2423" s="1" t="s">
        <v>50</v>
      </c>
      <c r="E2423">
        <v>590</v>
      </c>
      <c r="F2423" s="1">
        <f>VLOOKUP(jablka[[#This Row],[Nazwa]],cennik[],2,0) * jablka[[#This Row],[sprzedaż]]</f>
        <v>2006</v>
      </c>
    </row>
    <row r="2424" spans="1:6" x14ac:dyDescent="0.25">
      <c r="A2424" s="2">
        <v>44915</v>
      </c>
      <c r="B2424" s="1" t="s">
        <v>5</v>
      </c>
      <c r="C2424" s="1" t="s">
        <v>16</v>
      </c>
      <c r="D2424" s="1" t="s">
        <v>35</v>
      </c>
      <c r="E2424">
        <v>356</v>
      </c>
      <c r="F2424" s="1">
        <f>VLOOKUP(jablka[[#This Row],[Nazwa]],cennik[],2,0) * jablka[[#This Row],[sprzedaż]]</f>
        <v>1210.3999999999999</v>
      </c>
    </row>
    <row r="2425" spans="1:6" x14ac:dyDescent="0.25">
      <c r="A2425" s="2">
        <v>44915</v>
      </c>
      <c r="B2425" s="1" t="s">
        <v>4</v>
      </c>
      <c r="C2425" s="1" t="s">
        <v>16</v>
      </c>
      <c r="D2425" s="1" t="s">
        <v>28</v>
      </c>
      <c r="E2425">
        <v>366</v>
      </c>
      <c r="F2425" s="1">
        <f>VLOOKUP(jablka[[#This Row],[Nazwa]],cennik[],2,0) * jablka[[#This Row],[sprzedaż]]</f>
        <v>1244.3999999999999</v>
      </c>
    </row>
    <row r="2426" spans="1:6" x14ac:dyDescent="0.25">
      <c r="A2426" s="2">
        <v>44916</v>
      </c>
      <c r="B2426" s="1" t="s">
        <v>0</v>
      </c>
      <c r="C2426" s="1" t="s">
        <v>16</v>
      </c>
      <c r="D2426" s="1" t="s">
        <v>43</v>
      </c>
      <c r="E2426">
        <v>216</v>
      </c>
      <c r="F2426" s="1">
        <f>VLOOKUP(jablka[[#This Row],[Nazwa]],cennik[],2,0) * jablka[[#This Row],[sprzedaż]]</f>
        <v>626.4</v>
      </c>
    </row>
    <row r="2427" spans="1:6" x14ac:dyDescent="0.25">
      <c r="A2427" s="2">
        <v>44916</v>
      </c>
      <c r="B2427" s="1" t="s">
        <v>8</v>
      </c>
      <c r="C2427" s="1" t="s">
        <v>16</v>
      </c>
      <c r="D2427" s="1" t="s">
        <v>47</v>
      </c>
      <c r="E2427">
        <v>320</v>
      </c>
      <c r="F2427" s="1">
        <f>VLOOKUP(jablka[[#This Row],[Nazwa]],cennik[],2,0) * jablka[[#This Row],[sprzedaż]]</f>
        <v>1120</v>
      </c>
    </row>
    <row r="2428" spans="1:6" x14ac:dyDescent="0.25">
      <c r="A2428" s="2">
        <v>44916</v>
      </c>
      <c r="B2428" s="1" t="s">
        <v>2</v>
      </c>
      <c r="C2428" s="1" t="s">
        <v>16</v>
      </c>
      <c r="D2428" s="1" t="s">
        <v>41</v>
      </c>
      <c r="E2428">
        <v>165</v>
      </c>
      <c r="F2428" s="1">
        <f>VLOOKUP(jablka[[#This Row],[Nazwa]],cennik[],2,0) * jablka[[#This Row],[sprzedaż]]</f>
        <v>528</v>
      </c>
    </row>
    <row r="2429" spans="1:6" x14ac:dyDescent="0.25">
      <c r="A2429" s="2">
        <v>44916</v>
      </c>
      <c r="B2429" s="1" t="s">
        <v>10</v>
      </c>
      <c r="C2429" s="1" t="s">
        <v>16</v>
      </c>
      <c r="D2429" s="1" t="s">
        <v>39</v>
      </c>
      <c r="E2429">
        <v>68</v>
      </c>
      <c r="F2429" s="1">
        <f>VLOOKUP(jablka[[#This Row],[Nazwa]],cennik[],2,0) * jablka[[#This Row],[sprzedaż]]</f>
        <v>231.2</v>
      </c>
    </row>
    <row r="2430" spans="1:6" x14ac:dyDescent="0.25">
      <c r="A2430" s="2">
        <v>44916</v>
      </c>
      <c r="B2430" s="1" t="s">
        <v>6</v>
      </c>
      <c r="C2430" s="1" t="s">
        <v>16</v>
      </c>
      <c r="D2430" s="1" t="s">
        <v>58</v>
      </c>
      <c r="E2430">
        <v>298</v>
      </c>
      <c r="F2430" s="1">
        <f>VLOOKUP(jablka[[#This Row],[Nazwa]],cennik[],2,0) * jablka[[#This Row],[sprzedaż]]</f>
        <v>1013.1999999999999</v>
      </c>
    </row>
    <row r="2431" spans="1:6" x14ac:dyDescent="0.25">
      <c r="A2431" s="2">
        <v>44916</v>
      </c>
      <c r="B2431" s="1" t="s">
        <v>7</v>
      </c>
      <c r="C2431" s="1" t="s">
        <v>16</v>
      </c>
      <c r="D2431" s="1" t="s">
        <v>39</v>
      </c>
      <c r="E2431">
        <v>487</v>
      </c>
      <c r="F2431" s="1">
        <f>VLOOKUP(jablka[[#This Row],[Nazwa]],cennik[],2,0) * jablka[[#This Row],[sprzedaż]]</f>
        <v>1655.8</v>
      </c>
    </row>
    <row r="2432" spans="1:6" x14ac:dyDescent="0.25">
      <c r="A2432" s="2">
        <v>44917</v>
      </c>
      <c r="B2432" s="1" t="s">
        <v>7</v>
      </c>
      <c r="C2432" s="1" t="s">
        <v>16</v>
      </c>
      <c r="D2432" s="1" t="s">
        <v>26</v>
      </c>
      <c r="E2432">
        <v>494</v>
      </c>
      <c r="F2432" s="1">
        <f>VLOOKUP(jablka[[#This Row],[Nazwa]],cennik[],2,0) * jablka[[#This Row],[sprzedaż]]</f>
        <v>1679.6</v>
      </c>
    </row>
    <row r="2433" spans="1:6" x14ac:dyDescent="0.25">
      <c r="A2433" s="2">
        <v>44917</v>
      </c>
      <c r="B2433" s="1" t="s">
        <v>8</v>
      </c>
      <c r="C2433" s="1" t="s">
        <v>16</v>
      </c>
      <c r="D2433" s="1" t="s">
        <v>62</v>
      </c>
      <c r="E2433">
        <v>420</v>
      </c>
      <c r="F2433" s="1">
        <f>VLOOKUP(jablka[[#This Row],[Nazwa]],cennik[],2,0) * jablka[[#This Row],[sprzedaż]]</f>
        <v>1470</v>
      </c>
    </row>
    <row r="2434" spans="1:6" x14ac:dyDescent="0.25">
      <c r="A2434" s="2">
        <v>44917</v>
      </c>
      <c r="B2434" s="1" t="s">
        <v>5</v>
      </c>
      <c r="C2434" s="1" t="s">
        <v>16</v>
      </c>
      <c r="D2434" s="1" t="s">
        <v>51</v>
      </c>
      <c r="E2434">
        <v>69</v>
      </c>
      <c r="F2434" s="1">
        <f>VLOOKUP(jablka[[#This Row],[Nazwa]],cennik[],2,0) * jablka[[#This Row],[sprzedaż]]</f>
        <v>234.6</v>
      </c>
    </row>
    <row r="2435" spans="1:6" x14ac:dyDescent="0.25">
      <c r="A2435" s="2">
        <v>44917</v>
      </c>
      <c r="B2435" s="1" t="s">
        <v>6</v>
      </c>
      <c r="C2435" s="1" t="s">
        <v>16</v>
      </c>
      <c r="D2435" s="1" t="s">
        <v>21</v>
      </c>
      <c r="E2435">
        <v>454</v>
      </c>
      <c r="F2435" s="1">
        <f>VLOOKUP(jablka[[#This Row],[Nazwa]],cennik[],2,0) * jablka[[#This Row],[sprzedaż]]</f>
        <v>1543.6</v>
      </c>
    </row>
    <row r="2436" spans="1:6" x14ac:dyDescent="0.25">
      <c r="A2436" s="2">
        <v>44918</v>
      </c>
      <c r="B2436" s="1" t="s">
        <v>4</v>
      </c>
      <c r="C2436" s="1" t="s">
        <v>16</v>
      </c>
      <c r="D2436" s="1" t="s">
        <v>61</v>
      </c>
      <c r="E2436">
        <v>549</v>
      </c>
      <c r="F2436" s="1">
        <f>VLOOKUP(jablka[[#This Row],[Nazwa]],cennik[],2,0) * jablka[[#This Row],[sprzedaż]]</f>
        <v>1866.6</v>
      </c>
    </row>
    <row r="2437" spans="1:6" x14ac:dyDescent="0.25">
      <c r="A2437" s="2">
        <v>44918</v>
      </c>
      <c r="B2437" s="1" t="s">
        <v>4</v>
      </c>
      <c r="C2437" s="1" t="s">
        <v>16</v>
      </c>
      <c r="D2437" s="1" t="s">
        <v>25</v>
      </c>
      <c r="E2437">
        <v>665</v>
      </c>
      <c r="F2437" s="1">
        <f>VLOOKUP(jablka[[#This Row],[Nazwa]],cennik[],2,0) * jablka[[#This Row],[sprzedaż]]</f>
        <v>2261</v>
      </c>
    </row>
    <row r="2438" spans="1:6" x14ac:dyDescent="0.25">
      <c r="A2438" s="2">
        <v>44918</v>
      </c>
      <c r="B2438" s="1" t="s">
        <v>5</v>
      </c>
      <c r="C2438" s="1" t="s">
        <v>16</v>
      </c>
      <c r="D2438" s="1" t="s">
        <v>45</v>
      </c>
      <c r="E2438">
        <v>287</v>
      </c>
      <c r="F2438" s="1">
        <f>VLOOKUP(jablka[[#This Row],[Nazwa]],cennik[],2,0) * jablka[[#This Row],[sprzedaż]]</f>
        <v>975.8</v>
      </c>
    </row>
    <row r="2439" spans="1:6" x14ac:dyDescent="0.25">
      <c r="A2439" s="2">
        <v>44918</v>
      </c>
      <c r="B2439" s="1" t="s">
        <v>7</v>
      </c>
      <c r="C2439" s="1" t="s">
        <v>16</v>
      </c>
      <c r="D2439" s="1" t="s">
        <v>42</v>
      </c>
      <c r="E2439">
        <v>412</v>
      </c>
      <c r="F2439" s="1">
        <f>VLOOKUP(jablka[[#This Row],[Nazwa]],cennik[],2,0) * jablka[[#This Row],[sprzedaż]]</f>
        <v>1400.8</v>
      </c>
    </row>
    <row r="2440" spans="1:6" x14ac:dyDescent="0.25">
      <c r="A2440" s="2">
        <v>44918</v>
      </c>
      <c r="B2440" s="1" t="s">
        <v>15</v>
      </c>
      <c r="C2440" s="1" t="s">
        <v>16</v>
      </c>
      <c r="D2440" s="1" t="s">
        <v>45</v>
      </c>
      <c r="E2440">
        <v>298</v>
      </c>
      <c r="F2440" s="1">
        <f>VLOOKUP(jablka[[#This Row],[Nazwa]],cennik[],2,0) * jablka[[#This Row],[sprzedaż]]</f>
        <v>715.19999999999993</v>
      </c>
    </row>
    <row r="2441" spans="1:6" x14ac:dyDescent="0.25">
      <c r="A2441" s="2">
        <v>44918</v>
      </c>
      <c r="B2441" s="1" t="s">
        <v>8</v>
      </c>
      <c r="C2441" s="1" t="s">
        <v>16</v>
      </c>
      <c r="D2441" s="1" t="s">
        <v>63</v>
      </c>
      <c r="E2441">
        <v>572</v>
      </c>
      <c r="F2441" s="1">
        <f>VLOOKUP(jablka[[#This Row],[Nazwa]],cennik[],2,0) * jablka[[#This Row],[sprzedaż]]</f>
        <v>2002</v>
      </c>
    </row>
    <row r="2442" spans="1:6" x14ac:dyDescent="0.25">
      <c r="A2442" s="2">
        <v>44919</v>
      </c>
      <c r="B2442" s="1" t="s">
        <v>4</v>
      </c>
      <c r="C2442" s="1" t="s">
        <v>16</v>
      </c>
      <c r="D2442" s="1" t="s">
        <v>48</v>
      </c>
      <c r="E2442">
        <v>510</v>
      </c>
      <c r="F2442" s="1">
        <f>VLOOKUP(jablka[[#This Row],[Nazwa]],cennik[],2,0) * jablka[[#This Row],[sprzedaż]]</f>
        <v>1734</v>
      </c>
    </row>
    <row r="2443" spans="1:6" x14ac:dyDescent="0.25">
      <c r="A2443" s="2">
        <v>44919</v>
      </c>
      <c r="B2443" s="1" t="s">
        <v>2</v>
      </c>
      <c r="C2443" s="1" t="s">
        <v>16</v>
      </c>
      <c r="D2443" s="1" t="s">
        <v>54</v>
      </c>
      <c r="E2443">
        <v>368</v>
      </c>
      <c r="F2443" s="1">
        <f>VLOOKUP(jablka[[#This Row],[Nazwa]],cennik[],2,0) * jablka[[#This Row],[sprzedaż]]</f>
        <v>1177.6000000000001</v>
      </c>
    </row>
    <row r="2444" spans="1:6" x14ac:dyDescent="0.25">
      <c r="A2444" s="2">
        <v>44919</v>
      </c>
      <c r="B2444" s="1" t="s">
        <v>5</v>
      </c>
      <c r="C2444" s="1" t="s">
        <v>16</v>
      </c>
      <c r="D2444" s="1" t="s">
        <v>37</v>
      </c>
      <c r="E2444">
        <v>91</v>
      </c>
      <c r="F2444" s="1">
        <f>VLOOKUP(jablka[[#This Row],[Nazwa]],cennik[],2,0) * jablka[[#This Row],[sprzedaż]]</f>
        <v>309.39999999999998</v>
      </c>
    </row>
    <row r="2445" spans="1:6" x14ac:dyDescent="0.25">
      <c r="A2445" s="2">
        <v>44919</v>
      </c>
      <c r="B2445" s="1" t="s">
        <v>8</v>
      </c>
      <c r="C2445" s="1" t="s">
        <v>16</v>
      </c>
      <c r="D2445" s="1" t="s">
        <v>48</v>
      </c>
      <c r="E2445">
        <v>367</v>
      </c>
      <c r="F2445" s="1">
        <f>VLOOKUP(jablka[[#This Row],[Nazwa]],cennik[],2,0) * jablka[[#This Row],[sprzedaż]]</f>
        <v>1284.5</v>
      </c>
    </row>
    <row r="2446" spans="1:6" x14ac:dyDescent="0.25">
      <c r="A2446" s="2">
        <v>44921</v>
      </c>
      <c r="B2446" s="1" t="s">
        <v>10</v>
      </c>
      <c r="C2446" s="1" t="s">
        <v>16</v>
      </c>
      <c r="D2446" s="1" t="s">
        <v>62</v>
      </c>
      <c r="E2446">
        <v>380</v>
      </c>
      <c r="F2446" s="1">
        <f>VLOOKUP(jablka[[#This Row],[Nazwa]],cennik[],2,0) * jablka[[#This Row],[sprzedaż]]</f>
        <v>1292</v>
      </c>
    </row>
    <row r="2447" spans="1:6" x14ac:dyDescent="0.25">
      <c r="A2447" s="2">
        <v>44921</v>
      </c>
      <c r="B2447" s="1" t="s">
        <v>8</v>
      </c>
      <c r="C2447" s="1" t="s">
        <v>16</v>
      </c>
      <c r="D2447" s="1" t="s">
        <v>21</v>
      </c>
      <c r="E2447">
        <v>512</v>
      </c>
      <c r="F2447" s="1">
        <f>VLOOKUP(jablka[[#This Row],[Nazwa]],cennik[],2,0) * jablka[[#This Row],[sprzedaż]]</f>
        <v>1792</v>
      </c>
    </row>
    <row r="2448" spans="1:6" x14ac:dyDescent="0.25">
      <c r="A2448" s="2">
        <v>44921</v>
      </c>
      <c r="B2448" s="1" t="s">
        <v>8</v>
      </c>
      <c r="C2448" s="1" t="s">
        <v>16</v>
      </c>
      <c r="D2448" s="1" t="s">
        <v>48</v>
      </c>
      <c r="E2448">
        <v>449</v>
      </c>
      <c r="F2448" s="1">
        <f>VLOOKUP(jablka[[#This Row],[Nazwa]],cennik[],2,0) * jablka[[#This Row],[sprzedaż]]</f>
        <v>1571.5</v>
      </c>
    </row>
    <row r="2449" spans="1:6" x14ac:dyDescent="0.25">
      <c r="A2449" s="2">
        <v>44921</v>
      </c>
      <c r="B2449" s="1" t="s">
        <v>4</v>
      </c>
      <c r="C2449" s="1" t="s">
        <v>16</v>
      </c>
      <c r="D2449" s="1" t="s">
        <v>65</v>
      </c>
      <c r="E2449">
        <v>662</v>
      </c>
      <c r="F2449" s="1">
        <f>VLOOKUP(jablka[[#This Row],[Nazwa]],cennik[],2,0) * jablka[[#This Row],[sprzedaż]]</f>
        <v>2250.7999999999997</v>
      </c>
    </row>
    <row r="2450" spans="1:6" x14ac:dyDescent="0.25">
      <c r="A2450" s="2">
        <v>44921</v>
      </c>
      <c r="B2450" s="1" t="s">
        <v>10</v>
      </c>
      <c r="C2450" s="1" t="s">
        <v>16</v>
      </c>
      <c r="D2450" s="1" t="s">
        <v>37</v>
      </c>
      <c r="E2450">
        <v>312</v>
      </c>
      <c r="F2450" s="1">
        <f>VLOOKUP(jablka[[#This Row],[Nazwa]],cennik[],2,0) * jablka[[#This Row],[sprzedaż]]</f>
        <v>1060.8</v>
      </c>
    </row>
    <row r="2451" spans="1:6" x14ac:dyDescent="0.25">
      <c r="A2451" s="2">
        <v>44921</v>
      </c>
      <c r="B2451" s="1" t="s">
        <v>10</v>
      </c>
      <c r="C2451" s="1" t="s">
        <v>16</v>
      </c>
      <c r="D2451" s="1" t="s">
        <v>41</v>
      </c>
      <c r="E2451">
        <v>205</v>
      </c>
      <c r="F2451" s="1">
        <f>VLOOKUP(jablka[[#This Row],[Nazwa]],cennik[],2,0) * jablka[[#This Row],[sprzedaż]]</f>
        <v>697</v>
      </c>
    </row>
    <row r="2452" spans="1:6" x14ac:dyDescent="0.25">
      <c r="A2452" s="2">
        <v>44921</v>
      </c>
      <c r="B2452" s="1" t="s">
        <v>8</v>
      </c>
      <c r="C2452" s="1" t="s">
        <v>16</v>
      </c>
      <c r="D2452" s="1" t="s">
        <v>44</v>
      </c>
      <c r="E2452">
        <v>321</v>
      </c>
      <c r="F2452" s="1">
        <f>VLOOKUP(jablka[[#This Row],[Nazwa]],cennik[],2,0) * jablka[[#This Row],[sprzedaż]]</f>
        <v>1123.5</v>
      </c>
    </row>
    <row r="2453" spans="1:6" x14ac:dyDescent="0.25">
      <c r="A2453" s="2">
        <v>44921</v>
      </c>
      <c r="B2453" s="1" t="s">
        <v>8</v>
      </c>
      <c r="C2453" s="1" t="s">
        <v>16</v>
      </c>
      <c r="D2453" s="1" t="s">
        <v>20</v>
      </c>
      <c r="E2453">
        <v>219</v>
      </c>
      <c r="F2453" s="1">
        <f>VLOOKUP(jablka[[#This Row],[Nazwa]],cennik[],2,0) * jablka[[#This Row],[sprzedaż]]</f>
        <v>766.5</v>
      </c>
    </row>
    <row r="2454" spans="1:6" x14ac:dyDescent="0.25">
      <c r="A2454" s="2">
        <v>44921</v>
      </c>
      <c r="B2454" s="1" t="s">
        <v>5</v>
      </c>
      <c r="C2454" s="1" t="s">
        <v>16</v>
      </c>
      <c r="D2454" s="1" t="s">
        <v>64</v>
      </c>
      <c r="E2454">
        <v>172</v>
      </c>
      <c r="F2454" s="1">
        <f>VLOOKUP(jablka[[#This Row],[Nazwa]],cennik[],2,0) * jablka[[#This Row],[sprzedaż]]</f>
        <v>584.79999999999995</v>
      </c>
    </row>
    <row r="2455" spans="1:6" x14ac:dyDescent="0.25">
      <c r="A2455" s="2">
        <v>44921</v>
      </c>
      <c r="B2455" s="1" t="s">
        <v>6</v>
      </c>
      <c r="C2455" s="1" t="s">
        <v>16</v>
      </c>
      <c r="D2455" s="1" t="s">
        <v>52</v>
      </c>
      <c r="E2455">
        <v>424</v>
      </c>
      <c r="F2455" s="1">
        <f>VLOOKUP(jablka[[#This Row],[Nazwa]],cennik[],2,0) * jablka[[#This Row],[sprzedaż]]</f>
        <v>1441.6</v>
      </c>
    </row>
    <row r="2456" spans="1:6" x14ac:dyDescent="0.25">
      <c r="A2456" s="2">
        <v>44921</v>
      </c>
      <c r="B2456" s="1" t="s">
        <v>2</v>
      </c>
      <c r="C2456" s="1" t="s">
        <v>16</v>
      </c>
      <c r="D2456" s="1" t="s">
        <v>63</v>
      </c>
      <c r="E2456">
        <v>401</v>
      </c>
      <c r="F2456" s="1">
        <f>VLOOKUP(jablka[[#This Row],[Nazwa]],cennik[],2,0) * jablka[[#This Row],[sprzedaż]]</f>
        <v>1283.2</v>
      </c>
    </row>
    <row r="2457" spans="1:6" x14ac:dyDescent="0.25">
      <c r="A2457" s="2">
        <v>44921</v>
      </c>
      <c r="B2457" s="1" t="s">
        <v>6</v>
      </c>
      <c r="C2457" s="1" t="s">
        <v>16</v>
      </c>
      <c r="D2457" s="1" t="s">
        <v>66</v>
      </c>
      <c r="E2457">
        <v>409</v>
      </c>
      <c r="F2457" s="1">
        <f>VLOOKUP(jablka[[#This Row],[Nazwa]],cennik[],2,0) * jablka[[#This Row],[sprzedaż]]</f>
        <v>1390.6</v>
      </c>
    </row>
    <row r="2458" spans="1:6" x14ac:dyDescent="0.25">
      <c r="A2458" s="2">
        <v>44921</v>
      </c>
      <c r="B2458" s="1" t="s">
        <v>10</v>
      </c>
      <c r="C2458" s="1" t="s">
        <v>16</v>
      </c>
      <c r="D2458" s="1" t="s">
        <v>46</v>
      </c>
      <c r="E2458">
        <v>311</v>
      </c>
      <c r="F2458" s="1">
        <f>VLOOKUP(jablka[[#This Row],[Nazwa]],cennik[],2,0) * jablka[[#This Row],[sprzedaż]]</f>
        <v>1057.3999999999999</v>
      </c>
    </row>
    <row r="2459" spans="1:6" x14ac:dyDescent="0.25">
      <c r="A2459" s="2">
        <v>44921</v>
      </c>
      <c r="B2459" s="1" t="s">
        <v>6</v>
      </c>
      <c r="C2459" s="1" t="s">
        <v>16</v>
      </c>
      <c r="D2459" s="1" t="s">
        <v>55</v>
      </c>
      <c r="E2459">
        <v>75</v>
      </c>
      <c r="F2459" s="1">
        <f>VLOOKUP(jablka[[#This Row],[Nazwa]],cennik[],2,0) * jablka[[#This Row],[sprzedaż]]</f>
        <v>255</v>
      </c>
    </row>
    <row r="2460" spans="1:6" x14ac:dyDescent="0.25">
      <c r="A2460" s="2">
        <v>44921</v>
      </c>
      <c r="B2460" s="1" t="s">
        <v>15</v>
      </c>
      <c r="C2460" s="1" t="s">
        <v>16</v>
      </c>
      <c r="D2460" s="1" t="s">
        <v>24</v>
      </c>
      <c r="E2460">
        <v>286</v>
      </c>
      <c r="F2460" s="1">
        <f>VLOOKUP(jablka[[#This Row],[Nazwa]],cennik[],2,0) * jablka[[#This Row],[sprzedaż]]</f>
        <v>686.4</v>
      </c>
    </row>
    <row r="2461" spans="1:6" x14ac:dyDescent="0.25">
      <c r="A2461" s="2">
        <v>44921</v>
      </c>
      <c r="B2461" s="1" t="s">
        <v>6</v>
      </c>
      <c r="C2461" s="1" t="s">
        <v>16</v>
      </c>
      <c r="D2461" s="1" t="s">
        <v>62</v>
      </c>
      <c r="E2461">
        <v>78</v>
      </c>
      <c r="F2461" s="1">
        <f>VLOOKUP(jablka[[#This Row],[Nazwa]],cennik[],2,0) * jablka[[#This Row],[sprzedaż]]</f>
        <v>265.2</v>
      </c>
    </row>
    <row r="2462" spans="1:6" x14ac:dyDescent="0.25">
      <c r="A2462" s="2">
        <v>44921</v>
      </c>
      <c r="B2462" s="1" t="s">
        <v>8</v>
      </c>
      <c r="C2462" s="1" t="s">
        <v>16</v>
      </c>
      <c r="D2462" s="1" t="s">
        <v>58</v>
      </c>
      <c r="E2462">
        <v>334</v>
      </c>
      <c r="F2462" s="1">
        <f>VLOOKUP(jablka[[#This Row],[Nazwa]],cennik[],2,0) * jablka[[#This Row],[sprzedaż]]</f>
        <v>1169</v>
      </c>
    </row>
    <row r="2463" spans="1:6" x14ac:dyDescent="0.25">
      <c r="A2463" s="2">
        <v>44921</v>
      </c>
      <c r="B2463" s="1" t="s">
        <v>7</v>
      </c>
      <c r="C2463" s="1" t="s">
        <v>16</v>
      </c>
      <c r="D2463" s="1" t="s">
        <v>63</v>
      </c>
      <c r="E2463">
        <v>648</v>
      </c>
      <c r="F2463" s="1">
        <f>VLOOKUP(jablka[[#This Row],[Nazwa]],cennik[],2,0) * jablka[[#This Row],[sprzedaż]]</f>
        <v>2203.1999999999998</v>
      </c>
    </row>
    <row r="2464" spans="1:6" x14ac:dyDescent="0.25">
      <c r="A2464" s="2">
        <v>44921</v>
      </c>
      <c r="B2464" s="1" t="s">
        <v>2</v>
      </c>
      <c r="C2464" s="1" t="s">
        <v>16</v>
      </c>
      <c r="D2464" s="1" t="s">
        <v>30</v>
      </c>
      <c r="E2464">
        <v>131</v>
      </c>
      <c r="F2464" s="1">
        <f>VLOOKUP(jablka[[#This Row],[Nazwa]],cennik[],2,0) * jablka[[#This Row],[sprzedaż]]</f>
        <v>419.20000000000005</v>
      </c>
    </row>
    <row r="2465" spans="1:6" x14ac:dyDescent="0.25">
      <c r="A2465" s="2">
        <v>44921</v>
      </c>
      <c r="B2465" s="1" t="s">
        <v>10</v>
      </c>
      <c r="C2465" s="1" t="s">
        <v>16</v>
      </c>
      <c r="D2465" s="1" t="s">
        <v>56</v>
      </c>
      <c r="E2465">
        <v>106</v>
      </c>
      <c r="F2465" s="1">
        <f>VLOOKUP(jablka[[#This Row],[Nazwa]],cennik[],2,0) * jablka[[#This Row],[sprzedaż]]</f>
        <v>360.4</v>
      </c>
    </row>
    <row r="2466" spans="1:6" x14ac:dyDescent="0.25">
      <c r="A2466" s="2">
        <v>44921</v>
      </c>
      <c r="B2466" s="1" t="s">
        <v>7</v>
      </c>
      <c r="C2466" s="1" t="s">
        <v>16</v>
      </c>
      <c r="D2466" s="1" t="s">
        <v>40</v>
      </c>
      <c r="E2466">
        <v>553</v>
      </c>
      <c r="F2466" s="1">
        <f>VLOOKUP(jablka[[#This Row],[Nazwa]],cennik[],2,0) * jablka[[#This Row],[sprzedaż]]</f>
        <v>1880.2</v>
      </c>
    </row>
    <row r="2467" spans="1:6" x14ac:dyDescent="0.25">
      <c r="A2467" s="2">
        <v>44921</v>
      </c>
      <c r="B2467" s="1" t="s">
        <v>4</v>
      </c>
      <c r="C2467" s="1" t="s">
        <v>16</v>
      </c>
      <c r="D2467" s="1" t="s">
        <v>49</v>
      </c>
      <c r="E2467">
        <v>562</v>
      </c>
      <c r="F2467" s="1">
        <f>VLOOKUP(jablka[[#This Row],[Nazwa]],cennik[],2,0) * jablka[[#This Row],[sprzedaż]]</f>
        <v>1910.8</v>
      </c>
    </row>
    <row r="2468" spans="1:6" x14ac:dyDescent="0.25">
      <c r="A2468" s="2">
        <v>44922</v>
      </c>
      <c r="B2468" s="1" t="s">
        <v>10</v>
      </c>
      <c r="C2468" s="1" t="s">
        <v>16</v>
      </c>
      <c r="D2468" s="1" t="s">
        <v>40</v>
      </c>
      <c r="E2468">
        <v>444</v>
      </c>
      <c r="F2468" s="1">
        <f>VLOOKUP(jablka[[#This Row],[Nazwa]],cennik[],2,0) * jablka[[#This Row],[sprzedaż]]</f>
        <v>1509.6</v>
      </c>
    </row>
    <row r="2469" spans="1:6" x14ac:dyDescent="0.25">
      <c r="A2469" s="2">
        <v>44922</v>
      </c>
      <c r="B2469" s="1" t="s">
        <v>6</v>
      </c>
      <c r="C2469" s="1" t="s">
        <v>16</v>
      </c>
      <c r="D2469" s="1" t="s">
        <v>58</v>
      </c>
      <c r="E2469">
        <v>162</v>
      </c>
      <c r="F2469" s="1">
        <f>VLOOKUP(jablka[[#This Row],[Nazwa]],cennik[],2,0) * jablka[[#This Row],[sprzedaż]]</f>
        <v>550.79999999999995</v>
      </c>
    </row>
    <row r="2470" spans="1:6" x14ac:dyDescent="0.25">
      <c r="A2470" s="2">
        <v>44922</v>
      </c>
      <c r="B2470" s="1" t="s">
        <v>10</v>
      </c>
      <c r="C2470" s="1" t="s">
        <v>16</v>
      </c>
      <c r="D2470" s="1" t="s">
        <v>40</v>
      </c>
      <c r="E2470">
        <v>70</v>
      </c>
      <c r="F2470" s="1">
        <f>VLOOKUP(jablka[[#This Row],[Nazwa]],cennik[],2,0) * jablka[[#This Row],[sprzedaż]]</f>
        <v>238</v>
      </c>
    </row>
    <row r="2471" spans="1:6" x14ac:dyDescent="0.25">
      <c r="A2471" s="2">
        <v>44922</v>
      </c>
      <c r="B2471" s="1" t="s">
        <v>2</v>
      </c>
      <c r="C2471" s="1" t="s">
        <v>16</v>
      </c>
      <c r="D2471" s="1" t="s">
        <v>45</v>
      </c>
      <c r="E2471">
        <v>496</v>
      </c>
      <c r="F2471" s="1">
        <f>VLOOKUP(jablka[[#This Row],[Nazwa]],cennik[],2,0) * jablka[[#This Row],[sprzedaż]]</f>
        <v>1587.2</v>
      </c>
    </row>
    <row r="2472" spans="1:6" x14ac:dyDescent="0.25">
      <c r="A2472" s="2">
        <v>44922</v>
      </c>
      <c r="B2472" s="1" t="s">
        <v>2</v>
      </c>
      <c r="C2472" s="1" t="s">
        <v>16</v>
      </c>
      <c r="D2472" s="1" t="s">
        <v>45</v>
      </c>
      <c r="E2472">
        <v>287</v>
      </c>
      <c r="F2472" s="1">
        <f>VLOOKUP(jablka[[#This Row],[Nazwa]],cennik[],2,0) * jablka[[#This Row],[sprzedaż]]</f>
        <v>918.40000000000009</v>
      </c>
    </row>
    <row r="2473" spans="1:6" x14ac:dyDescent="0.25">
      <c r="A2473" s="2">
        <v>44922</v>
      </c>
      <c r="B2473" s="1" t="s">
        <v>10</v>
      </c>
      <c r="C2473" s="1" t="s">
        <v>16</v>
      </c>
      <c r="D2473" s="1" t="s">
        <v>46</v>
      </c>
      <c r="E2473">
        <v>407</v>
      </c>
      <c r="F2473" s="1">
        <f>VLOOKUP(jablka[[#This Row],[Nazwa]],cennik[],2,0) * jablka[[#This Row],[sprzedaż]]</f>
        <v>1383.8</v>
      </c>
    </row>
    <row r="2474" spans="1:6" x14ac:dyDescent="0.25">
      <c r="A2474" s="2">
        <v>44923</v>
      </c>
      <c r="B2474" s="1" t="s">
        <v>10</v>
      </c>
      <c r="C2474" s="1" t="s">
        <v>16</v>
      </c>
      <c r="D2474" s="1" t="s">
        <v>62</v>
      </c>
      <c r="E2474">
        <v>361</v>
      </c>
      <c r="F2474" s="1">
        <f>VLOOKUP(jablka[[#This Row],[Nazwa]],cennik[],2,0) * jablka[[#This Row],[sprzedaż]]</f>
        <v>1227.3999999999999</v>
      </c>
    </row>
    <row r="2475" spans="1:6" x14ac:dyDescent="0.25">
      <c r="A2475" s="2">
        <v>44923</v>
      </c>
      <c r="B2475" s="1" t="s">
        <v>15</v>
      </c>
      <c r="C2475" s="1" t="s">
        <v>16</v>
      </c>
      <c r="D2475" s="1" t="s">
        <v>30</v>
      </c>
      <c r="E2475">
        <v>154</v>
      </c>
      <c r="F2475" s="1">
        <f>VLOOKUP(jablka[[#This Row],[Nazwa]],cennik[],2,0) * jablka[[#This Row],[sprzedaż]]</f>
        <v>369.59999999999997</v>
      </c>
    </row>
    <row r="2476" spans="1:6" x14ac:dyDescent="0.25">
      <c r="A2476" s="2">
        <v>44923</v>
      </c>
      <c r="B2476" s="1" t="s">
        <v>8</v>
      </c>
      <c r="C2476" s="1" t="s">
        <v>16</v>
      </c>
      <c r="D2476" s="1" t="s">
        <v>53</v>
      </c>
      <c r="E2476">
        <v>395</v>
      </c>
      <c r="F2476" s="1">
        <f>VLOOKUP(jablka[[#This Row],[Nazwa]],cennik[],2,0) * jablka[[#This Row],[sprzedaż]]</f>
        <v>1382.5</v>
      </c>
    </row>
    <row r="2477" spans="1:6" x14ac:dyDescent="0.25">
      <c r="A2477" s="2">
        <v>44923</v>
      </c>
      <c r="B2477" s="1" t="s">
        <v>10</v>
      </c>
      <c r="C2477" s="1" t="s">
        <v>16</v>
      </c>
      <c r="D2477" s="1" t="s">
        <v>48</v>
      </c>
      <c r="E2477">
        <v>480</v>
      </c>
      <c r="F2477" s="1">
        <f>VLOOKUP(jablka[[#This Row],[Nazwa]],cennik[],2,0) * jablka[[#This Row],[sprzedaż]]</f>
        <v>1632</v>
      </c>
    </row>
    <row r="2478" spans="1:6" x14ac:dyDescent="0.25">
      <c r="A2478" s="2">
        <v>44923</v>
      </c>
      <c r="B2478" s="1" t="s">
        <v>4</v>
      </c>
      <c r="C2478" s="1" t="s">
        <v>16</v>
      </c>
      <c r="D2478" s="1" t="s">
        <v>40</v>
      </c>
      <c r="E2478">
        <v>447</v>
      </c>
      <c r="F2478" s="1">
        <f>VLOOKUP(jablka[[#This Row],[Nazwa]],cennik[],2,0) * jablka[[#This Row],[sprzedaż]]</f>
        <v>1519.8</v>
      </c>
    </row>
    <row r="2479" spans="1:6" x14ac:dyDescent="0.25">
      <c r="A2479" s="2">
        <v>44923</v>
      </c>
      <c r="B2479" s="1" t="s">
        <v>10</v>
      </c>
      <c r="C2479" s="1" t="s">
        <v>16</v>
      </c>
      <c r="D2479" s="1" t="s">
        <v>54</v>
      </c>
      <c r="E2479">
        <v>313</v>
      </c>
      <c r="F2479" s="1">
        <f>VLOOKUP(jablka[[#This Row],[Nazwa]],cennik[],2,0) * jablka[[#This Row],[sprzedaż]]</f>
        <v>1064.2</v>
      </c>
    </row>
    <row r="2480" spans="1:6" x14ac:dyDescent="0.25">
      <c r="A2480" s="2">
        <v>44923</v>
      </c>
      <c r="B2480" s="1" t="s">
        <v>0</v>
      </c>
      <c r="C2480" s="1" t="s">
        <v>16</v>
      </c>
      <c r="D2480" s="1" t="s">
        <v>37</v>
      </c>
      <c r="E2480">
        <v>33</v>
      </c>
      <c r="F2480" s="1">
        <f>VLOOKUP(jablka[[#This Row],[Nazwa]],cennik[],2,0) * jablka[[#This Row],[sprzedaż]]</f>
        <v>95.7</v>
      </c>
    </row>
    <row r="2481" spans="1:6" x14ac:dyDescent="0.25">
      <c r="A2481" s="2">
        <v>44924</v>
      </c>
      <c r="B2481" s="1" t="s">
        <v>8</v>
      </c>
      <c r="C2481" s="1" t="s">
        <v>16</v>
      </c>
      <c r="D2481" s="1" t="s">
        <v>47</v>
      </c>
      <c r="E2481">
        <v>509</v>
      </c>
      <c r="F2481" s="1">
        <f>VLOOKUP(jablka[[#This Row],[Nazwa]],cennik[],2,0) * jablka[[#This Row],[sprzedaż]]</f>
        <v>1781.5</v>
      </c>
    </row>
    <row r="2482" spans="1:6" x14ac:dyDescent="0.25">
      <c r="A2482" s="2">
        <v>44924</v>
      </c>
      <c r="B2482" s="1" t="s">
        <v>6</v>
      </c>
      <c r="C2482" s="1" t="s">
        <v>16</v>
      </c>
      <c r="D2482" s="1" t="s">
        <v>18</v>
      </c>
      <c r="E2482">
        <v>445</v>
      </c>
      <c r="F2482" s="1">
        <f>VLOOKUP(jablka[[#This Row],[Nazwa]],cennik[],2,0) * jablka[[#This Row],[sprzedaż]]</f>
        <v>1513</v>
      </c>
    </row>
    <row r="2483" spans="1:6" x14ac:dyDescent="0.25">
      <c r="A2483" s="2">
        <v>44924</v>
      </c>
      <c r="B2483" s="1" t="s">
        <v>2</v>
      </c>
      <c r="C2483" s="1" t="s">
        <v>16</v>
      </c>
      <c r="D2483" s="1" t="s">
        <v>41</v>
      </c>
      <c r="E2483">
        <v>219</v>
      </c>
      <c r="F2483" s="1">
        <f>VLOOKUP(jablka[[#This Row],[Nazwa]],cennik[],2,0) * jablka[[#This Row],[sprzedaż]]</f>
        <v>700.80000000000007</v>
      </c>
    </row>
    <row r="2484" spans="1:6" x14ac:dyDescent="0.25">
      <c r="A2484" s="2">
        <v>44924</v>
      </c>
      <c r="B2484" s="1" t="s">
        <v>15</v>
      </c>
      <c r="C2484" s="1" t="s">
        <v>16</v>
      </c>
      <c r="D2484" s="1" t="s">
        <v>36</v>
      </c>
      <c r="E2484">
        <v>354</v>
      </c>
      <c r="F2484" s="1">
        <f>VLOOKUP(jablka[[#This Row],[Nazwa]],cennik[],2,0) * jablka[[#This Row],[sprzedaż]]</f>
        <v>849.6</v>
      </c>
    </row>
    <row r="2485" spans="1:6" x14ac:dyDescent="0.25">
      <c r="A2485" s="2">
        <v>44925</v>
      </c>
      <c r="B2485" s="1" t="s">
        <v>7</v>
      </c>
      <c r="C2485" s="1" t="s">
        <v>16</v>
      </c>
      <c r="D2485" s="1" t="s">
        <v>63</v>
      </c>
      <c r="E2485">
        <v>593</v>
      </c>
      <c r="F2485" s="1">
        <f>VLOOKUP(jablka[[#This Row],[Nazwa]],cennik[],2,0) * jablka[[#This Row],[sprzedaż]]</f>
        <v>2016.2</v>
      </c>
    </row>
    <row r="2486" spans="1:6" x14ac:dyDescent="0.25">
      <c r="A2486" s="2">
        <v>44925</v>
      </c>
      <c r="B2486" s="1" t="s">
        <v>0</v>
      </c>
      <c r="C2486" s="1" t="s">
        <v>16</v>
      </c>
      <c r="D2486" s="1" t="s">
        <v>41</v>
      </c>
      <c r="E2486">
        <v>210</v>
      </c>
      <c r="F2486" s="1">
        <f>VLOOKUP(jablka[[#This Row],[Nazwa]],cennik[],2,0) * jablka[[#This Row],[sprzedaż]]</f>
        <v>609</v>
      </c>
    </row>
    <row r="2487" spans="1:6" x14ac:dyDescent="0.25">
      <c r="A2487" s="2">
        <v>44925</v>
      </c>
      <c r="B2487" s="1" t="s">
        <v>6</v>
      </c>
      <c r="C2487" s="1" t="s">
        <v>16</v>
      </c>
      <c r="D2487" s="1" t="s">
        <v>26</v>
      </c>
      <c r="E2487">
        <v>200</v>
      </c>
      <c r="F2487" s="1">
        <f>VLOOKUP(jablka[[#This Row],[Nazwa]],cennik[],2,0) * jablka[[#This Row],[sprzedaż]]</f>
        <v>680</v>
      </c>
    </row>
    <row r="2488" spans="1:6" x14ac:dyDescent="0.25">
      <c r="A2488" s="2">
        <v>44925</v>
      </c>
      <c r="B2488" s="1" t="s">
        <v>4</v>
      </c>
      <c r="C2488" s="1" t="s">
        <v>16</v>
      </c>
      <c r="D2488" s="1" t="s">
        <v>32</v>
      </c>
      <c r="E2488">
        <v>403</v>
      </c>
      <c r="F2488" s="1">
        <f>VLOOKUP(jablka[[#This Row],[Nazwa]],cennik[],2,0) * jablka[[#This Row],[sprzedaż]]</f>
        <v>1370.2</v>
      </c>
    </row>
    <row r="2489" spans="1:6" x14ac:dyDescent="0.25">
      <c r="A2489" s="2">
        <v>44925</v>
      </c>
      <c r="B2489" s="1" t="s">
        <v>6</v>
      </c>
      <c r="C2489" s="1" t="s">
        <v>16</v>
      </c>
      <c r="D2489" s="1" t="s">
        <v>21</v>
      </c>
      <c r="E2489">
        <v>173</v>
      </c>
      <c r="F2489" s="1">
        <f>VLOOKUP(jablka[[#This Row],[Nazwa]],cennik[],2,0) * jablka[[#This Row],[sprzedaż]]</f>
        <v>588.19999999999993</v>
      </c>
    </row>
    <row r="2490" spans="1:6" x14ac:dyDescent="0.25">
      <c r="A2490" s="2">
        <v>44925</v>
      </c>
      <c r="B2490" s="1" t="s">
        <v>6</v>
      </c>
      <c r="C2490" s="1" t="s">
        <v>16</v>
      </c>
      <c r="D2490" s="1" t="s">
        <v>29</v>
      </c>
      <c r="E2490">
        <v>307</v>
      </c>
      <c r="F2490" s="1">
        <f>VLOOKUP(jablka[[#This Row],[Nazwa]],cennik[],2,0) * jablka[[#This Row],[sprzedaż]]</f>
        <v>1043.8</v>
      </c>
    </row>
    <row r="2491" spans="1:6" x14ac:dyDescent="0.25">
      <c r="A2491" s="2">
        <v>44925</v>
      </c>
      <c r="B2491" s="1" t="s">
        <v>5</v>
      </c>
      <c r="C2491" s="1" t="s">
        <v>16</v>
      </c>
      <c r="D2491" s="1" t="s">
        <v>38</v>
      </c>
      <c r="E2491">
        <v>389</v>
      </c>
      <c r="F2491" s="1">
        <f>VLOOKUP(jablka[[#This Row],[Nazwa]],cennik[],2,0) * jablka[[#This Row],[sprzedaż]]</f>
        <v>1322.6</v>
      </c>
    </row>
    <row r="2492" spans="1:6" x14ac:dyDescent="0.25">
      <c r="A2492" s="2">
        <v>44926</v>
      </c>
      <c r="B2492" s="1" t="s">
        <v>8</v>
      </c>
      <c r="C2492" s="1" t="s">
        <v>16</v>
      </c>
      <c r="D2492" s="1" t="s">
        <v>32</v>
      </c>
      <c r="E2492">
        <v>436</v>
      </c>
      <c r="F2492" s="1">
        <f>VLOOKUP(jablka[[#This Row],[Nazwa]],cennik[],2,0) * jablka[[#This Row],[sprzedaż]]</f>
        <v>1526</v>
      </c>
    </row>
    <row r="2493" spans="1:6" x14ac:dyDescent="0.25">
      <c r="A2493" s="2">
        <v>44926</v>
      </c>
      <c r="B2493" s="1" t="s">
        <v>2</v>
      </c>
      <c r="C2493" s="1" t="s">
        <v>16</v>
      </c>
      <c r="D2493" s="1" t="s">
        <v>23</v>
      </c>
      <c r="E2493">
        <v>79</v>
      </c>
      <c r="F2493" s="1">
        <f>VLOOKUP(jablka[[#This Row],[Nazwa]],cennik[],2,0) * jablka[[#This Row],[sprzedaż]]</f>
        <v>252.8</v>
      </c>
    </row>
    <row r="2494" spans="1:6" x14ac:dyDescent="0.25">
      <c r="A2494" s="2">
        <v>44926</v>
      </c>
      <c r="B2494" s="1" t="s">
        <v>7</v>
      </c>
      <c r="C2494" s="1" t="s">
        <v>16</v>
      </c>
      <c r="D2494" s="1" t="s">
        <v>54</v>
      </c>
      <c r="E2494">
        <v>241</v>
      </c>
      <c r="F2494" s="1">
        <f>VLOOKUP(jablka[[#This Row],[Nazwa]],cennik[],2,0) * jablka[[#This Row],[sprzedaż]]</f>
        <v>819.4</v>
      </c>
    </row>
    <row r="2495" spans="1:6" x14ac:dyDescent="0.25">
      <c r="A2495" s="2">
        <v>44926</v>
      </c>
      <c r="B2495" s="1" t="s">
        <v>0</v>
      </c>
      <c r="C2495" s="1" t="s">
        <v>16</v>
      </c>
      <c r="D2495" s="1" t="s">
        <v>25</v>
      </c>
      <c r="E2495">
        <v>118</v>
      </c>
      <c r="F2495" s="1">
        <f>VLOOKUP(jablka[[#This Row],[Nazwa]],cennik[],2,0) * jablka[[#This Row],[sprzedaż]]</f>
        <v>342.2</v>
      </c>
    </row>
    <row r="2496" spans="1:6" x14ac:dyDescent="0.25">
      <c r="A2496" s="2">
        <v>44926</v>
      </c>
      <c r="B2496" s="1" t="s">
        <v>6</v>
      </c>
      <c r="C2496" s="1" t="s">
        <v>16</v>
      </c>
      <c r="D2496" s="1" t="s">
        <v>35</v>
      </c>
      <c r="E2496">
        <v>383</v>
      </c>
      <c r="F2496" s="1">
        <f>VLOOKUP(jablka[[#This Row],[Nazwa]],cennik[],2,0) * jablka[[#This Row],[sprzedaż]]</f>
        <v>1302.2</v>
      </c>
    </row>
    <row r="2497" spans="1:6" x14ac:dyDescent="0.25">
      <c r="A2497" s="2">
        <v>44926</v>
      </c>
      <c r="B2497" s="1" t="s">
        <v>4</v>
      </c>
      <c r="C2497" s="1" t="s">
        <v>16</v>
      </c>
      <c r="D2497" s="1" t="s">
        <v>20</v>
      </c>
      <c r="E2497">
        <v>629</v>
      </c>
      <c r="F2497" s="1">
        <f>VLOOKUP(jablka[[#This Row],[Nazwa]],cennik[],2,0) * jablka[[#This Row],[sprzedaż]]</f>
        <v>2138.6</v>
      </c>
    </row>
    <row r="2498" spans="1:6" x14ac:dyDescent="0.25">
      <c r="A2498" s="2">
        <v>44926</v>
      </c>
      <c r="B2498" s="1" t="s">
        <v>0</v>
      </c>
      <c r="C2498" s="1" t="s">
        <v>16</v>
      </c>
      <c r="D2498" s="1" t="s">
        <v>59</v>
      </c>
      <c r="E2498">
        <v>402</v>
      </c>
      <c r="F2498" s="1">
        <f>VLOOKUP(jablka[[#This Row],[Nazwa]],cennik[],2,0) * jablka[[#This Row],[sprzedaż]]</f>
        <v>1165.8</v>
      </c>
    </row>
    <row r="2499" spans="1:6" x14ac:dyDescent="0.25">
      <c r="A2499" s="2">
        <v>44926</v>
      </c>
      <c r="B2499" s="1" t="s">
        <v>10</v>
      </c>
      <c r="C2499" s="1" t="s">
        <v>16</v>
      </c>
      <c r="D2499" s="1" t="s">
        <v>39</v>
      </c>
      <c r="E2499">
        <v>169</v>
      </c>
      <c r="F2499" s="1">
        <f>VLOOKUP(jablka[[#This Row],[Nazwa]],cennik[],2,0) * jablka[[#This Row],[sprzedaż]]</f>
        <v>574.6</v>
      </c>
    </row>
    <row r="2500" spans="1:6" x14ac:dyDescent="0.25">
      <c r="A2500" s="2">
        <v>44926</v>
      </c>
      <c r="B2500" s="1" t="s">
        <v>5</v>
      </c>
      <c r="C2500" s="1" t="s">
        <v>16</v>
      </c>
      <c r="D2500" s="1" t="s">
        <v>61</v>
      </c>
      <c r="E2500">
        <v>281</v>
      </c>
      <c r="F2500" s="1">
        <f>VLOOKUP(jablka[[#This Row],[Nazwa]],cennik[],2,0) * jablka[[#This Row],[sprzedaż]]</f>
        <v>955.4</v>
      </c>
    </row>
    <row r="2501" spans="1:6" x14ac:dyDescent="0.25">
      <c r="A2501" s="2">
        <v>44926</v>
      </c>
      <c r="B2501" s="1" t="s">
        <v>4</v>
      </c>
      <c r="C2501" s="1" t="s">
        <v>16</v>
      </c>
      <c r="D2501" s="1" t="s">
        <v>18</v>
      </c>
      <c r="E2501">
        <v>388</v>
      </c>
      <c r="F2501" s="1">
        <f>VLOOKUP(jablka[[#This Row],[Nazwa]],cennik[],2,0) * jablka[[#This Row],[sprzedaż]]</f>
        <v>1319.2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34727-0E66-48D2-867B-10A1FF2413DF}">
  <dimension ref="A1:B17"/>
  <sheetViews>
    <sheetView workbookViewId="0">
      <selection activeCell="A2" sqref="A2:A17"/>
    </sheetView>
  </sheetViews>
  <sheetFormatPr defaultRowHeight="15" x14ac:dyDescent="0.25"/>
  <cols>
    <col min="1" max="1" width="11.42578125" bestFit="1" customWidth="1"/>
    <col min="2" max="2" width="12.28515625" bestFit="1" customWidth="1"/>
  </cols>
  <sheetData>
    <row r="1" spans="1:2" x14ac:dyDescent="0.25">
      <c r="A1" t="s">
        <v>74</v>
      </c>
      <c r="B1" t="s">
        <v>75</v>
      </c>
    </row>
    <row r="2" spans="1:2" x14ac:dyDescent="0.25">
      <c r="A2" s="1" t="s">
        <v>0</v>
      </c>
      <c r="B2">
        <v>2.9</v>
      </c>
    </row>
    <row r="3" spans="1:2" x14ac:dyDescent="0.25">
      <c r="A3" s="1" t="s">
        <v>1</v>
      </c>
      <c r="B3">
        <v>3.2</v>
      </c>
    </row>
    <row r="4" spans="1:2" x14ac:dyDescent="0.25">
      <c r="A4" s="1" t="s">
        <v>2</v>
      </c>
      <c r="B4">
        <v>3.2</v>
      </c>
    </row>
    <row r="5" spans="1:2" x14ac:dyDescent="0.25">
      <c r="A5" s="1" t="s">
        <v>3</v>
      </c>
      <c r="B5">
        <v>3.2</v>
      </c>
    </row>
    <row r="6" spans="1:2" x14ac:dyDescent="0.25">
      <c r="A6" s="1" t="s">
        <v>4</v>
      </c>
      <c r="B6">
        <v>3.4</v>
      </c>
    </row>
    <row r="7" spans="1:2" x14ac:dyDescent="0.25">
      <c r="A7" s="1" t="s">
        <v>5</v>
      </c>
      <c r="B7">
        <v>3.4</v>
      </c>
    </row>
    <row r="8" spans="1:2" x14ac:dyDescent="0.25">
      <c r="A8" s="1" t="s">
        <v>6</v>
      </c>
      <c r="B8">
        <v>3.4</v>
      </c>
    </row>
    <row r="9" spans="1:2" x14ac:dyDescent="0.25">
      <c r="A9" s="1" t="s">
        <v>7</v>
      </c>
      <c r="B9">
        <v>3.4</v>
      </c>
    </row>
    <row r="10" spans="1:2" x14ac:dyDescent="0.25">
      <c r="A10" s="1" t="s">
        <v>8</v>
      </c>
      <c r="B10">
        <v>3.5</v>
      </c>
    </row>
    <row r="11" spans="1:2" x14ac:dyDescent="0.25">
      <c r="A11" s="1" t="s">
        <v>9</v>
      </c>
      <c r="B11">
        <v>2.5</v>
      </c>
    </row>
    <row r="12" spans="1:2" x14ac:dyDescent="0.25">
      <c r="A12" s="1" t="s">
        <v>10</v>
      </c>
      <c r="B12">
        <v>3.4</v>
      </c>
    </row>
    <row r="13" spans="1:2" x14ac:dyDescent="0.25">
      <c r="A13" s="1" t="s">
        <v>11</v>
      </c>
      <c r="B13">
        <v>2.5</v>
      </c>
    </row>
    <row r="14" spans="1:2" x14ac:dyDescent="0.25">
      <c r="A14" s="1" t="s">
        <v>12</v>
      </c>
      <c r="B14">
        <v>2.7</v>
      </c>
    </row>
    <row r="15" spans="1:2" x14ac:dyDescent="0.25">
      <c r="A15" s="1" t="s">
        <v>13</v>
      </c>
      <c r="B15">
        <v>3.2</v>
      </c>
    </row>
    <row r="16" spans="1:2" x14ac:dyDescent="0.25">
      <c r="A16" s="1" t="s">
        <v>14</v>
      </c>
      <c r="B16">
        <v>3.5</v>
      </c>
    </row>
    <row r="17" spans="1:2" x14ac:dyDescent="0.25">
      <c r="A17" s="1" t="s">
        <v>15</v>
      </c>
      <c r="B17">
        <v>2.4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F8661-EA8F-45F2-835E-AFCDF43F3B1A}">
  <dimension ref="A1:F54"/>
  <sheetViews>
    <sheetView workbookViewId="0">
      <selection activeCell="E6" sqref="E6:F12"/>
    </sheetView>
  </sheetViews>
  <sheetFormatPr defaultRowHeight="15" x14ac:dyDescent="0.25"/>
  <cols>
    <col min="1" max="1" width="17.85546875" bestFit="1" customWidth="1"/>
    <col min="2" max="2" width="15.7109375" bestFit="1" customWidth="1"/>
    <col min="5" max="5" width="13.28515625" bestFit="1" customWidth="1"/>
    <col min="6" max="6" width="12.140625" bestFit="1" customWidth="1"/>
  </cols>
  <sheetData>
    <row r="1" spans="1:6" x14ac:dyDescent="0.25">
      <c r="A1" s="3" t="s">
        <v>71</v>
      </c>
      <c r="B1" t="s">
        <v>16</v>
      </c>
    </row>
    <row r="3" spans="1:6" x14ac:dyDescent="0.25">
      <c r="A3" s="3" t="s">
        <v>76</v>
      </c>
      <c r="B3" t="s">
        <v>78</v>
      </c>
    </row>
    <row r="4" spans="1:6" x14ac:dyDescent="0.25">
      <c r="A4" s="4" t="s">
        <v>35</v>
      </c>
      <c r="B4" s="1">
        <v>9861</v>
      </c>
      <c r="E4" t="s">
        <v>79</v>
      </c>
      <c r="F4" t="s">
        <v>80</v>
      </c>
    </row>
    <row r="5" spans="1:6" x14ac:dyDescent="0.25">
      <c r="A5" s="4" t="s">
        <v>39</v>
      </c>
      <c r="B5" s="1">
        <v>4975</v>
      </c>
      <c r="E5" s="6" t="s">
        <v>41</v>
      </c>
      <c r="F5" s="6">
        <v>12185</v>
      </c>
    </row>
    <row r="6" spans="1:6" x14ac:dyDescent="0.25">
      <c r="A6" s="4" t="s">
        <v>48</v>
      </c>
      <c r="B6" s="1">
        <v>9705</v>
      </c>
      <c r="E6" s="6" t="s">
        <v>21</v>
      </c>
      <c r="F6" s="6">
        <v>12047</v>
      </c>
    </row>
    <row r="7" spans="1:6" x14ac:dyDescent="0.25">
      <c r="A7" s="4" t="s">
        <v>66</v>
      </c>
      <c r="B7" s="1">
        <v>4321</v>
      </c>
      <c r="E7" s="6" t="s">
        <v>63</v>
      </c>
      <c r="F7" s="6">
        <v>11769</v>
      </c>
    </row>
    <row r="8" spans="1:6" x14ac:dyDescent="0.25">
      <c r="A8" s="4" t="s">
        <v>32</v>
      </c>
      <c r="B8" s="1">
        <v>11700</v>
      </c>
      <c r="E8" t="s">
        <v>50</v>
      </c>
      <c r="F8">
        <v>11717</v>
      </c>
    </row>
    <row r="9" spans="1:6" x14ac:dyDescent="0.25">
      <c r="A9" s="4" t="s">
        <v>50</v>
      </c>
      <c r="B9" s="1">
        <v>11717</v>
      </c>
      <c r="E9" t="s">
        <v>32</v>
      </c>
      <c r="F9">
        <v>11700</v>
      </c>
    </row>
    <row r="10" spans="1:6" x14ac:dyDescent="0.25">
      <c r="A10" s="4" t="s">
        <v>53</v>
      </c>
      <c r="B10" s="1">
        <v>10038</v>
      </c>
      <c r="E10" t="s">
        <v>36</v>
      </c>
      <c r="F10">
        <v>11450</v>
      </c>
    </row>
    <row r="11" spans="1:6" x14ac:dyDescent="0.25">
      <c r="A11" s="4" t="s">
        <v>36</v>
      </c>
      <c r="B11" s="1">
        <v>11450</v>
      </c>
      <c r="E11" t="s">
        <v>44</v>
      </c>
      <c r="F11">
        <v>11332</v>
      </c>
    </row>
    <row r="12" spans="1:6" x14ac:dyDescent="0.25">
      <c r="A12" s="4" t="s">
        <v>56</v>
      </c>
      <c r="B12" s="1">
        <v>6711</v>
      </c>
      <c r="E12" t="s">
        <v>47</v>
      </c>
      <c r="F12">
        <v>10228</v>
      </c>
    </row>
    <row r="13" spans="1:6" x14ac:dyDescent="0.25">
      <c r="A13" s="4" t="s">
        <v>24</v>
      </c>
      <c r="B13" s="1">
        <v>7717</v>
      </c>
      <c r="E13" t="s">
        <v>60</v>
      </c>
      <c r="F13">
        <v>10218</v>
      </c>
    </row>
    <row r="14" spans="1:6" x14ac:dyDescent="0.25">
      <c r="A14" s="4" t="s">
        <v>49</v>
      </c>
      <c r="B14" s="1">
        <v>9804</v>
      </c>
      <c r="E14" t="s">
        <v>53</v>
      </c>
      <c r="F14">
        <v>10038</v>
      </c>
    </row>
    <row r="15" spans="1:6" x14ac:dyDescent="0.25">
      <c r="A15" s="4" t="s">
        <v>25</v>
      </c>
      <c r="B15" s="1">
        <v>6830</v>
      </c>
      <c r="E15" t="s">
        <v>40</v>
      </c>
      <c r="F15">
        <v>9905</v>
      </c>
    </row>
    <row r="16" spans="1:6" x14ac:dyDescent="0.25">
      <c r="A16" s="4" t="s">
        <v>20</v>
      </c>
      <c r="B16" s="1">
        <v>6914</v>
      </c>
      <c r="E16" t="s">
        <v>28</v>
      </c>
      <c r="F16">
        <v>9905</v>
      </c>
    </row>
    <row r="17" spans="1:6" x14ac:dyDescent="0.25">
      <c r="A17" s="4" t="s">
        <v>61</v>
      </c>
      <c r="B17" s="1">
        <v>9453</v>
      </c>
      <c r="E17" t="s">
        <v>35</v>
      </c>
      <c r="F17">
        <v>9861</v>
      </c>
    </row>
    <row r="18" spans="1:6" x14ac:dyDescent="0.25">
      <c r="A18" s="4" t="s">
        <v>54</v>
      </c>
      <c r="B18" s="1">
        <v>8625</v>
      </c>
      <c r="E18" t="s">
        <v>49</v>
      </c>
      <c r="F18">
        <v>9804</v>
      </c>
    </row>
    <row r="19" spans="1:6" x14ac:dyDescent="0.25">
      <c r="A19" s="4" t="s">
        <v>42</v>
      </c>
      <c r="B19" s="1">
        <v>9210</v>
      </c>
      <c r="E19" t="s">
        <v>26</v>
      </c>
      <c r="F19">
        <v>9804</v>
      </c>
    </row>
    <row r="20" spans="1:6" x14ac:dyDescent="0.25">
      <c r="A20" s="4" t="s">
        <v>44</v>
      </c>
      <c r="B20" s="1">
        <v>11332</v>
      </c>
      <c r="E20" t="s">
        <v>48</v>
      </c>
      <c r="F20">
        <v>9705</v>
      </c>
    </row>
    <row r="21" spans="1:6" x14ac:dyDescent="0.25">
      <c r="A21" s="4" t="s">
        <v>40</v>
      </c>
      <c r="B21" s="1">
        <v>9905</v>
      </c>
      <c r="E21" t="s">
        <v>38</v>
      </c>
      <c r="F21">
        <v>9696</v>
      </c>
    </row>
    <row r="22" spans="1:6" x14ac:dyDescent="0.25">
      <c r="A22" s="4" t="s">
        <v>27</v>
      </c>
      <c r="B22" s="1">
        <v>9207</v>
      </c>
      <c r="E22" t="s">
        <v>61</v>
      </c>
      <c r="F22">
        <v>9453</v>
      </c>
    </row>
    <row r="23" spans="1:6" x14ac:dyDescent="0.25">
      <c r="A23" s="4" t="s">
        <v>29</v>
      </c>
      <c r="B23" s="1">
        <v>8265</v>
      </c>
      <c r="E23" t="s">
        <v>23</v>
      </c>
      <c r="F23">
        <v>9374</v>
      </c>
    </row>
    <row r="24" spans="1:6" x14ac:dyDescent="0.25">
      <c r="A24" s="4" t="s">
        <v>63</v>
      </c>
      <c r="B24" s="1">
        <v>11769</v>
      </c>
      <c r="E24" t="s">
        <v>65</v>
      </c>
      <c r="F24">
        <v>9248</v>
      </c>
    </row>
    <row r="25" spans="1:6" x14ac:dyDescent="0.25">
      <c r="A25" s="4" t="s">
        <v>22</v>
      </c>
      <c r="B25" s="1">
        <v>9195</v>
      </c>
      <c r="E25" t="s">
        <v>42</v>
      </c>
      <c r="F25">
        <v>9210</v>
      </c>
    </row>
    <row r="26" spans="1:6" x14ac:dyDescent="0.25">
      <c r="A26" s="4" t="s">
        <v>23</v>
      </c>
      <c r="B26" s="1">
        <v>9374</v>
      </c>
      <c r="E26" t="s">
        <v>27</v>
      </c>
      <c r="F26">
        <v>9207</v>
      </c>
    </row>
    <row r="27" spans="1:6" x14ac:dyDescent="0.25">
      <c r="A27" s="4" t="s">
        <v>47</v>
      </c>
      <c r="B27" s="1">
        <v>10228</v>
      </c>
      <c r="E27" t="s">
        <v>22</v>
      </c>
      <c r="F27">
        <v>9195</v>
      </c>
    </row>
    <row r="28" spans="1:6" x14ac:dyDescent="0.25">
      <c r="A28" s="4" t="s">
        <v>60</v>
      </c>
      <c r="B28" s="1">
        <v>10218</v>
      </c>
      <c r="E28" t="s">
        <v>46</v>
      </c>
      <c r="F28">
        <v>8956</v>
      </c>
    </row>
    <row r="29" spans="1:6" x14ac:dyDescent="0.25">
      <c r="A29" s="4" t="s">
        <v>55</v>
      </c>
      <c r="B29" s="1">
        <v>7118</v>
      </c>
      <c r="E29" t="s">
        <v>17</v>
      </c>
      <c r="F29">
        <v>8805</v>
      </c>
    </row>
    <row r="30" spans="1:6" x14ac:dyDescent="0.25">
      <c r="A30" s="4" t="s">
        <v>17</v>
      </c>
      <c r="B30" s="1">
        <v>8805</v>
      </c>
      <c r="E30" t="s">
        <v>52</v>
      </c>
      <c r="F30">
        <v>8734</v>
      </c>
    </row>
    <row r="31" spans="1:6" x14ac:dyDescent="0.25">
      <c r="A31" s="4" t="s">
        <v>59</v>
      </c>
      <c r="B31" s="1">
        <v>6026</v>
      </c>
      <c r="E31" t="s">
        <v>54</v>
      </c>
      <c r="F31">
        <v>8625</v>
      </c>
    </row>
    <row r="32" spans="1:6" x14ac:dyDescent="0.25">
      <c r="A32" s="4" t="s">
        <v>30</v>
      </c>
      <c r="B32" s="1">
        <v>7580</v>
      </c>
      <c r="E32" t="s">
        <v>62</v>
      </c>
      <c r="F32">
        <v>8539</v>
      </c>
    </row>
    <row r="33" spans="1:6" x14ac:dyDescent="0.25">
      <c r="A33" s="4" t="s">
        <v>43</v>
      </c>
      <c r="B33" s="1">
        <v>8455</v>
      </c>
      <c r="E33" t="s">
        <v>43</v>
      </c>
      <c r="F33">
        <v>8455</v>
      </c>
    </row>
    <row r="34" spans="1:6" x14ac:dyDescent="0.25">
      <c r="A34" s="4" t="s">
        <v>62</v>
      </c>
      <c r="B34" s="1">
        <v>8539</v>
      </c>
      <c r="E34" t="s">
        <v>29</v>
      </c>
      <c r="F34">
        <v>8265</v>
      </c>
    </row>
    <row r="35" spans="1:6" x14ac:dyDescent="0.25">
      <c r="A35" s="4" t="s">
        <v>19</v>
      </c>
      <c r="B35" s="1">
        <v>6383</v>
      </c>
      <c r="E35" t="s">
        <v>51</v>
      </c>
      <c r="F35">
        <v>8258</v>
      </c>
    </row>
    <row r="36" spans="1:6" x14ac:dyDescent="0.25">
      <c r="A36" s="4" t="s">
        <v>31</v>
      </c>
      <c r="B36" s="1">
        <v>7024</v>
      </c>
      <c r="E36" t="s">
        <v>18</v>
      </c>
      <c r="F36">
        <v>8208</v>
      </c>
    </row>
    <row r="37" spans="1:6" x14ac:dyDescent="0.25">
      <c r="A37" s="4" t="s">
        <v>21</v>
      </c>
      <c r="B37" s="1">
        <v>12047</v>
      </c>
      <c r="E37" t="s">
        <v>45</v>
      </c>
      <c r="F37">
        <v>7789</v>
      </c>
    </row>
    <row r="38" spans="1:6" x14ac:dyDescent="0.25">
      <c r="A38" s="4" t="s">
        <v>57</v>
      </c>
      <c r="B38" s="1">
        <v>6635</v>
      </c>
      <c r="E38" t="s">
        <v>33</v>
      </c>
      <c r="F38">
        <v>7777</v>
      </c>
    </row>
    <row r="39" spans="1:6" x14ac:dyDescent="0.25">
      <c r="A39" s="4" t="s">
        <v>64</v>
      </c>
      <c r="B39" s="1">
        <v>4831</v>
      </c>
      <c r="E39" t="s">
        <v>24</v>
      </c>
      <c r="F39">
        <v>7717</v>
      </c>
    </row>
    <row r="40" spans="1:6" x14ac:dyDescent="0.25">
      <c r="A40" s="4" t="s">
        <v>41</v>
      </c>
      <c r="B40" s="1">
        <v>12185</v>
      </c>
      <c r="E40" t="s">
        <v>37</v>
      </c>
      <c r="F40">
        <v>7666</v>
      </c>
    </row>
    <row r="41" spans="1:6" x14ac:dyDescent="0.25">
      <c r="A41" s="4" t="s">
        <v>28</v>
      </c>
      <c r="B41" s="1">
        <v>9905</v>
      </c>
      <c r="E41" t="s">
        <v>58</v>
      </c>
      <c r="F41">
        <v>7661</v>
      </c>
    </row>
    <row r="42" spans="1:6" x14ac:dyDescent="0.25">
      <c r="A42" s="4" t="s">
        <v>26</v>
      </c>
      <c r="B42" s="1">
        <v>9804</v>
      </c>
      <c r="E42" t="s">
        <v>30</v>
      </c>
      <c r="F42">
        <v>7580</v>
      </c>
    </row>
    <row r="43" spans="1:6" x14ac:dyDescent="0.25">
      <c r="A43" s="4" t="s">
        <v>46</v>
      </c>
      <c r="B43" s="1">
        <v>8956</v>
      </c>
      <c r="E43" t="s">
        <v>34</v>
      </c>
      <c r="F43">
        <v>7471</v>
      </c>
    </row>
    <row r="44" spans="1:6" x14ac:dyDescent="0.25">
      <c r="A44" s="4" t="s">
        <v>38</v>
      </c>
      <c r="B44" s="1">
        <v>9696</v>
      </c>
      <c r="E44" t="s">
        <v>55</v>
      </c>
      <c r="F44">
        <v>7118</v>
      </c>
    </row>
    <row r="45" spans="1:6" x14ac:dyDescent="0.25">
      <c r="A45" s="4" t="s">
        <v>65</v>
      </c>
      <c r="B45" s="1">
        <v>9248</v>
      </c>
      <c r="E45" t="s">
        <v>31</v>
      </c>
      <c r="F45">
        <v>7024</v>
      </c>
    </row>
    <row r="46" spans="1:6" x14ac:dyDescent="0.25">
      <c r="A46" s="4" t="s">
        <v>37</v>
      </c>
      <c r="B46" s="1">
        <v>7666</v>
      </c>
      <c r="E46" t="s">
        <v>20</v>
      </c>
      <c r="F46">
        <v>6914</v>
      </c>
    </row>
    <row r="47" spans="1:6" x14ac:dyDescent="0.25">
      <c r="A47" s="4" t="s">
        <v>51</v>
      </c>
      <c r="B47" s="1">
        <v>8258</v>
      </c>
      <c r="E47" t="s">
        <v>25</v>
      </c>
      <c r="F47">
        <v>6830</v>
      </c>
    </row>
    <row r="48" spans="1:6" x14ac:dyDescent="0.25">
      <c r="A48" s="4" t="s">
        <v>33</v>
      </c>
      <c r="B48" s="1">
        <v>7777</v>
      </c>
      <c r="E48" t="s">
        <v>56</v>
      </c>
      <c r="F48">
        <v>6711</v>
      </c>
    </row>
    <row r="49" spans="1:6" x14ac:dyDescent="0.25">
      <c r="A49" s="4" t="s">
        <v>58</v>
      </c>
      <c r="B49" s="1">
        <v>7661</v>
      </c>
      <c r="E49" t="s">
        <v>57</v>
      </c>
      <c r="F49">
        <v>6635</v>
      </c>
    </row>
    <row r="50" spans="1:6" x14ac:dyDescent="0.25">
      <c r="A50" s="4" t="s">
        <v>34</v>
      </c>
      <c r="B50" s="1">
        <v>7471</v>
      </c>
      <c r="E50" t="s">
        <v>19</v>
      </c>
      <c r="F50">
        <v>6383</v>
      </c>
    </row>
    <row r="51" spans="1:6" x14ac:dyDescent="0.25">
      <c r="A51" s="4" t="s">
        <v>45</v>
      </c>
      <c r="B51" s="1">
        <v>7789</v>
      </c>
      <c r="E51" t="s">
        <v>59</v>
      </c>
      <c r="F51">
        <v>6026</v>
      </c>
    </row>
    <row r="52" spans="1:6" x14ac:dyDescent="0.25">
      <c r="A52" s="4" t="s">
        <v>18</v>
      </c>
      <c r="B52" s="1">
        <v>8208</v>
      </c>
      <c r="E52" t="s">
        <v>39</v>
      </c>
      <c r="F52">
        <v>4975</v>
      </c>
    </row>
    <row r="53" spans="1:6" x14ac:dyDescent="0.25">
      <c r="A53" s="4" t="s">
        <v>52</v>
      </c>
      <c r="B53" s="1">
        <v>8734</v>
      </c>
      <c r="E53" t="s">
        <v>64</v>
      </c>
      <c r="F53">
        <v>4831</v>
      </c>
    </row>
    <row r="54" spans="1:6" x14ac:dyDescent="0.25">
      <c r="A54" s="4" t="s">
        <v>77</v>
      </c>
      <c r="B54" s="1">
        <v>435325</v>
      </c>
      <c r="E54" t="s">
        <v>66</v>
      </c>
      <c r="F54">
        <v>4321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0DA13-70CA-4A26-B39B-BEEA50F84186}">
  <dimension ref="A3:F41"/>
  <sheetViews>
    <sheetView zoomScale="85" zoomScaleNormal="85" workbookViewId="0">
      <selection activeCell="F6" sqref="F6"/>
    </sheetView>
  </sheetViews>
  <sheetFormatPr defaultRowHeight="15" x14ac:dyDescent="0.25"/>
  <cols>
    <col min="1" max="1" width="17.85546875" bestFit="1" customWidth="1"/>
    <col min="2" max="2" width="16" bestFit="1" customWidth="1"/>
  </cols>
  <sheetData>
    <row r="3" spans="1:6" x14ac:dyDescent="0.25">
      <c r="A3" s="3" t="s">
        <v>76</v>
      </c>
      <c r="B3" t="s">
        <v>84</v>
      </c>
    </row>
    <row r="4" spans="1:6" x14ac:dyDescent="0.25">
      <c r="A4" s="4" t="s">
        <v>0</v>
      </c>
      <c r="B4" s="1">
        <v>104124.49999999994</v>
      </c>
    </row>
    <row r="5" spans="1:6" x14ac:dyDescent="0.25">
      <c r="A5" s="4" t="s">
        <v>1</v>
      </c>
      <c r="B5" s="1">
        <v>79593.599999999962</v>
      </c>
      <c r="D5" s="6" t="s">
        <v>82</v>
      </c>
      <c r="E5" s="6">
        <f>MAX(B4:B19)</f>
        <v>389921</v>
      </c>
      <c r="F5" s="6" t="str">
        <f>VLOOKUP(E5,A26:B41,2,0)</f>
        <v>Reneta</v>
      </c>
    </row>
    <row r="6" spans="1:6" x14ac:dyDescent="0.25">
      <c r="A6" s="4" t="s">
        <v>2</v>
      </c>
      <c r="B6" s="1">
        <v>112399.99999999997</v>
      </c>
      <c r="D6" s="6"/>
      <c r="E6" s="6"/>
      <c r="F6" s="6"/>
    </row>
    <row r="7" spans="1:6" x14ac:dyDescent="0.25">
      <c r="A7" s="4" t="s">
        <v>3</v>
      </c>
      <c r="B7" s="1">
        <v>99340.800000000017</v>
      </c>
      <c r="D7" s="6" t="s">
        <v>83</v>
      </c>
      <c r="E7" s="6">
        <f>GETPIVOTDATA("przychód",$A$3)</f>
        <v>2422669.4</v>
      </c>
      <c r="F7" s="6"/>
    </row>
    <row r="8" spans="1:6" x14ac:dyDescent="0.25">
      <c r="A8" s="4" t="s">
        <v>4</v>
      </c>
      <c r="B8" s="1">
        <v>302389.19999999984</v>
      </c>
    </row>
    <row r="9" spans="1:6" x14ac:dyDescent="0.25">
      <c r="A9" s="4" t="s">
        <v>5</v>
      </c>
      <c r="B9" s="1">
        <v>107504.59999999998</v>
      </c>
    </row>
    <row r="10" spans="1:6" x14ac:dyDescent="0.25">
      <c r="A10" s="4" t="s">
        <v>6</v>
      </c>
      <c r="B10" s="1">
        <v>100837.2</v>
      </c>
    </row>
    <row r="11" spans="1:6" x14ac:dyDescent="0.25">
      <c r="A11" s="4" t="s">
        <v>7</v>
      </c>
      <c r="B11" s="1">
        <v>197978.60000000009</v>
      </c>
    </row>
    <row r="12" spans="1:6" x14ac:dyDescent="0.25">
      <c r="A12" s="4" t="s">
        <v>8</v>
      </c>
      <c r="B12" s="1">
        <v>256949</v>
      </c>
    </row>
    <row r="13" spans="1:6" x14ac:dyDescent="0.25">
      <c r="A13" s="4" t="s">
        <v>9</v>
      </c>
      <c r="B13" s="1">
        <v>59962.5</v>
      </c>
    </row>
    <row r="14" spans="1:6" x14ac:dyDescent="0.25">
      <c r="A14" s="4" t="s">
        <v>10</v>
      </c>
      <c r="B14" s="1">
        <v>120312.39999999997</v>
      </c>
    </row>
    <row r="15" spans="1:6" x14ac:dyDescent="0.25">
      <c r="A15" s="4" t="s">
        <v>11</v>
      </c>
      <c r="B15" s="1">
        <v>63970</v>
      </c>
    </row>
    <row r="16" spans="1:6" x14ac:dyDescent="0.25">
      <c r="A16" s="4" t="s">
        <v>12</v>
      </c>
      <c r="B16" s="1">
        <v>150130.79999999999</v>
      </c>
    </row>
    <row r="17" spans="1:2" x14ac:dyDescent="0.25">
      <c r="A17" s="4" t="s">
        <v>13</v>
      </c>
      <c r="B17" s="1">
        <v>164332.80000000008</v>
      </c>
    </row>
    <row r="18" spans="1:2" x14ac:dyDescent="0.25">
      <c r="A18" s="7" t="s">
        <v>14</v>
      </c>
      <c r="B18" s="8">
        <v>389921</v>
      </c>
    </row>
    <row r="19" spans="1:2" x14ac:dyDescent="0.25">
      <c r="A19" s="4" t="s">
        <v>15</v>
      </c>
      <c r="B19" s="1">
        <v>112922.40000000004</v>
      </c>
    </row>
    <row r="20" spans="1:2" x14ac:dyDescent="0.25">
      <c r="A20" s="4" t="s">
        <v>77</v>
      </c>
      <c r="B20" s="8">
        <v>2422669.4</v>
      </c>
    </row>
    <row r="26" spans="1:2" x14ac:dyDescent="0.25">
      <c r="A26" s="1">
        <v>104124.49999999994</v>
      </c>
      <c r="B26" s="4" t="s">
        <v>0</v>
      </c>
    </row>
    <row r="27" spans="1:2" x14ac:dyDescent="0.25">
      <c r="A27" s="1">
        <v>79593.599999999962</v>
      </c>
      <c r="B27" s="4" t="s">
        <v>1</v>
      </c>
    </row>
    <row r="28" spans="1:2" x14ac:dyDescent="0.25">
      <c r="A28" s="1">
        <v>112399.99999999997</v>
      </c>
      <c r="B28" s="4" t="s">
        <v>2</v>
      </c>
    </row>
    <row r="29" spans="1:2" x14ac:dyDescent="0.25">
      <c r="A29" s="1">
        <v>99340.800000000017</v>
      </c>
      <c r="B29" s="4" t="s">
        <v>3</v>
      </c>
    </row>
    <row r="30" spans="1:2" x14ac:dyDescent="0.25">
      <c r="A30" s="1">
        <v>302389.19999999984</v>
      </c>
      <c r="B30" s="4" t="s">
        <v>4</v>
      </c>
    </row>
    <row r="31" spans="1:2" x14ac:dyDescent="0.25">
      <c r="A31" s="1">
        <v>107504.59999999998</v>
      </c>
      <c r="B31" s="4" t="s">
        <v>5</v>
      </c>
    </row>
    <row r="32" spans="1:2" x14ac:dyDescent="0.25">
      <c r="A32" s="1">
        <v>100837.2</v>
      </c>
      <c r="B32" s="4" t="s">
        <v>6</v>
      </c>
    </row>
    <row r="33" spans="1:2" x14ac:dyDescent="0.25">
      <c r="A33" s="1">
        <v>197978.60000000009</v>
      </c>
      <c r="B33" s="4" t="s">
        <v>7</v>
      </c>
    </row>
    <row r="34" spans="1:2" x14ac:dyDescent="0.25">
      <c r="A34" s="1">
        <v>256949</v>
      </c>
      <c r="B34" s="4" t="s">
        <v>8</v>
      </c>
    </row>
    <row r="35" spans="1:2" x14ac:dyDescent="0.25">
      <c r="A35" s="1">
        <v>59962.5</v>
      </c>
      <c r="B35" s="4" t="s">
        <v>9</v>
      </c>
    </row>
    <row r="36" spans="1:2" x14ac:dyDescent="0.25">
      <c r="A36" s="1">
        <v>120312.39999999997</v>
      </c>
      <c r="B36" s="4" t="s">
        <v>10</v>
      </c>
    </row>
    <row r="37" spans="1:2" x14ac:dyDescent="0.25">
      <c r="A37" s="1">
        <v>63970</v>
      </c>
      <c r="B37" s="4" t="s">
        <v>11</v>
      </c>
    </row>
    <row r="38" spans="1:2" x14ac:dyDescent="0.25">
      <c r="A38" s="1">
        <v>150130.79999999999</v>
      </c>
      <c r="B38" s="4" t="s">
        <v>12</v>
      </c>
    </row>
    <row r="39" spans="1:2" x14ac:dyDescent="0.25">
      <c r="A39" s="1">
        <v>164332.80000000008</v>
      </c>
      <c r="B39" s="4" t="s">
        <v>13</v>
      </c>
    </row>
    <row r="40" spans="1:2" x14ac:dyDescent="0.25">
      <c r="A40" s="8">
        <v>389921</v>
      </c>
      <c r="B40" s="7" t="s">
        <v>14</v>
      </c>
    </row>
    <row r="41" spans="1:2" x14ac:dyDescent="0.25">
      <c r="A41" s="1">
        <v>112922.40000000004</v>
      </c>
      <c r="B41" s="4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E7A30-9DAE-447B-916D-BBE3C9102BC9}">
  <dimension ref="A3:AA19"/>
  <sheetViews>
    <sheetView zoomScaleNormal="100" workbookViewId="0">
      <selection activeCell="M30" sqref="M30"/>
    </sheetView>
  </sheetViews>
  <sheetFormatPr defaultRowHeight="15" x14ac:dyDescent="0.25"/>
  <cols>
    <col min="1" max="2" width="17.85546875" bestFit="1" customWidth="1"/>
    <col min="3" max="3" width="10.85546875" bestFit="1" customWidth="1"/>
    <col min="4" max="4" width="8.85546875" bestFit="1" customWidth="1"/>
    <col min="5" max="5" width="9.5703125" bestFit="1" customWidth="1"/>
    <col min="6" max="6" width="6.42578125" bestFit="1" customWidth="1"/>
    <col min="7" max="7" width="7.7109375" bestFit="1" customWidth="1"/>
    <col min="8" max="8" width="6.7109375" bestFit="1" customWidth="1"/>
    <col min="9" max="9" width="8.85546875" bestFit="1" customWidth="1"/>
    <col min="10" max="10" width="10.140625" bestFit="1" customWidth="1"/>
    <col min="11" max="11" width="8.5703125" bestFit="1" customWidth="1"/>
    <col min="12" max="12" width="6.42578125" bestFit="1" customWidth="1"/>
    <col min="13" max="13" width="6.42578125" customWidth="1"/>
    <col min="14" max="14" width="6.42578125" bestFit="1" customWidth="1"/>
    <col min="15" max="15" width="11.28515625" bestFit="1" customWidth="1"/>
    <col min="16" max="16" width="7.42578125" bestFit="1" customWidth="1"/>
    <col min="17" max="17" width="9.7109375" bestFit="1" customWidth="1"/>
    <col min="18" max="18" width="14.42578125" bestFit="1" customWidth="1"/>
  </cols>
  <sheetData>
    <row r="3" spans="1:27" x14ac:dyDescent="0.25">
      <c r="A3" s="3" t="s">
        <v>78</v>
      </c>
      <c r="B3" s="3" t="s">
        <v>97</v>
      </c>
    </row>
    <row r="4" spans="1:27" x14ac:dyDescent="0.25">
      <c r="A4" s="3" t="s">
        <v>76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77</v>
      </c>
    </row>
    <row r="5" spans="1:27" x14ac:dyDescent="0.25">
      <c r="A5" s="4" t="s">
        <v>85</v>
      </c>
      <c r="B5" s="1">
        <v>8210</v>
      </c>
      <c r="C5" s="1"/>
      <c r="D5" s="1">
        <v>3719</v>
      </c>
      <c r="E5" s="1"/>
      <c r="F5" s="1">
        <v>14017</v>
      </c>
      <c r="G5" s="1">
        <v>3452</v>
      </c>
      <c r="H5" s="1">
        <v>5878</v>
      </c>
      <c r="I5" s="1">
        <v>9930</v>
      </c>
      <c r="J5" s="1">
        <v>9432</v>
      </c>
      <c r="K5" s="1"/>
      <c r="L5" s="1">
        <v>5547</v>
      </c>
      <c r="M5" s="1"/>
      <c r="N5" s="1"/>
      <c r="O5" s="1"/>
      <c r="P5" s="1"/>
      <c r="Q5" s="1">
        <v>9209</v>
      </c>
      <c r="R5" s="1">
        <v>69394</v>
      </c>
      <c r="T5" s="4" t="s">
        <v>85</v>
      </c>
      <c r="U5">
        <f>MAX(B5:Q5)</f>
        <v>14017</v>
      </c>
      <c r="V5" t="str">
        <f>HLOOKUP(U5,B5:Q19,X5,0)</f>
        <v>Gala</v>
      </c>
      <c r="X5">
        <v>15</v>
      </c>
      <c r="Z5" s="6" t="str">
        <f>_xlfn.CONCAT(T5," - ",V5)</f>
        <v>sty - Gala</v>
      </c>
      <c r="AA5" s="6">
        <f>MAX(H5:W5)</f>
        <v>69394</v>
      </c>
    </row>
    <row r="6" spans="1:27" x14ac:dyDescent="0.25">
      <c r="A6" s="4" t="s">
        <v>86</v>
      </c>
      <c r="B6" s="1">
        <v>4283</v>
      </c>
      <c r="C6" s="1"/>
      <c r="D6" s="1">
        <v>6110</v>
      </c>
      <c r="E6" s="1"/>
      <c r="F6" s="1">
        <v>14969</v>
      </c>
      <c r="G6" s="1">
        <v>5244</v>
      </c>
      <c r="H6" s="1">
        <v>5165</v>
      </c>
      <c r="I6" s="1">
        <v>10062</v>
      </c>
      <c r="J6" s="1">
        <v>11059</v>
      </c>
      <c r="K6" s="1"/>
      <c r="L6" s="1">
        <v>4634</v>
      </c>
      <c r="M6" s="1"/>
      <c r="N6" s="1"/>
      <c r="O6" s="1"/>
      <c r="P6" s="1"/>
      <c r="Q6" s="1">
        <v>6074</v>
      </c>
      <c r="R6" s="1">
        <v>67600</v>
      </c>
      <c r="T6" s="4" t="s">
        <v>86</v>
      </c>
      <c r="U6">
        <f t="shared" ref="U6:U16" si="0">MAX(B6:Q6)</f>
        <v>14969</v>
      </c>
      <c r="V6" t="str">
        <f t="shared" ref="V6:V16" si="1">HLOOKUP(U6,B6:Q20,X6,0)</f>
        <v>Gala</v>
      </c>
      <c r="X6">
        <v>14</v>
      </c>
      <c r="Z6" s="6" t="str">
        <f t="shared" ref="Z6:Z16" si="2">_xlfn.CONCAT(T6," - ",V6)</f>
        <v>lut - Gala</v>
      </c>
      <c r="AA6" s="6">
        <f t="shared" ref="AA6:AA16" si="3">MAX(H6:W6)</f>
        <v>67600</v>
      </c>
    </row>
    <row r="7" spans="1:27" x14ac:dyDescent="0.25">
      <c r="A7" s="4" t="s">
        <v>87</v>
      </c>
      <c r="B7" s="1">
        <v>4630</v>
      </c>
      <c r="C7" s="1"/>
      <c r="D7" s="1">
        <v>7001</v>
      </c>
      <c r="E7" s="1"/>
      <c r="F7" s="1">
        <v>12233</v>
      </c>
      <c r="G7" s="1">
        <v>6438</v>
      </c>
      <c r="H7" s="1">
        <v>2819</v>
      </c>
      <c r="I7" s="1">
        <v>9282</v>
      </c>
      <c r="J7" s="1">
        <v>15079</v>
      </c>
      <c r="K7" s="1"/>
      <c r="L7" s="1">
        <v>4612</v>
      </c>
      <c r="M7" s="1"/>
      <c r="N7" s="1"/>
      <c r="O7" s="1"/>
      <c r="P7" s="1"/>
      <c r="Q7" s="1">
        <v>9150</v>
      </c>
      <c r="R7" s="1">
        <v>71244</v>
      </c>
      <c r="T7" s="4" t="s">
        <v>87</v>
      </c>
      <c r="U7">
        <f t="shared" si="0"/>
        <v>15079</v>
      </c>
      <c r="V7" t="str">
        <f t="shared" si="1"/>
        <v>Jonagored</v>
      </c>
      <c r="X7">
        <v>13</v>
      </c>
      <c r="Z7" s="6" t="str">
        <f t="shared" si="2"/>
        <v>mar - Jonagored</v>
      </c>
      <c r="AA7" s="6">
        <f t="shared" si="3"/>
        <v>71244</v>
      </c>
    </row>
    <row r="8" spans="1:27" x14ac:dyDescent="0.25">
      <c r="A8" s="4" t="s">
        <v>88</v>
      </c>
      <c r="B8" s="1">
        <v>9210</v>
      </c>
      <c r="C8" s="1"/>
      <c r="D8" s="1">
        <v>8301</v>
      </c>
      <c r="E8" s="1"/>
      <c r="F8" s="1">
        <v>19404</v>
      </c>
      <c r="G8" s="1">
        <v>6732</v>
      </c>
      <c r="H8" s="1">
        <v>3200</v>
      </c>
      <c r="I8" s="1">
        <v>10493</v>
      </c>
      <c r="J8" s="1">
        <v>11201</v>
      </c>
      <c r="K8" s="1"/>
      <c r="L8" s="1">
        <v>6826</v>
      </c>
      <c r="M8" s="1"/>
      <c r="N8" s="1"/>
      <c r="O8" s="1"/>
      <c r="P8" s="1"/>
      <c r="Q8" s="1">
        <v>6601</v>
      </c>
      <c r="R8" s="1">
        <v>81968</v>
      </c>
      <c r="T8" s="4" t="s">
        <v>88</v>
      </c>
      <c r="U8">
        <f t="shared" si="0"/>
        <v>19404</v>
      </c>
      <c r="V8" t="str">
        <f t="shared" si="1"/>
        <v>Gala</v>
      </c>
      <c r="X8">
        <v>12</v>
      </c>
      <c r="Z8" s="6" t="str">
        <f t="shared" si="2"/>
        <v>kwi - Gala</v>
      </c>
      <c r="AA8" s="6">
        <f t="shared" si="3"/>
        <v>81968</v>
      </c>
    </row>
    <row r="9" spans="1:27" x14ac:dyDescent="0.25">
      <c r="A9" s="4" t="s">
        <v>89</v>
      </c>
      <c r="B9" s="1">
        <v>4407</v>
      </c>
      <c r="C9" s="1"/>
      <c r="D9" s="1">
        <v>3963</v>
      </c>
      <c r="E9" s="1"/>
      <c r="F9" s="1">
        <v>17382</v>
      </c>
      <c r="G9" s="1">
        <v>3260</v>
      </c>
      <c r="H9" s="1">
        <v>5879</v>
      </c>
      <c r="I9" s="1">
        <v>7158</v>
      </c>
      <c r="J9" s="1">
        <v>13218</v>
      </c>
      <c r="K9" s="1"/>
      <c r="L9" s="1">
        <v>4554</v>
      </c>
      <c r="M9" s="1"/>
      <c r="N9" s="1"/>
      <c r="O9" s="1"/>
      <c r="P9" s="1"/>
      <c r="Q9" s="1">
        <v>8349</v>
      </c>
      <c r="R9" s="1">
        <v>68170</v>
      </c>
      <c r="T9" s="4" t="s">
        <v>89</v>
      </c>
      <c r="U9">
        <f t="shared" si="0"/>
        <v>17382</v>
      </c>
      <c r="V9" t="str">
        <f t="shared" si="1"/>
        <v>Gala</v>
      </c>
      <c r="X9">
        <v>11</v>
      </c>
      <c r="Z9" s="6" t="str">
        <f t="shared" si="2"/>
        <v>maj - Gala</v>
      </c>
      <c r="AA9" s="6">
        <f t="shared" si="3"/>
        <v>68170</v>
      </c>
    </row>
    <row r="10" spans="1:27" x14ac:dyDescent="0.25">
      <c r="A10" s="4" t="s">
        <v>90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>
        <v>15987</v>
      </c>
      <c r="O10" s="1">
        <v>17465</v>
      </c>
      <c r="P10" s="1">
        <v>18661</v>
      </c>
      <c r="Q10" s="1"/>
      <c r="R10" s="1">
        <v>52113</v>
      </c>
      <c r="T10" s="4" t="s">
        <v>90</v>
      </c>
      <c r="U10">
        <f t="shared" si="0"/>
        <v>18661</v>
      </c>
      <c r="V10" t="str">
        <f t="shared" si="1"/>
        <v>Reneta</v>
      </c>
      <c r="X10">
        <v>10</v>
      </c>
      <c r="Z10" s="6" t="str">
        <f t="shared" si="2"/>
        <v>cze - Reneta</v>
      </c>
      <c r="AA10" s="6">
        <f t="shared" si="3"/>
        <v>52113</v>
      </c>
    </row>
    <row r="11" spans="1:27" x14ac:dyDescent="0.25">
      <c r="A11" s="4" t="s">
        <v>91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>
        <v>21216</v>
      </c>
      <c r="O11" s="1">
        <v>16871</v>
      </c>
      <c r="P11" s="1">
        <v>15990</v>
      </c>
      <c r="Q11" s="1"/>
      <c r="R11" s="1">
        <v>54077</v>
      </c>
      <c r="T11" s="4" t="s">
        <v>91</v>
      </c>
      <c r="U11">
        <f t="shared" si="0"/>
        <v>21216</v>
      </c>
      <c r="V11" t="str">
        <f t="shared" si="1"/>
        <v>Melba</v>
      </c>
      <c r="X11">
        <v>9</v>
      </c>
      <c r="Z11" s="6" t="str">
        <f t="shared" si="2"/>
        <v>lip - Melba</v>
      </c>
      <c r="AA11" s="6">
        <f t="shared" si="3"/>
        <v>54077</v>
      </c>
    </row>
    <row r="12" spans="1:27" x14ac:dyDescent="0.25">
      <c r="A12" s="4" t="s">
        <v>92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>
        <v>18401</v>
      </c>
      <c r="O12" s="1">
        <v>17018</v>
      </c>
      <c r="P12" s="1">
        <v>19054</v>
      </c>
      <c r="Q12" s="1"/>
      <c r="R12" s="1">
        <v>54473</v>
      </c>
      <c r="T12" s="4" t="s">
        <v>92</v>
      </c>
      <c r="U12">
        <f t="shared" si="0"/>
        <v>19054</v>
      </c>
      <c r="V12" t="str">
        <f t="shared" si="1"/>
        <v>Reneta</v>
      </c>
      <c r="X12">
        <v>8</v>
      </c>
      <c r="Z12" s="6" t="str">
        <f t="shared" si="2"/>
        <v>sie - Reneta</v>
      </c>
      <c r="AA12" s="6">
        <f t="shared" si="3"/>
        <v>54473</v>
      </c>
    </row>
    <row r="13" spans="1:27" x14ac:dyDescent="0.25">
      <c r="A13" s="4" t="s">
        <v>93</v>
      </c>
      <c r="B13" s="1"/>
      <c r="C13" s="1">
        <v>8026</v>
      </c>
      <c r="D13" s="1"/>
      <c r="E13" s="1">
        <v>10206</v>
      </c>
      <c r="F13" s="1"/>
      <c r="G13" s="1"/>
      <c r="H13" s="1"/>
      <c r="I13" s="1"/>
      <c r="J13" s="1"/>
      <c r="K13" s="1">
        <v>8039</v>
      </c>
      <c r="L13" s="1"/>
      <c r="M13" s="1">
        <v>7454</v>
      </c>
      <c r="N13" s="1"/>
      <c r="O13" s="1"/>
      <c r="P13" s="1">
        <v>20881</v>
      </c>
      <c r="Q13" s="1"/>
      <c r="R13" s="1">
        <v>54606</v>
      </c>
      <c r="T13" s="4" t="s">
        <v>93</v>
      </c>
      <c r="U13">
        <f t="shared" si="0"/>
        <v>20881</v>
      </c>
      <c r="V13" t="str">
        <f t="shared" si="1"/>
        <v>Reneta</v>
      </c>
      <c r="X13">
        <v>7</v>
      </c>
      <c r="Z13" s="6" t="str">
        <f t="shared" si="2"/>
        <v>wrz - Reneta</v>
      </c>
      <c r="AA13" s="6">
        <f t="shared" si="3"/>
        <v>54606</v>
      </c>
    </row>
    <row r="14" spans="1:27" x14ac:dyDescent="0.25">
      <c r="A14" s="4" t="s">
        <v>94</v>
      </c>
      <c r="B14" s="1"/>
      <c r="C14" s="1">
        <v>9023</v>
      </c>
      <c r="D14" s="1"/>
      <c r="E14" s="1">
        <v>9997</v>
      </c>
      <c r="F14" s="1"/>
      <c r="G14" s="1"/>
      <c r="H14" s="1"/>
      <c r="I14" s="1"/>
      <c r="J14" s="1"/>
      <c r="K14" s="1">
        <v>10196</v>
      </c>
      <c r="L14" s="1"/>
      <c r="M14" s="1">
        <v>7798</v>
      </c>
      <c r="N14" s="1"/>
      <c r="O14" s="1"/>
      <c r="P14" s="1">
        <v>17065</v>
      </c>
      <c r="Q14" s="1"/>
      <c r="R14" s="1">
        <v>54079</v>
      </c>
      <c r="T14" s="4" t="s">
        <v>94</v>
      </c>
      <c r="U14">
        <f t="shared" si="0"/>
        <v>17065</v>
      </c>
      <c r="V14" t="str">
        <f t="shared" si="1"/>
        <v>Reneta</v>
      </c>
      <c r="X14">
        <v>6</v>
      </c>
      <c r="Z14" s="6" t="str">
        <f t="shared" si="2"/>
        <v>paź - Reneta</v>
      </c>
      <c r="AA14" s="6">
        <f t="shared" si="3"/>
        <v>54079</v>
      </c>
    </row>
    <row r="15" spans="1:27" x14ac:dyDescent="0.25">
      <c r="A15" s="4" t="s">
        <v>95</v>
      </c>
      <c r="B15" s="1"/>
      <c r="C15" s="1">
        <v>7824</v>
      </c>
      <c r="D15" s="1"/>
      <c r="E15" s="1">
        <v>10841</v>
      </c>
      <c r="F15" s="1"/>
      <c r="G15" s="1"/>
      <c r="H15" s="1"/>
      <c r="I15" s="1"/>
      <c r="J15" s="1"/>
      <c r="K15" s="1">
        <v>5750</v>
      </c>
      <c r="L15" s="1"/>
      <c r="M15" s="1">
        <v>10336</v>
      </c>
      <c r="N15" s="1"/>
      <c r="O15" s="1"/>
      <c r="P15" s="1">
        <v>19755</v>
      </c>
      <c r="Q15" s="1"/>
      <c r="R15" s="1">
        <v>54506</v>
      </c>
      <c r="T15" s="4" t="s">
        <v>95</v>
      </c>
      <c r="U15">
        <f t="shared" si="0"/>
        <v>19755</v>
      </c>
      <c r="V15" t="str">
        <f t="shared" si="1"/>
        <v>Reneta</v>
      </c>
      <c r="X15">
        <v>5</v>
      </c>
      <c r="Z15" s="6" t="str">
        <f t="shared" si="2"/>
        <v>lis - Reneta</v>
      </c>
      <c r="AA15" s="6">
        <f t="shared" si="3"/>
        <v>54506</v>
      </c>
    </row>
    <row r="16" spans="1:27" x14ac:dyDescent="0.25">
      <c r="A16" s="4" t="s">
        <v>96</v>
      </c>
      <c r="B16" s="1">
        <v>5165</v>
      </c>
      <c r="C16" s="1"/>
      <c r="D16" s="1">
        <v>6031</v>
      </c>
      <c r="E16" s="1"/>
      <c r="F16" s="1">
        <v>10933</v>
      </c>
      <c r="G16" s="1">
        <v>6493</v>
      </c>
      <c r="H16" s="1">
        <v>6717</v>
      </c>
      <c r="I16" s="1">
        <v>11304</v>
      </c>
      <c r="J16" s="1">
        <v>13425</v>
      </c>
      <c r="K16" s="1"/>
      <c r="L16" s="1">
        <v>9213</v>
      </c>
      <c r="M16" s="1"/>
      <c r="N16" s="1"/>
      <c r="O16" s="1"/>
      <c r="P16" s="1"/>
      <c r="Q16" s="1">
        <v>7668</v>
      </c>
      <c r="R16" s="1">
        <v>76949</v>
      </c>
      <c r="T16" s="4" t="s">
        <v>96</v>
      </c>
      <c r="U16">
        <f t="shared" si="0"/>
        <v>13425</v>
      </c>
      <c r="V16" t="str">
        <f t="shared" si="1"/>
        <v>Jonagored</v>
      </c>
      <c r="X16">
        <v>4</v>
      </c>
      <c r="Z16" s="6" t="str">
        <f t="shared" si="2"/>
        <v>gru - Jonagored</v>
      </c>
      <c r="AA16" s="6">
        <f t="shared" si="3"/>
        <v>76949</v>
      </c>
    </row>
    <row r="17" spans="1:18" x14ac:dyDescent="0.25">
      <c r="A17" s="4" t="s">
        <v>77</v>
      </c>
      <c r="B17" s="1">
        <v>35905</v>
      </c>
      <c r="C17" s="1">
        <v>24873</v>
      </c>
      <c r="D17" s="1">
        <v>35125</v>
      </c>
      <c r="E17" s="1">
        <v>31044</v>
      </c>
      <c r="F17" s="1">
        <v>88938</v>
      </c>
      <c r="G17" s="1">
        <v>31619</v>
      </c>
      <c r="H17" s="1">
        <v>29658</v>
      </c>
      <c r="I17" s="1">
        <v>58229</v>
      </c>
      <c r="J17" s="1">
        <v>73414</v>
      </c>
      <c r="K17" s="1">
        <v>23985</v>
      </c>
      <c r="L17" s="1">
        <v>35386</v>
      </c>
      <c r="M17" s="1">
        <v>25588</v>
      </c>
      <c r="N17" s="1">
        <v>55604</v>
      </c>
      <c r="O17" s="1">
        <v>51354</v>
      </c>
      <c r="P17" s="1">
        <v>111406</v>
      </c>
      <c r="Q17" s="1">
        <v>47051</v>
      </c>
      <c r="R17" s="1">
        <v>759179</v>
      </c>
    </row>
    <row r="19" spans="1:18" x14ac:dyDescent="0.25">
      <c r="B19" s="5" t="s">
        <v>0</v>
      </c>
      <c r="C19" s="5" t="s">
        <v>1</v>
      </c>
      <c r="D19" s="5" t="s">
        <v>2</v>
      </c>
      <c r="E19" s="5" t="s">
        <v>3</v>
      </c>
      <c r="F19" s="5" t="s">
        <v>4</v>
      </c>
      <c r="G19" s="5" t="s">
        <v>5</v>
      </c>
      <c r="H19" s="5" t="s">
        <v>6</v>
      </c>
      <c r="I19" s="5" t="s">
        <v>7</v>
      </c>
      <c r="J19" s="5" t="s">
        <v>8</v>
      </c>
      <c r="K19" s="5" t="s">
        <v>9</v>
      </c>
      <c r="L19" s="5" t="s">
        <v>10</v>
      </c>
      <c r="M19" s="5" t="s">
        <v>11</v>
      </c>
      <c r="N19" s="5" t="s">
        <v>12</v>
      </c>
      <c r="O19" s="5" t="s">
        <v>13</v>
      </c>
      <c r="P19" s="5" t="s">
        <v>14</v>
      </c>
      <c r="Q19" s="5" t="s">
        <v>15</v>
      </c>
    </row>
  </sheetData>
  <conditionalFormatting pivot="1" sqref="B5:Q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6:Q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7:Q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8:Q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9:Q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10:Q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4D9FA-0156-492F-B860-84158727D70C}">
  <dimension ref="A1:K2501"/>
  <sheetViews>
    <sheetView tabSelected="1" topLeftCell="B1" zoomScale="130" zoomScaleNormal="130" workbookViewId="0">
      <selection activeCell="M10" sqref="M10"/>
    </sheetView>
  </sheetViews>
  <sheetFormatPr defaultRowHeight="15" x14ac:dyDescent="0.25"/>
  <cols>
    <col min="1" max="1" width="16.85546875" bestFit="1" customWidth="1"/>
    <col min="2" max="2" width="11.42578125" bestFit="1" customWidth="1"/>
    <col min="3" max="3" width="6.5703125" bestFit="1" customWidth="1"/>
    <col min="4" max="4" width="14.140625" bestFit="1" customWidth="1"/>
    <col min="5" max="5" width="11.140625" bestFit="1" customWidth="1"/>
    <col min="6" max="6" width="11.42578125" bestFit="1" customWidth="1"/>
    <col min="7" max="7" width="10.42578125" bestFit="1" customWidth="1"/>
  </cols>
  <sheetData>
    <row r="1" spans="1:11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81</v>
      </c>
      <c r="G1" t="s">
        <v>98</v>
      </c>
      <c r="H1" t="s">
        <v>99</v>
      </c>
      <c r="I1" t="s">
        <v>100</v>
      </c>
      <c r="K1" s="6" t="s">
        <v>102</v>
      </c>
    </row>
    <row r="2" spans="1:11" x14ac:dyDescent="0.25">
      <c r="A2" s="2">
        <v>44566</v>
      </c>
      <c r="B2" s="1" t="s">
        <v>10</v>
      </c>
      <c r="C2" s="1" t="s">
        <v>16</v>
      </c>
      <c r="D2" s="1" t="s">
        <v>35</v>
      </c>
      <c r="E2">
        <v>110</v>
      </c>
      <c r="F2" s="1">
        <f>VLOOKUP(jablka5[[#This Row],[Nazwa]],cennik[],2,0) * jablka5[[#This Row],[sprzedaż]]</f>
        <v>374</v>
      </c>
      <c r="G2" s="1">
        <f>IF(jablka5[[#This Row],[NIP]]=D1,jablka5[[#This Row],[sprzedaż]]+G1,jablka5[[#This Row],[sprzedaż]])</f>
        <v>110</v>
      </c>
      <c r="H2" s="1">
        <f>IF(jablka5[[#This Row],[dot sprz]]&lt;15000,0,IF(jablka5[[#This Row],[dot sprz]]&lt;20000,5,10))</f>
        <v>0</v>
      </c>
      <c r="I2" s="1">
        <f>jablka5[[#This Row],[rabat]]*jablka5[[#This Row],[sprzedaż]]/100</f>
        <v>0</v>
      </c>
      <c r="K2" s="9">
        <f>COUNTIF(jablka5[rabat],"&lt;&gt;0")</f>
        <v>180</v>
      </c>
    </row>
    <row r="3" spans="1:11" x14ac:dyDescent="0.25">
      <c r="A3" s="2">
        <v>44571</v>
      </c>
      <c r="B3" s="1" t="s">
        <v>7</v>
      </c>
      <c r="C3" s="1" t="s">
        <v>16</v>
      </c>
      <c r="D3" s="1" t="s">
        <v>35</v>
      </c>
      <c r="E3">
        <v>695</v>
      </c>
      <c r="F3" s="1">
        <f>VLOOKUP(jablka5[[#This Row],[Nazwa]],cennik[],2,0) * jablka5[[#This Row],[sprzedaż]]</f>
        <v>2363</v>
      </c>
      <c r="G3" s="1">
        <f>IF(jablka5[[#This Row],[NIP]]=D2,jablka5[[#This Row],[sprzedaż]]+G2,jablka5[[#This Row],[sprzedaż]])</f>
        <v>805</v>
      </c>
      <c r="H3" s="1">
        <f>IF(jablka5[[#This Row],[dot sprz]]&lt;15000,0,IF(jablka5[[#This Row],[dot sprz]]&lt;20000,5,10))</f>
        <v>0</v>
      </c>
      <c r="I3" s="1">
        <f>jablka5[[#This Row],[rabat]]*jablka5[[#This Row],[sprzedaż]]/100</f>
        <v>0</v>
      </c>
      <c r="K3" s="6"/>
    </row>
    <row r="4" spans="1:11" x14ac:dyDescent="0.25">
      <c r="A4" s="2">
        <v>44571</v>
      </c>
      <c r="B4" s="1" t="s">
        <v>15</v>
      </c>
      <c r="C4" s="1" t="s">
        <v>16</v>
      </c>
      <c r="D4" s="1" t="s">
        <v>35</v>
      </c>
      <c r="E4">
        <v>232</v>
      </c>
      <c r="F4" s="1">
        <f>VLOOKUP(jablka5[[#This Row],[Nazwa]],cennik[],2,0) * jablka5[[#This Row],[sprzedaż]]</f>
        <v>556.79999999999995</v>
      </c>
      <c r="G4" s="1">
        <f>IF(jablka5[[#This Row],[NIP]]=D3,jablka5[[#This Row],[sprzedaż]]+G3,jablka5[[#This Row],[sprzedaż]])</f>
        <v>1037</v>
      </c>
      <c r="H4" s="1">
        <f>IF(jablka5[[#This Row],[dot sprz]]&lt;15000,0,IF(jablka5[[#This Row],[dot sprz]]&lt;20000,5,10))</f>
        <v>0</v>
      </c>
      <c r="I4" s="1">
        <f>jablka5[[#This Row],[rabat]]*jablka5[[#This Row],[sprzedaż]]/100</f>
        <v>0</v>
      </c>
      <c r="K4" s="6" t="s">
        <v>101</v>
      </c>
    </row>
    <row r="5" spans="1:11" x14ac:dyDescent="0.25">
      <c r="A5" s="2">
        <v>44580</v>
      </c>
      <c r="B5" s="1" t="s">
        <v>5</v>
      </c>
      <c r="C5" s="1" t="s">
        <v>16</v>
      </c>
      <c r="D5" s="1" t="s">
        <v>35</v>
      </c>
      <c r="E5">
        <v>11</v>
      </c>
      <c r="F5" s="1">
        <f>VLOOKUP(jablka5[[#This Row],[Nazwa]],cennik[],2,0) * jablka5[[#This Row],[sprzedaż]]</f>
        <v>37.4</v>
      </c>
      <c r="G5" s="1">
        <f>IF(jablka5[[#This Row],[NIP]]=D4,jablka5[[#This Row],[sprzedaż]]+G4,jablka5[[#This Row],[sprzedaż]])</f>
        <v>1048</v>
      </c>
      <c r="H5" s="1">
        <f>IF(jablka5[[#This Row],[dot sprz]]&lt;15000,0,IF(jablka5[[#This Row],[dot sprz]]&lt;20000,5,10))</f>
        <v>0</v>
      </c>
      <c r="I5" s="1">
        <f>jablka5[[#This Row],[rabat]]*jablka5[[#This Row],[sprzedaż]]/100</f>
        <v>0</v>
      </c>
      <c r="K5" s="10">
        <f>SUM(I:I)</f>
        <v>3089.0999999999981</v>
      </c>
    </row>
    <row r="6" spans="1:11" x14ac:dyDescent="0.25">
      <c r="A6" s="2">
        <v>44583</v>
      </c>
      <c r="B6" s="1" t="s">
        <v>8</v>
      </c>
      <c r="C6" s="1" t="s">
        <v>16</v>
      </c>
      <c r="D6" s="1" t="s">
        <v>35</v>
      </c>
      <c r="E6">
        <v>590</v>
      </c>
      <c r="F6" s="1">
        <f>VLOOKUP(jablka5[[#This Row],[Nazwa]],cennik[],2,0) * jablka5[[#This Row],[sprzedaż]]</f>
        <v>2065</v>
      </c>
      <c r="G6" s="1">
        <f>IF(jablka5[[#This Row],[NIP]]=D5,jablka5[[#This Row],[sprzedaż]]+G5,jablka5[[#This Row],[sprzedaż]])</f>
        <v>1638</v>
      </c>
      <c r="H6" s="1">
        <f>IF(jablka5[[#This Row],[dot sprz]]&lt;15000,0,IF(jablka5[[#This Row],[dot sprz]]&lt;20000,5,10))</f>
        <v>0</v>
      </c>
      <c r="I6" s="1">
        <f>jablka5[[#This Row],[rabat]]*jablka5[[#This Row],[sprzedaż]]/100</f>
        <v>0</v>
      </c>
    </row>
    <row r="7" spans="1:11" x14ac:dyDescent="0.25">
      <c r="A7" s="2">
        <v>44585</v>
      </c>
      <c r="B7" s="1" t="s">
        <v>8</v>
      </c>
      <c r="C7" s="1" t="s">
        <v>16</v>
      </c>
      <c r="D7" s="1" t="s">
        <v>35</v>
      </c>
      <c r="E7">
        <v>374</v>
      </c>
      <c r="F7" s="1">
        <f>VLOOKUP(jablka5[[#This Row],[Nazwa]],cennik[],2,0) * jablka5[[#This Row],[sprzedaż]]</f>
        <v>1309</v>
      </c>
      <c r="G7" s="1">
        <f>IF(jablka5[[#This Row],[NIP]]=D6,jablka5[[#This Row],[sprzedaż]]+G6,jablka5[[#This Row],[sprzedaż]])</f>
        <v>2012</v>
      </c>
      <c r="H7" s="1">
        <f>IF(jablka5[[#This Row],[dot sprz]]&lt;15000,0,IF(jablka5[[#This Row],[dot sprz]]&lt;20000,5,10))</f>
        <v>0</v>
      </c>
      <c r="I7" s="1">
        <f>jablka5[[#This Row],[rabat]]*jablka5[[#This Row],[sprzedaż]]/100</f>
        <v>0</v>
      </c>
    </row>
    <row r="8" spans="1:11" x14ac:dyDescent="0.25">
      <c r="A8" s="2">
        <v>44586</v>
      </c>
      <c r="B8" s="1" t="s">
        <v>4</v>
      </c>
      <c r="C8" s="1" t="s">
        <v>16</v>
      </c>
      <c r="D8" s="1" t="s">
        <v>35</v>
      </c>
      <c r="E8">
        <v>311</v>
      </c>
      <c r="F8" s="1">
        <f>VLOOKUP(jablka5[[#This Row],[Nazwa]],cennik[],2,0) * jablka5[[#This Row],[sprzedaż]]</f>
        <v>1057.3999999999999</v>
      </c>
      <c r="G8" s="1">
        <f>IF(jablka5[[#This Row],[NIP]]=D7,jablka5[[#This Row],[sprzedaż]]+G7,jablka5[[#This Row],[sprzedaż]])</f>
        <v>2323</v>
      </c>
      <c r="H8" s="1">
        <f>IF(jablka5[[#This Row],[dot sprz]]&lt;15000,0,IF(jablka5[[#This Row],[dot sprz]]&lt;20000,5,10))</f>
        <v>0</v>
      </c>
      <c r="I8" s="1">
        <f>jablka5[[#This Row],[rabat]]*jablka5[[#This Row],[sprzedaż]]/100</f>
        <v>0</v>
      </c>
    </row>
    <row r="9" spans="1:11" x14ac:dyDescent="0.25">
      <c r="A9" s="2">
        <v>44588</v>
      </c>
      <c r="B9" s="1" t="s">
        <v>0</v>
      </c>
      <c r="C9" s="1" t="s">
        <v>16</v>
      </c>
      <c r="D9" s="1" t="s">
        <v>35</v>
      </c>
      <c r="E9">
        <v>415</v>
      </c>
      <c r="F9" s="1">
        <f>VLOOKUP(jablka5[[#This Row],[Nazwa]],cennik[],2,0) * jablka5[[#This Row],[sprzedaż]]</f>
        <v>1203.5</v>
      </c>
      <c r="G9" s="1">
        <f>IF(jablka5[[#This Row],[NIP]]=D8,jablka5[[#This Row],[sprzedaż]]+G8,jablka5[[#This Row],[sprzedaż]])</f>
        <v>2738</v>
      </c>
      <c r="H9" s="1">
        <f>IF(jablka5[[#This Row],[dot sprz]]&lt;15000,0,IF(jablka5[[#This Row],[dot sprz]]&lt;20000,5,10))</f>
        <v>0</v>
      </c>
      <c r="I9" s="1">
        <f>jablka5[[#This Row],[rabat]]*jablka5[[#This Row],[sprzedaż]]/100</f>
        <v>0</v>
      </c>
    </row>
    <row r="10" spans="1:11" x14ac:dyDescent="0.25">
      <c r="A10" s="2">
        <v>44589</v>
      </c>
      <c r="B10" s="1" t="s">
        <v>10</v>
      </c>
      <c r="C10" s="1" t="s">
        <v>16</v>
      </c>
      <c r="D10" s="1" t="s">
        <v>35</v>
      </c>
      <c r="E10">
        <v>81</v>
      </c>
      <c r="F10" s="1">
        <f>VLOOKUP(jablka5[[#This Row],[Nazwa]],cennik[],2,0) * jablka5[[#This Row],[sprzedaż]]</f>
        <v>275.39999999999998</v>
      </c>
      <c r="G10" s="1">
        <f>IF(jablka5[[#This Row],[NIP]]=D9,jablka5[[#This Row],[sprzedaż]]+G9,jablka5[[#This Row],[sprzedaż]])</f>
        <v>2819</v>
      </c>
      <c r="H10" s="1">
        <f>IF(jablka5[[#This Row],[dot sprz]]&lt;15000,0,IF(jablka5[[#This Row],[dot sprz]]&lt;20000,5,10))</f>
        <v>0</v>
      </c>
      <c r="I10" s="1">
        <f>jablka5[[#This Row],[rabat]]*jablka5[[#This Row],[sprzedaż]]/100</f>
        <v>0</v>
      </c>
    </row>
    <row r="11" spans="1:11" x14ac:dyDescent="0.25">
      <c r="A11" s="2">
        <v>44599</v>
      </c>
      <c r="B11" s="1" t="s">
        <v>4</v>
      </c>
      <c r="C11" s="1" t="s">
        <v>16</v>
      </c>
      <c r="D11" s="1" t="s">
        <v>35</v>
      </c>
      <c r="E11">
        <v>675</v>
      </c>
      <c r="F11" s="1">
        <f>VLOOKUP(jablka5[[#This Row],[Nazwa]],cennik[],2,0) * jablka5[[#This Row],[sprzedaż]]</f>
        <v>2295</v>
      </c>
      <c r="G11" s="1">
        <f>IF(jablka5[[#This Row],[NIP]]=D10,jablka5[[#This Row],[sprzedaż]]+G10,jablka5[[#This Row],[sprzedaż]])</f>
        <v>3494</v>
      </c>
      <c r="H11" s="1">
        <f>IF(jablka5[[#This Row],[dot sprz]]&lt;15000,0,IF(jablka5[[#This Row],[dot sprz]]&lt;20000,5,10))</f>
        <v>0</v>
      </c>
      <c r="I11" s="1">
        <f>jablka5[[#This Row],[rabat]]*jablka5[[#This Row],[sprzedaż]]/100</f>
        <v>0</v>
      </c>
    </row>
    <row r="12" spans="1:11" x14ac:dyDescent="0.25">
      <c r="A12" s="2">
        <v>44613</v>
      </c>
      <c r="B12" s="1" t="s">
        <v>10</v>
      </c>
      <c r="C12" s="1" t="s">
        <v>16</v>
      </c>
      <c r="D12" s="1" t="s">
        <v>35</v>
      </c>
      <c r="E12">
        <v>130</v>
      </c>
      <c r="F12" s="1">
        <f>VLOOKUP(jablka5[[#This Row],[Nazwa]],cennik[],2,0) * jablka5[[#This Row],[sprzedaż]]</f>
        <v>442</v>
      </c>
      <c r="G12" s="1">
        <f>IF(jablka5[[#This Row],[NIP]]=D11,jablka5[[#This Row],[sprzedaż]]+G11,jablka5[[#This Row],[sprzedaż]])</f>
        <v>3624</v>
      </c>
      <c r="H12" s="1">
        <f>IF(jablka5[[#This Row],[dot sprz]]&lt;15000,0,IF(jablka5[[#This Row],[dot sprz]]&lt;20000,5,10))</f>
        <v>0</v>
      </c>
      <c r="I12" s="1">
        <f>jablka5[[#This Row],[rabat]]*jablka5[[#This Row],[sprzedaż]]/100</f>
        <v>0</v>
      </c>
    </row>
    <row r="13" spans="1:11" x14ac:dyDescent="0.25">
      <c r="A13" s="2">
        <v>44614</v>
      </c>
      <c r="B13" s="1" t="s">
        <v>8</v>
      </c>
      <c r="C13" s="1" t="s">
        <v>16</v>
      </c>
      <c r="D13" s="1" t="s">
        <v>35</v>
      </c>
      <c r="E13">
        <v>599</v>
      </c>
      <c r="F13" s="1">
        <f>VLOOKUP(jablka5[[#This Row],[Nazwa]],cennik[],2,0) * jablka5[[#This Row],[sprzedaż]]</f>
        <v>2096.5</v>
      </c>
      <c r="G13" s="1">
        <f>IF(jablka5[[#This Row],[NIP]]=D12,jablka5[[#This Row],[sprzedaż]]+G12,jablka5[[#This Row],[sprzedaż]])</f>
        <v>4223</v>
      </c>
      <c r="H13" s="1">
        <f>IF(jablka5[[#This Row],[dot sprz]]&lt;15000,0,IF(jablka5[[#This Row],[dot sprz]]&lt;20000,5,10))</f>
        <v>0</v>
      </c>
      <c r="I13" s="1">
        <f>jablka5[[#This Row],[rabat]]*jablka5[[#This Row],[sprzedaż]]/100</f>
        <v>0</v>
      </c>
    </row>
    <row r="14" spans="1:11" x14ac:dyDescent="0.25">
      <c r="A14" s="2">
        <v>44621</v>
      </c>
      <c r="B14" s="1" t="s">
        <v>7</v>
      </c>
      <c r="C14" s="1" t="s">
        <v>16</v>
      </c>
      <c r="D14" s="1" t="s">
        <v>35</v>
      </c>
      <c r="E14">
        <v>320</v>
      </c>
      <c r="F14" s="1">
        <f>VLOOKUP(jablka5[[#This Row],[Nazwa]],cennik[],2,0) * jablka5[[#This Row],[sprzedaż]]</f>
        <v>1088</v>
      </c>
      <c r="G14" s="1">
        <f>IF(jablka5[[#This Row],[NIP]]=D13,jablka5[[#This Row],[sprzedaż]]+G13,jablka5[[#This Row],[sprzedaż]])</f>
        <v>4543</v>
      </c>
      <c r="H14" s="1">
        <f>IF(jablka5[[#This Row],[dot sprz]]&lt;15000,0,IF(jablka5[[#This Row],[dot sprz]]&lt;20000,5,10))</f>
        <v>0</v>
      </c>
      <c r="I14" s="1">
        <f>jablka5[[#This Row],[rabat]]*jablka5[[#This Row],[sprzedaż]]/100</f>
        <v>0</v>
      </c>
    </row>
    <row r="15" spans="1:11" x14ac:dyDescent="0.25">
      <c r="A15" s="2">
        <v>44636</v>
      </c>
      <c r="B15" s="1" t="s">
        <v>6</v>
      </c>
      <c r="C15" s="1" t="s">
        <v>16</v>
      </c>
      <c r="D15" s="1" t="s">
        <v>35</v>
      </c>
      <c r="E15">
        <v>344</v>
      </c>
      <c r="F15" s="1">
        <f>VLOOKUP(jablka5[[#This Row],[Nazwa]],cennik[],2,0) * jablka5[[#This Row],[sprzedaż]]</f>
        <v>1169.5999999999999</v>
      </c>
      <c r="G15" s="1">
        <f>IF(jablka5[[#This Row],[NIP]]=D14,jablka5[[#This Row],[sprzedaż]]+G14,jablka5[[#This Row],[sprzedaż]])</f>
        <v>4887</v>
      </c>
      <c r="H15" s="1">
        <f>IF(jablka5[[#This Row],[dot sprz]]&lt;15000,0,IF(jablka5[[#This Row],[dot sprz]]&lt;20000,5,10))</f>
        <v>0</v>
      </c>
      <c r="I15" s="1">
        <f>jablka5[[#This Row],[rabat]]*jablka5[[#This Row],[sprzedaż]]/100</f>
        <v>0</v>
      </c>
    </row>
    <row r="16" spans="1:11" x14ac:dyDescent="0.25">
      <c r="A16" s="2">
        <v>44637</v>
      </c>
      <c r="B16" s="1" t="s">
        <v>8</v>
      </c>
      <c r="C16" s="1" t="s">
        <v>16</v>
      </c>
      <c r="D16" s="1" t="s">
        <v>35</v>
      </c>
      <c r="E16">
        <v>556</v>
      </c>
      <c r="F16" s="1">
        <f>VLOOKUP(jablka5[[#This Row],[Nazwa]],cennik[],2,0) * jablka5[[#This Row],[sprzedaż]]</f>
        <v>1946</v>
      </c>
      <c r="G16" s="1">
        <f>IF(jablka5[[#This Row],[NIP]]=D15,jablka5[[#This Row],[sprzedaż]]+G15,jablka5[[#This Row],[sprzedaż]])</f>
        <v>5443</v>
      </c>
      <c r="H16" s="1">
        <f>IF(jablka5[[#This Row],[dot sprz]]&lt;15000,0,IF(jablka5[[#This Row],[dot sprz]]&lt;20000,5,10))</f>
        <v>0</v>
      </c>
      <c r="I16" s="1">
        <f>jablka5[[#This Row],[rabat]]*jablka5[[#This Row],[sprzedaż]]/100</f>
        <v>0</v>
      </c>
    </row>
    <row r="17" spans="1:9" x14ac:dyDescent="0.25">
      <c r="A17" s="2">
        <v>44648</v>
      </c>
      <c r="B17" s="1" t="s">
        <v>5</v>
      </c>
      <c r="C17" s="1" t="s">
        <v>16</v>
      </c>
      <c r="D17" s="1" t="s">
        <v>35</v>
      </c>
      <c r="E17">
        <v>417</v>
      </c>
      <c r="F17" s="1">
        <f>VLOOKUP(jablka5[[#This Row],[Nazwa]],cennik[],2,0) * jablka5[[#This Row],[sprzedaż]]</f>
        <v>1417.8</v>
      </c>
      <c r="G17" s="1">
        <f>IF(jablka5[[#This Row],[NIP]]=D16,jablka5[[#This Row],[sprzedaż]]+G16,jablka5[[#This Row],[sprzedaż]])</f>
        <v>5860</v>
      </c>
      <c r="H17" s="1">
        <f>IF(jablka5[[#This Row],[dot sprz]]&lt;15000,0,IF(jablka5[[#This Row],[dot sprz]]&lt;20000,5,10))</f>
        <v>0</v>
      </c>
      <c r="I17" s="1">
        <f>jablka5[[#This Row],[rabat]]*jablka5[[#This Row],[sprzedaż]]/100</f>
        <v>0</v>
      </c>
    </row>
    <row r="18" spans="1:9" x14ac:dyDescent="0.25">
      <c r="A18" s="2">
        <v>44652</v>
      </c>
      <c r="B18" s="1" t="s">
        <v>7</v>
      </c>
      <c r="C18" s="1" t="s">
        <v>16</v>
      </c>
      <c r="D18" s="1" t="s">
        <v>35</v>
      </c>
      <c r="E18">
        <v>389</v>
      </c>
      <c r="F18" s="1">
        <f>VLOOKUP(jablka5[[#This Row],[Nazwa]],cennik[],2,0) * jablka5[[#This Row],[sprzedaż]]</f>
        <v>1322.6</v>
      </c>
      <c r="G18" s="1">
        <f>IF(jablka5[[#This Row],[NIP]]=D17,jablka5[[#This Row],[sprzedaż]]+G17,jablka5[[#This Row],[sprzedaż]])</f>
        <v>6249</v>
      </c>
      <c r="H18" s="1">
        <f>IF(jablka5[[#This Row],[dot sprz]]&lt;15000,0,IF(jablka5[[#This Row],[dot sprz]]&lt;20000,5,10))</f>
        <v>0</v>
      </c>
      <c r="I18" s="1">
        <f>jablka5[[#This Row],[rabat]]*jablka5[[#This Row],[sprzedaż]]/100</f>
        <v>0</v>
      </c>
    </row>
    <row r="19" spans="1:9" x14ac:dyDescent="0.25">
      <c r="A19" s="2">
        <v>44655</v>
      </c>
      <c r="B19" s="1" t="s">
        <v>8</v>
      </c>
      <c r="C19" s="1" t="s">
        <v>16</v>
      </c>
      <c r="D19" s="1" t="s">
        <v>35</v>
      </c>
      <c r="E19">
        <v>249</v>
      </c>
      <c r="F19" s="1">
        <f>VLOOKUP(jablka5[[#This Row],[Nazwa]],cennik[],2,0) * jablka5[[#This Row],[sprzedaż]]</f>
        <v>871.5</v>
      </c>
      <c r="G19" s="1">
        <f>IF(jablka5[[#This Row],[NIP]]=D18,jablka5[[#This Row],[sprzedaż]]+G18,jablka5[[#This Row],[sprzedaż]])</f>
        <v>6498</v>
      </c>
      <c r="H19" s="1">
        <f>IF(jablka5[[#This Row],[dot sprz]]&lt;15000,0,IF(jablka5[[#This Row],[dot sprz]]&lt;20000,5,10))</f>
        <v>0</v>
      </c>
      <c r="I19" s="1">
        <f>jablka5[[#This Row],[rabat]]*jablka5[[#This Row],[sprzedaż]]/100</f>
        <v>0</v>
      </c>
    </row>
    <row r="20" spans="1:9" x14ac:dyDescent="0.25">
      <c r="A20" s="2">
        <v>44665</v>
      </c>
      <c r="B20" s="1" t="s">
        <v>2</v>
      </c>
      <c r="C20" s="1" t="s">
        <v>16</v>
      </c>
      <c r="D20" s="1" t="s">
        <v>35</v>
      </c>
      <c r="E20">
        <v>397</v>
      </c>
      <c r="F20" s="1">
        <f>VLOOKUP(jablka5[[#This Row],[Nazwa]],cennik[],2,0) * jablka5[[#This Row],[sprzedaż]]</f>
        <v>1270.4000000000001</v>
      </c>
      <c r="G20" s="1">
        <f>IF(jablka5[[#This Row],[NIP]]=D19,jablka5[[#This Row],[sprzedaż]]+G19,jablka5[[#This Row],[sprzedaż]])</f>
        <v>6895</v>
      </c>
      <c r="H20" s="1">
        <f>IF(jablka5[[#This Row],[dot sprz]]&lt;15000,0,IF(jablka5[[#This Row],[dot sprz]]&lt;20000,5,10))</f>
        <v>0</v>
      </c>
      <c r="I20" s="1">
        <f>jablka5[[#This Row],[rabat]]*jablka5[[#This Row],[sprzedaż]]/100</f>
        <v>0</v>
      </c>
    </row>
    <row r="21" spans="1:9" x14ac:dyDescent="0.25">
      <c r="A21" s="2">
        <v>44666</v>
      </c>
      <c r="B21" s="1" t="s">
        <v>8</v>
      </c>
      <c r="C21" s="1" t="s">
        <v>16</v>
      </c>
      <c r="D21" s="1" t="s">
        <v>35</v>
      </c>
      <c r="E21">
        <v>463</v>
      </c>
      <c r="F21" s="1">
        <f>VLOOKUP(jablka5[[#This Row],[Nazwa]],cennik[],2,0) * jablka5[[#This Row],[sprzedaż]]</f>
        <v>1620.5</v>
      </c>
      <c r="G21" s="1">
        <f>IF(jablka5[[#This Row],[NIP]]=D20,jablka5[[#This Row],[sprzedaż]]+G20,jablka5[[#This Row],[sprzedaż]])</f>
        <v>7358</v>
      </c>
      <c r="H21" s="1">
        <f>IF(jablka5[[#This Row],[dot sprz]]&lt;15000,0,IF(jablka5[[#This Row],[dot sprz]]&lt;20000,5,10))</f>
        <v>0</v>
      </c>
      <c r="I21" s="1">
        <f>jablka5[[#This Row],[rabat]]*jablka5[[#This Row],[sprzedaż]]/100</f>
        <v>0</v>
      </c>
    </row>
    <row r="22" spans="1:9" x14ac:dyDescent="0.25">
      <c r="A22" s="2">
        <v>44683</v>
      </c>
      <c r="B22" s="1" t="s">
        <v>2</v>
      </c>
      <c r="C22" s="1" t="s">
        <v>16</v>
      </c>
      <c r="D22" s="1" t="s">
        <v>35</v>
      </c>
      <c r="E22">
        <v>52</v>
      </c>
      <c r="F22" s="1">
        <f>VLOOKUP(jablka5[[#This Row],[Nazwa]],cennik[],2,0) * jablka5[[#This Row],[sprzedaż]]</f>
        <v>166.4</v>
      </c>
      <c r="G22" s="1">
        <f>IF(jablka5[[#This Row],[NIP]]=D21,jablka5[[#This Row],[sprzedaż]]+G21,jablka5[[#This Row],[sprzedaż]])</f>
        <v>7410</v>
      </c>
      <c r="H22" s="1">
        <f>IF(jablka5[[#This Row],[dot sprz]]&lt;15000,0,IF(jablka5[[#This Row],[dot sprz]]&lt;20000,5,10))</f>
        <v>0</v>
      </c>
      <c r="I22" s="1">
        <f>jablka5[[#This Row],[rabat]]*jablka5[[#This Row],[sprzedaż]]/100</f>
        <v>0</v>
      </c>
    </row>
    <row r="23" spans="1:9" x14ac:dyDescent="0.25">
      <c r="A23" s="2">
        <v>44700</v>
      </c>
      <c r="B23" s="1" t="s">
        <v>6</v>
      </c>
      <c r="C23" s="1" t="s">
        <v>16</v>
      </c>
      <c r="D23" s="1" t="s">
        <v>35</v>
      </c>
      <c r="E23">
        <v>225</v>
      </c>
      <c r="F23" s="1">
        <f>VLOOKUP(jablka5[[#This Row],[Nazwa]],cennik[],2,0) * jablka5[[#This Row],[sprzedaż]]</f>
        <v>765</v>
      </c>
      <c r="G23" s="1">
        <f>IF(jablka5[[#This Row],[NIP]]=D22,jablka5[[#This Row],[sprzedaż]]+G22,jablka5[[#This Row],[sprzedaż]])</f>
        <v>7635</v>
      </c>
      <c r="H23" s="1">
        <f>IF(jablka5[[#This Row],[dot sprz]]&lt;15000,0,IF(jablka5[[#This Row],[dot sprz]]&lt;20000,5,10))</f>
        <v>0</v>
      </c>
      <c r="I23" s="1">
        <f>jablka5[[#This Row],[rabat]]*jablka5[[#This Row],[sprzedaż]]/100</f>
        <v>0</v>
      </c>
    </row>
    <row r="24" spans="1:9" x14ac:dyDescent="0.25">
      <c r="A24" s="2">
        <v>44720</v>
      </c>
      <c r="B24" s="1" t="s">
        <v>13</v>
      </c>
      <c r="C24" s="1" t="s">
        <v>68</v>
      </c>
      <c r="D24" s="1" t="s">
        <v>35</v>
      </c>
      <c r="E24">
        <v>325</v>
      </c>
      <c r="F24" s="1">
        <f>VLOOKUP(jablka5[[#This Row],[Nazwa]],cennik[],2,0) * jablka5[[#This Row],[sprzedaż]]</f>
        <v>1040</v>
      </c>
      <c r="G24" s="1">
        <f>IF(jablka5[[#This Row],[NIP]]=D23,jablka5[[#This Row],[sprzedaż]]+G23,jablka5[[#This Row],[sprzedaż]])</f>
        <v>7960</v>
      </c>
      <c r="H24" s="1">
        <f>IF(jablka5[[#This Row],[dot sprz]]&lt;15000,0,IF(jablka5[[#This Row],[dot sprz]]&lt;20000,5,10))</f>
        <v>0</v>
      </c>
      <c r="I24" s="1">
        <f>jablka5[[#This Row],[rabat]]*jablka5[[#This Row],[sprzedaż]]/100</f>
        <v>0</v>
      </c>
    </row>
    <row r="25" spans="1:9" x14ac:dyDescent="0.25">
      <c r="A25" s="2">
        <v>44721</v>
      </c>
      <c r="B25" s="1" t="s">
        <v>14</v>
      </c>
      <c r="C25" s="1" t="s">
        <v>67</v>
      </c>
      <c r="D25" s="1" t="s">
        <v>35</v>
      </c>
      <c r="E25">
        <v>52</v>
      </c>
      <c r="F25" s="1">
        <f>VLOOKUP(jablka5[[#This Row],[Nazwa]],cennik[],2,0) * jablka5[[#This Row],[sprzedaż]]</f>
        <v>182</v>
      </c>
      <c r="G25" s="1">
        <f>IF(jablka5[[#This Row],[NIP]]=D24,jablka5[[#This Row],[sprzedaż]]+G24,jablka5[[#This Row],[sprzedaż]])</f>
        <v>8012</v>
      </c>
      <c r="H25" s="1">
        <f>IF(jablka5[[#This Row],[dot sprz]]&lt;15000,0,IF(jablka5[[#This Row],[dot sprz]]&lt;20000,5,10))</f>
        <v>0</v>
      </c>
      <c r="I25" s="1">
        <f>jablka5[[#This Row],[rabat]]*jablka5[[#This Row],[sprzedaż]]/100</f>
        <v>0</v>
      </c>
    </row>
    <row r="26" spans="1:9" x14ac:dyDescent="0.25">
      <c r="A26" s="2">
        <v>44760</v>
      </c>
      <c r="B26" s="1" t="s">
        <v>14</v>
      </c>
      <c r="C26" s="1" t="s">
        <v>67</v>
      </c>
      <c r="D26" s="1" t="s">
        <v>35</v>
      </c>
      <c r="E26">
        <v>343</v>
      </c>
      <c r="F26" s="1">
        <f>VLOOKUP(jablka5[[#This Row],[Nazwa]],cennik[],2,0) * jablka5[[#This Row],[sprzedaż]]</f>
        <v>1200.5</v>
      </c>
      <c r="G26" s="1">
        <f>IF(jablka5[[#This Row],[NIP]]=D25,jablka5[[#This Row],[sprzedaż]]+G25,jablka5[[#This Row],[sprzedaż]])</f>
        <v>8355</v>
      </c>
      <c r="H26" s="1">
        <f>IF(jablka5[[#This Row],[dot sprz]]&lt;15000,0,IF(jablka5[[#This Row],[dot sprz]]&lt;20000,5,10))</f>
        <v>0</v>
      </c>
      <c r="I26" s="1">
        <f>jablka5[[#This Row],[rabat]]*jablka5[[#This Row],[sprzedaż]]/100</f>
        <v>0</v>
      </c>
    </row>
    <row r="27" spans="1:9" x14ac:dyDescent="0.25">
      <c r="A27" s="2">
        <v>44765</v>
      </c>
      <c r="B27" s="1" t="s">
        <v>14</v>
      </c>
      <c r="C27" s="1" t="s">
        <v>67</v>
      </c>
      <c r="D27" s="1" t="s">
        <v>35</v>
      </c>
      <c r="E27">
        <v>449</v>
      </c>
      <c r="F27" s="1">
        <f>VLOOKUP(jablka5[[#This Row],[Nazwa]],cennik[],2,0) * jablka5[[#This Row],[sprzedaż]]</f>
        <v>1571.5</v>
      </c>
      <c r="G27" s="1">
        <f>IF(jablka5[[#This Row],[NIP]]=D26,jablka5[[#This Row],[sprzedaż]]+G26,jablka5[[#This Row],[sprzedaż]])</f>
        <v>8804</v>
      </c>
      <c r="H27" s="1">
        <f>IF(jablka5[[#This Row],[dot sprz]]&lt;15000,0,IF(jablka5[[#This Row],[dot sprz]]&lt;20000,5,10))</f>
        <v>0</v>
      </c>
      <c r="I27" s="1">
        <f>jablka5[[#This Row],[rabat]]*jablka5[[#This Row],[sprzedaż]]/100</f>
        <v>0</v>
      </c>
    </row>
    <row r="28" spans="1:9" x14ac:dyDescent="0.25">
      <c r="A28" s="2">
        <v>44771</v>
      </c>
      <c r="B28" s="1" t="s">
        <v>12</v>
      </c>
      <c r="C28" s="1" t="s">
        <v>68</v>
      </c>
      <c r="D28" s="1" t="s">
        <v>35</v>
      </c>
      <c r="E28">
        <v>434</v>
      </c>
      <c r="F28" s="1">
        <f>VLOOKUP(jablka5[[#This Row],[Nazwa]],cennik[],2,0) * jablka5[[#This Row],[sprzedaż]]</f>
        <v>1171.8000000000002</v>
      </c>
      <c r="G28" s="1">
        <f>IF(jablka5[[#This Row],[NIP]]=D27,jablka5[[#This Row],[sprzedaż]]+G27,jablka5[[#This Row],[sprzedaż]])</f>
        <v>9238</v>
      </c>
      <c r="H28" s="1">
        <f>IF(jablka5[[#This Row],[dot sprz]]&lt;15000,0,IF(jablka5[[#This Row],[dot sprz]]&lt;20000,5,10))</f>
        <v>0</v>
      </c>
      <c r="I28" s="1">
        <f>jablka5[[#This Row],[rabat]]*jablka5[[#This Row],[sprzedaż]]/100</f>
        <v>0</v>
      </c>
    </row>
    <row r="29" spans="1:9" x14ac:dyDescent="0.25">
      <c r="A29" s="2">
        <v>44778</v>
      </c>
      <c r="B29" s="1" t="s">
        <v>12</v>
      </c>
      <c r="C29" s="1" t="s">
        <v>68</v>
      </c>
      <c r="D29" s="1" t="s">
        <v>35</v>
      </c>
      <c r="E29">
        <v>104</v>
      </c>
      <c r="F29" s="1">
        <f>VLOOKUP(jablka5[[#This Row],[Nazwa]],cennik[],2,0) * jablka5[[#This Row],[sprzedaż]]</f>
        <v>280.8</v>
      </c>
      <c r="G29" s="1">
        <f>IF(jablka5[[#This Row],[NIP]]=D28,jablka5[[#This Row],[sprzedaż]]+G28,jablka5[[#This Row],[sprzedaż]])</f>
        <v>9342</v>
      </c>
      <c r="H29" s="1">
        <f>IF(jablka5[[#This Row],[dot sprz]]&lt;15000,0,IF(jablka5[[#This Row],[dot sprz]]&lt;20000,5,10))</f>
        <v>0</v>
      </c>
      <c r="I29" s="1">
        <f>jablka5[[#This Row],[rabat]]*jablka5[[#This Row],[sprzedaż]]/100</f>
        <v>0</v>
      </c>
    </row>
    <row r="30" spans="1:9" x14ac:dyDescent="0.25">
      <c r="A30" s="2">
        <v>44778</v>
      </c>
      <c r="B30" s="1" t="s">
        <v>14</v>
      </c>
      <c r="C30" s="1" t="s">
        <v>67</v>
      </c>
      <c r="D30" s="1" t="s">
        <v>35</v>
      </c>
      <c r="E30">
        <v>146</v>
      </c>
      <c r="F30" s="1">
        <f>VLOOKUP(jablka5[[#This Row],[Nazwa]],cennik[],2,0) * jablka5[[#This Row],[sprzedaż]]</f>
        <v>511</v>
      </c>
      <c r="G30" s="1">
        <f>IF(jablka5[[#This Row],[NIP]]=D29,jablka5[[#This Row],[sprzedaż]]+G29,jablka5[[#This Row],[sprzedaż]])</f>
        <v>9488</v>
      </c>
      <c r="H30" s="1">
        <f>IF(jablka5[[#This Row],[dot sprz]]&lt;15000,0,IF(jablka5[[#This Row],[dot sprz]]&lt;20000,5,10))</f>
        <v>0</v>
      </c>
      <c r="I30" s="1">
        <f>jablka5[[#This Row],[rabat]]*jablka5[[#This Row],[sprzedaż]]/100</f>
        <v>0</v>
      </c>
    </row>
    <row r="31" spans="1:9" x14ac:dyDescent="0.25">
      <c r="A31" s="2">
        <v>44784</v>
      </c>
      <c r="B31" s="1" t="s">
        <v>12</v>
      </c>
      <c r="C31" s="1" t="s">
        <v>68</v>
      </c>
      <c r="D31" s="1" t="s">
        <v>35</v>
      </c>
      <c r="E31">
        <v>34</v>
      </c>
      <c r="F31" s="1">
        <f>VLOOKUP(jablka5[[#This Row],[Nazwa]],cennik[],2,0) * jablka5[[#This Row],[sprzedaż]]</f>
        <v>91.800000000000011</v>
      </c>
      <c r="G31" s="1">
        <f>IF(jablka5[[#This Row],[NIP]]=D30,jablka5[[#This Row],[sprzedaż]]+G30,jablka5[[#This Row],[sprzedaż]])</f>
        <v>9522</v>
      </c>
      <c r="H31" s="1">
        <f>IF(jablka5[[#This Row],[dot sprz]]&lt;15000,0,IF(jablka5[[#This Row],[dot sprz]]&lt;20000,5,10))</f>
        <v>0</v>
      </c>
      <c r="I31" s="1">
        <f>jablka5[[#This Row],[rabat]]*jablka5[[#This Row],[sprzedaż]]/100</f>
        <v>0</v>
      </c>
    </row>
    <row r="32" spans="1:9" x14ac:dyDescent="0.25">
      <c r="A32" s="2">
        <v>44795</v>
      </c>
      <c r="B32" s="1" t="s">
        <v>12</v>
      </c>
      <c r="C32" s="1" t="s">
        <v>68</v>
      </c>
      <c r="D32" s="1" t="s">
        <v>35</v>
      </c>
      <c r="E32">
        <v>240</v>
      </c>
      <c r="F32" s="1">
        <f>VLOOKUP(jablka5[[#This Row],[Nazwa]],cennik[],2,0) * jablka5[[#This Row],[sprzedaż]]</f>
        <v>648</v>
      </c>
      <c r="G32" s="1">
        <f>IF(jablka5[[#This Row],[NIP]]=D31,jablka5[[#This Row],[sprzedaż]]+G31,jablka5[[#This Row],[sprzedaż]])</f>
        <v>9762</v>
      </c>
      <c r="H32" s="1">
        <f>IF(jablka5[[#This Row],[dot sprz]]&lt;15000,0,IF(jablka5[[#This Row],[dot sprz]]&lt;20000,5,10))</f>
        <v>0</v>
      </c>
      <c r="I32" s="1">
        <f>jablka5[[#This Row],[rabat]]*jablka5[[#This Row],[sprzedaż]]/100</f>
        <v>0</v>
      </c>
    </row>
    <row r="33" spans="1:9" x14ac:dyDescent="0.25">
      <c r="A33" s="2">
        <v>44795</v>
      </c>
      <c r="B33" s="1" t="s">
        <v>14</v>
      </c>
      <c r="C33" s="1" t="s">
        <v>67</v>
      </c>
      <c r="D33" s="1" t="s">
        <v>35</v>
      </c>
      <c r="E33">
        <v>217</v>
      </c>
      <c r="F33" s="1">
        <f>VLOOKUP(jablka5[[#This Row],[Nazwa]],cennik[],2,0) * jablka5[[#This Row],[sprzedaż]]</f>
        <v>759.5</v>
      </c>
      <c r="G33" s="1">
        <f>IF(jablka5[[#This Row],[NIP]]=D32,jablka5[[#This Row],[sprzedaż]]+G32,jablka5[[#This Row],[sprzedaż]])</f>
        <v>9979</v>
      </c>
      <c r="H33" s="1">
        <f>IF(jablka5[[#This Row],[dot sprz]]&lt;15000,0,IF(jablka5[[#This Row],[dot sprz]]&lt;20000,5,10))</f>
        <v>0</v>
      </c>
      <c r="I33" s="1">
        <f>jablka5[[#This Row],[rabat]]*jablka5[[#This Row],[sprzedaż]]/100</f>
        <v>0</v>
      </c>
    </row>
    <row r="34" spans="1:9" x14ac:dyDescent="0.25">
      <c r="A34" s="2">
        <v>44802</v>
      </c>
      <c r="B34" s="1" t="s">
        <v>13</v>
      </c>
      <c r="C34" s="1" t="s">
        <v>68</v>
      </c>
      <c r="D34" s="1" t="s">
        <v>35</v>
      </c>
      <c r="E34">
        <v>319</v>
      </c>
      <c r="F34" s="1">
        <f>VLOOKUP(jablka5[[#This Row],[Nazwa]],cennik[],2,0) * jablka5[[#This Row],[sprzedaż]]</f>
        <v>1020.8000000000001</v>
      </c>
      <c r="G34" s="1">
        <f>IF(jablka5[[#This Row],[NIP]]=D33,jablka5[[#This Row],[sprzedaż]]+G33,jablka5[[#This Row],[sprzedaż]])</f>
        <v>10298</v>
      </c>
      <c r="H34" s="1">
        <f>IF(jablka5[[#This Row],[dot sprz]]&lt;15000,0,IF(jablka5[[#This Row],[dot sprz]]&lt;20000,5,10))</f>
        <v>0</v>
      </c>
      <c r="I34" s="1">
        <f>jablka5[[#This Row],[rabat]]*jablka5[[#This Row],[sprzedaż]]/100</f>
        <v>0</v>
      </c>
    </row>
    <row r="35" spans="1:9" x14ac:dyDescent="0.25">
      <c r="A35" s="2">
        <v>44810</v>
      </c>
      <c r="B35" s="1" t="s">
        <v>11</v>
      </c>
      <c r="C35" s="1" t="s">
        <v>67</v>
      </c>
      <c r="D35" s="1" t="s">
        <v>35</v>
      </c>
      <c r="E35">
        <v>20</v>
      </c>
      <c r="F35" s="1">
        <f>VLOOKUP(jablka5[[#This Row],[Nazwa]],cennik[],2,0) * jablka5[[#This Row],[sprzedaż]]</f>
        <v>50</v>
      </c>
      <c r="G35" s="1">
        <f>IF(jablka5[[#This Row],[NIP]]=D34,jablka5[[#This Row],[sprzedaż]]+G34,jablka5[[#This Row],[sprzedaż]])</f>
        <v>10318</v>
      </c>
      <c r="H35" s="1">
        <f>IF(jablka5[[#This Row],[dot sprz]]&lt;15000,0,IF(jablka5[[#This Row],[dot sprz]]&lt;20000,5,10))</f>
        <v>0</v>
      </c>
      <c r="I35" s="1">
        <f>jablka5[[#This Row],[rabat]]*jablka5[[#This Row],[sprzedaż]]/100</f>
        <v>0</v>
      </c>
    </row>
    <row r="36" spans="1:9" x14ac:dyDescent="0.25">
      <c r="A36" s="2">
        <v>44810</v>
      </c>
      <c r="B36" s="1" t="s">
        <v>3</v>
      </c>
      <c r="C36" s="1" t="s">
        <v>67</v>
      </c>
      <c r="D36" s="1" t="s">
        <v>35</v>
      </c>
      <c r="E36">
        <v>331</v>
      </c>
      <c r="F36" s="1">
        <f>VLOOKUP(jablka5[[#This Row],[Nazwa]],cennik[],2,0) * jablka5[[#This Row],[sprzedaż]]</f>
        <v>1059.2</v>
      </c>
      <c r="G36" s="1">
        <f>IF(jablka5[[#This Row],[NIP]]=D35,jablka5[[#This Row],[sprzedaż]]+G35,jablka5[[#This Row],[sprzedaż]])</f>
        <v>10649</v>
      </c>
      <c r="H36" s="1">
        <f>IF(jablka5[[#This Row],[dot sprz]]&lt;15000,0,IF(jablka5[[#This Row],[dot sprz]]&lt;20000,5,10))</f>
        <v>0</v>
      </c>
      <c r="I36" s="1">
        <f>jablka5[[#This Row],[rabat]]*jablka5[[#This Row],[sprzedaż]]/100</f>
        <v>0</v>
      </c>
    </row>
    <row r="37" spans="1:9" x14ac:dyDescent="0.25">
      <c r="A37" s="2">
        <v>44813</v>
      </c>
      <c r="B37" s="1" t="s">
        <v>14</v>
      </c>
      <c r="C37" s="1" t="s">
        <v>67</v>
      </c>
      <c r="D37" s="1" t="s">
        <v>35</v>
      </c>
      <c r="E37">
        <v>398</v>
      </c>
      <c r="F37" s="1">
        <f>VLOOKUP(jablka5[[#This Row],[Nazwa]],cennik[],2,0) * jablka5[[#This Row],[sprzedaż]]</f>
        <v>1393</v>
      </c>
      <c r="G37" s="1">
        <f>IF(jablka5[[#This Row],[NIP]]=D36,jablka5[[#This Row],[sprzedaż]]+G36,jablka5[[#This Row],[sprzedaż]])</f>
        <v>11047</v>
      </c>
      <c r="H37" s="1">
        <f>IF(jablka5[[#This Row],[dot sprz]]&lt;15000,0,IF(jablka5[[#This Row],[dot sprz]]&lt;20000,5,10))</f>
        <v>0</v>
      </c>
      <c r="I37" s="1">
        <f>jablka5[[#This Row],[rabat]]*jablka5[[#This Row],[sprzedaż]]/100</f>
        <v>0</v>
      </c>
    </row>
    <row r="38" spans="1:9" x14ac:dyDescent="0.25">
      <c r="A38" s="2">
        <v>44821</v>
      </c>
      <c r="B38" s="1" t="s">
        <v>14</v>
      </c>
      <c r="C38" s="1" t="s">
        <v>67</v>
      </c>
      <c r="D38" s="1" t="s">
        <v>35</v>
      </c>
      <c r="E38">
        <v>88</v>
      </c>
      <c r="F38" s="1">
        <f>VLOOKUP(jablka5[[#This Row],[Nazwa]],cennik[],2,0) * jablka5[[#This Row],[sprzedaż]]</f>
        <v>308</v>
      </c>
      <c r="G38" s="1">
        <f>IF(jablka5[[#This Row],[NIP]]=D37,jablka5[[#This Row],[sprzedaż]]+G37,jablka5[[#This Row],[sprzedaż]])</f>
        <v>11135</v>
      </c>
      <c r="H38" s="1">
        <f>IF(jablka5[[#This Row],[dot sprz]]&lt;15000,0,IF(jablka5[[#This Row],[dot sprz]]&lt;20000,5,10))</f>
        <v>0</v>
      </c>
      <c r="I38" s="1">
        <f>jablka5[[#This Row],[rabat]]*jablka5[[#This Row],[sprzedaż]]/100</f>
        <v>0</v>
      </c>
    </row>
    <row r="39" spans="1:9" x14ac:dyDescent="0.25">
      <c r="A39" s="2">
        <v>44827</v>
      </c>
      <c r="B39" s="1" t="s">
        <v>3</v>
      </c>
      <c r="C39" s="1" t="s">
        <v>67</v>
      </c>
      <c r="D39" s="1" t="s">
        <v>35</v>
      </c>
      <c r="E39">
        <v>370</v>
      </c>
      <c r="F39" s="1">
        <f>VLOOKUP(jablka5[[#This Row],[Nazwa]],cennik[],2,0) * jablka5[[#This Row],[sprzedaż]]</f>
        <v>1184</v>
      </c>
      <c r="G39" s="1">
        <f>IF(jablka5[[#This Row],[NIP]]=D38,jablka5[[#This Row],[sprzedaż]]+G38,jablka5[[#This Row],[sprzedaż]])</f>
        <v>11505</v>
      </c>
      <c r="H39" s="1">
        <f>IF(jablka5[[#This Row],[dot sprz]]&lt;15000,0,IF(jablka5[[#This Row],[dot sprz]]&lt;20000,5,10))</f>
        <v>0</v>
      </c>
      <c r="I39" s="1">
        <f>jablka5[[#This Row],[rabat]]*jablka5[[#This Row],[sprzedaż]]/100</f>
        <v>0</v>
      </c>
    </row>
    <row r="40" spans="1:9" x14ac:dyDescent="0.25">
      <c r="A40" s="2">
        <v>44828</v>
      </c>
      <c r="B40" s="1" t="s">
        <v>3</v>
      </c>
      <c r="C40" s="1" t="s">
        <v>67</v>
      </c>
      <c r="D40" s="1" t="s">
        <v>35</v>
      </c>
      <c r="E40">
        <v>298</v>
      </c>
      <c r="F40" s="1">
        <f>VLOOKUP(jablka5[[#This Row],[Nazwa]],cennik[],2,0) * jablka5[[#This Row],[sprzedaż]]</f>
        <v>953.6</v>
      </c>
      <c r="G40" s="1">
        <f>IF(jablka5[[#This Row],[NIP]]=D39,jablka5[[#This Row],[sprzedaż]]+G39,jablka5[[#This Row],[sprzedaż]])</f>
        <v>11803</v>
      </c>
      <c r="H40" s="1">
        <f>IF(jablka5[[#This Row],[dot sprz]]&lt;15000,0,IF(jablka5[[#This Row],[dot sprz]]&lt;20000,5,10))</f>
        <v>0</v>
      </c>
      <c r="I40" s="1">
        <f>jablka5[[#This Row],[rabat]]*jablka5[[#This Row],[sprzedaż]]/100</f>
        <v>0</v>
      </c>
    </row>
    <row r="41" spans="1:9" x14ac:dyDescent="0.25">
      <c r="A41" s="2">
        <v>44830</v>
      </c>
      <c r="B41" s="1" t="s">
        <v>9</v>
      </c>
      <c r="C41" s="1" t="s">
        <v>67</v>
      </c>
      <c r="D41" s="1" t="s">
        <v>35</v>
      </c>
      <c r="E41">
        <v>495</v>
      </c>
      <c r="F41" s="1">
        <f>VLOOKUP(jablka5[[#This Row],[Nazwa]],cennik[],2,0) * jablka5[[#This Row],[sprzedaż]]</f>
        <v>1237.5</v>
      </c>
      <c r="G41" s="1">
        <f>IF(jablka5[[#This Row],[NIP]]=D40,jablka5[[#This Row],[sprzedaż]]+G40,jablka5[[#This Row],[sprzedaż]])</f>
        <v>12298</v>
      </c>
      <c r="H41" s="1">
        <f>IF(jablka5[[#This Row],[dot sprz]]&lt;15000,0,IF(jablka5[[#This Row],[dot sprz]]&lt;20000,5,10))</f>
        <v>0</v>
      </c>
      <c r="I41" s="1">
        <f>jablka5[[#This Row],[rabat]]*jablka5[[#This Row],[sprzedaż]]/100</f>
        <v>0</v>
      </c>
    </row>
    <row r="42" spans="1:9" x14ac:dyDescent="0.25">
      <c r="A42" s="2">
        <v>44838</v>
      </c>
      <c r="B42" s="1" t="s">
        <v>14</v>
      </c>
      <c r="C42" s="1" t="s">
        <v>67</v>
      </c>
      <c r="D42" s="1" t="s">
        <v>35</v>
      </c>
      <c r="E42">
        <v>35</v>
      </c>
      <c r="F42" s="1">
        <f>VLOOKUP(jablka5[[#This Row],[Nazwa]],cennik[],2,0) * jablka5[[#This Row],[sprzedaż]]</f>
        <v>122.5</v>
      </c>
      <c r="G42" s="1">
        <f>IF(jablka5[[#This Row],[NIP]]=D41,jablka5[[#This Row],[sprzedaż]]+G41,jablka5[[#This Row],[sprzedaż]])</f>
        <v>12333</v>
      </c>
      <c r="H42" s="1">
        <f>IF(jablka5[[#This Row],[dot sprz]]&lt;15000,0,IF(jablka5[[#This Row],[dot sprz]]&lt;20000,5,10))</f>
        <v>0</v>
      </c>
      <c r="I42" s="1">
        <f>jablka5[[#This Row],[rabat]]*jablka5[[#This Row],[sprzedaż]]/100</f>
        <v>0</v>
      </c>
    </row>
    <row r="43" spans="1:9" x14ac:dyDescent="0.25">
      <c r="A43" s="2">
        <v>44839</v>
      </c>
      <c r="B43" s="1" t="s">
        <v>11</v>
      </c>
      <c r="C43" s="1" t="s">
        <v>67</v>
      </c>
      <c r="D43" s="1" t="s">
        <v>35</v>
      </c>
      <c r="E43">
        <v>177</v>
      </c>
      <c r="F43" s="1">
        <f>VLOOKUP(jablka5[[#This Row],[Nazwa]],cennik[],2,0) * jablka5[[#This Row],[sprzedaż]]</f>
        <v>442.5</v>
      </c>
      <c r="G43" s="1">
        <f>IF(jablka5[[#This Row],[NIP]]=D42,jablka5[[#This Row],[sprzedaż]]+G42,jablka5[[#This Row],[sprzedaż]])</f>
        <v>12510</v>
      </c>
      <c r="H43" s="1">
        <f>IF(jablka5[[#This Row],[dot sprz]]&lt;15000,0,IF(jablka5[[#This Row],[dot sprz]]&lt;20000,5,10))</f>
        <v>0</v>
      </c>
      <c r="I43" s="1">
        <f>jablka5[[#This Row],[rabat]]*jablka5[[#This Row],[sprzedaż]]/100</f>
        <v>0</v>
      </c>
    </row>
    <row r="44" spans="1:9" x14ac:dyDescent="0.25">
      <c r="A44" s="2">
        <v>44856</v>
      </c>
      <c r="B44" s="1" t="s">
        <v>14</v>
      </c>
      <c r="C44" s="1" t="s">
        <v>67</v>
      </c>
      <c r="D44" s="1" t="s">
        <v>35</v>
      </c>
      <c r="E44">
        <v>218</v>
      </c>
      <c r="F44" s="1">
        <f>VLOOKUP(jablka5[[#This Row],[Nazwa]],cennik[],2,0) * jablka5[[#This Row],[sprzedaż]]</f>
        <v>763</v>
      </c>
      <c r="G44" s="1">
        <f>IF(jablka5[[#This Row],[NIP]]=D43,jablka5[[#This Row],[sprzedaż]]+G43,jablka5[[#This Row],[sprzedaż]])</f>
        <v>12728</v>
      </c>
      <c r="H44" s="1">
        <f>IF(jablka5[[#This Row],[dot sprz]]&lt;15000,0,IF(jablka5[[#This Row],[dot sprz]]&lt;20000,5,10))</f>
        <v>0</v>
      </c>
      <c r="I44" s="1">
        <f>jablka5[[#This Row],[rabat]]*jablka5[[#This Row],[sprzedaż]]/100</f>
        <v>0</v>
      </c>
    </row>
    <row r="45" spans="1:9" x14ac:dyDescent="0.25">
      <c r="A45" s="2">
        <v>44856</v>
      </c>
      <c r="B45" s="1" t="s">
        <v>14</v>
      </c>
      <c r="C45" s="1" t="s">
        <v>67</v>
      </c>
      <c r="D45" s="1" t="s">
        <v>35</v>
      </c>
      <c r="E45">
        <v>148</v>
      </c>
      <c r="F45" s="1">
        <f>VLOOKUP(jablka5[[#This Row],[Nazwa]],cennik[],2,0) * jablka5[[#This Row],[sprzedaż]]</f>
        <v>518</v>
      </c>
      <c r="G45" s="1">
        <f>IF(jablka5[[#This Row],[NIP]]=D44,jablka5[[#This Row],[sprzedaż]]+G44,jablka5[[#This Row],[sprzedaż]])</f>
        <v>12876</v>
      </c>
      <c r="H45" s="1">
        <f>IF(jablka5[[#This Row],[dot sprz]]&lt;15000,0,IF(jablka5[[#This Row],[dot sprz]]&lt;20000,5,10))</f>
        <v>0</v>
      </c>
      <c r="I45" s="1">
        <f>jablka5[[#This Row],[rabat]]*jablka5[[#This Row],[sprzedaż]]/100</f>
        <v>0</v>
      </c>
    </row>
    <row r="46" spans="1:9" x14ac:dyDescent="0.25">
      <c r="A46" s="2">
        <v>44865</v>
      </c>
      <c r="B46" s="1" t="s">
        <v>3</v>
      </c>
      <c r="C46" s="1" t="s">
        <v>67</v>
      </c>
      <c r="D46" s="1" t="s">
        <v>35</v>
      </c>
      <c r="E46">
        <v>38</v>
      </c>
      <c r="F46" s="1">
        <f>VLOOKUP(jablka5[[#This Row],[Nazwa]],cennik[],2,0) * jablka5[[#This Row],[sprzedaż]]</f>
        <v>121.60000000000001</v>
      </c>
      <c r="G46" s="1">
        <f>IF(jablka5[[#This Row],[NIP]]=D45,jablka5[[#This Row],[sprzedaż]]+G45,jablka5[[#This Row],[sprzedaż]])</f>
        <v>12914</v>
      </c>
      <c r="H46" s="1">
        <f>IF(jablka5[[#This Row],[dot sprz]]&lt;15000,0,IF(jablka5[[#This Row],[dot sprz]]&lt;20000,5,10))</f>
        <v>0</v>
      </c>
      <c r="I46" s="1">
        <f>jablka5[[#This Row],[rabat]]*jablka5[[#This Row],[sprzedaż]]/100</f>
        <v>0</v>
      </c>
    </row>
    <row r="47" spans="1:9" x14ac:dyDescent="0.25">
      <c r="A47" s="2">
        <v>44865</v>
      </c>
      <c r="B47" s="1" t="s">
        <v>11</v>
      </c>
      <c r="C47" s="1" t="s">
        <v>67</v>
      </c>
      <c r="D47" s="1" t="s">
        <v>35</v>
      </c>
      <c r="E47">
        <v>426</v>
      </c>
      <c r="F47" s="1">
        <f>VLOOKUP(jablka5[[#This Row],[Nazwa]],cennik[],2,0) * jablka5[[#This Row],[sprzedaż]]</f>
        <v>1065</v>
      </c>
      <c r="G47" s="1">
        <f>IF(jablka5[[#This Row],[NIP]]=D46,jablka5[[#This Row],[sprzedaż]]+G46,jablka5[[#This Row],[sprzedaż]])</f>
        <v>13340</v>
      </c>
      <c r="H47" s="1">
        <f>IF(jablka5[[#This Row],[dot sprz]]&lt;15000,0,IF(jablka5[[#This Row],[dot sprz]]&lt;20000,5,10))</f>
        <v>0</v>
      </c>
      <c r="I47" s="1">
        <f>jablka5[[#This Row],[rabat]]*jablka5[[#This Row],[sprzedaż]]/100</f>
        <v>0</v>
      </c>
    </row>
    <row r="48" spans="1:9" x14ac:dyDescent="0.25">
      <c r="A48" s="2">
        <v>44875</v>
      </c>
      <c r="B48" s="1" t="s">
        <v>14</v>
      </c>
      <c r="C48" s="1" t="s">
        <v>67</v>
      </c>
      <c r="D48" s="1" t="s">
        <v>35</v>
      </c>
      <c r="E48">
        <v>437</v>
      </c>
      <c r="F48" s="1">
        <f>VLOOKUP(jablka5[[#This Row],[Nazwa]],cennik[],2,0) * jablka5[[#This Row],[sprzedaż]]</f>
        <v>1529.5</v>
      </c>
      <c r="G48" s="1">
        <f>IF(jablka5[[#This Row],[NIP]]=D47,jablka5[[#This Row],[sprzedaż]]+G47,jablka5[[#This Row],[sprzedaż]])</f>
        <v>13777</v>
      </c>
      <c r="H48" s="1">
        <f>IF(jablka5[[#This Row],[dot sprz]]&lt;15000,0,IF(jablka5[[#This Row],[dot sprz]]&lt;20000,5,10))</f>
        <v>0</v>
      </c>
      <c r="I48" s="1">
        <f>jablka5[[#This Row],[rabat]]*jablka5[[#This Row],[sprzedaż]]/100</f>
        <v>0</v>
      </c>
    </row>
    <row r="49" spans="1:9" x14ac:dyDescent="0.25">
      <c r="A49" s="2">
        <v>44886</v>
      </c>
      <c r="B49" s="1" t="s">
        <v>14</v>
      </c>
      <c r="C49" s="1" t="s">
        <v>67</v>
      </c>
      <c r="D49" s="1" t="s">
        <v>35</v>
      </c>
      <c r="E49">
        <v>221</v>
      </c>
      <c r="F49" s="1">
        <f>VLOOKUP(jablka5[[#This Row],[Nazwa]],cennik[],2,0) * jablka5[[#This Row],[sprzedaż]]</f>
        <v>773.5</v>
      </c>
      <c r="G49" s="1">
        <f>IF(jablka5[[#This Row],[NIP]]=D48,jablka5[[#This Row],[sprzedaż]]+G48,jablka5[[#This Row],[sprzedaż]])</f>
        <v>13998</v>
      </c>
      <c r="H49" s="1">
        <f>IF(jablka5[[#This Row],[dot sprz]]&lt;15000,0,IF(jablka5[[#This Row],[dot sprz]]&lt;20000,5,10))</f>
        <v>0</v>
      </c>
      <c r="I49" s="1">
        <f>jablka5[[#This Row],[rabat]]*jablka5[[#This Row],[sprzedaż]]/100</f>
        <v>0</v>
      </c>
    </row>
    <row r="50" spans="1:9" x14ac:dyDescent="0.25">
      <c r="A50" s="2">
        <v>44897</v>
      </c>
      <c r="B50" s="1" t="s">
        <v>4</v>
      </c>
      <c r="C50" s="1" t="s">
        <v>16</v>
      </c>
      <c r="D50" s="1" t="s">
        <v>35</v>
      </c>
      <c r="E50">
        <v>714</v>
      </c>
      <c r="F50" s="1">
        <f>VLOOKUP(jablka5[[#This Row],[Nazwa]],cennik[],2,0) * jablka5[[#This Row],[sprzedaż]]</f>
        <v>2427.6</v>
      </c>
      <c r="G50" s="1">
        <f>IF(jablka5[[#This Row],[NIP]]=D49,jablka5[[#This Row],[sprzedaż]]+G49,jablka5[[#This Row],[sprzedaż]])</f>
        <v>14712</v>
      </c>
      <c r="H50" s="1">
        <f>IF(jablka5[[#This Row],[dot sprz]]&lt;15000,0,IF(jablka5[[#This Row],[dot sprz]]&lt;20000,5,10))</f>
        <v>0</v>
      </c>
      <c r="I50" s="1">
        <f>jablka5[[#This Row],[rabat]]*jablka5[[#This Row],[sprzedaż]]/100</f>
        <v>0</v>
      </c>
    </row>
    <row r="51" spans="1:9" x14ac:dyDescent="0.25">
      <c r="A51" s="2">
        <v>44900</v>
      </c>
      <c r="B51" s="1" t="s">
        <v>10</v>
      </c>
      <c r="C51" s="1" t="s">
        <v>16</v>
      </c>
      <c r="D51" s="1" t="s">
        <v>35</v>
      </c>
      <c r="E51">
        <v>295</v>
      </c>
      <c r="F51" s="1">
        <f>VLOOKUP(jablka5[[#This Row],[Nazwa]],cennik[],2,0) * jablka5[[#This Row],[sprzedaż]]</f>
        <v>1003</v>
      </c>
      <c r="G51" s="1">
        <f>IF(jablka5[[#This Row],[NIP]]=D50,jablka5[[#This Row],[sprzedaż]]+G50,jablka5[[#This Row],[sprzedaż]])</f>
        <v>15007</v>
      </c>
      <c r="H51" s="1">
        <f>IF(jablka5[[#This Row],[dot sprz]]&lt;15000,0,IF(jablka5[[#This Row],[dot sprz]]&lt;20000,5,10))</f>
        <v>5</v>
      </c>
      <c r="I51" s="1">
        <f>jablka5[[#This Row],[rabat]]*jablka5[[#This Row],[sprzedaż]]/100</f>
        <v>14.75</v>
      </c>
    </row>
    <row r="52" spans="1:9" x14ac:dyDescent="0.25">
      <c r="A52" s="2">
        <v>44903</v>
      </c>
      <c r="B52" s="1" t="s">
        <v>4</v>
      </c>
      <c r="C52" s="1" t="s">
        <v>16</v>
      </c>
      <c r="D52" s="1" t="s">
        <v>35</v>
      </c>
      <c r="E52">
        <v>406</v>
      </c>
      <c r="F52" s="1">
        <f>VLOOKUP(jablka5[[#This Row],[Nazwa]],cennik[],2,0) * jablka5[[#This Row],[sprzedaż]]</f>
        <v>1380.3999999999999</v>
      </c>
      <c r="G52" s="1">
        <f>IF(jablka5[[#This Row],[NIP]]=D51,jablka5[[#This Row],[sprzedaż]]+G51,jablka5[[#This Row],[sprzedaż]])</f>
        <v>15413</v>
      </c>
      <c r="H52" s="1">
        <f>IF(jablka5[[#This Row],[dot sprz]]&lt;15000,0,IF(jablka5[[#This Row],[dot sprz]]&lt;20000,5,10))</f>
        <v>5</v>
      </c>
      <c r="I52" s="1">
        <f>jablka5[[#This Row],[rabat]]*jablka5[[#This Row],[sprzedaż]]/100</f>
        <v>20.3</v>
      </c>
    </row>
    <row r="53" spans="1:9" x14ac:dyDescent="0.25">
      <c r="A53" s="2">
        <v>44911</v>
      </c>
      <c r="B53" s="1" t="s">
        <v>6</v>
      </c>
      <c r="C53" s="1" t="s">
        <v>16</v>
      </c>
      <c r="D53" s="1" t="s">
        <v>35</v>
      </c>
      <c r="E53">
        <v>72</v>
      </c>
      <c r="F53" s="1">
        <f>VLOOKUP(jablka5[[#This Row],[Nazwa]],cennik[],2,0) * jablka5[[#This Row],[sprzedaż]]</f>
        <v>244.79999999999998</v>
      </c>
      <c r="G53" s="1">
        <f>IF(jablka5[[#This Row],[NIP]]=D52,jablka5[[#This Row],[sprzedaż]]+G52,jablka5[[#This Row],[sprzedaż]])</f>
        <v>15485</v>
      </c>
      <c r="H53" s="1">
        <f>IF(jablka5[[#This Row],[dot sprz]]&lt;15000,0,IF(jablka5[[#This Row],[dot sprz]]&lt;20000,5,10))</f>
        <v>5</v>
      </c>
      <c r="I53" s="1">
        <f>jablka5[[#This Row],[rabat]]*jablka5[[#This Row],[sprzedaż]]/100</f>
        <v>3.6</v>
      </c>
    </row>
    <row r="54" spans="1:9" x14ac:dyDescent="0.25">
      <c r="A54" s="2">
        <v>44915</v>
      </c>
      <c r="B54" s="1" t="s">
        <v>5</v>
      </c>
      <c r="C54" s="1" t="s">
        <v>16</v>
      </c>
      <c r="D54" s="1" t="s">
        <v>35</v>
      </c>
      <c r="E54">
        <v>356</v>
      </c>
      <c r="F54" s="1">
        <f>VLOOKUP(jablka5[[#This Row],[Nazwa]],cennik[],2,0) * jablka5[[#This Row],[sprzedaż]]</f>
        <v>1210.3999999999999</v>
      </c>
      <c r="G54" s="1">
        <f>IF(jablka5[[#This Row],[NIP]]=D53,jablka5[[#This Row],[sprzedaż]]+G53,jablka5[[#This Row],[sprzedaż]])</f>
        <v>15841</v>
      </c>
      <c r="H54" s="1">
        <f>IF(jablka5[[#This Row],[dot sprz]]&lt;15000,0,IF(jablka5[[#This Row],[dot sprz]]&lt;20000,5,10))</f>
        <v>5</v>
      </c>
      <c r="I54" s="1">
        <f>jablka5[[#This Row],[rabat]]*jablka5[[#This Row],[sprzedaż]]/100</f>
        <v>17.8</v>
      </c>
    </row>
    <row r="55" spans="1:9" x14ac:dyDescent="0.25">
      <c r="A55" s="2">
        <v>44926</v>
      </c>
      <c r="B55" s="1" t="s">
        <v>6</v>
      </c>
      <c r="C55" s="1" t="s">
        <v>16</v>
      </c>
      <c r="D55" s="1" t="s">
        <v>35</v>
      </c>
      <c r="E55">
        <v>383</v>
      </c>
      <c r="F55" s="1">
        <f>VLOOKUP(jablka5[[#This Row],[Nazwa]],cennik[],2,0) * jablka5[[#This Row],[sprzedaż]]</f>
        <v>1302.2</v>
      </c>
      <c r="G55" s="1">
        <f>IF(jablka5[[#This Row],[NIP]]=D54,jablka5[[#This Row],[sprzedaż]]+G54,jablka5[[#This Row],[sprzedaż]])</f>
        <v>16224</v>
      </c>
      <c r="H55" s="1">
        <f>IF(jablka5[[#This Row],[dot sprz]]&lt;15000,0,IF(jablka5[[#This Row],[dot sprz]]&lt;20000,5,10))</f>
        <v>5</v>
      </c>
      <c r="I55" s="1">
        <f>jablka5[[#This Row],[rabat]]*jablka5[[#This Row],[sprzedaż]]/100</f>
        <v>19.149999999999999</v>
      </c>
    </row>
    <row r="56" spans="1:9" x14ac:dyDescent="0.25">
      <c r="A56" s="2">
        <v>44566</v>
      </c>
      <c r="B56" s="1" t="s">
        <v>2</v>
      </c>
      <c r="C56" s="1" t="s">
        <v>16</v>
      </c>
      <c r="D56" s="1" t="s">
        <v>39</v>
      </c>
      <c r="E56">
        <v>139</v>
      </c>
      <c r="F56" s="1">
        <f>VLOOKUP(jablka5[[#This Row],[Nazwa]],cennik[],2,0) * jablka5[[#This Row],[sprzedaż]]</f>
        <v>444.8</v>
      </c>
      <c r="G56" s="1">
        <f>IF(jablka5[[#This Row],[NIP]]=D55,jablka5[[#This Row],[sprzedaż]]+G55,jablka5[[#This Row],[sprzedaż]])</f>
        <v>139</v>
      </c>
      <c r="H56" s="1">
        <f>IF(jablka5[[#This Row],[dot sprz]]&lt;15000,0,IF(jablka5[[#This Row],[dot sprz]]&lt;20000,5,10))</f>
        <v>0</v>
      </c>
      <c r="I56" s="1">
        <f>jablka5[[#This Row],[rabat]]*jablka5[[#This Row],[sprzedaż]]/100</f>
        <v>0</v>
      </c>
    </row>
    <row r="57" spans="1:9" x14ac:dyDescent="0.25">
      <c r="A57" s="2">
        <v>44573</v>
      </c>
      <c r="B57" s="1" t="s">
        <v>7</v>
      </c>
      <c r="C57" s="1" t="s">
        <v>16</v>
      </c>
      <c r="D57" s="1" t="s">
        <v>39</v>
      </c>
      <c r="E57">
        <v>284</v>
      </c>
      <c r="F57" s="1">
        <f>VLOOKUP(jablka5[[#This Row],[Nazwa]],cennik[],2,0) * jablka5[[#This Row],[sprzedaż]]</f>
        <v>965.6</v>
      </c>
      <c r="G57" s="1">
        <f>IF(jablka5[[#This Row],[NIP]]=D56,jablka5[[#This Row],[sprzedaż]]+G56,jablka5[[#This Row],[sprzedaż]])</f>
        <v>423</v>
      </c>
      <c r="H57" s="1">
        <f>IF(jablka5[[#This Row],[dot sprz]]&lt;15000,0,IF(jablka5[[#This Row],[dot sprz]]&lt;20000,5,10))</f>
        <v>0</v>
      </c>
      <c r="I57" s="1">
        <f>jablka5[[#This Row],[rabat]]*jablka5[[#This Row],[sprzedaż]]/100</f>
        <v>0</v>
      </c>
    </row>
    <row r="58" spans="1:9" x14ac:dyDescent="0.25">
      <c r="A58" s="2">
        <v>44578</v>
      </c>
      <c r="B58" s="1" t="s">
        <v>6</v>
      </c>
      <c r="C58" s="1" t="s">
        <v>16</v>
      </c>
      <c r="D58" s="1" t="s">
        <v>39</v>
      </c>
      <c r="E58">
        <v>296</v>
      </c>
      <c r="F58" s="1">
        <f>VLOOKUP(jablka5[[#This Row],[Nazwa]],cennik[],2,0) * jablka5[[#This Row],[sprzedaż]]</f>
        <v>1006.4</v>
      </c>
      <c r="G58" s="1">
        <f>IF(jablka5[[#This Row],[NIP]]=D57,jablka5[[#This Row],[sprzedaż]]+G57,jablka5[[#This Row],[sprzedaż]])</f>
        <v>719</v>
      </c>
      <c r="H58" s="1">
        <f>IF(jablka5[[#This Row],[dot sprz]]&lt;15000,0,IF(jablka5[[#This Row],[dot sprz]]&lt;20000,5,10))</f>
        <v>0</v>
      </c>
      <c r="I58" s="1">
        <f>jablka5[[#This Row],[rabat]]*jablka5[[#This Row],[sprzedaż]]/100</f>
        <v>0</v>
      </c>
    </row>
    <row r="59" spans="1:9" x14ac:dyDescent="0.25">
      <c r="A59" s="2">
        <v>44644</v>
      </c>
      <c r="B59" s="1" t="s">
        <v>15</v>
      </c>
      <c r="C59" s="1" t="s">
        <v>16</v>
      </c>
      <c r="D59" s="1" t="s">
        <v>39</v>
      </c>
      <c r="E59">
        <v>141</v>
      </c>
      <c r="F59" s="1">
        <f>VLOOKUP(jablka5[[#This Row],[Nazwa]],cennik[],2,0) * jablka5[[#This Row],[sprzedaż]]</f>
        <v>338.4</v>
      </c>
      <c r="G59" s="1">
        <f>IF(jablka5[[#This Row],[NIP]]=D58,jablka5[[#This Row],[sprzedaż]]+G58,jablka5[[#This Row],[sprzedaż]])</f>
        <v>860</v>
      </c>
      <c r="H59" s="1">
        <f>IF(jablka5[[#This Row],[dot sprz]]&lt;15000,0,IF(jablka5[[#This Row],[dot sprz]]&lt;20000,5,10))</f>
        <v>0</v>
      </c>
      <c r="I59" s="1">
        <f>jablka5[[#This Row],[rabat]]*jablka5[[#This Row],[sprzedaż]]/100</f>
        <v>0</v>
      </c>
    </row>
    <row r="60" spans="1:9" x14ac:dyDescent="0.25">
      <c r="A60" s="2">
        <v>44659</v>
      </c>
      <c r="B60" s="1" t="s">
        <v>15</v>
      </c>
      <c r="C60" s="1" t="s">
        <v>16</v>
      </c>
      <c r="D60" s="1" t="s">
        <v>39</v>
      </c>
      <c r="E60">
        <v>379</v>
      </c>
      <c r="F60" s="1">
        <f>VLOOKUP(jablka5[[#This Row],[Nazwa]],cennik[],2,0) * jablka5[[#This Row],[sprzedaż]]</f>
        <v>909.6</v>
      </c>
      <c r="G60" s="1">
        <f>IF(jablka5[[#This Row],[NIP]]=D59,jablka5[[#This Row],[sprzedaż]]+G59,jablka5[[#This Row],[sprzedaż]])</f>
        <v>1239</v>
      </c>
      <c r="H60" s="1">
        <f>IF(jablka5[[#This Row],[dot sprz]]&lt;15000,0,IF(jablka5[[#This Row],[dot sprz]]&lt;20000,5,10))</f>
        <v>0</v>
      </c>
      <c r="I60" s="1">
        <f>jablka5[[#This Row],[rabat]]*jablka5[[#This Row],[sprzedaż]]/100</f>
        <v>0</v>
      </c>
    </row>
    <row r="61" spans="1:9" x14ac:dyDescent="0.25">
      <c r="A61" s="2">
        <v>44671</v>
      </c>
      <c r="B61" s="1" t="s">
        <v>5</v>
      </c>
      <c r="C61" s="1" t="s">
        <v>16</v>
      </c>
      <c r="D61" s="1" t="s">
        <v>39</v>
      </c>
      <c r="E61">
        <v>166</v>
      </c>
      <c r="F61" s="1">
        <f>VLOOKUP(jablka5[[#This Row],[Nazwa]],cennik[],2,0) * jablka5[[#This Row],[sprzedaż]]</f>
        <v>564.4</v>
      </c>
      <c r="G61" s="1">
        <f>IF(jablka5[[#This Row],[NIP]]=D60,jablka5[[#This Row],[sprzedaż]]+G60,jablka5[[#This Row],[sprzedaż]])</f>
        <v>1405</v>
      </c>
      <c r="H61" s="1">
        <f>IF(jablka5[[#This Row],[dot sprz]]&lt;15000,0,IF(jablka5[[#This Row],[dot sprz]]&lt;20000,5,10))</f>
        <v>0</v>
      </c>
      <c r="I61" s="1">
        <f>jablka5[[#This Row],[rabat]]*jablka5[[#This Row],[sprzedaż]]/100</f>
        <v>0</v>
      </c>
    </row>
    <row r="62" spans="1:9" x14ac:dyDescent="0.25">
      <c r="A62" s="2">
        <v>44672</v>
      </c>
      <c r="B62" s="1" t="s">
        <v>10</v>
      </c>
      <c r="C62" s="1" t="s">
        <v>16</v>
      </c>
      <c r="D62" s="1" t="s">
        <v>39</v>
      </c>
      <c r="E62">
        <v>148</v>
      </c>
      <c r="F62" s="1">
        <f>VLOOKUP(jablka5[[#This Row],[Nazwa]],cennik[],2,0) * jablka5[[#This Row],[sprzedaż]]</f>
        <v>503.2</v>
      </c>
      <c r="G62" s="1">
        <f>IF(jablka5[[#This Row],[NIP]]=D61,jablka5[[#This Row],[sprzedaż]]+G61,jablka5[[#This Row],[sprzedaż]])</f>
        <v>1553</v>
      </c>
      <c r="H62" s="1">
        <f>IF(jablka5[[#This Row],[dot sprz]]&lt;15000,0,IF(jablka5[[#This Row],[dot sprz]]&lt;20000,5,10))</f>
        <v>0</v>
      </c>
      <c r="I62" s="1">
        <f>jablka5[[#This Row],[rabat]]*jablka5[[#This Row],[sprzedaż]]/100</f>
        <v>0</v>
      </c>
    </row>
    <row r="63" spans="1:9" x14ac:dyDescent="0.25">
      <c r="A63" s="2">
        <v>44673</v>
      </c>
      <c r="B63" s="1" t="s">
        <v>10</v>
      </c>
      <c r="C63" s="1" t="s">
        <v>16</v>
      </c>
      <c r="D63" s="1" t="s">
        <v>39</v>
      </c>
      <c r="E63">
        <v>292</v>
      </c>
      <c r="F63" s="1">
        <f>VLOOKUP(jablka5[[#This Row],[Nazwa]],cennik[],2,0) * jablka5[[#This Row],[sprzedaż]]</f>
        <v>992.8</v>
      </c>
      <c r="G63" s="1">
        <f>IF(jablka5[[#This Row],[NIP]]=D62,jablka5[[#This Row],[sprzedaż]]+G62,jablka5[[#This Row],[sprzedaż]])</f>
        <v>1845</v>
      </c>
      <c r="H63" s="1">
        <f>IF(jablka5[[#This Row],[dot sprz]]&lt;15000,0,IF(jablka5[[#This Row],[dot sprz]]&lt;20000,5,10))</f>
        <v>0</v>
      </c>
      <c r="I63" s="1">
        <f>jablka5[[#This Row],[rabat]]*jablka5[[#This Row],[sprzedaż]]/100</f>
        <v>0</v>
      </c>
    </row>
    <row r="64" spans="1:9" x14ac:dyDescent="0.25">
      <c r="A64" s="2">
        <v>44701</v>
      </c>
      <c r="B64" s="1" t="s">
        <v>8</v>
      </c>
      <c r="C64" s="1" t="s">
        <v>16</v>
      </c>
      <c r="D64" s="1" t="s">
        <v>39</v>
      </c>
      <c r="E64">
        <v>599</v>
      </c>
      <c r="F64" s="1">
        <f>VLOOKUP(jablka5[[#This Row],[Nazwa]],cennik[],2,0) * jablka5[[#This Row],[sprzedaż]]</f>
        <v>2096.5</v>
      </c>
      <c r="G64" s="1">
        <f>IF(jablka5[[#This Row],[NIP]]=D63,jablka5[[#This Row],[sprzedaż]]+G63,jablka5[[#This Row],[sprzedaż]])</f>
        <v>2444</v>
      </c>
      <c r="H64" s="1">
        <f>IF(jablka5[[#This Row],[dot sprz]]&lt;15000,0,IF(jablka5[[#This Row],[dot sprz]]&lt;20000,5,10))</f>
        <v>0</v>
      </c>
      <c r="I64" s="1">
        <f>jablka5[[#This Row],[rabat]]*jablka5[[#This Row],[sprzedaż]]/100</f>
        <v>0</v>
      </c>
    </row>
    <row r="65" spans="1:9" x14ac:dyDescent="0.25">
      <c r="A65" s="2">
        <v>44711</v>
      </c>
      <c r="B65" s="1" t="s">
        <v>8</v>
      </c>
      <c r="C65" s="1" t="s">
        <v>16</v>
      </c>
      <c r="D65" s="1" t="s">
        <v>39</v>
      </c>
      <c r="E65">
        <v>674</v>
      </c>
      <c r="F65" s="1">
        <f>VLOOKUP(jablka5[[#This Row],[Nazwa]],cennik[],2,0) * jablka5[[#This Row],[sprzedaż]]</f>
        <v>2359</v>
      </c>
      <c r="G65" s="1">
        <f>IF(jablka5[[#This Row],[NIP]]=D64,jablka5[[#This Row],[sprzedaż]]+G64,jablka5[[#This Row],[sprzedaż]])</f>
        <v>3118</v>
      </c>
      <c r="H65" s="1">
        <f>IF(jablka5[[#This Row],[dot sprz]]&lt;15000,0,IF(jablka5[[#This Row],[dot sprz]]&lt;20000,5,10))</f>
        <v>0</v>
      </c>
      <c r="I65" s="1">
        <f>jablka5[[#This Row],[rabat]]*jablka5[[#This Row],[sprzedaż]]/100</f>
        <v>0</v>
      </c>
    </row>
    <row r="66" spans="1:9" x14ac:dyDescent="0.25">
      <c r="A66" s="2">
        <v>44718</v>
      </c>
      <c r="B66" s="1" t="s">
        <v>14</v>
      </c>
      <c r="C66" s="1" t="s">
        <v>67</v>
      </c>
      <c r="D66" s="1" t="s">
        <v>39</v>
      </c>
      <c r="E66">
        <v>426</v>
      </c>
      <c r="F66" s="1">
        <f>VLOOKUP(jablka5[[#This Row],[Nazwa]],cennik[],2,0) * jablka5[[#This Row],[sprzedaż]]</f>
        <v>1491</v>
      </c>
      <c r="G66" s="1">
        <f>IF(jablka5[[#This Row],[NIP]]=D65,jablka5[[#This Row],[sprzedaż]]+G65,jablka5[[#This Row],[sprzedaż]])</f>
        <v>3544</v>
      </c>
      <c r="H66" s="1">
        <f>IF(jablka5[[#This Row],[dot sprz]]&lt;15000,0,IF(jablka5[[#This Row],[dot sprz]]&lt;20000,5,10))</f>
        <v>0</v>
      </c>
      <c r="I66" s="1">
        <f>jablka5[[#This Row],[rabat]]*jablka5[[#This Row],[sprzedaż]]/100</f>
        <v>0</v>
      </c>
    </row>
    <row r="67" spans="1:9" x14ac:dyDescent="0.25">
      <c r="A67" s="2">
        <v>44734</v>
      </c>
      <c r="B67" s="1" t="s">
        <v>13</v>
      </c>
      <c r="C67" s="1" t="s">
        <v>68</v>
      </c>
      <c r="D67" s="1" t="s">
        <v>39</v>
      </c>
      <c r="E67">
        <v>266</v>
      </c>
      <c r="F67" s="1">
        <f>VLOOKUP(jablka5[[#This Row],[Nazwa]],cennik[],2,0) * jablka5[[#This Row],[sprzedaż]]</f>
        <v>851.2</v>
      </c>
      <c r="G67" s="1">
        <f>IF(jablka5[[#This Row],[NIP]]=D66,jablka5[[#This Row],[sprzedaż]]+G66,jablka5[[#This Row],[sprzedaż]])</f>
        <v>3810</v>
      </c>
      <c r="H67" s="1">
        <f>IF(jablka5[[#This Row],[dot sprz]]&lt;15000,0,IF(jablka5[[#This Row],[dot sprz]]&lt;20000,5,10))</f>
        <v>0</v>
      </c>
      <c r="I67" s="1">
        <f>jablka5[[#This Row],[rabat]]*jablka5[[#This Row],[sprzedaż]]/100</f>
        <v>0</v>
      </c>
    </row>
    <row r="68" spans="1:9" x14ac:dyDescent="0.25">
      <c r="A68" s="2">
        <v>44736</v>
      </c>
      <c r="B68" s="1" t="s">
        <v>14</v>
      </c>
      <c r="C68" s="1" t="s">
        <v>67</v>
      </c>
      <c r="D68" s="1" t="s">
        <v>39</v>
      </c>
      <c r="E68">
        <v>249</v>
      </c>
      <c r="F68" s="1">
        <f>VLOOKUP(jablka5[[#This Row],[Nazwa]],cennik[],2,0) * jablka5[[#This Row],[sprzedaż]]</f>
        <v>871.5</v>
      </c>
      <c r="G68" s="1">
        <f>IF(jablka5[[#This Row],[NIP]]=D67,jablka5[[#This Row],[sprzedaż]]+G67,jablka5[[#This Row],[sprzedaż]])</f>
        <v>4059</v>
      </c>
      <c r="H68" s="1">
        <f>IF(jablka5[[#This Row],[dot sprz]]&lt;15000,0,IF(jablka5[[#This Row],[dot sprz]]&lt;20000,5,10))</f>
        <v>0</v>
      </c>
      <c r="I68" s="1">
        <f>jablka5[[#This Row],[rabat]]*jablka5[[#This Row],[sprzedaż]]/100</f>
        <v>0</v>
      </c>
    </row>
    <row r="69" spans="1:9" x14ac:dyDescent="0.25">
      <c r="A69" s="2">
        <v>44746</v>
      </c>
      <c r="B69" s="1" t="s">
        <v>14</v>
      </c>
      <c r="C69" s="1" t="s">
        <v>67</v>
      </c>
      <c r="D69" s="1" t="s">
        <v>39</v>
      </c>
      <c r="E69">
        <v>239</v>
      </c>
      <c r="F69" s="1">
        <f>VLOOKUP(jablka5[[#This Row],[Nazwa]],cennik[],2,0) * jablka5[[#This Row],[sprzedaż]]</f>
        <v>836.5</v>
      </c>
      <c r="G69" s="1">
        <f>IF(jablka5[[#This Row],[NIP]]=D68,jablka5[[#This Row],[sprzedaż]]+G68,jablka5[[#This Row],[sprzedaż]])</f>
        <v>4298</v>
      </c>
      <c r="H69" s="1">
        <f>IF(jablka5[[#This Row],[dot sprz]]&lt;15000,0,IF(jablka5[[#This Row],[dot sprz]]&lt;20000,5,10))</f>
        <v>0</v>
      </c>
      <c r="I69" s="1">
        <f>jablka5[[#This Row],[rabat]]*jablka5[[#This Row],[sprzedaż]]/100</f>
        <v>0</v>
      </c>
    </row>
    <row r="70" spans="1:9" x14ac:dyDescent="0.25">
      <c r="A70" s="2">
        <v>44781</v>
      </c>
      <c r="B70" s="1" t="s">
        <v>14</v>
      </c>
      <c r="C70" s="1" t="s">
        <v>67</v>
      </c>
      <c r="D70" s="1" t="s">
        <v>39</v>
      </c>
      <c r="E70">
        <v>10</v>
      </c>
      <c r="F70" s="1">
        <f>VLOOKUP(jablka5[[#This Row],[Nazwa]],cennik[],2,0) * jablka5[[#This Row],[sprzedaż]]</f>
        <v>35</v>
      </c>
      <c r="G70" s="1">
        <f>IF(jablka5[[#This Row],[NIP]]=D69,jablka5[[#This Row],[sprzedaż]]+G69,jablka5[[#This Row],[sprzedaż]])</f>
        <v>4308</v>
      </c>
      <c r="H70" s="1">
        <f>IF(jablka5[[#This Row],[dot sprz]]&lt;15000,0,IF(jablka5[[#This Row],[dot sprz]]&lt;20000,5,10))</f>
        <v>0</v>
      </c>
      <c r="I70" s="1">
        <f>jablka5[[#This Row],[rabat]]*jablka5[[#This Row],[sprzedaż]]/100</f>
        <v>0</v>
      </c>
    </row>
    <row r="71" spans="1:9" x14ac:dyDescent="0.25">
      <c r="A71" s="2">
        <v>44788</v>
      </c>
      <c r="B71" s="1" t="s">
        <v>12</v>
      </c>
      <c r="C71" s="1" t="s">
        <v>68</v>
      </c>
      <c r="D71" s="1" t="s">
        <v>39</v>
      </c>
      <c r="E71">
        <v>231</v>
      </c>
      <c r="F71" s="1">
        <f>VLOOKUP(jablka5[[#This Row],[Nazwa]],cennik[],2,0) * jablka5[[#This Row],[sprzedaż]]</f>
        <v>623.70000000000005</v>
      </c>
      <c r="G71" s="1">
        <f>IF(jablka5[[#This Row],[NIP]]=D70,jablka5[[#This Row],[sprzedaż]]+G70,jablka5[[#This Row],[sprzedaż]])</f>
        <v>4539</v>
      </c>
      <c r="H71" s="1">
        <f>IF(jablka5[[#This Row],[dot sprz]]&lt;15000,0,IF(jablka5[[#This Row],[dot sprz]]&lt;20000,5,10))</f>
        <v>0</v>
      </c>
      <c r="I71" s="1">
        <f>jablka5[[#This Row],[rabat]]*jablka5[[#This Row],[sprzedaż]]/100</f>
        <v>0</v>
      </c>
    </row>
    <row r="72" spans="1:9" x14ac:dyDescent="0.25">
      <c r="A72" s="2">
        <v>44791</v>
      </c>
      <c r="B72" s="1" t="s">
        <v>12</v>
      </c>
      <c r="C72" s="1" t="s">
        <v>68</v>
      </c>
      <c r="D72" s="1" t="s">
        <v>39</v>
      </c>
      <c r="E72">
        <v>315</v>
      </c>
      <c r="F72" s="1">
        <f>VLOOKUP(jablka5[[#This Row],[Nazwa]],cennik[],2,0) * jablka5[[#This Row],[sprzedaż]]</f>
        <v>850.5</v>
      </c>
      <c r="G72" s="1">
        <f>IF(jablka5[[#This Row],[NIP]]=D71,jablka5[[#This Row],[sprzedaż]]+G71,jablka5[[#This Row],[sprzedaż]])</f>
        <v>4854</v>
      </c>
      <c r="H72" s="1">
        <f>IF(jablka5[[#This Row],[dot sprz]]&lt;15000,0,IF(jablka5[[#This Row],[dot sprz]]&lt;20000,5,10))</f>
        <v>0</v>
      </c>
      <c r="I72" s="1">
        <f>jablka5[[#This Row],[rabat]]*jablka5[[#This Row],[sprzedaż]]/100</f>
        <v>0</v>
      </c>
    </row>
    <row r="73" spans="1:9" x14ac:dyDescent="0.25">
      <c r="A73" s="2">
        <v>44803</v>
      </c>
      <c r="B73" s="1" t="s">
        <v>14</v>
      </c>
      <c r="C73" s="1" t="s">
        <v>67</v>
      </c>
      <c r="D73" s="1" t="s">
        <v>39</v>
      </c>
      <c r="E73">
        <v>438</v>
      </c>
      <c r="F73" s="1">
        <f>VLOOKUP(jablka5[[#This Row],[Nazwa]],cennik[],2,0) * jablka5[[#This Row],[sprzedaż]]</f>
        <v>1533</v>
      </c>
      <c r="G73" s="1">
        <f>IF(jablka5[[#This Row],[NIP]]=D72,jablka5[[#This Row],[sprzedaż]]+G72,jablka5[[#This Row],[sprzedaż]])</f>
        <v>5292</v>
      </c>
      <c r="H73" s="1">
        <f>IF(jablka5[[#This Row],[dot sprz]]&lt;15000,0,IF(jablka5[[#This Row],[dot sprz]]&lt;20000,5,10))</f>
        <v>0</v>
      </c>
      <c r="I73" s="1">
        <f>jablka5[[#This Row],[rabat]]*jablka5[[#This Row],[sprzedaż]]/100</f>
        <v>0</v>
      </c>
    </row>
    <row r="74" spans="1:9" x14ac:dyDescent="0.25">
      <c r="A74" s="2">
        <v>44806</v>
      </c>
      <c r="B74" s="1" t="s">
        <v>3</v>
      </c>
      <c r="C74" s="1" t="s">
        <v>67</v>
      </c>
      <c r="D74" s="1" t="s">
        <v>39</v>
      </c>
      <c r="E74">
        <v>474</v>
      </c>
      <c r="F74" s="1">
        <f>VLOOKUP(jablka5[[#This Row],[Nazwa]],cennik[],2,0) * jablka5[[#This Row],[sprzedaż]]</f>
        <v>1516.8000000000002</v>
      </c>
      <c r="G74" s="1">
        <f>IF(jablka5[[#This Row],[NIP]]=D73,jablka5[[#This Row],[sprzedaż]]+G73,jablka5[[#This Row],[sprzedaż]])</f>
        <v>5766</v>
      </c>
      <c r="H74" s="1">
        <f>IF(jablka5[[#This Row],[dot sprz]]&lt;15000,0,IF(jablka5[[#This Row],[dot sprz]]&lt;20000,5,10))</f>
        <v>0</v>
      </c>
      <c r="I74" s="1">
        <f>jablka5[[#This Row],[rabat]]*jablka5[[#This Row],[sprzedaż]]/100</f>
        <v>0</v>
      </c>
    </row>
    <row r="75" spans="1:9" x14ac:dyDescent="0.25">
      <c r="A75" s="2">
        <v>44806</v>
      </c>
      <c r="B75" s="1" t="s">
        <v>3</v>
      </c>
      <c r="C75" s="1" t="s">
        <v>67</v>
      </c>
      <c r="D75" s="1" t="s">
        <v>39</v>
      </c>
      <c r="E75">
        <v>118</v>
      </c>
      <c r="F75" s="1">
        <f>VLOOKUP(jablka5[[#This Row],[Nazwa]],cennik[],2,0) * jablka5[[#This Row],[sprzedaż]]</f>
        <v>377.6</v>
      </c>
      <c r="G75" s="1">
        <f>IF(jablka5[[#This Row],[NIP]]=D74,jablka5[[#This Row],[sprzedaż]]+G74,jablka5[[#This Row],[sprzedaż]])</f>
        <v>5884</v>
      </c>
      <c r="H75" s="1">
        <f>IF(jablka5[[#This Row],[dot sprz]]&lt;15000,0,IF(jablka5[[#This Row],[dot sprz]]&lt;20000,5,10))</f>
        <v>0</v>
      </c>
      <c r="I75" s="1">
        <f>jablka5[[#This Row],[rabat]]*jablka5[[#This Row],[sprzedaż]]/100</f>
        <v>0</v>
      </c>
    </row>
    <row r="76" spans="1:9" x14ac:dyDescent="0.25">
      <c r="A76" s="2">
        <v>44807</v>
      </c>
      <c r="B76" s="1" t="s">
        <v>1</v>
      </c>
      <c r="C76" s="1" t="s">
        <v>67</v>
      </c>
      <c r="D76" s="1" t="s">
        <v>39</v>
      </c>
      <c r="E76">
        <v>58</v>
      </c>
      <c r="F76" s="1">
        <f>VLOOKUP(jablka5[[#This Row],[Nazwa]],cennik[],2,0) * jablka5[[#This Row],[sprzedaż]]</f>
        <v>185.60000000000002</v>
      </c>
      <c r="G76" s="1">
        <f>IF(jablka5[[#This Row],[NIP]]=D75,jablka5[[#This Row],[sprzedaż]]+G75,jablka5[[#This Row],[sprzedaż]])</f>
        <v>5942</v>
      </c>
      <c r="H76" s="1">
        <f>IF(jablka5[[#This Row],[dot sprz]]&lt;15000,0,IF(jablka5[[#This Row],[dot sprz]]&lt;20000,5,10))</f>
        <v>0</v>
      </c>
      <c r="I76" s="1">
        <f>jablka5[[#This Row],[rabat]]*jablka5[[#This Row],[sprzedaż]]/100</f>
        <v>0</v>
      </c>
    </row>
    <row r="77" spans="1:9" x14ac:dyDescent="0.25">
      <c r="A77" s="2">
        <v>44817</v>
      </c>
      <c r="B77" s="1" t="s">
        <v>1</v>
      </c>
      <c r="C77" s="1" t="s">
        <v>67</v>
      </c>
      <c r="D77" s="1" t="s">
        <v>39</v>
      </c>
      <c r="E77">
        <v>423</v>
      </c>
      <c r="F77" s="1">
        <f>VLOOKUP(jablka5[[#This Row],[Nazwa]],cennik[],2,0) * jablka5[[#This Row],[sprzedaż]]</f>
        <v>1353.6000000000001</v>
      </c>
      <c r="G77" s="1">
        <f>IF(jablka5[[#This Row],[NIP]]=D76,jablka5[[#This Row],[sprzedaż]]+G76,jablka5[[#This Row],[sprzedaż]])</f>
        <v>6365</v>
      </c>
      <c r="H77" s="1">
        <f>IF(jablka5[[#This Row],[dot sprz]]&lt;15000,0,IF(jablka5[[#This Row],[dot sprz]]&lt;20000,5,10))</f>
        <v>0</v>
      </c>
      <c r="I77" s="1">
        <f>jablka5[[#This Row],[rabat]]*jablka5[[#This Row],[sprzedaż]]/100</f>
        <v>0</v>
      </c>
    </row>
    <row r="78" spans="1:9" x14ac:dyDescent="0.25">
      <c r="A78" s="2">
        <v>44832</v>
      </c>
      <c r="B78" s="1" t="s">
        <v>1</v>
      </c>
      <c r="C78" s="1" t="s">
        <v>67</v>
      </c>
      <c r="D78" s="1" t="s">
        <v>39</v>
      </c>
      <c r="E78">
        <v>418</v>
      </c>
      <c r="F78" s="1">
        <f>VLOOKUP(jablka5[[#This Row],[Nazwa]],cennik[],2,0) * jablka5[[#This Row],[sprzedaż]]</f>
        <v>1337.6000000000001</v>
      </c>
      <c r="G78" s="1">
        <f>IF(jablka5[[#This Row],[NIP]]=D77,jablka5[[#This Row],[sprzedaż]]+G77,jablka5[[#This Row],[sprzedaż]])</f>
        <v>6783</v>
      </c>
      <c r="H78" s="1">
        <f>IF(jablka5[[#This Row],[dot sprz]]&lt;15000,0,IF(jablka5[[#This Row],[dot sprz]]&lt;20000,5,10))</f>
        <v>0</v>
      </c>
      <c r="I78" s="1">
        <f>jablka5[[#This Row],[rabat]]*jablka5[[#This Row],[sprzedaż]]/100</f>
        <v>0</v>
      </c>
    </row>
    <row r="79" spans="1:9" x14ac:dyDescent="0.25">
      <c r="A79" s="2">
        <v>44834</v>
      </c>
      <c r="B79" s="1" t="s">
        <v>14</v>
      </c>
      <c r="C79" s="1" t="s">
        <v>67</v>
      </c>
      <c r="D79" s="1" t="s">
        <v>39</v>
      </c>
      <c r="E79">
        <v>291</v>
      </c>
      <c r="F79" s="1">
        <f>VLOOKUP(jablka5[[#This Row],[Nazwa]],cennik[],2,0) * jablka5[[#This Row],[sprzedaż]]</f>
        <v>1018.5</v>
      </c>
      <c r="G79" s="1">
        <f>IF(jablka5[[#This Row],[NIP]]=D78,jablka5[[#This Row],[sprzedaż]]+G78,jablka5[[#This Row],[sprzedaż]])</f>
        <v>7074</v>
      </c>
      <c r="H79" s="1">
        <f>IF(jablka5[[#This Row],[dot sprz]]&lt;15000,0,IF(jablka5[[#This Row],[dot sprz]]&lt;20000,5,10))</f>
        <v>0</v>
      </c>
      <c r="I79" s="1">
        <f>jablka5[[#This Row],[rabat]]*jablka5[[#This Row],[sprzedaż]]/100</f>
        <v>0</v>
      </c>
    </row>
    <row r="80" spans="1:9" x14ac:dyDescent="0.25">
      <c r="A80" s="2">
        <v>44839</v>
      </c>
      <c r="B80" s="1" t="s">
        <v>14</v>
      </c>
      <c r="C80" s="1" t="s">
        <v>67</v>
      </c>
      <c r="D80" s="1" t="s">
        <v>39</v>
      </c>
      <c r="E80">
        <v>436</v>
      </c>
      <c r="F80" s="1">
        <f>VLOOKUP(jablka5[[#This Row],[Nazwa]],cennik[],2,0) * jablka5[[#This Row],[sprzedaż]]</f>
        <v>1526</v>
      </c>
      <c r="G80" s="1">
        <f>IF(jablka5[[#This Row],[NIP]]=D79,jablka5[[#This Row],[sprzedaż]]+G79,jablka5[[#This Row],[sprzedaż]])</f>
        <v>7510</v>
      </c>
      <c r="H80" s="1">
        <f>IF(jablka5[[#This Row],[dot sprz]]&lt;15000,0,IF(jablka5[[#This Row],[dot sprz]]&lt;20000,5,10))</f>
        <v>0</v>
      </c>
      <c r="I80" s="1">
        <f>jablka5[[#This Row],[rabat]]*jablka5[[#This Row],[sprzedaż]]/100</f>
        <v>0</v>
      </c>
    </row>
    <row r="81" spans="1:9" x14ac:dyDescent="0.25">
      <c r="A81" s="2">
        <v>44879</v>
      </c>
      <c r="B81" s="1" t="s">
        <v>14</v>
      </c>
      <c r="C81" s="1" t="s">
        <v>67</v>
      </c>
      <c r="D81" s="1" t="s">
        <v>39</v>
      </c>
      <c r="E81">
        <v>43</v>
      </c>
      <c r="F81" s="1">
        <f>VLOOKUP(jablka5[[#This Row],[Nazwa]],cennik[],2,0) * jablka5[[#This Row],[sprzedaż]]</f>
        <v>150.5</v>
      </c>
      <c r="G81" s="1">
        <f>IF(jablka5[[#This Row],[NIP]]=D80,jablka5[[#This Row],[sprzedaż]]+G80,jablka5[[#This Row],[sprzedaż]])</f>
        <v>7553</v>
      </c>
      <c r="H81" s="1">
        <f>IF(jablka5[[#This Row],[dot sprz]]&lt;15000,0,IF(jablka5[[#This Row],[dot sprz]]&lt;20000,5,10))</f>
        <v>0</v>
      </c>
      <c r="I81" s="1">
        <f>jablka5[[#This Row],[rabat]]*jablka5[[#This Row],[sprzedaż]]/100</f>
        <v>0</v>
      </c>
    </row>
    <row r="82" spans="1:9" x14ac:dyDescent="0.25">
      <c r="A82" s="2">
        <v>44907</v>
      </c>
      <c r="B82" s="1" t="s">
        <v>15</v>
      </c>
      <c r="C82" s="1" t="s">
        <v>16</v>
      </c>
      <c r="D82" s="1" t="s">
        <v>39</v>
      </c>
      <c r="E82">
        <v>419</v>
      </c>
      <c r="F82" s="1">
        <f>VLOOKUP(jablka5[[#This Row],[Nazwa]],cennik[],2,0) * jablka5[[#This Row],[sprzedaż]]</f>
        <v>1005.5999999999999</v>
      </c>
      <c r="G82" s="1">
        <f>IF(jablka5[[#This Row],[NIP]]=D81,jablka5[[#This Row],[sprzedaż]]+G81,jablka5[[#This Row],[sprzedaż]])</f>
        <v>7972</v>
      </c>
      <c r="H82" s="1">
        <f>IF(jablka5[[#This Row],[dot sprz]]&lt;15000,0,IF(jablka5[[#This Row],[dot sprz]]&lt;20000,5,10))</f>
        <v>0</v>
      </c>
      <c r="I82" s="1">
        <f>jablka5[[#This Row],[rabat]]*jablka5[[#This Row],[sprzedaż]]/100</f>
        <v>0</v>
      </c>
    </row>
    <row r="83" spans="1:9" x14ac:dyDescent="0.25">
      <c r="A83" s="2">
        <v>44911</v>
      </c>
      <c r="B83" s="1" t="s">
        <v>6</v>
      </c>
      <c r="C83" s="1" t="s">
        <v>16</v>
      </c>
      <c r="D83" s="1" t="s">
        <v>39</v>
      </c>
      <c r="E83">
        <v>301</v>
      </c>
      <c r="F83" s="1">
        <f>VLOOKUP(jablka5[[#This Row],[Nazwa]],cennik[],2,0) * jablka5[[#This Row],[sprzedaż]]</f>
        <v>1023.4</v>
      </c>
      <c r="G83" s="1">
        <f>IF(jablka5[[#This Row],[NIP]]=D82,jablka5[[#This Row],[sprzedaż]]+G82,jablka5[[#This Row],[sprzedaż]])</f>
        <v>8273</v>
      </c>
      <c r="H83" s="1">
        <f>IF(jablka5[[#This Row],[dot sprz]]&lt;15000,0,IF(jablka5[[#This Row],[dot sprz]]&lt;20000,5,10))</f>
        <v>0</v>
      </c>
      <c r="I83" s="1">
        <f>jablka5[[#This Row],[rabat]]*jablka5[[#This Row],[sprzedaż]]/100</f>
        <v>0</v>
      </c>
    </row>
    <row r="84" spans="1:9" x14ac:dyDescent="0.25">
      <c r="A84" s="2">
        <v>44912</v>
      </c>
      <c r="B84" s="1" t="s">
        <v>8</v>
      </c>
      <c r="C84" s="1" t="s">
        <v>16</v>
      </c>
      <c r="D84" s="1" t="s">
        <v>39</v>
      </c>
      <c r="E84">
        <v>413</v>
      </c>
      <c r="F84" s="1">
        <f>VLOOKUP(jablka5[[#This Row],[Nazwa]],cennik[],2,0) * jablka5[[#This Row],[sprzedaż]]</f>
        <v>1445.5</v>
      </c>
      <c r="G84" s="1">
        <f>IF(jablka5[[#This Row],[NIP]]=D83,jablka5[[#This Row],[sprzedaż]]+G83,jablka5[[#This Row],[sprzedaż]])</f>
        <v>8686</v>
      </c>
      <c r="H84" s="1">
        <f>IF(jablka5[[#This Row],[dot sprz]]&lt;15000,0,IF(jablka5[[#This Row],[dot sprz]]&lt;20000,5,10))</f>
        <v>0</v>
      </c>
      <c r="I84" s="1">
        <f>jablka5[[#This Row],[rabat]]*jablka5[[#This Row],[sprzedaż]]/100</f>
        <v>0</v>
      </c>
    </row>
    <row r="85" spans="1:9" x14ac:dyDescent="0.25">
      <c r="A85" s="2">
        <v>44916</v>
      </c>
      <c r="B85" s="1" t="s">
        <v>10</v>
      </c>
      <c r="C85" s="1" t="s">
        <v>16</v>
      </c>
      <c r="D85" s="1" t="s">
        <v>39</v>
      </c>
      <c r="E85">
        <v>68</v>
      </c>
      <c r="F85" s="1">
        <f>VLOOKUP(jablka5[[#This Row],[Nazwa]],cennik[],2,0) * jablka5[[#This Row],[sprzedaż]]</f>
        <v>231.2</v>
      </c>
      <c r="G85" s="1">
        <f>IF(jablka5[[#This Row],[NIP]]=D84,jablka5[[#This Row],[sprzedaż]]+G84,jablka5[[#This Row],[sprzedaż]])</f>
        <v>8754</v>
      </c>
      <c r="H85" s="1">
        <f>IF(jablka5[[#This Row],[dot sprz]]&lt;15000,0,IF(jablka5[[#This Row],[dot sprz]]&lt;20000,5,10))</f>
        <v>0</v>
      </c>
      <c r="I85" s="1">
        <f>jablka5[[#This Row],[rabat]]*jablka5[[#This Row],[sprzedaż]]/100</f>
        <v>0</v>
      </c>
    </row>
    <row r="86" spans="1:9" x14ac:dyDescent="0.25">
      <c r="A86" s="2">
        <v>44916</v>
      </c>
      <c r="B86" s="1" t="s">
        <v>7</v>
      </c>
      <c r="C86" s="1" t="s">
        <v>16</v>
      </c>
      <c r="D86" s="1" t="s">
        <v>39</v>
      </c>
      <c r="E86">
        <v>487</v>
      </c>
      <c r="F86" s="1">
        <f>VLOOKUP(jablka5[[#This Row],[Nazwa]],cennik[],2,0) * jablka5[[#This Row],[sprzedaż]]</f>
        <v>1655.8</v>
      </c>
      <c r="G86" s="1">
        <f>IF(jablka5[[#This Row],[NIP]]=D85,jablka5[[#This Row],[sprzedaż]]+G85,jablka5[[#This Row],[sprzedaż]])</f>
        <v>9241</v>
      </c>
      <c r="H86" s="1">
        <f>IF(jablka5[[#This Row],[dot sprz]]&lt;15000,0,IF(jablka5[[#This Row],[dot sprz]]&lt;20000,5,10))</f>
        <v>0</v>
      </c>
      <c r="I86" s="1">
        <f>jablka5[[#This Row],[rabat]]*jablka5[[#This Row],[sprzedaż]]/100</f>
        <v>0</v>
      </c>
    </row>
    <row r="87" spans="1:9" x14ac:dyDescent="0.25">
      <c r="A87" s="2">
        <v>44926</v>
      </c>
      <c r="B87" s="1" t="s">
        <v>10</v>
      </c>
      <c r="C87" s="1" t="s">
        <v>16</v>
      </c>
      <c r="D87" s="1" t="s">
        <v>39</v>
      </c>
      <c r="E87">
        <v>169</v>
      </c>
      <c r="F87" s="1">
        <f>VLOOKUP(jablka5[[#This Row],[Nazwa]],cennik[],2,0) * jablka5[[#This Row],[sprzedaż]]</f>
        <v>574.6</v>
      </c>
      <c r="G87" s="1">
        <f>IF(jablka5[[#This Row],[NIP]]=D86,jablka5[[#This Row],[sprzedaż]]+G86,jablka5[[#This Row],[sprzedaż]])</f>
        <v>9410</v>
      </c>
      <c r="H87" s="1">
        <f>IF(jablka5[[#This Row],[dot sprz]]&lt;15000,0,IF(jablka5[[#This Row],[dot sprz]]&lt;20000,5,10))</f>
        <v>0</v>
      </c>
      <c r="I87" s="1">
        <f>jablka5[[#This Row],[rabat]]*jablka5[[#This Row],[sprzedaż]]/100</f>
        <v>0</v>
      </c>
    </row>
    <row r="88" spans="1:9" x14ac:dyDescent="0.25">
      <c r="A88" s="2">
        <v>44571</v>
      </c>
      <c r="B88" s="1" t="s">
        <v>15</v>
      </c>
      <c r="C88" s="1" t="s">
        <v>16</v>
      </c>
      <c r="D88" s="1" t="s">
        <v>48</v>
      </c>
      <c r="E88">
        <v>260</v>
      </c>
      <c r="F88" s="1">
        <f>VLOOKUP(jablka5[[#This Row],[Nazwa]],cennik[],2,0) * jablka5[[#This Row],[sprzedaż]]</f>
        <v>624</v>
      </c>
      <c r="G88" s="1">
        <f>IF(jablka5[[#This Row],[NIP]]=D87,jablka5[[#This Row],[sprzedaż]]+G87,jablka5[[#This Row],[sprzedaż]])</f>
        <v>260</v>
      </c>
      <c r="H88" s="1">
        <f>IF(jablka5[[#This Row],[dot sprz]]&lt;15000,0,IF(jablka5[[#This Row],[dot sprz]]&lt;20000,5,10))</f>
        <v>0</v>
      </c>
      <c r="I88" s="1">
        <f>jablka5[[#This Row],[rabat]]*jablka5[[#This Row],[sprzedaż]]/100</f>
        <v>0</v>
      </c>
    </row>
    <row r="89" spans="1:9" x14ac:dyDescent="0.25">
      <c r="A89" s="2">
        <v>44578</v>
      </c>
      <c r="B89" s="1" t="s">
        <v>6</v>
      </c>
      <c r="C89" s="1" t="s">
        <v>16</v>
      </c>
      <c r="D89" s="1" t="s">
        <v>48</v>
      </c>
      <c r="E89">
        <v>88</v>
      </c>
      <c r="F89" s="1">
        <f>VLOOKUP(jablka5[[#This Row],[Nazwa]],cennik[],2,0) * jablka5[[#This Row],[sprzedaż]]</f>
        <v>299.2</v>
      </c>
      <c r="G89" s="1">
        <f>IF(jablka5[[#This Row],[NIP]]=D88,jablka5[[#This Row],[sprzedaż]]+G88,jablka5[[#This Row],[sprzedaż]])</f>
        <v>348</v>
      </c>
      <c r="H89" s="1">
        <f>IF(jablka5[[#This Row],[dot sprz]]&lt;15000,0,IF(jablka5[[#This Row],[dot sprz]]&lt;20000,5,10))</f>
        <v>0</v>
      </c>
      <c r="I89" s="1">
        <f>jablka5[[#This Row],[rabat]]*jablka5[[#This Row],[sprzedaż]]/100</f>
        <v>0</v>
      </c>
    </row>
    <row r="90" spans="1:9" x14ac:dyDescent="0.25">
      <c r="A90" s="2">
        <v>44580</v>
      </c>
      <c r="B90" s="1" t="s">
        <v>0</v>
      </c>
      <c r="C90" s="1" t="s">
        <v>16</v>
      </c>
      <c r="D90" s="1" t="s">
        <v>48</v>
      </c>
      <c r="E90">
        <v>482</v>
      </c>
      <c r="F90" s="1">
        <f>VLOOKUP(jablka5[[#This Row],[Nazwa]],cennik[],2,0) * jablka5[[#This Row],[sprzedaż]]</f>
        <v>1397.8</v>
      </c>
      <c r="G90" s="1">
        <f>IF(jablka5[[#This Row],[NIP]]=D89,jablka5[[#This Row],[sprzedaż]]+G89,jablka5[[#This Row],[sprzedaż]])</f>
        <v>830</v>
      </c>
      <c r="H90" s="1">
        <f>IF(jablka5[[#This Row],[dot sprz]]&lt;15000,0,IF(jablka5[[#This Row],[dot sprz]]&lt;20000,5,10))</f>
        <v>0</v>
      </c>
      <c r="I90" s="1">
        <f>jablka5[[#This Row],[rabat]]*jablka5[[#This Row],[sprzedaż]]/100</f>
        <v>0</v>
      </c>
    </row>
    <row r="91" spans="1:9" x14ac:dyDescent="0.25">
      <c r="A91" s="2">
        <v>44582</v>
      </c>
      <c r="B91" s="1" t="s">
        <v>7</v>
      </c>
      <c r="C91" s="1" t="s">
        <v>16</v>
      </c>
      <c r="D91" s="1" t="s">
        <v>48</v>
      </c>
      <c r="E91">
        <v>212</v>
      </c>
      <c r="F91" s="1">
        <f>VLOOKUP(jablka5[[#This Row],[Nazwa]],cennik[],2,0) * jablka5[[#This Row],[sprzedaż]]</f>
        <v>720.8</v>
      </c>
      <c r="G91" s="1">
        <f>IF(jablka5[[#This Row],[NIP]]=D90,jablka5[[#This Row],[sprzedaż]]+G90,jablka5[[#This Row],[sprzedaż]])</f>
        <v>1042</v>
      </c>
      <c r="H91" s="1">
        <f>IF(jablka5[[#This Row],[dot sprz]]&lt;15000,0,IF(jablka5[[#This Row],[dot sprz]]&lt;20000,5,10))</f>
        <v>0</v>
      </c>
      <c r="I91" s="1">
        <f>jablka5[[#This Row],[rabat]]*jablka5[[#This Row],[sprzedaż]]/100</f>
        <v>0</v>
      </c>
    </row>
    <row r="92" spans="1:9" x14ac:dyDescent="0.25">
      <c r="A92" s="2">
        <v>44585</v>
      </c>
      <c r="B92" s="1" t="s">
        <v>4</v>
      </c>
      <c r="C92" s="1" t="s">
        <v>16</v>
      </c>
      <c r="D92" s="1" t="s">
        <v>48</v>
      </c>
      <c r="E92">
        <v>407</v>
      </c>
      <c r="F92" s="1">
        <f>VLOOKUP(jablka5[[#This Row],[Nazwa]],cennik[],2,0) * jablka5[[#This Row],[sprzedaż]]</f>
        <v>1383.8</v>
      </c>
      <c r="G92" s="1">
        <f>IF(jablka5[[#This Row],[NIP]]=D91,jablka5[[#This Row],[sprzedaż]]+G91,jablka5[[#This Row],[sprzedaż]])</f>
        <v>1449</v>
      </c>
      <c r="H92" s="1">
        <f>IF(jablka5[[#This Row],[dot sprz]]&lt;15000,0,IF(jablka5[[#This Row],[dot sprz]]&lt;20000,5,10))</f>
        <v>0</v>
      </c>
      <c r="I92" s="1">
        <f>jablka5[[#This Row],[rabat]]*jablka5[[#This Row],[sprzedaż]]/100</f>
        <v>0</v>
      </c>
    </row>
    <row r="93" spans="1:9" x14ac:dyDescent="0.25">
      <c r="A93" s="2">
        <v>44595</v>
      </c>
      <c r="B93" s="1" t="s">
        <v>8</v>
      </c>
      <c r="C93" s="1" t="s">
        <v>16</v>
      </c>
      <c r="D93" s="1" t="s">
        <v>48</v>
      </c>
      <c r="E93">
        <v>231</v>
      </c>
      <c r="F93" s="1">
        <f>VLOOKUP(jablka5[[#This Row],[Nazwa]],cennik[],2,0) * jablka5[[#This Row],[sprzedaż]]</f>
        <v>808.5</v>
      </c>
      <c r="G93" s="1">
        <f>IF(jablka5[[#This Row],[NIP]]=D92,jablka5[[#This Row],[sprzedaż]]+G92,jablka5[[#This Row],[sprzedaż]])</f>
        <v>1680</v>
      </c>
      <c r="H93" s="1">
        <f>IF(jablka5[[#This Row],[dot sprz]]&lt;15000,0,IF(jablka5[[#This Row],[dot sprz]]&lt;20000,5,10))</f>
        <v>0</v>
      </c>
      <c r="I93" s="1">
        <f>jablka5[[#This Row],[rabat]]*jablka5[[#This Row],[sprzedaż]]/100</f>
        <v>0</v>
      </c>
    </row>
    <row r="94" spans="1:9" x14ac:dyDescent="0.25">
      <c r="A94" s="2">
        <v>44595</v>
      </c>
      <c r="B94" s="1" t="s">
        <v>10</v>
      </c>
      <c r="C94" s="1" t="s">
        <v>16</v>
      </c>
      <c r="D94" s="1" t="s">
        <v>48</v>
      </c>
      <c r="E94">
        <v>255</v>
      </c>
      <c r="F94" s="1">
        <f>VLOOKUP(jablka5[[#This Row],[Nazwa]],cennik[],2,0) * jablka5[[#This Row],[sprzedaż]]</f>
        <v>867</v>
      </c>
      <c r="G94" s="1">
        <f>IF(jablka5[[#This Row],[NIP]]=D93,jablka5[[#This Row],[sprzedaż]]+G93,jablka5[[#This Row],[sprzedaż]])</f>
        <v>1935</v>
      </c>
      <c r="H94" s="1">
        <f>IF(jablka5[[#This Row],[dot sprz]]&lt;15000,0,IF(jablka5[[#This Row],[dot sprz]]&lt;20000,5,10))</f>
        <v>0</v>
      </c>
      <c r="I94" s="1">
        <f>jablka5[[#This Row],[rabat]]*jablka5[[#This Row],[sprzedaż]]/100</f>
        <v>0</v>
      </c>
    </row>
    <row r="95" spans="1:9" x14ac:dyDescent="0.25">
      <c r="A95" s="2">
        <v>44599</v>
      </c>
      <c r="B95" s="1" t="s">
        <v>0</v>
      </c>
      <c r="C95" s="1" t="s">
        <v>16</v>
      </c>
      <c r="D95" s="1" t="s">
        <v>48</v>
      </c>
      <c r="E95">
        <v>49</v>
      </c>
      <c r="F95" s="1">
        <f>VLOOKUP(jablka5[[#This Row],[Nazwa]],cennik[],2,0) * jablka5[[#This Row],[sprzedaż]]</f>
        <v>142.1</v>
      </c>
      <c r="G95" s="1">
        <f>IF(jablka5[[#This Row],[NIP]]=D94,jablka5[[#This Row],[sprzedaż]]+G94,jablka5[[#This Row],[sprzedaż]])</f>
        <v>1984</v>
      </c>
      <c r="H95" s="1">
        <f>IF(jablka5[[#This Row],[dot sprz]]&lt;15000,0,IF(jablka5[[#This Row],[dot sprz]]&lt;20000,5,10))</f>
        <v>0</v>
      </c>
      <c r="I95" s="1">
        <f>jablka5[[#This Row],[rabat]]*jablka5[[#This Row],[sprzedaż]]/100</f>
        <v>0</v>
      </c>
    </row>
    <row r="96" spans="1:9" x14ac:dyDescent="0.25">
      <c r="A96" s="2">
        <v>44604</v>
      </c>
      <c r="B96" s="1" t="s">
        <v>2</v>
      </c>
      <c r="C96" s="1" t="s">
        <v>16</v>
      </c>
      <c r="D96" s="1" t="s">
        <v>48</v>
      </c>
      <c r="E96">
        <v>163</v>
      </c>
      <c r="F96" s="1">
        <f>VLOOKUP(jablka5[[#This Row],[Nazwa]],cennik[],2,0) * jablka5[[#This Row],[sprzedaż]]</f>
        <v>521.6</v>
      </c>
      <c r="G96" s="1">
        <f>IF(jablka5[[#This Row],[NIP]]=D95,jablka5[[#This Row],[sprzedaż]]+G95,jablka5[[#This Row],[sprzedaż]])</f>
        <v>2147</v>
      </c>
      <c r="H96" s="1">
        <f>IF(jablka5[[#This Row],[dot sprz]]&lt;15000,0,IF(jablka5[[#This Row],[dot sprz]]&lt;20000,5,10))</f>
        <v>0</v>
      </c>
      <c r="I96" s="1">
        <f>jablka5[[#This Row],[rabat]]*jablka5[[#This Row],[sprzedaż]]/100</f>
        <v>0</v>
      </c>
    </row>
    <row r="97" spans="1:9" x14ac:dyDescent="0.25">
      <c r="A97" s="2">
        <v>44607</v>
      </c>
      <c r="B97" s="1" t="s">
        <v>5</v>
      </c>
      <c r="C97" s="1" t="s">
        <v>16</v>
      </c>
      <c r="D97" s="1" t="s">
        <v>48</v>
      </c>
      <c r="E97">
        <v>301</v>
      </c>
      <c r="F97" s="1">
        <f>VLOOKUP(jablka5[[#This Row],[Nazwa]],cennik[],2,0) * jablka5[[#This Row],[sprzedaż]]</f>
        <v>1023.4</v>
      </c>
      <c r="G97" s="1">
        <f>IF(jablka5[[#This Row],[NIP]]=D96,jablka5[[#This Row],[sprzedaż]]+G96,jablka5[[#This Row],[sprzedaż]])</f>
        <v>2448</v>
      </c>
      <c r="H97" s="1">
        <f>IF(jablka5[[#This Row],[dot sprz]]&lt;15000,0,IF(jablka5[[#This Row],[dot sprz]]&lt;20000,5,10))</f>
        <v>0</v>
      </c>
      <c r="I97" s="1">
        <f>jablka5[[#This Row],[rabat]]*jablka5[[#This Row],[sprzedaż]]/100</f>
        <v>0</v>
      </c>
    </row>
    <row r="98" spans="1:9" x14ac:dyDescent="0.25">
      <c r="A98" s="2">
        <v>44608</v>
      </c>
      <c r="B98" s="1" t="s">
        <v>2</v>
      </c>
      <c r="C98" s="1" t="s">
        <v>16</v>
      </c>
      <c r="D98" s="1" t="s">
        <v>48</v>
      </c>
      <c r="E98">
        <v>39</v>
      </c>
      <c r="F98" s="1">
        <f>VLOOKUP(jablka5[[#This Row],[Nazwa]],cennik[],2,0) * jablka5[[#This Row],[sprzedaż]]</f>
        <v>124.80000000000001</v>
      </c>
      <c r="G98" s="1">
        <f>IF(jablka5[[#This Row],[NIP]]=D97,jablka5[[#This Row],[sprzedaż]]+G97,jablka5[[#This Row],[sprzedaż]])</f>
        <v>2487</v>
      </c>
      <c r="H98" s="1">
        <f>IF(jablka5[[#This Row],[dot sprz]]&lt;15000,0,IF(jablka5[[#This Row],[dot sprz]]&lt;20000,5,10))</f>
        <v>0</v>
      </c>
      <c r="I98" s="1">
        <f>jablka5[[#This Row],[rabat]]*jablka5[[#This Row],[sprzedaż]]/100</f>
        <v>0</v>
      </c>
    </row>
    <row r="99" spans="1:9" x14ac:dyDescent="0.25">
      <c r="A99" s="2">
        <v>44610</v>
      </c>
      <c r="B99" s="1" t="s">
        <v>8</v>
      </c>
      <c r="C99" s="1" t="s">
        <v>16</v>
      </c>
      <c r="D99" s="1" t="s">
        <v>48</v>
      </c>
      <c r="E99">
        <v>610</v>
      </c>
      <c r="F99" s="1">
        <f>VLOOKUP(jablka5[[#This Row],[Nazwa]],cennik[],2,0) * jablka5[[#This Row],[sprzedaż]]</f>
        <v>2135</v>
      </c>
      <c r="G99" s="1">
        <f>IF(jablka5[[#This Row],[NIP]]=D98,jablka5[[#This Row],[sprzedaż]]+G98,jablka5[[#This Row],[sprzedaż]])</f>
        <v>3097</v>
      </c>
      <c r="H99" s="1">
        <f>IF(jablka5[[#This Row],[dot sprz]]&lt;15000,0,IF(jablka5[[#This Row],[dot sprz]]&lt;20000,5,10))</f>
        <v>0</v>
      </c>
      <c r="I99" s="1">
        <f>jablka5[[#This Row],[rabat]]*jablka5[[#This Row],[sprzedaż]]/100</f>
        <v>0</v>
      </c>
    </row>
    <row r="100" spans="1:9" x14ac:dyDescent="0.25">
      <c r="A100" s="2">
        <v>44611</v>
      </c>
      <c r="B100" s="1" t="s">
        <v>0</v>
      </c>
      <c r="C100" s="1" t="s">
        <v>16</v>
      </c>
      <c r="D100" s="1" t="s">
        <v>48</v>
      </c>
      <c r="E100">
        <v>342</v>
      </c>
      <c r="F100" s="1">
        <f>VLOOKUP(jablka5[[#This Row],[Nazwa]],cennik[],2,0) * jablka5[[#This Row],[sprzedaż]]</f>
        <v>991.8</v>
      </c>
      <c r="G100" s="1">
        <f>IF(jablka5[[#This Row],[NIP]]=D99,jablka5[[#This Row],[sprzedaż]]+G99,jablka5[[#This Row],[sprzedaż]])</f>
        <v>3439</v>
      </c>
      <c r="H100" s="1">
        <f>IF(jablka5[[#This Row],[dot sprz]]&lt;15000,0,IF(jablka5[[#This Row],[dot sprz]]&lt;20000,5,10))</f>
        <v>0</v>
      </c>
      <c r="I100" s="1">
        <f>jablka5[[#This Row],[rabat]]*jablka5[[#This Row],[sprzedaż]]/100</f>
        <v>0</v>
      </c>
    </row>
    <row r="101" spans="1:9" x14ac:dyDescent="0.25">
      <c r="A101" s="2">
        <v>44613</v>
      </c>
      <c r="B101" s="1" t="s">
        <v>4</v>
      </c>
      <c r="C101" s="1" t="s">
        <v>16</v>
      </c>
      <c r="D101" s="1" t="s">
        <v>48</v>
      </c>
      <c r="E101">
        <v>354</v>
      </c>
      <c r="F101" s="1">
        <f>VLOOKUP(jablka5[[#This Row],[Nazwa]],cennik[],2,0) * jablka5[[#This Row],[sprzedaż]]</f>
        <v>1203.5999999999999</v>
      </c>
      <c r="G101" s="1">
        <f>IF(jablka5[[#This Row],[NIP]]=D100,jablka5[[#This Row],[sprzedaż]]+G100,jablka5[[#This Row],[sprzedaż]])</f>
        <v>3793</v>
      </c>
      <c r="H101" s="1">
        <f>IF(jablka5[[#This Row],[dot sprz]]&lt;15000,0,IF(jablka5[[#This Row],[dot sprz]]&lt;20000,5,10))</f>
        <v>0</v>
      </c>
      <c r="I101" s="1">
        <f>jablka5[[#This Row],[rabat]]*jablka5[[#This Row],[sprzedaż]]/100</f>
        <v>0</v>
      </c>
    </row>
    <row r="102" spans="1:9" x14ac:dyDescent="0.25">
      <c r="A102" s="2">
        <v>44616</v>
      </c>
      <c r="B102" s="1" t="s">
        <v>0</v>
      </c>
      <c r="C102" s="1" t="s">
        <v>16</v>
      </c>
      <c r="D102" s="1" t="s">
        <v>48</v>
      </c>
      <c r="E102">
        <v>418</v>
      </c>
      <c r="F102" s="1">
        <f>VLOOKUP(jablka5[[#This Row],[Nazwa]],cennik[],2,0) * jablka5[[#This Row],[sprzedaż]]</f>
        <v>1212.2</v>
      </c>
      <c r="G102" s="1">
        <f>IF(jablka5[[#This Row],[NIP]]=D101,jablka5[[#This Row],[sprzedaż]]+G101,jablka5[[#This Row],[sprzedaż]])</f>
        <v>4211</v>
      </c>
      <c r="H102" s="1">
        <f>IF(jablka5[[#This Row],[dot sprz]]&lt;15000,0,IF(jablka5[[#This Row],[dot sprz]]&lt;20000,5,10))</f>
        <v>0</v>
      </c>
      <c r="I102" s="1">
        <f>jablka5[[#This Row],[rabat]]*jablka5[[#This Row],[sprzedaż]]/100</f>
        <v>0</v>
      </c>
    </row>
    <row r="103" spans="1:9" x14ac:dyDescent="0.25">
      <c r="A103" s="2">
        <v>44627</v>
      </c>
      <c r="B103" s="1" t="s">
        <v>7</v>
      </c>
      <c r="C103" s="1" t="s">
        <v>16</v>
      </c>
      <c r="D103" s="1" t="s">
        <v>48</v>
      </c>
      <c r="E103">
        <v>419</v>
      </c>
      <c r="F103" s="1">
        <f>VLOOKUP(jablka5[[#This Row],[Nazwa]],cennik[],2,0) * jablka5[[#This Row],[sprzedaż]]</f>
        <v>1424.6</v>
      </c>
      <c r="G103" s="1">
        <f>IF(jablka5[[#This Row],[NIP]]=D102,jablka5[[#This Row],[sprzedaż]]+G102,jablka5[[#This Row],[sprzedaż]])</f>
        <v>4630</v>
      </c>
      <c r="H103" s="1">
        <f>IF(jablka5[[#This Row],[dot sprz]]&lt;15000,0,IF(jablka5[[#This Row],[dot sprz]]&lt;20000,5,10))</f>
        <v>0</v>
      </c>
      <c r="I103" s="1">
        <f>jablka5[[#This Row],[rabat]]*jablka5[[#This Row],[sprzedaż]]/100</f>
        <v>0</v>
      </c>
    </row>
    <row r="104" spans="1:9" x14ac:dyDescent="0.25">
      <c r="A104" s="2">
        <v>44635</v>
      </c>
      <c r="B104" s="1" t="s">
        <v>7</v>
      </c>
      <c r="C104" s="1" t="s">
        <v>16</v>
      </c>
      <c r="D104" s="1" t="s">
        <v>48</v>
      </c>
      <c r="E104">
        <v>245</v>
      </c>
      <c r="F104" s="1">
        <f>VLOOKUP(jablka5[[#This Row],[Nazwa]],cennik[],2,0) * jablka5[[#This Row],[sprzedaż]]</f>
        <v>833</v>
      </c>
      <c r="G104" s="1">
        <f>IF(jablka5[[#This Row],[NIP]]=D103,jablka5[[#This Row],[sprzedaż]]+G103,jablka5[[#This Row],[sprzedaż]])</f>
        <v>4875</v>
      </c>
      <c r="H104" s="1">
        <f>IF(jablka5[[#This Row],[dot sprz]]&lt;15000,0,IF(jablka5[[#This Row],[dot sprz]]&lt;20000,5,10))</f>
        <v>0</v>
      </c>
      <c r="I104" s="1">
        <f>jablka5[[#This Row],[rabat]]*jablka5[[#This Row],[sprzedaż]]/100</f>
        <v>0</v>
      </c>
    </row>
    <row r="105" spans="1:9" x14ac:dyDescent="0.25">
      <c r="A105" s="2">
        <v>44646</v>
      </c>
      <c r="B105" s="1" t="s">
        <v>10</v>
      </c>
      <c r="C105" s="1" t="s">
        <v>16</v>
      </c>
      <c r="D105" s="1" t="s">
        <v>48</v>
      </c>
      <c r="E105">
        <v>93</v>
      </c>
      <c r="F105" s="1">
        <f>VLOOKUP(jablka5[[#This Row],[Nazwa]],cennik[],2,0) * jablka5[[#This Row],[sprzedaż]]</f>
        <v>316.2</v>
      </c>
      <c r="G105" s="1">
        <f>IF(jablka5[[#This Row],[NIP]]=D104,jablka5[[#This Row],[sprzedaż]]+G104,jablka5[[#This Row],[sprzedaż]])</f>
        <v>4968</v>
      </c>
      <c r="H105" s="1">
        <f>IF(jablka5[[#This Row],[dot sprz]]&lt;15000,0,IF(jablka5[[#This Row],[dot sprz]]&lt;20000,5,10))</f>
        <v>0</v>
      </c>
      <c r="I105" s="1">
        <f>jablka5[[#This Row],[rabat]]*jablka5[[#This Row],[sprzedaż]]/100</f>
        <v>0</v>
      </c>
    </row>
    <row r="106" spans="1:9" x14ac:dyDescent="0.25">
      <c r="A106" s="2">
        <v>44649</v>
      </c>
      <c r="B106" s="1" t="s">
        <v>7</v>
      </c>
      <c r="C106" s="1" t="s">
        <v>16</v>
      </c>
      <c r="D106" s="1" t="s">
        <v>48</v>
      </c>
      <c r="E106">
        <v>677</v>
      </c>
      <c r="F106" s="1">
        <f>VLOOKUP(jablka5[[#This Row],[Nazwa]],cennik[],2,0) * jablka5[[#This Row],[sprzedaż]]</f>
        <v>2301.7999999999997</v>
      </c>
      <c r="G106" s="1">
        <f>IF(jablka5[[#This Row],[NIP]]=D105,jablka5[[#This Row],[sprzedaż]]+G105,jablka5[[#This Row],[sprzedaż]])</f>
        <v>5645</v>
      </c>
      <c r="H106" s="1">
        <f>IF(jablka5[[#This Row],[dot sprz]]&lt;15000,0,IF(jablka5[[#This Row],[dot sprz]]&lt;20000,5,10))</f>
        <v>0</v>
      </c>
      <c r="I106" s="1">
        <f>jablka5[[#This Row],[rabat]]*jablka5[[#This Row],[sprzedaż]]/100</f>
        <v>0</v>
      </c>
    </row>
    <row r="107" spans="1:9" x14ac:dyDescent="0.25">
      <c r="A107" s="2">
        <v>44683</v>
      </c>
      <c r="B107" s="1" t="s">
        <v>10</v>
      </c>
      <c r="C107" s="1" t="s">
        <v>16</v>
      </c>
      <c r="D107" s="1" t="s">
        <v>48</v>
      </c>
      <c r="E107">
        <v>490</v>
      </c>
      <c r="F107" s="1">
        <f>VLOOKUP(jablka5[[#This Row],[Nazwa]],cennik[],2,0) * jablka5[[#This Row],[sprzedaż]]</f>
        <v>1666</v>
      </c>
      <c r="G107" s="1">
        <f>IF(jablka5[[#This Row],[NIP]]=D106,jablka5[[#This Row],[sprzedaż]]+G106,jablka5[[#This Row],[sprzedaż]])</f>
        <v>6135</v>
      </c>
      <c r="H107" s="1">
        <f>IF(jablka5[[#This Row],[dot sprz]]&lt;15000,0,IF(jablka5[[#This Row],[dot sprz]]&lt;20000,5,10))</f>
        <v>0</v>
      </c>
      <c r="I107" s="1">
        <f>jablka5[[#This Row],[rabat]]*jablka5[[#This Row],[sprzedaż]]/100</f>
        <v>0</v>
      </c>
    </row>
    <row r="108" spans="1:9" x14ac:dyDescent="0.25">
      <c r="A108" s="2">
        <v>44690</v>
      </c>
      <c r="B108" s="1" t="s">
        <v>6</v>
      </c>
      <c r="C108" s="1" t="s">
        <v>16</v>
      </c>
      <c r="D108" s="1" t="s">
        <v>48</v>
      </c>
      <c r="E108">
        <v>45</v>
      </c>
      <c r="F108" s="1">
        <f>VLOOKUP(jablka5[[#This Row],[Nazwa]],cennik[],2,0) * jablka5[[#This Row],[sprzedaż]]</f>
        <v>153</v>
      </c>
      <c r="G108" s="1">
        <f>IF(jablka5[[#This Row],[NIP]]=D107,jablka5[[#This Row],[sprzedaż]]+G107,jablka5[[#This Row],[sprzedaż]])</f>
        <v>6180</v>
      </c>
      <c r="H108" s="1">
        <f>IF(jablka5[[#This Row],[dot sprz]]&lt;15000,0,IF(jablka5[[#This Row],[dot sprz]]&lt;20000,5,10))</f>
        <v>0</v>
      </c>
      <c r="I108" s="1">
        <f>jablka5[[#This Row],[rabat]]*jablka5[[#This Row],[sprzedaż]]/100</f>
        <v>0</v>
      </c>
    </row>
    <row r="109" spans="1:9" x14ac:dyDescent="0.25">
      <c r="A109" s="2">
        <v>44691</v>
      </c>
      <c r="B109" s="1" t="s">
        <v>7</v>
      </c>
      <c r="C109" s="1" t="s">
        <v>16</v>
      </c>
      <c r="D109" s="1" t="s">
        <v>48</v>
      </c>
      <c r="E109">
        <v>410</v>
      </c>
      <c r="F109" s="1">
        <f>VLOOKUP(jablka5[[#This Row],[Nazwa]],cennik[],2,0) * jablka5[[#This Row],[sprzedaż]]</f>
        <v>1394</v>
      </c>
      <c r="G109" s="1">
        <f>IF(jablka5[[#This Row],[NIP]]=D108,jablka5[[#This Row],[sprzedaż]]+G108,jablka5[[#This Row],[sprzedaż]])</f>
        <v>6590</v>
      </c>
      <c r="H109" s="1">
        <f>IF(jablka5[[#This Row],[dot sprz]]&lt;15000,0,IF(jablka5[[#This Row],[dot sprz]]&lt;20000,5,10))</f>
        <v>0</v>
      </c>
      <c r="I109" s="1">
        <f>jablka5[[#This Row],[rabat]]*jablka5[[#This Row],[sprzedaż]]/100</f>
        <v>0</v>
      </c>
    </row>
    <row r="110" spans="1:9" x14ac:dyDescent="0.25">
      <c r="A110" s="2">
        <v>44694</v>
      </c>
      <c r="B110" s="1" t="s">
        <v>6</v>
      </c>
      <c r="C110" s="1" t="s">
        <v>16</v>
      </c>
      <c r="D110" s="1" t="s">
        <v>48</v>
      </c>
      <c r="E110">
        <v>91</v>
      </c>
      <c r="F110" s="1">
        <f>VLOOKUP(jablka5[[#This Row],[Nazwa]],cennik[],2,0) * jablka5[[#This Row],[sprzedaż]]</f>
        <v>309.39999999999998</v>
      </c>
      <c r="G110" s="1">
        <f>IF(jablka5[[#This Row],[NIP]]=D109,jablka5[[#This Row],[sprzedaż]]+G109,jablka5[[#This Row],[sprzedaż]])</f>
        <v>6681</v>
      </c>
      <c r="H110" s="1">
        <f>IF(jablka5[[#This Row],[dot sprz]]&lt;15000,0,IF(jablka5[[#This Row],[dot sprz]]&lt;20000,5,10))</f>
        <v>0</v>
      </c>
      <c r="I110" s="1">
        <f>jablka5[[#This Row],[rabat]]*jablka5[[#This Row],[sprzedaż]]/100</f>
        <v>0</v>
      </c>
    </row>
    <row r="111" spans="1:9" x14ac:dyDescent="0.25">
      <c r="A111" s="2">
        <v>44702</v>
      </c>
      <c r="B111" s="1" t="s">
        <v>15</v>
      </c>
      <c r="C111" s="1" t="s">
        <v>16</v>
      </c>
      <c r="D111" s="1" t="s">
        <v>48</v>
      </c>
      <c r="E111">
        <v>136</v>
      </c>
      <c r="F111" s="1">
        <f>VLOOKUP(jablka5[[#This Row],[Nazwa]],cennik[],2,0) * jablka5[[#This Row],[sprzedaż]]</f>
        <v>326.39999999999998</v>
      </c>
      <c r="G111" s="1">
        <f>IF(jablka5[[#This Row],[NIP]]=D110,jablka5[[#This Row],[sprzedaż]]+G110,jablka5[[#This Row],[sprzedaż]])</f>
        <v>6817</v>
      </c>
      <c r="H111" s="1">
        <f>IF(jablka5[[#This Row],[dot sprz]]&lt;15000,0,IF(jablka5[[#This Row],[dot sprz]]&lt;20000,5,10))</f>
        <v>0</v>
      </c>
      <c r="I111" s="1">
        <f>jablka5[[#This Row],[rabat]]*jablka5[[#This Row],[sprzedaż]]/100</f>
        <v>0</v>
      </c>
    </row>
    <row r="112" spans="1:9" x14ac:dyDescent="0.25">
      <c r="A112" s="2">
        <v>44706</v>
      </c>
      <c r="B112" s="1" t="s">
        <v>5</v>
      </c>
      <c r="C112" s="1" t="s">
        <v>16</v>
      </c>
      <c r="D112" s="1" t="s">
        <v>48</v>
      </c>
      <c r="E112">
        <v>81</v>
      </c>
      <c r="F112" s="1">
        <f>VLOOKUP(jablka5[[#This Row],[Nazwa]],cennik[],2,0) * jablka5[[#This Row],[sprzedaż]]</f>
        <v>275.39999999999998</v>
      </c>
      <c r="G112" s="1">
        <f>IF(jablka5[[#This Row],[NIP]]=D111,jablka5[[#This Row],[sprzedaż]]+G111,jablka5[[#This Row],[sprzedaż]])</f>
        <v>6898</v>
      </c>
      <c r="H112" s="1">
        <f>IF(jablka5[[#This Row],[dot sprz]]&lt;15000,0,IF(jablka5[[#This Row],[dot sprz]]&lt;20000,5,10))</f>
        <v>0</v>
      </c>
      <c r="I112" s="1">
        <f>jablka5[[#This Row],[rabat]]*jablka5[[#This Row],[sprzedaż]]/100</f>
        <v>0</v>
      </c>
    </row>
    <row r="113" spans="1:9" x14ac:dyDescent="0.25">
      <c r="A113" s="2">
        <v>44708</v>
      </c>
      <c r="B113" s="1" t="s">
        <v>10</v>
      </c>
      <c r="C113" s="1" t="s">
        <v>16</v>
      </c>
      <c r="D113" s="1" t="s">
        <v>48</v>
      </c>
      <c r="E113">
        <v>117</v>
      </c>
      <c r="F113" s="1">
        <f>VLOOKUP(jablka5[[#This Row],[Nazwa]],cennik[],2,0) * jablka5[[#This Row],[sprzedaż]]</f>
        <v>397.8</v>
      </c>
      <c r="G113" s="1">
        <f>IF(jablka5[[#This Row],[NIP]]=D112,jablka5[[#This Row],[sprzedaż]]+G112,jablka5[[#This Row],[sprzedaż]])</f>
        <v>7015</v>
      </c>
      <c r="H113" s="1">
        <f>IF(jablka5[[#This Row],[dot sprz]]&lt;15000,0,IF(jablka5[[#This Row],[dot sprz]]&lt;20000,5,10))</f>
        <v>0</v>
      </c>
      <c r="I113" s="1">
        <f>jablka5[[#This Row],[rabat]]*jablka5[[#This Row],[sprzedaż]]/100</f>
        <v>0</v>
      </c>
    </row>
    <row r="114" spans="1:9" x14ac:dyDescent="0.25">
      <c r="A114" s="2">
        <v>44718</v>
      </c>
      <c r="B114" s="1" t="s">
        <v>12</v>
      </c>
      <c r="C114" s="1" t="s">
        <v>68</v>
      </c>
      <c r="D114" s="1" t="s">
        <v>48</v>
      </c>
      <c r="E114">
        <v>321</v>
      </c>
      <c r="F114" s="1">
        <f>VLOOKUP(jablka5[[#This Row],[Nazwa]],cennik[],2,0) * jablka5[[#This Row],[sprzedaż]]</f>
        <v>866.7</v>
      </c>
      <c r="G114" s="1">
        <f>IF(jablka5[[#This Row],[NIP]]=D113,jablka5[[#This Row],[sprzedaż]]+G113,jablka5[[#This Row],[sprzedaż]])</f>
        <v>7336</v>
      </c>
      <c r="H114" s="1">
        <f>IF(jablka5[[#This Row],[dot sprz]]&lt;15000,0,IF(jablka5[[#This Row],[dot sprz]]&lt;20000,5,10))</f>
        <v>0</v>
      </c>
      <c r="I114" s="1">
        <f>jablka5[[#This Row],[rabat]]*jablka5[[#This Row],[sprzedaż]]/100</f>
        <v>0</v>
      </c>
    </row>
    <row r="115" spans="1:9" x14ac:dyDescent="0.25">
      <c r="A115" s="2">
        <v>44729</v>
      </c>
      <c r="B115" s="1" t="s">
        <v>14</v>
      </c>
      <c r="C115" s="1" t="s">
        <v>67</v>
      </c>
      <c r="D115" s="1" t="s">
        <v>48</v>
      </c>
      <c r="E115">
        <v>491</v>
      </c>
      <c r="F115" s="1">
        <f>VLOOKUP(jablka5[[#This Row],[Nazwa]],cennik[],2,0) * jablka5[[#This Row],[sprzedaż]]</f>
        <v>1718.5</v>
      </c>
      <c r="G115" s="1">
        <f>IF(jablka5[[#This Row],[NIP]]=D114,jablka5[[#This Row],[sprzedaż]]+G114,jablka5[[#This Row],[sprzedaż]])</f>
        <v>7827</v>
      </c>
      <c r="H115" s="1">
        <f>IF(jablka5[[#This Row],[dot sprz]]&lt;15000,0,IF(jablka5[[#This Row],[dot sprz]]&lt;20000,5,10))</f>
        <v>0</v>
      </c>
      <c r="I115" s="1">
        <f>jablka5[[#This Row],[rabat]]*jablka5[[#This Row],[sprzedaż]]/100</f>
        <v>0</v>
      </c>
    </row>
    <row r="116" spans="1:9" x14ac:dyDescent="0.25">
      <c r="A116" s="2">
        <v>44730</v>
      </c>
      <c r="B116" s="1" t="s">
        <v>13</v>
      </c>
      <c r="C116" s="1" t="s">
        <v>68</v>
      </c>
      <c r="D116" s="1" t="s">
        <v>48</v>
      </c>
      <c r="E116">
        <v>315</v>
      </c>
      <c r="F116" s="1">
        <f>VLOOKUP(jablka5[[#This Row],[Nazwa]],cennik[],2,0) * jablka5[[#This Row],[sprzedaż]]</f>
        <v>1008</v>
      </c>
      <c r="G116" s="1">
        <f>IF(jablka5[[#This Row],[NIP]]=D115,jablka5[[#This Row],[sprzedaż]]+G115,jablka5[[#This Row],[sprzedaż]])</f>
        <v>8142</v>
      </c>
      <c r="H116" s="1">
        <f>IF(jablka5[[#This Row],[dot sprz]]&lt;15000,0,IF(jablka5[[#This Row],[dot sprz]]&lt;20000,5,10))</f>
        <v>0</v>
      </c>
      <c r="I116" s="1">
        <f>jablka5[[#This Row],[rabat]]*jablka5[[#This Row],[sprzedaż]]/100</f>
        <v>0</v>
      </c>
    </row>
    <row r="117" spans="1:9" x14ac:dyDescent="0.25">
      <c r="A117" s="2">
        <v>44739</v>
      </c>
      <c r="B117" s="1" t="s">
        <v>13</v>
      </c>
      <c r="C117" s="1" t="s">
        <v>68</v>
      </c>
      <c r="D117" s="1" t="s">
        <v>48</v>
      </c>
      <c r="E117">
        <v>499</v>
      </c>
      <c r="F117" s="1">
        <f>VLOOKUP(jablka5[[#This Row],[Nazwa]],cennik[],2,0) * jablka5[[#This Row],[sprzedaż]]</f>
        <v>1596.8000000000002</v>
      </c>
      <c r="G117" s="1">
        <f>IF(jablka5[[#This Row],[NIP]]=D116,jablka5[[#This Row],[sprzedaż]]+G116,jablka5[[#This Row],[sprzedaż]])</f>
        <v>8641</v>
      </c>
      <c r="H117" s="1">
        <f>IF(jablka5[[#This Row],[dot sprz]]&lt;15000,0,IF(jablka5[[#This Row],[dot sprz]]&lt;20000,5,10))</f>
        <v>0</v>
      </c>
      <c r="I117" s="1">
        <f>jablka5[[#This Row],[rabat]]*jablka5[[#This Row],[sprzedaż]]/100</f>
        <v>0</v>
      </c>
    </row>
    <row r="118" spans="1:9" x14ac:dyDescent="0.25">
      <c r="A118" s="2">
        <v>44740</v>
      </c>
      <c r="B118" s="1" t="s">
        <v>13</v>
      </c>
      <c r="C118" s="1" t="s">
        <v>68</v>
      </c>
      <c r="D118" s="1" t="s">
        <v>48</v>
      </c>
      <c r="E118">
        <v>139</v>
      </c>
      <c r="F118" s="1">
        <f>VLOOKUP(jablka5[[#This Row],[Nazwa]],cennik[],2,0) * jablka5[[#This Row],[sprzedaż]]</f>
        <v>444.8</v>
      </c>
      <c r="G118" s="1">
        <f>IF(jablka5[[#This Row],[NIP]]=D117,jablka5[[#This Row],[sprzedaż]]+G117,jablka5[[#This Row],[sprzedaż]])</f>
        <v>8780</v>
      </c>
      <c r="H118" s="1">
        <f>IF(jablka5[[#This Row],[dot sprz]]&lt;15000,0,IF(jablka5[[#This Row],[dot sprz]]&lt;20000,5,10))</f>
        <v>0</v>
      </c>
      <c r="I118" s="1">
        <f>jablka5[[#This Row],[rabat]]*jablka5[[#This Row],[sprzedaż]]/100</f>
        <v>0</v>
      </c>
    </row>
    <row r="119" spans="1:9" x14ac:dyDescent="0.25">
      <c r="A119" s="2">
        <v>44746</v>
      </c>
      <c r="B119" s="1" t="s">
        <v>12</v>
      </c>
      <c r="C119" s="1" t="s">
        <v>68</v>
      </c>
      <c r="D119" s="1" t="s">
        <v>48</v>
      </c>
      <c r="E119">
        <v>453</v>
      </c>
      <c r="F119" s="1">
        <f>VLOOKUP(jablka5[[#This Row],[Nazwa]],cennik[],2,0) * jablka5[[#This Row],[sprzedaż]]</f>
        <v>1223.1000000000001</v>
      </c>
      <c r="G119" s="1">
        <f>IF(jablka5[[#This Row],[NIP]]=D118,jablka5[[#This Row],[sprzedaż]]+G118,jablka5[[#This Row],[sprzedaż]])</f>
        <v>9233</v>
      </c>
      <c r="H119" s="1">
        <f>IF(jablka5[[#This Row],[dot sprz]]&lt;15000,0,IF(jablka5[[#This Row],[dot sprz]]&lt;20000,5,10))</f>
        <v>0</v>
      </c>
      <c r="I119" s="1">
        <f>jablka5[[#This Row],[rabat]]*jablka5[[#This Row],[sprzedaż]]/100</f>
        <v>0</v>
      </c>
    </row>
    <row r="120" spans="1:9" x14ac:dyDescent="0.25">
      <c r="A120" s="2">
        <v>44754</v>
      </c>
      <c r="B120" s="1" t="s">
        <v>12</v>
      </c>
      <c r="C120" s="1" t="s">
        <v>68</v>
      </c>
      <c r="D120" s="1" t="s">
        <v>48</v>
      </c>
      <c r="E120">
        <v>221</v>
      </c>
      <c r="F120" s="1">
        <f>VLOOKUP(jablka5[[#This Row],[Nazwa]],cennik[],2,0) * jablka5[[#This Row],[sprzedaż]]</f>
        <v>596.70000000000005</v>
      </c>
      <c r="G120" s="1">
        <f>IF(jablka5[[#This Row],[NIP]]=D119,jablka5[[#This Row],[sprzedaż]]+G119,jablka5[[#This Row],[sprzedaż]])</f>
        <v>9454</v>
      </c>
      <c r="H120" s="1">
        <f>IF(jablka5[[#This Row],[dot sprz]]&lt;15000,0,IF(jablka5[[#This Row],[dot sprz]]&lt;20000,5,10))</f>
        <v>0</v>
      </c>
      <c r="I120" s="1">
        <f>jablka5[[#This Row],[rabat]]*jablka5[[#This Row],[sprzedaż]]/100</f>
        <v>0</v>
      </c>
    </row>
    <row r="121" spans="1:9" x14ac:dyDescent="0.25">
      <c r="A121" s="2">
        <v>44755</v>
      </c>
      <c r="B121" s="1" t="s">
        <v>13</v>
      </c>
      <c r="C121" s="1" t="s">
        <v>68</v>
      </c>
      <c r="D121" s="1" t="s">
        <v>48</v>
      </c>
      <c r="E121">
        <v>276</v>
      </c>
      <c r="F121" s="1">
        <f>VLOOKUP(jablka5[[#This Row],[Nazwa]],cennik[],2,0) * jablka5[[#This Row],[sprzedaż]]</f>
        <v>883.2</v>
      </c>
      <c r="G121" s="1">
        <f>IF(jablka5[[#This Row],[NIP]]=D120,jablka5[[#This Row],[sprzedaż]]+G120,jablka5[[#This Row],[sprzedaż]])</f>
        <v>9730</v>
      </c>
      <c r="H121" s="1">
        <f>IF(jablka5[[#This Row],[dot sprz]]&lt;15000,0,IF(jablka5[[#This Row],[dot sprz]]&lt;20000,5,10))</f>
        <v>0</v>
      </c>
      <c r="I121" s="1">
        <f>jablka5[[#This Row],[rabat]]*jablka5[[#This Row],[sprzedaż]]/100</f>
        <v>0</v>
      </c>
    </row>
    <row r="122" spans="1:9" x14ac:dyDescent="0.25">
      <c r="A122" s="2">
        <v>44760</v>
      </c>
      <c r="B122" s="1" t="s">
        <v>12</v>
      </c>
      <c r="C122" s="1" t="s">
        <v>68</v>
      </c>
      <c r="D122" s="1" t="s">
        <v>48</v>
      </c>
      <c r="E122">
        <v>403</v>
      </c>
      <c r="F122" s="1">
        <f>VLOOKUP(jablka5[[#This Row],[Nazwa]],cennik[],2,0) * jablka5[[#This Row],[sprzedaż]]</f>
        <v>1088.1000000000001</v>
      </c>
      <c r="G122" s="1">
        <f>IF(jablka5[[#This Row],[NIP]]=D121,jablka5[[#This Row],[sprzedaż]]+G121,jablka5[[#This Row],[sprzedaż]])</f>
        <v>10133</v>
      </c>
      <c r="H122" s="1">
        <f>IF(jablka5[[#This Row],[dot sprz]]&lt;15000,0,IF(jablka5[[#This Row],[dot sprz]]&lt;20000,5,10))</f>
        <v>0</v>
      </c>
      <c r="I122" s="1">
        <f>jablka5[[#This Row],[rabat]]*jablka5[[#This Row],[sprzedaż]]/100</f>
        <v>0</v>
      </c>
    </row>
    <row r="123" spans="1:9" x14ac:dyDescent="0.25">
      <c r="A123" s="2">
        <v>44772</v>
      </c>
      <c r="B123" s="1" t="s">
        <v>12</v>
      </c>
      <c r="C123" s="1" t="s">
        <v>68</v>
      </c>
      <c r="D123" s="1" t="s">
        <v>48</v>
      </c>
      <c r="E123">
        <v>86</v>
      </c>
      <c r="F123" s="1">
        <f>VLOOKUP(jablka5[[#This Row],[Nazwa]],cennik[],2,0) * jablka5[[#This Row],[sprzedaż]]</f>
        <v>232.20000000000002</v>
      </c>
      <c r="G123" s="1">
        <f>IF(jablka5[[#This Row],[NIP]]=D122,jablka5[[#This Row],[sprzedaż]]+G122,jablka5[[#This Row],[sprzedaż]])</f>
        <v>10219</v>
      </c>
      <c r="H123" s="1">
        <f>IF(jablka5[[#This Row],[dot sprz]]&lt;15000,0,IF(jablka5[[#This Row],[dot sprz]]&lt;20000,5,10))</f>
        <v>0</v>
      </c>
      <c r="I123" s="1">
        <f>jablka5[[#This Row],[rabat]]*jablka5[[#This Row],[sprzedaż]]/100</f>
        <v>0</v>
      </c>
    </row>
    <row r="124" spans="1:9" x14ac:dyDescent="0.25">
      <c r="A124" s="2">
        <v>44775</v>
      </c>
      <c r="B124" s="1" t="s">
        <v>14</v>
      </c>
      <c r="C124" s="1" t="s">
        <v>67</v>
      </c>
      <c r="D124" s="1" t="s">
        <v>48</v>
      </c>
      <c r="E124">
        <v>166</v>
      </c>
      <c r="F124" s="1">
        <f>VLOOKUP(jablka5[[#This Row],[Nazwa]],cennik[],2,0) * jablka5[[#This Row],[sprzedaż]]</f>
        <v>581</v>
      </c>
      <c r="G124" s="1">
        <f>IF(jablka5[[#This Row],[NIP]]=D123,jablka5[[#This Row],[sprzedaż]]+G123,jablka5[[#This Row],[sprzedaż]])</f>
        <v>10385</v>
      </c>
      <c r="H124" s="1">
        <f>IF(jablka5[[#This Row],[dot sprz]]&lt;15000,0,IF(jablka5[[#This Row],[dot sprz]]&lt;20000,5,10))</f>
        <v>0</v>
      </c>
      <c r="I124" s="1">
        <f>jablka5[[#This Row],[rabat]]*jablka5[[#This Row],[sprzedaż]]/100</f>
        <v>0</v>
      </c>
    </row>
    <row r="125" spans="1:9" x14ac:dyDescent="0.25">
      <c r="A125" s="2">
        <v>44779</v>
      </c>
      <c r="B125" s="1" t="s">
        <v>12</v>
      </c>
      <c r="C125" s="1" t="s">
        <v>68</v>
      </c>
      <c r="D125" s="1" t="s">
        <v>48</v>
      </c>
      <c r="E125">
        <v>353</v>
      </c>
      <c r="F125" s="1">
        <f>VLOOKUP(jablka5[[#This Row],[Nazwa]],cennik[],2,0) * jablka5[[#This Row],[sprzedaż]]</f>
        <v>953.1</v>
      </c>
      <c r="G125" s="1">
        <f>IF(jablka5[[#This Row],[NIP]]=D124,jablka5[[#This Row],[sprzedaż]]+G124,jablka5[[#This Row],[sprzedaż]])</f>
        <v>10738</v>
      </c>
      <c r="H125" s="1">
        <f>IF(jablka5[[#This Row],[dot sprz]]&lt;15000,0,IF(jablka5[[#This Row],[dot sprz]]&lt;20000,5,10))</f>
        <v>0</v>
      </c>
      <c r="I125" s="1">
        <f>jablka5[[#This Row],[rabat]]*jablka5[[#This Row],[sprzedaż]]/100</f>
        <v>0</v>
      </c>
    </row>
    <row r="126" spans="1:9" x14ac:dyDescent="0.25">
      <c r="A126" s="2">
        <v>44785</v>
      </c>
      <c r="B126" s="1" t="s">
        <v>14</v>
      </c>
      <c r="C126" s="1" t="s">
        <v>67</v>
      </c>
      <c r="D126" s="1" t="s">
        <v>48</v>
      </c>
      <c r="E126">
        <v>238</v>
      </c>
      <c r="F126" s="1">
        <f>VLOOKUP(jablka5[[#This Row],[Nazwa]],cennik[],2,0) * jablka5[[#This Row],[sprzedaż]]</f>
        <v>833</v>
      </c>
      <c r="G126" s="1">
        <f>IF(jablka5[[#This Row],[NIP]]=D125,jablka5[[#This Row],[sprzedaż]]+G125,jablka5[[#This Row],[sprzedaż]])</f>
        <v>10976</v>
      </c>
      <c r="H126" s="1">
        <f>IF(jablka5[[#This Row],[dot sprz]]&lt;15000,0,IF(jablka5[[#This Row],[dot sprz]]&lt;20000,5,10))</f>
        <v>0</v>
      </c>
      <c r="I126" s="1">
        <f>jablka5[[#This Row],[rabat]]*jablka5[[#This Row],[sprzedaż]]/100</f>
        <v>0</v>
      </c>
    </row>
    <row r="127" spans="1:9" x14ac:dyDescent="0.25">
      <c r="A127" s="2">
        <v>44792</v>
      </c>
      <c r="B127" s="1" t="s">
        <v>13</v>
      </c>
      <c r="C127" s="1" t="s">
        <v>68</v>
      </c>
      <c r="D127" s="1" t="s">
        <v>48</v>
      </c>
      <c r="E127">
        <v>67</v>
      </c>
      <c r="F127" s="1">
        <f>VLOOKUP(jablka5[[#This Row],[Nazwa]],cennik[],2,0) * jablka5[[#This Row],[sprzedaż]]</f>
        <v>214.4</v>
      </c>
      <c r="G127" s="1">
        <f>IF(jablka5[[#This Row],[NIP]]=D126,jablka5[[#This Row],[sprzedaż]]+G126,jablka5[[#This Row],[sprzedaż]])</f>
        <v>11043</v>
      </c>
      <c r="H127" s="1">
        <f>IF(jablka5[[#This Row],[dot sprz]]&lt;15000,0,IF(jablka5[[#This Row],[dot sprz]]&lt;20000,5,10))</f>
        <v>0</v>
      </c>
      <c r="I127" s="1">
        <f>jablka5[[#This Row],[rabat]]*jablka5[[#This Row],[sprzedaż]]/100</f>
        <v>0</v>
      </c>
    </row>
    <row r="128" spans="1:9" x14ac:dyDescent="0.25">
      <c r="A128" s="2">
        <v>44842</v>
      </c>
      <c r="B128" s="1" t="s">
        <v>14</v>
      </c>
      <c r="C128" s="1" t="s">
        <v>67</v>
      </c>
      <c r="D128" s="1" t="s">
        <v>48</v>
      </c>
      <c r="E128">
        <v>430</v>
      </c>
      <c r="F128" s="1">
        <f>VLOOKUP(jablka5[[#This Row],[Nazwa]],cennik[],2,0) * jablka5[[#This Row],[sprzedaż]]</f>
        <v>1505</v>
      </c>
      <c r="G128" s="1">
        <f>IF(jablka5[[#This Row],[NIP]]=D127,jablka5[[#This Row],[sprzedaż]]+G127,jablka5[[#This Row],[sprzedaż]])</f>
        <v>11473</v>
      </c>
      <c r="H128" s="1">
        <f>IF(jablka5[[#This Row],[dot sprz]]&lt;15000,0,IF(jablka5[[#This Row],[dot sprz]]&lt;20000,5,10))</f>
        <v>0</v>
      </c>
      <c r="I128" s="1">
        <f>jablka5[[#This Row],[rabat]]*jablka5[[#This Row],[sprzedaż]]/100</f>
        <v>0</v>
      </c>
    </row>
    <row r="129" spans="1:9" x14ac:dyDescent="0.25">
      <c r="A129" s="2">
        <v>44844</v>
      </c>
      <c r="B129" s="1" t="s">
        <v>1</v>
      </c>
      <c r="C129" s="1" t="s">
        <v>67</v>
      </c>
      <c r="D129" s="1" t="s">
        <v>48</v>
      </c>
      <c r="E129">
        <v>413</v>
      </c>
      <c r="F129" s="1">
        <f>VLOOKUP(jablka5[[#This Row],[Nazwa]],cennik[],2,0) * jablka5[[#This Row],[sprzedaż]]</f>
        <v>1321.6000000000001</v>
      </c>
      <c r="G129" s="1">
        <f>IF(jablka5[[#This Row],[NIP]]=D128,jablka5[[#This Row],[sprzedaż]]+G128,jablka5[[#This Row],[sprzedaż]])</f>
        <v>11886</v>
      </c>
      <c r="H129" s="1">
        <f>IF(jablka5[[#This Row],[dot sprz]]&lt;15000,0,IF(jablka5[[#This Row],[dot sprz]]&lt;20000,5,10))</f>
        <v>0</v>
      </c>
      <c r="I129" s="1">
        <f>jablka5[[#This Row],[rabat]]*jablka5[[#This Row],[sprzedaż]]/100</f>
        <v>0</v>
      </c>
    </row>
    <row r="130" spans="1:9" x14ac:dyDescent="0.25">
      <c r="A130" s="2">
        <v>44848</v>
      </c>
      <c r="B130" s="1" t="s">
        <v>1</v>
      </c>
      <c r="C130" s="1" t="s">
        <v>67</v>
      </c>
      <c r="D130" s="1" t="s">
        <v>48</v>
      </c>
      <c r="E130">
        <v>110</v>
      </c>
      <c r="F130" s="1">
        <f>VLOOKUP(jablka5[[#This Row],[Nazwa]],cennik[],2,0) * jablka5[[#This Row],[sprzedaż]]</f>
        <v>352</v>
      </c>
      <c r="G130" s="1">
        <f>IF(jablka5[[#This Row],[NIP]]=D129,jablka5[[#This Row],[sprzedaż]]+G129,jablka5[[#This Row],[sprzedaż]])</f>
        <v>11996</v>
      </c>
      <c r="H130" s="1">
        <f>IF(jablka5[[#This Row],[dot sprz]]&lt;15000,0,IF(jablka5[[#This Row],[dot sprz]]&lt;20000,5,10))</f>
        <v>0</v>
      </c>
      <c r="I130" s="1">
        <f>jablka5[[#This Row],[rabat]]*jablka5[[#This Row],[sprzedaż]]/100</f>
        <v>0</v>
      </c>
    </row>
    <row r="131" spans="1:9" x14ac:dyDescent="0.25">
      <c r="A131" s="2">
        <v>44849</v>
      </c>
      <c r="B131" s="1" t="s">
        <v>9</v>
      </c>
      <c r="C131" s="1" t="s">
        <v>67</v>
      </c>
      <c r="D131" s="1" t="s">
        <v>48</v>
      </c>
      <c r="E131">
        <v>423</v>
      </c>
      <c r="F131" s="1">
        <f>VLOOKUP(jablka5[[#This Row],[Nazwa]],cennik[],2,0) * jablka5[[#This Row],[sprzedaż]]</f>
        <v>1057.5</v>
      </c>
      <c r="G131" s="1">
        <f>IF(jablka5[[#This Row],[NIP]]=D130,jablka5[[#This Row],[sprzedaż]]+G130,jablka5[[#This Row],[sprzedaż]])</f>
        <v>12419</v>
      </c>
      <c r="H131" s="1">
        <f>IF(jablka5[[#This Row],[dot sprz]]&lt;15000,0,IF(jablka5[[#This Row],[dot sprz]]&lt;20000,5,10))</f>
        <v>0</v>
      </c>
      <c r="I131" s="1">
        <f>jablka5[[#This Row],[rabat]]*jablka5[[#This Row],[sprzedaż]]/100</f>
        <v>0</v>
      </c>
    </row>
    <row r="132" spans="1:9" x14ac:dyDescent="0.25">
      <c r="A132" s="2">
        <v>44856</v>
      </c>
      <c r="B132" s="1" t="s">
        <v>14</v>
      </c>
      <c r="C132" s="1" t="s">
        <v>67</v>
      </c>
      <c r="D132" s="1" t="s">
        <v>48</v>
      </c>
      <c r="E132">
        <v>396</v>
      </c>
      <c r="F132" s="1">
        <f>VLOOKUP(jablka5[[#This Row],[Nazwa]],cennik[],2,0) * jablka5[[#This Row],[sprzedaż]]</f>
        <v>1386</v>
      </c>
      <c r="G132" s="1">
        <f>IF(jablka5[[#This Row],[NIP]]=D131,jablka5[[#This Row],[sprzedaż]]+G131,jablka5[[#This Row],[sprzedaż]])</f>
        <v>12815</v>
      </c>
      <c r="H132" s="1">
        <f>IF(jablka5[[#This Row],[dot sprz]]&lt;15000,0,IF(jablka5[[#This Row],[dot sprz]]&lt;20000,5,10))</f>
        <v>0</v>
      </c>
      <c r="I132" s="1">
        <f>jablka5[[#This Row],[rabat]]*jablka5[[#This Row],[sprzedaż]]/100</f>
        <v>0</v>
      </c>
    </row>
    <row r="133" spans="1:9" x14ac:dyDescent="0.25">
      <c r="A133" s="2">
        <v>44880</v>
      </c>
      <c r="B133" s="1" t="s">
        <v>11</v>
      </c>
      <c r="C133" s="1" t="s">
        <v>67</v>
      </c>
      <c r="D133" s="1" t="s">
        <v>48</v>
      </c>
      <c r="E133">
        <v>365</v>
      </c>
      <c r="F133" s="1">
        <f>VLOOKUP(jablka5[[#This Row],[Nazwa]],cennik[],2,0) * jablka5[[#This Row],[sprzedaż]]</f>
        <v>912.5</v>
      </c>
      <c r="G133" s="1">
        <f>IF(jablka5[[#This Row],[NIP]]=D132,jablka5[[#This Row],[sprzedaż]]+G132,jablka5[[#This Row],[sprzedaż]])</f>
        <v>13180</v>
      </c>
      <c r="H133" s="1">
        <f>IF(jablka5[[#This Row],[dot sprz]]&lt;15000,0,IF(jablka5[[#This Row],[dot sprz]]&lt;20000,5,10))</f>
        <v>0</v>
      </c>
      <c r="I133" s="1">
        <f>jablka5[[#This Row],[rabat]]*jablka5[[#This Row],[sprzedaż]]/100</f>
        <v>0</v>
      </c>
    </row>
    <row r="134" spans="1:9" x14ac:dyDescent="0.25">
      <c r="A134" s="2">
        <v>44887</v>
      </c>
      <c r="B134" s="1" t="s">
        <v>9</v>
      </c>
      <c r="C134" s="1" t="s">
        <v>67</v>
      </c>
      <c r="D134" s="1" t="s">
        <v>48</v>
      </c>
      <c r="E134">
        <v>51</v>
      </c>
      <c r="F134" s="1">
        <f>VLOOKUP(jablka5[[#This Row],[Nazwa]],cennik[],2,0) * jablka5[[#This Row],[sprzedaż]]</f>
        <v>127.5</v>
      </c>
      <c r="G134" s="1">
        <f>IF(jablka5[[#This Row],[NIP]]=D133,jablka5[[#This Row],[sprzedaż]]+G133,jablka5[[#This Row],[sprzedaż]])</f>
        <v>13231</v>
      </c>
      <c r="H134" s="1">
        <f>IF(jablka5[[#This Row],[dot sprz]]&lt;15000,0,IF(jablka5[[#This Row],[dot sprz]]&lt;20000,5,10))</f>
        <v>0</v>
      </c>
      <c r="I134" s="1">
        <f>jablka5[[#This Row],[rabat]]*jablka5[[#This Row],[sprzedaż]]/100</f>
        <v>0</v>
      </c>
    </row>
    <row r="135" spans="1:9" x14ac:dyDescent="0.25">
      <c r="A135" s="2">
        <v>44889</v>
      </c>
      <c r="B135" s="1" t="s">
        <v>14</v>
      </c>
      <c r="C135" s="1" t="s">
        <v>67</v>
      </c>
      <c r="D135" s="1" t="s">
        <v>48</v>
      </c>
      <c r="E135">
        <v>48</v>
      </c>
      <c r="F135" s="1">
        <f>VLOOKUP(jablka5[[#This Row],[Nazwa]],cennik[],2,0) * jablka5[[#This Row],[sprzedaż]]</f>
        <v>168</v>
      </c>
      <c r="G135" s="1">
        <f>IF(jablka5[[#This Row],[NIP]]=D134,jablka5[[#This Row],[sprzedaż]]+G134,jablka5[[#This Row],[sprzedaż]])</f>
        <v>13279</v>
      </c>
      <c r="H135" s="1">
        <f>IF(jablka5[[#This Row],[dot sprz]]&lt;15000,0,IF(jablka5[[#This Row],[dot sprz]]&lt;20000,5,10))</f>
        <v>0</v>
      </c>
      <c r="I135" s="1">
        <f>jablka5[[#This Row],[rabat]]*jablka5[[#This Row],[sprzedaż]]/100</f>
        <v>0</v>
      </c>
    </row>
    <row r="136" spans="1:9" x14ac:dyDescent="0.25">
      <c r="A136" s="2">
        <v>44894</v>
      </c>
      <c r="B136" s="1" t="s">
        <v>14</v>
      </c>
      <c r="C136" s="1" t="s">
        <v>67</v>
      </c>
      <c r="D136" s="1" t="s">
        <v>48</v>
      </c>
      <c r="E136">
        <v>339</v>
      </c>
      <c r="F136" s="1">
        <f>VLOOKUP(jablka5[[#This Row],[Nazwa]],cennik[],2,0) * jablka5[[#This Row],[sprzedaż]]</f>
        <v>1186.5</v>
      </c>
      <c r="G136" s="1">
        <f>IF(jablka5[[#This Row],[NIP]]=D135,jablka5[[#This Row],[sprzedaż]]+G135,jablka5[[#This Row],[sprzedaż]])</f>
        <v>13618</v>
      </c>
      <c r="H136" s="1">
        <f>IF(jablka5[[#This Row],[dot sprz]]&lt;15000,0,IF(jablka5[[#This Row],[dot sprz]]&lt;20000,5,10))</f>
        <v>0</v>
      </c>
      <c r="I136" s="1">
        <f>jablka5[[#This Row],[rabat]]*jablka5[[#This Row],[sprzedaż]]/100</f>
        <v>0</v>
      </c>
    </row>
    <row r="137" spans="1:9" x14ac:dyDescent="0.25">
      <c r="A137" s="2">
        <v>44905</v>
      </c>
      <c r="B137" s="1" t="s">
        <v>8</v>
      </c>
      <c r="C137" s="1" t="s">
        <v>16</v>
      </c>
      <c r="D137" s="1" t="s">
        <v>48</v>
      </c>
      <c r="E137">
        <v>490</v>
      </c>
      <c r="F137" s="1">
        <f>VLOOKUP(jablka5[[#This Row],[Nazwa]],cennik[],2,0) * jablka5[[#This Row],[sprzedaż]]</f>
        <v>1715</v>
      </c>
      <c r="G137" s="1">
        <f>IF(jablka5[[#This Row],[NIP]]=D136,jablka5[[#This Row],[sprzedaż]]+G136,jablka5[[#This Row],[sprzedaż]])</f>
        <v>14108</v>
      </c>
      <c r="H137" s="1">
        <f>IF(jablka5[[#This Row],[dot sprz]]&lt;15000,0,IF(jablka5[[#This Row],[dot sprz]]&lt;20000,5,10))</f>
        <v>0</v>
      </c>
      <c r="I137" s="1">
        <f>jablka5[[#This Row],[rabat]]*jablka5[[#This Row],[sprzedaż]]/100</f>
        <v>0</v>
      </c>
    </row>
    <row r="138" spans="1:9" x14ac:dyDescent="0.25">
      <c r="A138" s="2">
        <v>44909</v>
      </c>
      <c r="B138" s="1" t="s">
        <v>7</v>
      </c>
      <c r="C138" s="1" t="s">
        <v>16</v>
      </c>
      <c r="D138" s="1" t="s">
        <v>48</v>
      </c>
      <c r="E138">
        <v>394</v>
      </c>
      <c r="F138" s="1">
        <f>VLOOKUP(jablka5[[#This Row],[Nazwa]],cennik[],2,0) * jablka5[[#This Row],[sprzedaż]]</f>
        <v>1339.6</v>
      </c>
      <c r="G138" s="1">
        <f>IF(jablka5[[#This Row],[NIP]]=D137,jablka5[[#This Row],[sprzedaż]]+G137,jablka5[[#This Row],[sprzedaż]])</f>
        <v>14502</v>
      </c>
      <c r="H138" s="1">
        <f>IF(jablka5[[#This Row],[dot sprz]]&lt;15000,0,IF(jablka5[[#This Row],[dot sprz]]&lt;20000,5,10))</f>
        <v>0</v>
      </c>
      <c r="I138" s="1">
        <f>jablka5[[#This Row],[rabat]]*jablka5[[#This Row],[sprzedaż]]/100</f>
        <v>0</v>
      </c>
    </row>
    <row r="139" spans="1:9" x14ac:dyDescent="0.25">
      <c r="A139" s="2">
        <v>44919</v>
      </c>
      <c r="B139" s="1" t="s">
        <v>4</v>
      </c>
      <c r="C139" s="1" t="s">
        <v>16</v>
      </c>
      <c r="D139" s="1" t="s">
        <v>48</v>
      </c>
      <c r="E139">
        <v>510</v>
      </c>
      <c r="F139" s="1">
        <f>VLOOKUP(jablka5[[#This Row],[Nazwa]],cennik[],2,0) * jablka5[[#This Row],[sprzedaż]]</f>
        <v>1734</v>
      </c>
      <c r="G139" s="1">
        <f>IF(jablka5[[#This Row],[NIP]]=D138,jablka5[[#This Row],[sprzedaż]]+G138,jablka5[[#This Row],[sprzedaż]])</f>
        <v>15012</v>
      </c>
      <c r="H139" s="1">
        <f>IF(jablka5[[#This Row],[dot sprz]]&lt;15000,0,IF(jablka5[[#This Row],[dot sprz]]&lt;20000,5,10))</f>
        <v>5</v>
      </c>
      <c r="I139" s="1">
        <f>jablka5[[#This Row],[rabat]]*jablka5[[#This Row],[sprzedaż]]/100</f>
        <v>25.5</v>
      </c>
    </row>
    <row r="140" spans="1:9" x14ac:dyDescent="0.25">
      <c r="A140" s="2">
        <v>44919</v>
      </c>
      <c r="B140" s="1" t="s">
        <v>8</v>
      </c>
      <c r="C140" s="1" t="s">
        <v>16</v>
      </c>
      <c r="D140" s="1" t="s">
        <v>48</v>
      </c>
      <c r="E140">
        <v>367</v>
      </c>
      <c r="F140" s="1">
        <f>VLOOKUP(jablka5[[#This Row],[Nazwa]],cennik[],2,0) * jablka5[[#This Row],[sprzedaż]]</f>
        <v>1284.5</v>
      </c>
      <c r="G140" s="1">
        <f>IF(jablka5[[#This Row],[NIP]]=D139,jablka5[[#This Row],[sprzedaż]]+G139,jablka5[[#This Row],[sprzedaż]])</f>
        <v>15379</v>
      </c>
      <c r="H140" s="1">
        <f>IF(jablka5[[#This Row],[dot sprz]]&lt;15000,0,IF(jablka5[[#This Row],[dot sprz]]&lt;20000,5,10))</f>
        <v>5</v>
      </c>
      <c r="I140" s="1">
        <f>jablka5[[#This Row],[rabat]]*jablka5[[#This Row],[sprzedaż]]/100</f>
        <v>18.350000000000001</v>
      </c>
    </row>
    <row r="141" spans="1:9" x14ac:dyDescent="0.25">
      <c r="A141" s="2">
        <v>44921</v>
      </c>
      <c r="B141" s="1" t="s">
        <v>8</v>
      </c>
      <c r="C141" s="1" t="s">
        <v>16</v>
      </c>
      <c r="D141" s="1" t="s">
        <v>48</v>
      </c>
      <c r="E141">
        <v>449</v>
      </c>
      <c r="F141" s="1">
        <f>VLOOKUP(jablka5[[#This Row],[Nazwa]],cennik[],2,0) * jablka5[[#This Row],[sprzedaż]]</f>
        <v>1571.5</v>
      </c>
      <c r="G141" s="1">
        <f>IF(jablka5[[#This Row],[NIP]]=D140,jablka5[[#This Row],[sprzedaż]]+G140,jablka5[[#This Row],[sprzedaż]])</f>
        <v>15828</v>
      </c>
      <c r="H141" s="1">
        <f>IF(jablka5[[#This Row],[dot sprz]]&lt;15000,0,IF(jablka5[[#This Row],[dot sprz]]&lt;20000,5,10))</f>
        <v>5</v>
      </c>
      <c r="I141" s="1">
        <f>jablka5[[#This Row],[rabat]]*jablka5[[#This Row],[sprzedaż]]/100</f>
        <v>22.45</v>
      </c>
    </row>
    <row r="142" spans="1:9" x14ac:dyDescent="0.25">
      <c r="A142" s="2">
        <v>44923</v>
      </c>
      <c r="B142" s="1" t="s">
        <v>10</v>
      </c>
      <c r="C142" s="1" t="s">
        <v>16</v>
      </c>
      <c r="D142" s="1" t="s">
        <v>48</v>
      </c>
      <c r="E142">
        <v>480</v>
      </c>
      <c r="F142" s="1">
        <f>VLOOKUP(jablka5[[#This Row],[Nazwa]],cennik[],2,0) * jablka5[[#This Row],[sprzedaż]]</f>
        <v>1632</v>
      </c>
      <c r="G142" s="1">
        <f>IF(jablka5[[#This Row],[NIP]]=D141,jablka5[[#This Row],[sprzedaż]]+G141,jablka5[[#This Row],[sprzedaż]])</f>
        <v>16308</v>
      </c>
      <c r="H142" s="1">
        <f>IF(jablka5[[#This Row],[dot sprz]]&lt;15000,0,IF(jablka5[[#This Row],[dot sprz]]&lt;20000,5,10))</f>
        <v>5</v>
      </c>
      <c r="I142" s="1">
        <f>jablka5[[#This Row],[rabat]]*jablka5[[#This Row],[sprzedaż]]/100</f>
        <v>24</v>
      </c>
    </row>
    <row r="143" spans="1:9" x14ac:dyDescent="0.25">
      <c r="A143" s="2">
        <v>44597</v>
      </c>
      <c r="B143" s="1" t="s">
        <v>8</v>
      </c>
      <c r="C143" s="1" t="s">
        <v>16</v>
      </c>
      <c r="D143" s="1" t="s">
        <v>66</v>
      </c>
      <c r="E143">
        <v>524</v>
      </c>
      <c r="F143" s="1">
        <f>VLOOKUP(jablka5[[#This Row],[Nazwa]],cennik[],2,0) * jablka5[[#This Row],[sprzedaż]]</f>
        <v>1834</v>
      </c>
      <c r="G143" s="1">
        <f>IF(jablka5[[#This Row],[NIP]]=D142,jablka5[[#This Row],[sprzedaż]]+G142,jablka5[[#This Row],[sprzedaż]])</f>
        <v>524</v>
      </c>
      <c r="H143" s="1">
        <f>IF(jablka5[[#This Row],[dot sprz]]&lt;15000,0,IF(jablka5[[#This Row],[dot sprz]]&lt;20000,5,10))</f>
        <v>0</v>
      </c>
      <c r="I143" s="1">
        <f>jablka5[[#This Row],[rabat]]*jablka5[[#This Row],[sprzedaż]]/100</f>
        <v>0</v>
      </c>
    </row>
    <row r="144" spans="1:9" x14ac:dyDescent="0.25">
      <c r="A144" s="2">
        <v>44620</v>
      </c>
      <c r="B144" s="1" t="s">
        <v>2</v>
      </c>
      <c r="C144" s="1" t="s">
        <v>16</v>
      </c>
      <c r="D144" s="1" t="s">
        <v>66</v>
      </c>
      <c r="E144">
        <v>322</v>
      </c>
      <c r="F144" s="1">
        <f>VLOOKUP(jablka5[[#This Row],[Nazwa]],cennik[],2,0) * jablka5[[#This Row],[sprzedaż]]</f>
        <v>1030.4000000000001</v>
      </c>
      <c r="G144" s="1">
        <f>IF(jablka5[[#This Row],[NIP]]=D143,jablka5[[#This Row],[sprzedaż]]+G143,jablka5[[#This Row],[sprzedaż]])</f>
        <v>846</v>
      </c>
      <c r="H144" s="1">
        <f>IF(jablka5[[#This Row],[dot sprz]]&lt;15000,0,IF(jablka5[[#This Row],[dot sprz]]&lt;20000,5,10))</f>
        <v>0</v>
      </c>
      <c r="I144" s="1">
        <f>jablka5[[#This Row],[rabat]]*jablka5[[#This Row],[sprzedaż]]/100</f>
        <v>0</v>
      </c>
    </row>
    <row r="145" spans="1:9" x14ac:dyDescent="0.25">
      <c r="A145" s="2">
        <v>44621</v>
      </c>
      <c r="B145" s="1" t="s">
        <v>8</v>
      </c>
      <c r="C145" s="1" t="s">
        <v>16</v>
      </c>
      <c r="D145" s="1" t="s">
        <v>66</v>
      </c>
      <c r="E145">
        <v>560</v>
      </c>
      <c r="F145" s="1">
        <f>VLOOKUP(jablka5[[#This Row],[Nazwa]],cennik[],2,0) * jablka5[[#This Row],[sprzedaż]]</f>
        <v>1960</v>
      </c>
      <c r="G145" s="1">
        <f>IF(jablka5[[#This Row],[NIP]]=D144,jablka5[[#This Row],[sprzedaż]]+G144,jablka5[[#This Row],[sprzedaż]])</f>
        <v>1406</v>
      </c>
      <c r="H145" s="1">
        <f>IF(jablka5[[#This Row],[dot sprz]]&lt;15000,0,IF(jablka5[[#This Row],[dot sprz]]&lt;20000,5,10))</f>
        <v>0</v>
      </c>
      <c r="I145" s="1">
        <f>jablka5[[#This Row],[rabat]]*jablka5[[#This Row],[sprzedaż]]/100</f>
        <v>0</v>
      </c>
    </row>
    <row r="146" spans="1:9" x14ac:dyDescent="0.25">
      <c r="A146" s="2">
        <v>44625</v>
      </c>
      <c r="B146" s="1" t="s">
        <v>10</v>
      </c>
      <c r="C146" s="1" t="s">
        <v>16</v>
      </c>
      <c r="D146" s="1" t="s">
        <v>66</v>
      </c>
      <c r="E146">
        <v>180</v>
      </c>
      <c r="F146" s="1">
        <f>VLOOKUP(jablka5[[#This Row],[Nazwa]],cennik[],2,0) * jablka5[[#This Row],[sprzedaż]]</f>
        <v>612</v>
      </c>
      <c r="G146" s="1">
        <f>IF(jablka5[[#This Row],[NIP]]=D145,jablka5[[#This Row],[sprzedaż]]+G145,jablka5[[#This Row],[sprzedaż]])</f>
        <v>1586</v>
      </c>
      <c r="H146" s="1">
        <f>IF(jablka5[[#This Row],[dot sprz]]&lt;15000,0,IF(jablka5[[#This Row],[dot sprz]]&lt;20000,5,10))</f>
        <v>0</v>
      </c>
      <c r="I146" s="1">
        <f>jablka5[[#This Row],[rabat]]*jablka5[[#This Row],[sprzedaż]]/100</f>
        <v>0</v>
      </c>
    </row>
    <row r="147" spans="1:9" x14ac:dyDescent="0.25">
      <c r="A147" s="2">
        <v>44669</v>
      </c>
      <c r="B147" s="1" t="s">
        <v>15</v>
      </c>
      <c r="C147" s="1" t="s">
        <v>16</v>
      </c>
      <c r="D147" s="1" t="s">
        <v>66</v>
      </c>
      <c r="E147">
        <v>540</v>
      </c>
      <c r="F147" s="1">
        <f>VLOOKUP(jablka5[[#This Row],[Nazwa]],cennik[],2,0) * jablka5[[#This Row],[sprzedaż]]</f>
        <v>1296</v>
      </c>
      <c r="G147" s="1">
        <f>IF(jablka5[[#This Row],[NIP]]=D146,jablka5[[#This Row],[sprzedaż]]+G146,jablka5[[#This Row],[sprzedaż]])</f>
        <v>2126</v>
      </c>
      <c r="H147" s="1">
        <f>IF(jablka5[[#This Row],[dot sprz]]&lt;15000,0,IF(jablka5[[#This Row],[dot sprz]]&lt;20000,5,10))</f>
        <v>0</v>
      </c>
      <c r="I147" s="1">
        <f>jablka5[[#This Row],[rabat]]*jablka5[[#This Row],[sprzedaż]]/100</f>
        <v>0</v>
      </c>
    </row>
    <row r="148" spans="1:9" x14ac:dyDescent="0.25">
      <c r="A148" s="2">
        <v>44673</v>
      </c>
      <c r="B148" s="1" t="s">
        <v>10</v>
      </c>
      <c r="C148" s="1" t="s">
        <v>16</v>
      </c>
      <c r="D148" s="1" t="s">
        <v>66</v>
      </c>
      <c r="E148">
        <v>306</v>
      </c>
      <c r="F148" s="1">
        <f>VLOOKUP(jablka5[[#This Row],[Nazwa]],cennik[],2,0) * jablka5[[#This Row],[sprzedaż]]</f>
        <v>1040.3999999999999</v>
      </c>
      <c r="G148" s="1">
        <f>IF(jablka5[[#This Row],[NIP]]=D147,jablka5[[#This Row],[sprzedaż]]+G147,jablka5[[#This Row],[sprzedaż]])</f>
        <v>2432</v>
      </c>
      <c r="H148" s="1">
        <f>IF(jablka5[[#This Row],[dot sprz]]&lt;15000,0,IF(jablka5[[#This Row],[dot sprz]]&lt;20000,5,10))</f>
        <v>0</v>
      </c>
      <c r="I148" s="1">
        <f>jablka5[[#This Row],[rabat]]*jablka5[[#This Row],[sprzedaż]]/100</f>
        <v>0</v>
      </c>
    </row>
    <row r="149" spans="1:9" x14ac:dyDescent="0.25">
      <c r="A149" s="2">
        <v>44694</v>
      </c>
      <c r="B149" s="1" t="s">
        <v>8</v>
      </c>
      <c r="C149" s="1" t="s">
        <v>16</v>
      </c>
      <c r="D149" s="1" t="s">
        <v>66</v>
      </c>
      <c r="E149">
        <v>237</v>
      </c>
      <c r="F149" s="1">
        <f>VLOOKUP(jablka5[[#This Row],[Nazwa]],cennik[],2,0) * jablka5[[#This Row],[sprzedaż]]</f>
        <v>829.5</v>
      </c>
      <c r="G149" s="1">
        <f>IF(jablka5[[#This Row],[NIP]]=D148,jablka5[[#This Row],[sprzedaż]]+G148,jablka5[[#This Row],[sprzedaż]])</f>
        <v>2669</v>
      </c>
      <c r="H149" s="1">
        <f>IF(jablka5[[#This Row],[dot sprz]]&lt;15000,0,IF(jablka5[[#This Row],[dot sprz]]&lt;20000,5,10))</f>
        <v>0</v>
      </c>
      <c r="I149" s="1">
        <f>jablka5[[#This Row],[rabat]]*jablka5[[#This Row],[sprzedaż]]/100</f>
        <v>0</v>
      </c>
    </row>
    <row r="150" spans="1:9" x14ac:dyDescent="0.25">
      <c r="A150" s="2">
        <v>44708</v>
      </c>
      <c r="B150" s="1" t="s">
        <v>15</v>
      </c>
      <c r="C150" s="1" t="s">
        <v>16</v>
      </c>
      <c r="D150" s="1" t="s">
        <v>66</v>
      </c>
      <c r="E150">
        <v>384</v>
      </c>
      <c r="F150" s="1">
        <f>VLOOKUP(jablka5[[#This Row],[Nazwa]],cennik[],2,0) * jablka5[[#This Row],[sprzedaż]]</f>
        <v>921.59999999999991</v>
      </c>
      <c r="G150" s="1">
        <f>IF(jablka5[[#This Row],[NIP]]=D149,jablka5[[#This Row],[sprzedaż]]+G149,jablka5[[#This Row],[sprzedaż]])</f>
        <v>3053</v>
      </c>
      <c r="H150" s="1">
        <f>IF(jablka5[[#This Row],[dot sprz]]&lt;15000,0,IF(jablka5[[#This Row],[dot sprz]]&lt;20000,5,10))</f>
        <v>0</v>
      </c>
      <c r="I150" s="1">
        <f>jablka5[[#This Row],[rabat]]*jablka5[[#This Row],[sprzedaż]]/100</f>
        <v>0</v>
      </c>
    </row>
    <row r="151" spans="1:9" x14ac:dyDescent="0.25">
      <c r="A151" s="2">
        <v>44713</v>
      </c>
      <c r="B151" s="1" t="s">
        <v>14</v>
      </c>
      <c r="C151" s="1" t="s">
        <v>67</v>
      </c>
      <c r="D151" s="1" t="s">
        <v>66</v>
      </c>
      <c r="E151">
        <v>380</v>
      </c>
      <c r="F151" s="1">
        <f>VLOOKUP(jablka5[[#This Row],[Nazwa]],cennik[],2,0) * jablka5[[#This Row],[sprzedaż]]</f>
        <v>1330</v>
      </c>
      <c r="G151" s="1">
        <f>IF(jablka5[[#This Row],[NIP]]=D150,jablka5[[#This Row],[sprzedaż]]+G150,jablka5[[#This Row],[sprzedaż]])</f>
        <v>3433</v>
      </c>
      <c r="H151" s="1">
        <f>IF(jablka5[[#This Row],[dot sprz]]&lt;15000,0,IF(jablka5[[#This Row],[dot sprz]]&lt;20000,5,10))</f>
        <v>0</v>
      </c>
      <c r="I151" s="1">
        <f>jablka5[[#This Row],[rabat]]*jablka5[[#This Row],[sprzedaż]]/100</f>
        <v>0</v>
      </c>
    </row>
    <row r="152" spans="1:9" x14ac:dyDescent="0.25">
      <c r="A152" s="2">
        <v>44714</v>
      </c>
      <c r="B152" s="1" t="s">
        <v>12</v>
      </c>
      <c r="C152" s="1" t="s">
        <v>68</v>
      </c>
      <c r="D152" s="1" t="s">
        <v>66</v>
      </c>
      <c r="E152">
        <v>324</v>
      </c>
      <c r="F152" s="1">
        <f>VLOOKUP(jablka5[[#This Row],[Nazwa]],cennik[],2,0) * jablka5[[#This Row],[sprzedaż]]</f>
        <v>874.80000000000007</v>
      </c>
      <c r="G152" s="1">
        <f>IF(jablka5[[#This Row],[NIP]]=D151,jablka5[[#This Row],[sprzedaż]]+G151,jablka5[[#This Row],[sprzedaż]])</f>
        <v>3757</v>
      </c>
      <c r="H152" s="1">
        <f>IF(jablka5[[#This Row],[dot sprz]]&lt;15000,0,IF(jablka5[[#This Row],[dot sprz]]&lt;20000,5,10))</f>
        <v>0</v>
      </c>
      <c r="I152" s="1">
        <f>jablka5[[#This Row],[rabat]]*jablka5[[#This Row],[sprzedaż]]/100</f>
        <v>0</v>
      </c>
    </row>
    <row r="153" spans="1:9" x14ac:dyDescent="0.25">
      <c r="A153" s="2">
        <v>44716</v>
      </c>
      <c r="B153" s="1" t="s">
        <v>12</v>
      </c>
      <c r="C153" s="1" t="s">
        <v>68</v>
      </c>
      <c r="D153" s="1" t="s">
        <v>66</v>
      </c>
      <c r="E153">
        <v>198</v>
      </c>
      <c r="F153" s="1">
        <f>VLOOKUP(jablka5[[#This Row],[Nazwa]],cennik[],2,0) * jablka5[[#This Row],[sprzedaż]]</f>
        <v>534.6</v>
      </c>
      <c r="G153" s="1">
        <f>IF(jablka5[[#This Row],[NIP]]=D152,jablka5[[#This Row],[sprzedaż]]+G152,jablka5[[#This Row],[sprzedaż]])</f>
        <v>3955</v>
      </c>
      <c r="H153" s="1">
        <f>IF(jablka5[[#This Row],[dot sprz]]&lt;15000,0,IF(jablka5[[#This Row],[dot sprz]]&lt;20000,5,10))</f>
        <v>0</v>
      </c>
      <c r="I153" s="1">
        <f>jablka5[[#This Row],[rabat]]*jablka5[[#This Row],[sprzedaż]]/100</f>
        <v>0</v>
      </c>
    </row>
    <row r="154" spans="1:9" x14ac:dyDescent="0.25">
      <c r="A154" s="2">
        <v>44720</v>
      </c>
      <c r="B154" s="1" t="s">
        <v>13</v>
      </c>
      <c r="C154" s="1" t="s">
        <v>68</v>
      </c>
      <c r="D154" s="1" t="s">
        <v>66</v>
      </c>
      <c r="E154">
        <v>377</v>
      </c>
      <c r="F154" s="1">
        <f>VLOOKUP(jablka5[[#This Row],[Nazwa]],cennik[],2,0) * jablka5[[#This Row],[sprzedaż]]</f>
        <v>1206.4000000000001</v>
      </c>
      <c r="G154" s="1">
        <f>IF(jablka5[[#This Row],[NIP]]=D153,jablka5[[#This Row],[sprzedaż]]+G153,jablka5[[#This Row],[sprzedaż]])</f>
        <v>4332</v>
      </c>
      <c r="H154" s="1">
        <f>IF(jablka5[[#This Row],[dot sprz]]&lt;15000,0,IF(jablka5[[#This Row],[dot sprz]]&lt;20000,5,10))</f>
        <v>0</v>
      </c>
      <c r="I154" s="1">
        <f>jablka5[[#This Row],[rabat]]*jablka5[[#This Row],[sprzedaż]]/100</f>
        <v>0</v>
      </c>
    </row>
    <row r="155" spans="1:9" x14ac:dyDescent="0.25">
      <c r="A155" s="2">
        <v>44721</v>
      </c>
      <c r="B155" s="1" t="s">
        <v>14</v>
      </c>
      <c r="C155" s="1" t="s">
        <v>67</v>
      </c>
      <c r="D155" s="1" t="s">
        <v>66</v>
      </c>
      <c r="E155">
        <v>286</v>
      </c>
      <c r="F155" s="1">
        <f>VLOOKUP(jablka5[[#This Row],[Nazwa]],cennik[],2,0) * jablka5[[#This Row],[sprzedaż]]</f>
        <v>1001</v>
      </c>
      <c r="G155" s="1">
        <f>IF(jablka5[[#This Row],[NIP]]=D154,jablka5[[#This Row],[sprzedaż]]+G154,jablka5[[#This Row],[sprzedaż]])</f>
        <v>4618</v>
      </c>
      <c r="H155" s="1">
        <f>IF(jablka5[[#This Row],[dot sprz]]&lt;15000,0,IF(jablka5[[#This Row],[dot sprz]]&lt;20000,5,10))</f>
        <v>0</v>
      </c>
      <c r="I155" s="1">
        <f>jablka5[[#This Row],[rabat]]*jablka5[[#This Row],[sprzedaż]]/100</f>
        <v>0</v>
      </c>
    </row>
    <row r="156" spans="1:9" x14ac:dyDescent="0.25">
      <c r="A156" s="2">
        <v>44740</v>
      </c>
      <c r="B156" s="1" t="s">
        <v>14</v>
      </c>
      <c r="C156" s="1" t="s">
        <v>67</v>
      </c>
      <c r="D156" s="1" t="s">
        <v>66</v>
      </c>
      <c r="E156">
        <v>317</v>
      </c>
      <c r="F156" s="1">
        <f>VLOOKUP(jablka5[[#This Row],[Nazwa]],cennik[],2,0) * jablka5[[#This Row],[sprzedaż]]</f>
        <v>1109.5</v>
      </c>
      <c r="G156" s="1">
        <f>IF(jablka5[[#This Row],[NIP]]=D155,jablka5[[#This Row],[sprzedaż]]+G155,jablka5[[#This Row],[sprzedaż]])</f>
        <v>4935</v>
      </c>
      <c r="H156" s="1">
        <f>IF(jablka5[[#This Row],[dot sprz]]&lt;15000,0,IF(jablka5[[#This Row],[dot sprz]]&lt;20000,5,10))</f>
        <v>0</v>
      </c>
      <c r="I156" s="1">
        <f>jablka5[[#This Row],[rabat]]*jablka5[[#This Row],[sprzedaż]]/100</f>
        <v>0</v>
      </c>
    </row>
    <row r="157" spans="1:9" x14ac:dyDescent="0.25">
      <c r="A157" s="2">
        <v>44740</v>
      </c>
      <c r="B157" s="1" t="s">
        <v>14</v>
      </c>
      <c r="C157" s="1" t="s">
        <v>67</v>
      </c>
      <c r="D157" s="1" t="s">
        <v>66</v>
      </c>
      <c r="E157">
        <v>126</v>
      </c>
      <c r="F157" s="1">
        <f>VLOOKUP(jablka5[[#This Row],[Nazwa]],cennik[],2,0) * jablka5[[#This Row],[sprzedaż]]</f>
        <v>441</v>
      </c>
      <c r="G157" s="1">
        <f>IF(jablka5[[#This Row],[NIP]]=D156,jablka5[[#This Row],[sprzedaż]]+G156,jablka5[[#This Row],[sprzedaż]])</f>
        <v>5061</v>
      </c>
      <c r="H157" s="1">
        <f>IF(jablka5[[#This Row],[dot sprz]]&lt;15000,0,IF(jablka5[[#This Row],[dot sprz]]&lt;20000,5,10))</f>
        <v>0</v>
      </c>
      <c r="I157" s="1">
        <f>jablka5[[#This Row],[rabat]]*jablka5[[#This Row],[sprzedaż]]/100</f>
        <v>0</v>
      </c>
    </row>
    <row r="158" spans="1:9" x14ac:dyDescent="0.25">
      <c r="A158" s="2">
        <v>44741</v>
      </c>
      <c r="B158" s="1" t="s">
        <v>12</v>
      </c>
      <c r="C158" s="1" t="s">
        <v>68</v>
      </c>
      <c r="D158" s="1" t="s">
        <v>66</v>
      </c>
      <c r="E158">
        <v>246</v>
      </c>
      <c r="F158" s="1">
        <f>VLOOKUP(jablka5[[#This Row],[Nazwa]],cennik[],2,0) * jablka5[[#This Row],[sprzedaż]]</f>
        <v>664.2</v>
      </c>
      <c r="G158" s="1">
        <f>IF(jablka5[[#This Row],[NIP]]=D157,jablka5[[#This Row],[sprzedaż]]+G157,jablka5[[#This Row],[sprzedaż]])</f>
        <v>5307</v>
      </c>
      <c r="H158" s="1">
        <f>IF(jablka5[[#This Row],[dot sprz]]&lt;15000,0,IF(jablka5[[#This Row],[dot sprz]]&lt;20000,5,10))</f>
        <v>0</v>
      </c>
      <c r="I158" s="1">
        <f>jablka5[[#This Row],[rabat]]*jablka5[[#This Row],[sprzedaż]]/100</f>
        <v>0</v>
      </c>
    </row>
    <row r="159" spans="1:9" x14ac:dyDescent="0.25">
      <c r="A159" s="2">
        <v>44741</v>
      </c>
      <c r="B159" s="1" t="s">
        <v>13</v>
      </c>
      <c r="C159" s="1" t="s">
        <v>68</v>
      </c>
      <c r="D159" s="1" t="s">
        <v>66</v>
      </c>
      <c r="E159">
        <v>493</v>
      </c>
      <c r="F159" s="1">
        <f>VLOOKUP(jablka5[[#This Row],[Nazwa]],cennik[],2,0) * jablka5[[#This Row],[sprzedaż]]</f>
        <v>1577.6000000000001</v>
      </c>
      <c r="G159" s="1">
        <f>IF(jablka5[[#This Row],[NIP]]=D158,jablka5[[#This Row],[sprzedaż]]+G158,jablka5[[#This Row],[sprzedaż]])</f>
        <v>5800</v>
      </c>
      <c r="H159" s="1">
        <f>IF(jablka5[[#This Row],[dot sprz]]&lt;15000,0,IF(jablka5[[#This Row],[dot sprz]]&lt;20000,5,10))</f>
        <v>0</v>
      </c>
      <c r="I159" s="1">
        <f>jablka5[[#This Row],[rabat]]*jablka5[[#This Row],[sprzedaż]]/100</f>
        <v>0</v>
      </c>
    </row>
    <row r="160" spans="1:9" x14ac:dyDescent="0.25">
      <c r="A160" s="2">
        <v>44742</v>
      </c>
      <c r="B160" s="1" t="s">
        <v>12</v>
      </c>
      <c r="C160" s="1" t="s">
        <v>68</v>
      </c>
      <c r="D160" s="1" t="s">
        <v>66</v>
      </c>
      <c r="E160">
        <v>280</v>
      </c>
      <c r="F160" s="1">
        <f>VLOOKUP(jablka5[[#This Row],[Nazwa]],cennik[],2,0) * jablka5[[#This Row],[sprzedaż]]</f>
        <v>756</v>
      </c>
      <c r="G160" s="1">
        <f>IF(jablka5[[#This Row],[NIP]]=D159,jablka5[[#This Row],[sprzedaż]]+G159,jablka5[[#This Row],[sprzedaż]])</f>
        <v>6080</v>
      </c>
      <c r="H160" s="1">
        <f>IF(jablka5[[#This Row],[dot sprz]]&lt;15000,0,IF(jablka5[[#This Row],[dot sprz]]&lt;20000,5,10))</f>
        <v>0</v>
      </c>
      <c r="I160" s="1">
        <f>jablka5[[#This Row],[rabat]]*jablka5[[#This Row],[sprzedaż]]/100</f>
        <v>0</v>
      </c>
    </row>
    <row r="161" spans="1:9" x14ac:dyDescent="0.25">
      <c r="A161" s="2">
        <v>44748</v>
      </c>
      <c r="B161" s="1" t="s">
        <v>13</v>
      </c>
      <c r="C161" s="1" t="s">
        <v>68</v>
      </c>
      <c r="D161" s="1" t="s">
        <v>66</v>
      </c>
      <c r="E161">
        <v>239</v>
      </c>
      <c r="F161" s="1">
        <f>VLOOKUP(jablka5[[#This Row],[Nazwa]],cennik[],2,0) * jablka5[[#This Row],[sprzedaż]]</f>
        <v>764.80000000000007</v>
      </c>
      <c r="G161" s="1">
        <f>IF(jablka5[[#This Row],[NIP]]=D160,jablka5[[#This Row],[sprzedaż]]+G160,jablka5[[#This Row],[sprzedaż]])</f>
        <v>6319</v>
      </c>
      <c r="H161" s="1">
        <f>IF(jablka5[[#This Row],[dot sprz]]&lt;15000,0,IF(jablka5[[#This Row],[dot sprz]]&lt;20000,5,10))</f>
        <v>0</v>
      </c>
      <c r="I161" s="1">
        <f>jablka5[[#This Row],[rabat]]*jablka5[[#This Row],[sprzedaż]]/100</f>
        <v>0</v>
      </c>
    </row>
    <row r="162" spans="1:9" x14ac:dyDescent="0.25">
      <c r="A162" s="2">
        <v>44774</v>
      </c>
      <c r="B162" s="1" t="s">
        <v>14</v>
      </c>
      <c r="C162" s="1" t="s">
        <v>67</v>
      </c>
      <c r="D162" s="1" t="s">
        <v>66</v>
      </c>
      <c r="E162">
        <v>381</v>
      </c>
      <c r="F162" s="1">
        <f>VLOOKUP(jablka5[[#This Row],[Nazwa]],cennik[],2,0) * jablka5[[#This Row],[sprzedaż]]</f>
        <v>1333.5</v>
      </c>
      <c r="G162" s="1">
        <f>IF(jablka5[[#This Row],[NIP]]=D161,jablka5[[#This Row],[sprzedaż]]+G161,jablka5[[#This Row],[sprzedaż]])</f>
        <v>6700</v>
      </c>
      <c r="H162" s="1">
        <f>IF(jablka5[[#This Row],[dot sprz]]&lt;15000,0,IF(jablka5[[#This Row],[dot sprz]]&lt;20000,5,10))</f>
        <v>0</v>
      </c>
      <c r="I162" s="1">
        <f>jablka5[[#This Row],[rabat]]*jablka5[[#This Row],[sprzedaż]]/100</f>
        <v>0</v>
      </c>
    </row>
    <row r="163" spans="1:9" x14ac:dyDescent="0.25">
      <c r="A163" s="2">
        <v>44775</v>
      </c>
      <c r="B163" s="1" t="s">
        <v>14</v>
      </c>
      <c r="C163" s="1" t="s">
        <v>67</v>
      </c>
      <c r="D163" s="1" t="s">
        <v>66</v>
      </c>
      <c r="E163">
        <v>118</v>
      </c>
      <c r="F163" s="1">
        <f>VLOOKUP(jablka5[[#This Row],[Nazwa]],cennik[],2,0) * jablka5[[#This Row],[sprzedaż]]</f>
        <v>413</v>
      </c>
      <c r="G163" s="1">
        <f>IF(jablka5[[#This Row],[NIP]]=D162,jablka5[[#This Row],[sprzedaż]]+G162,jablka5[[#This Row],[sprzedaż]])</f>
        <v>6818</v>
      </c>
      <c r="H163" s="1">
        <f>IF(jablka5[[#This Row],[dot sprz]]&lt;15000,0,IF(jablka5[[#This Row],[dot sprz]]&lt;20000,5,10))</f>
        <v>0</v>
      </c>
      <c r="I163" s="1">
        <f>jablka5[[#This Row],[rabat]]*jablka5[[#This Row],[sprzedaż]]/100</f>
        <v>0</v>
      </c>
    </row>
    <row r="164" spans="1:9" x14ac:dyDescent="0.25">
      <c r="A164" s="2">
        <v>44781</v>
      </c>
      <c r="B164" s="1" t="s">
        <v>14</v>
      </c>
      <c r="C164" s="1" t="s">
        <v>67</v>
      </c>
      <c r="D164" s="1" t="s">
        <v>66</v>
      </c>
      <c r="E164">
        <v>139</v>
      </c>
      <c r="F164" s="1">
        <f>VLOOKUP(jablka5[[#This Row],[Nazwa]],cennik[],2,0) * jablka5[[#This Row],[sprzedaż]]</f>
        <v>486.5</v>
      </c>
      <c r="G164" s="1">
        <f>IF(jablka5[[#This Row],[NIP]]=D163,jablka5[[#This Row],[sprzedaż]]+G163,jablka5[[#This Row],[sprzedaż]])</f>
        <v>6957</v>
      </c>
      <c r="H164" s="1">
        <f>IF(jablka5[[#This Row],[dot sprz]]&lt;15000,0,IF(jablka5[[#This Row],[dot sprz]]&lt;20000,5,10))</f>
        <v>0</v>
      </c>
      <c r="I164" s="1">
        <f>jablka5[[#This Row],[rabat]]*jablka5[[#This Row],[sprzedaż]]/100</f>
        <v>0</v>
      </c>
    </row>
    <row r="165" spans="1:9" x14ac:dyDescent="0.25">
      <c r="A165" s="2">
        <v>44788</v>
      </c>
      <c r="B165" s="1" t="s">
        <v>12</v>
      </c>
      <c r="C165" s="1" t="s">
        <v>68</v>
      </c>
      <c r="D165" s="1" t="s">
        <v>66</v>
      </c>
      <c r="E165">
        <v>427</v>
      </c>
      <c r="F165" s="1">
        <f>VLOOKUP(jablka5[[#This Row],[Nazwa]],cennik[],2,0) * jablka5[[#This Row],[sprzedaż]]</f>
        <v>1152.9000000000001</v>
      </c>
      <c r="G165" s="1">
        <f>IF(jablka5[[#This Row],[NIP]]=D164,jablka5[[#This Row],[sprzedaż]]+G164,jablka5[[#This Row],[sprzedaż]])</f>
        <v>7384</v>
      </c>
      <c r="H165" s="1">
        <f>IF(jablka5[[#This Row],[dot sprz]]&lt;15000,0,IF(jablka5[[#This Row],[dot sprz]]&lt;20000,5,10))</f>
        <v>0</v>
      </c>
      <c r="I165" s="1">
        <f>jablka5[[#This Row],[rabat]]*jablka5[[#This Row],[sprzedaż]]/100</f>
        <v>0</v>
      </c>
    </row>
    <row r="166" spans="1:9" x14ac:dyDescent="0.25">
      <c r="A166" s="2">
        <v>44791</v>
      </c>
      <c r="B166" s="1" t="s">
        <v>12</v>
      </c>
      <c r="C166" s="1" t="s">
        <v>68</v>
      </c>
      <c r="D166" s="1" t="s">
        <v>66</v>
      </c>
      <c r="E166">
        <v>438</v>
      </c>
      <c r="F166" s="1">
        <f>VLOOKUP(jablka5[[#This Row],[Nazwa]],cennik[],2,0) * jablka5[[#This Row],[sprzedaż]]</f>
        <v>1182.6000000000001</v>
      </c>
      <c r="G166" s="1">
        <f>IF(jablka5[[#This Row],[NIP]]=D165,jablka5[[#This Row],[sprzedaż]]+G165,jablka5[[#This Row],[sprzedaż]])</f>
        <v>7822</v>
      </c>
      <c r="H166" s="1">
        <f>IF(jablka5[[#This Row],[dot sprz]]&lt;15000,0,IF(jablka5[[#This Row],[dot sprz]]&lt;20000,5,10))</f>
        <v>0</v>
      </c>
      <c r="I166" s="1">
        <f>jablka5[[#This Row],[rabat]]*jablka5[[#This Row],[sprzedaż]]/100</f>
        <v>0</v>
      </c>
    </row>
    <row r="167" spans="1:9" x14ac:dyDescent="0.25">
      <c r="A167" s="2">
        <v>44795</v>
      </c>
      <c r="B167" s="1" t="s">
        <v>13</v>
      </c>
      <c r="C167" s="1" t="s">
        <v>68</v>
      </c>
      <c r="D167" s="1" t="s">
        <v>66</v>
      </c>
      <c r="E167">
        <v>136</v>
      </c>
      <c r="F167" s="1">
        <f>VLOOKUP(jablka5[[#This Row],[Nazwa]],cennik[],2,0) * jablka5[[#This Row],[sprzedaż]]</f>
        <v>435.20000000000005</v>
      </c>
      <c r="G167" s="1">
        <f>IF(jablka5[[#This Row],[NIP]]=D166,jablka5[[#This Row],[sprzedaż]]+G166,jablka5[[#This Row],[sprzedaż]])</f>
        <v>7958</v>
      </c>
      <c r="H167" s="1">
        <f>IF(jablka5[[#This Row],[dot sprz]]&lt;15000,0,IF(jablka5[[#This Row],[dot sprz]]&lt;20000,5,10))</f>
        <v>0</v>
      </c>
      <c r="I167" s="1">
        <f>jablka5[[#This Row],[rabat]]*jablka5[[#This Row],[sprzedaż]]/100</f>
        <v>0</v>
      </c>
    </row>
    <row r="168" spans="1:9" x14ac:dyDescent="0.25">
      <c r="A168" s="2">
        <v>44800</v>
      </c>
      <c r="B168" s="1" t="s">
        <v>14</v>
      </c>
      <c r="C168" s="1" t="s">
        <v>67</v>
      </c>
      <c r="D168" s="1" t="s">
        <v>66</v>
      </c>
      <c r="E168">
        <v>391</v>
      </c>
      <c r="F168" s="1">
        <f>VLOOKUP(jablka5[[#This Row],[Nazwa]],cennik[],2,0) * jablka5[[#This Row],[sprzedaż]]</f>
        <v>1368.5</v>
      </c>
      <c r="G168" s="1">
        <f>IF(jablka5[[#This Row],[NIP]]=D167,jablka5[[#This Row],[sprzedaż]]+G167,jablka5[[#This Row],[sprzedaż]])</f>
        <v>8349</v>
      </c>
      <c r="H168" s="1">
        <f>IF(jablka5[[#This Row],[dot sprz]]&lt;15000,0,IF(jablka5[[#This Row],[dot sprz]]&lt;20000,5,10))</f>
        <v>0</v>
      </c>
      <c r="I168" s="1">
        <f>jablka5[[#This Row],[rabat]]*jablka5[[#This Row],[sprzedaż]]/100</f>
        <v>0</v>
      </c>
    </row>
    <row r="169" spans="1:9" x14ac:dyDescent="0.25">
      <c r="A169" s="2">
        <v>44803</v>
      </c>
      <c r="B169" s="1" t="s">
        <v>12</v>
      </c>
      <c r="C169" s="1" t="s">
        <v>68</v>
      </c>
      <c r="D169" s="1" t="s">
        <v>66</v>
      </c>
      <c r="E169">
        <v>228</v>
      </c>
      <c r="F169" s="1">
        <f>VLOOKUP(jablka5[[#This Row],[Nazwa]],cennik[],2,0) * jablka5[[#This Row],[sprzedaż]]</f>
        <v>615.6</v>
      </c>
      <c r="G169" s="1">
        <f>IF(jablka5[[#This Row],[NIP]]=D168,jablka5[[#This Row],[sprzedaż]]+G168,jablka5[[#This Row],[sprzedaż]])</f>
        <v>8577</v>
      </c>
      <c r="H169" s="1">
        <f>IF(jablka5[[#This Row],[dot sprz]]&lt;15000,0,IF(jablka5[[#This Row],[dot sprz]]&lt;20000,5,10))</f>
        <v>0</v>
      </c>
      <c r="I169" s="1">
        <f>jablka5[[#This Row],[rabat]]*jablka5[[#This Row],[sprzedaż]]/100</f>
        <v>0</v>
      </c>
    </row>
    <row r="170" spans="1:9" x14ac:dyDescent="0.25">
      <c r="A170" s="2">
        <v>44811</v>
      </c>
      <c r="B170" s="1" t="s">
        <v>3</v>
      </c>
      <c r="C170" s="1" t="s">
        <v>67</v>
      </c>
      <c r="D170" s="1" t="s">
        <v>66</v>
      </c>
      <c r="E170">
        <v>28</v>
      </c>
      <c r="F170" s="1">
        <f>VLOOKUP(jablka5[[#This Row],[Nazwa]],cennik[],2,0) * jablka5[[#This Row],[sprzedaż]]</f>
        <v>89.600000000000009</v>
      </c>
      <c r="G170" s="1">
        <f>IF(jablka5[[#This Row],[NIP]]=D169,jablka5[[#This Row],[sprzedaż]]+G169,jablka5[[#This Row],[sprzedaż]])</f>
        <v>8605</v>
      </c>
      <c r="H170" s="1">
        <f>IF(jablka5[[#This Row],[dot sprz]]&lt;15000,0,IF(jablka5[[#This Row],[dot sprz]]&lt;20000,5,10))</f>
        <v>0</v>
      </c>
      <c r="I170" s="1">
        <f>jablka5[[#This Row],[rabat]]*jablka5[[#This Row],[sprzedaż]]/100</f>
        <v>0</v>
      </c>
    </row>
    <row r="171" spans="1:9" x14ac:dyDescent="0.25">
      <c r="A171" s="2">
        <v>44814</v>
      </c>
      <c r="B171" s="1" t="s">
        <v>14</v>
      </c>
      <c r="C171" s="1" t="s">
        <v>67</v>
      </c>
      <c r="D171" s="1" t="s">
        <v>66</v>
      </c>
      <c r="E171">
        <v>161</v>
      </c>
      <c r="F171" s="1">
        <f>VLOOKUP(jablka5[[#This Row],[Nazwa]],cennik[],2,0) * jablka5[[#This Row],[sprzedaż]]</f>
        <v>563.5</v>
      </c>
      <c r="G171" s="1">
        <f>IF(jablka5[[#This Row],[NIP]]=D170,jablka5[[#This Row],[sprzedaż]]+G170,jablka5[[#This Row],[sprzedaż]])</f>
        <v>8766</v>
      </c>
      <c r="H171" s="1">
        <f>IF(jablka5[[#This Row],[dot sprz]]&lt;15000,0,IF(jablka5[[#This Row],[dot sprz]]&lt;20000,5,10))</f>
        <v>0</v>
      </c>
      <c r="I171" s="1">
        <f>jablka5[[#This Row],[rabat]]*jablka5[[#This Row],[sprzedaż]]/100</f>
        <v>0</v>
      </c>
    </row>
    <row r="172" spans="1:9" x14ac:dyDescent="0.25">
      <c r="A172" s="2">
        <v>44823</v>
      </c>
      <c r="B172" s="1" t="s">
        <v>3</v>
      </c>
      <c r="C172" s="1" t="s">
        <v>67</v>
      </c>
      <c r="D172" s="1" t="s">
        <v>66</v>
      </c>
      <c r="E172">
        <v>306</v>
      </c>
      <c r="F172" s="1">
        <f>VLOOKUP(jablka5[[#This Row],[Nazwa]],cennik[],2,0) * jablka5[[#This Row],[sprzedaż]]</f>
        <v>979.2</v>
      </c>
      <c r="G172" s="1">
        <f>IF(jablka5[[#This Row],[NIP]]=D171,jablka5[[#This Row],[sprzedaż]]+G171,jablka5[[#This Row],[sprzedaż]])</f>
        <v>9072</v>
      </c>
      <c r="H172" s="1">
        <f>IF(jablka5[[#This Row],[dot sprz]]&lt;15000,0,IF(jablka5[[#This Row],[dot sprz]]&lt;20000,5,10))</f>
        <v>0</v>
      </c>
      <c r="I172" s="1">
        <f>jablka5[[#This Row],[rabat]]*jablka5[[#This Row],[sprzedaż]]/100</f>
        <v>0</v>
      </c>
    </row>
    <row r="173" spans="1:9" x14ac:dyDescent="0.25">
      <c r="A173" s="2">
        <v>44827</v>
      </c>
      <c r="B173" s="1" t="s">
        <v>3</v>
      </c>
      <c r="C173" s="1" t="s">
        <v>67</v>
      </c>
      <c r="D173" s="1" t="s">
        <v>66</v>
      </c>
      <c r="E173">
        <v>149</v>
      </c>
      <c r="F173" s="1">
        <f>VLOOKUP(jablka5[[#This Row],[Nazwa]],cennik[],2,0) * jablka5[[#This Row],[sprzedaż]]</f>
        <v>476.8</v>
      </c>
      <c r="G173" s="1">
        <f>IF(jablka5[[#This Row],[NIP]]=D172,jablka5[[#This Row],[sprzedaż]]+G172,jablka5[[#This Row],[sprzedaż]])</f>
        <v>9221</v>
      </c>
      <c r="H173" s="1">
        <f>IF(jablka5[[#This Row],[dot sprz]]&lt;15000,0,IF(jablka5[[#This Row],[dot sprz]]&lt;20000,5,10))</f>
        <v>0</v>
      </c>
      <c r="I173" s="1">
        <f>jablka5[[#This Row],[rabat]]*jablka5[[#This Row],[sprzedaż]]/100</f>
        <v>0</v>
      </c>
    </row>
    <row r="174" spans="1:9" x14ac:dyDescent="0.25">
      <c r="A174" s="2">
        <v>44831</v>
      </c>
      <c r="B174" s="1" t="s">
        <v>14</v>
      </c>
      <c r="C174" s="1" t="s">
        <v>67</v>
      </c>
      <c r="D174" s="1" t="s">
        <v>66</v>
      </c>
      <c r="E174">
        <v>159</v>
      </c>
      <c r="F174" s="1">
        <f>VLOOKUP(jablka5[[#This Row],[Nazwa]],cennik[],2,0) * jablka5[[#This Row],[sprzedaż]]</f>
        <v>556.5</v>
      </c>
      <c r="G174" s="1">
        <f>IF(jablka5[[#This Row],[NIP]]=D173,jablka5[[#This Row],[sprzedaż]]+G173,jablka5[[#This Row],[sprzedaż]])</f>
        <v>9380</v>
      </c>
      <c r="H174" s="1">
        <f>IF(jablka5[[#This Row],[dot sprz]]&lt;15000,0,IF(jablka5[[#This Row],[dot sprz]]&lt;20000,5,10))</f>
        <v>0</v>
      </c>
      <c r="I174" s="1">
        <f>jablka5[[#This Row],[rabat]]*jablka5[[#This Row],[sprzedaż]]/100</f>
        <v>0</v>
      </c>
    </row>
    <row r="175" spans="1:9" x14ac:dyDescent="0.25">
      <c r="A175" s="2">
        <v>44833</v>
      </c>
      <c r="B175" s="1" t="s">
        <v>14</v>
      </c>
      <c r="C175" s="1" t="s">
        <v>67</v>
      </c>
      <c r="D175" s="1" t="s">
        <v>66</v>
      </c>
      <c r="E175">
        <v>225</v>
      </c>
      <c r="F175" s="1">
        <f>VLOOKUP(jablka5[[#This Row],[Nazwa]],cennik[],2,0) * jablka5[[#This Row],[sprzedaż]]</f>
        <v>787.5</v>
      </c>
      <c r="G175" s="1">
        <f>IF(jablka5[[#This Row],[NIP]]=D174,jablka5[[#This Row],[sprzedaż]]+G174,jablka5[[#This Row],[sprzedaż]])</f>
        <v>9605</v>
      </c>
      <c r="H175" s="1">
        <f>IF(jablka5[[#This Row],[dot sprz]]&lt;15000,0,IF(jablka5[[#This Row],[dot sprz]]&lt;20000,5,10))</f>
        <v>0</v>
      </c>
      <c r="I175" s="1">
        <f>jablka5[[#This Row],[rabat]]*jablka5[[#This Row],[sprzedaż]]/100</f>
        <v>0</v>
      </c>
    </row>
    <row r="176" spans="1:9" x14ac:dyDescent="0.25">
      <c r="A176" s="2">
        <v>44835</v>
      </c>
      <c r="B176" s="1" t="s">
        <v>1</v>
      </c>
      <c r="C176" s="1" t="s">
        <v>67</v>
      </c>
      <c r="D176" s="1" t="s">
        <v>66</v>
      </c>
      <c r="E176">
        <v>226</v>
      </c>
      <c r="F176" s="1">
        <f>VLOOKUP(jablka5[[#This Row],[Nazwa]],cennik[],2,0) * jablka5[[#This Row],[sprzedaż]]</f>
        <v>723.2</v>
      </c>
      <c r="G176" s="1">
        <f>IF(jablka5[[#This Row],[NIP]]=D175,jablka5[[#This Row],[sprzedaż]]+G175,jablka5[[#This Row],[sprzedaż]])</f>
        <v>9831</v>
      </c>
      <c r="H176" s="1">
        <f>IF(jablka5[[#This Row],[dot sprz]]&lt;15000,0,IF(jablka5[[#This Row],[dot sprz]]&lt;20000,5,10))</f>
        <v>0</v>
      </c>
      <c r="I176" s="1">
        <f>jablka5[[#This Row],[rabat]]*jablka5[[#This Row],[sprzedaż]]/100</f>
        <v>0</v>
      </c>
    </row>
    <row r="177" spans="1:9" x14ac:dyDescent="0.25">
      <c r="A177" s="2">
        <v>44842</v>
      </c>
      <c r="B177" s="1" t="s">
        <v>9</v>
      </c>
      <c r="C177" s="1" t="s">
        <v>67</v>
      </c>
      <c r="D177" s="1" t="s">
        <v>66</v>
      </c>
      <c r="E177">
        <v>460</v>
      </c>
      <c r="F177" s="1">
        <f>VLOOKUP(jablka5[[#This Row],[Nazwa]],cennik[],2,0) * jablka5[[#This Row],[sprzedaż]]</f>
        <v>1150</v>
      </c>
      <c r="G177" s="1">
        <f>IF(jablka5[[#This Row],[NIP]]=D176,jablka5[[#This Row],[sprzedaż]]+G176,jablka5[[#This Row],[sprzedaż]])</f>
        <v>10291</v>
      </c>
      <c r="H177" s="1">
        <f>IF(jablka5[[#This Row],[dot sprz]]&lt;15000,0,IF(jablka5[[#This Row],[dot sprz]]&lt;20000,5,10))</f>
        <v>0</v>
      </c>
      <c r="I177" s="1">
        <f>jablka5[[#This Row],[rabat]]*jablka5[[#This Row],[sprzedaż]]/100</f>
        <v>0</v>
      </c>
    </row>
    <row r="178" spans="1:9" x14ac:dyDescent="0.25">
      <c r="A178" s="2">
        <v>44844</v>
      </c>
      <c r="B178" s="1" t="s">
        <v>1</v>
      </c>
      <c r="C178" s="1" t="s">
        <v>67</v>
      </c>
      <c r="D178" s="1" t="s">
        <v>66</v>
      </c>
      <c r="E178">
        <v>343</v>
      </c>
      <c r="F178" s="1">
        <f>VLOOKUP(jablka5[[#This Row],[Nazwa]],cennik[],2,0) * jablka5[[#This Row],[sprzedaż]]</f>
        <v>1097.6000000000001</v>
      </c>
      <c r="G178" s="1">
        <f>IF(jablka5[[#This Row],[NIP]]=D177,jablka5[[#This Row],[sprzedaż]]+G177,jablka5[[#This Row],[sprzedaż]])</f>
        <v>10634</v>
      </c>
      <c r="H178" s="1">
        <f>IF(jablka5[[#This Row],[dot sprz]]&lt;15000,0,IF(jablka5[[#This Row],[dot sprz]]&lt;20000,5,10))</f>
        <v>0</v>
      </c>
      <c r="I178" s="1">
        <f>jablka5[[#This Row],[rabat]]*jablka5[[#This Row],[sprzedaż]]/100</f>
        <v>0</v>
      </c>
    </row>
    <row r="179" spans="1:9" x14ac:dyDescent="0.25">
      <c r="A179" s="2">
        <v>44845</v>
      </c>
      <c r="B179" s="1" t="s">
        <v>11</v>
      </c>
      <c r="C179" s="1" t="s">
        <v>67</v>
      </c>
      <c r="D179" s="1" t="s">
        <v>66</v>
      </c>
      <c r="E179">
        <v>305</v>
      </c>
      <c r="F179" s="1">
        <f>VLOOKUP(jablka5[[#This Row],[Nazwa]],cennik[],2,0) * jablka5[[#This Row],[sprzedaż]]</f>
        <v>762.5</v>
      </c>
      <c r="G179" s="1">
        <f>IF(jablka5[[#This Row],[NIP]]=D178,jablka5[[#This Row],[sprzedaż]]+G178,jablka5[[#This Row],[sprzedaż]])</f>
        <v>10939</v>
      </c>
      <c r="H179" s="1">
        <f>IF(jablka5[[#This Row],[dot sprz]]&lt;15000,0,IF(jablka5[[#This Row],[dot sprz]]&lt;20000,5,10))</f>
        <v>0</v>
      </c>
      <c r="I179" s="1">
        <f>jablka5[[#This Row],[rabat]]*jablka5[[#This Row],[sprzedaż]]/100</f>
        <v>0</v>
      </c>
    </row>
    <row r="180" spans="1:9" x14ac:dyDescent="0.25">
      <c r="A180" s="2">
        <v>44849</v>
      </c>
      <c r="B180" s="1" t="s">
        <v>14</v>
      </c>
      <c r="C180" s="1" t="s">
        <v>67</v>
      </c>
      <c r="D180" s="1" t="s">
        <v>66</v>
      </c>
      <c r="E180">
        <v>356</v>
      </c>
      <c r="F180" s="1">
        <f>VLOOKUP(jablka5[[#This Row],[Nazwa]],cennik[],2,0) * jablka5[[#This Row],[sprzedaż]]</f>
        <v>1246</v>
      </c>
      <c r="G180" s="1">
        <f>IF(jablka5[[#This Row],[NIP]]=D179,jablka5[[#This Row],[sprzedaż]]+G179,jablka5[[#This Row],[sprzedaż]])</f>
        <v>11295</v>
      </c>
      <c r="H180" s="1">
        <f>IF(jablka5[[#This Row],[dot sprz]]&lt;15000,0,IF(jablka5[[#This Row],[dot sprz]]&lt;20000,5,10))</f>
        <v>0</v>
      </c>
      <c r="I180" s="1">
        <f>jablka5[[#This Row],[rabat]]*jablka5[[#This Row],[sprzedaż]]/100</f>
        <v>0</v>
      </c>
    </row>
    <row r="181" spans="1:9" x14ac:dyDescent="0.25">
      <c r="A181" s="2">
        <v>44872</v>
      </c>
      <c r="B181" s="1" t="s">
        <v>14</v>
      </c>
      <c r="C181" s="1" t="s">
        <v>67</v>
      </c>
      <c r="D181" s="1" t="s">
        <v>66</v>
      </c>
      <c r="E181">
        <v>261</v>
      </c>
      <c r="F181" s="1">
        <f>VLOOKUP(jablka5[[#This Row],[Nazwa]],cennik[],2,0) * jablka5[[#This Row],[sprzedaż]]</f>
        <v>913.5</v>
      </c>
      <c r="G181" s="1">
        <f>IF(jablka5[[#This Row],[NIP]]=D180,jablka5[[#This Row],[sprzedaż]]+G180,jablka5[[#This Row],[sprzedaż]])</f>
        <v>11556</v>
      </c>
      <c r="H181" s="1">
        <f>IF(jablka5[[#This Row],[dot sprz]]&lt;15000,0,IF(jablka5[[#This Row],[dot sprz]]&lt;20000,5,10))</f>
        <v>0</v>
      </c>
      <c r="I181" s="1">
        <f>jablka5[[#This Row],[rabat]]*jablka5[[#This Row],[sprzedaż]]/100</f>
        <v>0</v>
      </c>
    </row>
    <row r="182" spans="1:9" x14ac:dyDescent="0.25">
      <c r="A182" s="2">
        <v>44875</v>
      </c>
      <c r="B182" s="1" t="s">
        <v>9</v>
      </c>
      <c r="C182" s="1" t="s">
        <v>67</v>
      </c>
      <c r="D182" s="1" t="s">
        <v>66</v>
      </c>
      <c r="E182">
        <v>357</v>
      </c>
      <c r="F182" s="1">
        <f>VLOOKUP(jablka5[[#This Row],[Nazwa]],cennik[],2,0) * jablka5[[#This Row],[sprzedaż]]</f>
        <v>892.5</v>
      </c>
      <c r="G182" s="1">
        <f>IF(jablka5[[#This Row],[NIP]]=D181,jablka5[[#This Row],[sprzedaż]]+G181,jablka5[[#This Row],[sprzedaż]])</f>
        <v>11913</v>
      </c>
      <c r="H182" s="1">
        <f>IF(jablka5[[#This Row],[dot sprz]]&lt;15000,0,IF(jablka5[[#This Row],[dot sprz]]&lt;20000,5,10))</f>
        <v>0</v>
      </c>
      <c r="I182" s="1">
        <f>jablka5[[#This Row],[rabat]]*jablka5[[#This Row],[sprzedaż]]/100</f>
        <v>0</v>
      </c>
    </row>
    <row r="183" spans="1:9" x14ac:dyDescent="0.25">
      <c r="A183" s="2">
        <v>44877</v>
      </c>
      <c r="B183" s="1" t="s">
        <v>3</v>
      </c>
      <c r="C183" s="1" t="s">
        <v>67</v>
      </c>
      <c r="D183" s="1" t="s">
        <v>66</v>
      </c>
      <c r="E183">
        <v>406</v>
      </c>
      <c r="F183" s="1">
        <f>VLOOKUP(jablka5[[#This Row],[Nazwa]],cennik[],2,0) * jablka5[[#This Row],[sprzedaż]]</f>
        <v>1299.2</v>
      </c>
      <c r="G183" s="1">
        <f>IF(jablka5[[#This Row],[NIP]]=D182,jablka5[[#This Row],[sprzedaż]]+G182,jablka5[[#This Row],[sprzedaż]])</f>
        <v>12319</v>
      </c>
      <c r="H183" s="1">
        <f>IF(jablka5[[#This Row],[dot sprz]]&lt;15000,0,IF(jablka5[[#This Row],[dot sprz]]&lt;20000,5,10))</f>
        <v>0</v>
      </c>
      <c r="I183" s="1">
        <f>jablka5[[#This Row],[rabat]]*jablka5[[#This Row],[sprzedaż]]/100</f>
        <v>0</v>
      </c>
    </row>
    <row r="184" spans="1:9" x14ac:dyDescent="0.25">
      <c r="A184" s="2">
        <v>44880</v>
      </c>
      <c r="B184" s="1" t="s">
        <v>3</v>
      </c>
      <c r="C184" s="1" t="s">
        <v>67</v>
      </c>
      <c r="D184" s="1" t="s">
        <v>66</v>
      </c>
      <c r="E184">
        <v>72</v>
      </c>
      <c r="F184" s="1">
        <f>VLOOKUP(jablka5[[#This Row],[Nazwa]],cennik[],2,0) * jablka5[[#This Row],[sprzedaż]]</f>
        <v>230.4</v>
      </c>
      <c r="G184" s="1">
        <f>IF(jablka5[[#This Row],[NIP]]=D183,jablka5[[#This Row],[sprzedaż]]+G183,jablka5[[#This Row],[sprzedaż]])</f>
        <v>12391</v>
      </c>
      <c r="H184" s="1">
        <f>IF(jablka5[[#This Row],[dot sprz]]&lt;15000,0,IF(jablka5[[#This Row],[dot sprz]]&lt;20000,5,10))</f>
        <v>0</v>
      </c>
      <c r="I184" s="1">
        <f>jablka5[[#This Row],[rabat]]*jablka5[[#This Row],[sprzedaż]]/100</f>
        <v>0</v>
      </c>
    </row>
    <row r="185" spans="1:9" x14ac:dyDescent="0.25">
      <c r="A185" s="2">
        <v>44895</v>
      </c>
      <c r="B185" s="1" t="s">
        <v>14</v>
      </c>
      <c r="C185" s="1" t="s">
        <v>67</v>
      </c>
      <c r="D185" s="1" t="s">
        <v>66</v>
      </c>
      <c r="E185">
        <v>322</v>
      </c>
      <c r="F185" s="1">
        <f>VLOOKUP(jablka5[[#This Row],[Nazwa]],cennik[],2,0) * jablka5[[#This Row],[sprzedaż]]</f>
        <v>1127</v>
      </c>
      <c r="G185" s="1">
        <f>IF(jablka5[[#This Row],[NIP]]=D184,jablka5[[#This Row],[sprzedaż]]+G184,jablka5[[#This Row],[sprzedaż]])</f>
        <v>12713</v>
      </c>
      <c r="H185" s="1">
        <f>IF(jablka5[[#This Row],[dot sprz]]&lt;15000,0,IF(jablka5[[#This Row],[dot sprz]]&lt;20000,5,10))</f>
        <v>0</v>
      </c>
      <c r="I185" s="1">
        <f>jablka5[[#This Row],[rabat]]*jablka5[[#This Row],[sprzedaż]]/100</f>
        <v>0</v>
      </c>
    </row>
    <row r="186" spans="1:9" x14ac:dyDescent="0.25">
      <c r="A186" s="2">
        <v>44898</v>
      </c>
      <c r="B186" s="1" t="s">
        <v>4</v>
      </c>
      <c r="C186" s="1" t="s">
        <v>16</v>
      </c>
      <c r="D186" s="1" t="s">
        <v>66</v>
      </c>
      <c r="E186">
        <v>778</v>
      </c>
      <c r="F186" s="1">
        <f>VLOOKUP(jablka5[[#This Row],[Nazwa]],cennik[],2,0) * jablka5[[#This Row],[sprzedaż]]</f>
        <v>2645.2</v>
      </c>
      <c r="G186" s="1">
        <f>IF(jablka5[[#This Row],[NIP]]=D185,jablka5[[#This Row],[sprzedaż]]+G185,jablka5[[#This Row],[sprzedaż]])</f>
        <v>13491</v>
      </c>
      <c r="H186" s="1">
        <f>IF(jablka5[[#This Row],[dot sprz]]&lt;15000,0,IF(jablka5[[#This Row],[dot sprz]]&lt;20000,5,10))</f>
        <v>0</v>
      </c>
      <c r="I186" s="1">
        <f>jablka5[[#This Row],[rabat]]*jablka5[[#This Row],[sprzedaż]]/100</f>
        <v>0</v>
      </c>
    </row>
    <row r="187" spans="1:9" x14ac:dyDescent="0.25">
      <c r="A187" s="2">
        <v>44901</v>
      </c>
      <c r="B187" s="1" t="s">
        <v>5</v>
      </c>
      <c r="C187" s="1" t="s">
        <v>16</v>
      </c>
      <c r="D187" s="1" t="s">
        <v>66</v>
      </c>
      <c r="E187">
        <v>81</v>
      </c>
      <c r="F187" s="1">
        <f>VLOOKUP(jablka5[[#This Row],[Nazwa]],cennik[],2,0) * jablka5[[#This Row],[sprzedaż]]</f>
        <v>275.39999999999998</v>
      </c>
      <c r="G187" s="1">
        <f>IF(jablka5[[#This Row],[NIP]]=D186,jablka5[[#This Row],[sprzedaż]]+G186,jablka5[[#This Row],[sprzedaż]])</f>
        <v>13572</v>
      </c>
      <c r="H187" s="1">
        <f>IF(jablka5[[#This Row],[dot sprz]]&lt;15000,0,IF(jablka5[[#This Row],[dot sprz]]&lt;20000,5,10))</f>
        <v>0</v>
      </c>
      <c r="I187" s="1">
        <f>jablka5[[#This Row],[rabat]]*jablka5[[#This Row],[sprzedaż]]/100</f>
        <v>0</v>
      </c>
    </row>
    <row r="188" spans="1:9" x14ac:dyDescent="0.25">
      <c r="A188" s="2">
        <v>44921</v>
      </c>
      <c r="B188" s="1" t="s">
        <v>6</v>
      </c>
      <c r="C188" s="1" t="s">
        <v>16</v>
      </c>
      <c r="D188" s="1" t="s">
        <v>66</v>
      </c>
      <c r="E188">
        <v>409</v>
      </c>
      <c r="F188" s="1">
        <f>VLOOKUP(jablka5[[#This Row],[Nazwa]],cennik[],2,0) * jablka5[[#This Row],[sprzedaż]]</f>
        <v>1390.6</v>
      </c>
      <c r="G188" s="1">
        <f>IF(jablka5[[#This Row],[NIP]]=D187,jablka5[[#This Row],[sprzedaż]]+G187,jablka5[[#This Row],[sprzedaż]])</f>
        <v>13981</v>
      </c>
      <c r="H188" s="1">
        <f>IF(jablka5[[#This Row],[dot sprz]]&lt;15000,0,IF(jablka5[[#This Row],[dot sprz]]&lt;20000,5,10))</f>
        <v>0</v>
      </c>
      <c r="I188" s="1">
        <f>jablka5[[#This Row],[rabat]]*jablka5[[#This Row],[sprzedaż]]/100</f>
        <v>0</v>
      </c>
    </row>
    <row r="189" spans="1:9" x14ac:dyDescent="0.25">
      <c r="A189" s="2">
        <v>44565</v>
      </c>
      <c r="B189" s="1" t="s">
        <v>15</v>
      </c>
      <c r="C189" s="1" t="s">
        <v>16</v>
      </c>
      <c r="D189" s="1" t="s">
        <v>32</v>
      </c>
      <c r="E189">
        <v>555</v>
      </c>
      <c r="F189" s="1">
        <f>VLOOKUP(jablka5[[#This Row],[Nazwa]],cennik[],2,0) * jablka5[[#This Row],[sprzedaż]]</f>
        <v>1332</v>
      </c>
      <c r="G189" s="1">
        <f>IF(jablka5[[#This Row],[NIP]]=D188,jablka5[[#This Row],[sprzedaż]]+G188,jablka5[[#This Row],[sprzedaż]])</f>
        <v>555</v>
      </c>
      <c r="H189" s="1">
        <f>IF(jablka5[[#This Row],[dot sprz]]&lt;15000,0,IF(jablka5[[#This Row],[dot sprz]]&lt;20000,5,10))</f>
        <v>0</v>
      </c>
      <c r="I189" s="1">
        <f>jablka5[[#This Row],[rabat]]*jablka5[[#This Row],[sprzedaż]]/100</f>
        <v>0</v>
      </c>
    </row>
    <row r="190" spans="1:9" x14ac:dyDescent="0.25">
      <c r="A190" s="2">
        <v>44565</v>
      </c>
      <c r="B190" s="1" t="s">
        <v>8</v>
      </c>
      <c r="C190" s="1" t="s">
        <v>16</v>
      </c>
      <c r="D190" s="1" t="s">
        <v>32</v>
      </c>
      <c r="E190">
        <v>640</v>
      </c>
      <c r="F190" s="1">
        <f>VLOOKUP(jablka5[[#This Row],[Nazwa]],cennik[],2,0) * jablka5[[#This Row],[sprzedaż]]</f>
        <v>2240</v>
      </c>
      <c r="G190" s="1">
        <f>IF(jablka5[[#This Row],[NIP]]=D189,jablka5[[#This Row],[sprzedaż]]+G189,jablka5[[#This Row],[sprzedaż]])</f>
        <v>1195</v>
      </c>
      <c r="H190" s="1">
        <f>IF(jablka5[[#This Row],[dot sprz]]&lt;15000,0,IF(jablka5[[#This Row],[dot sprz]]&lt;20000,5,10))</f>
        <v>0</v>
      </c>
      <c r="I190" s="1">
        <f>jablka5[[#This Row],[rabat]]*jablka5[[#This Row],[sprzedaż]]/100</f>
        <v>0</v>
      </c>
    </row>
    <row r="191" spans="1:9" x14ac:dyDescent="0.25">
      <c r="A191" s="2">
        <v>44579</v>
      </c>
      <c r="B191" s="1" t="s">
        <v>15</v>
      </c>
      <c r="C191" s="1" t="s">
        <v>16</v>
      </c>
      <c r="D191" s="1" t="s">
        <v>32</v>
      </c>
      <c r="E191">
        <v>419</v>
      </c>
      <c r="F191" s="1">
        <f>VLOOKUP(jablka5[[#This Row],[Nazwa]],cennik[],2,0) * jablka5[[#This Row],[sprzedaż]]</f>
        <v>1005.5999999999999</v>
      </c>
      <c r="G191" s="1">
        <f>IF(jablka5[[#This Row],[NIP]]=D190,jablka5[[#This Row],[sprzedaż]]+G190,jablka5[[#This Row],[sprzedaż]])</f>
        <v>1614</v>
      </c>
      <c r="H191" s="1">
        <f>IF(jablka5[[#This Row],[dot sprz]]&lt;15000,0,IF(jablka5[[#This Row],[dot sprz]]&lt;20000,5,10))</f>
        <v>0</v>
      </c>
      <c r="I191" s="1">
        <f>jablka5[[#This Row],[rabat]]*jablka5[[#This Row],[sprzedaż]]/100</f>
        <v>0</v>
      </c>
    </row>
    <row r="192" spans="1:9" x14ac:dyDescent="0.25">
      <c r="A192" s="2">
        <v>44580</v>
      </c>
      <c r="B192" s="1" t="s">
        <v>4</v>
      </c>
      <c r="C192" s="1" t="s">
        <v>16</v>
      </c>
      <c r="D192" s="1" t="s">
        <v>32</v>
      </c>
      <c r="E192">
        <v>511</v>
      </c>
      <c r="F192" s="1">
        <f>VLOOKUP(jablka5[[#This Row],[Nazwa]],cennik[],2,0) * jablka5[[#This Row],[sprzedaż]]</f>
        <v>1737.3999999999999</v>
      </c>
      <c r="G192" s="1">
        <f>IF(jablka5[[#This Row],[NIP]]=D191,jablka5[[#This Row],[sprzedaż]]+G191,jablka5[[#This Row],[sprzedaż]])</f>
        <v>2125</v>
      </c>
      <c r="H192" s="1">
        <f>IF(jablka5[[#This Row],[dot sprz]]&lt;15000,0,IF(jablka5[[#This Row],[dot sprz]]&lt;20000,5,10))</f>
        <v>0</v>
      </c>
      <c r="I192" s="1">
        <f>jablka5[[#This Row],[rabat]]*jablka5[[#This Row],[sprzedaż]]/100</f>
        <v>0</v>
      </c>
    </row>
    <row r="193" spans="1:9" x14ac:dyDescent="0.25">
      <c r="A193" s="2">
        <v>44595</v>
      </c>
      <c r="B193" s="1" t="s">
        <v>6</v>
      </c>
      <c r="C193" s="1" t="s">
        <v>16</v>
      </c>
      <c r="D193" s="1" t="s">
        <v>32</v>
      </c>
      <c r="E193">
        <v>180</v>
      </c>
      <c r="F193" s="1">
        <f>VLOOKUP(jablka5[[#This Row],[Nazwa]],cennik[],2,0) * jablka5[[#This Row],[sprzedaż]]</f>
        <v>612</v>
      </c>
      <c r="G193" s="1">
        <f>IF(jablka5[[#This Row],[NIP]]=D192,jablka5[[#This Row],[sprzedaż]]+G192,jablka5[[#This Row],[sprzedaż]])</f>
        <v>2305</v>
      </c>
      <c r="H193" s="1">
        <f>IF(jablka5[[#This Row],[dot sprz]]&lt;15000,0,IF(jablka5[[#This Row],[dot sprz]]&lt;20000,5,10))</f>
        <v>0</v>
      </c>
      <c r="I193" s="1">
        <f>jablka5[[#This Row],[rabat]]*jablka5[[#This Row],[sprzedaż]]/100</f>
        <v>0</v>
      </c>
    </row>
    <row r="194" spans="1:9" x14ac:dyDescent="0.25">
      <c r="A194" s="2">
        <v>44599</v>
      </c>
      <c r="B194" s="1" t="s">
        <v>7</v>
      </c>
      <c r="C194" s="1" t="s">
        <v>16</v>
      </c>
      <c r="D194" s="1" t="s">
        <v>32</v>
      </c>
      <c r="E194">
        <v>421</v>
      </c>
      <c r="F194" s="1">
        <f>VLOOKUP(jablka5[[#This Row],[Nazwa]],cennik[],2,0) * jablka5[[#This Row],[sprzedaż]]</f>
        <v>1431.3999999999999</v>
      </c>
      <c r="G194" s="1">
        <f>IF(jablka5[[#This Row],[NIP]]=D193,jablka5[[#This Row],[sprzedaż]]+G193,jablka5[[#This Row],[sprzedaż]])</f>
        <v>2726</v>
      </c>
      <c r="H194" s="1">
        <f>IF(jablka5[[#This Row],[dot sprz]]&lt;15000,0,IF(jablka5[[#This Row],[dot sprz]]&lt;20000,5,10))</f>
        <v>0</v>
      </c>
      <c r="I194" s="1">
        <f>jablka5[[#This Row],[rabat]]*jablka5[[#This Row],[sprzedaż]]/100</f>
        <v>0</v>
      </c>
    </row>
    <row r="195" spans="1:9" x14ac:dyDescent="0.25">
      <c r="A195" s="2">
        <v>44601</v>
      </c>
      <c r="B195" s="1" t="s">
        <v>10</v>
      </c>
      <c r="C195" s="1" t="s">
        <v>16</v>
      </c>
      <c r="D195" s="1" t="s">
        <v>32</v>
      </c>
      <c r="E195">
        <v>393</v>
      </c>
      <c r="F195" s="1">
        <f>VLOOKUP(jablka5[[#This Row],[Nazwa]],cennik[],2,0) * jablka5[[#This Row],[sprzedaż]]</f>
        <v>1336.2</v>
      </c>
      <c r="G195" s="1">
        <f>IF(jablka5[[#This Row],[NIP]]=D194,jablka5[[#This Row],[sprzedaż]]+G194,jablka5[[#This Row],[sprzedaż]])</f>
        <v>3119</v>
      </c>
      <c r="H195" s="1">
        <f>IF(jablka5[[#This Row],[dot sprz]]&lt;15000,0,IF(jablka5[[#This Row],[dot sprz]]&lt;20000,5,10))</f>
        <v>0</v>
      </c>
      <c r="I195" s="1">
        <f>jablka5[[#This Row],[rabat]]*jablka5[[#This Row],[sprzedaż]]/100</f>
        <v>0</v>
      </c>
    </row>
    <row r="196" spans="1:9" x14ac:dyDescent="0.25">
      <c r="A196" s="2">
        <v>44602</v>
      </c>
      <c r="B196" s="1" t="s">
        <v>7</v>
      </c>
      <c r="C196" s="1" t="s">
        <v>16</v>
      </c>
      <c r="D196" s="1" t="s">
        <v>32</v>
      </c>
      <c r="E196">
        <v>331</v>
      </c>
      <c r="F196" s="1">
        <f>VLOOKUP(jablka5[[#This Row],[Nazwa]],cennik[],2,0) * jablka5[[#This Row],[sprzedaż]]</f>
        <v>1125.3999999999999</v>
      </c>
      <c r="G196" s="1">
        <f>IF(jablka5[[#This Row],[NIP]]=D195,jablka5[[#This Row],[sprzedaż]]+G195,jablka5[[#This Row],[sprzedaż]])</f>
        <v>3450</v>
      </c>
      <c r="H196" s="1">
        <f>IF(jablka5[[#This Row],[dot sprz]]&lt;15000,0,IF(jablka5[[#This Row],[dot sprz]]&lt;20000,5,10))</f>
        <v>0</v>
      </c>
      <c r="I196" s="1">
        <f>jablka5[[#This Row],[rabat]]*jablka5[[#This Row],[sprzedaż]]/100</f>
        <v>0</v>
      </c>
    </row>
    <row r="197" spans="1:9" x14ac:dyDescent="0.25">
      <c r="A197" s="2">
        <v>44606</v>
      </c>
      <c r="B197" s="1" t="s">
        <v>0</v>
      </c>
      <c r="C197" s="1" t="s">
        <v>16</v>
      </c>
      <c r="D197" s="1" t="s">
        <v>32</v>
      </c>
      <c r="E197">
        <v>402</v>
      </c>
      <c r="F197" s="1">
        <f>VLOOKUP(jablka5[[#This Row],[Nazwa]],cennik[],2,0) * jablka5[[#This Row],[sprzedaż]]</f>
        <v>1165.8</v>
      </c>
      <c r="G197" s="1">
        <f>IF(jablka5[[#This Row],[NIP]]=D196,jablka5[[#This Row],[sprzedaż]]+G196,jablka5[[#This Row],[sprzedaż]])</f>
        <v>3852</v>
      </c>
      <c r="H197" s="1">
        <f>IF(jablka5[[#This Row],[dot sprz]]&lt;15000,0,IF(jablka5[[#This Row],[dot sprz]]&lt;20000,5,10))</f>
        <v>0</v>
      </c>
      <c r="I197" s="1">
        <f>jablka5[[#This Row],[rabat]]*jablka5[[#This Row],[sprzedaż]]/100</f>
        <v>0</v>
      </c>
    </row>
    <row r="198" spans="1:9" x14ac:dyDescent="0.25">
      <c r="A198" s="2">
        <v>44607</v>
      </c>
      <c r="B198" s="1" t="s">
        <v>4</v>
      </c>
      <c r="C198" s="1" t="s">
        <v>16</v>
      </c>
      <c r="D198" s="1" t="s">
        <v>32</v>
      </c>
      <c r="E198">
        <v>753</v>
      </c>
      <c r="F198" s="1">
        <f>VLOOKUP(jablka5[[#This Row],[Nazwa]],cennik[],2,0) * jablka5[[#This Row],[sprzedaż]]</f>
        <v>2560.1999999999998</v>
      </c>
      <c r="G198" s="1">
        <f>IF(jablka5[[#This Row],[NIP]]=D197,jablka5[[#This Row],[sprzedaż]]+G197,jablka5[[#This Row],[sprzedaż]])</f>
        <v>4605</v>
      </c>
      <c r="H198" s="1">
        <f>IF(jablka5[[#This Row],[dot sprz]]&lt;15000,0,IF(jablka5[[#This Row],[dot sprz]]&lt;20000,5,10))</f>
        <v>0</v>
      </c>
      <c r="I198" s="1">
        <f>jablka5[[#This Row],[rabat]]*jablka5[[#This Row],[sprzedaż]]/100</f>
        <v>0</v>
      </c>
    </row>
    <row r="199" spans="1:9" x14ac:dyDescent="0.25">
      <c r="A199" s="2">
        <v>44613</v>
      </c>
      <c r="B199" s="1" t="s">
        <v>10</v>
      </c>
      <c r="C199" s="1" t="s">
        <v>16</v>
      </c>
      <c r="D199" s="1" t="s">
        <v>32</v>
      </c>
      <c r="E199">
        <v>205</v>
      </c>
      <c r="F199" s="1">
        <f>VLOOKUP(jablka5[[#This Row],[Nazwa]],cennik[],2,0) * jablka5[[#This Row],[sprzedaż]]</f>
        <v>697</v>
      </c>
      <c r="G199" s="1">
        <f>IF(jablka5[[#This Row],[NIP]]=D198,jablka5[[#This Row],[sprzedaż]]+G198,jablka5[[#This Row],[sprzedaż]])</f>
        <v>4810</v>
      </c>
      <c r="H199" s="1">
        <f>IF(jablka5[[#This Row],[dot sprz]]&lt;15000,0,IF(jablka5[[#This Row],[dot sprz]]&lt;20000,5,10))</f>
        <v>0</v>
      </c>
      <c r="I199" s="1">
        <f>jablka5[[#This Row],[rabat]]*jablka5[[#This Row],[sprzedaż]]/100</f>
        <v>0</v>
      </c>
    </row>
    <row r="200" spans="1:9" x14ac:dyDescent="0.25">
      <c r="A200" s="2">
        <v>44614</v>
      </c>
      <c r="B200" s="1" t="s">
        <v>0</v>
      </c>
      <c r="C200" s="1" t="s">
        <v>16</v>
      </c>
      <c r="D200" s="1" t="s">
        <v>32</v>
      </c>
      <c r="E200">
        <v>112</v>
      </c>
      <c r="F200" s="1">
        <f>VLOOKUP(jablka5[[#This Row],[Nazwa]],cennik[],2,0) * jablka5[[#This Row],[sprzedaż]]</f>
        <v>324.8</v>
      </c>
      <c r="G200" s="1">
        <f>IF(jablka5[[#This Row],[NIP]]=D199,jablka5[[#This Row],[sprzedaż]]+G199,jablka5[[#This Row],[sprzedaż]])</f>
        <v>4922</v>
      </c>
      <c r="H200" s="1">
        <f>IF(jablka5[[#This Row],[dot sprz]]&lt;15000,0,IF(jablka5[[#This Row],[dot sprz]]&lt;20000,5,10))</f>
        <v>0</v>
      </c>
      <c r="I200" s="1">
        <f>jablka5[[#This Row],[rabat]]*jablka5[[#This Row],[sprzedaż]]/100</f>
        <v>0</v>
      </c>
    </row>
    <row r="201" spans="1:9" x14ac:dyDescent="0.25">
      <c r="A201" s="2">
        <v>44620</v>
      </c>
      <c r="B201" s="1" t="s">
        <v>0</v>
      </c>
      <c r="C201" s="1" t="s">
        <v>16</v>
      </c>
      <c r="D201" s="1" t="s">
        <v>32</v>
      </c>
      <c r="E201">
        <v>14</v>
      </c>
      <c r="F201" s="1">
        <f>VLOOKUP(jablka5[[#This Row],[Nazwa]],cennik[],2,0) * jablka5[[#This Row],[sprzedaż]]</f>
        <v>40.6</v>
      </c>
      <c r="G201" s="1">
        <f>IF(jablka5[[#This Row],[NIP]]=D200,jablka5[[#This Row],[sprzedaż]]+G200,jablka5[[#This Row],[sprzedaż]])</f>
        <v>4936</v>
      </c>
      <c r="H201" s="1">
        <f>IF(jablka5[[#This Row],[dot sprz]]&lt;15000,0,IF(jablka5[[#This Row],[dot sprz]]&lt;20000,5,10))</f>
        <v>0</v>
      </c>
      <c r="I201" s="1">
        <f>jablka5[[#This Row],[rabat]]*jablka5[[#This Row],[sprzedaż]]/100</f>
        <v>0</v>
      </c>
    </row>
    <row r="202" spans="1:9" x14ac:dyDescent="0.25">
      <c r="A202" s="2">
        <v>44625</v>
      </c>
      <c r="B202" s="1" t="s">
        <v>8</v>
      </c>
      <c r="C202" s="1" t="s">
        <v>16</v>
      </c>
      <c r="D202" s="1" t="s">
        <v>32</v>
      </c>
      <c r="E202">
        <v>244</v>
      </c>
      <c r="F202" s="1">
        <f>VLOOKUP(jablka5[[#This Row],[Nazwa]],cennik[],2,0) * jablka5[[#This Row],[sprzedaż]]</f>
        <v>854</v>
      </c>
      <c r="G202" s="1">
        <f>IF(jablka5[[#This Row],[NIP]]=D201,jablka5[[#This Row],[sprzedaż]]+G201,jablka5[[#This Row],[sprzedaż]])</f>
        <v>5180</v>
      </c>
      <c r="H202" s="1">
        <f>IF(jablka5[[#This Row],[dot sprz]]&lt;15000,0,IF(jablka5[[#This Row],[dot sprz]]&lt;20000,5,10))</f>
        <v>0</v>
      </c>
      <c r="I202" s="1">
        <f>jablka5[[#This Row],[rabat]]*jablka5[[#This Row],[sprzedaż]]/100</f>
        <v>0</v>
      </c>
    </row>
    <row r="203" spans="1:9" x14ac:dyDescent="0.25">
      <c r="A203" s="2">
        <v>44625</v>
      </c>
      <c r="B203" s="1" t="s">
        <v>0</v>
      </c>
      <c r="C203" s="1" t="s">
        <v>16</v>
      </c>
      <c r="D203" s="1" t="s">
        <v>32</v>
      </c>
      <c r="E203">
        <v>302</v>
      </c>
      <c r="F203" s="1">
        <f>VLOOKUP(jablka5[[#This Row],[Nazwa]],cennik[],2,0) * jablka5[[#This Row],[sprzedaż]]</f>
        <v>875.8</v>
      </c>
      <c r="G203" s="1">
        <f>IF(jablka5[[#This Row],[NIP]]=D202,jablka5[[#This Row],[sprzedaż]]+G202,jablka5[[#This Row],[sprzedaż]])</f>
        <v>5482</v>
      </c>
      <c r="H203" s="1">
        <f>IF(jablka5[[#This Row],[dot sprz]]&lt;15000,0,IF(jablka5[[#This Row],[dot sprz]]&lt;20000,5,10))</f>
        <v>0</v>
      </c>
      <c r="I203" s="1">
        <f>jablka5[[#This Row],[rabat]]*jablka5[[#This Row],[sprzedaż]]/100</f>
        <v>0</v>
      </c>
    </row>
    <row r="204" spans="1:9" x14ac:dyDescent="0.25">
      <c r="A204" s="2">
        <v>44632</v>
      </c>
      <c r="B204" s="1" t="s">
        <v>0</v>
      </c>
      <c r="C204" s="1" t="s">
        <v>16</v>
      </c>
      <c r="D204" s="1" t="s">
        <v>32</v>
      </c>
      <c r="E204">
        <v>53</v>
      </c>
      <c r="F204" s="1">
        <f>VLOOKUP(jablka5[[#This Row],[Nazwa]],cennik[],2,0) * jablka5[[#This Row],[sprzedaż]]</f>
        <v>153.69999999999999</v>
      </c>
      <c r="G204" s="1">
        <f>IF(jablka5[[#This Row],[NIP]]=D203,jablka5[[#This Row],[sprzedaż]]+G203,jablka5[[#This Row],[sprzedaż]])</f>
        <v>5535</v>
      </c>
      <c r="H204" s="1">
        <f>IF(jablka5[[#This Row],[dot sprz]]&lt;15000,0,IF(jablka5[[#This Row],[dot sprz]]&lt;20000,5,10))</f>
        <v>0</v>
      </c>
      <c r="I204" s="1">
        <f>jablka5[[#This Row],[rabat]]*jablka5[[#This Row],[sprzedaż]]/100</f>
        <v>0</v>
      </c>
    </row>
    <row r="205" spans="1:9" x14ac:dyDescent="0.25">
      <c r="A205" s="2">
        <v>44641</v>
      </c>
      <c r="B205" s="1" t="s">
        <v>4</v>
      </c>
      <c r="C205" s="1" t="s">
        <v>16</v>
      </c>
      <c r="D205" s="1" t="s">
        <v>32</v>
      </c>
      <c r="E205">
        <v>603</v>
      </c>
      <c r="F205" s="1">
        <f>VLOOKUP(jablka5[[#This Row],[Nazwa]],cennik[],2,0) * jablka5[[#This Row],[sprzedaż]]</f>
        <v>2050.1999999999998</v>
      </c>
      <c r="G205" s="1">
        <f>IF(jablka5[[#This Row],[NIP]]=D204,jablka5[[#This Row],[sprzedaż]]+G204,jablka5[[#This Row],[sprzedaż]])</f>
        <v>6138</v>
      </c>
      <c r="H205" s="1">
        <f>IF(jablka5[[#This Row],[dot sprz]]&lt;15000,0,IF(jablka5[[#This Row],[dot sprz]]&lt;20000,5,10))</f>
        <v>0</v>
      </c>
      <c r="I205" s="1">
        <f>jablka5[[#This Row],[rabat]]*jablka5[[#This Row],[sprzedaż]]/100</f>
        <v>0</v>
      </c>
    </row>
    <row r="206" spans="1:9" x14ac:dyDescent="0.25">
      <c r="A206" s="2">
        <v>44648</v>
      </c>
      <c r="B206" s="1" t="s">
        <v>10</v>
      </c>
      <c r="C206" s="1" t="s">
        <v>16</v>
      </c>
      <c r="D206" s="1" t="s">
        <v>32</v>
      </c>
      <c r="E206">
        <v>329</v>
      </c>
      <c r="F206" s="1">
        <f>VLOOKUP(jablka5[[#This Row],[Nazwa]],cennik[],2,0) * jablka5[[#This Row],[sprzedaż]]</f>
        <v>1118.5999999999999</v>
      </c>
      <c r="G206" s="1">
        <f>IF(jablka5[[#This Row],[NIP]]=D205,jablka5[[#This Row],[sprzedaż]]+G205,jablka5[[#This Row],[sprzedaż]])</f>
        <v>6467</v>
      </c>
      <c r="H206" s="1">
        <f>IF(jablka5[[#This Row],[dot sprz]]&lt;15000,0,IF(jablka5[[#This Row],[dot sprz]]&lt;20000,5,10))</f>
        <v>0</v>
      </c>
      <c r="I206" s="1">
        <f>jablka5[[#This Row],[rabat]]*jablka5[[#This Row],[sprzedaż]]/100</f>
        <v>0</v>
      </c>
    </row>
    <row r="207" spans="1:9" x14ac:dyDescent="0.25">
      <c r="A207" s="2">
        <v>44658</v>
      </c>
      <c r="B207" s="1" t="s">
        <v>4</v>
      </c>
      <c r="C207" s="1" t="s">
        <v>16</v>
      </c>
      <c r="D207" s="1" t="s">
        <v>32</v>
      </c>
      <c r="E207">
        <v>730</v>
      </c>
      <c r="F207" s="1">
        <f>VLOOKUP(jablka5[[#This Row],[Nazwa]],cennik[],2,0) * jablka5[[#This Row],[sprzedaż]]</f>
        <v>2482</v>
      </c>
      <c r="G207" s="1">
        <f>IF(jablka5[[#This Row],[NIP]]=D206,jablka5[[#This Row],[sprzedaż]]+G206,jablka5[[#This Row],[sprzedaż]])</f>
        <v>7197</v>
      </c>
      <c r="H207" s="1">
        <f>IF(jablka5[[#This Row],[dot sprz]]&lt;15000,0,IF(jablka5[[#This Row],[dot sprz]]&lt;20000,5,10))</f>
        <v>0</v>
      </c>
      <c r="I207" s="1">
        <f>jablka5[[#This Row],[rabat]]*jablka5[[#This Row],[sprzedaż]]/100</f>
        <v>0</v>
      </c>
    </row>
    <row r="208" spans="1:9" x14ac:dyDescent="0.25">
      <c r="A208" s="2">
        <v>44666</v>
      </c>
      <c r="B208" s="1" t="s">
        <v>2</v>
      </c>
      <c r="C208" s="1" t="s">
        <v>16</v>
      </c>
      <c r="D208" s="1" t="s">
        <v>32</v>
      </c>
      <c r="E208">
        <v>205</v>
      </c>
      <c r="F208" s="1">
        <f>VLOOKUP(jablka5[[#This Row],[Nazwa]],cennik[],2,0) * jablka5[[#This Row],[sprzedaż]]</f>
        <v>656</v>
      </c>
      <c r="G208" s="1">
        <f>IF(jablka5[[#This Row],[NIP]]=D207,jablka5[[#This Row],[sprzedaż]]+G207,jablka5[[#This Row],[sprzedaż]])</f>
        <v>7402</v>
      </c>
      <c r="H208" s="1">
        <f>IF(jablka5[[#This Row],[dot sprz]]&lt;15000,0,IF(jablka5[[#This Row],[dot sprz]]&lt;20000,5,10))</f>
        <v>0</v>
      </c>
      <c r="I208" s="1">
        <f>jablka5[[#This Row],[rabat]]*jablka5[[#This Row],[sprzedaż]]/100</f>
        <v>0</v>
      </c>
    </row>
    <row r="209" spans="1:9" x14ac:dyDescent="0.25">
      <c r="A209" s="2">
        <v>44666</v>
      </c>
      <c r="B209" s="1" t="s">
        <v>5</v>
      </c>
      <c r="C209" s="1" t="s">
        <v>16</v>
      </c>
      <c r="D209" s="1" t="s">
        <v>32</v>
      </c>
      <c r="E209">
        <v>458</v>
      </c>
      <c r="F209" s="1">
        <f>VLOOKUP(jablka5[[#This Row],[Nazwa]],cennik[],2,0) * jablka5[[#This Row],[sprzedaż]]</f>
        <v>1557.2</v>
      </c>
      <c r="G209" s="1">
        <f>IF(jablka5[[#This Row],[NIP]]=D208,jablka5[[#This Row],[sprzedaż]]+G208,jablka5[[#This Row],[sprzedaż]])</f>
        <v>7860</v>
      </c>
      <c r="H209" s="1">
        <f>IF(jablka5[[#This Row],[dot sprz]]&lt;15000,0,IF(jablka5[[#This Row],[dot sprz]]&lt;20000,5,10))</f>
        <v>0</v>
      </c>
      <c r="I209" s="1">
        <f>jablka5[[#This Row],[rabat]]*jablka5[[#This Row],[sprzedaż]]/100</f>
        <v>0</v>
      </c>
    </row>
    <row r="210" spans="1:9" x14ac:dyDescent="0.25">
      <c r="A210" s="2">
        <v>44667</v>
      </c>
      <c r="B210" s="1" t="s">
        <v>5</v>
      </c>
      <c r="C210" s="1" t="s">
        <v>16</v>
      </c>
      <c r="D210" s="1" t="s">
        <v>32</v>
      </c>
      <c r="E210">
        <v>376</v>
      </c>
      <c r="F210" s="1">
        <f>VLOOKUP(jablka5[[#This Row],[Nazwa]],cennik[],2,0) * jablka5[[#This Row],[sprzedaż]]</f>
        <v>1278.3999999999999</v>
      </c>
      <c r="G210" s="1">
        <f>IF(jablka5[[#This Row],[NIP]]=D209,jablka5[[#This Row],[sprzedaż]]+G209,jablka5[[#This Row],[sprzedaż]])</f>
        <v>8236</v>
      </c>
      <c r="H210" s="1">
        <f>IF(jablka5[[#This Row],[dot sprz]]&lt;15000,0,IF(jablka5[[#This Row],[dot sprz]]&lt;20000,5,10))</f>
        <v>0</v>
      </c>
      <c r="I210" s="1">
        <f>jablka5[[#This Row],[rabat]]*jablka5[[#This Row],[sprzedaż]]/100</f>
        <v>0</v>
      </c>
    </row>
    <row r="211" spans="1:9" x14ac:dyDescent="0.25">
      <c r="A211" s="2">
        <v>44676</v>
      </c>
      <c r="B211" s="1" t="s">
        <v>5</v>
      </c>
      <c r="C211" s="1" t="s">
        <v>16</v>
      </c>
      <c r="D211" s="1" t="s">
        <v>32</v>
      </c>
      <c r="E211">
        <v>189</v>
      </c>
      <c r="F211" s="1">
        <f>VLOOKUP(jablka5[[#This Row],[Nazwa]],cennik[],2,0) * jablka5[[#This Row],[sprzedaż]]</f>
        <v>642.6</v>
      </c>
      <c r="G211" s="1">
        <f>IF(jablka5[[#This Row],[NIP]]=D210,jablka5[[#This Row],[sprzedaż]]+G210,jablka5[[#This Row],[sprzedaż]])</f>
        <v>8425</v>
      </c>
      <c r="H211" s="1">
        <f>IF(jablka5[[#This Row],[dot sprz]]&lt;15000,0,IF(jablka5[[#This Row],[dot sprz]]&lt;20000,5,10))</f>
        <v>0</v>
      </c>
      <c r="I211" s="1">
        <f>jablka5[[#This Row],[rabat]]*jablka5[[#This Row],[sprzedaż]]/100</f>
        <v>0</v>
      </c>
    </row>
    <row r="212" spans="1:9" x14ac:dyDescent="0.25">
      <c r="A212" s="2">
        <v>44676</v>
      </c>
      <c r="B212" s="1" t="s">
        <v>15</v>
      </c>
      <c r="C212" s="1" t="s">
        <v>16</v>
      </c>
      <c r="D212" s="1" t="s">
        <v>32</v>
      </c>
      <c r="E212">
        <v>389</v>
      </c>
      <c r="F212" s="1">
        <f>VLOOKUP(jablka5[[#This Row],[Nazwa]],cennik[],2,0) * jablka5[[#This Row],[sprzedaż]]</f>
        <v>933.59999999999991</v>
      </c>
      <c r="G212" s="1">
        <f>IF(jablka5[[#This Row],[NIP]]=D211,jablka5[[#This Row],[sprzedaż]]+G211,jablka5[[#This Row],[sprzedaż]])</f>
        <v>8814</v>
      </c>
      <c r="H212" s="1">
        <f>IF(jablka5[[#This Row],[dot sprz]]&lt;15000,0,IF(jablka5[[#This Row],[dot sprz]]&lt;20000,5,10))</f>
        <v>0</v>
      </c>
      <c r="I212" s="1">
        <f>jablka5[[#This Row],[rabat]]*jablka5[[#This Row],[sprzedaż]]/100</f>
        <v>0</v>
      </c>
    </row>
    <row r="213" spans="1:9" x14ac:dyDescent="0.25">
      <c r="A213" s="2">
        <v>44680</v>
      </c>
      <c r="B213" s="1" t="s">
        <v>10</v>
      </c>
      <c r="C213" s="1" t="s">
        <v>16</v>
      </c>
      <c r="D213" s="1" t="s">
        <v>32</v>
      </c>
      <c r="E213">
        <v>295</v>
      </c>
      <c r="F213" s="1">
        <f>VLOOKUP(jablka5[[#This Row],[Nazwa]],cennik[],2,0) * jablka5[[#This Row],[sprzedaż]]</f>
        <v>1003</v>
      </c>
      <c r="G213" s="1">
        <f>IF(jablka5[[#This Row],[NIP]]=D212,jablka5[[#This Row],[sprzedaż]]+G212,jablka5[[#This Row],[sprzedaż]])</f>
        <v>9109</v>
      </c>
      <c r="H213" s="1">
        <f>IF(jablka5[[#This Row],[dot sprz]]&lt;15000,0,IF(jablka5[[#This Row],[dot sprz]]&lt;20000,5,10))</f>
        <v>0</v>
      </c>
      <c r="I213" s="1">
        <f>jablka5[[#This Row],[rabat]]*jablka5[[#This Row],[sprzedaż]]/100</f>
        <v>0</v>
      </c>
    </row>
    <row r="214" spans="1:9" x14ac:dyDescent="0.25">
      <c r="A214" s="2">
        <v>44680</v>
      </c>
      <c r="B214" s="1" t="s">
        <v>0</v>
      </c>
      <c r="C214" s="1" t="s">
        <v>16</v>
      </c>
      <c r="D214" s="1" t="s">
        <v>32</v>
      </c>
      <c r="E214">
        <v>210</v>
      </c>
      <c r="F214" s="1">
        <f>VLOOKUP(jablka5[[#This Row],[Nazwa]],cennik[],2,0) * jablka5[[#This Row],[sprzedaż]]</f>
        <v>609</v>
      </c>
      <c r="G214" s="1">
        <f>IF(jablka5[[#This Row],[NIP]]=D213,jablka5[[#This Row],[sprzedaż]]+G213,jablka5[[#This Row],[sprzedaż]])</f>
        <v>9319</v>
      </c>
      <c r="H214" s="1">
        <f>IF(jablka5[[#This Row],[dot sprz]]&lt;15000,0,IF(jablka5[[#This Row],[dot sprz]]&lt;20000,5,10))</f>
        <v>0</v>
      </c>
      <c r="I214" s="1">
        <f>jablka5[[#This Row],[rabat]]*jablka5[[#This Row],[sprzedaż]]/100</f>
        <v>0</v>
      </c>
    </row>
    <row r="215" spans="1:9" x14ac:dyDescent="0.25">
      <c r="A215" s="2">
        <v>44695</v>
      </c>
      <c r="B215" s="1" t="s">
        <v>5</v>
      </c>
      <c r="C215" s="1" t="s">
        <v>16</v>
      </c>
      <c r="D215" s="1" t="s">
        <v>32</v>
      </c>
      <c r="E215">
        <v>279</v>
      </c>
      <c r="F215" s="1">
        <f>VLOOKUP(jablka5[[#This Row],[Nazwa]],cennik[],2,0) * jablka5[[#This Row],[sprzedaż]]</f>
        <v>948.6</v>
      </c>
      <c r="G215" s="1">
        <f>IF(jablka5[[#This Row],[NIP]]=D214,jablka5[[#This Row],[sprzedaż]]+G214,jablka5[[#This Row],[sprzedaż]])</f>
        <v>9598</v>
      </c>
      <c r="H215" s="1">
        <f>IF(jablka5[[#This Row],[dot sprz]]&lt;15000,0,IF(jablka5[[#This Row],[dot sprz]]&lt;20000,5,10))</f>
        <v>0</v>
      </c>
      <c r="I215" s="1">
        <f>jablka5[[#This Row],[rabat]]*jablka5[[#This Row],[sprzedaż]]/100</f>
        <v>0</v>
      </c>
    </row>
    <row r="216" spans="1:9" x14ac:dyDescent="0.25">
      <c r="A216" s="2">
        <v>44695</v>
      </c>
      <c r="B216" s="1" t="s">
        <v>6</v>
      </c>
      <c r="C216" s="1" t="s">
        <v>16</v>
      </c>
      <c r="D216" s="1" t="s">
        <v>32</v>
      </c>
      <c r="E216">
        <v>17</v>
      </c>
      <c r="F216" s="1">
        <f>VLOOKUP(jablka5[[#This Row],[Nazwa]],cennik[],2,0) * jablka5[[#This Row],[sprzedaż]]</f>
        <v>57.8</v>
      </c>
      <c r="G216" s="1">
        <f>IF(jablka5[[#This Row],[NIP]]=D215,jablka5[[#This Row],[sprzedaż]]+G215,jablka5[[#This Row],[sprzedaż]])</f>
        <v>9615</v>
      </c>
      <c r="H216" s="1">
        <f>IF(jablka5[[#This Row],[dot sprz]]&lt;15000,0,IF(jablka5[[#This Row],[dot sprz]]&lt;20000,5,10))</f>
        <v>0</v>
      </c>
      <c r="I216" s="1">
        <f>jablka5[[#This Row],[rabat]]*jablka5[[#This Row],[sprzedaż]]/100</f>
        <v>0</v>
      </c>
    </row>
    <row r="217" spans="1:9" x14ac:dyDescent="0.25">
      <c r="A217" s="2">
        <v>44699</v>
      </c>
      <c r="B217" s="1" t="s">
        <v>2</v>
      </c>
      <c r="C217" s="1" t="s">
        <v>16</v>
      </c>
      <c r="D217" s="1" t="s">
        <v>32</v>
      </c>
      <c r="E217">
        <v>404</v>
      </c>
      <c r="F217" s="1">
        <f>VLOOKUP(jablka5[[#This Row],[Nazwa]],cennik[],2,0) * jablka5[[#This Row],[sprzedaż]]</f>
        <v>1292.8000000000002</v>
      </c>
      <c r="G217" s="1">
        <f>IF(jablka5[[#This Row],[NIP]]=D216,jablka5[[#This Row],[sprzedaż]]+G216,jablka5[[#This Row],[sprzedaż]])</f>
        <v>10019</v>
      </c>
      <c r="H217" s="1">
        <f>IF(jablka5[[#This Row],[dot sprz]]&lt;15000,0,IF(jablka5[[#This Row],[dot sprz]]&lt;20000,5,10))</f>
        <v>0</v>
      </c>
      <c r="I217" s="1">
        <f>jablka5[[#This Row],[rabat]]*jablka5[[#This Row],[sprzedaż]]/100</f>
        <v>0</v>
      </c>
    </row>
    <row r="218" spans="1:9" x14ac:dyDescent="0.25">
      <c r="A218" s="2">
        <v>44706</v>
      </c>
      <c r="B218" s="1" t="s">
        <v>0</v>
      </c>
      <c r="C218" s="1" t="s">
        <v>16</v>
      </c>
      <c r="D218" s="1" t="s">
        <v>32</v>
      </c>
      <c r="E218">
        <v>159</v>
      </c>
      <c r="F218" s="1">
        <f>VLOOKUP(jablka5[[#This Row],[Nazwa]],cennik[],2,0) * jablka5[[#This Row],[sprzedaż]]</f>
        <v>461.09999999999997</v>
      </c>
      <c r="G218" s="1">
        <f>IF(jablka5[[#This Row],[NIP]]=D217,jablka5[[#This Row],[sprzedaż]]+G217,jablka5[[#This Row],[sprzedaż]])</f>
        <v>10178</v>
      </c>
      <c r="H218" s="1">
        <f>IF(jablka5[[#This Row],[dot sprz]]&lt;15000,0,IF(jablka5[[#This Row],[dot sprz]]&lt;20000,5,10))</f>
        <v>0</v>
      </c>
      <c r="I218" s="1">
        <f>jablka5[[#This Row],[rabat]]*jablka5[[#This Row],[sprzedaż]]/100</f>
        <v>0</v>
      </c>
    </row>
    <row r="219" spans="1:9" x14ac:dyDescent="0.25">
      <c r="A219" s="2">
        <v>44707</v>
      </c>
      <c r="B219" s="1" t="s">
        <v>0</v>
      </c>
      <c r="C219" s="1" t="s">
        <v>16</v>
      </c>
      <c r="D219" s="1" t="s">
        <v>32</v>
      </c>
      <c r="E219">
        <v>465</v>
      </c>
      <c r="F219" s="1">
        <f>VLOOKUP(jablka5[[#This Row],[Nazwa]],cennik[],2,0) * jablka5[[#This Row],[sprzedaż]]</f>
        <v>1348.5</v>
      </c>
      <c r="G219" s="1">
        <f>IF(jablka5[[#This Row],[NIP]]=D218,jablka5[[#This Row],[sprzedaż]]+G218,jablka5[[#This Row],[sprzedaż]])</f>
        <v>10643</v>
      </c>
      <c r="H219" s="1">
        <f>IF(jablka5[[#This Row],[dot sprz]]&lt;15000,0,IF(jablka5[[#This Row],[dot sprz]]&lt;20000,5,10))</f>
        <v>0</v>
      </c>
      <c r="I219" s="1">
        <f>jablka5[[#This Row],[rabat]]*jablka5[[#This Row],[sprzedaż]]/100</f>
        <v>0</v>
      </c>
    </row>
    <row r="220" spans="1:9" x14ac:dyDescent="0.25">
      <c r="A220" s="2">
        <v>44714</v>
      </c>
      <c r="B220" s="1" t="s">
        <v>13</v>
      </c>
      <c r="C220" s="1" t="s">
        <v>68</v>
      </c>
      <c r="D220" s="1" t="s">
        <v>32</v>
      </c>
      <c r="E220">
        <v>410</v>
      </c>
      <c r="F220" s="1">
        <f>VLOOKUP(jablka5[[#This Row],[Nazwa]],cennik[],2,0) * jablka5[[#This Row],[sprzedaż]]</f>
        <v>1312</v>
      </c>
      <c r="G220" s="1">
        <f>IF(jablka5[[#This Row],[NIP]]=D219,jablka5[[#This Row],[sprzedaż]]+G219,jablka5[[#This Row],[sprzedaż]])</f>
        <v>11053</v>
      </c>
      <c r="H220" s="1">
        <f>IF(jablka5[[#This Row],[dot sprz]]&lt;15000,0,IF(jablka5[[#This Row],[dot sprz]]&lt;20000,5,10))</f>
        <v>0</v>
      </c>
      <c r="I220" s="1">
        <f>jablka5[[#This Row],[rabat]]*jablka5[[#This Row],[sprzedaż]]/100</f>
        <v>0</v>
      </c>
    </row>
    <row r="221" spans="1:9" x14ac:dyDescent="0.25">
      <c r="A221" s="2">
        <v>44715</v>
      </c>
      <c r="B221" s="1" t="s">
        <v>13</v>
      </c>
      <c r="C221" s="1" t="s">
        <v>68</v>
      </c>
      <c r="D221" s="1" t="s">
        <v>32</v>
      </c>
      <c r="E221">
        <v>201</v>
      </c>
      <c r="F221" s="1">
        <f>VLOOKUP(jablka5[[#This Row],[Nazwa]],cennik[],2,0) * jablka5[[#This Row],[sprzedaż]]</f>
        <v>643.20000000000005</v>
      </c>
      <c r="G221" s="1">
        <f>IF(jablka5[[#This Row],[NIP]]=D220,jablka5[[#This Row],[sprzedaż]]+G220,jablka5[[#This Row],[sprzedaż]])</f>
        <v>11254</v>
      </c>
      <c r="H221" s="1">
        <f>IF(jablka5[[#This Row],[dot sprz]]&lt;15000,0,IF(jablka5[[#This Row],[dot sprz]]&lt;20000,5,10))</f>
        <v>0</v>
      </c>
      <c r="I221" s="1">
        <f>jablka5[[#This Row],[rabat]]*jablka5[[#This Row],[sprzedaż]]/100</f>
        <v>0</v>
      </c>
    </row>
    <row r="222" spans="1:9" x14ac:dyDescent="0.25">
      <c r="A222" s="2">
        <v>44725</v>
      </c>
      <c r="B222" s="1" t="s">
        <v>13</v>
      </c>
      <c r="C222" s="1" t="s">
        <v>68</v>
      </c>
      <c r="D222" s="1" t="s">
        <v>32</v>
      </c>
      <c r="E222">
        <v>301</v>
      </c>
      <c r="F222" s="1">
        <f>VLOOKUP(jablka5[[#This Row],[Nazwa]],cennik[],2,0) * jablka5[[#This Row],[sprzedaż]]</f>
        <v>963.2</v>
      </c>
      <c r="G222" s="1">
        <f>IF(jablka5[[#This Row],[NIP]]=D221,jablka5[[#This Row],[sprzedaż]]+G221,jablka5[[#This Row],[sprzedaż]])</f>
        <v>11555</v>
      </c>
      <c r="H222" s="1">
        <f>IF(jablka5[[#This Row],[dot sprz]]&lt;15000,0,IF(jablka5[[#This Row],[dot sprz]]&lt;20000,5,10))</f>
        <v>0</v>
      </c>
      <c r="I222" s="1">
        <f>jablka5[[#This Row],[rabat]]*jablka5[[#This Row],[sprzedaż]]/100</f>
        <v>0</v>
      </c>
    </row>
    <row r="223" spans="1:9" x14ac:dyDescent="0.25">
      <c r="A223" s="2">
        <v>44737</v>
      </c>
      <c r="B223" s="1" t="s">
        <v>13</v>
      </c>
      <c r="C223" s="1" t="s">
        <v>68</v>
      </c>
      <c r="D223" s="1" t="s">
        <v>32</v>
      </c>
      <c r="E223">
        <v>50</v>
      </c>
      <c r="F223" s="1">
        <f>VLOOKUP(jablka5[[#This Row],[Nazwa]],cennik[],2,0) * jablka5[[#This Row],[sprzedaż]]</f>
        <v>160</v>
      </c>
      <c r="G223" s="1">
        <f>IF(jablka5[[#This Row],[NIP]]=D222,jablka5[[#This Row],[sprzedaż]]+G222,jablka5[[#This Row],[sprzedaż]])</f>
        <v>11605</v>
      </c>
      <c r="H223" s="1">
        <f>IF(jablka5[[#This Row],[dot sprz]]&lt;15000,0,IF(jablka5[[#This Row],[dot sprz]]&lt;20000,5,10))</f>
        <v>0</v>
      </c>
      <c r="I223" s="1">
        <f>jablka5[[#This Row],[rabat]]*jablka5[[#This Row],[sprzedaż]]/100</f>
        <v>0</v>
      </c>
    </row>
    <row r="224" spans="1:9" x14ac:dyDescent="0.25">
      <c r="A224" s="2">
        <v>44739</v>
      </c>
      <c r="B224" s="1" t="s">
        <v>14</v>
      </c>
      <c r="C224" s="1" t="s">
        <v>67</v>
      </c>
      <c r="D224" s="1" t="s">
        <v>32</v>
      </c>
      <c r="E224">
        <v>44</v>
      </c>
      <c r="F224" s="1">
        <f>VLOOKUP(jablka5[[#This Row],[Nazwa]],cennik[],2,0) * jablka5[[#This Row],[sprzedaż]]</f>
        <v>154</v>
      </c>
      <c r="G224" s="1">
        <f>IF(jablka5[[#This Row],[NIP]]=D223,jablka5[[#This Row],[sprzedaż]]+G223,jablka5[[#This Row],[sprzedaż]])</f>
        <v>11649</v>
      </c>
      <c r="H224" s="1">
        <f>IF(jablka5[[#This Row],[dot sprz]]&lt;15000,0,IF(jablka5[[#This Row],[dot sprz]]&lt;20000,5,10))</f>
        <v>0</v>
      </c>
      <c r="I224" s="1">
        <f>jablka5[[#This Row],[rabat]]*jablka5[[#This Row],[sprzedaż]]/100</f>
        <v>0</v>
      </c>
    </row>
    <row r="225" spans="1:9" x14ac:dyDescent="0.25">
      <c r="A225" s="2">
        <v>44740</v>
      </c>
      <c r="B225" s="1" t="s">
        <v>13</v>
      </c>
      <c r="C225" s="1" t="s">
        <v>68</v>
      </c>
      <c r="D225" s="1" t="s">
        <v>32</v>
      </c>
      <c r="E225">
        <v>87</v>
      </c>
      <c r="F225" s="1">
        <f>VLOOKUP(jablka5[[#This Row],[Nazwa]],cennik[],2,0) * jablka5[[#This Row],[sprzedaż]]</f>
        <v>278.40000000000003</v>
      </c>
      <c r="G225" s="1">
        <f>IF(jablka5[[#This Row],[NIP]]=D224,jablka5[[#This Row],[sprzedaż]]+G224,jablka5[[#This Row],[sprzedaż]])</f>
        <v>11736</v>
      </c>
      <c r="H225" s="1">
        <f>IF(jablka5[[#This Row],[dot sprz]]&lt;15000,0,IF(jablka5[[#This Row],[dot sprz]]&lt;20000,5,10))</f>
        <v>0</v>
      </c>
      <c r="I225" s="1">
        <f>jablka5[[#This Row],[rabat]]*jablka5[[#This Row],[sprzedaż]]/100</f>
        <v>0</v>
      </c>
    </row>
    <row r="226" spans="1:9" x14ac:dyDescent="0.25">
      <c r="A226" s="2">
        <v>44755</v>
      </c>
      <c r="B226" s="1" t="s">
        <v>14</v>
      </c>
      <c r="C226" s="1" t="s">
        <v>67</v>
      </c>
      <c r="D226" s="1" t="s">
        <v>32</v>
      </c>
      <c r="E226">
        <v>104</v>
      </c>
      <c r="F226" s="1">
        <f>VLOOKUP(jablka5[[#This Row],[Nazwa]],cennik[],2,0) * jablka5[[#This Row],[sprzedaż]]</f>
        <v>364</v>
      </c>
      <c r="G226" s="1">
        <f>IF(jablka5[[#This Row],[NIP]]=D225,jablka5[[#This Row],[sprzedaż]]+G225,jablka5[[#This Row],[sprzedaż]])</f>
        <v>11840</v>
      </c>
      <c r="H226" s="1">
        <f>IF(jablka5[[#This Row],[dot sprz]]&lt;15000,0,IF(jablka5[[#This Row],[dot sprz]]&lt;20000,5,10))</f>
        <v>0</v>
      </c>
      <c r="I226" s="1">
        <f>jablka5[[#This Row],[rabat]]*jablka5[[#This Row],[sprzedaż]]/100</f>
        <v>0</v>
      </c>
    </row>
    <row r="227" spans="1:9" x14ac:dyDescent="0.25">
      <c r="A227" s="2">
        <v>44767</v>
      </c>
      <c r="B227" s="1" t="s">
        <v>14</v>
      </c>
      <c r="C227" s="1" t="s">
        <v>67</v>
      </c>
      <c r="D227" s="1" t="s">
        <v>32</v>
      </c>
      <c r="E227">
        <v>419</v>
      </c>
      <c r="F227" s="1">
        <f>VLOOKUP(jablka5[[#This Row],[Nazwa]],cennik[],2,0) * jablka5[[#This Row],[sprzedaż]]</f>
        <v>1466.5</v>
      </c>
      <c r="G227" s="1">
        <f>IF(jablka5[[#This Row],[NIP]]=D226,jablka5[[#This Row],[sprzedaż]]+G226,jablka5[[#This Row],[sprzedaż]])</f>
        <v>12259</v>
      </c>
      <c r="H227" s="1">
        <f>IF(jablka5[[#This Row],[dot sprz]]&lt;15000,0,IF(jablka5[[#This Row],[dot sprz]]&lt;20000,5,10))</f>
        <v>0</v>
      </c>
      <c r="I227" s="1">
        <f>jablka5[[#This Row],[rabat]]*jablka5[[#This Row],[sprzedaż]]/100</f>
        <v>0</v>
      </c>
    </row>
    <row r="228" spans="1:9" x14ac:dyDescent="0.25">
      <c r="A228" s="2">
        <v>44772</v>
      </c>
      <c r="B228" s="1" t="s">
        <v>13</v>
      </c>
      <c r="C228" s="1" t="s">
        <v>68</v>
      </c>
      <c r="D228" s="1" t="s">
        <v>32</v>
      </c>
      <c r="E228">
        <v>171</v>
      </c>
      <c r="F228" s="1">
        <f>VLOOKUP(jablka5[[#This Row],[Nazwa]],cennik[],2,0) * jablka5[[#This Row],[sprzedaż]]</f>
        <v>547.20000000000005</v>
      </c>
      <c r="G228" s="1">
        <f>IF(jablka5[[#This Row],[NIP]]=D227,jablka5[[#This Row],[sprzedaż]]+G227,jablka5[[#This Row],[sprzedaż]])</f>
        <v>12430</v>
      </c>
      <c r="H228" s="1">
        <f>IF(jablka5[[#This Row],[dot sprz]]&lt;15000,0,IF(jablka5[[#This Row],[dot sprz]]&lt;20000,5,10))</f>
        <v>0</v>
      </c>
      <c r="I228" s="1">
        <f>jablka5[[#This Row],[rabat]]*jablka5[[#This Row],[sprzedaż]]/100</f>
        <v>0</v>
      </c>
    </row>
    <row r="229" spans="1:9" x14ac:dyDescent="0.25">
      <c r="A229" s="2">
        <v>44776</v>
      </c>
      <c r="B229" s="1" t="s">
        <v>14</v>
      </c>
      <c r="C229" s="1" t="s">
        <v>67</v>
      </c>
      <c r="D229" s="1" t="s">
        <v>32</v>
      </c>
      <c r="E229">
        <v>184</v>
      </c>
      <c r="F229" s="1">
        <f>VLOOKUP(jablka5[[#This Row],[Nazwa]],cennik[],2,0) * jablka5[[#This Row],[sprzedaż]]</f>
        <v>644</v>
      </c>
      <c r="G229" s="1">
        <f>IF(jablka5[[#This Row],[NIP]]=D228,jablka5[[#This Row],[sprzedaż]]+G228,jablka5[[#This Row],[sprzedaż]])</f>
        <v>12614</v>
      </c>
      <c r="H229" s="1">
        <f>IF(jablka5[[#This Row],[dot sprz]]&lt;15000,0,IF(jablka5[[#This Row],[dot sprz]]&lt;20000,5,10))</f>
        <v>0</v>
      </c>
      <c r="I229" s="1">
        <f>jablka5[[#This Row],[rabat]]*jablka5[[#This Row],[sprzedaż]]/100</f>
        <v>0</v>
      </c>
    </row>
    <row r="230" spans="1:9" x14ac:dyDescent="0.25">
      <c r="A230" s="2">
        <v>44785</v>
      </c>
      <c r="B230" s="1" t="s">
        <v>13</v>
      </c>
      <c r="C230" s="1" t="s">
        <v>68</v>
      </c>
      <c r="D230" s="1" t="s">
        <v>32</v>
      </c>
      <c r="E230">
        <v>281</v>
      </c>
      <c r="F230" s="1">
        <f>VLOOKUP(jablka5[[#This Row],[Nazwa]],cennik[],2,0) * jablka5[[#This Row],[sprzedaż]]</f>
        <v>899.2</v>
      </c>
      <c r="G230" s="1">
        <f>IF(jablka5[[#This Row],[NIP]]=D229,jablka5[[#This Row],[sprzedaż]]+G229,jablka5[[#This Row],[sprzedaż]])</f>
        <v>12895</v>
      </c>
      <c r="H230" s="1">
        <f>IF(jablka5[[#This Row],[dot sprz]]&lt;15000,0,IF(jablka5[[#This Row],[dot sprz]]&lt;20000,5,10))</f>
        <v>0</v>
      </c>
      <c r="I230" s="1">
        <f>jablka5[[#This Row],[rabat]]*jablka5[[#This Row],[sprzedaż]]/100</f>
        <v>0</v>
      </c>
    </row>
    <row r="231" spans="1:9" x14ac:dyDescent="0.25">
      <c r="A231" s="2">
        <v>44785</v>
      </c>
      <c r="B231" s="1" t="s">
        <v>12</v>
      </c>
      <c r="C231" s="1" t="s">
        <v>68</v>
      </c>
      <c r="D231" s="1" t="s">
        <v>32</v>
      </c>
      <c r="E231">
        <v>472</v>
      </c>
      <c r="F231" s="1">
        <f>VLOOKUP(jablka5[[#This Row],[Nazwa]],cennik[],2,0) * jablka5[[#This Row],[sprzedaż]]</f>
        <v>1274.4000000000001</v>
      </c>
      <c r="G231" s="1">
        <f>IF(jablka5[[#This Row],[NIP]]=D230,jablka5[[#This Row],[sprzedaż]]+G230,jablka5[[#This Row],[sprzedaż]])</f>
        <v>13367</v>
      </c>
      <c r="H231" s="1">
        <f>IF(jablka5[[#This Row],[dot sprz]]&lt;15000,0,IF(jablka5[[#This Row],[dot sprz]]&lt;20000,5,10))</f>
        <v>0</v>
      </c>
      <c r="I231" s="1">
        <f>jablka5[[#This Row],[rabat]]*jablka5[[#This Row],[sprzedaż]]/100</f>
        <v>0</v>
      </c>
    </row>
    <row r="232" spans="1:9" x14ac:dyDescent="0.25">
      <c r="A232" s="2">
        <v>44792</v>
      </c>
      <c r="B232" s="1" t="s">
        <v>14</v>
      </c>
      <c r="C232" s="1" t="s">
        <v>67</v>
      </c>
      <c r="D232" s="1" t="s">
        <v>32</v>
      </c>
      <c r="E232">
        <v>66</v>
      </c>
      <c r="F232" s="1">
        <f>VLOOKUP(jablka5[[#This Row],[Nazwa]],cennik[],2,0) * jablka5[[#This Row],[sprzedaż]]</f>
        <v>231</v>
      </c>
      <c r="G232" s="1">
        <f>IF(jablka5[[#This Row],[NIP]]=D231,jablka5[[#This Row],[sprzedaż]]+G231,jablka5[[#This Row],[sprzedaż]])</f>
        <v>13433</v>
      </c>
      <c r="H232" s="1">
        <f>IF(jablka5[[#This Row],[dot sprz]]&lt;15000,0,IF(jablka5[[#This Row],[dot sprz]]&lt;20000,5,10))</f>
        <v>0</v>
      </c>
      <c r="I232" s="1">
        <f>jablka5[[#This Row],[rabat]]*jablka5[[#This Row],[sprzedaż]]/100</f>
        <v>0</v>
      </c>
    </row>
    <row r="233" spans="1:9" x14ac:dyDescent="0.25">
      <c r="A233" s="2">
        <v>44795</v>
      </c>
      <c r="B233" s="1" t="s">
        <v>13</v>
      </c>
      <c r="C233" s="1" t="s">
        <v>68</v>
      </c>
      <c r="D233" s="1" t="s">
        <v>32</v>
      </c>
      <c r="E233">
        <v>239</v>
      </c>
      <c r="F233" s="1">
        <f>VLOOKUP(jablka5[[#This Row],[Nazwa]],cennik[],2,0) * jablka5[[#This Row],[sprzedaż]]</f>
        <v>764.80000000000007</v>
      </c>
      <c r="G233" s="1">
        <f>IF(jablka5[[#This Row],[NIP]]=D232,jablka5[[#This Row],[sprzedaż]]+G232,jablka5[[#This Row],[sprzedaż]])</f>
        <v>13672</v>
      </c>
      <c r="H233" s="1">
        <f>IF(jablka5[[#This Row],[dot sprz]]&lt;15000,0,IF(jablka5[[#This Row],[dot sprz]]&lt;20000,5,10))</f>
        <v>0</v>
      </c>
      <c r="I233" s="1">
        <f>jablka5[[#This Row],[rabat]]*jablka5[[#This Row],[sprzedaż]]/100</f>
        <v>0</v>
      </c>
    </row>
    <row r="234" spans="1:9" x14ac:dyDescent="0.25">
      <c r="A234" s="2">
        <v>44797</v>
      </c>
      <c r="B234" s="1" t="s">
        <v>13</v>
      </c>
      <c r="C234" s="1" t="s">
        <v>68</v>
      </c>
      <c r="D234" s="1" t="s">
        <v>32</v>
      </c>
      <c r="E234">
        <v>108</v>
      </c>
      <c r="F234" s="1">
        <f>VLOOKUP(jablka5[[#This Row],[Nazwa]],cennik[],2,0) * jablka5[[#This Row],[sprzedaż]]</f>
        <v>345.6</v>
      </c>
      <c r="G234" s="1">
        <f>IF(jablka5[[#This Row],[NIP]]=D233,jablka5[[#This Row],[sprzedaż]]+G233,jablka5[[#This Row],[sprzedaż]])</f>
        <v>13780</v>
      </c>
      <c r="H234" s="1">
        <f>IF(jablka5[[#This Row],[dot sprz]]&lt;15000,0,IF(jablka5[[#This Row],[dot sprz]]&lt;20000,5,10))</f>
        <v>0</v>
      </c>
      <c r="I234" s="1">
        <f>jablka5[[#This Row],[rabat]]*jablka5[[#This Row],[sprzedaż]]/100</f>
        <v>0</v>
      </c>
    </row>
    <row r="235" spans="1:9" x14ac:dyDescent="0.25">
      <c r="A235" s="2">
        <v>44804</v>
      </c>
      <c r="B235" s="1" t="s">
        <v>12</v>
      </c>
      <c r="C235" s="1" t="s">
        <v>68</v>
      </c>
      <c r="D235" s="1" t="s">
        <v>32</v>
      </c>
      <c r="E235">
        <v>66</v>
      </c>
      <c r="F235" s="1">
        <f>VLOOKUP(jablka5[[#This Row],[Nazwa]],cennik[],2,0) * jablka5[[#This Row],[sprzedaż]]</f>
        <v>178.20000000000002</v>
      </c>
      <c r="G235" s="1">
        <f>IF(jablka5[[#This Row],[NIP]]=D234,jablka5[[#This Row],[sprzedaż]]+G234,jablka5[[#This Row],[sprzedaż]])</f>
        <v>13846</v>
      </c>
      <c r="H235" s="1">
        <f>IF(jablka5[[#This Row],[dot sprz]]&lt;15000,0,IF(jablka5[[#This Row],[dot sprz]]&lt;20000,5,10))</f>
        <v>0</v>
      </c>
      <c r="I235" s="1">
        <f>jablka5[[#This Row],[rabat]]*jablka5[[#This Row],[sprzedaż]]/100</f>
        <v>0</v>
      </c>
    </row>
    <row r="236" spans="1:9" x14ac:dyDescent="0.25">
      <c r="A236" s="2">
        <v>44807</v>
      </c>
      <c r="B236" s="1" t="s">
        <v>14</v>
      </c>
      <c r="C236" s="1" t="s">
        <v>67</v>
      </c>
      <c r="D236" s="1" t="s">
        <v>32</v>
      </c>
      <c r="E236">
        <v>357</v>
      </c>
      <c r="F236" s="1">
        <f>VLOOKUP(jablka5[[#This Row],[Nazwa]],cennik[],2,0) * jablka5[[#This Row],[sprzedaż]]</f>
        <v>1249.5</v>
      </c>
      <c r="G236" s="1">
        <f>IF(jablka5[[#This Row],[NIP]]=D235,jablka5[[#This Row],[sprzedaż]]+G235,jablka5[[#This Row],[sprzedaż]])</f>
        <v>14203</v>
      </c>
      <c r="H236" s="1">
        <f>IF(jablka5[[#This Row],[dot sprz]]&lt;15000,0,IF(jablka5[[#This Row],[dot sprz]]&lt;20000,5,10))</f>
        <v>0</v>
      </c>
      <c r="I236" s="1">
        <f>jablka5[[#This Row],[rabat]]*jablka5[[#This Row],[sprzedaż]]/100</f>
        <v>0</v>
      </c>
    </row>
    <row r="237" spans="1:9" x14ac:dyDescent="0.25">
      <c r="A237" s="2">
        <v>44809</v>
      </c>
      <c r="B237" s="1" t="s">
        <v>3</v>
      </c>
      <c r="C237" s="1" t="s">
        <v>67</v>
      </c>
      <c r="D237" s="1" t="s">
        <v>32</v>
      </c>
      <c r="E237">
        <v>340</v>
      </c>
      <c r="F237" s="1">
        <f>VLOOKUP(jablka5[[#This Row],[Nazwa]],cennik[],2,0) * jablka5[[#This Row],[sprzedaż]]</f>
        <v>1088</v>
      </c>
      <c r="G237" s="1">
        <f>IF(jablka5[[#This Row],[NIP]]=D236,jablka5[[#This Row],[sprzedaż]]+G236,jablka5[[#This Row],[sprzedaż]])</f>
        <v>14543</v>
      </c>
      <c r="H237" s="1">
        <f>IF(jablka5[[#This Row],[dot sprz]]&lt;15000,0,IF(jablka5[[#This Row],[dot sprz]]&lt;20000,5,10))</f>
        <v>0</v>
      </c>
      <c r="I237" s="1">
        <f>jablka5[[#This Row],[rabat]]*jablka5[[#This Row],[sprzedaż]]/100</f>
        <v>0</v>
      </c>
    </row>
    <row r="238" spans="1:9" x14ac:dyDescent="0.25">
      <c r="A238" s="2">
        <v>44825</v>
      </c>
      <c r="B238" s="1" t="s">
        <v>9</v>
      </c>
      <c r="C238" s="1" t="s">
        <v>67</v>
      </c>
      <c r="D238" s="1" t="s">
        <v>32</v>
      </c>
      <c r="E238">
        <v>399</v>
      </c>
      <c r="F238" s="1">
        <f>VLOOKUP(jablka5[[#This Row],[Nazwa]],cennik[],2,0) * jablka5[[#This Row],[sprzedaż]]</f>
        <v>997.5</v>
      </c>
      <c r="G238" s="1">
        <f>IF(jablka5[[#This Row],[NIP]]=D237,jablka5[[#This Row],[sprzedaż]]+G237,jablka5[[#This Row],[sprzedaż]])</f>
        <v>14942</v>
      </c>
      <c r="H238" s="1">
        <f>IF(jablka5[[#This Row],[dot sprz]]&lt;15000,0,IF(jablka5[[#This Row],[dot sprz]]&lt;20000,5,10))</f>
        <v>0</v>
      </c>
      <c r="I238" s="1">
        <f>jablka5[[#This Row],[rabat]]*jablka5[[#This Row],[sprzedaż]]/100</f>
        <v>0</v>
      </c>
    </row>
    <row r="239" spans="1:9" x14ac:dyDescent="0.25">
      <c r="A239" s="2">
        <v>44828</v>
      </c>
      <c r="B239" s="1" t="s">
        <v>9</v>
      </c>
      <c r="C239" s="1" t="s">
        <v>67</v>
      </c>
      <c r="D239" s="1" t="s">
        <v>32</v>
      </c>
      <c r="E239">
        <v>26</v>
      </c>
      <c r="F239" s="1">
        <f>VLOOKUP(jablka5[[#This Row],[Nazwa]],cennik[],2,0) * jablka5[[#This Row],[sprzedaż]]</f>
        <v>65</v>
      </c>
      <c r="G239" s="1">
        <f>IF(jablka5[[#This Row],[NIP]]=D238,jablka5[[#This Row],[sprzedaż]]+G238,jablka5[[#This Row],[sprzedaż]])</f>
        <v>14968</v>
      </c>
      <c r="H239" s="1">
        <f>IF(jablka5[[#This Row],[dot sprz]]&lt;15000,0,IF(jablka5[[#This Row],[dot sprz]]&lt;20000,5,10))</f>
        <v>0</v>
      </c>
      <c r="I239" s="1">
        <f>jablka5[[#This Row],[rabat]]*jablka5[[#This Row],[sprzedaż]]/100</f>
        <v>0</v>
      </c>
    </row>
    <row r="240" spans="1:9" x14ac:dyDescent="0.25">
      <c r="A240" s="2">
        <v>44837</v>
      </c>
      <c r="B240" s="1" t="s">
        <v>3</v>
      </c>
      <c r="C240" s="1" t="s">
        <v>67</v>
      </c>
      <c r="D240" s="1" t="s">
        <v>32</v>
      </c>
      <c r="E240">
        <v>374</v>
      </c>
      <c r="F240" s="1">
        <f>VLOOKUP(jablka5[[#This Row],[Nazwa]],cennik[],2,0) * jablka5[[#This Row],[sprzedaż]]</f>
        <v>1196.8</v>
      </c>
      <c r="G240" s="1">
        <f>IF(jablka5[[#This Row],[NIP]]=D239,jablka5[[#This Row],[sprzedaż]]+G239,jablka5[[#This Row],[sprzedaż]])</f>
        <v>15342</v>
      </c>
      <c r="H240" s="1">
        <f>IF(jablka5[[#This Row],[dot sprz]]&lt;15000,0,IF(jablka5[[#This Row],[dot sprz]]&lt;20000,5,10))</f>
        <v>5</v>
      </c>
      <c r="I240" s="1">
        <f>jablka5[[#This Row],[rabat]]*jablka5[[#This Row],[sprzedaż]]/100</f>
        <v>18.7</v>
      </c>
    </row>
    <row r="241" spans="1:9" x14ac:dyDescent="0.25">
      <c r="A241" s="2">
        <v>44839</v>
      </c>
      <c r="B241" s="1" t="s">
        <v>14</v>
      </c>
      <c r="C241" s="1" t="s">
        <v>67</v>
      </c>
      <c r="D241" s="1" t="s">
        <v>32</v>
      </c>
      <c r="E241">
        <v>259</v>
      </c>
      <c r="F241" s="1">
        <f>VLOOKUP(jablka5[[#This Row],[Nazwa]],cennik[],2,0) * jablka5[[#This Row],[sprzedaż]]</f>
        <v>906.5</v>
      </c>
      <c r="G241" s="1">
        <f>IF(jablka5[[#This Row],[NIP]]=D240,jablka5[[#This Row],[sprzedaż]]+G240,jablka5[[#This Row],[sprzedaż]])</f>
        <v>15601</v>
      </c>
      <c r="H241" s="1">
        <f>IF(jablka5[[#This Row],[dot sprz]]&lt;15000,0,IF(jablka5[[#This Row],[dot sprz]]&lt;20000,5,10))</f>
        <v>5</v>
      </c>
      <c r="I241" s="1">
        <f>jablka5[[#This Row],[rabat]]*jablka5[[#This Row],[sprzedaż]]/100</f>
        <v>12.95</v>
      </c>
    </row>
    <row r="242" spans="1:9" x14ac:dyDescent="0.25">
      <c r="A242" s="2">
        <v>44856</v>
      </c>
      <c r="B242" s="1" t="s">
        <v>9</v>
      </c>
      <c r="C242" s="1" t="s">
        <v>67</v>
      </c>
      <c r="D242" s="1" t="s">
        <v>32</v>
      </c>
      <c r="E242">
        <v>315</v>
      </c>
      <c r="F242" s="1">
        <f>VLOOKUP(jablka5[[#This Row],[Nazwa]],cennik[],2,0) * jablka5[[#This Row],[sprzedaż]]</f>
        <v>787.5</v>
      </c>
      <c r="G242" s="1">
        <f>IF(jablka5[[#This Row],[NIP]]=D241,jablka5[[#This Row],[sprzedaż]]+G241,jablka5[[#This Row],[sprzedaż]])</f>
        <v>15916</v>
      </c>
      <c r="H242" s="1">
        <f>IF(jablka5[[#This Row],[dot sprz]]&lt;15000,0,IF(jablka5[[#This Row],[dot sprz]]&lt;20000,5,10))</f>
        <v>5</v>
      </c>
      <c r="I242" s="1">
        <f>jablka5[[#This Row],[rabat]]*jablka5[[#This Row],[sprzedaż]]/100</f>
        <v>15.75</v>
      </c>
    </row>
    <row r="243" spans="1:9" x14ac:dyDescent="0.25">
      <c r="A243" s="2">
        <v>44862</v>
      </c>
      <c r="B243" s="1" t="s">
        <v>1</v>
      </c>
      <c r="C243" s="1" t="s">
        <v>67</v>
      </c>
      <c r="D243" s="1" t="s">
        <v>32</v>
      </c>
      <c r="E243">
        <v>358</v>
      </c>
      <c r="F243" s="1">
        <f>VLOOKUP(jablka5[[#This Row],[Nazwa]],cennik[],2,0) * jablka5[[#This Row],[sprzedaż]]</f>
        <v>1145.6000000000001</v>
      </c>
      <c r="G243" s="1">
        <f>IF(jablka5[[#This Row],[NIP]]=D242,jablka5[[#This Row],[sprzedaż]]+G242,jablka5[[#This Row],[sprzedaż]])</f>
        <v>16274</v>
      </c>
      <c r="H243" s="1">
        <f>IF(jablka5[[#This Row],[dot sprz]]&lt;15000,0,IF(jablka5[[#This Row],[dot sprz]]&lt;20000,5,10))</f>
        <v>5</v>
      </c>
      <c r="I243" s="1">
        <f>jablka5[[#This Row],[rabat]]*jablka5[[#This Row],[sprzedaż]]/100</f>
        <v>17.899999999999999</v>
      </c>
    </row>
    <row r="244" spans="1:9" x14ac:dyDescent="0.25">
      <c r="A244" s="2">
        <v>44863</v>
      </c>
      <c r="B244" s="1" t="s">
        <v>14</v>
      </c>
      <c r="C244" s="1" t="s">
        <v>67</v>
      </c>
      <c r="D244" s="1" t="s">
        <v>32</v>
      </c>
      <c r="E244">
        <v>226</v>
      </c>
      <c r="F244" s="1">
        <f>VLOOKUP(jablka5[[#This Row],[Nazwa]],cennik[],2,0) * jablka5[[#This Row],[sprzedaż]]</f>
        <v>791</v>
      </c>
      <c r="G244" s="1">
        <f>IF(jablka5[[#This Row],[NIP]]=D243,jablka5[[#This Row],[sprzedaż]]+G243,jablka5[[#This Row],[sprzedaż]])</f>
        <v>16500</v>
      </c>
      <c r="H244" s="1">
        <f>IF(jablka5[[#This Row],[dot sprz]]&lt;15000,0,IF(jablka5[[#This Row],[dot sprz]]&lt;20000,5,10))</f>
        <v>5</v>
      </c>
      <c r="I244" s="1">
        <f>jablka5[[#This Row],[rabat]]*jablka5[[#This Row],[sprzedaż]]/100</f>
        <v>11.3</v>
      </c>
    </row>
    <row r="245" spans="1:9" x14ac:dyDescent="0.25">
      <c r="A245" s="2">
        <v>44863</v>
      </c>
      <c r="B245" s="1" t="s">
        <v>1</v>
      </c>
      <c r="C245" s="1" t="s">
        <v>67</v>
      </c>
      <c r="D245" s="1" t="s">
        <v>32</v>
      </c>
      <c r="E245">
        <v>479</v>
      </c>
      <c r="F245" s="1">
        <f>VLOOKUP(jablka5[[#This Row],[Nazwa]],cennik[],2,0) * jablka5[[#This Row],[sprzedaż]]</f>
        <v>1532.8000000000002</v>
      </c>
      <c r="G245" s="1">
        <f>IF(jablka5[[#This Row],[NIP]]=D244,jablka5[[#This Row],[sprzedaż]]+G244,jablka5[[#This Row],[sprzedaż]])</f>
        <v>16979</v>
      </c>
      <c r="H245" s="1">
        <f>IF(jablka5[[#This Row],[dot sprz]]&lt;15000,0,IF(jablka5[[#This Row],[dot sprz]]&lt;20000,5,10))</f>
        <v>5</v>
      </c>
      <c r="I245" s="1">
        <f>jablka5[[#This Row],[rabat]]*jablka5[[#This Row],[sprzedaż]]/100</f>
        <v>23.95</v>
      </c>
    </row>
    <row r="246" spans="1:9" x14ac:dyDescent="0.25">
      <c r="A246" s="2">
        <v>44865</v>
      </c>
      <c r="B246" s="1" t="s">
        <v>11</v>
      </c>
      <c r="C246" s="1" t="s">
        <v>67</v>
      </c>
      <c r="D246" s="1" t="s">
        <v>32</v>
      </c>
      <c r="E246">
        <v>174</v>
      </c>
      <c r="F246" s="1">
        <f>VLOOKUP(jablka5[[#This Row],[Nazwa]],cennik[],2,0) * jablka5[[#This Row],[sprzedaż]]</f>
        <v>435</v>
      </c>
      <c r="G246" s="1">
        <f>IF(jablka5[[#This Row],[NIP]]=D245,jablka5[[#This Row],[sprzedaż]]+G245,jablka5[[#This Row],[sprzedaż]])</f>
        <v>17153</v>
      </c>
      <c r="H246" s="1">
        <f>IF(jablka5[[#This Row],[dot sprz]]&lt;15000,0,IF(jablka5[[#This Row],[dot sprz]]&lt;20000,5,10))</f>
        <v>5</v>
      </c>
      <c r="I246" s="1">
        <f>jablka5[[#This Row],[rabat]]*jablka5[[#This Row],[sprzedaż]]/100</f>
        <v>8.6999999999999993</v>
      </c>
    </row>
    <row r="247" spans="1:9" x14ac:dyDescent="0.25">
      <c r="A247" s="2">
        <v>44866</v>
      </c>
      <c r="B247" s="1" t="s">
        <v>11</v>
      </c>
      <c r="C247" s="1" t="s">
        <v>67</v>
      </c>
      <c r="D247" s="1" t="s">
        <v>32</v>
      </c>
      <c r="E247">
        <v>390</v>
      </c>
      <c r="F247" s="1">
        <f>VLOOKUP(jablka5[[#This Row],[Nazwa]],cennik[],2,0) * jablka5[[#This Row],[sprzedaż]]</f>
        <v>975</v>
      </c>
      <c r="G247" s="1">
        <f>IF(jablka5[[#This Row],[NIP]]=D246,jablka5[[#This Row],[sprzedaż]]+G246,jablka5[[#This Row],[sprzedaż]])</f>
        <v>17543</v>
      </c>
      <c r="H247" s="1">
        <f>IF(jablka5[[#This Row],[dot sprz]]&lt;15000,0,IF(jablka5[[#This Row],[dot sprz]]&lt;20000,5,10))</f>
        <v>5</v>
      </c>
      <c r="I247" s="1">
        <f>jablka5[[#This Row],[rabat]]*jablka5[[#This Row],[sprzedaż]]/100</f>
        <v>19.5</v>
      </c>
    </row>
    <row r="248" spans="1:9" x14ac:dyDescent="0.25">
      <c r="A248" s="2">
        <v>44869</v>
      </c>
      <c r="B248" s="1" t="s">
        <v>14</v>
      </c>
      <c r="C248" s="1" t="s">
        <v>67</v>
      </c>
      <c r="D248" s="1" t="s">
        <v>32</v>
      </c>
      <c r="E248">
        <v>214</v>
      </c>
      <c r="F248" s="1">
        <f>VLOOKUP(jablka5[[#This Row],[Nazwa]],cennik[],2,0) * jablka5[[#This Row],[sprzedaż]]</f>
        <v>749</v>
      </c>
      <c r="G248" s="1">
        <f>IF(jablka5[[#This Row],[NIP]]=D247,jablka5[[#This Row],[sprzedaż]]+G247,jablka5[[#This Row],[sprzedaż]])</f>
        <v>17757</v>
      </c>
      <c r="H248" s="1">
        <f>IF(jablka5[[#This Row],[dot sprz]]&lt;15000,0,IF(jablka5[[#This Row],[dot sprz]]&lt;20000,5,10))</f>
        <v>5</v>
      </c>
      <c r="I248" s="1">
        <f>jablka5[[#This Row],[rabat]]*jablka5[[#This Row],[sprzedaż]]/100</f>
        <v>10.7</v>
      </c>
    </row>
    <row r="249" spans="1:9" x14ac:dyDescent="0.25">
      <c r="A249" s="2">
        <v>44890</v>
      </c>
      <c r="B249" s="1" t="s">
        <v>14</v>
      </c>
      <c r="C249" s="1" t="s">
        <v>67</v>
      </c>
      <c r="D249" s="1" t="s">
        <v>32</v>
      </c>
      <c r="E249">
        <v>426</v>
      </c>
      <c r="F249" s="1">
        <f>VLOOKUP(jablka5[[#This Row],[Nazwa]],cennik[],2,0) * jablka5[[#This Row],[sprzedaż]]</f>
        <v>1491</v>
      </c>
      <c r="G249" s="1">
        <f>IF(jablka5[[#This Row],[NIP]]=D248,jablka5[[#This Row],[sprzedaż]]+G248,jablka5[[#This Row],[sprzedaż]])</f>
        <v>18183</v>
      </c>
      <c r="H249" s="1">
        <f>IF(jablka5[[#This Row],[dot sprz]]&lt;15000,0,IF(jablka5[[#This Row],[dot sprz]]&lt;20000,5,10))</f>
        <v>5</v>
      </c>
      <c r="I249" s="1">
        <f>jablka5[[#This Row],[rabat]]*jablka5[[#This Row],[sprzedaż]]/100</f>
        <v>21.3</v>
      </c>
    </row>
    <row r="250" spans="1:9" x14ac:dyDescent="0.25">
      <c r="A250" s="2">
        <v>44898</v>
      </c>
      <c r="B250" s="1" t="s">
        <v>5</v>
      </c>
      <c r="C250" s="1" t="s">
        <v>16</v>
      </c>
      <c r="D250" s="1" t="s">
        <v>32</v>
      </c>
      <c r="E250">
        <v>218</v>
      </c>
      <c r="F250" s="1">
        <f>VLOOKUP(jablka5[[#This Row],[Nazwa]],cennik[],2,0) * jablka5[[#This Row],[sprzedaż]]</f>
        <v>741.19999999999993</v>
      </c>
      <c r="G250" s="1">
        <f>IF(jablka5[[#This Row],[NIP]]=D249,jablka5[[#This Row],[sprzedaż]]+G249,jablka5[[#This Row],[sprzedaż]])</f>
        <v>18401</v>
      </c>
      <c r="H250" s="1">
        <f>IF(jablka5[[#This Row],[dot sprz]]&lt;15000,0,IF(jablka5[[#This Row],[dot sprz]]&lt;20000,5,10))</f>
        <v>5</v>
      </c>
      <c r="I250" s="1">
        <f>jablka5[[#This Row],[rabat]]*jablka5[[#This Row],[sprzedaż]]/100</f>
        <v>10.9</v>
      </c>
    </row>
    <row r="251" spans="1:9" x14ac:dyDescent="0.25">
      <c r="A251" s="2">
        <v>44925</v>
      </c>
      <c r="B251" s="1" t="s">
        <v>4</v>
      </c>
      <c r="C251" s="1" t="s">
        <v>16</v>
      </c>
      <c r="D251" s="1" t="s">
        <v>32</v>
      </c>
      <c r="E251">
        <v>403</v>
      </c>
      <c r="F251" s="1">
        <f>VLOOKUP(jablka5[[#This Row],[Nazwa]],cennik[],2,0) * jablka5[[#This Row],[sprzedaż]]</f>
        <v>1370.2</v>
      </c>
      <c r="G251" s="1">
        <f>IF(jablka5[[#This Row],[NIP]]=D250,jablka5[[#This Row],[sprzedaż]]+G250,jablka5[[#This Row],[sprzedaż]])</f>
        <v>18804</v>
      </c>
      <c r="H251" s="1">
        <f>IF(jablka5[[#This Row],[dot sprz]]&lt;15000,0,IF(jablka5[[#This Row],[dot sprz]]&lt;20000,5,10))</f>
        <v>5</v>
      </c>
      <c r="I251" s="1">
        <f>jablka5[[#This Row],[rabat]]*jablka5[[#This Row],[sprzedaż]]/100</f>
        <v>20.149999999999999</v>
      </c>
    </row>
    <row r="252" spans="1:9" x14ac:dyDescent="0.25">
      <c r="A252" s="2">
        <v>44926</v>
      </c>
      <c r="B252" s="1" t="s">
        <v>8</v>
      </c>
      <c r="C252" s="1" t="s">
        <v>16</v>
      </c>
      <c r="D252" s="1" t="s">
        <v>32</v>
      </c>
      <c r="E252">
        <v>436</v>
      </c>
      <c r="F252" s="1">
        <f>VLOOKUP(jablka5[[#This Row],[Nazwa]],cennik[],2,0) * jablka5[[#This Row],[sprzedaż]]</f>
        <v>1526</v>
      </c>
      <c r="G252" s="1">
        <f>IF(jablka5[[#This Row],[NIP]]=D251,jablka5[[#This Row],[sprzedaż]]+G251,jablka5[[#This Row],[sprzedaż]])</f>
        <v>19240</v>
      </c>
      <c r="H252" s="1">
        <f>IF(jablka5[[#This Row],[dot sprz]]&lt;15000,0,IF(jablka5[[#This Row],[dot sprz]]&lt;20000,5,10))</f>
        <v>5</v>
      </c>
      <c r="I252" s="1">
        <f>jablka5[[#This Row],[rabat]]*jablka5[[#This Row],[sprzedaż]]/100</f>
        <v>21.8</v>
      </c>
    </row>
    <row r="253" spans="1:9" x14ac:dyDescent="0.25">
      <c r="A253" s="2">
        <v>44571</v>
      </c>
      <c r="B253" s="1" t="s">
        <v>10</v>
      </c>
      <c r="C253" s="1" t="s">
        <v>16</v>
      </c>
      <c r="D253" s="1" t="s">
        <v>50</v>
      </c>
      <c r="E253">
        <v>196</v>
      </c>
      <c r="F253" s="1">
        <f>VLOOKUP(jablka5[[#This Row],[Nazwa]],cennik[],2,0) * jablka5[[#This Row],[sprzedaż]]</f>
        <v>666.4</v>
      </c>
      <c r="G253" s="1">
        <f>IF(jablka5[[#This Row],[NIP]]=D252,jablka5[[#This Row],[sprzedaż]]+G252,jablka5[[#This Row],[sprzedaż]])</f>
        <v>196</v>
      </c>
      <c r="H253" s="1">
        <f>IF(jablka5[[#This Row],[dot sprz]]&lt;15000,0,IF(jablka5[[#This Row],[dot sprz]]&lt;20000,5,10))</f>
        <v>0</v>
      </c>
      <c r="I253" s="1">
        <f>jablka5[[#This Row],[rabat]]*jablka5[[#This Row],[sprzedaż]]/100</f>
        <v>0</v>
      </c>
    </row>
    <row r="254" spans="1:9" x14ac:dyDescent="0.25">
      <c r="A254" s="2">
        <v>44572</v>
      </c>
      <c r="B254" s="1" t="s">
        <v>2</v>
      </c>
      <c r="C254" s="1" t="s">
        <v>16</v>
      </c>
      <c r="D254" s="1" t="s">
        <v>50</v>
      </c>
      <c r="E254">
        <v>193</v>
      </c>
      <c r="F254" s="1">
        <f>VLOOKUP(jablka5[[#This Row],[Nazwa]],cennik[],2,0) * jablka5[[#This Row],[sprzedaż]]</f>
        <v>617.6</v>
      </c>
      <c r="G254" s="1">
        <f>IF(jablka5[[#This Row],[NIP]]=D253,jablka5[[#This Row],[sprzedaż]]+G253,jablka5[[#This Row],[sprzedaż]])</f>
        <v>389</v>
      </c>
      <c r="H254" s="1">
        <f>IF(jablka5[[#This Row],[dot sprz]]&lt;15000,0,IF(jablka5[[#This Row],[dot sprz]]&lt;20000,5,10))</f>
        <v>0</v>
      </c>
      <c r="I254" s="1">
        <f>jablka5[[#This Row],[rabat]]*jablka5[[#This Row],[sprzedaż]]/100</f>
        <v>0</v>
      </c>
    </row>
    <row r="255" spans="1:9" x14ac:dyDescent="0.25">
      <c r="A255" s="2">
        <v>44592</v>
      </c>
      <c r="B255" s="1" t="s">
        <v>8</v>
      </c>
      <c r="C255" s="1" t="s">
        <v>16</v>
      </c>
      <c r="D255" s="1" t="s">
        <v>50</v>
      </c>
      <c r="E255">
        <v>605</v>
      </c>
      <c r="F255" s="1">
        <f>VLOOKUP(jablka5[[#This Row],[Nazwa]],cennik[],2,0) * jablka5[[#This Row],[sprzedaż]]</f>
        <v>2117.5</v>
      </c>
      <c r="G255" s="1">
        <f>IF(jablka5[[#This Row],[NIP]]=D254,jablka5[[#This Row],[sprzedaż]]+G254,jablka5[[#This Row],[sprzedaż]])</f>
        <v>994</v>
      </c>
      <c r="H255" s="1">
        <f>IF(jablka5[[#This Row],[dot sprz]]&lt;15000,0,IF(jablka5[[#This Row],[dot sprz]]&lt;20000,5,10))</f>
        <v>0</v>
      </c>
      <c r="I255" s="1">
        <f>jablka5[[#This Row],[rabat]]*jablka5[[#This Row],[sprzedaż]]/100</f>
        <v>0</v>
      </c>
    </row>
    <row r="256" spans="1:9" x14ac:dyDescent="0.25">
      <c r="A256" s="2">
        <v>44593</v>
      </c>
      <c r="B256" s="1" t="s">
        <v>2</v>
      </c>
      <c r="C256" s="1" t="s">
        <v>16</v>
      </c>
      <c r="D256" s="1" t="s">
        <v>50</v>
      </c>
      <c r="E256">
        <v>412</v>
      </c>
      <c r="F256" s="1">
        <f>VLOOKUP(jablka5[[#This Row],[Nazwa]],cennik[],2,0) * jablka5[[#This Row],[sprzedaż]]</f>
        <v>1318.4</v>
      </c>
      <c r="G256" s="1">
        <f>IF(jablka5[[#This Row],[NIP]]=D255,jablka5[[#This Row],[sprzedaż]]+G255,jablka5[[#This Row],[sprzedaż]])</f>
        <v>1406</v>
      </c>
      <c r="H256" s="1">
        <f>IF(jablka5[[#This Row],[dot sprz]]&lt;15000,0,IF(jablka5[[#This Row],[dot sprz]]&lt;20000,5,10))</f>
        <v>0</v>
      </c>
      <c r="I256" s="1">
        <f>jablka5[[#This Row],[rabat]]*jablka5[[#This Row],[sprzedaż]]/100</f>
        <v>0</v>
      </c>
    </row>
    <row r="257" spans="1:9" x14ac:dyDescent="0.25">
      <c r="A257" s="2">
        <v>44597</v>
      </c>
      <c r="B257" s="1" t="s">
        <v>6</v>
      </c>
      <c r="C257" s="1" t="s">
        <v>16</v>
      </c>
      <c r="D257" s="1" t="s">
        <v>50</v>
      </c>
      <c r="E257">
        <v>353</v>
      </c>
      <c r="F257" s="1">
        <f>VLOOKUP(jablka5[[#This Row],[Nazwa]],cennik[],2,0) * jablka5[[#This Row],[sprzedaż]]</f>
        <v>1200.2</v>
      </c>
      <c r="G257" s="1">
        <f>IF(jablka5[[#This Row],[NIP]]=D256,jablka5[[#This Row],[sprzedaż]]+G256,jablka5[[#This Row],[sprzedaż]])</f>
        <v>1759</v>
      </c>
      <c r="H257" s="1">
        <f>IF(jablka5[[#This Row],[dot sprz]]&lt;15000,0,IF(jablka5[[#This Row],[dot sprz]]&lt;20000,5,10))</f>
        <v>0</v>
      </c>
      <c r="I257" s="1">
        <f>jablka5[[#This Row],[rabat]]*jablka5[[#This Row],[sprzedaż]]/100</f>
        <v>0</v>
      </c>
    </row>
    <row r="258" spans="1:9" x14ac:dyDescent="0.25">
      <c r="A258" s="2">
        <v>44603</v>
      </c>
      <c r="B258" s="1" t="s">
        <v>6</v>
      </c>
      <c r="C258" s="1" t="s">
        <v>16</v>
      </c>
      <c r="D258" s="1" t="s">
        <v>50</v>
      </c>
      <c r="E258">
        <v>111</v>
      </c>
      <c r="F258" s="1">
        <f>VLOOKUP(jablka5[[#This Row],[Nazwa]],cennik[],2,0) * jablka5[[#This Row],[sprzedaż]]</f>
        <v>377.4</v>
      </c>
      <c r="G258" s="1">
        <f>IF(jablka5[[#This Row],[NIP]]=D257,jablka5[[#This Row],[sprzedaż]]+G257,jablka5[[#This Row],[sprzedaż]])</f>
        <v>1870</v>
      </c>
      <c r="H258" s="1">
        <f>IF(jablka5[[#This Row],[dot sprz]]&lt;15000,0,IF(jablka5[[#This Row],[dot sprz]]&lt;20000,5,10))</f>
        <v>0</v>
      </c>
      <c r="I258" s="1">
        <f>jablka5[[#This Row],[rabat]]*jablka5[[#This Row],[sprzedaż]]/100</f>
        <v>0</v>
      </c>
    </row>
    <row r="259" spans="1:9" x14ac:dyDescent="0.25">
      <c r="A259" s="2">
        <v>44615</v>
      </c>
      <c r="B259" s="1" t="s">
        <v>7</v>
      </c>
      <c r="C259" s="1" t="s">
        <v>16</v>
      </c>
      <c r="D259" s="1" t="s">
        <v>50</v>
      </c>
      <c r="E259">
        <v>448</v>
      </c>
      <c r="F259" s="1">
        <f>VLOOKUP(jablka5[[#This Row],[Nazwa]],cennik[],2,0) * jablka5[[#This Row],[sprzedaż]]</f>
        <v>1523.2</v>
      </c>
      <c r="G259" s="1">
        <f>IF(jablka5[[#This Row],[NIP]]=D258,jablka5[[#This Row],[sprzedaż]]+G258,jablka5[[#This Row],[sprzedaż]])</f>
        <v>2318</v>
      </c>
      <c r="H259" s="1">
        <f>IF(jablka5[[#This Row],[dot sprz]]&lt;15000,0,IF(jablka5[[#This Row],[dot sprz]]&lt;20000,5,10))</f>
        <v>0</v>
      </c>
      <c r="I259" s="1">
        <f>jablka5[[#This Row],[rabat]]*jablka5[[#This Row],[sprzedaż]]/100</f>
        <v>0</v>
      </c>
    </row>
    <row r="260" spans="1:9" x14ac:dyDescent="0.25">
      <c r="A260" s="2">
        <v>44620</v>
      </c>
      <c r="B260" s="1" t="s">
        <v>4</v>
      </c>
      <c r="C260" s="1" t="s">
        <v>16</v>
      </c>
      <c r="D260" s="1" t="s">
        <v>50</v>
      </c>
      <c r="E260">
        <v>489</v>
      </c>
      <c r="F260" s="1">
        <f>VLOOKUP(jablka5[[#This Row],[Nazwa]],cennik[],2,0) * jablka5[[#This Row],[sprzedaż]]</f>
        <v>1662.6</v>
      </c>
      <c r="G260" s="1">
        <f>IF(jablka5[[#This Row],[NIP]]=D259,jablka5[[#This Row],[sprzedaż]]+G259,jablka5[[#This Row],[sprzedaż]])</f>
        <v>2807</v>
      </c>
      <c r="H260" s="1">
        <f>IF(jablka5[[#This Row],[dot sprz]]&lt;15000,0,IF(jablka5[[#This Row],[dot sprz]]&lt;20000,5,10))</f>
        <v>0</v>
      </c>
      <c r="I260" s="1">
        <f>jablka5[[#This Row],[rabat]]*jablka5[[#This Row],[sprzedaż]]/100</f>
        <v>0</v>
      </c>
    </row>
    <row r="261" spans="1:9" x14ac:dyDescent="0.25">
      <c r="A261" s="2">
        <v>44624</v>
      </c>
      <c r="B261" s="1" t="s">
        <v>15</v>
      </c>
      <c r="C261" s="1" t="s">
        <v>16</v>
      </c>
      <c r="D261" s="1" t="s">
        <v>50</v>
      </c>
      <c r="E261">
        <v>583</v>
      </c>
      <c r="F261" s="1">
        <f>VLOOKUP(jablka5[[#This Row],[Nazwa]],cennik[],2,0) * jablka5[[#This Row],[sprzedaż]]</f>
        <v>1399.2</v>
      </c>
      <c r="G261" s="1">
        <f>IF(jablka5[[#This Row],[NIP]]=D260,jablka5[[#This Row],[sprzedaż]]+G260,jablka5[[#This Row],[sprzedaż]])</f>
        <v>3390</v>
      </c>
      <c r="H261" s="1">
        <f>IF(jablka5[[#This Row],[dot sprz]]&lt;15000,0,IF(jablka5[[#This Row],[dot sprz]]&lt;20000,5,10))</f>
        <v>0</v>
      </c>
      <c r="I261" s="1">
        <f>jablka5[[#This Row],[rabat]]*jablka5[[#This Row],[sprzedaż]]/100</f>
        <v>0</v>
      </c>
    </row>
    <row r="262" spans="1:9" x14ac:dyDescent="0.25">
      <c r="A262" s="2">
        <v>44634</v>
      </c>
      <c r="B262" s="1" t="s">
        <v>5</v>
      </c>
      <c r="C262" s="1" t="s">
        <v>16</v>
      </c>
      <c r="D262" s="1" t="s">
        <v>50</v>
      </c>
      <c r="E262">
        <v>402</v>
      </c>
      <c r="F262" s="1">
        <f>VLOOKUP(jablka5[[#This Row],[Nazwa]],cennik[],2,0) * jablka5[[#This Row],[sprzedaż]]</f>
        <v>1366.8</v>
      </c>
      <c r="G262" s="1">
        <f>IF(jablka5[[#This Row],[NIP]]=D261,jablka5[[#This Row],[sprzedaż]]+G261,jablka5[[#This Row],[sprzedaż]])</f>
        <v>3792</v>
      </c>
      <c r="H262" s="1">
        <f>IF(jablka5[[#This Row],[dot sprz]]&lt;15000,0,IF(jablka5[[#This Row],[dot sprz]]&lt;20000,5,10))</f>
        <v>0</v>
      </c>
      <c r="I262" s="1">
        <f>jablka5[[#This Row],[rabat]]*jablka5[[#This Row],[sprzedaż]]/100</f>
        <v>0</v>
      </c>
    </row>
    <row r="263" spans="1:9" x14ac:dyDescent="0.25">
      <c r="A263" s="2">
        <v>44637</v>
      </c>
      <c r="B263" s="1" t="s">
        <v>7</v>
      </c>
      <c r="C263" s="1" t="s">
        <v>16</v>
      </c>
      <c r="D263" s="1" t="s">
        <v>50</v>
      </c>
      <c r="E263">
        <v>264</v>
      </c>
      <c r="F263" s="1">
        <f>VLOOKUP(jablka5[[#This Row],[Nazwa]],cennik[],2,0) * jablka5[[#This Row],[sprzedaż]]</f>
        <v>897.6</v>
      </c>
      <c r="G263" s="1">
        <f>IF(jablka5[[#This Row],[NIP]]=D262,jablka5[[#This Row],[sprzedaż]]+G262,jablka5[[#This Row],[sprzedaż]])</f>
        <v>4056</v>
      </c>
      <c r="H263" s="1">
        <f>IF(jablka5[[#This Row],[dot sprz]]&lt;15000,0,IF(jablka5[[#This Row],[dot sprz]]&lt;20000,5,10))</f>
        <v>0</v>
      </c>
      <c r="I263" s="1">
        <f>jablka5[[#This Row],[rabat]]*jablka5[[#This Row],[sprzedaż]]/100</f>
        <v>0</v>
      </c>
    </row>
    <row r="264" spans="1:9" x14ac:dyDescent="0.25">
      <c r="A264" s="2">
        <v>44642</v>
      </c>
      <c r="B264" s="1" t="s">
        <v>4</v>
      </c>
      <c r="C264" s="1" t="s">
        <v>16</v>
      </c>
      <c r="D264" s="1" t="s">
        <v>50</v>
      </c>
      <c r="E264">
        <v>363</v>
      </c>
      <c r="F264" s="1">
        <f>VLOOKUP(jablka5[[#This Row],[Nazwa]],cennik[],2,0) * jablka5[[#This Row],[sprzedaż]]</f>
        <v>1234.2</v>
      </c>
      <c r="G264" s="1">
        <f>IF(jablka5[[#This Row],[NIP]]=D263,jablka5[[#This Row],[sprzedaż]]+G263,jablka5[[#This Row],[sprzedaż]])</f>
        <v>4419</v>
      </c>
      <c r="H264" s="1">
        <f>IF(jablka5[[#This Row],[dot sprz]]&lt;15000,0,IF(jablka5[[#This Row],[dot sprz]]&lt;20000,5,10))</f>
        <v>0</v>
      </c>
      <c r="I264" s="1">
        <f>jablka5[[#This Row],[rabat]]*jablka5[[#This Row],[sprzedaż]]/100</f>
        <v>0</v>
      </c>
    </row>
    <row r="265" spans="1:9" x14ac:dyDescent="0.25">
      <c r="A265" s="2">
        <v>44648</v>
      </c>
      <c r="B265" s="1" t="s">
        <v>2</v>
      </c>
      <c r="C265" s="1" t="s">
        <v>16</v>
      </c>
      <c r="D265" s="1" t="s">
        <v>50</v>
      </c>
      <c r="E265">
        <v>351</v>
      </c>
      <c r="F265" s="1">
        <f>VLOOKUP(jablka5[[#This Row],[Nazwa]],cennik[],2,0) * jablka5[[#This Row],[sprzedaż]]</f>
        <v>1123.2</v>
      </c>
      <c r="G265" s="1">
        <f>IF(jablka5[[#This Row],[NIP]]=D264,jablka5[[#This Row],[sprzedaż]]+G264,jablka5[[#This Row],[sprzedaż]])</f>
        <v>4770</v>
      </c>
      <c r="H265" s="1">
        <f>IF(jablka5[[#This Row],[dot sprz]]&lt;15000,0,IF(jablka5[[#This Row],[dot sprz]]&lt;20000,5,10))</f>
        <v>0</v>
      </c>
      <c r="I265" s="1">
        <f>jablka5[[#This Row],[rabat]]*jablka5[[#This Row],[sprzedaż]]/100</f>
        <v>0</v>
      </c>
    </row>
    <row r="266" spans="1:9" x14ac:dyDescent="0.25">
      <c r="A266" s="2">
        <v>44649</v>
      </c>
      <c r="B266" s="1" t="s">
        <v>8</v>
      </c>
      <c r="C266" s="1" t="s">
        <v>16</v>
      </c>
      <c r="D266" s="1" t="s">
        <v>50</v>
      </c>
      <c r="E266">
        <v>593</v>
      </c>
      <c r="F266" s="1">
        <f>VLOOKUP(jablka5[[#This Row],[Nazwa]],cennik[],2,0) * jablka5[[#This Row],[sprzedaż]]</f>
        <v>2075.5</v>
      </c>
      <c r="G266" s="1">
        <f>IF(jablka5[[#This Row],[NIP]]=D265,jablka5[[#This Row],[sprzedaż]]+G265,jablka5[[#This Row],[sprzedaż]])</f>
        <v>5363</v>
      </c>
      <c r="H266" s="1">
        <f>IF(jablka5[[#This Row],[dot sprz]]&lt;15000,0,IF(jablka5[[#This Row],[dot sprz]]&lt;20000,5,10))</f>
        <v>0</v>
      </c>
      <c r="I266" s="1">
        <f>jablka5[[#This Row],[rabat]]*jablka5[[#This Row],[sprzedaż]]/100</f>
        <v>0</v>
      </c>
    </row>
    <row r="267" spans="1:9" x14ac:dyDescent="0.25">
      <c r="A267" s="2">
        <v>44651</v>
      </c>
      <c r="B267" s="1" t="s">
        <v>10</v>
      </c>
      <c r="C267" s="1" t="s">
        <v>16</v>
      </c>
      <c r="D267" s="1" t="s">
        <v>50</v>
      </c>
      <c r="E267">
        <v>163</v>
      </c>
      <c r="F267" s="1">
        <f>VLOOKUP(jablka5[[#This Row],[Nazwa]],cennik[],2,0) * jablka5[[#This Row],[sprzedaż]]</f>
        <v>554.19999999999993</v>
      </c>
      <c r="G267" s="1">
        <f>IF(jablka5[[#This Row],[NIP]]=D266,jablka5[[#This Row],[sprzedaż]]+G266,jablka5[[#This Row],[sprzedaż]])</f>
        <v>5526</v>
      </c>
      <c r="H267" s="1">
        <f>IF(jablka5[[#This Row],[dot sprz]]&lt;15000,0,IF(jablka5[[#This Row],[dot sprz]]&lt;20000,5,10))</f>
        <v>0</v>
      </c>
      <c r="I267" s="1">
        <f>jablka5[[#This Row],[rabat]]*jablka5[[#This Row],[sprzedaż]]/100</f>
        <v>0</v>
      </c>
    </row>
    <row r="268" spans="1:9" x14ac:dyDescent="0.25">
      <c r="A268" s="2">
        <v>44669</v>
      </c>
      <c r="B268" s="1" t="s">
        <v>4</v>
      </c>
      <c r="C268" s="1" t="s">
        <v>16</v>
      </c>
      <c r="D268" s="1" t="s">
        <v>50</v>
      </c>
      <c r="E268">
        <v>795</v>
      </c>
      <c r="F268" s="1">
        <f>VLOOKUP(jablka5[[#This Row],[Nazwa]],cennik[],2,0) * jablka5[[#This Row],[sprzedaż]]</f>
        <v>2703</v>
      </c>
      <c r="G268" s="1">
        <f>IF(jablka5[[#This Row],[NIP]]=D267,jablka5[[#This Row],[sprzedaż]]+G267,jablka5[[#This Row],[sprzedaż]])</f>
        <v>6321</v>
      </c>
      <c r="H268" s="1">
        <f>IF(jablka5[[#This Row],[dot sprz]]&lt;15000,0,IF(jablka5[[#This Row],[dot sprz]]&lt;20000,5,10))</f>
        <v>0</v>
      </c>
      <c r="I268" s="1">
        <f>jablka5[[#This Row],[rabat]]*jablka5[[#This Row],[sprzedaż]]/100</f>
        <v>0</v>
      </c>
    </row>
    <row r="269" spans="1:9" x14ac:dyDescent="0.25">
      <c r="A269" s="2">
        <v>44677</v>
      </c>
      <c r="B269" s="1" t="s">
        <v>7</v>
      </c>
      <c r="C269" s="1" t="s">
        <v>16</v>
      </c>
      <c r="D269" s="1" t="s">
        <v>50</v>
      </c>
      <c r="E269">
        <v>415</v>
      </c>
      <c r="F269" s="1">
        <f>VLOOKUP(jablka5[[#This Row],[Nazwa]],cennik[],2,0) * jablka5[[#This Row],[sprzedaż]]</f>
        <v>1411</v>
      </c>
      <c r="G269" s="1">
        <f>IF(jablka5[[#This Row],[NIP]]=D268,jablka5[[#This Row],[sprzedaż]]+G268,jablka5[[#This Row],[sprzedaż]])</f>
        <v>6736</v>
      </c>
      <c r="H269" s="1">
        <f>IF(jablka5[[#This Row],[dot sprz]]&lt;15000,0,IF(jablka5[[#This Row],[dot sprz]]&lt;20000,5,10))</f>
        <v>0</v>
      </c>
      <c r="I269" s="1">
        <f>jablka5[[#This Row],[rabat]]*jablka5[[#This Row],[sprzedaż]]/100</f>
        <v>0</v>
      </c>
    </row>
    <row r="270" spans="1:9" x14ac:dyDescent="0.25">
      <c r="A270" s="2">
        <v>44678</v>
      </c>
      <c r="B270" s="1" t="s">
        <v>15</v>
      </c>
      <c r="C270" s="1" t="s">
        <v>16</v>
      </c>
      <c r="D270" s="1" t="s">
        <v>50</v>
      </c>
      <c r="E270">
        <v>415</v>
      </c>
      <c r="F270" s="1">
        <f>VLOOKUP(jablka5[[#This Row],[Nazwa]],cennik[],2,0) * jablka5[[#This Row],[sprzedaż]]</f>
        <v>996</v>
      </c>
      <c r="G270" s="1">
        <f>IF(jablka5[[#This Row],[NIP]]=D269,jablka5[[#This Row],[sprzedaż]]+G269,jablka5[[#This Row],[sprzedaż]])</f>
        <v>7151</v>
      </c>
      <c r="H270" s="1">
        <f>IF(jablka5[[#This Row],[dot sprz]]&lt;15000,0,IF(jablka5[[#This Row],[dot sprz]]&lt;20000,5,10))</f>
        <v>0</v>
      </c>
      <c r="I270" s="1">
        <f>jablka5[[#This Row],[rabat]]*jablka5[[#This Row],[sprzedaż]]/100</f>
        <v>0</v>
      </c>
    </row>
    <row r="271" spans="1:9" x14ac:dyDescent="0.25">
      <c r="A271" s="2">
        <v>44697</v>
      </c>
      <c r="B271" s="1" t="s">
        <v>10</v>
      </c>
      <c r="C271" s="1" t="s">
        <v>16</v>
      </c>
      <c r="D271" s="1" t="s">
        <v>50</v>
      </c>
      <c r="E271">
        <v>381</v>
      </c>
      <c r="F271" s="1">
        <f>VLOOKUP(jablka5[[#This Row],[Nazwa]],cennik[],2,0) * jablka5[[#This Row],[sprzedaż]]</f>
        <v>1295.3999999999999</v>
      </c>
      <c r="G271" s="1">
        <f>IF(jablka5[[#This Row],[NIP]]=D270,jablka5[[#This Row],[sprzedaż]]+G270,jablka5[[#This Row],[sprzedaż]])</f>
        <v>7532</v>
      </c>
      <c r="H271" s="1">
        <f>IF(jablka5[[#This Row],[dot sprz]]&lt;15000,0,IF(jablka5[[#This Row],[dot sprz]]&lt;20000,5,10))</f>
        <v>0</v>
      </c>
      <c r="I271" s="1">
        <f>jablka5[[#This Row],[rabat]]*jablka5[[#This Row],[sprzedaż]]/100</f>
        <v>0</v>
      </c>
    </row>
    <row r="272" spans="1:9" x14ac:dyDescent="0.25">
      <c r="A272" s="2">
        <v>44704</v>
      </c>
      <c r="B272" s="1" t="s">
        <v>8</v>
      </c>
      <c r="C272" s="1" t="s">
        <v>16</v>
      </c>
      <c r="D272" s="1" t="s">
        <v>50</v>
      </c>
      <c r="E272">
        <v>567</v>
      </c>
      <c r="F272" s="1">
        <f>VLOOKUP(jablka5[[#This Row],[Nazwa]],cennik[],2,0) * jablka5[[#This Row],[sprzedaż]]</f>
        <v>1984.5</v>
      </c>
      <c r="G272" s="1">
        <f>IF(jablka5[[#This Row],[NIP]]=D271,jablka5[[#This Row],[sprzedaż]]+G271,jablka5[[#This Row],[sprzedaż]])</f>
        <v>8099</v>
      </c>
      <c r="H272" s="1">
        <f>IF(jablka5[[#This Row],[dot sprz]]&lt;15000,0,IF(jablka5[[#This Row],[dot sprz]]&lt;20000,5,10))</f>
        <v>0</v>
      </c>
      <c r="I272" s="1">
        <f>jablka5[[#This Row],[rabat]]*jablka5[[#This Row],[sprzedaż]]/100</f>
        <v>0</v>
      </c>
    </row>
    <row r="273" spans="1:9" x14ac:dyDescent="0.25">
      <c r="A273" s="2">
        <v>44709</v>
      </c>
      <c r="B273" s="1" t="s">
        <v>6</v>
      </c>
      <c r="C273" s="1" t="s">
        <v>16</v>
      </c>
      <c r="D273" s="1" t="s">
        <v>50</v>
      </c>
      <c r="E273">
        <v>228</v>
      </c>
      <c r="F273" s="1">
        <f>VLOOKUP(jablka5[[#This Row],[Nazwa]],cennik[],2,0) * jablka5[[#This Row],[sprzedaż]]</f>
        <v>775.19999999999993</v>
      </c>
      <c r="G273" s="1">
        <f>IF(jablka5[[#This Row],[NIP]]=D272,jablka5[[#This Row],[sprzedaż]]+G272,jablka5[[#This Row],[sprzedaż]])</f>
        <v>8327</v>
      </c>
      <c r="H273" s="1">
        <f>IF(jablka5[[#This Row],[dot sprz]]&lt;15000,0,IF(jablka5[[#This Row],[dot sprz]]&lt;20000,5,10))</f>
        <v>0</v>
      </c>
      <c r="I273" s="1">
        <f>jablka5[[#This Row],[rabat]]*jablka5[[#This Row],[sprzedaż]]/100</f>
        <v>0</v>
      </c>
    </row>
    <row r="274" spans="1:9" x14ac:dyDescent="0.25">
      <c r="A274" s="2">
        <v>44711</v>
      </c>
      <c r="B274" s="1" t="s">
        <v>2</v>
      </c>
      <c r="C274" s="1" t="s">
        <v>16</v>
      </c>
      <c r="D274" s="1" t="s">
        <v>50</v>
      </c>
      <c r="E274">
        <v>143</v>
      </c>
      <c r="F274" s="1">
        <f>VLOOKUP(jablka5[[#This Row],[Nazwa]],cennik[],2,0) * jablka5[[#This Row],[sprzedaż]]</f>
        <v>457.6</v>
      </c>
      <c r="G274" s="1">
        <f>IF(jablka5[[#This Row],[NIP]]=D273,jablka5[[#This Row],[sprzedaż]]+G273,jablka5[[#This Row],[sprzedaż]])</f>
        <v>8470</v>
      </c>
      <c r="H274" s="1">
        <f>IF(jablka5[[#This Row],[dot sprz]]&lt;15000,0,IF(jablka5[[#This Row],[dot sprz]]&lt;20000,5,10))</f>
        <v>0</v>
      </c>
      <c r="I274" s="1">
        <f>jablka5[[#This Row],[rabat]]*jablka5[[#This Row],[sprzedaż]]/100</f>
        <v>0</v>
      </c>
    </row>
    <row r="275" spans="1:9" x14ac:dyDescent="0.25">
      <c r="A275" s="2">
        <v>44713</v>
      </c>
      <c r="B275" s="1" t="s">
        <v>13</v>
      </c>
      <c r="C275" s="1" t="s">
        <v>68</v>
      </c>
      <c r="D275" s="1" t="s">
        <v>50</v>
      </c>
      <c r="E275">
        <v>428</v>
      </c>
      <c r="F275" s="1">
        <f>VLOOKUP(jablka5[[#This Row],[Nazwa]],cennik[],2,0) * jablka5[[#This Row],[sprzedaż]]</f>
        <v>1369.6000000000001</v>
      </c>
      <c r="G275" s="1">
        <f>IF(jablka5[[#This Row],[NIP]]=D274,jablka5[[#This Row],[sprzedaż]]+G274,jablka5[[#This Row],[sprzedaż]])</f>
        <v>8898</v>
      </c>
      <c r="H275" s="1">
        <f>IF(jablka5[[#This Row],[dot sprz]]&lt;15000,0,IF(jablka5[[#This Row],[dot sprz]]&lt;20000,5,10))</f>
        <v>0</v>
      </c>
      <c r="I275" s="1">
        <f>jablka5[[#This Row],[rabat]]*jablka5[[#This Row],[sprzedaż]]/100</f>
        <v>0</v>
      </c>
    </row>
    <row r="276" spans="1:9" x14ac:dyDescent="0.25">
      <c r="A276" s="2">
        <v>44718</v>
      </c>
      <c r="B276" s="1" t="s">
        <v>13</v>
      </c>
      <c r="C276" s="1" t="s">
        <v>68</v>
      </c>
      <c r="D276" s="1" t="s">
        <v>50</v>
      </c>
      <c r="E276">
        <v>290</v>
      </c>
      <c r="F276" s="1">
        <f>VLOOKUP(jablka5[[#This Row],[Nazwa]],cennik[],2,0) * jablka5[[#This Row],[sprzedaż]]</f>
        <v>928</v>
      </c>
      <c r="G276" s="1">
        <f>IF(jablka5[[#This Row],[NIP]]=D275,jablka5[[#This Row],[sprzedaż]]+G275,jablka5[[#This Row],[sprzedaż]])</f>
        <v>9188</v>
      </c>
      <c r="H276" s="1">
        <f>IF(jablka5[[#This Row],[dot sprz]]&lt;15000,0,IF(jablka5[[#This Row],[dot sprz]]&lt;20000,5,10))</f>
        <v>0</v>
      </c>
      <c r="I276" s="1">
        <f>jablka5[[#This Row],[rabat]]*jablka5[[#This Row],[sprzedaż]]/100</f>
        <v>0</v>
      </c>
    </row>
    <row r="277" spans="1:9" x14ac:dyDescent="0.25">
      <c r="A277" s="2">
        <v>44733</v>
      </c>
      <c r="B277" s="1" t="s">
        <v>14</v>
      </c>
      <c r="C277" s="1" t="s">
        <v>67</v>
      </c>
      <c r="D277" s="1" t="s">
        <v>50</v>
      </c>
      <c r="E277">
        <v>440</v>
      </c>
      <c r="F277" s="1">
        <f>VLOOKUP(jablka5[[#This Row],[Nazwa]],cennik[],2,0) * jablka5[[#This Row],[sprzedaż]]</f>
        <v>1540</v>
      </c>
      <c r="G277" s="1">
        <f>IF(jablka5[[#This Row],[NIP]]=D276,jablka5[[#This Row],[sprzedaż]]+G276,jablka5[[#This Row],[sprzedaż]])</f>
        <v>9628</v>
      </c>
      <c r="H277" s="1">
        <f>IF(jablka5[[#This Row],[dot sprz]]&lt;15000,0,IF(jablka5[[#This Row],[dot sprz]]&lt;20000,5,10))</f>
        <v>0</v>
      </c>
      <c r="I277" s="1">
        <f>jablka5[[#This Row],[rabat]]*jablka5[[#This Row],[sprzedaż]]/100</f>
        <v>0</v>
      </c>
    </row>
    <row r="278" spans="1:9" x14ac:dyDescent="0.25">
      <c r="A278" s="2">
        <v>44743</v>
      </c>
      <c r="B278" s="1" t="s">
        <v>14</v>
      </c>
      <c r="C278" s="1" t="s">
        <v>67</v>
      </c>
      <c r="D278" s="1" t="s">
        <v>50</v>
      </c>
      <c r="E278">
        <v>472</v>
      </c>
      <c r="F278" s="1">
        <f>VLOOKUP(jablka5[[#This Row],[Nazwa]],cennik[],2,0) * jablka5[[#This Row],[sprzedaż]]</f>
        <v>1652</v>
      </c>
      <c r="G278" s="1">
        <f>IF(jablka5[[#This Row],[NIP]]=D277,jablka5[[#This Row],[sprzedaż]]+G277,jablka5[[#This Row],[sprzedaż]])</f>
        <v>10100</v>
      </c>
      <c r="H278" s="1">
        <f>IF(jablka5[[#This Row],[dot sprz]]&lt;15000,0,IF(jablka5[[#This Row],[dot sprz]]&lt;20000,5,10))</f>
        <v>0</v>
      </c>
      <c r="I278" s="1">
        <f>jablka5[[#This Row],[rabat]]*jablka5[[#This Row],[sprzedaż]]/100</f>
        <v>0</v>
      </c>
    </row>
    <row r="279" spans="1:9" x14ac:dyDescent="0.25">
      <c r="A279" s="2">
        <v>44753</v>
      </c>
      <c r="B279" s="1" t="s">
        <v>14</v>
      </c>
      <c r="C279" s="1" t="s">
        <v>67</v>
      </c>
      <c r="D279" s="1" t="s">
        <v>50</v>
      </c>
      <c r="E279">
        <v>223</v>
      </c>
      <c r="F279" s="1">
        <f>VLOOKUP(jablka5[[#This Row],[Nazwa]],cennik[],2,0) * jablka5[[#This Row],[sprzedaż]]</f>
        <v>780.5</v>
      </c>
      <c r="G279" s="1">
        <f>IF(jablka5[[#This Row],[NIP]]=D278,jablka5[[#This Row],[sprzedaż]]+G278,jablka5[[#This Row],[sprzedaż]])</f>
        <v>10323</v>
      </c>
      <c r="H279" s="1">
        <f>IF(jablka5[[#This Row],[dot sprz]]&lt;15000,0,IF(jablka5[[#This Row],[dot sprz]]&lt;20000,5,10))</f>
        <v>0</v>
      </c>
      <c r="I279" s="1">
        <f>jablka5[[#This Row],[rabat]]*jablka5[[#This Row],[sprzedaż]]/100</f>
        <v>0</v>
      </c>
    </row>
    <row r="280" spans="1:9" x14ac:dyDescent="0.25">
      <c r="A280" s="2">
        <v>44760</v>
      </c>
      <c r="B280" s="1" t="s">
        <v>12</v>
      </c>
      <c r="C280" s="1" t="s">
        <v>68</v>
      </c>
      <c r="D280" s="1" t="s">
        <v>50</v>
      </c>
      <c r="E280">
        <v>407</v>
      </c>
      <c r="F280" s="1">
        <f>VLOOKUP(jablka5[[#This Row],[Nazwa]],cennik[],2,0) * jablka5[[#This Row],[sprzedaż]]</f>
        <v>1098.9000000000001</v>
      </c>
      <c r="G280" s="1">
        <f>IF(jablka5[[#This Row],[NIP]]=D279,jablka5[[#This Row],[sprzedaż]]+G279,jablka5[[#This Row],[sprzedaż]])</f>
        <v>10730</v>
      </c>
      <c r="H280" s="1">
        <f>IF(jablka5[[#This Row],[dot sprz]]&lt;15000,0,IF(jablka5[[#This Row],[dot sprz]]&lt;20000,5,10))</f>
        <v>0</v>
      </c>
      <c r="I280" s="1">
        <f>jablka5[[#This Row],[rabat]]*jablka5[[#This Row],[sprzedaż]]/100</f>
        <v>0</v>
      </c>
    </row>
    <row r="281" spans="1:9" x14ac:dyDescent="0.25">
      <c r="A281" s="2">
        <v>44762</v>
      </c>
      <c r="B281" s="1" t="s">
        <v>13</v>
      </c>
      <c r="C281" s="1" t="s">
        <v>68</v>
      </c>
      <c r="D281" s="1" t="s">
        <v>50</v>
      </c>
      <c r="E281">
        <v>119</v>
      </c>
      <c r="F281" s="1">
        <f>VLOOKUP(jablka5[[#This Row],[Nazwa]],cennik[],2,0) * jablka5[[#This Row],[sprzedaż]]</f>
        <v>380.8</v>
      </c>
      <c r="G281" s="1">
        <f>IF(jablka5[[#This Row],[NIP]]=D280,jablka5[[#This Row],[sprzedaż]]+G280,jablka5[[#This Row],[sprzedaż]])</f>
        <v>10849</v>
      </c>
      <c r="H281" s="1">
        <f>IF(jablka5[[#This Row],[dot sprz]]&lt;15000,0,IF(jablka5[[#This Row],[dot sprz]]&lt;20000,5,10))</f>
        <v>0</v>
      </c>
      <c r="I281" s="1">
        <f>jablka5[[#This Row],[rabat]]*jablka5[[#This Row],[sprzedaż]]/100</f>
        <v>0</v>
      </c>
    </row>
    <row r="282" spans="1:9" x14ac:dyDescent="0.25">
      <c r="A282" s="2">
        <v>44767</v>
      </c>
      <c r="B282" s="1" t="s">
        <v>14</v>
      </c>
      <c r="C282" s="1" t="s">
        <v>67</v>
      </c>
      <c r="D282" s="1" t="s">
        <v>50</v>
      </c>
      <c r="E282">
        <v>333</v>
      </c>
      <c r="F282" s="1">
        <f>VLOOKUP(jablka5[[#This Row],[Nazwa]],cennik[],2,0) * jablka5[[#This Row],[sprzedaż]]</f>
        <v>1165.5</v>
      </c>
      <c r="G282" s="1">
        <f>IF(jablka5[[#This Row],[NIP]]=D281,jablka5[[#This Row],[sprzedaż]]+G281,jablka5[[#This Row],[sprzedaż]])</f>
        <v>11182</v>
      </c>
      <c r="H282" s="1">
        <f>IF(jablka5[[#This Row],[dot sprz]]&lt;15000,0,IF(jablka5[[#This Row],[dot sprz]]&lt;20000,5,10))</f>
        <v>0</v>
      </c>
      <c r="I282" s="1">
        <f>jablka5[[#This Row],[rabat]]*jablka5[[#This Row],[sprzedaż]]/100</f>
        <v>0</v>
      </c>
    </row>
    <row r="283" spans="1:9" x14ac:dyDescent="0.25">
      <c r="A283" s="2">
        <v>44772</v>
      </c>
      <c r="B283" s="1" t="s">
        <v>13</v>
      </c>
      <c r="C283" s="1" t="s">
        <v>68</v>
      </c>
      <c r="D283" s="1" t="s">
        <v>50</v>
      </c>
      <c r="E283">
        <v>430</v>
      </c>
      <c r="F283" s="1">
        <f>VLOOKUP(jablka5[[#This Row],[Nazwa]],cennik[],2,0) * jablka5[[#This Row],[sprzedaż]]</f>
        <v>1376</v>
      </c>
      <c r="G283" s="1">
        <f>IF(jablka5[[#This Row],[NIP]]=D282,jablka5[[#This Row],[sprzedaż]]+G282,jablka5[[#This Row],[sprzedaż]])</f>
        <v>11612</v>
      </c>
      <c r="H283" s="1">
        <f>IF(jablka5[[#This Row],[dot sprz]]&lt;15000,0,IF(jablka5[[#This Row],[dot sprz]]&lt;20000,5,10))</f>
        <v>0</v>
      </c>
      <c r="I283" s="1">
        <f>jablka5[[#This Row],[rabat]]*jablka5[[#This Row],[sprzedaż]]/100</f>
        <v>0</v>
      </c>
    </row>
    <row r="284" spans="1:9" x14ac:dyDescent="0.25">
      <c r="A284" s="2">
        <v>44775</v>
      </c>
      <c r="B284" s="1" t="s">
        <v>13</v>
      </c>
      <c r="C284" s="1" t="s">
        <v>68</v>
      </c>
      <c r="D284" s="1" t="s">
        <v>50</v>
      </c>
      <c r="E284">
        <v>43</v>
      </c>
      <c r="F284" s="1">
        <f>VLOOKUP(jablka5[[#This Row],[Nazwa]],cennik[],2,0) * jablka5[[#This Row],[sprzedaż]]</f>
        <v>137.6</v>
      </c>
      <c r="G284" s="1">
        <f>IF(jablka5[[#This Row],[NIP]]=D283,jablka5[[#This Row],[sprzedaż]]+G283,jablka5[[#This Row],[sprzedaż]])</f>
        <v>11655</v>
      </c>
      <c r="H284" s="1">
        <f>IF(jablka5[[#This Row],[dot sprz]]&lt;15000,0,IF(jablka5[[#This Row],[dot sprz]]&lt;20000,5,10))</f>
        <v>0</v>
      </c>
      <c r="I284" s="1">
        <f>jablka5[[#This Row],[rabat]]*jablka5[[#This Row],[sprzedaż]]/100</f>
        <v>0</v>
      </c>
    </row>
    <row r="285" spans="1:9" x14ac:dyDescent="0.25">
      <c r="A285" s="2">
        <v>44777</v>
      </c>
      <c r="B285" s="1" t="s">
        <v>13</v>
      </c>
      <c r="C285" s="1" t="s">
        <v>68</v>
      </c>
      <c r="D285" s="1" t="s">
        <v>50</v>
      </c>
      <c r="E285">
        <v>18</v>
      </c>
      <c r="F285" s="1">
        <f>VLOOKUP(jablka5[[#This Row],[Nazwa]],cennik[],2,0) * jablka5[[#This Row],[sprzedaż]]</f>
        <v>57.6</v>
      </c>
      <c r="G285" s="1">
        <f>IF(jablka5[[#This Row],[NIP]]=D284,jablka5[[#This Row],[sprzedaż]]+G284,jablka5[[#This Row],[sprzedaż]])</f>
        <v>11673</v>
      </c>
      <c r="H285" s="1">
        <f>IF(jablka5[[#This Row],[dot sprz]]&lt;15000,0,IF(jablka5[[#This Row],[dot sprz]]&lt;20000,5,10))</f>
        <v>0</v>
      </c>
      <c r="I285" s="1">
        <f>jablka5[[#This Row],[rabat]]*jablka5[[#This Row],[sprzedaż]]/100</f>
        <v>0</v>
      </c>
    </row>
    <row r="286" spans="1:9" x14ac:dyDescent="0.25">
      <c r="A286" s="2">
        <v>44781</v>
      </c>
      <c r="B286" s="1" t="s">
        <v>12</v>
      </c>
      <c r="C286" s="1" t="s">
        <v>68</v>
      </c>
      <c r="D286" s="1" t="s">
        <v>50</v>
      </c>
      <c r="E286">
        <v>55</v>
      </c>
      <c r="F286" s="1">
        <f>VLOOKUP(jablka5[[#This Row],[Nazwa]],cennik[],2,0) * jablka5[[#This Row],[sprzedaż]]</f>
        <v>148.5</v>
      </c>
      <c r="G286" s="1">
        <f>IF(jablka5[[#This Row],[NIP]]=D285,jablka5[[#This Row],[sprzedaż]]+G285,jablka5[[#This Row],[sprzedaż]])</f>
        <v>11728</v>
      </c>
      <c r="H286" s="1">
        <f>IF(jablka5[[#This Row],[dot sprz]]&lt;15000,0,IF(jablka5[[#This Row],[dot sprz]]&lt;20000,5,10))</f>
        <v>0</v>
      </c>
      <c r="I286" s="1">
        <f>jablka5[[#This Row],[rabat]]*jablka5[[#This Row],[sprzedaż]]/100</f>
        <v>0</v>
      </c>
    </row>
    <row r="287" spans="1:9" x14ac:dyDescent="0.25">
      <c r="A287" s="2">
        <v>44793</v>
      </c>
      <c r="B287" s="1" t="s">
        <v>12</v>
      </c>
      <c r="C287" s="1" t="s">
        <v>68</v>
      </c>
      <c r="D287" s="1" t="s">
        <v>50</v>
      </c>
      <c r="E287">
        <v>305</v>
      </c>
      <c r="F287" s="1">
        <f>VLOOKUP(jablka5[[#This Row],[Nazwa]],cennik[],2,0) * jablka5[[#This Row],[sprzedaż]]</f>
        <v>823.5</v>
      </c>
      <c r="G287" s="1">
        <f>IF(jablka5[[#This Row],[NIP]]=D286,jablka5[[#This Row],[sprzedaż]]+G286,jablka5[[#This Row],[sprzedaż]])</f>
        <v>12033</v>
      </c>
      <c r="H287" s="1">
        <f>IF(jablka5[[#This Row],[dot sprz]]&lt;15000,0,IF(jablka5[[#This Row],[dot sprz]]&lt;20000,5,10))</f>
        <v>0</v>
      </c>
      <c r="I287" s="1">
        <f>jablka5[[#This Row],[rabat]]*jablka5[[#This Row],[sprzedaż]]/100</f>
        <v>0</v>
      </c>
    </row>
    <row r="288" spans="1:9" x14ac:dyDescent="0.25">
      <c r="A288" s="2">
        <v>44805</v>
      </c>
      <c r="B288" s="1" t="s">
        <v>1</v>
      </c>
      <c r="C288" s="1" t="s">
        <v>67</v>
      </c>
      <c r="D288" s="1" t="s">
        <v>50</v>
      </c>
      <c r="E288">
        <v>223</v>
      </c>
      <c r="F288" s="1">
        <f>VLOOKUP(jablka5[[#This Row],[Nazwa]],cennik[],2,0) * jablka5[[#This Row],[sprzedaż]]</f>
        <v>713.6</v>
      </c>
      <c r="G288" s="1">
        <f>IF(jablka5[[#This Row],[NIP]]=D287,jablka5[[#This Row],[sprzedaż]]+G287,jablka5[[#This Row],[sprzedaż]])</f>
        <v>12256</v>
      </c>
      <c r="H288" s="1">
        <f>IF(jablka5[[#This Row],[dot sprz]]&lt;15000,0,IF(jablka5[[#This Row],[dot sprz]]&lt;20000,5,10))</f>
        <v>0</v>
      </c>
      <c r="I288" s="1">
        <f>jablka5[[#This Row],[rabat]]*jablka5[[#This Row],[sprzedaż]]/100</f>
        <v>0</v>
      </c>
    </row>
    <row r="289" spans="1:9" x14ac:dyDescent="0.25">
      <c r="A289" s="2">
        <v>44806</v>
      </c>
      <c r="B289" s="1" t="s">
        <v>14</v>
      </c>
      <c r="C289" s="1" t="s">
        <v>67</v>
      </c>
      <c r="D289" s="1" t="s">
        <v>50</v>
      </c>
      <c r="E289">
        <v>251</v>
      </c>
      <c r="F289" s="1">
        <f>VLOOKUP(jablka5[[#This Row],[Nazwa]],cennik[],2,0) * jablka5[[#This Row],[sprzedaż]]</f>
        <v>878.5</v>
      </c>
      <c r="G289" s="1">
        <f>IF(jablka5[[#This Row],[NIP]]=D288,jablka5[[#This Row],[sprzedaż]]+G288,jablka5[[#This Row],[sprzedaż]])</f>
        <v>12507</v>
      </c>
      <c r="H289" s="1">
        <f>IF(jablka5[[#This Row],[dot sprz]]&lt;15000,0,IF(jablka5[[#This Row],[dot sprz]]&lt;20000,5,10))</f>
        <v>0</v>
      </c>
      <c r="I289" s="1">
        <f>jablka5[[#This Row],[rabat]]*jablka5[[#This Row],[sprzedaż]]/100</f>
        <v>0</v>
      </c>
    </row>
    <row r="290" spans="1:9" x14ac:dyDescent="0.25">
      <c r="A290" s="2">
        <v>44809</v>
      </c>
      <c r="B290" s="1" t="s">
        <v>14</v>
      </c>
      <c r="C290" s="1" t="s">
        <v>67</v>
      </c>
      <c r="D290" s="1" t="s">
        <v>50</v>
      </c>
      <c r="E290">
        <v>429</v>
      </c>
      <c r="F290" s="1">
        <f>VLOOKUP(jablka5[[#This Row],[Nazwa]],cennik[],2,0) * jablka5[[#This Row],[sprzedaż]]</f>
        <v>1501.5</v>
      </c>
      <c r="G290" s="1">
        <f>IF(jablka5[[#This Row],[NIP]]=D289,jablka5[[#This Row],[sprzedaż]]+G289,jablka5[[#This Row],[sprzedaż]])</f>
        <v>12936</v>
      </c>
      <c r="H290" s="1">
        <f>IF(jablka5[[#This Row],[dot sprz]]&lt;15000,0,IF(jablka5[[#This Row],[dot sprz]]&lt;20000,5,10))</f>
        <v>0</v>
      </c>
      <c r="I290" s="1">
        <f>jablka5[[#This Row],[rabat]]*jablka5[[#This Row],[sprzedaż]]/100</f>
        <v>0</v>
      </c>
    </row>
    <row r="291" spans="1:9" x14ac:dyDescent="0.25">
      <c r="A291" s="2">
        <v>44809</v>
      </c>
      <c r="B291" s="1" t="s">
        <v>9</v>
      </c>
      <c r="C291" s="1" t="s">
        <v>67</v>
      </c>
      <c r="D291" s="1" t="s">
        <v>50</v>
      </c>
      <c r="E291">
        <v>447</v>
      </c>
      <c r="F291" s="1">
        <f>VLOOKUP(jablka5[[#This Row],[Nazwa]],cennik[],2,0) * jablka5[[#This Row],[sprzedaż]]</f>
        <v>1117.5</v>
      </c>
      <c r="G291" s="1">
        <f>IF(jablka5[[#This Row],[NIP]]=D290,jablka5[[#This Row],[sprzedaż]]+G290,jablka5[[#This Row],[sprzedaż]])</f>
        <v>13383</v>
      </c>
      <c r="H291" s="1">
        <f>IF(jablka5[[#This Row],[dot sprz]]&lt;15000,0,IF(jablka5[[#This Row],[dot sprz]]&lt;20000,5,10))</f>
        <v>0</v>
      </c>
      <c r="I291" s="1">
        <f>jablka5[[#This Row],[rabat]]*jablka5[[#This Row],[sprzedaż]]/100</f>
        <v>0</v>
      </c>
    </row>
    <row r="292" spans="1:9" x14ac:dyDescent="0.25">
      <c r="A292" s="2">
        <v>44810</v>
      </c>
      <c r="B292" s="1" t="s">
        <v>14</v>
      </c>
      <c r="C292" s="1" t="s">
        <v>67</v>
      </c>
      <c r="D292" s="1" t="s">
        <v>50</v>
      </c>
      <c r="E292">
        <v>210</v>
      </c>
      <c r="F292" s="1">
        <f>VLOOKUP(jablka5[[#This Row],[Nazwa]],cennik[],2,0) * jablka5[[#This Row],[sprzedaż]]</f>
        <v>735</v>
      </c>
      <c r="G292" s="1">
        <f>IF(jablka5[[#This Row],[NIP]]=D291,jablka5[[#This Row],[sprzedaż]]+G291,jablka5[[#This Row],[sprzedaż]])</f>
        <v>13593</v>
      </c>
      <c r="H292" s="1">
        <f>IF(jablka5[[#This Row],[dot sprz]]&lt;15000,0,IF(jablka5[[#This Row],[dot sprz]]&lt;20000,5,10))</f>
        <v>0</v>
      </c>
      <c r="I292" s="1">
        <f>jablka5[[#This Row],[rabat]]*jablka5[[#This Row],[sprzedaż]]/100</f>
        <v>0</v>
      </c>
    </row>
    <row r="293" spans="1:9" x14ac:dyDescent="0.25">
      <c r="A293" s="2">
        <v>44814</v>
      </c>
      <c r="B293" s="1" t="s">
        <v>14</v>
      </c>
      <c r="C293" s="1" t="s">
        <v>67</v>
      </c>
      <c r="D293" s="1" t="s">
        <v>50</v>
      </c>
      <c r="E293">
        <v>410</v>
      </c>
      <c r="F293" s="1">
        <f>VLOOKUP(jablka5[[#This Row],[Nazwa]],cennik[],2,0) * jablka5[[#This Row],[sprzedaż]]</f>
        <v>1435</v>
      </c>
      <c r="G293" s="1">
        <f>IF(jablka5[[#This Row],[NIP]]=D292,jablka5[[#This Row],[sprzedaż]]+G292,jablka5[[#This Row],[sprzedaż]])</f>
        <v>14003</v>
      </c>
      <c r="H293" s="1">
        <f>IF(jablka5[[#This Row],[dot sprz]]&lt;15000,0,IF(jablka5[[#This Row],[dot sprz]]&lt;20000,5,10))</f>
        <v>0</v>
      </c>
      <c r="I293" s="1">
        <f>jablka5[[#This Row],[rabat]]*jablka5[[#This Row],[sprzedaż]]/100</f>
        <v>0</v>
      </c>
    </row>
    <row r="294" spans="1:9" x14ac:dyDescent="0.25">
      <c r="A294" s="2">
        <v>44826</v>
      </c>
      <c r="B294" s="1" t="s">
        <v>14</v>
      </c>
      <c r="C294" s="1" t="s">
        <v>67</v>
      </c>
      <c r="D294" s="1" t="s">
        <v>50</v>
      </c>
      <c r="E294">
        <v>481</v>
      </c>
      <c r="F294" s="1">
        <f>VLOOKUP(jablka5[[#This Row],[Nazwa]],cennik[],2,0) * jablka5[[#This Row],[sprzedaż]]</f>
        <v>1683.5</v>
      </c>
      <c r="G294" s="1">
        <f>IF(jablka5[[#This Row],[NIP]]=D293,jablka5[[#This Row],[sprzedaż]]+G293,jablka5[[#This Row],[sprzedaż]])</f>
        <v>14484</v>
      </c>
      <c r="H294" s="1">
        <f>IF(jablka5[[#This Row],[dot sprz]]&lt;15000,0,IF(jablka5[[#This Row],[dot sprz]]&lt;20000,5,10))</f>
        <v>0</v>
      </c>
      <c r="I294" s="1">
        <f>jablka5[[#This Row],[rabat]]*jablka5[[#This Row],[sprzedaż]]/100</f>
        <v>0</v>
      </c>
    </row>
    <row r="295" spans="1:9" x14ac:dyDescent="0.25">
      <c r="A295" s="2">
        <v>44839</v>
      </c>
      <c r="B295" s="1" t="s">
        <v>1</v>
      </c>
      <c r="C295" s="1" t="s">
        <v>67</v>
      </c>
      <c r="D295" s="1" t="s">
        <v>50</v>
      </c>
      <c r="E295">
        <v>181</v>
      </c>
      <c r="F295" s="1">
        <f>VLOOKUP(jablka5[[#This Row],[Nazwa]],cennik[],2,0) * jablka5[[#This Row],[sprzedaż]]</f>
        <v>579.20000000000005</v>
      </c>
      <c r="G295" s="1">
        <f>IF(jablka5[[#This Row],[NIP]]=D294,jablka5[[#This Row],[sprzedaż]]+G294,jablka5[[#This Row],[sprzedaż]])</f>
        <v>14665</v>
      </c>
      <c r="H295" s="1">
        <f>IF(jablka5[[#This Row],[dot sprz]]&lt;15000,0,IF(jablka5[[#This Row],[dot sprz]]&lt;20000,5,10))</f>
        <v>0</v>
      </c>
      <c r="I295" s="1">
        <f>jablka5[[#This Row],[rabat]]*jablka5[[#This Row],[sprzedaż]]/100</f>
        <v>0</v>
      </c>
    </row>
    <row r="296" spans="1:9" x14ac:dyDescent="0.25">
      <c r="A296" s="2">
        <v>44844</v>
      </c>
      <c r="B296" s="1" t="s">
        <v>14</v>
      </c>
      <c r="C296" s="1" t="s">
        <v>67</v>
      </c>
      <c r="D296" s="1" t="s">
        <v>50</v>
      </c>
      <c r="E296">
        <v>189</v>
      </c>
      <c r="F296" s="1">
        <f>VLOOKUP(jablka5[[#This Row],[Nazwa]],cennik[],2,0) * jablka5[[#This Row],[sprzedaż]]</f>
        <v>661.5</v>
      </c>
      <c r="G296" s="1">
        <f>IF(jablka5[[#This Row],[NIP]]=D295,jablka5[[#This Row],[sprzedaż]]+G295,jablka5[[#This Row],[sprzedaż]])</f>
        <v>14854</v>
      </c>
      <c r="H296" s="1">
        <f>IF(jablka5[[#This Row],[dot sprz]]&lt;15000,0,IF(jablka5[[#This Row],[dot sprz]]&lt;20000,5,10))</f>
        <v>0</v>
      </c>
      <c r="I296" s="1">
        <f>jablka5[[#This Row],[rabat]]*jablka5[[#This Row],[sprzedaż]]/100</f>
        <v>0</v>
      </c>
    </row>
    <row r="297" spans="1:9" x14ac:dyDescent="0.25">
      <c r="A297" s="2">
        <v>44851</v>
      </c>
      <c r="B297" s="1" t="s">
        <v>3</v>
      </c>
      <c r="C297" s="1" t="s">
        <v>67</v>
      </c>
      <c r="D297" s="1" t="s">
        <v>50</v>
      </c>
      <c r="E297">
        <v>253</v>
      </c>
      <c r="F297" s="1">
        <f>VLOOKUP(jablka5[[#This Row],[Nazwa]],cennik[],2,0) * jablka5[[#This Row],[sprzedaż]]</f>
        <v>809.6</v>
      </c>
      <c r="G297" s="1">
        <f>IF(jablka5[[#This Row],[NIP]]=D296,jablka5[[#This Row],[sprzedaż]]+G296,jablka5[[#This Row],[sprzedaż]])</f>
        <v>15107</v>
      </c>
      <c r="H297" s="1">
        <f>IF(jablka5[[#This Row],[dot sprz]]&lt;15000,0,IF(jablka5[[#This Row],[dot sprz]]&lt;20000,5,10))</f>
        <v>5</v>
      </c>
      <c r="I297" s="1">
        <f>jablka5[[#This Row],[rabat]]*jablka5[[#This Row],[sprzedaż]]/100</f>
        <v>12.65</v>
      </c>
    </row>
    <row r="298" spans="1:9" x14ac:dyDescent="0.25">
      <c r="A298" s="2">
        <v>44852</v>
      </c>
      <c r="B298" s="1" t="s">
        <v>3</v>
      </c>
      <c r="C298" s="1" t="s">
        <v>67</v>
      </c>
      <c r="D298" s="1" t="s">
        <v>50</v>
      </c>
      <c r="E298">
        <v>269</v>
      </c>
      <c r="F298" s="1">
        <f>VLOOKUP(jablka5[[#This Row],[Nazwa]],cennik[],2,0) * jablka5[[#This Row],[sprzedaż]]</f>
        <v>860.80000000000007</v>
      </c>
      <c r="G298" s="1">
        <f>IF(jablka5[[#This Row],[NIP]]=D297,jablka5[[#This Row],[sprzedaż]]+G297,jablka5[[#This Row],[sprzedaż]])</f>
        <v>15376</v>
      </c>
      <c r="H298" s="1">
        <f>IF(jablka5[[#This Row],[dot sprz]]&lt;15000,0,IF(jablka5[[#This Row],[dot sprz]]&lt;20000,5,10))</f>
        <v>5</v>
      </c>
      <c r="I298" s="1">
        <f>jablka5[[#This Row],[rabat]]*jablka5[[#This Row],[sprzedaż]]/100</f>
        <v>13.45</v>
      </c>
    </row>
    <row r="299" spans="1:9" x14ac:dyDescent="0.25">
      <c r="A299" s="2">
        <v>44858</v>
      </c>
      <c r="B299" s="1" t="s">
        <v>1</v>
      </c>
      <c r="C299" s="1" t="s">
        <v>67</v>
      </c>
      <c r="D299" s="1" t="s">
        <v>50</v>
      </c>
      <c r="E299">
        <v>281</v>
      </c>
      <c r="F299" s="1">
        <f>VLOOKUP(jablka5[[#This Row],[Nazwa]],cennik[],2,0) * jablka5[[#This Row],[sprzedaż]]</f>
        <v>899.2</v>
      </c>
      <c r="G299" s="1">
        <f>IF(jablka5[[#This Row],[NIP]]=D298,jablka5[[#This Row],[sprzedaż]]+G298,jablka5[[#This Row],[sprzedaż]])</f>
        <v>15657</v>
      </c>
      <c r="H299" s="1">
        <f>IF(jablka5[[#This Row],[dot sprz]]&lt;15000,0,IF(jablka5[[#This Row],[dot sprz]]&lt;20000,5,10))</f>
        <v>5</v>
      </c>
      <c r="I299" s="1">
        <f>jablka5[[#This Row],[rabat]]*jablka5[[#This Row],[sprzedaż]]/100</f>
        <v>14.05</v>
      </c>
    </row>
    <row r="300" spans="1:9" x14ac:dyDescent="0.25">
      <c r="A300" s="2">
        <v>44860</v>
      </c>
      <c r="B300" s="1" t="s">
        <v>11</v>
      </c>
      <c r="C300" s="1" t="s">
        <v>67</v>
      </c>
      <c r="D300" s="1" t="s">
        <v>50</v>
      </c>
      <c r="E300">
        <v>420</v>
      </c>
      <c r="F300" s="1">
        <f>VLOOKUP(jablka5[[#This Row],[Nazwa]],cennik[],2,0) * jablka5[[#This Row],[sprzedaż]]</f>
        <v>1050</v>
      </c>
      <c r="G300" s="1">
        <f>IF(jablka5[[#This Row],[NIP]]=D299,jablka5[[#This Row],[sprzedaż]]+G299,jablka5[[#This Row],[sprzedaż]])</f>
        <v>16077</v>
      </c>
      <c r="H300" s="1">
        <f>IF(jablka5[[#This Row],[dot sprz]]&lt;15000,0,IF(jablka5[[#This Row],[dot sprz]]&lt;20000,5,10))</f>
        <v>5</v>
      </c>
      <c r="I300" s="1">
        <f>jablka5[[#This Row],[rabat]]*jablka5[[#This Row],[sprzedaż]]/100</f>
        <v>21</v>
      </c>
    </row>
    <row r="301" spans="1:9" x14ac:dyDescent="0.25">
      <c r="A301" s="2">
        <v>44872</v>
      </c>
      <c r="B301" s="1" t="s">
        <v>14</v>
      </c>
      <c r="C301" s="1" t="s">
        <v>67</v>
      </c>
      <c r="D301" s="1" t="s">
        <v>50</v>
      </c>
      <c r="E301">
        <v>413</v>
      </c>
      <c r="F301" s="1">
        <f>VLOOKUP(jablka5[[#This Row],[Nazwa]],cennik[],2,0) * jablka5[[#This Row],[sprzedaż]]</f>
        <v>1445.5</v>
      </c>
      <c r="G301" s="1">
        <f>IF(jablka5[[#This Row],[NIP]]=D300,jablka5[[#This Row],[sprzedaż]]+G300,jablka5[[#This Row],[sprzedaż]])</f>
        <v>16490</v>
      </c>
      <c r="H301" s="1">
        <f>IF(jablka5[[#This Row],[dot sprz]]&lt;15000,0,IF(jablka5[[#This Row],[dot sprz]]&lt;20000,5,10))</f>
        <v>5</v>
      </c>
      <c r="I301" s="1">
        <f>jablka5[[#This Row],[rabat]]*jablka5[[#This Row],[sprzedaż]]/100</f>
        <v>20.65</v>
      </c>
    </row>
    <row r="302" spans="1:9" x14ac:dyDescent="0.25">
      <c r="A302" s="2">
        <v>44875</v>
      </c>
      <c r="B302" s="1" t="s">
        <v>3</v>
      </c>
      <c r="C302" s="1" t="s">
        <v>67</v>
      </c>
      <c r="D302" s="1" t="s">
        <v>50</v>
      </c>
      <c r="E302">
        <v>66</v>
      </c>
      <c r="F302" s="1">
        <f>VLOOKUP(jablka5[[#This Row],[Nazwa]],cennik[],2,0) * jablka5[[#This Row],[sprzedaż]]</f>
        <v>211.20000000000002</v>
      </c>
      <c r="G302" s="1">
        <f>IF(jablka5[[#This Row],[NIP]]=D301,jablka5[[#This Row],[sprzedaż]]+G301,jablka5[[#This Row],[sprzedaż]])</f>
        <v>16556</v>
      </c>
      <c r="H302" s="1">
        <f>IF(jablka5[[#This Row],[dot sprz]]&lt;15000,0,IF(jablka5[[#This Row],[dot sprz]]&lt;20000,5,10))</f>
        <v>5</v>
      </c>
      <c r="I302" s="1">
        <f>jablka5[[#This Row],[rabat]]*jablka5[[#This Row],[sprzedaż]]/100</f>
        <v>3.3</v>
      </c>
    </row>
    <row r="303" spans="1:9" x14ac:dyDescent="0.25">
      <c r="A303" s="2">
        <v>44884</v>
      </c>
      <c r="B303" s="1" t="s">
        <v>14</v>
      </c>
      <c r="C303" s="1" t="s">
        <v>67</v>
      </c>
      <c r="D303" s="1" t="s">
        <v>50</v>
      </c>
      <c r="E303">
        <v>410</v>
      </c>
      <c r="F303" s="1">
        <f>VLOOKUP(jablka5[[#This Row],[Nazwa]],cennik[],2,0) * jablka5[[#This Row],[sprzedaż]]</f>
        <v>1435</v>
      </c>
      <c r="G303" s="1">
        <f>IF(jablka5[[#This Row],[NIP]]=D302,jablka5[[#This Row],[sprzedaż]]+G302,jablka5[[#This Row],[sprzedaż]])</f>
        <v>16966</v>
      </c>
      <c r="H303" s="1">
        <f>IF(jablka5[[#This Row],[dot sprz]]&lt;15000,0,IF(jablka5[[#This Row],[dot sprz]]&lt;20000,5,10))</f>
        <v>5</v>
      </c>
      <c r="I303" s="1">
        <f>jablka5[[#This Row],[rabat]]*jablka5[[#This Row],[sprzedaż]]/100</f>
        <v>20.5</v>
      </c>
    </row>
    <row r="304" spans="1:9" x14ac:dyDescent="0.25">
      <c r="A304" s="2">
        <v>44884</v>
      </c>
      <c r="B304" s="1" t="s">
        <v>14</v>
      </c>
      <c r="C304" s="1" t="s">
        <v>67</v>
      </c>
      <c r="D304" s="1" t="s">
        <v>50</v>
      </c>
      <c r="E304">
        <v>320</v>
      </c>
      <c r="F304" s="1">
        <f>VLOOKUP(jablka5[[#This Row],[Nazwa]],cennik[],2,0) * jablka5[[#This Row],[sprzedaż]]</f>
        <v>1120</v>
      </c>
      <c r="G304" s="1">
        <f>IF(jablka5[[#This Row],[NIP]]=D303,jablka5[[#This Row],[sprzedaż]]+G303,jablka5[[#This Row],[sprzedaż]])</f>
        <v>17286</v>
      </c>
      <c r="H304" s="1">
        <f>IF(jablka5[[#This Row],[dot sprz]]&lt;15000,0,IF(jablka5[[#This Row],[dot sprz]]&lt;20000,5,10))</f>
        <v>5</v>
      </c>
      <c r="I304" s="1">
        <f>jablka5[[#This Row],[rabat]]*jablka5[[#This Row],[sprzedaż]]/100</f>
        <v>16</v>
      </c>
    </row>
    <row r="305" spans="1:9" x14ac:dyDescent="0.25">
      <c r="A305" s="2">
        <v>44886</v>
      </c>
      <c r="B305" s="1" t="s">
        <v>14</v>
      </c>
      <c r="C305" s="1" t="s">
        <v>67</v>
      </c>
      <c r="D305" s="1" t="s">
        <v>50</v>
      </c>
      <c r="E305">
        <v>124</v>
      </c>
      <c r="F305" s="1">
        <f>VLOOKUP(jablka5[[#This Row],[Nazwa]],cennik[],2,0) * jablka5[[#This Row],[sprzedaż]]</f>
        <v>434</v>
      </c>
      <c r="G305" s="1">
        <f>IF(jablka5[[#This Row],[NIP]]=D304,jablka5[[#This Row],[sprzedaż]]+G304,jablka5[[#This Row],[sprzedaż]])</f>
        <v>17410</v>
      </c>
      <c r="H305" s="1">
        <f>IF(jablka5[[#This Row],[dot sprz]]&lt;15000,0,IF(jablka5[[#This Row],[dot sprz]]&lt;20000,5,10))</f>
        <v>5</v>
      </c>
      <c r="I305" s="1">
        <f>jablka5[[#This Row],[rabat]]*jablka5[[#This Row],[sprzedaż]]/100</f>
        <v>6.2</v>
      </c>
    </row>
    <row r="306" spans="1:9" x14ac:dyDescent="0.25">
      <c r="A306" s="2">
        <v>44901</v>
      </c>
      <c r="B306" s="1" t="s">
        <v>2</v>
      </c>
      <c r="C306" s="1" t="s">
        <v>16</v>
      </c>
      <c r="D306" s="1" t="s">
        <v>50</v>
      </c>
      <c r="E306">
        <v>261</v>
      </c>
      <c r="F306" s="1">
        <f>VLOOKUP(jablka5[[#This Row],[Nazwa]],cennik[],2,0) * jablka5[[#This Row],[sprzedaż]]</f>
        <v>835.2</v>
      </c>
      <c r="G306" s="1">
        <f>IF(jablka5[[#This Row],[NIP]]=D305,jablka5[[#This Row],[sprzedaż]]+G305,jablka5[[#This Row],[sprzedaż]])</f>
        <v>17671</v>
      </c>
      <c r="H306" s="1">
        <f>IF(jablka5[[#This Row],[dot sprz]]&lt;15000,0,IF(jablka5[[#This Row],[dot sprz]]&lt;20000,5,10))</f>
        <v>5</v>
      </c>
      <c r="I306" s="1">
        <f>jablka5[[#This Row],[rabat]]*jablka5[[#This Row],[sprzedaż]]/100</f>
        <v>13.05</v>
      </c>
    </row>
    <row r="307" spans="1:9" x14ac:dyDescent="0.25">
      <c r="A307" s="2">
        <v>44903</v>
      </c>
      <c r="B307" s="1" t="s">
        <v>5</v>
      </c>
      <c r="C307" s="1" t="s">
        <v>16</v>
      </c>
      <c r="D307" s="1" t="s">
        <v>50</v>
      </c>
      <c r="E307">
        <v>109</v>
      </c>
      <c r="F307" s="1">
        <f>VLOOKUP(jablka5[[#This Row],[Nazwa]],cennik[],2,0) * jablka5[[#This Row],[sprzedaż]]</f>
        <v>370.59999999999997</v>
      </c>
      <c r="G307" s="1">
        <f>IF(jablka5[[#This Row],[NIP]]=D306,jablka5[[#This Row],[sprzedaż]]+G306,jablka5[[#This Row],[sprzedaż]])</f>
        <v>17780</v>
      </c>
      <c r="H307" s="1">
        <f>IF(jablka5[[#This Row],[dot sprz]]&lt;15000,0,IF(jablka5[[#This Row],[dot sprz]]&lt;20000,5,10))</f>
        <v>5</v>
      </c>
      <c r="I307" s="1">
        <f>jablka5[[#This Row],[rabat]]*jablka5[[#This Row],[sprzedaż]]/100</f>
        <v>5.45</v>
      </c>
    </row>
    <row r="308" spans="1:9" x14ac:dyDescent="0.25">
      <c r="A308" s="2">
        <v>44905</v>
      </c>
      <c r="B308" s="1" t="s">
        <v>7</v>
      </c>
      <c r="C308" s="1" t="s">
        <v>16</v>
      </c>
      <c r="D308" s="1" t="s">
        <v>50</v>
      </c>
      <c r="E308">
        <v>561</v>
      </c>
      <c r="F308" s="1">
        <f>VLOOKUP(jablka5[[#This Row],[Nazwa]],cennik[],2,0) * jablka5[[#This Row],[sprzedaż]]</f>
        <v>1907.3999999999999</v>
      </c>
      <c r="G308" s="1">
        <f>IF(jablka5[[#This Row],[NIP]]=D307,jablka5[[#This Row],[sprzedaż]]+G307,jablka5[[#This Row],[sprzedaż]])</f>
        <v>18341</v>
      </c>
      <c r="H308" s="1">
        <f>IF(jablka5[[#This Row],[dot sprz]]&lt;15000,0,IF(jablka5[[#This Row],[dot sprz]]&lt;20000,5,10))</f>
        <v>5</v>
      </c>
      <c r="I308" s="1">
        <f>jablka5[[#This Row],[rabat]]*jablka5[[#This Row],[sprzedaż]]/100</f>
        <v>28.05</v>
      </c>
    </row>
    <row r="309" spans="1:9" x14ac:dyDescent="0.25">
      <c r="A309" s="2">
        <v>44910</v>
      </c>
      <c r="B309" s="1" t="s">
        <v>8</v>
      </c>
      <c r="C309" s="1" t="s">
        <v>16</v>
      </c>
      <c r="D309" s="1" t="s">
        <v>50</v>
      </c>
      <c r="E309">
        <v>337</v>
      </c>
      <c r="F309" s="1">
        <f>VLOOKUP(jablka5[[#This Row],[Nazwa]],cennik[],2,0) * jablka5[[#This Row],[sprzedaż]]</f>
        <v>1179.5</v>
      </c>
      <c r="G309" s="1">
        <f>IF(jablka5[[#This Row],[NIP]]=D308,jablka5[[#This Row],[sprzedaż]]+G308,jablka5[[#This Row],[sprzedaż]])</f>
        <v>18678</v>
      </c>
      <c r="H309" s="1">
        <f>IF(jablka5[[#This Row],[dot sprz]]&lt;15000,0,IF(jablka5[[#This Row],[dot sprz]]&lt;20000,5,10))</f>
        <v>5</v>
      </c>
      <c r="I309" s="1">
        <f>jablka5[[#This Row],[rabat]]*jablka5[[#This Row],[sprzedaż]]/100</f>
        <v>16.850000000000001</v>
      </c>
    </row>
    <row r="310" spans="1:9" x14ac:dyDescent="0.25">
      <c r="A310" s="2">
        <v>44911</v>
      </c>
      <c r="B310" s="1" t="s">
        <v>8</v>
      </c>
      <c r="C310" s="1" t="s">
        <v>16</v>
      </c>
      <c r="D310" s="1" t="s">
        <v>50</v>
      </c>
      <c r="E310">
        <v>686</v>
      </c>
      <c r="F310" s="1">
        <f>VLOOKUP(jablka5[[#This Row],[Nazwa]],cennik[],2,0) * jablka5[[#This Row],[sprzedaż]]</f>
        <v>2401</v>
      </c>
      <c r="G310" s="1">
        <f>IF(jablka5[[#This Row],[NIP]]=D309,jablka5[[#This Row],[sprzedaż]]+G309,jablka5[[#This Row],[sprzedaż]])</f>
        <v>19364</v>
      </c>
      <c r="H310" s="1">
        <f>IF(jablka5[[#This Row],[dot sprz]]&lt;15000,0,IF(jablka5[[#This Row],[dot sprz]]&lt;20000,5,10))</f>
        <v>5</v>
      </c>
      <c r="I310" s="1">
        <f>jablka5[[#This Row],[rabat]]*jablka5[[#This Row],[sprzedaż]]/100</f>
        <v>34.299999999999997</v>
      </c>
    </row>
    <row r="311" spans="1:9" x14ac:dyDescent="0.25">
      <c r="A311" s="2">
        <v>44911</v>
      </c>
      <c r="B311" s="1" t="s">
        <v>15</v>
      </c>
      <c r="C311" s="1" t="s">
        <v>16</v>
      </c>
      <c r="D311" s="1" t="s">
        <v>50</v>
      </c>
      <c r="E311">
        <v>442</v>
      </c>
      <c r="F311" s="1">
        <f>VLOOKUP(jablka5[[#This Row],[Nazwa]],cennik[],2,0) * jablka5[[#This Row],[sprzedaż]]</f>
        <v>1060.8</v>
      </c>
      <c r="G311" s="1">
        <f>IF(jablka5[[#This Row],[NIP]]=D310,jablka5[[#This Row],[sprzedaż]]+G310,jablka5[[#This Row],[sprzedaż]])</f>
        <v>19806</v>
      </c>
      <c r="H311" s="1">
        <f>IF(jablka5[[#This Row],[dot sprz]]&lt;15000,0,IF(jablka5[[#This Row],[dot sprz]]&lt;20000,5,10))</f>
        <v>5</v>
      </c>
      <c r="I311" s="1">
        <f>jablka5[[#This Row],[rabat]]*jablka5[[#This Row],[sprzedaż]]/100</f>
        <v>22.1</v>
      </c>
    </row>
    <row r="312" spans="1:9" x14ac:dyDescent="0.25">
      <c r="A312" s="2">
        <v>44914</v>
      </c>
      <c r="B312" s="1" t="s">
        <v>0</v>
      </c>
      <c r="C312" s="1" t="s">
        <v>16</v>
      </c>
      <c r="D312" s="1" t="s">
        <v>50</v>
      </c>
      <c r="E312">
        <v>261</v>
      </c>
      <c r="F312" s="1">
        <f>VLOOKUP(jablka5[[#This Row],[Nazwa]],cennik[],2,0) * jablka5[[#This Row],[sprzedaż]]</f>
        <v>756.9</v>
      </c>
      <c r="G312" s="1">
        <f>IF(jablka5[[#This Row],[NIP]]=D311,jablka5[[#This Row],[sprzedaż]]+G311,jablka5[[#This Row],[sprzedaż]])</f>
        <v>20067</v>
      </c>
      <c r="H312" s="1">
        <f>IF(jablka5[[#This Row],[dot sprz]]&lt;15000,0,IF(jablka5[[#This Row],[dot sprz]]&lt;20000,5,10))</f>
        <v>10</v>
      </c>
      <c r="I312" s="1">
        <f>jablka5[[#This Row],[rabat]]*jablka5[[#This Row],[sprzedaż]]/100</f>
        <v>26.1</v>
      </c>
    </row>
    <row r="313" spans="1:9" x14ac:dyDescent="0.25">
      <c r="A313" s="2">
        <v>44915</v>
      </c>
      <c r="B313" s="1" t="s">
        <v>7</v>
      </c>
      <c r="C313" s="1" t="s">
        <v>16</v>
      </c>
      <c r="D313" s="1" t="s">
        <v>50</v>
      </c>
      <c r="E313">
        <v>590</v>
      </c>
      <c r="F313" s="1">
        <f>VLOOKUP(jablka5[[#This Row],[Nazwa]],cennik[],2,0) * jablka5[[#This Row],[sprzedaż]]</f>
        <v>2006</v>
      </c>
      <c r="G313" s="1">
        <f>IF(jablka5[[#This Row],[NIP]]=D312,jablka5[[#This Row],[sprzedaż]]+G312,jablka5[[#This Row],[sprzedaż]])</f>
        <v>20657</v>
      </c>
      <c r="H313" s="1">
        <f>IF(jablka5[[#This Row],[dot sprz]]&lt;15000,0,IF(jablka5[[#This Row],[dot sprz]]&lt;20000,5,10))</f>
        <v>10</v>
      </c>
      <c r="I313" s="1">
        <f>jablka5[[#This Row],[rabat]]*jablka5[[#This Row],[sprzedaż]]/100</f>
        <v>59</v>
      </c>
    </row>
    <row r="314" spans="1:9" x14ac:dyDescent="0.25">
      <c r="A314" s="2">
        <v>44571</v>
      </c>
      <c r="B314" s="1" t="s">
        <v>4</v>
      </c>
      <c r="C314" s="1" t="s">
        <v>16</v>
      </c>
      <c r="D314" s="1" t="s">
        <v>53</v>
      </c>
      <c r="E314">
        <v>734</v>
      </c>
      <c r="F314" s="1">
        <f>VLOOKUP(jablka5[[#This Row],[Nazwa]],cennik[],2,0) * jablka5[[#This Row],[sprzedaż]]</f>
        <v>2495.6</v>
      </c>
      <c r="G314" s="1">
        <f>IF(jablka5[[#This Row],[NIP]]=D313,jablka5[[#This Row],[sprzedaż]]+G313,jablka5[[#This Row],[sprzedaż]])</f>
        <v>734</v>
      </c>
      <c r="H314" s="1">
        <f>IF(jablka5[[#This Row],[dot sprz]]&lt;15000,0,IF(jablka5[[#This Row],[dot sprz]]&lt;20000,5,10))</f>
        <v>0</v>
      </c>
      <c r="I314" s="1">
        <f>jablka5[[#This Row],[rabat]]*jablka5[[#This Row],[sprzedaż]]/100</f>
        <v>0</v>
      </c>
    </row>
    <row r="315" spans="1:9" x14ac:dyDescent="0.25">
      <c r="A315" s="2">
        <v>44574</v>
      </c>
      <c r="B315" s="1" t="s">
        <v>8</v>
      </c>
      <c r="C315" s="1" t="s">
        <v>16</v>
      </c>
      <c r="D315" s="1" t="s">
        <v>53</v>
      </c>
      <c r="E315">
        <v>403</v>
      </c>
      <c r="F315" s="1">
        <f>VLOOKUP(jablka5[[#This Row],[Nazwa]],cennik[],2,0) * jablka5[[#This Row],[sprzedaż]]</f>
        <v>1410.5</v>
      </c>
      <c r="G315" s="1">
        <f>IF(jablka5[[#This Row],[NIP]]=D314,jablka5[[#This Row],[sprzedaż]]+G314,jablka5[[#This Row],[sprzedaż]])</f>
        <v>1137</v>
      </c>
      <c r="H315" s="1">
        <f>IF(jablka5[[#This Row],[dot sprz]]&lt;15000,0,IF(jablka5[[#This Row],[dot sprz]]&lt;20000,5,10))</f>
        <v>0</v>
      </c>
      <c r="I315" s="1">
        <f>jablka5[[#This Row],[rabat]]*jablka5[[#This Row],[sprzedaż]]/100</f>
        <v>0</v>
      </c>
    </row>
    <row r="316" spans="1:9" x14ac:dyDescent="0.25">
      <c r="A316" s="2">
        <v>44575</v>
      </c>
      <c r="B316" s="1" t="s">
        <v>15</v>
      </c>
      <c r="C316" s="1" t="s">
        <v>16</v>
      </c>
      <c r="D316" s="1" t="s">
        <v>53</v>
      </c>
      <c r="E316">
        <v>408</v>
      </c>
      <c r="F316" s="1">
        <f>VLOOKUP(jablka5[[#This Row],[Nazwa]],cennik[],2,0) * jablka5[[#This Row],[sprzedaż]]</f>
        <v>979.19999999999993</v>
      </c>
      <c r="G316" s="1">
        <f>IF(jablka5[[#This Row],[NIP]]=D315,jablka5[[#This Row],[sprzedaż]]+G315,jablka5[[#This Row],[sprzedaż]])</f>
        <v>1545</v>
      </c>
      <c r="H316" s="1">
        <f>IF(jablka5[[#This Row],[dot sprz]]&lt;15000,0,IF(jablka5[[#This Row],[dot sprz]]&lt;20000,5,10))</f>
        <v>0</v>
      </c>
      <c r="I316" s="1">
        <f>jablka5[[#This Row],[rabat]]*jablka5[[#This Row],[sprzedaż]]/100</f>
        <v>0</v>
      </c>
    </row>
    <row r="317" spans="1:9" x14ac:dyDescent="0.25">
      <c r="A317" s="2">
        <v>44592</v>
      </c>
      <c r="B317" s="1" t="s">
        <v>0</v>
      </c>
      <c r="C317" s="1" t="s">
        <v>16</v>
      </c>
      <c r="D317" s="1" t="s">
        <v>53</v>
      </c>
      <c r="E317">
        <v>45</v>
      </c>
      <c r="F317" s="1">
        <f>VLOOKUP(jablka5[[#This Row],[Nazwa]],cennik[],2,0) * jablka5[[#This Row],[sprzedaż]]</f>
        <v>130.5</v>
      </c>
      <c r="G317" s="1">
        <f>IF(jablka5[[#This Row],[NIP]]=D316,jablka5[[#This Row],[sprzedaż]]+G316,jablka5[[#This Row],[sprzedaż]])</f>
        <v>1590</v>
      </c>
      <c r="H317" s="1">
        <f>IF(jablka5[[#This Row],[dot sprz]]&lt;15000,0,IF(jablka5[[#This Row],[dot sprz]]&lt;20000,5,10))</f>
        <v>0</v>
      </c>
      <c r="I317" s="1">
        <f>jablka5[[#This Row],[rabat]]*jablka5[[#This Row],[sprzedaż]]/100</f>
        <v>0</v>
      </c>
    </row>
    <row r="318" spans="1:9" x14ac:dyDescent="0.25">
      <c r="A318" s="2">
        <v>44600</v>
      </c>
      <c r="B318" s="1" t="s">
        <v>5</v>
      </c>
      <c r="C318" s="1" t="s">
        <v>16</v>
      </c>
      <c r="D318" s="1" t="s">
        <v>53</v>
      </c>
      <c r="E318">
        <v>340</v>
      </c>
      <c r="F318" s="1">
        <f>VLOOKUP(jablka5[[#This Row],[Nazwa]],cennik[],2,0) * jablka5[[#This Row],[sprzedaż]]</f>
        <v>1156</v>
      </c>
      <c r="G318" s="1">
        <f>IF(jablka5[[#This Row],[NIP]]=D317,jablka5[[#This Row],[sprzedaż]]+G317,jablka5[[#This Row],[sprzedaż]])</f>
        <v>1930</v>
      </c>
      <c r="H318" s="1">
        <f>IF(jablka5[[#This Row],[dot sprz]]&lt;15000,0,IF(jablka5[[#This Row],[dot sprz]]&lt;20000,5,10))</f>
        <v>0</v>
      </c>
      <c r="I318" s="1">
        <f>jablka5[[#This Row],[rabat]]*jablka5[[#This Row],[sprzedaż]]/100</f>
        <v>0</v>
      </c>
    </row>
    <row r="319" spans="1:9" x14ac:dyDescent="0.25">
      <c r="A319" s="2">
        <v>44602</v>
      </c>
      <c r="B319" s="1" t="s">
        <v>4</v>
      </c>
      <c r="C319" s="1" t="s">
        <v>16</v>
      </c>
      <c r="D319" s="1" t="s">
        <v>53</v>
      </c>
      <c r="E319">
        <v>498</v>
      </c>
      <c r="F319" s="1">
        <f>VLOOKUP(jablka5[[#This Row],[Nazwa]],cennik[],2,0) * jablka5[[#This Row],[sprzedaż]]</f>
        <v>1693.2</v>
      </c>
      <c r="G319" s="1">
        <f>IF(jablka5[[#This Row],[NIP]]=D318,jablka5[[#This Row],[sprzedaż]]+G318,jablka5[[#This Row],[sprzedaż]])</f>
        <v>2428</v>
      </c>
      <c r="H319" s="1">
        <f>IF(jablka5[[#This Row],[dot sprz]]&lt;15000,0,IF(jablka5[[#This Row],[dot sprz]]&lt;20000,5,10))</f>
        <v>0</v>
      </c>
      <c r="I319" s="1">
        <f>jablka5[[#This Row],[rabat]]*jablka5[[#This Row],[sprzedaż]]/100</f>
        <v>0</v>
      </c>
    </row>
    <row r="320" spans="1:9" x14ac:dyDescent="0.25">
      <c r="A320" s="2">
        <v>44613</v>
      </c>
      <c r="B320" s="1" t="s">
        <v>5</v>
      </c>
      <c r="C320" s="1" t="s">
        <v>16</v>
      </c>
      <c r="D320" s="1" t="s">
        <v>53</v>
      </c>
      <c r="E320">
        <v>372</v>
      </c>
      <c r="F320" s="1">
        <f>VLOOKUP(jablka5[[#This Row],[Nazwa]],cennik[],2,0) * jablka5[[#This Row],[sprzedaż]]</f>
        <v>1264.8</v>
      </c>
      <c r="G320" s="1">
        <f>IF(jablka5[[#This Row],[NIP]]=D319,jablka5[[#This Row],[sprzedaż]]+G319,jablka5[[#This Row],[sprzedaż]])</f>
        <v>2800</v>
      </c>
      <c r="H320" s="1">
        <f>IF(jablka5[[#This Row],[dot sprz]]&lt;15000,0,IF(jablka5[[#This Row],[dot sprz]]&lt;20000,5,10))</f>
        <v>0</v>
      </c>
      <c r="I320" s="1">
        <f>jablka5[[#This Row],[rabat]]*jablka5[[#This Row],[sprzedaż]]/100</f>
        <v>0</v>
      </c>
    </row>
    <row r="321" spans="1:9" x14ac:dyDescent="0.25">
      <c r="A321" s="2">
        <v>44613</v>
      </c>
      <c r="B321" s="1" t="s">
        <v>7</v>
      </c>
      <c r="C321" s="1" t="s">
        <v>16</v>
      </c>
      <c r="D321" s="1" t="s">
        <v>53</v>
      </c>
      <c r="E321">
        <v>692</v>
      </c>
      <c r="F321" s="1">
        <f>VLOOKUP(jablka5[[#This Row],[Nazwa]],cennik[],2,0) * jablka5[[#This Row],[sprzedaż]]</f>
        <v>2352.7999999999997</v>
      </c>
      <c r="G321" s="1">
        <f>IF(jablka5[[#This Row],[NIP]]=D320,jablka5[[#This Row],[sprzedaż]]+G320,jablka5[[#This Row],[sprzedaż]])</f>
        <v>3492</v>
      </c>
      <c r="H321" s="1">
        <f>IF(jablka5[[#This Row],[dot sprz]]&lt;15000,0,IF(jablka5[[#This Row],[dot sprz]]&lt;20000,5,10))</f>
        <v>0</v>
      </c>
      <c r="I321" s="1">
        <f>jablka5[[#This Row],[rabat]]*jablka5[[#This Row],[sprzedaż]]/100</f>
        <v>0</v>
      </c>
    </row>
    <row r="322" spans="1:9" x14ac:dyDescent="0.25">
      <c r="A322" s="2">
        <v>44615</v>
      </c>
      <c r="B322" s="1" t="s">
        <v>7</v>
      </c>
      <c r="C322" s="1" t="s">
        <v>16</v>
      </c>
      <c r="D322" s="1" t="s">
        <v>53</v>
      </c>
      <c r="E322">
        <v>576</v>
      </c>
      <c r="F322" s="1">
        <f>VLOOKUP(jablka5[[#This Row],[Nazwa]],cennik[],2,0) * jablka5[[#This Row],[sprzedaż]]</f>
        <v>1958.3999999999999</v>
      </c>
      <c r="G322" s="1">
        <f>IF(jablka5[[#This Row],[NIP]]=D321,jablka5[[#This Row],[sprzedaż]]+G321,jablka5[[#This Row],[sprzedaż]])</f>
        <v>4068</v>
      </c>
      <c r="H322" s="1">
        <f>IF(jablka5[[#This Row],[dot sprz]]&lt;15000,0,IF(jablka5[[#This Row],[dot sprz]]&lt;20000,5,10))</f>
        <v>0</v>
      </c>
      <c r="I322" s="1">
        <f>jablka5[[#This Row],[rabat]]*jablka5[[#This Row],[sprzedaż]]/100</f>
        <v>0</v>
      </c>
    </row>
    <row r="323" spans="1:9" x14ac:dyDescent="0.25">
      <c r="A323" s="2">
        <v>44620</v>
      </c>
      <c r="B323" s="1" t="s">
        <v>5</v>
      </c>
      <c r="C323" s="1" t="s">
        <v>16</v>
      </c>
      <c r="D323" s="1" t="s">
        <v>53</v>
      </c>
      <c r="E323">
        <v>36</v>
      </c>
      <c r="F323" s="1">
        <f>VLOOKUP(jablka5[[#This Row],[Nazwa]],cennik[],2,0) * jablka5[[#This Row],[sprzedaż]]</f>
        <v>122.39999999999999</v>
      </c>
      <c r="G323" s="1">
        <f>IF(jablka5[[#This Row],[NIP]]=D322,jablka5[[#This Row],[sprzedaż]]+G322,jablka5[[#This Row],[sprzedaż]])</f>
        <v>4104</v>
      </c>
      <c r="H323" s="1">
        <f>IF(jablka5[[#This Row],[dot sprz]]&lt;15000,0,IF(jablka5[[#This Row],[dot sprz]]&lt;20000,5,10))</f>
        <v>0</v>
      </c>
      <c r="I323" s="1">
        <f>jablka5[[#This Row],[rabat]]*jablka5[[#This Row],[sprzedaż]]/100</f>
        <v>0</v>
      </c>
    </row>
    <row r="324" spans="1:9" x14ac:dyDescent="0.25">
      <c r="A324" s="2">
        <v>44621</v>
      </c>
      <c r="B324" s="1" t="s">
        <v>10</v>
      </c>
      <c r="C324" s="1" t="s">
        <v>16</v>
      </c>
      <c r="D324" s="1" t="s">
        <v>53</v>
      </c>
      <c r="E324">
        <v>302</v>
      </c>
      <c r="F324" s="1">
        <f>VLOOKUP(jablka5[[#This Row],[Nazwa]],cennik[],2,0) * jablka5[[#This Row],[sprzedaż]]</f>
        <v>1026.8</v>
      </c>
      <c r="G324" s="1">
        <f>IF(jablka5[[#This Row],[NIP]]=D323,jablka5[[#This Row],[sprzedaż]]+G323,jablka5[[#This Row],[sprzedaż]])</f>
        <v>4406</v>
      </c>
      <c r="H324" s="1">
        <f>IF(jablka5[[#This Row],[dot sprz]]&lt;15000,0,IF(jablka5[[#This Row],[dot sprz]]&lt;20000,5,10))</f>
        <v>0</v>
      </c>
      <c r="I324" s="1">
        <f>jablka5[[#This Row],[rabat]]*jablka5[[#This Row],[sprzedaż]]/100</f>
        <v>0</v>
      </c>
    </row>
    <row r="325" spans="1:9" x14ac:dyDescent="0.25">
      <c r="A325" s="2">
        <v>44623</v>
      </c>
      <c r="B325" s="1" t="s">
        <v>2</v>
      </c>
      <c r="C325" s="1" t="s">
        <v>16</v>
      </c>
      <c r="D325" s="1" t="s">
        <v>53</v>
      </c>
      <c r="E325">
        <v>393</v>
      </c>
      <c r="F325" s="1">
        <f>VLOOKUP(jablka5[[#This Row],[Nazwa]],cennik[],2,0) * jablka5[[#This Row],[sprzedaż]]</f>
        <v>1257.6000000000001</v>
      </c>
      <c r="G325" s="1">
        <f>IF(jablka5[[#This Row],[NIP]]=D324,jablka5[[#This Row],[sprzedaż]]+G324,jablka5[[#This Row],[sprzedaż]])</f>
        <v>4799</v>
      </c>
      <c r="H325" s="1">
        <f>IF(jablka5[[#This Row],[dot sprz]]&lt;15000,0,IF(jablka5[[#This Row],[dot sprz]]&lt;20000,5,10))</f>
        <v>0</v>
      </c>
      <c r="I325" s="1">
        <f>jablka5[[#This Row],[rabat]]*jablka5[[#This Row],[sprzedaż]]/100</f>
        <v>0</v>
      </c>
    </row>
    <row r="326" spans="1:9" x14ac:dyDescent="0.25">
      <c r="A326" s="2">
        <v>44629</v>
      </c>
      <c r="B326" s="1" t="s">
        <v>6</v>
      </c>
      <c r="C326" s="1" t="s">
        <v>16</v>
      </c>
      <c r="D326" s="1" t="s">
        <v>53</v>
      </c>
      <c r="E326">
        <v>249</v>
      </c>
      <c r="F326" s="1">
        <f>VLOOKUP(jablka5[[#This Row],[Nazwa]],cennik[],2,0) * jablka5[[#This Row],[sprzedaż]]</f>
        <v>846.6</v>
      </c>
      <c r="G326" s="1">
        <f>IF(jablka5[[#This Row],[NIP]]=D325,jablka5[[#This Row],[sprzedaż]]+G325,jablka5[[#This Row],[sprzedaż]])</f>
        <v>5048</v>
      </c>
      <c r="H326" s="1">
        <f>IF(jablka5[[#This Row],[dot sprz]]&lt;15000,0,IF(jablka5[[#This Row],[dot sprz]]&lt;20000,5,10))</f>
        <v>0</v>
      </c>
      <c r="I326" s="1">
        <f>jablka5[[#This Row],[rabat]]*jablka5[[#This Row],[sprzedaż]]/100</f>
        <v>0</v>
      </c>
    </row>
    <row r="327" spans="1:9" x14ac:dyDescent="0.25">
      <c r="A327" s="2">
        <v>44652</v>
      </c>
      <c r="B327" s="1" t="s">
        <v>0</v>
      </c>
      <c r="C327" s="1" t="s">
        <v>16</v>
      </c>
      <c r="D327" s="1" t="s">
        <v>53</v>
      </c>
      <c r="E327">
        <v>17</v>
      </c>
      <c r="F327" s="1">
        <f>VLOOKUP(jablka5[[#This Row],[Nazwa]],cennik[],2,0) * jablka5[[#This Row],[sprzedaż]]</f>
        <v>49.3</v>
      </c>
      <c r="G327" s="1">
        <f>IF(jablka5[[#This Row],[NIP]]=D326,jablka5[[#This Row],[sprzedaż]]+G326,jablka5[[#This Row],[sprzedaż]])</f>
        <v>5065</v>
      </c>
      <c r="H327" s="1">
        <f>IF(jablka5[[#This Row],[dot sprz]]&lt;15000,0,IF(jablka5[[#This Row],[dot sprz]]&lt;20000,5,10))</f>
        <v>0</v>
      </c>
      <c r="I327" s="1">
        <f>jablka5[[#This Row],[rabat]]*jablka5[[#This Row],[sprzedaż]]/100</f>
        <v>0</v>
      </c>
    </row>
    <row r="328" spans="1:9" x14ac:dyDescent="0.25">
      <c r="A328" s="2">
        <v>44653</v>
      </c>
      <c r="B328" s="1" t="s">
        <v>5</v>
      </c>
      <c r="C328" s="1" t="s">
        <v>16</v>
      </c>
      <c r="D328" s="1" t="s">
        <v>53</v>
      </c>
      <c r="E328">
        <v>161</v>
      </c>
      <c r="F328" s="1">
        <f>VLOOKUP(jablka5[[#This Row],[Nazwa]],cennik[],2,0) * jablka5[[#This Row],[sprzedaż]]</f>
        <v>547.4</v>
      </c>
      <c r="G328" s="1">
        <f>IF(jablka5[[#This Row],[NIP]]=D327,jablka5[[#This Row],[sprzedaż]]+G327,jablka5[[#This Row],[sprzedaż]])</f>
        <v>5226</v>
      </c>
      <c r="H328" s="1">
        <f>IF(jablka5[[#This Row],[dot sprz]]&lt;15000,0,IF(jablka5[[#This Row],[dot sprz]]&lt;20000,5,10))</f>
        <v>0</v>
      </c>
      <c r="I328" s="1">
        <f>jablka5[[#This Row],[rabat]]*jablka5[[#This Row],[sprzedaż]]/100</f>
        <v>0</v>
      </c>
    </row>
    <row r="329" spans="1:9" x14ac:dyDescent="0.25">
      <c r="A329" s="2">
        <v>44655</v>
      </c>
      <c r="B329" s="1" t="s">
        <v>10</v>
      </c>
      <c r="C329" s="1" t="s">
        <v>16</v>
      </c>
      <c r="D329" s="1" t="s">
        <v>53</v>
      </c>
      <c r="E329">
        <v>56</v>
      </c>
      <c r="F329" s="1">
        <f>VLOOKUP(jablka5[[#This Row],[Nazwa]],cennik[],2,0) * jablka5[[#This Row],[sprzedaż]]</f>
        <v>190.4</v>
      </c>
      <c r="G329" s="1">
        <f>IF(jablka5[[#This Row],[NIP]]=D328,jablka5[[#This Row],[sprzedaż]]+G328,jablka5[[#This Row],[sprzedaż]])</f>
        <v>5282</v>
      </c>
      <c r="H329" s="1">
        <f>IF(jablka5[[#This Row],[dot sprz]]&lt;15000,0,IF(jablka5[[#This Row],[dot sprz]]&lt;20000,5,10))</f>
        <v>0</v>
      </c>
      <c r="I329" s="1">
        <f>jablka5[[#This Row],[rabat]]*jablka5[[#This Row],[sprzedaż]]/100</f>
        <v>0</v>
      </c>
    </row>
    <row r="330" spans="1:9" x14ac:dyDescent="0.25">
      <c r="A330" s="2">
        <v>44657</v>
      </c>
      <c r="B330" s="1" t="s">
        <v>8</v>
      </c>
      <c r="C330" s="1" t="s">
        <v>16</v>
      </c>
      <c r="D330" s="1" t="s">
        <v>53</v>
      </c>
      <c r="E330">
        <v>571</v>
      </c>
      <c r="F330" s="1">
        <f>VLOOKUP(jablka5[[#This Row],[Nazwa]],cennik[],2,0) * jablka5[[#This Row],[sprzedaż]]</f>
        <v>1998.5</v>
      </c>
      <c r="G330" s="1">
        <f>IF(jablka5[[#This Row],[NIP]]=D329,jablka5[[#This Row],[sprzedaż]]+G329,jablka5[[#This Row],[sprzedaż]])</f>
        <v>5853</v>
      </c>
      <c r="H330" s="1">
        <f>IF(jablka5[[#This Row],[dot sprz]]&lt;15000,0,IF(jablka5[[#This Row],[dot sprz]]&lt;20000,5,10))</f>
        <v>0</v>
      </c>
      <c r="I330" s="1">
        <f>jablka5[[#This Row],[rabat]]*jablka5[[#This Row],[sprzedaż]]/100</f>
        <v>0</v>
      </c>
    </row>
    <row r="331" spans="1:9" x14ac:dyDescent="0.25">
      <c r="A331" s="2">
        <v>44659</v>
      </c>
      <c r="B331" s="1" t="s">
        <v>15</v>
      </c>
      <c r="C331" s="1" t="s">
        <v>16</v>
      </c>
      <c r="D331" s="1" t="s">
        <v>53</v>
      </c>
      <c r="E331">
        <v>176</v>
      </c>
      <c r="F331" s="1">
        <f>VLOOKUP(jablka5[[#This Row],[Nazwa]],cennik[],2,0) * jablka5[[#This Row],[sprzedaż]]</f>
        <v>422.4</v>
      </c>
      <c r="G331" s="1">
        <f>IF(jablka5[[#This Row],[NIP]]=D330,jablka5[[#This Row],[sprzedaż]]+G330,jablka5[[#This Row],[sprzedaż]])</f>
        <v>6029</v>
      </c>
      <c r="H331" s="1">
        <f>IF(jablka5[[#This Row],[dot sprz]]&lt;15000,0,IF(jablka5[[#This Row],[dot sprz]]&lt;20000,5,10))</f>
        <v>0</v>
      </c>
      <c r="I331" s="1">
        <f>jablka5[[#This Row],[rabat]]*jablka5[[#This Row],[sprzedaż]]/100</f>
        <v>0</v>
      </c>
    </row>
    <row r="332" spans="1:9" x14ac:dyDescent="0.25">
      <c r="A332" s="2">
        <v>44663</v>
      </c>
      <c r="B332" s="1" t="s">
        <v>8</v>
      </c>
      <c r="C332" s="1" t="s">
        <v>16</v>
      </c>
      <c r="D332" s="1" t="s">
        <v>53</v>
      </c>
      <c r="E332">
        <v>638</v>
      </c>
      <c r="F332" s="1">
        <f>VLOOKUP(jablka5[[#This Row],[Nazwa]],cennik[],2,0) * jablka5[[#This Row],[sprzedaż]]</f>
        <v>2233</v>
      </c>
      <c r="G332" s="1">
        <f>IF(jablka5[[#This Row],[NIP]]=D331,jablka5[[#This Row],[sprzedaż]]+G331,jablka5[[#This Row],[sprzedaż]])</f>
        <v>6667</v>
      </c>
      <c r="H332" s="1">
        <f>IF(jablka5[[#This Row],[dot sprz]]&lt;15000,0,IF(jablka5[[#This Row],[dot sprz]]&lt;20000,5,10))</f>
        <v>0</v>
      </c>
      <c r="I332" s="1">
        <f>jablka5[[#This Row],[rabat]]*jablka5[[#This Row],[sprzedaż]]/100</f>
        <v>0</v>
      </c>
    </row>
    <row r="333" spans="1:9" x14ac:dyDescent="0.25">
      <c r="A333" s="2">
        <v>44665</v>
      </c>
      <c r="B333" s="1" t="s">
        <v>8</v>
      </c>
      <c r="C333" s="1" t="s">
        <v>16</v>
      </c>
      <c r="D333" s="1" t="s">
        <v>53</v>
      </c>
      <c r="E333">
        <v>621</v>
      </c>
      <c r="F333" s="1">
        <f>VLOOKUP(jablka5[[#This Row],[Nazwa]],cennik[],2,0) * jablka5[[#This Row],[sprzedaż]]</f>
        <v>2173.5</v>
      </c>
      <c r="G333" s="1">
        <f>IF(jablka5[[#This Row],[NIP]]=D332,jablka5[[#This Row],[sprzedaż]]+G332,jablka5[[#This Row],[sprzedaż]])</f>
        <v>7288</v>
      </c>
      <c r="H333" s="1">
        <f>IF(jablka5[[#This Row],[dot sprz]]&lt;15000,0,IF(jablka5[[#This Row],[dot sprz]]&lt;20000,5,10))</f>
        <v>0</v>
      </c>
      <c r="I333" s="1">
        <f>jablka5[[#This Row],[rabat]]*jablka5[[#This Row],[sprzedaż]]/100</f>
        <v>0</v>
      </c>
    </row>
    <row r="334" spans="1:9" x14ac:dyDescent="0.25">
      <c r="A334" s="2">
        <v>44666</v>
      </c>
      <c r="B334" s="1" t="s">
        <v>5</v>
      </c>
      <c r="C334" s="1" t="s">
        <v>16</v>
      </c>
      <c r="D334" s="1" t="s">
        <v>53</v>
      </c>
      <c r="E334">
        <v>279</v>
      </c>
      <c r="F334" s="1">
        <f>VLOOKUP(jablka5[[#This Row],[Nazwa]],cennik[],2,0) * jablka5[[#This Row],[sprzedaż]]</f>
        <v>948.6</v>
      </c>
      <c r="G334" s="1">
        <f>IF(jablka5[[#This Row],[NIP]]=D333,jablka5[[#This Row],[sprzedaż]]+G333,jablka5[[#This Row],[sprzedaż]])</f>
        <v>7567</v>
      </c>
      <c r="H334" s="1">
        <f>IF(jablka5[[#This Row],[dot sprz]]&lt;15000,0,IF(jablka5[[#This Row],[dot sprz]]&lt;20000,5,10))</f>
        <v>0</v>
      </c>
      <c r="I334" s="1">
        <f>jablka5[[#This Row],[rabat]]*jablka5[[#This Row],[sprzedaż]]/100</f>
        <v>0</v>
      </c>
    </row>
    <row r="335" spans="1:9" x14ac:dyDescent="0.25">
      <c r="A335" s="2">
        <v>44686</v>
      </c>
      <c r="B335" s="1" t="s">
        <v>7</v>
      </c>
      <c r="C335" s="1" t="s">
        <v>16</v>
      </c>
      <c r="D335" s="1" t="s">
        <v>53</v>
      </c>
      <c r="E335">
        <v>623</v>
      </c>
      <c r="F335" s="1">
        <f>VLOOKUP(jablka5[[#This Row],[Nazwa]],cennik[],2,0) * jablka5[[#This Row],[sprzedaż]]</f>
        <v>2118.1999999999998</v>
      </c>
      <c r="G335" s="1">
        <f>IF(jablka5[[#This Row],[NIP]]=D334,jablka5[[#This Row],[sprzedaż]]+G334,jablka5[[#This Row],[sprzedaż]])</f>
        <v>8190</v>
      </c>
      <c r="H335" s="1">
        <f>IF(jablka5[[#This Row],[dot sprz]]&lt;15000,0,IF(jablka5[[#This Row],[dot sprz]]&lt;20000,5,10))</f>
        <v>0</v>
      </c>
      <c r="I335" s="1">
        <f>jablka5[[#This Row],[rabat]]*jablka5[[#This Row],[sprzedaż]]/100</f>
        <v>0</v>
      </c>
    </row>
    <row r="336" spans="1:9" x14ac:dyDescent="0.25">
      <c r="A336" s="2">
        <v>44687</v>
      </c>
      <c r="B336" s="1" t="s">
        <v>15</v>
      </c>
      <c r="C336" s="1" t="s">
        <v>16</v>
      </c>
      <c r="D336" s="1" t="s">
        <v>53</v>
      </c>
      <c r="E336">
        <v>233</v>
      </c>
      <c r="F336" s="1">
        <f>VLOOKUP(jablka5[[#This Row],[Nazwa]],cennik[],2,0) * jablka5[[#This Row],[sprzedaż]]</f>
        <v>559.19999999999993</v>
      </c>
      <c r="G336" s="1">
        <f>IF(jablka5[[#This Row],[NIP]]=D335,jablka5[[#This Row],[sprzedaż]]+G335,jablka5[[#This Row],[sprzedaż]])</f>
        <v>8423</v>
      </c>
      <c r="H336" s="1">
        <f>IF(jablka5[[#This Row],[dot sprz]]&lt;15000,0,IF(jablka5[[#This Row],[dot sprz]]&lt;20000,5,10))</f>
        <v>0</v>
      </c>
      <c r="I336" s="1">
        <f>jablka5[[#This Row],[rabat]]*jablka5[[#This Row],[sprzedaż]]/100</f>
        <v>0</v>
      </c>
    </row>
    <row r="337" spans="1:9" x14ac:dyDescent="0.25">
      <c r="A337" s="2">
        <v>44697</v>
      </c>
      <c r="B337" s="1" t="s">
        <v>2</v>
      </c>
      <c r="C337" s="1" t="s">
        <v>16</v>
      </c>
      <c r="D337" s="1" t="s">
        <v>53</v>
      </c>
      <c r="E337">
        <v>193</v>
      </c>
      <c r="F337" s="1">
        <f>VLOOKUP(jablka5[[#This Row],[Nazwa]],cennik[],2,0) * jablka5[[#This Row],[sprzedaż]]</f>
        <v>617.6</v>
      </c>
      <c r="G337" s="1">
        <f>IF(jablka5[[#This Row],[NIP]]=D336,jablka5[[#This Row],[sprzedaż]]+G336,jablka5[[#This Row],[sprzedaż]])</f>
        <v>8616</v>
      </c>
      <c r="H337" s="1">
        <f>IF(jablka5[[#This Row],[dot sprz]]&lt;15000,0,IF(jablka5[[#This Row],[dot sprz]]&lt;20000,5,10))</f>
        <v>0</v>
      </c>
      <c r="I337" s="1">
        <f>jablka5[[#This Row],[rabat]]*jablka5[[#This Row],[sprzedaż]]/100</f>
        <v>0</v>
      </c>
    </row>
    <row r="338" spans="1:9" x14ac:dyDescent="0.25">
      <c r="A338" s="2">
        <v>44714</v>
      </c>
      <c r="B338" s="1" t="s">
        <v>14</v>
      </c>
      <c r="C338" s="1" t="s">
        <v>67</v>
      </c>
      <c r="D338" s="1" t="s">
        <v>53</v>
      </c>
      <c r="E338">
        <v>453</v>
      </c>
      <c r="F338" s="1">
        <f>VLOOKUP(jablka5[[#This Row],[Nazwa]],cennik[],2,0) * jablka5[[#This Row],[sprzedaż]]</f>
        <v>1585.5</v>
      </c>
      <c r="G338" s="1">
        <f>IF(jablka5[[#This Row],[NIP]]=D337,jablka5[[#This Row],[sprzedaż]]+G337,jablka5[[#This Row],[sprzedaż]])</f>
        <v>9069</v>
      </c>
      <c r="H338" s="1">
        <f>IF(jablka5[[#This Row],[dot sprz]]&lt;15000,0,IF(jablka5[[#This Row],[dot sprz]]&lt;20000,5,10))</f>
        <v>0</v>
      </c>
      <c r="I338" s="1">
        <f>jablka5[[#This Row],[rabat]]*jablka5[[#This Row],[sprzedaż]]/100</f>
        <v>0</v>
      </c>
    </row>
    <row r="339" spans="1:9" x14ac:dyDescent="0.25">
      <c r="A339" s="2">
        <v>44725</v>
      </c>
      <c r="B339" s="1" t="s">
        <v>12</v>
      </c>
      <c r="C339" s="1" t="s">
        <v>68</v>
      </c>
      <c r="D339" s="1" t="s">
        <v>53</v>
      </c>
      <c r="E339">
        <v>366</v>
      </c>
      <c r="F339" s="1">
        <f>VLOOKUP(jablka5[[#This Row],[Nazwa]],cennik[],2,0) * jablka5[[#This Row],[sprzedaż]]</f>
        <v>988.2</v>
      </c>
      <c r="G339" s="1">
        <f>IF(jablka5[[#This Row],[NIP]]=D338,jablka5[[#This Row],[sprzedaż]]+G338,jablka5[[#This Row],[sprzedaż]])</f>
        <v>9435</v>
      </c>
      <c r="H339" s="1">
        <f>IF(jablka5[[#This Row],[dot sprz]]&lt;15000,0,IF(jablka5[[#This Row],[dot sprz]]&lt;20000,5,10))</f>
        <v>0</v>
      </c>
      <c r="I339" s="1">
        <f>jablka5[[#This Row],[rabat]]*jablka5[[#This Row],[sprzedaż]]/100</f>
        <v>0</v>
      </c>
    </row>
    <row r="340" spans="1:9" x14ac:dyDescent="0.25">
      <c r="A340" s="2">
        <v>44736</v>
      </c>
      <c r="B340" s="1" t="s">
        <v>12</v>
      </c>
      <c r="C340" s="1" t="s">
        <v>68</v>
      </c>
      <c r="D340" s="1" t="s">
        <v>53</v>
      </c>
      <c r="E340">
        <v>264</v>
      </c>
      <c r="F340" s="1">
        <f>VLOOKUP(jablka5[[#This Row],[Nazwa]],cennik[],2,0) * jablka5[[#This Row],[sprzedaż]]</f>
        <v>712.80000000000007</v>
      </c>
      <c r="G340" s="1">
        <f>IF(jablka5[[#This Row],[NIP]]=D339,jablka5[[#This Row],[sprzedaż]]+G339,jablka5[[#This Row],[sprzedaż]])</f>
        <v>9699</v>
      </c>
      <c r="H340" s="1">
        <f>IF(jablka5[[#This Row],[dot sprz]]&lt;15000,0,IF(jablka5[[#This Row],[dot sprz]]&lt;20000,5,10))</f>
        <v>0</v>
      </c>
      <c r="I340" s="1">
        <f>jablka5[[#This Row],[rabat]]*jablka5[[#This Row],[sprzedaż]]/100</f>
        <v>0</v>
      </c>
    </row>
    <row r="341" spans="1:9" x14ac:dyDescent="0.25">
      <c r="A341" s="2">
        <v>44737</v>
      </c>
      <c r="B341" s="1" t="s">
        <v>13</v>
      </c>
      <c r="C341" s="1" t="s">
        <v>68</v>
      </c>
      <c r="D341" s="1" t="s">
        <v>53</v>
      </c>
      <c r="E341">
        <v>452</v>
      </c>
      <c r="F341" s="1">
        <f>VLOOKUP(jablka5[[#This Row],[Nazwa]],cennik[],2,0) * jablka5[[#This Row],[sprzedaż]]</f>
        <v>1446.4</v>
      </c>
      <c r="G341" s="1">
        <f>IF(jablka5[[#This Row],[NIP]]=D340,jablka5[[#This Row],[sprzedaż]]+G340,jablka5[[#This Row],[sprzedaż]])</f>
        <v>10151</v>
      </c>
      <c r="H341" s="1">
        <f>IF(jablka5[[#This Row],[dot sprz]]&lt;15000,0,IF(jablka5[[#This Row],[dot sprz]]&lt;20000,5,10))</f>
        <v>0</v>
      </c>
      <c r="I341" s="1">
        <f>jablka5[[#This Row],[rabat]]*jablka5[[#This Row],[sprzedaż]]/100</f>
        <v>0</v>
      </c>
    </row>
    <row r="342" spans="1:9" x14ac:dyDescent="0.25">
      <c r="A342" s="2">
        <v>44742</v>
      </c>
      <c r="B342" s="1" t="s">
        <v>12</v>
      </c>
      <c r="C342" s="1" t="s">
        <v>68</v>
      </c>
      <c r="D342" s="1" t="s">
        <v>53</v>
      </c>
      <c r="E342">
        <v>276</v>
      </c>
      <c r="F342" s="1">
        <f>VLOOKUP(jablka5[[#This Row],[Nazwa]],cennik[],2,0) * jablka5[[#This Row],[sprzedaż]]</f>
        <v>745.2</v>
      </c>
      <c r="G342" s="1">
        <f>IF(jablka5[[#This Row],[NIP]]=D341,jablka5[[#This Row],[sprzedaż]]+G341,jablka5[[#This Row],[sprzedaż]])</f>
        <v>10427</v>
      </c>
      <c r="H342" s="1">
        <f>IF(jablka5[[#This Row],[dot sprz]]&lt;15000,0,IF(jablka5[[#This Row],[dot sprz]]&lt;20000,5,10))</f>
        <v>0</v>
      </c>
      <c r="I342" s="1">
        <f>jablka5[[#This Row],[rabat]]*jablka5[[#This Row],[sprzedaż]]/100</f>
        <v>0</v>
      </c>
    </row>
    <row r="343" spans="1:9" x14ac:dyDescent="0.25">
      <c r="A343" s="2">
        <v>44742</v>
      </c>
      <c r="B343" s="1" t="s">
        <v>14</v>
      </c>
      <c r="C343" s="1" t="s">
        <v>67</v>
      </c>
      <c r="D343" s="1" t="s">
        <v>53</v>
      </c>
      <c r="E343">
        <v>126</v>
      </c>
      <c r="F343" s="1">
        <f>VLOOKUP(jablka5[[#This Row],[Nazwa]],cennik[],2,0) * jablka5[[#This Row],[sprzedaż]]</f>
        <v>441</v>
      </c>
      <c r="G343" s="1">
        <f>IF(jablka5[[#This Row],[NIP]]=D342,jablka5[[#This Row],[sprzedaż]]+G342,jablka5[[#This Row],[sprzedaż]])</f>
        <v>10553</v>
      </c>
      <c r="H343" s="1">
        <f>IF(jablka5[[#This Row],[dot sprz]]&lt;15000,0,IF(jablka5[[#This Row],[dot sprz]]&lt;20000,5,10))</f>
        <v>0</v>
      </c>
      <c r="I343" s="1">
        <f>jablka5[[#This Row],[rabat]]*jablka5[[#This Row],[sprzedaż]]/100</f>
        <v>0</v>
      </c>
    </row>
    <row r="344" spans="1:9" x14ac:dyDescent="0.25">
      <c r="A344" s="2">
        <v>44747</v>
      </c>
      <c r="B344" s="1" t="s">
        <v>13</v>
      </c>
      <c r="C344" s="1" t="s">
        <v>68</v>
      </c>
      <c r="D344" s="1" t="s">
        <v>53</v>
      </c>
      <c r="E344">
        <v>374</v>
      </c>
      <c r="F344" s="1">
        <f>VLOOKUP(jablka5[[#This Row],[Nazwa]],cennik[],2,0) * jablka5[[#This Row],[sprzedaż]]</f>
        <v>1196.8</v>
      </c>
      <c r="G344" s="1">
        <f>IF(jablka5[[#This Row],[NIP]]=D343,jablka5[[#This Row],[sprzedaż]]+G343,jablka5[[#This Row],[sprzedaż]])</f>
        <v>10927</v>
      </c>
      <c r="H344" s="1">
        <f>IF(jablka5[[#This Row],[dot sprz]]&lt;15000,0,IF(jablka5[[#This Row],[dot sprz]]&lt;20000,5,10))</f>
        <v>0</v>
      </c>
      <c r="I344" s="1">
        <f>jablka5[[#This Row],[rabat]]*jablka5[[#This Row],[sprzedaż]]/100</f>
        <v>0</v>
      </c>
    </row>
    <row r="345" spans="1:9" x14ac:dyDescent="0.25">
      <c r="A345" s="2">
        <v>44769</v>
      </c>
      <c r="B345" s="1" t="s">
        <v>14</v>
      </c>
      <c r="C345" s="1" t="s">
        <v>67</v>
      </c>
      <c r="D345" s="1" t="s">
        <v>53</v>
      </c>
      <c r="E345">
        <v>155</v>
      </c>
      <c r="F345" s="1">
        <f>VLOOKUP(jablka5[[#This Row],[Nazwa]],cennik[],2,0) * jablka5[[#This Row],[sprzedaż]]</f>
        <v>542.5</v>
      </c>
      <c r="G345" s="1">
        <f>IF(jablka5[[#This Row],[NIP]]=D344,jablka5[[#This Row],[sprzedaż]]+G344,jablka5[[#This Row],[sprzedaż]])</f>
        <v>11082</v>
      </c>
      <c r="H345" s="1">
        <f>IF(jablka5[[#This Row],[dot sprz]]&lt;15000,0,IF(jablka5[[#This Row],[dot sprz]]&lt;20000,5,10))</f>
        <v>0</v>
      </c>
      <c r="I345" s="1">
        <f>jablka5[[#This Row],[rabat]]*jablka5[[#This Row],[sprzedaż]]/100</f>
        <v>0</v>
      </c>
    </row>
    <row r="346" spans="1:9" x14ac:dyDescent="0.25">
      <c r="A346" s="2">
        <v>44771</v>
      </c>
      <c r="B346" s="1" t="s">
        <v>12</v>
      </c>
      <c r="C346" s="1" t="s">
        <v>68</v>
      </c>
      <c r="D346" s="1" t="s">
        <v>53</v>
      </c>
      <c r="E346">
        <v>177</v>
      </c>
      <c r="F346" s="1">
        <f>VLOOKUP(jablka5[[#This Row],[Nazwa]],cennik[],2,0) * jablka5[[#This Row],[sprzedaż]]</f>
        <v>477.90000000000003</v>
      </c>
      <c r="G346" s="1">
        <f>IF(jablka5[[#This Row],[NIP]]=D345,jablka5[[#This Row],[sprzedaż]]+G345,jablka5[[#This Row],[sprzedaż]])</f>
        <v>11259</v>
      </c>
      <c r="H346" s="1">
        <f>IF(jablka5[[#This Row],[dot sprz]]&lt;15000,0,IF(jablka5[[#This Row],[dot sprz]]&lt;20000,5,10))</f>
        <v>0</v>
      </c>
      <c r="I346" s="1">
        <f>jablka5[[#This Row],[rabat]]*jablka5[[#This Row],[sprzedaż]]/100</f>
        <v>0</v>
      </c>
    </row>
    <row r="347" spans="1:9" x14ac:dyDescent="0.25">
      <c r="A347" s="2">
        <v>44772</v>
      </c>
      <c r="B347" s="1" t="s">
        <v>13</v>
      </c>
      <c r="C347" s="1" t="s">
        <v>68</v>
      </c>
      <c r="D347" s="1" t="s">
        <v>53</v>
      </c>
      <c r="E347">
        <v>346</v>
      </c>
      <c r="F347" s="1">
        <f>VLOOKUP(jablka5[[#This Row],[Nazwa]],cennik[],2,0) * jablka5[[#This Row],[sprzedaż]]</f>
        <v>1107.2</v>
      </c>
      <c r="G347" s="1">
        <f>IF(jablka5[[#This Row],[NIP]]=D346,jablka5[[#This Row],[sprzedaż]]+G346,jablka5[[#This Row],[sprzedaż]])</f>
        <v>11605</v>
      </c>
      <c r="H347" s="1">
        <f>IF(jablka5[[#This Row],[dot sprz]]&lt;15000,0,IF(jablka5[[#This Row],[dot sprz]]&lt;20000,5,10))</f>
        <v>0</v>
      </c>
      <c r="I347" s="1">
        <f>jablka5[[#This Row],[rabat]]*jablka5[[#This Row],[sprzedaż]]/100</f>
        <v>0</v>
      </c>
    </row>
    <row r="348" spans="1:9" x14ac:dyDescent="0.25">
      <c r="A348" s="2">
        <v>44795</v>
      </c>
      <c r="B348" s="1" t="s">
        <v>12</v>
      </c>
      <c r="C348" s="1" t="s">
        <v>68</v>
      </c>
      <c r="D348" s="1" t="s">
        <v>53</v>
      </c>
      <c r="E348">
        <v>249</v>
      </c>
      <c r="F348" s="1">
        <f>VLOOKUP(jablka5[[#This Row],[Nazwa]],cennik[],2,0) * jablka5[[#This Row],[sprzedaż]]</f>
        <v>672.30000000000007</v>
      </c>
      <c r="G348" s="1">
        <f>IF(jablka5[[#This Row],[NIP]]=D347,jablka5[[#This Row],[sprzedaż]]+G347,jablka5[[#This Row],[sprzedaż]])</f>
        <v>11854</v>
      </c>
      <c r="H348" s="1">
        <f>IF(jablka5[[#This Row],[dot sprz]]&lt;15000,0,IF(jablka5[[#This Row],[dot sprz]]&lt;20000,5,10))</f>
        <v>0</v>
      </c>
      <c r="I348" s="1">
        <f>jablka5[[#This Row],[rabat]]*jablka5[[#This Row],[sprzedaż]]/100</f>
        <v>0</v>
      </c>
    </row>
    <row r="349" spans="1:9" x14ac:dyDescent="0.25">
      <c r="A349" s="2">
        <v>44805</v>
      </c>
      <c r="B349" s="1" t="s">
        <v>14</v>
      </c>
      <c r="C349" s="1" t="s">
        <v>67</v>
      </c>
      <c r="D349" s="1" t="s">
        <v>53</v>
      </c>
      <c r="E349">
        <v>99</v>
      </c>
      <c r="F349" s="1">
        <f>VLOOKUP(jablka5[[#This Row],[Nazwa]],cennik[],2,0) * jablka5[[#This Row],[sprzedaż]]</f>
        <v>346.5</v>
      </c>
      <c r="G349" s="1">
        <f>IF(jablka5[[#This Row],[NIP]]=D348,jablka5[[#This Row],[sprzedaż]]+G348,jablka5[[#This Row],[sprzedaż]])</f>
        <v>11953</v>
      </c>
      <c r="H349" s="1">
        <f>IF(jablka5[[#This Row],[dot sprz]]&lt;15000,0,IF(jablka5[[#This Row],[dot sprz]]&lt;20000,5,10))</f>
        <v>0</v>
      </c>
      <c r="I349" s="1">
        <f>jablka5[[#This Row],[rabat]]*jablka5[[#This Row],[sprzedaż]]/100</f>
        <v>0</v>
      </c>
    </row>
    <row r="350" spans="1:9" x14ac:dyDescent="0.25">
      <c r="A350" s="2">
        <v>44812</v>
      </c>
      <c r="B350" s="1" t="s">
        <v>11</v>
      </c>
      <c r="C350" s="1" t="s">
        <v>67</v>
      </c>
      <c r="D350" s="1" t="s">
        <v>53</v>
      </c>
      <c r="E350">
        <v>94</v>
      </c>
      <c r="F350" s="1">
        <f>VLOOKUP(jablka5[[#This Row],[Nazwa]],cennik[],2,0) * jablka5[[#This Row],[sprzedaż]]</f>
        <v>235</v>
      </c>
      <c r="G350" s="1">
        <f>IF(jablka5[[#This Row],[NIP]]=D349,jablka5[[#This Row],[sprzedaż]]+G349,jablka5[[#This Row],[sprzedaż]])</f>
        <v>12047</v>
      </c>
      <c r="H350" s="1">
        <f>IF(jablka5[[#This Row],[dot sprz]]&lt;15000,0,IF(jablka5[[#This Row],[dot sprz]]&lt;20000,5,10))</f>
        <v>0</v>
      </c>
      <c r="I350" s="1">
        <f>jablka5[[#This Row],[rabat]]*jablka5[[#This Row],[sprzedaż]]/100</f>
        <v>0</v>
      </c>
    </row>
    <row r="351" spans="1:9" x14ac:dyDescent="0.25">
      <c r="A351" s="2">
        <v>44830</v>
      </c>
      <c r="B351" s="1" t="s">
        <v>14</v>
      </c>
      <c r="C351" s="1" t="s">
        <v>67</v>
      </c>
      <c r="D351" s="1" t="s">
        <v>53</v>
      </c>
      <c r="E351">
        <v>469</v>
      </c>
      <c r="F351" s="1">
        <f>VLOOKUP(jablka5[[#This Row],[Nazwa]],cennik[],2,0) * jablka5[[#This Row],[sprzedaż]]</f>
        <v>1641.5</v>
      </c>
      <c r="G351" s="1">
        <f>IF(jablka5[[#This Row],[NIP]]=D350,jablka5[[#This Row],[sprzedaż]]+G350,jablka5[[#This Row],[sprzedaż]])</f>
        <v>12516</v>
      </c>
      <c r="H351" s="1">
        <f>IF(jablka5[[#This Row],[dot sprz]]&lt;15000,0,IF(jablka5[[#This Row],[dot sprz]]&lt;20000,5,10))</f>
        <v>0</v>
      </c>
      <c r="I351" s="1">
        <f>jablka5[[#This Row],[rabat]]*jablka5[[#This Row],[sprzedaż]]/100</f>
        <v>0</v>
      </c>
    </row>
    <row r="352" spans="1:9" x14ac:dyDescent="0.25">
      <c r="A352" s="2">
        <v>44830</v>
      </c>
      <c r="B352" s="1" t="s">
        <v>1</v>
      </c>
      <c r="C352" s="1" t="s">
        <v>67</v>
      </c>
      <c r="D352" s="1" t="s">
        <v>53</v>
      </c>
      <c r="E352">
        <v>247</v>
      </c>
      <c r="F352" s="1">
        <f>VLOOKUP(jablka5[[#This Row],[Nazwa]],cennik[],2,0) * jablka5[[#This Row],[sprzedaż]]</f>
        <v>790.40000000000009</v>
      </c>
      <c r="G352" s="1">
        <f>IF(jablka5[[#This Row],[NIP]]=D351,jablka5[[#This Row],[sprzedaż]]+G351,jablka5[[#This Row],[sprzedaż]])</f>
        <v>12763</v>
      </c>
      <c r="H352" s="1">
        <f>IF(jablka5[[#This Row],[dot sprz]]&lt;15000,0,IF(jablka5[[#This Row],[dot sprz]]&lt;20000,5,10))</f>
        <v>0</v>
      </c>
      <c r="I352" s="1">
        <f>jablka5[[#This Row],[rabat]]*jablka5[[#This Row],[sprzedaż]]/100</f>
        <v>0</v>
      </c>
    </row>
    <row r="353" spans="1:9" x14ac:dyDescent="0.25">
      <c r="A353" s="2">
        <v>44831</v>
      </c>
      <c r="B353" s="1" t="s">
        <v>1</v>
      </c>
      <c r="C353" s="1" t="s">
        <v>67</v>
      </c>
      <c r="D353" s="1" t="s">
        <v>53</v>
      </c>
      <c r="E353">
        <v>269</v>
      </c>
      <c r="F353" s="1">
        <f>VLOOKUP(jablka5[[#This Row],[Nazwa]],cennik[],2,0) * jablka5[[#This Row],[sprzedaż]]</f>
        <v>860.80000000000007</v>
      </c>
      <c r="G353" s="1">
        <f>IF(jablka5[[#This Row],[NIP]]=D352,jablka5[[#This Row],[sprzedaż]]+G352,jablka5[[#This Row],[sprzedaż]])</f>
        <v>13032</v>
      </c>
      <c r="H353" s="1">
        <f>IF(jablka5[[#This Row],[dot sprz]]&lt;15000,0,IF(jablka5[[#This Row],[dot sprz]]&lt;20000,5,10))</f>
        <v>0</v>
      </c>
      <c r="I353" s="1">
        <f>jablka5[[#This Row],[rabat]]*jablka5[[#This Row],[sprzedaż]]/100</f>
        <v>0</v>
      </c>
    </row>
    <row r="354" spans="1:9" x14ac:dyDescent="0.25">
      <c r="A354" s="2">
        <v>44844</v>
      </c>
      <c r="B354" s="1" t="s">
        <v>3</v>
      </c>
      <c r="C354" s="1" t="s">
        <v>67</v>
      </c>
      <c r="D354" s="1" t="s">
        <v>53</v>
      </c>
      <c r="E354">
        <v>340</v>
      </c>
      <c r="F354" s="1">
        <f>VLOOKUP(jablka5[[#This Row],[Nazwa]],cennik[],2,0) * jablka5[[#This Row],[sprzedaż]]</f>
        <v>1088</v>
      </c>
      <c r="G354" s="1">
        <f>IF(jablka5[[#This Row],[NIP]]=D353,jablka5[[#This Row],[sprzedaż]]+G353,jablka5[[#This Row],[sprzedaż]])</f>
        <v>13372</v>
      </c>
      <c r="H354" s="1">
        <f>IF(jablka5[[#This Row],[dot sprz]]&lt;15000,0,IF(jablka5[[#This Row],[dot sprz]]&lt;20000,5,10))</f>
        <v>0</v>
      </c>
      <c r="I354" s="1">
        <f>jablka5[[#This Row],[rabat]]*jablka5[[#This Row],[sprzedaż]]/100</f>
        <v>0</v>
      </c>
    </row>
    <row r="355" spans="1:9" x14ac:dyDescent="0.25">
      <c r="A355" s="2">
        <v>44863</v>
      </c>
      <c r="B355" s="1" t="s">
        <v>3</v>
      </c>
      <c r="C355" s="1" t="s">
        <v>67</v>
      </c>
      <c r="D355" s="1" t="s">
        <v>53</v>
      </c>
      <c r="E355">
        <v>477</v>
      </c>
      <c r="F355" s="1">
        <f>VLOOKUP(jablka5[[#This Row],[Nazwa]],cennik[],2,0) * jablka5[[#This Row],[sprzedaż]]</f>
        <v>1526.4</v>
      </c>
      <c r="G355" s="1">
        <f>IF(jablka5[[#This Row],[NIP]]=D354,jablka5[[#This Row],[sprzedaż]]+G354,jablka5[[#This Row],[sprzedaż]])</f>
        <v>13849</v>
      </c>
      <c r="H355" s="1">
        <f>IF(jablka5[[#This Row],[dot sprz]]&lt;15000,0,IF(jablka5[[#This Row],[dot sprz]]&lt;20000,5,10))</f>
        <v>0</v>
      </c>
      <c r="I355" s="1">
        <f>jablka5[[#This Row],[rabat]]*jablka5[[#This Row],[sprzedaż]]/100</f>
        <v>0</v>
      </c>
    </row>
    <row r="356" spans="1:9" x14ac:dyDescent="0.25">
      <c r="A356" s="2">
        <v>44866</v>
      </c>
      <c r="B356" s="1" t="s">
        <v>1</v>
      </c>
      <c r="C356" s="1" t="s">
        <v>67</v>
      </c>
      <c r="D356" s="1" t="s">
        <v>53</v>
      </c>
      <c r="E356">
        <v>128</v>
      </c>
      <c r="F356" s="1">
        <f>VLOOKUP(jablka5[[#This Row],[Nazwa]],cennik[],2,0) * jablka5[[#This Row],[sprzedaż]]</f>
        <v>409.6</v>
      </c>
      <c r="G356" s="1">
        <f>IF(jablka5[[#This Row],[NIP]]=D355,jablka5[[#This Row],[sprzedaż]]+G355,jablka5[[#This Row],[sprzedaż]])</f>
        <v>13977</v>
      </c>
      <c r="H356" s="1">
        <f>IF(jablka5[[#This Row],[dot sprz]]&lt;15000,0,IF(jablka5[[#This Row],[dot sprz]]&lt;20000,5,10))</f>
        <v>0</v>
      </c>
      <c r="I356" s="1">
        <f>jablka5[[#This Row],[rabat]]*jablka5[[#This Row],[sprzedaż]]/100</f>
        <v>0</v>
      </c>
    </row>
    <row r="357" spans="1:9" x14ac:dyDescent="0.25">
      <c r="A357" s="2">
        <v>44876</v>
      </c>
      <c r="B357" s="1" t="s">
        <v>9</v>
      </c>
      <c r="C357" s="1" t="s">
        <v>67</v>
      </c>
      <c r="D357" s="1" t="s">
        <v>53</v>
      </c>
      <c r="E357">
        <v>10</v>
      </c>
      <c r="F357" s="1">
        <f>VLOOKUP(jablka5[[#This Row],[Nazwa]],cennik[],2,0) * jablka5[[#This Row],[sprzedaż]]</f>
        <v>25</v>
      </c>
      <c r="G357" s="1">
        <f>IF(jablka5[[#This Row],[NIP]]=D356,jablka5[[#This Row],[sprzedaż]]+G356,jablka5[[#This Row],[sprzedaż]])</f>
        <v>13987</v>
      </c>
      <c r="H357" s="1">
        <f>IF(jablka5[[#This Row],[dot sprz]]&lt;15000,0,IF(jablka5[[#This Row],[dot sprz]]&lt;20000,5,10))</f>
        <v>0</v>
      </c>
      <c r="I357" s="1">
        <f>jablka5[[#This Row],[rabat]]*jablka5[[#This Row],[sprzedaż]]/100</f>
        <v>0</v>
      </c>
    </row>
    <row r="358" spans="1:9" x14ac:dyDescent="0.25">
      <c r="A358" s="2">
        <v>44884</v>
      </c>
      <c r="B358" s="1" t="s">
        <v>14</v>
      </c>
      <c r="C358" s="1" t="s">
        <v>67</v>
      </c>
      <c r="D358" s="1" t="s">
        <v>53</v>
      </c>
      <c r="E358">
        <v>189</v>
      </c>
      <c r="F358" s="1">
        <f>VLOOKUP(jablka5[[#This Row],[Nazwa]],cennik[],2,0) * jablka5[[#This Row],[sprzedaż]]</f>
        <v>661.5</v>
      </c>
      <c r="G358" s="1">
        <f>IF(jablka5[[#This Row],[NIP]]=D357,jablka5[[#This Row],[sprzedaż]]+G357,jablka5[[#This Row],[sprzedaż]])</f>
        <v>14176</v>
      </c>
      <c r="H358" s="1">
        <f>IF(jablka5[[#This Row],[dot sprz]]&lt;15000,0,IF(jablka5[[#This Row],[dot sprz]]&lt;20000,5,10))</f>
        <v>0</v>
      </c>
      <c r="I358" s="1">
        <f>jablka5[[#This Row],[rabat]]*jablka5[[#This Row],[sprzedaż]]/100</f>
        <v>0</v>
      </c>
    </row>
    <row r="359" spans="1:9" x14ac:dyDescent="0.25">
      <c r="A359" s="2">
        <v>44886</v>
      </c>
      <c r="B359" s="1" t="s">
        <v>14</v>
      </c>
      <c r="C359" s="1" t="s">
        <v>67</v>
      </c>
      <c r="D359" s="1" t="s">
        <v>53</v>
      </c>
      <c r="E359">
        <v>103</v>
      </c>
      <c r="F359" s="1">
        <f>VLOOKUP(jablka5[[#This Row],[Nazwa]],cennik[],2,0) * jablka5[[#This Row],[sprzedaż]]</f>
        <v>360.5</v>
      </c>
      <c r="G359" s="1">
        <f>IF(jablka5[[#This Row],[NIP]]=D358,jablka5[[#This Row],[sprzedaż]]+G358,jablka5[[#This Row],[sprzedaż]])</f>
        <v>14279</v>
      </c>
      <c r="H359" s="1">
        <f>IF(jablka5[[#This Row],[dot sprz]]&lt;15000,0,IF(jablka5[[#This Row],[dot sprz]]&lt;20000,5,10))</f>
        <v>0</v>
      </c>
      <c r="I359" s="1">
        <f>jablka5[[#This Row],[rabat]]*jablka5[[#This Row],[sprzedaż]]/100</f>
        <v>0</v>
      </c>
    </row>
    <row r="360" spans="1:9" x14ac:dyDescent="0.25">
      <c r="A360" s="2">
        <v>44890</v>
      </c>
      <c r="B360" s="1" t="s">
        <v>14</v>
      </c>
      <c r="C360" s="1" t="s">
        <v>67</v>
      </c>
      <c r="D360" s="1" t="s">
        <v>53</v>
      </c>
      <c r="E360">
        <v>461</v>
      </c>
      <c r="F360" s="1">
        <f>VLOOKUP(jablka5[[#This Row],[Nazwa]],cennik[],2,0) * jablka5[[#This Row],[sprzedaż]]</f>
        <v>1613.5</v>
      </c>
      <c r="G360" s="1">
        <f>IF(jablka5[[#This Row],[NIP]]=D359,jablka5[[#This Row],[sprzedaż]]+G359,jablka5[[#This Row],[sprzedaż]])</f>
        <v>14740</v>
      </c>
      <c r="H360" s="1">
        <f>IF(jablka5[[#This Row],[dot sprz]]&lt;15000,0,IF(jablka5[[#This Row],[dot sprz]]&lt;20000,5,10))</f>
        <v>0</v>
      </c>
      <c r="I360" s="1">
        <f>jablka5[[#This Row],[rabat]]*jablka5[[#This Row],[sprzedaż]]/100</f>
        <v>0</v>
      </c>
    </row>
    <row r="361" spans="1:9" x14ac:dyDescent="0.25">
      <c r="A361" s="2">
        <v>44914</v>
      </c>
      <c r="B361" s="1" t="s">
        <v>6</v>
      </c>
      <c r="C361" s="1" t="s">
        <v>16</v>
      </c>
      <c r="D361" s="1" t="s">
        <v>53</v>
      </c>
      <c r="E361">
        <v>338</v>
      </c>
      <c r="F361" s="1">
        <f>VLOOKUP(jablka5[[#This Row],[Nazwa]],cennik[],2,0) * jablka5[[#This Row],[sprzedaż]]</f>
        <v>1149.2</v>
      </c>
      <c r="G361" s="1">
        <f>IF(jablka5[[#This Row],[NIP]]=D360,jablka5[[#This Row],[sprzedaż]]+G360,jablka5[[#This Row],[sprzedaż]])</f>
        <v>15078</v>
      </c>
      <c r="H361" s="1">
        <f>IF(jablka5[[#This Row],[dot sprz]]&lt;15000,0,IF(jablka5[[#This Row],[dot sprz]]&lt;20000,5,10))</f>
        <v>5</v>
      </c>
      <c r="I361" s="1">
        <f>jablka5[[#This Row],[rabat]]*jablka5[[#This Row],[sprzedaż]]/100</f>
        <v>16.899999999999999</v>
      </c>
    </row>
    <row r="362" spans="1:9" x14ac:dyDescent="0.25">
      <c r="A362" s="2">
        <v>44915</v>
      </c>
      <c r="B362" s="1" t="s">
        <v>4</v>
      </c>
      <c r="C362" s="1" t="s">
        <v>16</v>
      </c>
      <c r="D362" s="1" t="s">
        <v>53</v>
      </c>
      <c r="E362">
        <v>689</v>
      </c>
      <c r="F362" s="1">
        <f>VLOOKUP(jablka5[[#This Row],[Nazwa]],cennik[],2,0) * jablka5[[#This Row],[sprzedaż]]</f>
        <v>2342.6</v>
      </c>
      <c r="G362" s="1">
        <f>IF(jablka5[[#This Row],[NIP]]=D361,jablka5[[#This Row],[sprzedaż]]+G361,jablka5[[#This Row],[sprzedaż]])</f>
        <v>15767</v>
      </c>
      <c r="H362" s="1">
        <f>IF(jablka5[[#This Row],[dot sprz]]&lt;15000,0,IF(jablka5[[#This Row],[dot sprz]]&lt;20000,5,10))</f>
        <v>5</v>
      </c>
      <c r="I362" s="1">
        <f>jablka5[[#This Row],[rabat]]*jablka5[[#This Row],[sprzedaż]]/100</f>
        <v>34.450000000000003</v>
      </c>
    </row>
    <row r="363" spans="1:9" x14ac:dyDescent="0.25">
      <c r="A363" s="2">
        <v>44923</v>
      </c>
      <c r="B363" s="1" t="s">
        <v>8</v>
      </c>
      <c r="C363" s="1" t="s">
        <v>16</v>
      </c>
      <c r="D363" s="1" t="s">
        <v>53</v>
      </c>
      <c r="E363">
        <v>395</v>
      </c>
      <c r="F363" s="1">
        <f>VLOOKUP(jablka5[[#This Row],[Nazwa]],cennik[],2,0) * jablka5[[#This Row],[sprzedaż]]</f>
        <v>1382.5</v>
      </c>
      <c r="G363" s="1">
        <f>IF(jablka5[[#This Row],[NIP]]=D362,jablka5[[#This Row],[sprzedaż]]+G362,jablka5[[#This Row],[sprzedaż]])</f>
        <v>16162</v>
      </c>
      <c r="H363" s="1">
        <f>IF(jablka5[[#This Row],[dot sprz]]&lt;15000,0,IF(jablka5[[#This Row],[dot sprz]]&lt;20000,5,10))</f>
        <v>5</v>
      </c>
      <c r="I363" s="1">
        <f>jablka5[[#This Row],[rabat]]*jablka5[[#This Row],[sprzedaż]]/100</f>
        <v>19.75</v>
      </c>
    </row>
    <row r="364" spans="1:9" x14ac:dyDescent="0.25">
      <c r="A364" s="2">
        <v>44566</v>
      </c>
      <c r="B364" s="1" t="s">
        <v>0</v>
      </c>
      <c r="C364" s="1" t="s">
        <v>16</v>
      </c>
      <c r="D364" s="1" t="s">
        <v>36</v>
      </c>
      <c r="E364">
        <v>206</v>
      </c>
      <c r="F364" s="1">
        <f>VLOOKUP(jablka5[[#This Row],[Nazwa]],cennik[],2,0) * jablka5[[#This Row],[sprzedaż]]</f>
        <v>597.4</v>
      </c>
      <c r="G364" s="1">
        <f>IF(jablka5[[#This Row],[NIP]]=D363,jablka5[[#This Row],[sprzedaż]]+G363,jablka5[[#This Row],[sprzedaż]])</f>
        <v>206</v>
      </c>
      <c r="H364" s="1">
        <f>IF(jablka5[[#This Row],[dot sprz]]&lt;15000,0,IF(jablka5[[#This Row],[dot sprz]]&lt;20000,5,10))</f>
        <v>0</v>
      </c>
      <c r="I364" s="1">
        <f>jablka5[[#This Row],[rabat]]*jablka5[[#This Row],[sprzedaż]]/100</f>
        <v>0</v>
      </c>
    </row>
    <row r="365" spans="1:9" x14ac:dyDescent="0.25">
      <c r="A365" s="2">
        <v>44566</v>
      </c>
      <c r="B365" s="1" t="s">
        <v>7</v>
      </c>
      <c r="C365" s="1" t="s">
        <v>16</v>
      </c>
      <c r="D365" s="1" t="s">
        <v>36</v>
      </c>
      <c r="E365">
        <v>316</v>
      </c>
      <c r="F365" s="1">
        <f>VLOOKUP(jablka5[[#This Row],[Nazwa]],cennik[],2,0) * jablka5[[#This Row],[sprzedaż]]</f>
        <v>1074.3999999999999</v>
      </c>
      <c r="G365" s="1">
        <f>IF(jablka5[[#This Row],[NIP]]=D364,jablka5[[#This Row],[sprzedaż]]+G364,jablka5[[#This Row],[sprzedaż]])</f>
        <v>522</v>
      </c>
      <c r="H365" s="1">
        <f>IF(jablka5[[#This Row],[dot sprz]]&lt;15000,0,IF(jablka5[[#This Row],[dot sprz]]&lt;20000,5,10))</f>
        <v>0</v>
      </c>
      <c r="I365" s="1">
        <f>jablka5[[#This Row],[rabat]]*jablka5[[#This Row],[sprzedaż]]/100</f>
        <v>0</v>
      </c>
    </row>
    <row r="366" spans="1:9" x14ac:dyDescent="0.25">
      <c r="A366" s="2">
        <v>44573</v>
      </c>
      <c r="B366" s="1" t="s">
        <v>15</v>
      </c>
      <c r="C366" s="1" t="s">
        <v>16</v>
      </c>
      <c r="D366" s="1" t="s">
        <v>36</v>
      </c>
      <c r="E366">
        <v>579</v>
      </c>
      <c r="F366" s="1">
        <f>VLOOKUP(jablka5[[#This Row],[Nazwa]],cennik[],2,0) * jablka5[[#This Row],[sprzedaż]]</f>
        <v>1389.6</v>
      </c>
      <c r="G366" s="1">
        <f>IF(jablka5[[#This Row],[NIP]]=D365,jablka5[[#This Row],[sprzedaż]]+G365,jablka5[[#This Row],[sprzedaż]])</f>
        <v>1101</v>
      </c>
      <c r="H366" s="1">
        <f>IF(jablka5[[#This Row],[dot sprz]]&lt;15000,0,IF(jablka5[[#This Row],[dot sprz]]&lt;20000,5,10))</f>
        <v>0</v>
      </c>
      <c r="I366" s="1">
        <f>jablka5[[#This Row],[rabat]]*jablka5[[#This Row],[sprzedaż]]/100</f>
        <v>0</v>
      </c>
    </row>
    <row r="367" spans="1:9" x14ac:dyDescent="0.25">
      <c r="A367" s="2">
        <v>44578</v>
      </c>
      <c r="B367" s="1" t="s">
        <v>8</v>
      </c>
      <c r="C367" s="1" t="s">
        <v>16</v>
      </c>
      <c r="D367" s="1" t="s">
        <v>36</v>
      </c>
      <c r="E367">
        <v>378</v>
      </c>
      <c r="F367" s="1">
        <f>VLOOKUP(jablka5[[#This Row],[Nazwa]],cennik[],2,0) * jablka5[[#This Row],[sprzedaż]]</f>
        <v>1323</v>
      </c>
      <c r="G367" s="1">
        <f>IF(jablka5[[#This Row],[NIP]]=D366,jablka5[[#This Row],[sprzedaż]]+G366,jablka5[[#This Row],[sprzedaż]])</f>
        <v>1479</v>
      </c>
      <c r="H367" s="1">
        <f>IF(jablka5[[#This Row],[dot sprz]]&lt;15000,0,IF(jablka5[[#This Row],[dot sprz]]&lt;20000,5,10))</f>
        <v>0</v>
      </c>
      <c r="I367" s="1">
        <f>jablka5[[#This Row],[rabat]]*jablka5[[#This Row],[sprzedaż]]/100</f>
        <v>0</v>
      </c>
    </row>
    <row r="368" spans="1:9" x14ac:dyDescent="0.25">
      <c r="A368" s="2">
        <v>44580</v>
      </c>
      <c r="B368" s="1" t="s">
        <v>0</v>
      </c>
      <c r="C368" s="1" t="s">
        <v>16</v>
      </c>
      <c r="D368" s="1" t="s">
        <v>36</v>
      </c>
      <c r="E368">
        <v>497</v>
      </c>
      <c r="F368" s="1">
        <f>VLOOKUP(jablka5[[#This Row],[Nazwa]],cennik[],2,0) * jablka5[[#This Row],[sprzedaż]]</f>
        <v>1441.3</v>
      </c>
      <c r="G368" s="1">
        <f>IF(jablka5[[#This Row],[NIP]]=D367,jablka5[[#This Row],[sprzedaż]]+G367,jablka5[[#This Row],[sprzedaż]])</f>
        <v>1976</v>
      </c>
      <c r="H368" s="1">
        <f>IF(jablka5[[#This Row],[dot sprz]]&lt;15000,0,IF(jablka5[[#This Row],[dot sprz]]&lt;20000,5,10))</f>
        <v>0</v>
      </c>
      <c r="I368" s="1">
        <f>jablka5[[#This Row],[rabat]]*jablka5[[#This Row],[sprzedaż]]/100</f>
        <v>0</v>
      </c>
    </row>
    <row r="369" spans="1:9" x14ac:dyDescent="0.25">
      <c r="A369" s="2">
        <v>44580</v>
      </c>
      <c r="B369" s="1" t="s">
        <v>5</v>
      </c>
      <c r="C369" s="1" t="s">
        <v>16</v>
      </c>
      <c r="D369" s="1" t="s">
        <v>36</v>
      </c>
      <c r="E369">
        <v>46</v>
      </c>
      <c r="F369" s="1">
        <f>VLOOKUP(jablka5[[#This Row],[Nazwa]],cennik[],2,0) * jablka5[[#This Row],[sprzedaż]]</f>
        <v>156.4</v>
      </c>
      <c r="G369" s="1">
        <f>IF(jablka5[[#This Row],[NIP]]=D368,jablka5[[#This Row],[sprzedaż]]+G368,jablka5[[#This Row],[sprzedaż]])</f>
        <v>2022</v>
      </c>
      <c r="H369" s="1">
        <f>IF(jablka5[[#This Row],[dot sprz]]&lt;15000,0,IF(jablka5[[#This Row],[dot sprz]]&lt;20000,5,10))</f>
        <v>0</v>
      </c>
      <c r="I369" s="1">
        <f>jablka5[[#This Row],[rabat]]*jablka5[[#This Row],[sprzedaż]]/100</f>
        <v>0</v>
      </c>
    </row>
    <row r="370" spans="1:9" x14ac:dyDescent="0.25">
      <c r="A370" s="2">
        <v>44618</v>
      </c>
      <c r="B370" s="1" t="s">
        <v>0</v>
      </c>
      <c r="C370" s="1" t="s">
        <v>16</v>
      </c>
      <c r="D370" s="1" t="s">
        <v>36</v>
      </c>
      <c r="E370">
        <v>133</v>
      </c>
      <c r="F370" s="1">
        <f>VLOOKUP(jablka5[[#This Row],[Nazwa]],cennik[],2,0) * jablka5[[#This Row],[sprzedaż]]</f>
        <v>385.7</v>
      </c>
      <c r="G370" s="1">
        <f>IF(jablka5[[#This Row],[NIP]]=D369,jablka5[[#This Row],[sprzedaż]]+G369,jablka5[[#This Row],[sprzedaż]])</f>
        <v>2155</v>
      </c>
      <c r="H370" s="1">
        <f>IF(jablka5[[#This Row],[dot sprz]]&lt;15000,0,IF(jablka5[[#This Row],[dot sprz]]&lt;20000,5,10))</f>
        <v>0</v>
      </c>
      <c r="I370" s="1">
        <f>jablka5[[#This Row],[rabat]]*jablka5[[#This Row],[sprzedaż]]/100</f>
        <v>0</v>
      </c>
    </row>
    <row r="371" spans="1:9" x14ac:dyDescent="0.25">
      <c r="A371" s="2">
        <v>44621</v>
      </c>
      <c r="B371" s="1" t="s">
        <v>7</v>
      </c>
      <c r="C371" s="1" t="s">
        <v>16</v>
      </c>
      <c r="D371" s="1" t="s">
        <v>36</v>
      </c>
      <c r="E371">
        <v>223</v>
      </c>
      <c r="F371" s="1">
        <f>VLOOKUP(jablka5[[#This Row],[Nazwa]],cennik[],2,0) * jablka5[[#This Row],[sprzedaż]]</f>
        <v>758.19999999999993</v>
      </c>
      <c r="G371" s="1">
        <f>IF(jablka5[[#This Row],[NIP]]=D370,jablka5[[#This Row],[sprzedaż]]+G370,jablka5[[#This Row],[sprzedaż]])</f>
        <v>2378</v>
      </c>
      <c r="H371" s="1">
        <f>IF(jablka5[[#This Row],[dot sprz]]&lt;15000,0,IF(jablka5[[#This Row],[dot sprz]]&lt;20000,5,10))</f>
        <v>0</v>
      </c>
      <c r="I371" s="1">
        <f>jablka5[[#This Row],[rabat]]*jablka5[[#This Row],[sprzedaż]]/100</f>
        <v>0</v>
      </c>
    </row>
    <row r="372" spans="1:9" x14ac:dyDescent="0.25">
      <c r="A372" s="2">
        <v>44622</v>
      </c>
      <c r="B372" s="1" t="s">
        <v>8</v>
      </c>
      <c r="C372" s="1" t="s">
        <v>16</v>
      </c>
      <c r="D372" s="1" t="s">
        <v>36</v>
      </c>
      <c r="E372">
        <v>537</v>
      </c>
      <c r="F372" s="1">
        <f>VLOOKUP(jablka5[[#This Row],[Nazwa]],cennik[],2,0) * jablka5[[#This Row],[sprzedaż]]</f>
        <v>1879.5</v>
      </c>
      <c r="G372" s="1">
        <f>IF(jablka5[[#This Row],[NIP]]=D371,jablka5[[#This Row],[sprzedaż]]+G371,jablka5[[#This Row],[sprzedaż]])</f>
        <v>2915</v>
      </c>
      <c r="H372" s="1">
        <f>IF(jablka5[[#This Row],[dot sprz]]&lt;15000,0,IF(jablka5[[#This Row],[dot sprz]]&lt;20000,5,10))</f>
        <v>0</v>
      </c>
      <c r="I372" s="1">
        <f>jablka5[[#This Row],[rabat]]*jablka5[[#This Row],[sprzedaż]]/100</f>
        <v>0</v>
      </c>
    </row>
    <row r="373" spans="1:9" x14ac:dyDescent="0.25">
      <c r="A373" s="2">
        <v>44624</v>
      </c>
      <c r="B373" s="1" t="s">
        <v>5</v>
      </c>
      <c r="C373" s="1" t="s">
        <v>16</v>
      </c>
      <c r="D373" s="1" t="s">
        <v>36</v>
      </c>
      <c r="E373">
        <v>364</v>
      </c>
      <c r="F373" s="1">
        <f>VLOOKUP(jablka5[[#This Row],[Nazwa]],cennik[],2,0) * jablka5[[#This Row],[sprzedaż]]</f>
        <v>1237.5999999999999</v>
      </c>
      <c r="G373" s="1">
        <f>IF(jablka5[[#This Row],[NIP]]=D372,jablka5[[#This Row],[sprzedaż]]+G372,jablka5[[#This Row],[sprzedaż]])</f>
        <v>3279</v>
      </c>
      <c r="H373" s="1">
        <f>IF(jablka5[[#This Row],[dot sprz]]&lt;15000,0,IF(jablka5[[#This Row],[dot sprz]]&lt;20000,5,10))</f>
        <v>0</v>
      </c>
      <c r="I373" s="1">
        <f>jablka5[[#This Row],[rabat]]*jablka5[[#This Row],[sprzedaż]]/100</f>
        <v>0</v>
      </c>
    </row>
    <row r="374" spans="1:9" x14ac:dyDescent="0.25">
      <c r="A374" s="2">
        <v>44630</v>
      </c>
      <c r="B374" s="1" t="s">
        <v>2</v>
      </c>
      <c r="C374" s="1" t="s">
        <v>16</v>
      </c>
      <c r="D374" s="1" t="s">
        <v>36</v>
      </c>
      <c r="E374">
        <v>372</v>
      </c>
      <c r="F374" s="1">
        <f>VLOOKUP(jablka5[[#This Row],[Nazwa]],cennik[],2,0) * jablka5[[#This Row],[sprzedaż]]</f>
        <v>1190.4000000000001</v>
      </c>
      <c r="G374" s="1">
        <f>IF(jablka5[[#This Row],[NIP]]=D373,jablka5[[#This Row],[sprzedaż]]+G373,jablka5[[#This Row],[sprzedaż]])</f>
        <v>3651</v>
      </c>
      <c r="H374" s="1">
        <f>IF(jablka5[[#This Row],[dot sprz]]&lt;15000,0,IF(jablka5[[#This Row],[dot sprz]]&lt;20000,5,10))</f>
        <v>0</v>
      </c>
      <c r="I374" s="1">
        <f>jablka5[[#This Row],[rabat]]*jablka5[[#This Row],[sprzedaż]]/100</f>
        <v>0</v>
      </c>
    </row>
    <row r="375" spans="1:9" x14ac:dyDescent="0.25">
      <c r="A375" s="2">
        <v>44631</v>
      </c>
      <c r="B375" s="1" t="s">
        <v>4</v>
      </c>
      <c r="C375" s="1" t="s">
        <v>16</v>
      </c>
      <c r="D375" s="1" t="s">
        <v>36</v>
      </c>
      <c r="E375">
        <v>408</v>
      </c>
      <c r="F375" s="1">
        <f>VLOOKUP(jablka5[[#This Row],[Nazwa]],cennik[],2,0) * jablka5[[#This Row],[sprzedaż]]</f>
        <v>1387.2</v>
      </c>
      <c r="G375" s="1">
        <f>IF(jablka5[[#This Row],[NIP]]=D374,jablka5[[#This Row],[sprzedaż]]+G374,jablka5[[#This Row],[sprzedaż]])</f>
        <v>4059</v>
      </c>
      <c r="H375" s="1">
        <f>IF(jablka5[[#This Row],[dot sprz]]&lt;15000,0,IF(jablka5[[#This Row],[dot sprz]]&lt;20000,5,10))</f>
        <v>0</v>
      </c>
      <c r="I375" s="1">
        <f>jablka5[[#This Row],[rabat]]*jablka5[[#This Row],[sprzedaż]]/100</f>
        <v>0</v>
      </c>
    </row>
    <row r="376" spans="1:9" x14ac:dyDescent="0.25">
      <c r="A376" s="2">
        <v>44641</v>
      </c>
      <c r="B376" s="1" t="s">
        <v>10</v>
      </c>
      <c r="C376" s="1" t="s">
        <v>16</v>
      </c>
      <c r="D376" s="1" t="s">
        <v>36</v>
      </c>
      <c r="E376">
        <v>73</v>
      </c>
      <c r="F376" s="1">
        <f>VLOOKUP(jablka5[[#This Row],[Nazwa]],cennik[],2,0) * jablka5[[#This Row],[sprzedaż]]</f>
        <v>248.2</v>
      </c>
      <c r="G376" s="1">
        <f>IF(jablka5[[#This Row],[NIP]]=D375,jablka5[[#This Row],[sprzedaż]]+G375,jablka5[[#This Row],[sprzedaż]])</f>
        <v>4132</v>
      </c>
      <c r="H376" s="1">
        <f>IF(jablka5[[#This Row],[dot sprz]]&lt;15000,0,IF(jablka5[[#This Row],[dot sprz]]&lt;20000,5,10))</f>
        <v>0</v>
      </c>
      <c r="I376" s="1">
        <f>jablka5[[#This Row],[rabat]]*jablka5[[#This Row],[sprzedaż]]/100</f>
        <v>0</v>
      </c>
    </row>
    <row r="377" spans="1:9" x14ac:dyDescent="0.25">
      <c r="A377" s="2">
        <v>44643</v>
      </c>
      <c r="B377" s="1" t="s">
        <v>15</v>
      </c>
      <c r="C377" s="1" t="s">
        <v>16</v>
      </c>
      <c r="D377" s="1" t="s">
        <v>36</v>
      </c>
      <c r="E377">
        <v>490</v>
      </c>
      <c r="F377" s="1">
        <f>VLOOKUP(jablka5[[#This Row],[Nazwa]],cennik[],2,0) * jablka5[[#This Row],[sprzedaż]]</f>
        <v>1176</v>
      </c>
      <c r="G377" s="1">
        <f>IF(jablka5[[#This Row],[NIP]]=D376,jablka5[[#This Row],[sprzedaż]]+G376,jablka5[[#This Row],[sprzedaż]])</f>
        <v>4622</v>
      </c>
      <c r="H377" s="1">
        <f>IF(jablka5[[#This Row],[dot sprz]]&lt;15000,0,IF(jablka5[[#This Row],[dot sprz]]&lt;20000,5,10))</f>
        <v>0</v>
      </c>
      <c r="I377" s="1">
        <f>jablka5[[#This Row],[rabat]]*jablka5[[#This Row],[sprzedaż]]/100</f>
        <v>0</v>
      </c>
    </row>
    <row r="378" spans="1:9" x14ac:dyDescent="0.25">
      <c r="A378" s="2">
        <v>44645</v>
      </c>
      <c r="B378" s="1" t="s">
        <v>15</v>
      </c>
      <c r="C378" s="1" t="s">
        <v>16</v>
      </c>
      <c r="D378" s="1" t="s">
        <v>36</v>
      </c>
      <c r="E378">
        <v>424</v>
      </c>
      <c r="F378" s="1">
        <f>VLOOKUP(jablka5[[#This Row],[Nazwa]],cennik[],2,0) * jablka5[[#This Row],[sprzedaż]]</f>
        <v>1017.5999999999999</v>
      </c>
      <c r="G378" s="1">
        <f>IF(jablka5[[#This Row],[NIP]]=D377,jablka5[[#This Row],[sprzedaż]]+G377,jablka5[[#This Row],[sprzedaż]])</f>
        <v>5046</v>
      </c>
      <c r="H378" s="1">
        <f>IF(jablka5[[#This Row],[dot sprz]]&lt;15000,0,IF(jablka5[[#This Row],[dot sprz]]&lt;20000,5,10))</f>
        <v>0</v>
      </c>
      <c r="I378" s="1">
        <f>jablka5[[#This Row],[rabat]]*jablka5[[#This Row],[sprzedaż]]/100</f>
        <v>0</v>
      </c>
    </row>
    <row r="379" spans="1:9" x14ac:dyDescent="0.25">
      <c r="A379" s="2">
        <v>44649</v>
      </c>
      <c r="B379" s="1" t="s">
        <v>2</v>
      </c>
      <c r="C379" s="1" t="s">
        <v>16</v>
      </c>
      <c r="D379" s="1" t="s">
        <v>36</v>
      </c>
      <c r="E379">
        <v>466</v>
      </c>
      <c r="F379" s="1">
        <f>VLOOKUP(jablka5[[#This Row],[Nazwa]],cennik[],2,0) * jablka5[[#This Row],[sprzedaż]]</f>
        <v>1491.2</v>
      </c>
      <c r="G379" s="1">
        <f>IF(jablka5[[#This Row],[NIP]]=D378,jablka5[[#This Row],[sprzedaż]]+G378,jablka5[[#This Row],[sprzedaż]])</f>
        <v>5512</v>
      </c>
      <c r="H379" s="1">
        <f>IF(jablka5[[#This Row],[dot sprz]]&lt;15000,0,IF(jablka5[[#This Row],[dot sprz]]&lt;20000,5,10))</f>
        <v>0</v>
      </c>
      <c r="I379" s="1">
        <f>jablka5[[#This Row],[rabat]]*jablka5[[#This Row],[sprzedaż]]/100</f>
        <v>0</v>
      </c>
    </row>
    <row r="380" spans="1:9" x14ac:dyDescent="0.25">
      <c r="A380" s="2">
        <v>44672</v>
      </c>
      <c r="B380" s="1" t="s">
        <v>8</v>
      </c>
      <c r="C380" s="1" t="s">
        <v>16</v>
      </c>
      <c r="D380" s="1" t="s">
        <v>36</v>
      </c>
      <c r="E380">
        <v>577</v>
      </c>
      <c r="F380" s="1">
        <f>VLOOKUP(jablka5[[#This Row],[Nazwa]],cennik[],2,0) * jablka5[[#This Row],[sprzedaż]]</f>
        <v>2019.5</v>
      </c>
      <c r="G380" s="1">
        <f>IF(jablka5[[#This Row],[NIP]]=D379,jablka5[[#This Row],[sprzedaż]]+G379,jablka5[[#This Row],[sprzedaż]])</f>
        <v>6089</v>
      </c>
      <c r="H380" s="1">
        <f>IF(jablka5[[#This Row],[dot sprz]]&lt;15000,0,IF(jablka5[[#This Row],[dot sprz]]&lt;20000,5,10))</f>
        <v>0</v>
      </c>
      <c r="I380" s="1">
        <f>jablka5[[#This Row],[rabat]]*jablka5[[#This Row],[sprzedaż]]/100</f>
        <v>0</v>
      </c>
    </row>
    <row r="381" spans="1:9" x14ac:dyDescent="0.25">
      <c r="A381" s="2">
        <v>44674</v>
      </c>
      <c r="B381" s="1" t="s">
        <v>4</v>
      </c>
      <c r="C381" s="1" t="s">
        <v>16</v>
      </c>
      <c r="D381" s="1" t="s">
        <v>36</v>
      </c>
      <c r="E381">
        <v>549</v>
      </c>
      <c r="F381" s="1">
        <f>VLOOKUP(jablka5[[#This Row],[Nazwa]],cennik[],2,0) * jablka5[[#This Row],[sprzedaż]]</f>
        <v>1866.6</v>
      </c>
      <c r="G381" s="1">
        <f>IF(jablka5[[#This Row],[NIP]]=D380,jablka5[[#This Row],[sprzedaż]]+G380,jablka5[[#This Row],[sprzedaż]])</f>
        <v>6638</v>
      </c>
      <c r="H381" s="1">
        <f>IF(jablka5[[#This Row],[dot sprz]]&lt;15000,0,IF(jablka5[[#This Row],[dot sprz]]&lt;20000,5,10))</f>
        <v>0</v>
      </c>
      <c r="I381" s="1">
        <f>jablka5[[#This Row],[rabat]]*jablka5[[#This Row],[sprzedaż]]/100</f>
        <v>0</v>
      </c>
    </row>
    <row r="382" spans="1:9" x14ac:dyDescent="0.25">
      <c r="A382" s="2">
        <v>44676</v>
      </c>
      <c r="B382" s="1" t="s">
        <v>0</v>
      </c>
      <c r="C382" s="1" t="s">
        <v>16</v>
      </c>
      <c r="D382" s="1" t="s">
        <v>36</v>
      </c>
      <c r="E382">
        <v>319</v>
      </c>
      <c r="F382" s="1">
        <f>VLOOKUP(jablka5[[#This Row],[Nazwa]],cennik[],2,0) * jablka5[[#This Row],[sprzedaż]]</f>
        <v>925.1</v>
      </c>
      <c r="G382" s="1">
        <f>IF(jablka5[[#This Row],[NIP]]=D381,jablka5[[#This Row],[sprzedaż]]+G381,jablka5[[#This Row],[sprzedaż]])</f>
        <v>6957</v>
      </c>
      <c r="H382" s="1">
        <f>IF(jablka5[[#This Row],[dot sprz]]&lt;15000,0,IF(jablka5[[#This Row],[dot sprz]]&lt;20000,5,10))</f>
        <v>0</v>
      </c>
      <c r="I382" s="1">
        <f>jablka5[[#This Row],[rabat]]*jablka5[[#This Row],[sprzedaż]]/100</f>
        <v>0</v>
      </c>
    </row>
    <row r="383" spans="1:9" x14ac:dyDescent="0.25">
      <c r="A383" s="2">
        <v>44680</v>
      </c>
      <c r="B383" s="1" t="s">
        <v>15</v>
      </c>
      <c r="C383" s="1" t="s">
        <v>16</v>
      </c>
      <c r="D383" s="1" t="s">
        <v>36</v>
      </c>
      <c r="E383">
        <v>271</v>
      </c>
      <c r="F383" s="1">
        <f>VLOOKUP(jablka5[[#This Row],[Nazwa]],cennik[],2,0) * jablka5[[#This Row],[sprzedaż]]</f>
        <v>650.4</v>
      </c>
      <c r="G383" s="1">
        <f>IF(jablka5[[#This Row],[NIP]]=D382,jablka5[[#This Row],[sprzedaż]]+G382,jablka5[[#This Row],[sprzedaż]])</f>
        <v>7228</v>
      </c>
      <c r="H383" s="1">
        <f>IF(jablka5[[#This Row],[dot sprz]]&lt;15000,0,IF(jablka5[[#This Row],[dot sprz]]&lt;20000,5,10))</f>
        <v>0</v>
      </c>
      <c r="I383" s="1">
        <f>jablka5[[#This Row],[rabat]]*jablka5[[#This Row],[sprzedaż]]/100</f>
        <v>0</v>
      </c>
    </row>
    <row r="384" spans="1:9" x14ac:dyDescent="0.25">
      <c r="A384" s="2">
        <v>44690</v>
      </c>
      <c r="B384" s="1" t="s">
        <v>2</v>
      </c>
      <c r="C384" s="1" t="s">
        <v>16</v>
      </c>
      <c r="D384" s="1" t="s">
        <v>36</v>
      </c>
      <c r="E384">
        <v>171</v>
      </c>
      <c r="F384" s="1">
        <f>VLOOKUP(jablka5[[#This Row],[Nazwa]],cennik[],2,0) * jablka5[[#This Row],[sprzedaż]]</f>
        <v>547.20000000000005</v>
      </c>
      <c r="G384" s="1">
        <f>IF(jablka5[[#This Row],[NIP]]=D383,jablka5[[#This Row],[sprzedaż]]+G383,jablka5[[#This Row],[sprzedaż]])</f>
        <v>7399</v>
      </c>
      <c r="H384" s="1">
        <f>IF(jablka5[[#This Row],[dot sprz]]&lt;15000,0,IF(jablka5[[#This Row],[dot sprz]]&lt;20000,5,10))</f>
        <v>0</v>
      </c>
      <c r="I384" s="1">
        <f>jablka5[[#This Row],[rabat]]*jablka5[[#This Row],[sprzedaż]]/100</f>
        <v>0</v>
      </c>
    </row>
    <row r="385" spans="1:9" x14ac:dyDescent="0.25">
      <c r="A385" s="2">
        <v>44690</v>
      </c>
      <c r="B385" s="1" t="s">
        <v>8</v>
      </c>
      <c r="C385" s="1" t="s">
        <v>16</v>
      </c>
      <c r="D385" s="1" t="s">
        <v>36</v>
      </c>
      <c r="E385">
        <v>625</v>
      </c>
      <c r="F385" s="1">
        <f>VLOOKUP(jablka5[[#This Row],[Nazwa]],cennik[],2,0) * jablka5[[#This Row],[sprzedaż]]</f>
        <v>2187.5</v>
      </c>
      <c r="G385" s="1">
        <f>IF(jablka5[[#This Row],[NIP]]=D384,jablka5[[#This Row],[sprzedaż]]+G384,jablka5[[#This Row],[sprzedaż]])</f>
        <v>8024</v>
      </c>
      <c r="H385" s="1">
        <f>IF(jablka5[[#This Row],[dot sprz]]&lt;15000,0,IF(jablka5[[#This Row],[dot sprz]]&lt;20000,5,10))</f>
        <v>0</v>
      </c>
      <c r="I385" s="1">
        <f>jablka5[[#This Row],[rabat]]*jablka5[[#This Row],[sprzedaż]]/100</f>
        <v>0</v>
      </c>
    </row>
    <row r="386" spans="1:9" x14ac:dyDescent="0.25">
      <c r="A386" s="2">
        <v>44702</v>
      </c>
      <c r="B386" s="1" t="s">
        <v>4</v>
      </c>
      <c r="C386" s="1" t="s">
        <v>16</v>
      </c>
      <c r="D386" s="1" t="s">
        <v>36</v>
      </c>
      <c r="E386">
        <v>546</v>
      </c>
      <c r="F386" s="1">
        <f>VLOOKUP(jablka5[[#This Row],[Nazwa]],cennik[],2,0) * jablka5[[#This Row],[sprzedaż]]</f>
        <v>1856.3999999999999</v>
      </c>
      <c r="G386" s="1">
        <f>IF(jablka5[[#This Row],[NIP]]=D385,jablka5[[#This Row],[sprzedaż]]+G385,jablka5[[#This Row],[sprzedaż]])</f>
        <v>8570</v>
      </c>
      <c r="H386" s="1">
        <f>IF(jablka5[[#This Row],[dot sprz]]&lt;15000,0,IF(jablka5[[#This Row],[dot sprz]]&lt;20000,5,10))</f>
        <v>0</v>
      </c>
      <c r="I386" s="1">
        <f>jablka5[[#This Row],[rabat]]*jablka5[[#This Row],[sprzedaż]]/100</f>
        <v>0</v>
      </c>
    </row>
    <row r="387" spans="1:9" x14ac:dyDescent="0.25">
      <c r="A387" s="2">
        <v>44707</v>
      </c>
      <c r="B387" s="1" t="s">
        <v>5</v>
      </c>
      <c r="C387" s="1" t="s">
        <v>16</v>
      </c>
      <c r="D387" s="1" t="s">
        <v>36</v>
      </c>
      <c r="E387">
        <v>68</v>
      </c>
      <c r="F387" s="1">
        <f>VLOOKUP(jablka5[[#This Row],[Nazwa]],cennik[],2,0) * jablka5[[#This Row],[sprzedaż]]</f>
        <v>231.2</v>
      </c>
      <c r="G387" s="1">
        <f>IF(jablka5[[#This Row],[NIP]]=D386,jablka5[[#This Row],[sprzedaż]]+G386,jablka5[[#This Row],[sprzedaż]])</f>
        <v>8638</v>
      </c>
      <c r="H387" s="1">
        <f>IF(jablka5[[#This Row],[dot sprz]]&lt;15000,0,IF(jablka5[[#This Row],[dot sprz]]&lt;20000,5,10))</f>
        <v>0</v>
      </c>
      <c r="I387" s="1">
        <f>jablka5[[#This Row],[rabat]]*jablka5[[#This Row],[sprzedaż]]/100</f>
        <v>0</v>
      </c>
    </row>
    <row r="388" spans="1:9" x14ac:dyDescent="0.25">
      <c r="A388" s="2">
        <v>44711</v>
      </c>
      <c r="B388" s="1" t="s">
        <v>8</v>
      </c>
      <c r="C388" s="1" t="s">
        <v>16</v>
      </c>
      <c r="D388" s="1" t="s">
        <v>36</v>
      </c>
      <c r="E388">
        <v>449</v>
      </c>
      <c r="F388" s="1">
        <f>VLOOKUP(jablka5[[#This Row],[Nazwa]],cennik[],2,0) * jablka5[[#This Row],[sprzedaż]]</f>
        <v>1571.5</v>
      </c>
      <c r="G388" s="1">
        <f>IF(jablka5[[#This Row],[NIP]]=D387,jablka5[[#This Row],[sprzedaż]]+G387,jablka5[[#This Row],[sprzedaż]])</f>
        <v>9087</v>
      </c>
      <c r="H388" s="1">
        <f>IF(jablka5[[#This Row],[dot sprz]]&lt;15000,0,IF(jablka5[[#This Row],[dot sprz]]&lt;20000,5,10))</f>
        <v>0</v>
      </c>
      <c r="I388" s="1">
        <f>jablka5[[#This Row],[rabat]]*jablka5[[#This Row],[sprzedaż]]/100</f>
        <v>0</v>
      </c>
    </row>
    <row r="389" spans="1:9" x14ac:dyDescent="0.25">
      <c r="A389" s="2">
        <v>44714</v>
      </c>
      <c r="B389" s="1" t="s">
        <v>14</v>
      </c>
      <c r="C389" s="1" t="s">
        <v>67</v>
      </c>
      <c r="D389" s="1" t="s">
        <v>36</v>
      </c>
      <c r="E389">
        <v>45</v>
      </c>
      <c r="F389" s="1">
        <f>VLOOKUP(jablka5[[#This Row],[Nazwa]],cennik[],2,0) * jablka5[[#This Row],[sprzedaż]]</f>
        <v>157.5</v>
      </c>
      <c r="G389" s="1">
        <f>IF(jablka5[[#This Row],[NIP]]=D388,jablka5[[#This Row],[sprzedaż]]+G388,jablka5[[#This Row],[sprzedaż]])</f>
        <v>9132</v>
      </c>
      <c r="H389" s="1">
        <f>IF(jablka5[[#This Row],[dot sprz]]&lt;15000,0,IF(jablka5[[#This Row],[dot sprz]]&lt;20000,5,10))</f>
        <v>0</v>
      </c>
      <c r="I389" s="1">
        <f>jablka5[[#This Row],[rabat]]*jablka5[[#This Row],[sprzedaż]]/100</f>
        <v>0</v>
      </c>
    </row>
    <row r="390" spans="1:9" x14ac:dyDescent="0.25">
      <c r="A390" s="2">
        <v>44718</v>
      </c>
      <c r="B390" s="1" t="s">
        <v>12</v>
      </c>
      <c r="C390" s="1" t="s">
        <v>68</v>
      </c>
      <c r="D390" s="1" t="s">
        <v>36</v>
      </c>
      <c r="E390">
        <v>287</v>
      </c>
      <c r="F390" s="1">
        <f>VLOOKUP(jablka5[[#This Row],[Nazwa]],cennik[],2,0) * jablka5[[#This Row],[sprzedaż]]</f>
        <v>774.90000000000009</v>
      </c>
      <c r="G390" s="1">
        <f>IF(jablka5[[#This Row],[NIP]]=D389,jablka5[[#This Row],[sprzedaż]]+G389,jablka5[[#This Row],[sprzedaż]])</f>
        <v>9419</v>
      </c>
      <c r="H390" s="1">
        <f>IF(jablka5[[#This Row],[dot sprz]]&lt;15000,0,IF(jablka5[[#This Row],[dot sprz]]&lt;20000,5,10))</f>
        <v>0</v>
      </c>
      <c r="I390" s="1">
        <f>jablka5[[#This Row],[rabat]]*jablka5[[#This Row],[sprzedaż]]/100</f>
        <v>0</v>
      </c>
    </row>
    <row r="391" spans="1:9" x14ac:dyDescent="0.25">
      <c r="A391" s="2">
        <v>44727</v>
      </c>
      <c r="B391" s="1" t="s">
        <v>13</v>
      </c>
      <c r="C391" s="1" t="s">
        <v>68</v>
      </c>
      <c r="D391" s="1" t="s">
        <v>36</v>
      </c>
      <c r="E391">
        <v>73</v>
      </c>
      <c r="F391" s="1">
        <f>VLOOKUP(jablka5[[#This Row],[Nazwa]],cennik[],2,0) * jablka5[[#This Row],[sprzedaż]]</f>
        <v>233.60000000000002</v>
      </c>
      <c r="G391" s="1">
        <f>IF(jablka5[[#This Row],[NIP]]=D390,jablka5[[#This Row],[sprzedaż]]+G390,jablka5[[#This Row],[sprzedaż]])</f>
        <v>9492</v>
      </c>
      <c r="H391" s="1">
        <f>IF(jablka5[[#This Row],[dot sprz]]&lt;15000,0,IF(jablka5[[#This Row],[dot sprz]]&lt;20000,5,10))</f>
        <v>0</v>
      </c>
      <c r="I391" s="1">
        <f>jablka5[[#This Row],[rabat]]*jablka5[[#This Row],[sprzedaż]]/100</f>
        <v>0</v>
      </c>
    </row>
    <row r="392" spans="1:9" x14ac:dyDescent="0.25">
      <c r="A392" s="2">
        <v>44732</v>
      </c>
      <c r="B392" s="1" t="s">
        <v>13</v>
      </c>
      <c r="C392" s="1" t="s">
        <v>68</v>
      </c>
      <c r="D392" s="1" t="s">
        <v>36</v>
      </c>
      <c r="E392">
        <v>103</v>
      </c>
      <c r="F392" s="1">
        <f>VLOOKUP(jablka5[[#This Row],[Nazwa]],cennik[],2,0) * jablka5[[#This Row],[sprzedaż]]</f>
        <v>329.6</v>
      </c>
      <c r="G392" s="1">
        <f>IF(jablka5[[#This Row],[NIP]]=D391,jablka5[[#This Row],[sprzedaż]]+G391,jablka5[[#This Row],[sprzedaż]])</f>
        <v>9595</v>
      </c>
      <c r="H392" s="1">
        <f>IF(jablka5[[#This Row],[dot sprz]]&lt;15000,0,IF(jablka5[[#This Row],[dot sprz]]&lt;20000,5,10))</f>
        <v>0</v>
      </c>
      <c r="I392" s="1">
        <f>jablka5[[#This Row],[rabat]]*jablka5[[#This Row],[sprzedaż]]/100</f>
        <v>0</v>
      </c>
    </row>
    <row r="393" spans="1:9" x14ac:dyDescent="0.25">
      <c r="A393" s="2">
        <v>44734</v>
      </c>
      <c r="B393" s="1" t="s">
        <v>14</v>
      </c>
      <c r="C393" s="1" t="s">
        <v>67</v>
      </c>
      <c r="D393" s="1" t="s">
        <v>36</v>
      </c>
      <c r="E393">
        <v>480</v>
      </c>
      <c r="F393" s="1">
        <f>VLOOKUP(jablka5[[#This Row],[Nazwa]],cennik[],2,0) * jablka5[[#This Row],[sprzedaż]]</f>
        <v>1680</v>
      </c>
      <c r="G393" s="1">
        <f>IF(jablka5[[#This Row],[NIP]]=D392,jablka5[[#This Row],[sprzedaż]]+G392,jablka5[[#This Row],[sprzedaż]])</f>
        <v>10075</v>
      </c>
      <c r="H393" s="1">
        <f>IF(jablka5[[#This Row],[dot sprz]]&lt;15000,0,IF(jablka5[[#This Row],[dot sprz]]&lt;20000,5,10))</f>
        <v>0</v>
      </c>
      <c r="I393" s="1">
        <f>jablka5[[#This Row],[rabat]]*jablka5[[#This Row],[sprzedaż]]/100</f>
        <v>0</v>
      </c>
    </row>
    <row r="394" spans="1:9" x14ac:dyDescent="0.25">
      <c r="A394" s="2">
        <v>44735</v>
      </c>
      <c r="B394" s="1" t="s">
        <v>12</v>
      </c>
      <c r="C394" s="1" t="s">
        <v>68</v>
      </c>
      <c r="D394" s="1" t="s">
        <v>36</v>
      </c>
      <c r="E394">
        <v>124</v>
      </c>
      <c r="F394" s="1">
        <f>VLOOKUP(jablka5[[#This Row],[Nazwa]],cennik[],2,0) * jablka5[[#This Row],[sprzedaż]]</f>
        <v>334.8</v>
      </c>
      <c r="G394" s="1">
        <f>IF(jablka5[[#This Row],[NIP]]=D393,jablka5[[#This Row],[sprzedaż]]+G393,jablka5[[#This Row],[sprzedaż]])</f>
        <v>10199</v>
      </c>
      <c r="H394" s="1">
        <f>IF(jablka5[[#This Row],[dot sprz]]&lt;15000,0,IF(jablka5[[#This Row],[dot sprz]]&lt;20000,5,10))</f>
        <v>0</v>
      </c>
      <c r="I394" s="1">
        <f>jablka5[[#This Row],[rabat]]*jablka5[[#This Row],[sprzedaż]]/100</f>
        <v>0</v>
      </c>
    </row>
    <row r="395" spans="1:9" x14ac:dyDescent="0.25">
      <c r="A395" s="2">
        <v>44746</v>
      </c>
      <c r="B395" s="1" t="s">
        <v>13</v>
      </c>
      <c r="C395" s="1" t="s">
        <v>68</v>
      </c>
      <c r="D395" s="1" t="s">
        <v>36</v>
      </c>
      <c r="E395">
        <v>178</v>
      </c>
      <c r="F395" s="1">
        <f>VLOOKUP(jablka5[[#This Row],[Nazwa]],cennik[],2,0) * jablka5[[#This Row],[sprzedaż]]</f>
        <v>569.6</v>
      </c>
      <c r="G395" s="1">
        <f>IF(jablka5[[#This Row],[NIP]]=D394,jablka5[[#This Row],[sprzedaż]]+G394,jablka5[[#This Row],[sprzedaż]])</f>
        <v>10377</v>
      </c>
      <c r="H395" s="1">
        <f>IF(jablka5[[#This Row],[dot sprz]]&lt;15000,0,IF(jablka5[[#This Row],[dot sprz]]&lt;20000,5,10))</f>
        <v>0</v>
      </c>
      <c r="I395" s="1">
        <f>jablka5[[#This Row],[rabat]]*jablka5[[#This Row],[sprzedaż]]/100</f>
        <v>0</v>
      </c>
    </row>
    <row r="396" spans="1:9" x14ac:dyDescent="0.25">
      <c r="A396" s="2">
        <v>44746</v>
      </c>
      <c r="B396" s="1" t="s">
        <v>12</v>
      </c>
      <c r="C396" s="1" t="s">
        <v>68</v>
      </c>
      <c r="D396" s="1" t="s">
        <v>36</v>
      </c>
      <c r="E396">
        <v>326</v>
      </c>
      <c r="F396" s="1">
        <f>VLOOKUP(jablka5[[#This Row],[Nazwa]],cennik[],2,0) * jablka5[[#This Row],[sprzedaż]]</f>
        <v>880.2</v>
      </c>
      <c r="G396" s="1">
        <f>IF(jablka5[[#This Row],[NIP]]=D395,jablka5[[#This Row],[sprzedaż]]+G395,jablka5[[#This Row],[sprzedaż]])</f>
        <v>10703</v>
      </c>
      <c r="H396" s="1">
        <f>IF(jablka5[[#This Row],[dot sprz]]&lt;15000,0,IF(jablka5[[#This Row],[dot sprz]]&lt;20000,5,10))</f>
        <v>0</v>
      </c>
      <c r="I396" s="1">
        <f>jablka5[[#This Row],[rabat]]*jablka5[[#This Row],[sprzedaż]]/100</f>
        <v>0</v>
      </c>
    </row>
    <row r="397" spans="1:9" x14ac:dyDescent="0.25">
      <c r="A397" s="2">
        <v>44747</v>
      </c>
      <c r="B397" s="1" t="s">
        <v>14</v>
      </c>
      <c r="C397" s="1" t="s">
        <v>67</v>
      </c>
      <c r="D397" s="1" t="s">
        <v>36</v>
      </c>
      <c r="E397">
        <v>74</v>
      </c>
      <c r="F397" s="1">
        <f>VLOOKUP(jablka5[[#This Row],[Nazwa]],cennik[],2,0) * jablka5[[#This Row],[sprzedaż]]</f>
        <v>259</v>
      </c>
      <c r="G397" s="1">
        <f>IF(jablka5[[#This Row],[NIP]]=D396,jablka5[[#This Row],[sprzedaż]]+G396,jablka5[[#This Row],[sprzedaż]])</f>
        <v>10777</v>
      </c>
      <c r="H397" s="1">
        <f>IF(jablka5[[#This Row],[dot sprz]]&lt;15000,0,IF(jablka5[[#This Row],[dot sprz]]&lt;20000,5,10))</f>
        <v>0</v>
      </c>
      <c r="I397" s="1">
        <f>jablka5[[#This Row],[rabat]]*jablka5[[#This Row],[sprzedaż]]/100</f>
        <v>0</v>
      </c>
    </row>
    <row r="398" spans="1:9" x14ac:dyDescent="0.25">
      <c r="A398" s="2">
        <v>44757</v>
      </c>
      <c r="B398" s="1" t="s">
        <v>12</v>
      </c>
      <c r="C398" s="1" t="s">
        <v>68</v>
      </c>
      <c r="D398" s="1" t="s">
        <v>36</v>
      </c>
      <c r="E398">
        <v>313</v>
      </c>
      <c r="F398" s="1">
        <f>VLOOKUP(jablka5[[#This Row],[Nazwa]],cennik[],2,0) * jablka5[[#This Row],[sprzedaż]]</f>
        <v>845.1</v>
      </c>
      <c r="G398" s="1">
        <f>IF(jablka5[[#This Row],[NIP]]=D397,jablka5[[#This Row],[sprzedaż]]+G397,jablka5[[#This Row],[sprzedaż]])</f>
        <v>11090</v>
      </c>
      <c r="H398" s="1">
        <f>IF(jablka5[[#This Row],[dot sprz]]&lt;15000,0,IF(jablka5[[#This Row],[dot sprz]]&lt;20000,5,10))</f>
        <v>0</v>
      </c>
      <c r="I398" s="1">
        <f>jablka5[[#This Row],[rabat]]*jablka5[[#This Row],[sprzedaż]]/100</f>
        <v>0</v>
      </c>
    </row>
    <row r="399" spans="1:9" x14ac:dyDescent="0.25">
      <c r="A399" s="2">
        <v>44760</v>
      </c>
      <c r="B399" s="1" t="s">
        <v>12</v>
      </c>
      <c r="C399" s="1" t="s">
        <v>68</v>
      </c>
      <c r="D399" s="1" t="s">
        <v>36</v>
      </c>
      <c r="E399">
        <v>365</v>
      </c>
      <c r="F399" s="1">
        <f>VLOOKUP(jablka5[[#This Row],[Nazwa]],cennik[],2,0) * jablka5[[#This Row],[sprzedaż]]</f>
        <v>985.50000000000011</v>
      </c>
      <c r="G399" s="1">
        <f>IF(jablka5[[#This Row],[NIP]]=D398,jablka5[[#This Row],[sprzedaż]]+G398,jablka5[[#This Row],[sprzedaż]])</f>
        <v>11455</v>
      </c>
      <c r="H399" s="1">
        <f>IF(jablka5[[#This Row],[dot sprz]]&lt;15000,0,IF(jablka5[[#This Row],[dot sprz]]&lt;20000,5,10))</f>
        <v>0</v>
      </c>
      <c r="I399" s="1">
        <f>jablka5[[#This Row],[rabat]]*jablka5[[#This Row],[sprzedaż]]/100</f>
        <v>0</v>
      </c>
    </row>
    <row r="400" spans="1:9" x14ac:dyDescent="0.25">
      <c r="A400" s="2">
        <v>44762</v>
      </c>
      <c r="B400" s="1" t="s">
        <v>12</v>
      </c>
      <c r="C400" s="1" t="s">
        <v>68</v>
      </c>
      <c r="D400" s="1" t="s">
        <v>36</v>
      </c>
      <c r="E400">
        <v>397</v>
      </c>
      <c r="F400" s="1">
        <f>VLOOKUP(jablka5[[#This Row],[Nazwa]],cennik[],2,0) * jablka5[[#This Row],[sprzedaż]]</f>
        <v>1071.9000000000001</v>
      </c>
      <c r="G400" s="1">
        <f>IF(jablka5[[#This Row],[NIP]]=D399,jablka5[[#This Row],[sprzedaż]]+G399,jablka5[[#This Row],[sprzedaż]])</f>
        <v>11852</v>
      </c>
      <c r="H400" s="1">
        <f>IF(jablka5[[#This Row],[dot sprz]]&lt;15000,0,IF(jablka5[[#This Row],[dot sprz]]&lt;20000,5,10))</f>
        <v>0</v>
      </c>
      <c r="I400" s="1">
        <f>jablka5[[#This Row],[rabat]]*jablka5[[#This Row],[sprzedaż]]/100</f>
        <v>0</v>
      </c>
    </row>
    <row r="401" spans="1:9" x14ac:dyDescent="0.25">
      <c r="A401" s="2">
        <v>44764</v>
      </c>
      <c r="B401" s="1" t="s">
        <v>14</v>
      </c>
      <c r="C401" s="1" t="s">
        <v>67</v>
      </c>
      <c r="D401" s="1" t="s">
        <v>36</v>
      </c>
      <c r="E401">
        <v>302</v>
      </c>
      <c r="F401" s="1">
        <f>VLOOKUP(jablka5[[#This Row],[Nazwa]],cennik[],2,0) * jablka5[[#This Row],[sprzedaż]]</f>
        <v>1057</v>
      </c>
      <c r="G401" s="1">
        <f>IF(jablka5[[#This Row],[NIP]]=D400,jablka5[[#This Row],[sprzedaż]]+G400,jablka5[[#This Row],[sprzedaż]])</f>
        <v>12154</v>
      </c>
      <c r="H401" s="1">
        <f>IF(jablka5[[#This Row],[dot sprz]]&lt;15000,0,IF(jablka5[[#This Row],[dot sprz]]&lt;20000,5,10))</f>
        <v>0</v>
      </c>
      <c r="I401" s="1">
        <f>jablka5[[#This Row],[rabat]]*jablka5[[#This Row],[sprzedaż]]/100</f>
        <v>0</v>
      </c>
    </row>
    <row r="402" spans="1:9" x14ac:dyDescent="0.25">
      <c r="A402" s="2">
        <v>44769</v>
      </c>
      <c r="B402" s="1" t="s">
        <v>13</v>
      </c>
      <c r="C402" s="1" t="s">
        <v>68</v>
      </c>
      <c r="D402" s="1" t="s">
        <v>36</v>
      </c>
      <c r="E402">
        <v>428</v>
      </c>
      <c r="F402" s="1">
        <f>VLOOKUP(jablka5[[#This Row],[Nazwa]],cennik[],2,0) * jablka5[[#This Row],[sprzedaż]]</f>
        <v>1369.6000000000001</v>
      </c>
      <c r="G402" s="1">
        <f>IF(jablka5[[#This Row],[NIP]]=D401,jablka5[[#This Row],[sprzedaż]]+G401,jablka5[[#This Row],[sprzedaż]])</f>
        <v>12582</v>
      </c>
      <c r="H402" s="1">
        <f>IF(jablka5[[#This Row],[dot sprz]]&lt;15000,0,IF(jablka5[[#This Row],[dot sprz]]&lt;20000,5,10))</f>
        <v>0</v>
      </c>
      <c r="I402" s="1">
        <f>jablka5[[#This Row],[rabat]]*jablka5[[#This Row],[sprzedaż]]/100</f>
        <v>0</v>
      </c>
    </row>
    <row r="403" spans="1:9" x14ac:dyDescent="0.25">
      <c r="A403" s="2">
        <v>44770</v>
      </c>
      <c r="B403" s="1" t="s">
        <v>12</v>
      </c>
      <c r="C403" s="1" t="s">
        <v>68</v>
      </c>
      <c r="D403" s="1" t="s">
        <v>36</v>
      </c>
      <c r="E403">
        <v>259</v>
      </c>
      <c r="F403" s="1">
        <f>VLOOKUP(jablka5[[#This Row],[Nazwa]],cennik[],2,0) * jablka5[[#This Row],[sprzedaż]]</f>
        <v>699.30000000000007</v>
      </c>
      <c r="G403" s="1">
        <f>IF(jablka5[[#This Row],[NIP]]=D402,jablka5[[#This Row],[sprzedaż]]+G402,jablka5[[#This Row],[sprzedaż]])</f>
        <v>12841</v>
      </c>
      <c r="H403" s="1">
        <f>IF(jablka5[[#This Row],[dot sprz]]&lt;15000,0,IF(jablka5[[#This Row],[dot sprz]]&lt;20000,5,10))</f>
        <v>0</v>
      </c>
      <c r="I403" s="1">
        <f>jablka5[[#This Row],[rabat]]*jablka5[[#This Row],[sprzedaż]]/100</f>
        <v>0</v>
      </c>
    </row>
    <row r="404" spans="1:9" x14ac:dyDescent="0.25">
      <c r="A404" s="2">
        <v>44774</v>
      </c>
      <c r="B404" s="1" t="s">
        <v>12</v>
      </c>
      <c r="C404" s="1" t="s">
        <v>68</v>
      </c>
      <c r="D404" s="1" t="s">
        <v>36</v>
      </c>
      <c r="E404">
        <v>165</v>
      </c>
      <c r="F404" s="1">
        <f>VLOOKUP(jablka5[[#This Row],[Nazwa]],cennik[],2,0) * jablka5[[#This Row],[sprzedaż]]</f>
        <v>445.50000000000006</v>
      </c>
      <c r="G404" s="1">
        <f>IF(jablka5[[#This Row],[NIP]]=D403,jablka5[[#This Row],[sprzedaż]]+G403,jablka5[[#This Row],[sprzedaż]])</f>
        <v>13006</v>
      </c>
      <c r="H404" s="1">
        <f>IF(jablka5[[#This Row],[dot sprz]]&lt;15000,0,IF(jablka5[[#This Row],[dot sprz]]&lt;20000,5,10))</f>
        <v>0</v>
      </c>
      <c r="I404" s="1">
        <f>jablka5[[#This Row],[rabat]]*jablka5[[#This Row],[sprzedaż]]/100</f>
        <v>0</v>
      </c>
    </row>
    <row r="405" spans="1:9" x14ac:dyDescent="0.25">
      <c r="A405" s="2">
        <v>44789</v>
      </c>
      <c r="B405" s="1" t="s">
        <v>14</v>
      </c>
      <c r="C405" s="1" t="s">
        <v>67</v>
      </c>
      <c r="D405" s="1" t="s">
        <v>36</v>
      </c>
      <c r="E405">
        <v>189</v>
      </c>
      <c r="F405" s="1">
        <f>VLOOKUP(jablka5[[#This Row],[Nazwa]],cennik[],2,0) * jablka5[[#This Row],[sprzedaż]]</f>
        <v>661.5</v>
      </c>
      <c r="G405" s="1">
        <f>IF(jablka5[[#This Row],[NIP]]=D404,jablka5[[#This Row],[sprzedaż]]+G404,jablka5[[#This Row],[sprzedaż]])</f>
        <v>13195</v>
      </c>
      <c r="H405" s="1">
        <f>IF(jablka5[[#This Row],[dot sprz]]&lt;15000,0,IF(jablka5[[#This Row],[dot sprz]]&lt;20000,5,10))</f>
        <v>0</v>
      </c>
      <c r="I405" s="1">
        <f>jablka5[[#This Row],[rabat]]*jablka5[[#This Row],[sprzedaż]]/100</f>
        <v>0</v>
      </c>
    </row>
    <row r="406" spans="1:9" x14ac:dyDescent="0.25">
      <c r="A406" s="2">
        <v>44810</v>
      </c>
      <c r="B406" s="1" t="s">
        <v>3</v>
      </c>
      <c r="C406" s="1" t="s">
        <v>67</v>
      </c>
      <c r="D406" s="1" t="s">
        <v>36</v>
      </c>
      <c r="E406">
        <v>34</v>
      </c>
      <c r="F406" s="1">
        <f>VLOOKUP(jablka5[[#This Row],[Nazwa]],cennik[],2,0) * jablka5[[#This Row],[sprzedaż]]</f>
        <v>108.80000000000001</v>
      </c>
      <c r="G406" s="1">
        <f>IF(jablka5[[#This Row],[NIP]]=D405,jablka5[[#This Row],[sprzedaż]]+G405,jablka5[[#This Row],[sprzedaż]])</f>
        <v>13229</v>
      </c>
      <c r="H406" s="1">
        <f>IF(jablka5[[#This Row],[dot sprz]]&lt;15000,0,IF(jablka5[[#This Row],[dot sprz]]&lt;20000,5,10))</f>
        <v>0</v>
      </c>
      <c r="I406" s="1">
        <f>jablka5[[#This Row],[rabat]]*jablka5[[#This Row],[sprzedaż]]/100</f>
        <v>0</v>
      </c>
    </row>
    <row r="407" spans="1:9" x14ac:dyDescent="0.25">
      <c r="A407" s="2">
        <v>44813</v>
      </c>
      <c r="B407" s="1" t="s">
        <v>14</v>
      </c>
      <c r="C407" s="1" t="s">
        <v>67</v>
      </c>
      <c r="D407" s="1" t="s">
        <v>36</v>
      </c>
      <c r="E407">
        <v>434</v>
      </c>
      <c r="F407" s="1">
        <f>VLOOKUP(jablka5[[#This Row],[Nazwa]],cennik[],2,0) * jablka5[[#This Row],[sprzedaż]]</f>
        <v>1519</v>
      </c>
      <c r="G407" s="1">
        <f>IF(jablka5[[#This Row],[NIP]]=D406,jablka5[[#This Row],[sprzedaż]]+G406,jablka5[[#This Row],[sprzedaż]])</f>
        <v>13663</v>
      </c>
      <c r="H407" s="1">
        <f>IF(jablka5[[#This Row],[dot sprz]]&lt;15000,0,IF(jablka5[[#This Row],[dot sprz]]&lt;20000,5,10))</f>
        <v>0</v>
      </c>
      <c r="I407" s="1">
        <f>jablka5[[#This Row],[rabat]]*jablka5[[#This Row],[sprzedaż]]/100</f>
        <v>0</v>
      </c>
    </row>
    <row r="408" spans="1:9" x14ac:dyDescent="0.25">
      <c r="A408" s="2">
        <v>44818</v>
      </c>
      <c r="B408" s="1" t="s">
        <v>3</v>
      </c>
      <c r="C408" s="1" t="s">
        <v>67</v>
      </c>
      <c r="D408" s="1" t="s">
        <v>36</v>
      </c>
      <c r="E408">
        <v>393</v>
      </c>
      <c r="F408" s="1">
        <f>VLOOKUP(jablka5[[#This Row],[Nazwa]],cennik[],2,0) * jablka5[[#This Row],[sprzedaż]]</f>
        <v>1257.6000000000001</v>
      </c>
      <c r="G408" s="1">
        <f>IF(jablka5[[#This Row],[NIP]]=D407,jablka5[[#This Row],[sprzedaż]]+G407,jablka5[[#This Row],[sprzedaż]])</f>
        <v>14056</v>
      </c>
      <c r="H408" s="1">
        <f>IF(jablka5[[#This Row],[dot sprz]]&lt;15000,0,IF(jablka5[[#This Row],[dot sprz]]&lt;20000,5,10))</f>
        <v>0</v>
      </c>
      <c r="I408" s="1">
        <f>jablka5[[#This Row],[rabat]]*jablka5[[#This Row],[sprzedaż]]/100</f>
        <v>0</v>
      </c>
    </row>
    <row r="409" spans="1:9" x14ac:dyDescent="0.25">
      <c r="A409" s="2">
        <v>44827</v>
      </c>
      <c r="B409" s="1" t="s">
        <v>14</v>
      </c>
      <c r="C409" s="1" t="s">
        <v>67</v>
      </c>
      <c r="D409" s="1" t="s">
        <v>36</v>
      </c>
      <c r="E409">
        <v>242</v>
      </c>
      <c r="F409" s="1">
        <f>VLOOKUP(jablka5[[#This Row],[Nazwa]],cennik[],2,0) * jablka5[[#This Row],[sprzedaż]]</f>
        <v>847</v>
      </c>
      <c r="G409" s="1">
        <f>IF(jablka5[[#This Row],[NIP]]=D408,jablka5[[#This Row],[sprzedaż]]+G408,jablka5[[#This Row],[sprzedaż]])</f>
        <v>14298</v>
      </c>
      <c r="H409" s="1">
        <f>IF(jablka5[[#This Row],[dot sprz]]&lt;15000,0,IF(jablka5[[#This Row],[dot sprz]]&lt;20000,5,10))</f>
        <v>0</v>
      </c>
      <c r="I409" s="1">
        <f>jablka5[[#This Row],[rabat]]*jablka5[[#This Row],[sprzedaż]]/100</f>
        <v>0</v>
      </c>
    </row>
    <row r="410" spans="1:9" x14ac:dyDescent="0.25">
      <c r="A410" s="2">
        <v>44833</v>
      </c>
      <c r="B410" s="1" t="s">
        <v>11</v>
      </c>
      <c r="C410" s="1" t="s">
        <v>67</v>
      </c>
      <c r="D410" s="1" t="s">
        <v>36</v>
      </c>
      <c r="E410">
        <v>364</v>
      </c>
      <c r="F410" s="1">
        <f>VLOOKUP(jablka5[[#This Row],[Nazwa]],cennik[],2,0) * jablka5[[#This Row],[sprzedaż]]</f>
        <v>910</v>
      </c>
      <c r="G410" s="1">
        <f>IF(jablka5[[#This Row],[NIP]]=D409,jablka5[[#This Row],[sprzedaż]]+G409,jablka5[[#This Row],[sprzedaż]])</f>
        <v>14662</v>
      </c>
      <c r="H410" s="1">
        <f>IF(jablka5[[#This Row],[dot sprz]]&lt;15000,0,IF(jablka5[[#This Row],[dot sprz]]&lt;20000,5,10))</f>
        <v>0</v>
      </c>
      <c r="I410" s="1">
        <f>jablka5[[#This Row],[rabat]]*jablka5[[#This Row],[sprzedaż]]/100</f>
        <v>0</v>
      </c>
    </row>
    <row r="411" spans="1:9" x14ac:dyDescent="0.25">
      <c r="A411" s="2">
        <v>44837</v>
      </c>
      <c r="B411" s="1" t="s">
        <v>14</v>
      </c>
      <c r="C411" s="1" t="s">
        <v>67</v>
      </c>
      <c r="D411" s="1" t="s">
        <v>36</v>
      </c>
      <c r="E411">
        <v>314</v>
      </c>
      <c r="F411" s="1">
        <f>VLOOKUP(jablka5[[#This Row],[Nazwa]],cennik[],2,0) * jablka5[[#This Row],[sprzedaż]]</f>
        <v>1099</v>
      </c>
      <c r="G411" s="1">
        <f>IF(jablka5[[#This Row],[NIP]]=D410,jablka5[[#This Row],[sprzedaż]]+G410,jablka5[[#This Row],[sprzedaż]])</f>
        <v>14976</v>
      </c>
      <c r="H411" s="1">
        <f>IF(jablka5[[#This Row],[dot sprz]]&lt;15000,0,IF(jablka5[[#This Row],[dot sprz]]&lt;20000,5,10))</f>
        <v>0</v>
      </c>
      <c r="I411" s="1">
        <f>jablka5[[#This Row],[rabat]]*jablka5[[#This Row],[sprzedaż]]/100</f>
        <v>0</v>
      </c>
    </row>
    <row r="412" spans="1:9" x14ac:dyDescent="0.25">
      <c r="A412" s="2">
        <v>44849</v>
      </c>
      <c r="B412" s="1" t="s">
        <v>14</v>
      </c>
      <c r="C412" s="1" t="s">
        <v>67</v>
      </c>
      <c r="D412" s="1" t="s">
        <v>36</v>
      </c>
      <c r="E412">
        <v>386</v>
      </c>
      <c r="F412" s="1">
        <f>VLOOKUP(jablka5[[#This Row],[Nazwa]],cennik[],2,0) * jablka5[[#This Row],[sprzedaż]]</f>
        <v>1351</v>
      </c>
      <c r="G412" s="1">
        <f>IF(jablka5[[#This Row],[NIP]]=D411,jablka5[[#This Row],[sprzedaż]]+G411,jablka5[[#This Row],[sprzedaż]])</f>
        <v>15362</v>
      </c>
      <c r="H412" s="1">
        <f>IF(jablka5[[#This Row],[dot sprz]]&lt;15000,0,IF(jablka5[[#This Row],[dot sprz]]&lt;20000,5,10))</f>
        <v>5</v>
      </c>
      <c r="I412" s="1">
        <f>jablka5[[#This Row],[rabat]]*jablka5[[#This Row],[sprzedaż]]/100</f>
        <v>19.3</v>
      </c>
    </row>
    <row r="413" spans="1:9" x14ac:dyDescent="0.25">
      <c r="A413" s="2">
        <v>44861</v>
      </c>
      <c r="B413" s="1" t="s">
        <v>1</v>
      </c>
      <c r="C413" s="1" t="s">
        <v>67</v>
      </c>
      <c r="D413" s="1" t="s">
        <v>36</v>
      </c>
      <c r="E413">
        <v>316</v>
      </c>
      <c r="F413" s="1">
        <f>VLOOKUP(jablka5[[#This Row],[Nazwa]],cennik[],2,0) * jablka5[[#This Row],[sprzedaż]]</f>
        <v>1011.2</v>
      </c>
      <c r="G413" s="1">
        <f>IF(jablka5[[#This Row],[NIP]]=D412,jablka5[[#This Row],[sprzedaż]]+G412,jablka5[[#This Row],[sprzedaż]])</f>
        <v>15678</v>
      </c>
      <c r="H413" s="1">
        <f>IF(jablka5[[#This Row],[dot sprz]]&lt;15000,0,IF(jablka5[[#This Row],[dot sprz]]&lt;20000,5,10))</f>
        <v>5</v>
      </c>
      <c r="I413" s="1">
        <f>jablka5[[#This Row],[rabat]]*jablka5[[#This Row],[sprzedaż]]/100</f>
        <v>15.8</v>
      </c>
    </row>
    <row r="414" spans="1:9" x14ac:dyDescent="0.25">
      <c r="A414" s="2">
        <v>44865</v>
      </c>
      <c r="B414" s="1" t="s">
        <v>1</v>
      </c>
      <c r="C414" s="1" t="s">
        <v>67</v>
      </c>
      <c r="D414" s="1" t="s">
        <v>36</v>
      </c>
      <c r="E414">
        <v>446</v>
      </c>
      <c r="F414" s="1">
        <f>VLOOKUP(jablka5[[#This Row],[Nazwa]],cennik[],2,0) * jablka5[[#This Row],[sprzedaż]]</f>
        <v>1427.2</v>
      </c>
      <c r="G414" s="1">
        <f>IF(jablka5[[#This Row],[NIP]]=D413,jablka5[[#This Row],[sprzedaż]]+G413,jablka5[[#This Row],[sprzedaż]])</f>
        <v>16124</v>
      </c>
      <c r="H414" s="1">
        <f>IF(jablka5[[#This Row],[dot sprz]]&lt;15000,0,IF(jablka5[[#This Row],[dot sprz]]&lt;20000,5,10))</f>
        <v>5</v>
      </c>
      <c r="I414" s="1">
        <f>jablka5[[#This Row],[rabat]]*jablka5[[#This Row],[sprzedaż]]/100</f>
        <v>22.3</v>
      </c>
    </row>
    <row r="415" spans="1:9" x14ac:dyDescent="0.25">
      <c r="A415" s="2">
        <v>44869</v>
      </c>
      <c r="B415" s="1" t="s">
        <v>1</v>
      </c>
      <c r="C415" s="1" t="s">
        <v>67</v>
      </c>
      <c r="D415" s="1" t="s">
        <v>36</v>
      </c>
      <c r="E415">
        <v>467</v>
      </c>
      <c r="F415" s="1">
        <f>VLOOKUP(jablka5[[#This Row],[Nazwa]],cennik[],2,0) * jablka5[[#This Row],[sprzedaż]]</f>
        <v>1494.4</v>
      </c>
      <c r="G415" s="1">
        <f>IF(jablka5[[#This Row],[NIP]]=D414,jablka5[[#This Row],[sprzedaż]]+G414,jablka5[[#This Row],[sprzedaż]])</f>
        <v>16591</v>
      </c>
      <c r="H415" s="1">
        <f>IF(jablka5[[#This Row],[dot sprz]]&lt;15000,0,IF(jablka5[[#This Row],[dot sprz]]&lt;20000,5,10))</f>
        <v>5</v>
      </c>
      <c r="I415" s="1">
        <f>jablka5[[#This Row],[rabat]]*jablka5[[#This Row],[sprzedaż]]/100</f>
        <v>23.35</v>
      </c>
    </row>
    <row r="416" spans="1:9" x14ac:dyDescent="0.25">
      <c r="A416" s="2">
        <v>44891</v>
      </c>
      <c r="B416" s="1" t="s">
        <v>11</v>
      </c>
      <c r="C416" s="1" t="s">
        <v>67</v>
      </c>
      <c r="D416" s="1" t="s">
        <v>36</v>
      </c>
      <c r="E416">
        <v>350</v>
      </c>
      <c r="F416" s="1">
        <f>VLOOKUP(jablka5[[#This Row],[Nazwa]],cennik[],2,0) * jablka5[[#This Row],[sprzedaż]]</f>
        <v>875</v>
      </c>
      <c r="G416" s="1">
        <f>IF(jablka5[[#This Row],[NIP]]=D415,jablka5[[#This Row],[sprzedaż]]+G415,jablka5[[#This Row],[sprzedaż]])</f>
        <v>16941</v>
      </c>
      <c r="H416" s="1">
        <f>IF(jablka5[[#This Row],[dot sprz]]&lt;15000,0,IF(jablka5[[#This Row],[dot sprz]]&lt;20000,5,10))</f>
        <v>5</v>
      </c>
      <c r="I416" s="1">
        <f>jablka5[[#This Row],[rabat]]*jablka5[[#This Row],[sprzedaż]]/100</f>
        <v>17.5</v>
      </c>
    </row>
    <row r="417" spans="1:9" x14ac:dyDescent="0.25">
      <c r="A417" s="2">
        <v>44893</v>
      </c>
      <c r="B417" s="1" t="s">
        <v>1</v>
      </c>
      <c r="C417" s="1" t="s">
        <v>67</v>
      </c>
      <c r="D417" s="1" t="s">
        <v>36</v>
      </c>
      <c r="E417">
        <v>160</v>
      </c>
      <c r="F417" s="1">
        <f>VLOOKUP(jablka5[[#This Row],[Nazwa]],cennik[],2,0) * jablka5[[#This Row],[sprzedaż]]</f>
        <v>512</v>
      </c>
      <c r="G417" s="1">
        <f>IF(jablka5[[#This Row],[NIP]]=D416,jablka5[[#This Row],[sprzedaż]]+G416,jablka5[[#This Row],[sprzedaż]])</f>
        <v>17101</v>
      </c>
      <c r="H417" s="1">
        <f>IF(jablka5[[#This Row],[dot sprz]]&lt;15000,0,IF(jablka5[[#This Row],[dot sprz]]&lt;20000,5,10))</f>
        <v>5</v>
      </c>
      <c r="I417" s="1">
        <f>jablka5[[#This Row],[rabat]]*jablka5[[#This Row],[sprzedaż]]/100</f>
        <v>8</v>
      </c>
    </row>
    <row r="418" spans="1:9" x14ac:dyDescent="0.25">
      <c r="A418" s="2">
        <v>44898</v>
      </c>
      <c r="B418" s="1" t="s">
        <v>10</v>
      </c>
      <c r="C418" s="1" t="s">
        <v>16</v>
      </c>
      <c r="D418" s="1" t="s">
        <v>36</v>
      </c>
      <c r="E418">
        <v>437</v>
      </c>
      <c r="F418" s="1">
        <f>VLOOKUP(jablka5[[#This Row],[Nazwa]],cennik[],2,0) * jablka5[[#This Row],[sprzedaż]]</f>
        <v>1485.8</v>
      </c>
      <c r="G418" s="1">
        <f>IF(jablka5[[#This Row],[NIP]]=D417,jablka5[[#This Row],[sprzedaż]]+G417,jablka5[[#This Row],[sprzedaż]])</f>
        <v>17538</v>
      </c>
      <c r="H418" s="1">
        <f>IF(jablka5[[#This Row],[dot sprz]]&lt;15000,0,IF(jablka5[[#This Row],[dot sprz]]&lt;20000,5,10))</f>
        <v>5</v>
      </c>
      <c r="I418" s="1">
        <f>jablka5[[#This Row],[rabat]]*jablka5[[#This Row],[sprzedaż]]/100</f>
        <v>21.85</v>
      </c>
    </row>
    <row r="419" spans="1:9" x14ac:dyDescent="0.25">
      <c r="A419" s="2">
        <v>44907</v>
      </c>
      <c r="B419" s="1" t="s">
        <v>15</v>
      </c>
      <c r="C419" s="1" t="s">
        <v>16</v>
      </c>
      <c r="D419" s="1" t="s">
        <v>36</v>
      </c>
      <c r="E419">
        <v>303</v>
      </c>
      <c r="F419" s="1">
        <f>VLOOKUP(jablka5[[#This Row],[Nazwa]],cennik[],2,0) * jablka5[[#This Row],[sprzedaż]]</f>
        <v>727.19999999999993</v>
      </c>
      <c r="G419" s="1">
        <f>IF(jablka5[[#This Row],[NIP]]=D418,jablka5[[#This Row],[sprzedaż]]+G418,jablka5[[#This Row],[sprzedaż]])</f>
        <v>17841</v>
      </c>
      <c r="H419" s="1">
        <f>IF(jablka5[[#This Row],[dot sprz]]&lt;15000,0,IF(jablka5[[#This Row],[dot sprz]]&lt;20000,5,10))</f>
        <v>5</v>
      </c>
      <c r="I419" s="1">
        <f>jablka5[[#This Row],[rabat]]*jablka5[[#This Row],[sprzedaż]]/100</f>
        <v>15.15</v>
      </c>
    </row>
    <row r="420" spans="1:9" x14ac:dyDescent="0.25">
      <c r="A420" s="2">
        <v>44907</v>
      </c>
      <c r="B420" s="1" t="s">
        <v>4</v>
      </c>
      <c r="C420" s="1" t="s">
        <v>16</v>
      </c>
      <c r="D420" s="1" t="s">
        <v>36</v>
      </c>
      <c r="E420">
        <v>579</v>
      </c>
      <c r="F420" s="1">
        <f>VLOOKUP(jablka5[[#This Row],[Nazwa]],cennik[],2,0) * jablka5[[#This Row],[sprzedaż]]</f>
        <v>1968.6</v>
      </c>
      <c r="G420" s="1">
        <f>IF(jablka5[[#This Row],[NIP]]=D419,jablka5[[#This Row],[sprzedaż]]+G419,jablka5[[#This Row],[sprzedaż]])</f>
        <v>18420</v>
      </c>
      <c r="H420" s="1">
        <f>IF(jablka5[[#This Row],[dot sprz]]&lt;15000,0,IF(jablka5[[#This Row],[dot sprz]]&lt;20000,5,10))</f>
        <v>5</v>
      </c>
      <c r="I420" s="1">
        <f>jablka5[[#This Row],[rabat]]*jablka5[[#This Row],[sprzedaż]]/100</f>
        <v>28.95</v>
      </c>
    </row>
    <row r="421" spans="1:9" x14ac:dyDescent="0.25">
      <c r="A421" s="2">
        <v>44914</v>
      </c>
      <c r="B421" s="1" t="s">
        <v>10</v>
      </c>
      <c r="C421" s="1" t="s">
        <v>16</v>
      </c>
      <c r="D421" s="1" t="s">
        <v>36</v>
      </c>
      <c r="E421">
        <v>418</v>
      </c>
      <c r="F421" s="1">
        <f>VLOOKUP(jablka5[[#This Row],[Nazwa]],cennik[],2,0) * jablka5[[#This Row],[sprzedaż]]</f>
        <v>1421.2</v>
      </c>
      <c r="G421" s="1">
        <f>IF(jablka5[[#This Row],[NIP]]=D420,jablka5[[#This Row],[sprzedaż]]+G420,jablka5[[#This Row],[sprzedaż]])</f>
        <v>18838</v>
      </c>
      <c r="H421" s="1">
        <f>IF(jablka5[[#This Row],[dot sprz]]&lt;15000,0,IF(jablka5[[#This Row],[dot sprz]]&lt;20000,5,10))</f>
        <v>5</v>
      </c>
      <c r="I421" s="1">
        <f>jablka5[[#This Row],[rabat]]*jablka5[[#This Row],[sprzedaż]]/100</f>
        <v>20.9</v>
      </c>
    </row>
    <row r="422" spans="1:9" x14ac:dyDescent="0.25">
      <c r="A422" s="2">
        <v>44914</v>
      </c>
      <c r="B422" s="1" t="s">
        <v>10</v>
      </c>
      <c r="C422" s="1" t="s">
        <v>16</v>
      </c>
      <c r="D422" s="1" t="s">
        <v>36</v>
      </c>
      <c r="E422">
        <v>272</v>
      </c>
      <c r="F422" s="1">
        <f>VLOOKUP(jablka5[[#This Row],[Nazwa]],cennik[],2,0) * jablka5[[#This Row],[sprzedaż]]</f>
        <v>924.8</v>
      </c>
      <c r="G422" s="1">
        <f>IF(jablka5[[#This Row],[NIP]]=D421,jablka5[[#This Row],[sprzedaż]]+G421,jablka5[[#This Row],[sprzedaż]])</f>
        <v>19110</v>
      </c>
      <c r="H422" s="1">
        <f>IF(jablka5[[#This Row],[dot sprz]]&lt;15000,0,IF(jablka5[[#This Row],[dot sprz]]&lt;20000,5,10))</f>
        <v>5</v>
      </c>
      <c r="I422" s="1">
        <f>jablka5[[#This Row],[rabat]]*jablka5[[#This Row],[sprzedaż]]/100</f>
        <v>13.6</v>
      </c>
    </row>
    <row r="423" spans="1:9" x14ac:dyDescent="0.25">
      <c r="A423" s="2">
        <v>44924</v>
      </c>
      <c r="B423" s="1" t="s">
        <v>15</v>
      </c>
      <c r="C423" s="1" t="s">
        <v>16</v>
      </c>
      <c r="D423" s="1" t="s">
        <v>36</v>
      </c>
      <c r="E423">
        <v>354</v>
      </c>
      <c r="F423" s="1">
        <f>VLOOKUP(jablka5[[#This Row],[Nazwa]],cennik[],2,0) * jablka5[[#This Row],[sprzedaż]]</f>
        <v>849.6</v>
      </c>
      <c r="G423" s="1">
        <f>IF(jablka5[[#This Row],[NIP]]=D422,jablka5[[#This Row],[sprzedaż]]+G422,jablka5[[#This Row],[sprzedaż]])</f>
        <v>19464</v>
      </c>
      <c r="H423" s="1">
        <f>IF(jablka5[[#This Row],[dot sprz]]&lt;15000,0,IF(jablka5[[#This Row],[dot sprz]]&lt;20000,5,10))</f>
        <v>5</v>
      </c>
      <c r="I423" s="1">
        <f>jablka5[[#This Row],[rabat]]*jablka5[[#This Row],[sprzedaż]]/100</f>
        <v>17.7</v>
      </c>
    </row>
    <row r="424" spans="1:9" x14ac:dyDescent="0.25">
      <c r="A424" s="2">
        <v>44572</v>
      </c>
      <c r="B424" s="1" t="s">
        <v>6</v>
      </c>
      <c r="C424" s="1" t="s">
        <v>16</v>
      </c>
      <c r="D424" s="1" t="s">
        <v>56</v>
      </c>
      <c r="E424">
        <v>450</v>
      </c>
      <c r="F424" s="1">
        <f>VLOOKUP(jablka5[[#This Row],[Nazwa]],cennik[],2,0) * jablka5[[#This Row],[sprzedaż]]</f>
        <v>1530</v>
      </c>
      <c r="G424" s="1">
        <f>IF(jablka5[[#This Row],[NIP]]=D423,jablka5[[#This Row],[sprzedaż]]+G423,jablka5[[#This Row],[sprzedaż]])</f>
        <v>450</v>
      </c>
      <c r="H424" s="1">
        <f>IF(jablka5[[#This Row],[dot sprz]]&lt;15000,0,IF(jablka5[[#This Row],[dot sprz]]&lt;20000,5,10))</f>
        <v>0</v>
      </c>
      <c r="I424" s="1">
        <f>jablka5[[#This Row],[rabat]]*jablka5[[#This Row],[sprzedaż]]/100</f>
        <v>0</v>
      </c>
    </row>
    <row r="425" spans="1:9" x14ac:dyDescent="0.25">
      <c r="A425" s="2">
        <v>44588</v>
      </c>
      <c r="B425" s="1" t="s">
        <v>6</v>
      </c>
      <c r="C425" s="1" t="s">
        <v>16</v>
      </c>
      <c r="D425" s="1" t="s">
        <v>56</v>
      </c>
      <c r="E425">
        <v>79</v>
      </c>
      <c r="F425" s="1">
        <f>VLOOKUP(jablka5[[#This Row],[Nazwa]],cennik[],2,0) * jablka5[[#This Row],[sprzedaż]]</f>
        <v>268.59999999999997</v>
      </c>
      <c r="G425" s="1">
        <f>IF(jablka5[[#This Row],[NIP]]=D424,jablka5[[#This Row],[sprzedaż]]+G424,jablka5[[#This Row],[sprzedaż]])</f>
        <v>529</v>
      </c>
      <c r="H425" s="1">
        <f>IF(jablka5[[#This Row],[dot sprz]]&lt;15000,0,IF(jablka5[[#This Row],[dot sprz]]&lt;20000,5,10))</f>
        <v>0</v>
      </c>
      <c r="I425" s="1">
        <f>jablka5[[#This Row],[rabat]]*jablka5[[#This Row],[sprzedaż]]/100</f>
        <v>0</v>
      </c>
    </row>
    <row r="426" spans="1:9" x14ac:dyDescent="0.25">
      <c r="A426" s="2">
        <v>44601</v>
      </c>
      <c r="B426" s="1" t="s">
        <v>5</v>
      </c>
      <c r="C426" s="1" t="s">
        <v>16</v>
      </c>
      <c r="D426" s="1" t="s">
        <v>56</v>
      </c>
      <c r="E426">
        <v>259</v>
      </c>
      <c r="F426" s="1">
        <f>VLOOKUP(jablka5[[#This Row],[Nazwa]],cennik[],2,0) * jablka5[[#This Row],[sprzedaż]]</f>
        <v>880.6</v>
      </c>
      <c r="G426" s="1">
        <f>IF(jablka5[[#This Row],[NIP]]=D425,jablka5[[#This Row],[sprzedaż]]+G425,jablka5[[#This Row],[sprzedaż]])</f>
        <v>788</v>
      </c>
      <c r="H426" s="1">
        <f>IF(jablka5[[#This Row],[dot sprz]]&lt;15000,0,IF(jablka5[[#This Row],[dot sprz]]&lt;20000,5,10))</f>
        <v>0</v>
      </c>
      <c r="I426" s="1">
        <f>jablka5[[#This Row],[rabat]]*jablka5[[#This Row],[sprzedaż]]/100</f>
        <v>0</v>
      </c>
    </row>
    <row r="427" spans="1:9" x14ac:dyDescent="0.25">
      <c r="A427" s="2">
        <v>44615</v>
      </c>
      <c r="B427" s="1" t="s">
        <v>7</v>
      </c>
      <c r="C427" s="1" t="s">
        <v>16</v>
      </c>
      <c r="D427" s="1" t="s">
        <v>56</v>
      </c>
      <c r="E427">
        <v>390</v>
      </c>
      <c r="F427" s="1">
        <f>VLOOKUP(jablka5[[#This Row],[Nazwa]],cennik[],2,0) * jablka5[[#This Row],[sprzedaż]]</f>
        <v>1326</v>
      </c>
      <c r="G427" s="1">
        <f>IF(jablka5[[#This Row],[NIP]]=D426,jablka5[[#This Row],[sprzedaż]]+G426,jablka5[[#This Row],[sprzedaż]])</f>
        <v>1178</v>
      </c>
      <c r="H427" s="1">
        <f>IF(jablka5[[#This Row],[dot sprz]]&lt;15000,0,IF(jablka5[[#This Row],[dot sprz]]&lt;20000,5,10))</f>
        <v>0</v>
      </c>
      <c r="I427" s="1">
        <f>jablka5[[#This Row],[rabat]]*jablka5[[#This Row],[sprzedaż]]/100</f>
        <v>0</v>
      </c>
    </row>
    <row r="428" spans="1:9" x14ac:dyDescent="0.25">
      <c r="A428" s="2">
        <v>44618</v>
      </c>
      <c r="B428" s="1" t="s">
        <v>2</v>
      </c>
      <c r="C428" s="1" t="s">
        <v>16</v>
      </c>
      <c r="D428" s="1" t="s">
        <v>56</v>
      </c>
      <c r="E428">
        <v>413</v>
      </c>
      <c r="F428" s="1">
        <f>VLOOKUP(jablka5[[#This Row],[Nazwa]],cennik[],2,0) * jablka5[[#This Row],[sprzedaż]]</f>
        <v>1321.6000000000001</v>
      </c>
      <c r="G428" s="1">
        <f>IF(jablka5[[#This Row],[NIP]]=D427,jablka5[[#This Row],[sprzedaż]]+G427,jablka5[[#This Row],[sprzedaż]])</f>
        <v>1591</v>
      </c>
      <c r="H428" s="1">
        <f>IF(jablka5[[#This Row],[dot sprz]]&lt;15000,0,IF(jablka5[[#This Row],[dot sprz]]&lt;20000,5,10))</f>
        <v>0</v>
      </c>
      <c r="I428" s="1">
        <f>jablka5[[#This Row],[rabat]]*jablka5[[#This Row],[sprzedaż]]/100</f>
        <v>0</v>
      </c>
    </row>
    <row r="429" spans="1:9" x14ac:dyDescent="0.25">
      <c r="A429" s="2">
        <v>44620</v>
      </c>
      <c r="B429" s="1" t="s">
        <v>10</v>
      </c>
      <c r="C429" s="1" t="s">
        <v>16</v>
      </c>
      <c r="D429" s="1" t="s">
        <v>56</v>
      </c>
      <c r="E429">
        <v>177</v>
      </c>
      <c r="F429" s="1">
        <f>VLOOKUP(jablka5[[#This Row],[Nazwa]],cennik[],2,0) * jablka5[[#This Row],[sprzedaż]]</f>
        <v>601.79999999999995</v>
      </c>
      <c r="G429" s="1">
        <f>IF(jablka5[[#This Row],[NIP]]=D428,jablka5[[#This Row],[sprzedaż]]+G428,jablka5[[#This Row],[sprzedaż]])</f>
        <v>1768</v>
      </c>
      <c r="H429" s="1">
        <f>IF(jablka5[[#This Row],[dot sprz]]&lt;15000,0,IF(jablka5[[#This Row],[dot sprz]]&lt;20000,5,10))</f>
        <v>0</v>
      </c>
      <c r="I429" s="1">
        <f>jablka5[[#This Row],[rabat]]*jablka5[[#This Row],[sprzedaż]]/100</f>
        <v>0</v>
      </c>
    </row>
    <row r="430" spans="1:9" x14ac:dyDescent="0.25">
      <c r="A430" s="2">
        <v>44625</v>
      </c>
      <c r="B430" s="1" t="s">
        <v>5</v>
      </c>
      <c r="C430" s="1" t="s">
        <v>16</v>
      </c>
      <c r="D430" s="1" t="s">
        <v>56</v>
      </c>
      <c r="E430">
        <v>459</v>
      </c>
      <c r="F430" s="1">
        <f>VLOOKUP(jablka5[[#This Row],[Nazwa]],cennik[],2,0) * jablka5[[#This Row],[sprzedaż]]</f>
        <v>1560.6</v>
      </c>
      <c r="G430" s="1">
        <f>IF(jablka5[[#This Row],[NIP]]=D429,jablka5[[#This Row],[sprzedaż]]+G429,jablka5[[#This Row],[sprzedaż]])</f>
        <v>2227</v>
      </c>
      <c r="H430" s="1">
        <f>IF(jablka5[[#This Row],[dot sprz]]&lt;15000,0,IF(jablka5[[#This Row],[dot sprz]]&lt;20000,5,10))</f>
        <v>0</v>
      </c>
      <c r="I430" s="1">
        <f>jablka5[[#This Row],[rabat]]*jablka5[[#This Row],[sprzedaż]]/100</f>
        <v>0</v>
      </c>
    </row>
    <row r="431" spans="1:9" x14ac:dyDescent="0.25">
      <c r="A431" s="2">
        <v>44634</v>
      </c>
      <c r="B431" s="1" t="s">
        <v>8</v>
      </c>
      <c r="C431" s="1" t="s">
        <v>16</v>
      </c>
      <c r="D431" s="1" t="s">
        <v>56</v>
      </c>
      <c r="E431">
        <v>667</v>
      </c>
      <c r="F431" s="1">
        <f>VLOOKUP(jablka5[[#This Row],[Nazwa]],cennik[],2,0) * jablka5[[#This Row],[sprzedaż]]</f>
        <v>2334.5</v>
      </c>
      <c r="G431" s="1">
        <f>IF(jablka5[[#This Row],[NIP]]=D430,jablka5[[#This Row],[sprzedaż]]+G430,jablka5[[#This Row],[sprzedaż]])</f>
        <v>2894</v>
      </c>
      <c r="H431" s="1">
        <f>IF(jablka5[[#This Row],[dot sprz]]&lt;15000,0,IF(jablka5[[#This Row],[dot sprz]]&lt;20000,5,10))</f>
        <v>0</v>
      </c>
      <c r="I431" s="1">
        <f>jablka5[[#This Row],[rabat]]*jablka5[[#This Row],[sprzedaż]]/100</f>
        <v>0</v>
      </c>
    </row>
    <row r="432" spans="1:9" x14ac:dyDescent="0.25">
      <c r="A432" s="2">
        <v>44635</v>
      </c>
      <c r="B432" s="1" t="s">
        <v>8</v>
      </c>
      <c r="C432" s="1" t="s">
        <v>16</v>
      </c>
      <c r="D432" s="1" t="s">
        <v>56</v>
      </c>
      <c r="E432">
        <v>231</v>
      </c>
      <c r="F432" s="1">
        <f>VLOOKUP(jablka5[[#This Row],[Nazwa]],cennik[],2,0) * jablka5[[#This Row],[sprzedaż]]</f>
        <v>808.5</v>
      </c>
      <c r="G432" s="1">
        <f>IF(jablka5[[#This Row],[NIP]]=D431,jablka5[[#This Row],[sprzedaż]]+G431,jablka5[[#This Row],[sprzedaż]])</f>
        <v>3125</v>
      </c>
      <c r="H432" s="1">
        <f>IF(jablka5[[#This Row],[dot sprz]]&lt;15000,0,IF(jablka5[[#This Row],[dot sprz]]&lt;20000,5,10))</f>
        <v>0</v>
      </c>
      <c r="I432" s="1">
        <f>jablka5[[#This Row],[rabat]]*jablka5[[#This Row],[sprzedaż]]/100</f>
        <v>0</v>
      </c>
    </row>
    <row r="433" spans="1:9" x14ac:dyDescent="0.25">
      <c r="A433" s="2">
        <v>44641</v>
      </c>
      <c r="B433" s="1" t="s">
        <v>7</v>
      </c>
      <c r="C433" s="1" t="s">
        <v>16</v>
      </c>
      <c r="D433" s="1" t="s">
        <v>56</v>
      </c>
      <c r="E433">
        <v>249</v>
      </c>
      <c r="F433" s="1">
        <f>VLOOKUP(jablka5[[#This Row],[Nazwa]],cennik[],2,0) * jablka5[[#This Row],[sprzedaż]]</f>
        <v>846.6</v>
      </c>
      <c r="G433" s="1">
        <f>IF(jablka5[[#This Row],[NIP]]=D432,jablka5[[#This Row],[sprzedaż]]+G432,jablka5[[#This Row],[sprzedaż]])</f>
        <v>3374</v>
      </c>
      <c r="H433" s="1">
        <f>IF(jablka5[[#This Row],[dot sprz]]&lt;15000,0,IF(jablka5[[#This Row],[dot sprz]]&lt;20000,5,10))</f>
        <v>0</v>
      </c>
      <c r="I433" s="1">
        <f>jablka5[[#This Row],[rabat]]*jablka5[[#This Row],[sprzedaż]]/100</f>
        <v>0</v>
      </c>
    </row>
    <row r="434" spans="1:9" x14ac:dyDescent="0.25">
      <c r="A434" s="2">
        <v>44645</v>
      </c>
      <c r="B434" s="1" t="s">
        <v>15</v>
      </c>
      <c r="C434" s="1" t="s">
        <v>16</v>
      </c>
      <c r="D434" s="1" t="s">
        <v>56</v>
      </c>
      <c r="E434">
        <v>361</v>
      </c>
      <c r="F434" s="1">
        <f>VLOOKUP(jablka5[[#This Row],[Nazwa]],cennik[],2,0) * jablka5[[#This Row],[sprzedaż]]</f>
        <v>866.4</v>
      </c>
      <c r="G434" s="1">
        <f>IF(jablka5[[#This Row],[NIP]]=D433,jablka5[[#This Row],[sprzedaż]]+G433,jablka5[[#This Row],[sprzedaż]])</f>
        <v>3735</v>
      </c>
      <c r="H434" s="1">
        <f>IF(jablka5[[#This Row],[dot sprz]]&lt;15000,0,IF(jablka5[[#This Row],[dot sprz]]&lt;20000,5,10))</f>
        <v>0</v>
      </c>
      <c r="I434" s="1">
        <f>jablka5[[#This Row],[rabat]]*jablka5[[#This Row],[sprzedaż]]/100</f>
        <v>0</v>
      </c>
    </row>
    <row r="435" spans="1:9" x14ac:dyDescent="0.25">
      <c r="A435" s="2">
        <v>44662</v>
      </c>
      <c r="B435" s="1" t="s">
        <v>7</v>
      </c>
      <c r="C435" s="1" t="s">
        <v>16</v>
      </c>
      <c r="D435" s="1" t="s">
        <v>56</v>
      </c>
      <c r="E435">
        <v>564</v>
      </c>
      <c r="F435" s="1">
        <f>VLOOKUP(jablka5[[#This Row],[Nazwa]],cennik[],2,0) * jablka5[[#This Row],[sprzedaż]]</f>
        <v>1917.6</v>
      </c>
      <c r="G435" s="1">
        <f>IF(jablka5[[#This Row],[NIP]]=D434,jablka5[[#This Row],[sprzedaż]]+G434,jablka5[[#This Row],[sprzedaż]])</f>
        <v>4299</v>
      </c>
      <c r="H435" s="1">
        <f>IF(jablka5[[#This Row],[dot sprz]]&lt;15000,0,IF(jablka5[[#This Row],[dot sprz]]&lt;20000,5,10))</f>
        <v>0</v>
      </c>
      <c r="I435" s="1">
        <f>jablka5[[#This Row],[rabat]]*jablka5[[#This Row],[sprzedaż]]/100</f>
        <v>0</v>
      </c>
    </row>
    <row r="436" spans="1:9" x14ac:dyDescent="0.25">
      <c r="A436" s="2">
        <v>44667</v>
      </c>
      <c r="B436" s="1" t="s">
        <v>4</v>
      </c>
      <c r="C436" s="1" t="s">
        <v>16</v>
      </c>
      <c r="D436" s="1" t="s">
        <v>56</v>
      </c>
      <c r="E436">
        <v>656</v>
      </c>
      <c r="F436" s="1">
        <f>VLOOKUP(jablka5[[#This Row],[Nazwa]],cennik[],2,0) * jablka5[[#This Row],[sprzedaż]]</f>
        <v>2230.4</v>
      </c>
      <c r="G436" s="1">
        <f>IF(jablka5[[#This Row],[NIP]]=D435,jablka5[[#This Row],[sprzedaż]]+G435,jablka5[[#This Row],[sprzedaż]])</f>
        <v>4955</v>
      </c>
      <c r="H436" s="1">
        <f>IF(jablka5[[#This Row],[dot sprz]]&lt;15000,0,IF(jablka5[[#This Row],[dot sprz]]&lt;20000,5,10))</f>
        <v>0</v>
      </c>
      <c r="I436" s="1">
        <f>jablka5[[#This Row],[rabat]]*jablka5[[#This Row],[sprzedaż]]/100</f>
        <v>0</v>
      </c>
    </row>
    <row r="437" spans="1:9" x14ac:dyDescent="0.25">
      <c r="A437" s="2">
        <v>44669</v>
      </c>
      <c r="B437" s="1" t="s">
        <v>8</v>
      </c>
      <c r="C437" s="1" t="s">
        <v>16</v>
      </c>
      <c r="D437" s="1" t="s">
        <v>56</v>
      </c>
      <c r="E437">
        <v>222</v>
      </c>
      <c r="F437" s="1">
        <f>VLOOKUP(jablka5[[#This Row],[Nazwa]],cennik[],2,0) * jablka5[[#This Row],[sprzedaż]]</f>
        <v>777</v>
      </c>
      <c r="G437" s="1">
        <f>IF(jablka5[[#This Row],[NIP]]=D436,jablka5[[#This Row],[sprzedaż]]+G436,jablka5[[#This Row],[sprzedaż]])</f>
        <v>5177</v>
      </c>
      <c r="H437" s="1">
        <f>IF(jablka5[[#This Row],[dot sprz]]&lt;15000,0,IF(jablka5[[#This Row],[dot sprz]]&lt;20000,5,10))</f>
        <v>0</v>
      </c>
      <c r="I437" s="1">
        <f>jablka5[[#This Row],[rabat]]*jablka5[[#This Row],[sprzedaż]]/100</f>
        <v>0</v>
      </c>
    </row>
    <row r="438" spans="1:9" x14ac:dyDescent="0.25">
      <c r="A438" s="2">
        <v>44681</v>
      </c>
      <c r="B438" s="1" t="s">
        <v>7</v>
      </c>
      <c r="C438" s="1" t="s">
        <v>16</v>
      </c>
      <c r="D438" s="1" t="s">
        <v>56</v>
      </c>
      <c r="E438">
        <v>291</v>
      </c>
      <c r="F438" s="1">
        <f>VLOOKUP(jablka5[[#This Row],[Nazwa]],cennik[],2,0) * jablka5[[#This Row],[sprzedaż]]</f>
        <v>989.4</v>
      </c>
      <c r="G438" s="1">
        <f>IF(jablka5[[#This Row],[NIP]]=D437,jablka5[[#This Row],[sprzedaż]]+G437,jablka5[[#This Row],[sprzedaż]])</f>
        <v>5468</v>
      </c>
      <c r="H438" s="1">
        <f>IF(jablka5[[#This Row],[dot sprz]]&lt;15000,0,IF(jablka5[[#This Row],[dot sprz]]&lt;20000,5,10))</f>
        <v>0</v>
      </c>
      <c r="I438" s="1">
        <f>jablka5[[#This Row],[rabat]]*jablka5[[#This Row],[sprzedaż]]/100</f>
        <v>0</v>
      </c>
    </row>
    <row r="439" spans="1:9" x14ac:dyDescent="0.25">
      <c r="A439" s="2">
        <v>44685</v>
      </c>
      <c r="B439" s="1" t="s">
        <v>8</v>
      </c>
      <c r="C439" s="1" t="s">
        <v>16</v>
      </c>
      <c r="D439" s="1" t="s">
        <v>56</v>
      </c>
      <c r="E439">
        <v>504</v>
      </c>
      <c r="F439" s="1">
        <f>VLOOKUP(jablka5[[#This Row],[Nazwa]],cennik[],2,0) * jablka5[[#This Row],[sprzedaż]]</f>
        <v>1764</v>
      </c>
      <c r="G439" s="1">
        <f>IF(jablka5[[#This Row],[NIP]]=D438,jablka5[[#This Row],[sprzedaż]]+G438,jablka5[[#This Row],[sprzedaż]])</f>
        <v>5972</v>
      </c>
      <c r="H439" s="1">
        <f>IF(jablka5[[#This Row],[dot sprz]]&lt;15000,0,IF(jablka5[[#This Row],[dot sprz]]&lt;20000,5,10))</f>
        <v>0</v>
      </c>
      <c r="I439" s="1">
        <f>jablka5[[#This Row],[rabat]]*jablka5[[#This Row],[sprzedaż]]/100</f>
        <v>0</v>
      </c>
    </row>
    <row r="440" spans="1:9" x14ac:dyDescent="0.25">
      <c r="A440" s="2">
        <v>44697</v>
      </c>
      <c r="B440" s="1" t="s">
        <v>15</v>
      </c>
      <c r="C440" s="1" t="s">
        <v>16</v>
      </c>
      <c r="D440" s="1" t="s">
        <v>56</v>
      </c>
      <c r="E440">
        <v>126</v>
      </c>
      <c r="F440" s="1">
        <f>VLOOKUP(jablka5[[#This Row],[Nazwa]],cennik[],2,0) * jablka5[[#This Row],[sprzedaż]]</f>
        <v>302.39999999999998</v>
      </c>
      <c r="G440" s="1">
        <f>IF(jablka5[[#This Row],[NIP]]=D439,jablka5[[#This Row],[sprzedaż]]+G439,jablka5[[#This Row],[sprzedaż]])</f>
        <v>6098</v>
      </c>
      <c r="H440" s="1">
        <f>IF(jablka5[[#This Row],[dot sprz]]&lt;15000,0,IF(jablka5[[#This Row],[dot sprz]]&lt;20000,5,10))</f>
        <v>0</v>
      </c>
      <c r="I440" s="1">
        <f>jablka5[[#This Row],[rabat]]*jablka5[[#This Row],[sprzedaż]]/100</f>
        <v>0</v>
      </c>
    </row>
    <row r="441" spans="1:9" x14ac:dyDescent="0.25">
      <c r="A441" s="2">
        <v>44699</v>
      </c>
      <c r="B441" s="1" t="s">
        <v>2</v>
      </c>
      <c r="C441" s="1" t="s">
        <v>16</v>
      </c>
      <c r="D441" s="1" t="s">
        <v>56</v>
      </c>
      <c r="E441">
        <v>109</v>
      </c>
      <c r="F441" s="1">
        <f>VLOOKUP(jablka5[[#This Row],[Nazwa]],cennik[],2,0) * jablka5[[#This Row],[sprzedaż]]</f>
        <v>348.8</v>
      </c>
      <c r="G441" s="1">
        <f>IF(jablka5[[#This Row],[NIP]]=D440,jablka5[[#This Row],[sprzedaż]]+G440,jablka5[[#This Row],[sprzedaż]])</f>
        <v>6207</v>
      </c>
      <c r="H441" s="1">
        <f>IF(jablka5[[#This Row],[dot sprz]]&lt;15000,0,IF(jablka5[[#This Row],[dot sprz]]&lt;20000,5,10))</f>
        <v>0</v>
      </c>
      <c r="I441" s="1">
        <f>jablka5[[#This Row],[rabat]]*jablka5[[#This Row],[sprzedaż]]/100</f>
        <v>0</v>
      </c>
    </row>
    <row r="442" spans="1:9" x14ac:dyDescent="0.25">
      <c r="A442" s="2">
        <v>44715</v>
      </c>
      <c r="B442" s="1" t="s">
        <v>14</v>
      </c>
      <c r="C442" s="1" t="s">
        <v>67</v>
      </c>
      <c r="D442" s="1" t="s">
        <v>56</v>
      </c>
      <c r="E442">
        <v>473</v>
      </c>
      <c r="F442" s="1">
        <f>VLOOKUP(jablka5[[#This Row],[Nazwa]],cennik[],2,0) * jablka5[[#This Row],[sprzedaż]]</f>
        <v>1655.5</v>
      </c>
      <c r="G442" s="1">
        <f>IF(jablka5[[#This Row],[NIP]]=D441,jablka5[[#This Row],[sprzedaż]]+G441,jablka5[[#This Row],[sprzedaż]])</f>
        <v>6680</v>
      </c>
      <c r="H442" s="1">
        <f>IF(jablka5[[#This Row],[dot sprz]]&lt;15000,0,IF(jablka5[[#This Row],[dot sprz]]&lt;20000,5,10))</f>
        <v>0</v>
      </c>
      <c r="I442" s="1">
        <f>jablka5[[#This Row],[rabat]]*jablka5[[#This Row],[sprzedaż]]/100</f>
        <v>0</v>
      </c>
    </row>
    <row r="443" spans="1:9" x14ac:dyDescent="0.25">
      <c r="A443" s="2">
        <v>44729</v>
      </c>
      <c r="B443" s="1" t="s">
        <v>14</v>
      </c>
      <c r="C443" s="1" t="s">
        <v>67</v>
      </c>
      <c r="D443" s="1" t="s">
        <v>56</v>
      </c>
      <c r="E443">
        <v>32</v>
      </c>
      <c r="F443" s="1">
        <f>VLOOKUP(jablka5[[#This Row],[Nazwa]],cennik[],2,0) * jablka5[[#This Row],[sprzedaż]]</f>
        <v>112</v>
      </c>
      <c r="G443" s="1">
        <f>IF(jablka5[[#This Row],[NIP]]=D442,jablka5[[#This Row],[sprzedaż]]+G442,jablka5[[#This Row],[sprzedaż]])</f>
        <v>6712</v>
      </c>
      <c r="H443" s="1">
        <f>IF(jablka5[[#This Row],[dot sprz]]&lt;15000,0,IF(jablka5[[#This Row],[dot sprz]]&lt;20000,5,10))</f>
        <v>0</v>
      </c>
      <c r="I443" s="1">
        <f>jablka5[[#This Row],[rabat]]*jablka5[[#This Row],[sprzedaż]]/100</f>
        <v>0</v>
      </c>
    </row>
    <row r="444" spans="1:9" x14ac:dyDescent="0.25">
      <c r="A444" s="2">
        <v>44753</v>
      </c>
      <c r="B444" s="1" t="s">
        <v>14</v>
      </c>
      <c r="C444" s="1" t="s">
        <v>67</v>
      </c>
      <c r="D444" s="1" t="s">
        <v>56</v>
      </c>
      <c r="E444">
        <v>163</v>
      </c>
      <c r="F444" s="1">
        <f>VLOOKUP(jablka5[[#This Row],[Nazwa]],cennik[],2,0) * jablka5[[#This Row],[sprzedaż]]</f>
        <v>570.5</v>
      </c>
      <c r="G444" s="1">
        <f>IF(jablka5[[#This Row],[NIP]]=D443,jablka5[[#This Row],[sprzedaż]]+G443,jablka5[[#This Row],[sprzedaż]])</f>
        <v>6875</v>
      </c>
      <c r="H444" s="1">
        <f>IF(jablka5[[#This Row],[dot sprz]]&lt;15000,0,IF(jablka5[[#This Row],[dot sprz]]&lt;20000,5,10))</f>
        <v>0</v>
      </c>
      <c r="I444" s="1">
        <f>jablka5[[#This Row],[rabat]]*jablka5[[#This Row],[sprzedaż]]/100</f>
        <v>0</v>
      </c>
    </row>
    <row r="445" spans="1:9" x14ac:dyDescent="0.25">
      <c r="A445" s="2">
        <v>44753</v>
      </c>
      <c r="B445" s="1" t="s">
        <v>14</v>
      </c>
      <c r="C445" s="1" t="s">
        <v>67</v>
      </c>
      <c r="D445" s="1" t="s">
        <v>56</v>
      </c>
      <c r="E445">
        <v>463</v>
      </c>
      <c r="F445" s="1">
        <f>VLOOKUP(jablka5[[#This Row],[Nazwa]],cennik[],2,0) * jablka5[[#This Row],[sprzedaż]]</f>
        <v>1620.5</v>
      </c>
      <c r="G445" s="1">
        <f>IF(jablka5[[#This Row],[NIP]]=D444,jablka5[[#This Row],[sprzedaż]]+G444,jablka5[[#This Row],[sprzedaż]])</f>
        <v>7338</v>
      </c>
      <c r="H445" s="1">
        <f>IF(jablka5[[#This Row],[dot sprz]]&lt;15000,0,IF(jablka5[[#This Row],[dot sprz]]&lt;20000,5,10))</f>
        <v>0</v>
      </c>
      <c r="I445" s="1">
        <f>jablka5[[#This Row],[rabat]]*jablka5[[#This Row],[sprzedaż]]/100</f>
        <v>0</v>
      </c>
    </row>
    <row r="446" spans="1:9" x14ac:dyDescent="0.25">
      <c r="A446" s="2">
        <v>44765</v>
      </c>
      <c r="B446" s="1" t="s">
        <v>14</v>
      </c>
      <c r="C446" s="1" t="s">
        <v>67</v>
      </c>
      <c r="D446" s="1" t="s">
        <v>56</v>
      </c>
      <c r="E446">
        <v>347</v>
      </c>
      <c r="F446" s="1">
        <f>VLOOKUP(jablka5[[#This Row],[Nazwa]],cennik[],2,0) * jablka5[[#This Row],[sprzedaż]]</f>
        <v>1214.5</v>
      </c>
      <c r="G446" s="1">
        <f>IF(jablka5[[#This Row],[NIP]]=D445,jablka5[[#This Row],[sprzedaż]]+G445,jablka5[[#This Row],[sprzedaż]])</f>
        <v>7685</v>
      </c>
      <c r="H446" s="1">
        <f>IF(jablka5[[#This Row],[dot sprz]]&lt;15000,0,IF(jablka5[[#This Row],[dot sprz]]&lt;20000,5,10))</f>
        <v>0</v>
      </c>
      <c r="I446" s="1">
        <f>jablka5[[#This Row],[rabat]]*jablka5[[#This Row],[sprzedaż]]/100</f>
        <v>0</v>
      </c>
    </row>
    <row r="447" spans="1:9" x14ac:dyDescent="0.25">
      <c r="A447" s="2">
        <v>44767</v>
      </c>
      <c r="B447" s="1" t="s">
        <v>13</v>
      </c>
      <c r="C447" s="1" t="s">
        <v>68</v>
      </c>
      <c r="D447" s="1" t="s">
        <v>56</v>
      </c>
      <c r="E447">
        <v>314</v>
      </c>
      <c r="F447" s="1">
        <f>VLOOKUP(jablka5[[#This Row],[Nazwa]],cennik[],2,0) * jablka5[[#This Row],[sprzedaż]]</f>
        <v>1004.8000000000001</v>
      </c>
      <c r="G447" s="1">
        <f>IF(jablka5[[#This Row],[NIP]]=D446,jablka5[[#This Row],[sprzedaż]]+G446,jablka5[[#This Row],[sprzedaż]])</f>
        <v>7999</v>
      </c>
      <c r="H447" s="1">
        <f>IF(jablka5[[#This Row],[dot sprz]]&lt;15000,0,IF(jablka5[[#This Row],[dot sprz]]&lt;20000,5,10))</f>
        <v>0</v>
      </c>
      <c r="I447" s="1">
        <f>jablka5[[#This Row],[rabat]]*jablka5[[#This Row],[sprzedaż]]/100</f>
        <v>0</v>
      </c>
    </row>
    <row r="448" spans="1:9" x14ac:dyDescent="0.25">
      <c r="A448" s="2">
        <v>44770</v>
      </c>
      <c r="B448" s="1" t="s">
        <v>13</v>
      </c>
      <c r="C448" s="1" t="s">
        <v>68</v>
      </c>
      <c r="D448" s="1" t="s">
        <v>56</v>
      </c>
      <c r="E448">
        <v>334</v>
      </c>
      <c r="F448" s="1">
        <f>VLOOKUP(jablka5[[#This Row],[Nazwa]],cennik[],2,0) * jablka5[[#This Row],[sprzedaż]]</f>
        <v>1068.8</v>
      </c>
      <c r="G448" s="1">
        <f>IF(jablka5[[#This Row],[NIP]]=D447,jablka5[[#This Row],[sprzedaż]]+G447,jablka5[[#This Row],[sprzedaż]])</f>
        <v>8333</v>
      </c>
      <c r="H448" s="1">
        <f>IF(jablka5[[#This Row],[dot sprz]]&lt;15000,0,IF(jablka5[[#This Row],[dot sprz]]&lt;20000,5,10))</f>
        <v>0</v>
      </c>
      <c r="I448" s="1">
        <f>jablka5[[#This Row],[rabat]]*jablka5[[#This Row],[sprzedaż]]/100</f>
        <v>0</v>
      </c>
    </row>
    <row r="449" spans="1:9" x14ac:dyDescent="0.25">
      <c r="A449" s="2">
        <v>44779</v>
      </c>
      <c r="B449" s="1" t="s">
        <v>13</v>
      </c>
      <c r="C449" s="1" t="s">
        <v>68</v>
      </c>
      <c r="D449" s="1" t="s">
        <v>56</v>
      </c>
      <c r="E449">
        <v>421</v>
      </c>
      <c r="F449" s="1">
        <f>VLOOKUP(jablka5[[#This Row],[Nazwa]],cennik[],2,0) * jablka5[[#This Row],[sprzedaż]]</f>
        <v>1347.2</v>
      </c>
      <c r="G449" s="1">
        <f>IF(jablka5[[#This Row],[NIP]]=D448,jablka5[[#This Row],[sprzedaż]]+G448,jablka5[[#This Row],[sprzedaż]])</f>
        <v>8754</v>
      </c>
      <c r="H449" s="1">
        <f>IF(jablka5[[#This Row],[dot sprz]]&lt;15000,0,IF(jablka5[[#This Row],[dot sprz]]&lt;20000,5,10))</f>
        <v>0</v>
      </c>
      <c r="I449" s="1">
        <f>jablka5[[#This Row],[rabat]]*jablka5[[#This Row],[sprzedaż]]/100</f>
        <v>0</v>
      </c>
    </row>
    <row r="450" spans="1:9" x14ac:dyDescent="0.25">
      <c r="A450" s="2">
        <v>44781</v>
      </c>
      <c r="B450" s="1" t="s">
        <v>13</v>
      </c>
      <c r="C450" s="1" t="s">
        <v>68</v>
      </c>
      <c r="D450" s="1" t="s">
        <v>56</v>
      </c>
      <c r="E450">
        <v>230</v>
      </c>
      <c r="F450" s="1">
        <f>VLOOKUP(jablka5[[#This Row],[Nazwa]],cennik[],2,0) * jablka5[[#This Row],[sprzedaż]]</f>
        <v>736</v>
      </c>
      <c r="G450" s="1">
        <f>IF(jablka5[[#This Row],[NIP]]=D449,jablka5[[#This Row],[sprzedaż]]+G449,jablka5[[#This Row],[sprzedaż]])</f>
        <v>8984</v>
      </c>
      <c r="H450" s="1">
        <f>IF(jablka5[[#This Row],[dot sprz]]&lt;15000,0,IF(jablka5[[#This Row],[dot sprz]]&lt;20000,5,10))</f>
        <v>0</v>
      </c>
      <c r="I450" s="1">
        <f>jablka5[[#This Row],[rabat]]*jablka5[[#This Row],[sprzedaż]]/100</f>
        <v>0</v>
      </c>
    </row>
    <row r="451" spans="1:9" x14ac:dyDescent="0.25">
      <c r="A451" s="2">
        <v>44798</v>
      </c>
      <c r="B451" s="1" t="s">
        <v>14</v>
      </c>
      <c r="C451" s="1" t="s">
        <v>67</v>
      </c>
      <c r="D451" s="1" t="s">
        <v>56</v>
      </c>
      <c r="E451">
        <v>306</v>
      </c>
      <c r="F451" s="1">
        <f>VLOOKUP(jablka5[[#This Row],[Nazwa]],cennik[],2,0) * jablka5[[#This Row],[sprzedaż]]</f>
        <v>1071</v>
      </c>
      <c r="G451" s="1">
        <f>IF(jablka5[[#This Row],[NIP]]=D450,jablka5[[#This Row],[sprzedaż]]+G450,jablka5[[#This Row],[sprzedaż]])</f>
        <v>9290</v>
      </c>
      <c r="H451" s="1">
        <f>IF(jablka5[[#This Row],[dot sprz]]&lt;15000,0,IF(jablka5[[#This Row],[dot sprz]]&lt;20000,5,10))</f>
        <v>0</v>
      </c>
      <c r="I451" s="1">
        <f>jablka5[[#This Row],[rabat]]*jablka5[[#This Row],[sprzedaż]]/100</f>
        <v>0</v>
      </c>
    </row>
    <row r="452" spans="1:9" x14ac:dyDescent="0.25">
      <c r="A452" s="2">
        <v>44802</v>
      </c>
      <c r="B452" s="1" t="s">
        <v>14</v>
      </c>
      <c r="C452" s="1" t="s">
        <v>67</v>
      </c>
      <c r="D452" s="1" t="s">
        <v>56</v>
      </c>
      <c r="E452">
        <v>473</v>
      </c>
      <c r="F452" s="1">
        <f>VLOOKUP(jablka5[[#This Row],[Nazwa]],cennik[],2,0) * jablka5[[#This Row],[sprzedaż]]</f>
        <v>1655.5</v>
      </c>
      <c r="G452" s="1">
        <f>IF(jablka5[[#This Row],[NIP]]=D451,jablka5[[#This Row],[sprzedaż]]+G451,jablka5[[#This Row],[sprzedaż]])</f>
        <v>9763</v>
      </c>
      <c r="H452" s="1">
        <f>IF(jablka5[[#This Row],[dot sprz]]&lt;15000,0,IF(jablka5[[#This Row],[dot sprz]]&lt;20000,5,10))</f>
        <v>0</v>
      </c>
      <c r="I452" s="1">
        <f>jablka5[[#This Row],[rabat]]*jablka5[[#This Row],[sprzedaż]]/100</f>
        <v>0</v>
      </c>
    </row>
    <row r="453" spans="1:9" x14ac:dyDescent="0.25">
      <c r="A453" s="2">
        <v>44802</v>
      </c>
      <c r="B453" s="1" t="s">
        <v>13</v>
      </c>
      <c r="C453" s="1" t="s">
        <v>68</v>
      </c>
      <c r="D453" s="1" t="s">
        <v>56</v>
      </c>
      <c r="E453">
        <v>191</v>
      </c>
      <c r="F453" s="1">
        <f>VLOOKUP(jablka5[[#This Row],[Nazwa]],cennik[],2,0) * jablka5[[#This Row],[sprzedaż]]</f>
        <v>611.20000000000005</v>
      </c>
      <c r="G453" s="1">
        <f>IF(jablka5[[#This Row],[NIP]]=D452,jablka5[[#This Row],[sprzedaż]]+G452,jablka5[[#This Row],[sprzedaż]])</f>
        <v>9954</v>
      </c>
      <c r="H453" s="1">
        <f>IF(jablka5[[#This Row],[dot sprz]]&lt;15000,0,IF(jablka5[[#This Row],[dot sprz]]&lt;20000,5,10))</f>
        <v>0</v>
      </c>
      <c r="I453" s="1">
        <f>jablka5[[#This Row],[rabat]]*jablka5[[#This Row],[sprzedaż]]/100</f>
        <v>0</v>
      </c>
    </row>
    <row r="454" spans="1:9" x14ac:dyDescent="0.25">
      <c r="A454" s="2">
        <v>44812</v>
      </c>
      <c r="B454" s="1" t="s">
        <v>11</v>
      </c>
      <c r="C454" s="1" t="s">
        <v>67</v>
      </c>
      <c r="D454" s="1" t="s">
        <v>56</v>
      </c>
      <c r="E454">
        <v>348</v>
      </c>
      <c r="F454" s="1">
        <f>VLOOKUP(jablka5[[#This Row],[Nazwa]],cennik[],2,0) * jablka5[[#This Row],[sprzedaż]]</f>
        <v>870</v>
      </c>
      <c r="G454" s="1">
        <f>IF(jablka5[[#This Row],[NIP]]=D453,jablka5[[#This Row],[sprzedaż]]+G453,jablka5[[#This Row],[sprzedaż]])</f>
        <v>10302</v>
      </c>
      <c r="H454" s="1">
        <f>IF(jablka5[[#This Row],[dot sprz]]&lt;15000,0,IF(jablka5[[#This Row],[dot sprz]]&lt;20000,5,10))</f>
        <v>0</v>
      </c>
      <c r="I454" s="1">
        <f>jablka5[[#This Row],[rabat]]*jablka5[[#This Row],[sprzedaż]]/100</f>
        <v>0</v>
      </c>
    </row>
    <row r="455" spans="1:9" x14ac:dyDescent="0.25">
      <c r="A455" s="2">
        <v>44816</v>
      </c>
      <c r="B455" s="1" t="s">
        <v>14</v>
      </c>
      <c r="C455" s="1" t="s">
        <v>67</v>
      </c>
      <c r="D455" s="1" t="s">
        <v>56</v>
      </c>
      <c r="E455">
        <v>398</v>
      </c>
      <c r="F455" s="1">
        <f>VLOOKUP(jablka5[[#This Row],[Nazwa]],cennik[],2,0) * jablka5[[#This Row],[sprzedaż]]</f>
        <v>1393</v>
      </c>
      <c r="G455" s="1">
        <f>IF(jablka5[[#This Row],[NIP]]=D454,jablka5[[#This Row],[sprzedaż]]+G454,jablka5[[#This Row],[sprzedaż]])</f>
        <v>10700</v>
      </c>
      <c r="H455" s="1">
        <f>IF(jablka5[[#This Row],[dot sprz]]&lt;15000,0,IF(jablka5[[#This Row],[dot sprz]]&lt;20000,5,10))</f>
        <v>0</v>
      </c>
      <c r="I455" s="1">
        <f>jablka5[[#This Row],[rabat]]*jablka5[[#This Row],[sprzedaż]]/100</f>
        <v>0</v>
      </c>
    </row>
    <row r="456" spans="1:9" x14ac:dyDescent="0.25">
      <c r="A456" s="2">
        <v>44820</v>
      </c>
      <c r="B456" s="1" t="s">
        <v>14</v>
      </c>
      <c r="C456" s="1" t="s">
        <v>67</v>
      </c>
      <c r="D456" s="1" t="s">
        <v>56</v>
      </c>
      <c r="E456">
        <v>198</v>
      </c>
      <c r="F456" s="1">
        <f>VLOOKUP(jablka5[[#This Row],[Nazwa]],cennik[],2,0) * jablka5[[#This Row],[sprzedaż]]</f>
        <v>693</v>
      </c>
      <c r="G456" s="1">
        <f>IF(jablka5[[#This Row],[NIP]]=D455,jablka5[[#This Row],[sprzedaż]]+G455,jablka5[[#This Row],[sprzedaż]])</f>
        <v>10898</v>
      </c>
      <c r="H456" s="1">
        <f>IF(jablka5[[#This Row],[dot sprz]]&lt;15000,0,IF(jablka5[[#This Row],[dot sprz]]&lt;20000,5,10))</f>
        <v>0</v>
      </c>
      <c r="I456" s="1">
        <f>jablka5[[#This Row],[rabat]]*jablka5[[#This Row],[sprzedaż]]/100</f>
        <v>0</v>
      </c>
    </row>
    <row r="457" spans="1:9" x14ac:dyDescent="0.25">
      <c r="A457" s="2">
        <v>44821</v>
      </c>
      <c r="B457" s="1" t="s">
        <v>3</v>
      </c>
      <c r="C457" s="1" t="s">
        <v>67</v>
      </c>
      <c r="D457" s="1" t="s">
        <v>56</v>
      </c>
      <c r="E457">
        <v>325</v>
      </c>
      <c r="F457" s="1">
        <f>VLOOKUP(jablka5[[#This Row],[Nazwa]],cennik[],2,0) * jablka5[[#This Row],[sprzedaż]]</f>
        <v>1040</v>
      </c>
      <c r="G457" s="1">
        <f>IF(jablka5[[#This Row],[NIP]]=D456,jablka5[[#This Row],[sprzedaż]]+G456,jablka5[[#This Row],[sprzedaż]])</f>
        <v>11223</v>
      </c>
      <c r="H457" s="1">
        <f>IF(jablka5[[#This Row],[dot sprz]]&lt;15000,0,IF(jablka5[[#This Row],[dot sprz]]&lt;20000,5,10))</f>
        <v>0</v>
      </c>
      <c r="I457" s="1">
        <f>jablka5[[#This Row],[rabat]]*jablka5[[#This Row],[sprzedaż]]/100</f>
        <v>0</v>
      </c>
    </row>
    <row r="458" spans="1:9" x14ac:dyDescent="0.25">
      <c r="A458" s="2">
        <v>44823</v>
      </c>
      <c r="B458" s="1" t="s">
        <v>14</v>
      </c>
      <c r="C458" s="1" t="s">
        <v>67</v>
      </c>
      <c r="D458" s="1" t="s">
        <v>56</v>
      </c>
      <c r="E458">
        <v>200</v>
      </c>
      <c r="F458" s="1">
        <f>VLOOKUP(jablka5[[#This Row],[Nazwa]],cennik[],2,0) * jablka5[[#This Row],[sprzedaż]]</f>
        <v>700</v>
      </c>
      <c r="G458" s="1">
        <f>IF(jablka5[[#This Row],[NIP]]=D457,jablka5[[#This Row],[sprzedaż]]+G457,jablka5[[#This Row],[sprzedaż]])</f>
        <v>11423</v>
      </c>
      <c r="H458" s="1">
        <f>IF(jablka5[[#This Row],[dot sprz]]&lt;15000,0,IF(jablka5[[#This Row],[dot sprz]]&lt;20000,5,10))</f>
        <v>0</v>
      </c>
      <c r="I458" s="1">
        <f>jablka5[[#This Row],[rabat]]*jablka5[[#This Row],[sprzedaż]]/100</f>
        <v>0</v>
      </c>
    </row>
    <row r="459" spans="1:9" x14ac:dyDescent="0.25">
      <c r="A459" s="2">
        <v>44823</v>
      </c>
      <c r="B459" s="1" t="s">
        <v>9</v>
      </c>
      <c r="C459" s="1" t="s">
        <v>67</v>
      </c>
      <c r="D459" s="1" t="s">
        <v>56</v>
      </c>
      <c r="E459">
        <v>353</v>
      </c>
      <c r="F459" s="1">
        <f>VLOOKUP(jablka5[[#This Row],[Nazwa]],cennik[],2,0) * jablka5[[#This Row],[sprzedaż]]</f>
        <v>882.5</v>
      </c>
      <c r="G459" s="1">
        <f>IF(jablka5[[#This Row],[NIP]]=D458,jablka5[[#This Row],[sprzedaż]]+G458,jablka5[[#This Row],[sprzedaż]])</f>
        <v>11776</v>
      </c>
      <c r="H459" s="1">
        <f>IF(jablka5[[#This Row],[dot sprz]]&lt;15000,0,IF(jablka5[[#This Row],[dot sprz]]&lt;20000,5,10))</f>
        <v>0</v>
      </c>
      <c r="I459" s="1">
        <f>jablka5[[#This Row],[rabat]]*jablka5[[#This Row],[sprzedaż]]/100</f>
        <v>0</v>
      </c>
    </row>
    <row r="460" spans="1:9" x14ac:dyDescent="0.25">
      <c r="A460" s="2">
        <v>44826</v>
      </c>
      <c r="B460" s="1" t="s">
        <v>1</v>
      </c>
      <c r="C460" s="1" t="s">
        <v>67</v>
      </c>
      <c r="D460" s="1" t="s">
        <v>56</v>
      </c>
      <c r="E460">
        <v>101</v>
      </c>
      <c r="F460" s="1">
        <f>VLOOKUP(jablka5[[#This Row],[Nazwa]],cennik[],2,0) * jablka5[[#This Row],[sprzedaż]]</f>
        <v>323.20000000000005</v>
      </c>
      <c r="G460" s="1">
        <f>IF(jablka5[[#This Row],[NIP]]=D459,jablka5[[#This Row],[sprzedaż]]+G459,jablka5[[#This Row],[sprzedaż]])</f>
        <v>11877</v>
      </c>
      <c r="H460" s="1">
        <f>IF(jablka5[[#This Row],[dot sprz]]&lt;15000,0,IF(jablka5[[#This Row],[dot sprz]]&lt;20000,5,10))</f>
        <v>0</v>
      </c>
      <c r="I460" s="1">
        <f>jablka5[[#This Row],[rabat]]*jablka5[[#This Row],[sprzedaż]]/100</f>
        <v>0</v>
      </c>
    </row>
    <row r="461" spans="1:9" x14ac:dyDescent="0.25">
      <c r="A461" s="2">
        <v>44837</v>
      </c>
      <c r="B461" s="1" t="s">
        <v>1</v>
      </c>
      <c r="C461" s="1" t="s">
        <v>67</v>
      </c>
      <c r="D461" s="1" t="s">
        <v>56</v>
      </c>
      <c r="E461">
        <v>433</v>
      </c>
      <c r="F461" s="1">
        <f>VLOOKUP(jablka5[[#This Row],[Nazwa]],cennik[],2,0) * jablka5[[#This Row],[sprzedaż]]</f>
        <v>1385.6000000000001</v>
      </c>
      <c r="G461" s="1">
        <f>IF(jablka5[[#This Row],[NIP]]=D460,jablka5[[#This Row],[sprzedaż]]+G460,jablka5[[#This Row],[sprzedaż]])</f>
        <v>12310</v>
      </c>
      <c r="H461" s="1">
        <f>IF(jablka5[[#This Row],[dot sprz]]&lt;15000,0,IF(jablka5[[#This Row],[dot sprz]]&lt;20000,5,10))</f>
        <v>0</v>
      </c>
      <c r="I461" s="1">
        <f>jablka5[[#This Row],[rabat]]*jablka5[[#This Row],[sprzedaż]]/100</f>
        <v>0</v>
      </c>
    </row>
    <row r="462" spans="1:9" x14ac:dyDescent="0.25">
      <c r="A462" s="2">
        <v>44837</v>
      </c>
      <c r="B462" s="1" t="s">
        <v>3</v>
      </c>
      <c r="C462" s="1" t="s">
        <v>67</v>
      </c>
      <c r="D462" s="1" t="s">
        <v>56</v>
      </c>
      <c r="E462">
        <v>179</v>
      </c>
      <c r="F462" s="1">
        <f>VLOOKUP(jablka5[[#This Row],[Nazwa]],cennik[],2,0) * jablka5[[#This Row],[sprzedaż]]</f>
        <v>572.80000000000007</v>
      </c>
      <c r="G462" s="1">
        <f>IF(jablka5[[#This Row],[NIP]]=D461,jablka5[[#This Row],[sprzedaż]]+G461,jablka5[[#This Row],[sprzedaż]])</f>
        <v>12489</v>
      </c>
      <c r="H462" s="1">
        <f>IF(jablka5[[#This Row],[dot sprz]]&lt;15000,0,IF(jablka5[[#This Row],[dot sprz]]&lt;20000,5,10))</f>
        <v>0</v>
      </c>
      <c r="I462" s="1">
        <f>jablka5[[#This Row],[rabat]]*jablka5[[#This Row],[sprzedaż]]/100</f>
        <v>0</v>
      </c>
    </row>
    <row r="463" spans="1:9" x14ac:dyDescent="0.25">
      <c r="A463" s="2">
        <v>44839</v>
      </c>
      <c r="B463" s="1" t="s">
        <v>1</v>
      </c>
      <c r="C463" s="1" t="s">
        <v>67</v>
      </c>
      <c r="D463" s="1" t="s">
        <v>56</v>
      </c>
      <c r="E463">
        <v>132</v>
      </c>
      <c r="F463" s="1">
        <f>VLOOKUP(jablka5[[#This Row],[Nazwa]],cennik[],2,0) * jablka5[[#This Row],[sprzedaż]]</f>
        <v>422.40000000000003</v>
      </c>
      <c r="G463" s="1">
        <f>IF(jablka5[[#This Row],[NIP]]=D462,jablka5[[#This Row],[sprzedaż]]+G462,jablka5[[#This Row],[sprzedaż]])</f>
        <v>12621</v>
      </c>
      <c r="H463" s="1">
        <f>IF(jablka5[[#This Row],[dot sprz]]&lt;15000,0,IF(jablka5[[#This Row],[dot sprz]]&lt;20000,5,10))</f>
        <v>0</v>
      </c>
      <c r="I463" s="1">
        <f>jablka5[[#This Row],[rabat]]*jablka5[[#This Row],[sprzedaż]]/100</f>
        <v>0</v>
      </c>
    </row>
    <row r="464" spans="1:9" x14ac:dyDescent="0.25">
      <c r="A464" s="2">
        <v>44842</v>
      </c>
      <c r="B464" s="1" t="s">
        <v>14</v>
      </c>
      <c r="C464" s="1" t="s">
        <v>67</v>
      </c>
      <c r="D464" s="1" t="s">
        <v>56</v>
      </c>
      <c r="E464">
        <v>268</v>
      </c>
      <c r="F464" s="1">
        <f>VLOOKUP(jablka5[[#This Row],[Nazwa]],cennik[],2,0) * jablka5[[#This Row],[sprzedaż]]</f>
        <v>938</v>
      </c>
      <c r="G464" s="1">
        <f>IF(jablka5[[#This Row],[NIP]]=D463,jablka5[[#This Row],[sprzedaż]]+G463,jablka5[[#This Row],[sprzedaż]])</f>
        <v>12889</v>
      </c>
      <c r="H464" s="1">
        <f>IF(jablka5[[#This Row],[dot sprz]]&lt;15000,0,IF(jablka5[[#This Row],[dot sprz]]&lt;20000,5,10))</f>
        <v>0</v>
      </c>
      <c r="I464" s="1">
        <f>jablka5[[#This Row],[rabat]]*jablka5[[#This Row],[sprzedaż]]/100</f>
        <v>0</v>
      </c>
    </row>
    <row r="465" spans="1:9" x14ac:dyDescent="0.25">
      <c r="A465" s="2">
        <v>44859</v>
      </c>
      <c r="B465" s="1" t="s">
        <v>9</v>
      </c>
      <c r="C465" s="1" t="s">
        <v>67</v>
      </c>
      <c r="D465" s="1" t="s">
        <v>56</v>
      </c>
      <c r="E465">
        <v>492</v>
      </c>
      <c r="F465" s="1">
        <f>VLOOKUP(jablka5[[#This Row],[Nazwa]],cennik[],2,0) * jablka5[[#This Row],[sprzedaż]]</f>
        <v>1230</v>
      </c>
      <c r="G465" s="1">
        <f>IF(jablka5[[#This Row],[NIP]]=D464,jablka5[[#This Row],[sprzedaż]]+G464,jablka5[[#This Row],[sprzedaż]])</f>
        <v>13381</v>
      </c>
      <c r="H465" s="1">
        <f>IF(jablka5[[#This Row],[dot sprz]]&lt;15000,0,IF(jablka5[[#This Row],[dot sprz]]&lt;20000,5,10))</f>
        <v>0</v>
      </c>
      <c r="I465" s="1">
        <f>jablka5[[#This Row],[rabat]]*jablka5[[#This Row],[sprzedaż]]/100</f>
        <v>0</v>
      </c>
    </row>
    <row r="466" spans="1:9" x14ac:dyDescent="0.25">
      <c r="A466" s="2">
        <v>44863</v>
      </c>
      <c r="B466" s="1" t="s">
        <v>11</v>
      </c>
      <c r="C466" s="1" t="s">
        <v>67</v>
      </c>
      <c r="D466" s="1" t="s">
        <v>56</v>
      </c>
      <c r="E466">
        <v>19</v>
      </c>
      <c r="F466" s="1">
        <f>VLOOKUP(jablka5[[#This Row],[Nazwa]],cennik[],2,0) * jablka5[[#This Row],[sprzedaż]]</f>
        <v>47.5</v>
      </c>
      <c r="G466" s="1">
        <f>IF(jablka5[[#This Row],[NIP]]=D465,jablka5[[#This Row],[sprzedaż]]+G465,jablka5[[#This Row],[sprzedaż]])</f>
        <v>13400</v>
      </c>
      <c r="H466" s="1">
        <f>IF(jablka5[[#This Row],[dot sprz]]&lt;15000,0,IF(jablka5[[#This Row],[dot sprz]]&lt;20000,5,10))</f>
        <v>0</v>
      </c>
      <c r="I466" s="1">
        <f>jablka5[[#This Row],[rabat]]*jablka5[[#This Row],[sprzedaż]]/100</f>
        <v>0</v>
      </c>
    </row>
    <row r="467" spans="1:9" x14ac:dyDescent="0.25">
      <c r="A467" s="2">
        <v>44874</v>
      </c>
      <c r="B467" s="1" t="s">
        <v>3</v>
      </c>
      <c r="C467" s="1" t="s">
        <v>67</v>
      </c>
      <c r="D467" s="1" t="s">
        <v>56</v>
      </c>
      <c r="E467">
        <v>318</v>
      </c>
      <c r="F467" s="1">
        <f>VLOOKUP(jablka5[[#This Row],[Nazwa]],cennik[],2,0) * jablka5[[#This Row],[sprzedaż]]</f>
        <v>1017.6</v>
      </c>
      <c r="G467" s="1">
        <f>IF(jablka5[[#This Row],[NIP]]=D466,jablka5[[#This Row],[sprzedaż]]+G466,jablka5[[#This Row],[sprzedaż]])</f>
        <v>13718</v>
      </c>
      <c r="H467" s="1">
        <f>IF(jablka5[[#This Row],[dot sprz]]&lt;15000,0,IF(jablka5[[#This Row],[dot sprz]]&lt;20000,5,10))</f>
        <v>0</v>
      </c>
      <c r="I467" s="1">
        <f>jablka5[[#This Row],[rabat]]*jablka5[[#This Row],[sprzedaż]]/100</f>
        <v>0</v>
      </c>
    </row>
    <row r="468" spans="1:9" x14ac:dyDescent="0.25">
      <c r="A468" s="2">
        <v>44897</v>
      </c>
      <c r="B468" s="1" t="s">
        <v>7</v>
      </c>
      <c r="C468" s="1" t="s">
        <v>16</v>
      </c>
      <c r="D468" s="1" t="s">
        <v>56</v>
      </c>
      <c r="E468">
        <v>398</v>
      </c>
      <c r="F468" s="1">
        <f>VLOOKUP(jablka5[[#This Row],[Nazwa]],cennik[],2,0) * jablka5[[#This Row],[sprzedaż]]</f>
        <v>1353.2</v>
      </c>
      <c r="G468" s="1">
        <f>IF(jablka5[[#This Row],[NIP]]=D467,jablka5[[#This Row],[sprzedaż]]+G467,jablka5[[#This Row],[sprzedaż]])</f>
        <v>14116</v>
      </c>
      <c r="H468" s="1">
        <f>IF(jablka5[[#This Row],[dot sprz]]&lt;15000,0,IF(jablka5[[#This Row],[dot sprz]]&lt;20000,5,10))</f>
        <v>0</v>
      </c>
      <c r="I468" s="1">
        <f>jablka5[[#This Row],[rabat]]*jablka5[[#This Row],[sprzedaż]]/100</f>
        <v>0</v>
      </c>
    </row>
    <row r="469" spans="1:9" x14ac:dyDescent="0.25">
      <c r="A469" s="2">
        <v>44921</v>
      </c>
      <c r="B469" s="1" t="s">
        <v>10</v>
      </c>
      <c r="C469" s="1" t="s">
        <v>16</v>
      </c>
      <c r="D469" s="1" t="s">
        <v>56</v>
      </c>
      <c r="E469">
        <v>106</v>
      </c>
      <c r="F469" s="1">
        <f>VLOOKUP(jablka5[[#This Row],[Nazwa]],cennik[],2,0) * jablka5[[#This Row],[sprzedaż]]</f>
        <v>360.4</v>
      </c>
      <c r="G469" s="1">
        <f>IF(jablka5[[#This Row],[NIP]]=D468,jablka5[[#This Row],[sprzedaż]]+G468,jablka5[[#This Row],[sprzedaż]])</f>
        <v>14222</v>
      </c>
      <c r="H469" s="1">
        <f>IF(jablka5[[#This Row],[dot sprz]]&lt;15000,0,IF(jablka5[[#This Row],[dot sprz]]&lt;20000,5,10))</f>
        <v>0</v>
      </c>
      <c r="I469" s="1">
        <f>jablka5[[#This Row],[rabat]]*jablka5[[#This Row],[sprzedaż]]/100</f>
        <v>0</v>
      </c>
    </row>
    <row r="470" spans="1:9" x14ac:dyDescent="0.25">
      <c r="A470" s="2">
        <v>44564</v>
      </c>
      <c r="B470" s="1" t="s">
        <v>6</v>
      </c>
      <c r="C470" s="1" t="s">
        <v>16</v>
      </c>
      <c r="D470" s="1" t="s">
        <v>24</v>
      </c>
      <c r="E470">
        <v>464</v>
      </c>
      <c r="F470" s="1">
        <f>VLOOKUP(jablka5[[#This Row],[Nazwa]],cennik[],2,0) * jablka5[[#This Row],[sprzedaż]]</f>
        <v>1577.6</v>
      </c>
      <c r="G470" s="1">
        <f>IF(jablka5[[#This Row],[NIP]]=D469,jablka5[[#This Row],[sprzedaż]]+G469,jablka5[[#This Row],[sprzedaż]])</f>
        <v>464</v>
      </c>
      <c r="H470" s="1">
        <f>IF(jablka5[[#This Row],[dot sprz]]&lt;15000,0,IF(jablka5[[#This Row],[dot sprz]]&lt;20000,5,10))</f>
        <v>0</v>
      </c>
      <c r="I470" s="1">
        <f>jablka5[[#This Row],[rabat]]*jablka5[[#This Row],[sprzedaż]]/100</f>
        <v>0</v>
      </c>
    </row>
    <row r="471" spans="1:9" x14ac:dyDescent="0.25">
      <c r="A471" s="2">
        <v>44575</v>
      </c>
      <c r="B471" s="1" t="s">
        <v>15</v>
      </c>
      <c r="C471" s="1" t="s">
        <v>16</v>
      </c>
      <c r="D471" s="1" t="s">
        <v>24</v>
      </c>
      <c r="E471">
        <v>115</v>
      </c>
      <c r="F471" s="1">
        <f>VLOOKUP(jablka5[[#This Row],[Nazwa]],cennik[],2,0) * jablka5[[#This Row],[sprzedaż]]</f>
        <v>276</v>
      </c>
      <c r="G471" s="1">
        <f>IF(jablka5[[#This Row],[NIP]]=D470,jablka5[[#This Row],[sprzedaż]]+G470,jablka5[[#This Row],[sprzedaż]])</f>
        <v>579</v>
      </c>
      <c r="H471" s="1">
        <f>IF(jablka5[[#This Row],[dot sprz]]&lt;15000,0,IF(jablka5[[#This Row],[dot sprz]]&lt;20000,5,10))</f>
        <v>0</v>
      </c>
      <c r="I471" s="1">
        <f>jablka5[[#This Row],[rabat]]*jablka5[[#This Row],[sprzedaż]]/100</f>
        <v>0</v>
      </c>
    </row>
    <row r="472" spans="1:9" x14ac:dyDescent="0.25">
      <c r="A472" s="2">
        <v>44586</v>
      </c>
      <c r="B472" s="1" t="s">
        <v>7</v>
      </c>
      <c r="C472" s="1" t="s">
        <v>16</v>
      </c>
      <c r="D472" s="1" t="s">
        <v>24</v>
      </c>
      <c r="E472">
        <v>447</v>
      </c>
      <c r="F472" s="1">
        <f>VLOOKUP(jablka5[[#This Row],[Nazwa]],cennik[],2,0) * jablka5[[#This Row],[sprzedaż]]</f>
        <v>1519.8</v>
      </c>
      <c r="G472" s="1">
        <f>IF(jablka5[[#This Row],[NIP]]=D471,jablka5[[#This Row],[sprzedaż]]+G471,jablka5[[#This Row],[sprzedaż]])</f>
        <v>1026</v>
      </c>
      <c r="H472" s="1">
        <f>IF(jablka5[[#This Row],[dot sprz]]&lt;15000,0,IF(jablka5[[#This Row],[dot sprz]]&lt;20000,5,10))</f>
        <v>0</v>
      </c>
      <c r="I472" s="1">
        <f>jablka5[[#This Row],[rabat]]*jablka5[[#This Row],[sprzedaż]]/100</f>
        <v>0</v>
      </c>
    </row>
    <row r="473" spans="1:9" x14ac:dyDescent="0.25">
      <c r="A473" s="2">
        <v>44587</v>
      </c>
      <c r="B473" s="1" t="s">
        <v>6</v>
      </c>
      <c r="C473" s="1" t="s">
        <v>16</v>
      </c>
      <c r="D473" s="1" t="s">
        <v>24</v>
      </c>
      <c r="E473">
        <v>350</v>
      </c>
      <c r="F473" s="1">
        <f>VLOOKUP(jablka5[[#This Row],[Nazwa]],cennik[],2,0) * jablka5[[#This Row],[sprzedaż]]</f>
        <v>1190</v>
      </c>
      <c r="G473" s="1">
        <f>IF(jablka5[[#This Row],[NIP]]=D472,jablka5[[#This Row],[sprzedaż]]+G472,jablka5[[#This Row],[sprzedaż]])</f>
        <v>1376</v>
      </c>
      <c r="H473" s="1">
        <f>IF(jablka5[[#This Row],[dot sprz]]&lt;15000,0,IF(jablka5[[#This Row],[dot sprz]]&lt;20000,5,10))</f>
        <v>0</v>
      </c>
      <c r="I473" s="1">
        <f>jablka5[[#This Row],[rabat]]*jablka5[[#This Row],[sprzedaż]]/100</f>
        <v>0</v>
      </c>
    </row>
    <row r="474" spans="1:9" x14ac:dyDescent="0.25">
      <c r="A474" s="2">
        <v>44588</v>
      </c>
      <c r="B474" s="1" t="s">
        <v>8</v>
      </c>
      <c r="C474" s="1" t="s">
        <v>16</v>
      </c>
      <c r="D474" s="1" t="s">
        <v>24</v>
      </c>
      <c r="E474">
        <v>625</v>
      </c>
      <c r="F474" s="1">
        <f>VLOOKUP(jablka5[[#This Row],[Nazwa]],cennik[],2,0) * jablka5[[#This Row],[sprzedaż]]</f>
        <v>2187.5</v>
      </c>
      <c r="G474" s="1">
        <f>IF(jablka5[[#This Row],[NIP]]=D473,jablka5[[#This Row],[sprzedaż]]+G473,jablka5[[#This Row],[sprzedaż]])</f>
        <v>2001</v>
      </c>
      <c r="H474" s="1">
        <f>IF(jablka5[[#This Row],[dot sprz]]&lt;15000,0,IF(jablka5[[#This Row],[dot sprz]]&lt;20000,5,10))</f>
        <v>0</v>
      </c>
      <c r="I474" s="1">
        <f>jablka5[[#This Row],[rabat]]*jablka5[[#This Row],[sprzedaż]]/100</f>
        <v>0</v>
      </c>
    </row>
    <row r="475" spans="1:9" x14ac:dyDescent="0.25">
      <c r="A475" s="2">
        <v>44602</v>
      </c>
      <c r="B475" s="1" t="s">
        <v>6</v>
      </c>
      <c r="C475" s="1" t="s">
        <v>16</v>
      </c>
      <c r="D475" s="1" t="s">
        <v>24</v>
      </c>
      <c r="E475">
        <v>421</v>
      </c>
      <c r="F475" s="1">
        <f>VLOOKUP(jablka5[[#This Row],[Nazwa]],cennik[],2,0) * jablka5[[#This Row],[sprzedaż]]</f>
        <v>1431.3999999999999</v>
      </c>
      <c r="G475" s="1">
        <f>IF(jablka5[[#This Row],[NIP]]=D474,jablka5[[#This Row],[sprzedaż]]+G474,jablka5[[#This Row],[sprzedaż]])</f>
        <v>2422</v>
      </c>
      <c r="H475" s="1">
        <f>IF(jablka5[[#This Row],[dot sprz]]&lt;15000,0,IF(jablka5[[#This Row],[dot sprz]]&lt;20000,5,10))</f>
        <v>0</v>
      </c>
      <c r="I475" s="1">
        <f>jablka5[[#This Row],[rabat]]*jablka5[[#This Row],[sprzedaż]]/100</f>
        <v>0</v>
      </c>
    </row>
    <row r="476" spans="1:9" x14ac:dyDescent="0.25">
      <c r="A476" s="2">
        <v>44606</v>
      </c>
      <c r="B476" s="1" t="s">
        <v>15</v>
      </c>
      <c r="C476" s="1" t="s">
        <v>16</v>
      </c>
      <c r="D476" s="1" t="s">
        <v>24</v>
      </c>
      <c r="E476">
        <v>263</v>
      </c>
      <c r="F476" s="1">
        <f>VLOOKUP(jablka5[[#This Row],[Nazwa]],cennik[],2,0) * jablka5[[#This Row],[sprzedaż]]</f>
        <v>631.19999999999993</v>
      </c>
      <c r="G476" s="1">
        <f>IF(jablka5[[#This Row],[NIP]]=D475,jablka5[[#This Row],[sprzedaż]]+G475,jablka5[[#This Row],[sprzedaż]])</f>
        <v>2685</v>
      </c>
      <c r="H476" s="1">
        <f>IF(jablka5[[#This Row],[dot sprz]]&lt;15000,0,IF(jablka5[[#This Row],[dot sprz]]&lt;20000,5,10))</f>
        <v>0</v>
      </c>
      <c r="I476" s="1">
        <f>jablka5[[#This Row],[rabat]]*jablka5[[#This Row],[sprzedaż]]/100</f>
        <v>0</v>
      </c>
    </row>
    <row r="477" spans="1:9" x14ac:dyDescent="0.25">
      <c r="A477" s="2">
        <v>44623</v>
      </c>
      <c r="B477" s="1" t="s">
        <v>15</v>
      </c>
      <c r="C477" s="1" t="s">
        <v>16</v>
      </c>
      <c r="D477" s="1" t="s">
        <v>24</v>
      </c>
      <c r="E477">
        <v>438</v>
      </c>
      <c r="F477" s="1">
        <f>VLOOKUP(jablka5[[#This Row],[Nazwa]],cennik[],2,0) * jablka5[[#This Row],[sprzedaż]]</f>
        <v>1051.2</v>
      </c>
      <c r="G477" s="1">
        <f>IF(jablka5[[#This Row],[NIP]]=D476,jablka5[[#This Row],[sprzedaż]]+G476,jablka5[[#This Row],[sprzedaż]])</f>
        <v>3123</v>
      </c>
      <c r="H477" s="1">
        <f>IF(jablka5[[#This Row],[dot sprz]]&lt;15000,0,IF(jablka5[[#This Row],[dot sprz]]&lt;20000,5,10))</f>
        <v>0</v>
      </c>
      <c r="I477" s="1">
        <f>jablka5[[#This Row],[rabat]]*jablka5[[#This Row],[sprzedaż]]/100</f>
        <v>0</v>
      </c>
    </row>
    <row r="478" spans="1:9" x14ac:dyDescent="0.25">
      <c r="A478" s="2">
        <v>44631</v>
      </c>
      <c r="B478" s="1" t="s">
        <v>5</v>
      </c>
      <c r="C478" s="1" t="s">
        <v>16</v>
      </c>
      <c r="D478" s="1" t="s">
        <v>24</v>
      </c>
      <c r="E478">
        <v>17</v>
      </c>
      <c r="F478" s="1">
        <f>VLOOKUP(jablka5[[#This Row],[Nazwa]],cennik[],2,0) * jablka5[[#This Row],[sprzedaż]]</f>
        <v>57.8</v>
      </c>
      <c r="G478" s="1">
        <f>IF(jablka5[[#This Row],[NIP]]=D477,jablka5[[#This Row],[sprzedaż]]+G477,jablka5[[#This Row],[sprzedaż]])</f>
        <v>3140</v>
      </c>
      <c r="H478" s="1">
        <f>IF(jablka5[[#This Row],[dot sprz]]&lt;15000,0,IF(jablka5[[#This Row],[dot sprz]]&lt;20000,5,10))</f>
        <v>0</v>
      </c>
      <c r="I478" s="1">
        <f>jablka5[[#This Row],[rabat]]*jablka5[[#This Row],[sprzedaż]]/100</f>
        <v>0</v>
      </c>
    </row>
    <row r="479" spans="1:9" x14ac:dyDescent="0.25">
      <c r="A479" s="2">
        <v>44637</v>
      </c>
      <c r="B479" s="1" t="s">
        <v>7</v>
      </c>
      <c r="C479" s="1" t="s">
        <v>16</v>
      </c>
      <c r="D479" s="1" t="s">
        <v>24</v>
      </c>
      <c r="E479">
        <v>599</v>
      </c>
      <c r="F479" s="1">
        <f>VLOOKUP(jablka5[[#This Row],[Nazwa]],cennik[],2,0) * jablka5[[#This Row],[sprzedaż]]</f>
        <v>2036.6</v>
      </c>
      <c r="G479" s="1">
        <f>IF(jablka5[[#This Row],[NIP]]=D478,jablka5[[#This Row],[sprzedaż]]+G478,jablka5[[#This Row],[sprzedaż]])</f>
        <v>3739</v>
      </c>
      <c r="H479" s="1">
        <f>IF(jablka5[[#This Row],[dot sprz]]&lt;15000,0,IF(jablka5[[#This Row],[dot sprz]]&lt;20000,5,10))</f>
        <v>0</v>
      </c>
      <c r="I479" s="1">
        <f>jablka5[[#This Row],[rabat]]*jablka5[[#This Row],[sprzedaż]]/100</f>
        <v>0</v>
      </c>
    </row>
    <row r="480" spans="1:9" x14ac:dyDescent="0.25">
      <c r="A480" s="2">
        <v>44655</v>
      </c>
      <c r="B480" s="1" t="s">
        <v>0</v>
      </c>
      <c r="C480" s="1" t="s">
        <v>16</v>
      </c>
      <c r="D480" s="1" t="s">
        <v>24</v>
      </c>
      <c r="E480">
        <v>214</v>
      </c>
      <c r="F480" s="1">
        <f>VLOOKUP(jablka5[[#This Row],[Nazwa]],cennik[],2,0) * jablka5[[#This Row],[sprzedaż]]</f>
        <v>620.6</v>
      </c>
      <c r="G480" s="1">
        <f>IF(jablka5[[#This Row],[NIP]]=D479,jablka5[[#This Row],[sprzedaż]]+G479,jablka5[[#This Row],[sprzedaż]])</f>
        <v>3953</v>
      </c>
      <c r="H480" s="1">
        <f>IF(jablka5[[#This Row],[dot sprz]]&lt;15000,0,IF(jablka5[[#This Row],[dot sprz]]&lt;20000,5,10))</f>
        <v>0</v>
      </c>
      <c r="I480" s="1">
        <f>jablka5[[#This Row],[rabat]]*jablka5[[#This Row],[sprzedaż]]/100</f>
        <v>0</v>
      </c>
    </row>
    <row r="481" spans="1:9" x14ac:dyDescent="0.25">
      <c r="A481" s="2">
        <v>44662</v>
      </c>
      <c r="B481" s="1" t="s">
        <v>8</v>
      </c>
      <c r="C481" s="1" t="s">
        <v>16</v>
      </c>
      <c r="D481" s="1" t="s">
        <v>24</v>
      </c>
      <c r="E481">
        <v>633</v>
      </c>
      <c r="F481" s="1">
        <f>VLOOKUP(jablka5[[#This Row],[Nazwa]],cennik[],2,0) * jablka5[[#This Row],[sprzedaż]]</f>
        <v>2215.5</v>
      </c>
      <c r="G481" s="1">
        <f>IF(jablka5[[#This Row],[NIP]]=D480,jablka5[[#This Row],[sprzedaż]]+G480,jablka5[[#This Row],[sprzedaż]])</f>
        <v>4586</v>
      </c>
      <c r="H481" s="1">
        <f>IF(jablka5[[#This Row],[dot sprz]]&lt;15000,0,IF(jablka5[[#This Row],[dot sprz]]&lt;20000,5,10))</f>
        <v>0</v>
      </c>
      <c r="I481" s="1">
        <f>jablka5[[#This Row],[rabat]]*jablka5[[#This Row],[sprzedaż]]/100</f>
        <v>0</v>
      </c>
    </row>
    <row r="482" spans="1:9" x14ac:dyDescent="0.25">
      <c r="A482" s="2">
        <v>44670</v>
      </c>
      <c r="B482" s="1" t="s">
        <v>15</v>
      </c>
      <c r="C482" s="1" t="s">
        <v>16</v>
      </c>
      <c r="D482" s="1" t="s">
        <v>24</v>
      </c>
      <c r="E482">
        <v>390</v>
      </c>
      <c r="F482" s="1">
        <f>VLOOKUP(jablka5[[#This Row],[Nazwa]],cennik[],2,0) * jablka5[[#This Row],[sprzedaż]]</f>
        <v>936</v>
      </c>
      <c r="G482" s="1">
        <f>IF(jablka5[[#This Row],[NIP]]=D481,jablka5[[#This Row],[sprzedaż]]+G481,jablka5[[#This Row],[sprzedaż]])</f>
        <v>4976</v>
      </c>
      <c r="H482" s="1">
        <f>IF(jablka5[[#This Row],[dot sprz]]&lt;15000,0,IF(jablka5[[#This Row],[dot sprz]]&lt;20000,5,10))</f>
        <v>0</v>
      </c>
      <c r="I482" s="1">
        <f>jablka5[[#This Row],[rabat]]*jablka5[[#This Row],[sprzedaż]]/100</f>
        <v>0</v>
      </c>
    </row>
    <row r="483" spans="1:9" x14ac:dyDescent="0.25">
      <c r="A483" s="2">
        <v>44671</v>
      </c>
      <c r="B483" s="1" t="s">
        <v>5</v>
      </c>
      <c r="C483" s="1" t="s">
        <v>16</v>
      </c>
      <c r="D483" s="1" t="s">
        <v>24</v>
      </c>
      <c r="E483">
        <v>354</v>
      </c>
      <c r="F483" s="1">
        <f>VLOOKUP(jablka5[[#This Row],[Nazwa]],cennik[],2,0) * jablka5[[#This Row],[sprzedaż]]</f>
        <v>1203.5999999999999</v>
      </c>
      <c r="G483" s="1">
        <f>IF(jablka5[[#This Row],[NIP]]=D482,jablka5[[#This Row],[sprzedaż]]+G482,jablka5[[#This Row],[sprzedaż]])</f>
        <v>5330</v>
      </c>
      <c r="H483" s="1">
        <f>IF(jablka5[[#This Row],[dot sprz]]&lt;15000,0,IF(jablka5[[#This Row],[dot sprz]]&lt;20000,5,10))</f>
        <v>0</v>
      </c>
      <c r="I483" s="1">
        <f>jablka5[[#This Row],[rabat]]*jablka5[[#This Row],[sprzedaż]]/100</f>
        <v>0</v>
      </c>
    </row>
    <row r="484" spans="1:9" x14ac:dyDescent="0.25">
      <c r="A484" s="2">
        <v>44674</v>
      </c>
      <c r="B484" s="1" t="s">
        <v>0</v>
      </c>
      <c r="C484" s="1" t="s">
        <v>16</v>
      </c>
      <c r="D484" s="1" t="s">
        <v>24</v>
      </c>
      <c r="E484">
        <v>246</v>
      </c>
      <c r="F484" s="1">
        <f>VLOOKUP(jablka5[[#This Row],[Nazwa]],cennik[],2,0) * jablka5[[#This Row],[sprzedaż]]</f>
        <v>713.4</v>
      </c>
      <c r="G484" s="1">
        <f>IF(jablka5[[#This Row],[NIP]]=D483,jablka5[[#This Row],[sprzedaż]]+G483,jablka5[[#This Row],[sprzedaż]])</f>
        <v>5576</v>
      </c>
      <c r="H484" s="1">
        <f>IF(jablka5[[#This Row],[dot sprz]]&lt;15000,0,IF(jablka5[[#This Row],[dot sprz]]&lt;20000,5,10))</f>
        <v>0</v>
      </c>
      <c r="I484" s="1">
        <f>jablka5[[#This Row],[rabat]]*jablka5[[#This Row],[sprzedaż]]/100</f>
        <v>0</v>
      </c>
    </row>
    <row r="485" spans="1:9" x14ac:dyDescent="0.25">
      <c r="A485" s="2">
        <v>44674</v>
      </c>
      <c r="B485" s="1" t="s">
        <v>6</v>
      </c>
      <c r="C485" s="1" t="s">
        <v>16</v>
      </c>
      <c r="D485" s="1" t="s">
        <v>24</v>
      </c>
      <c r="E485">
        <v>237</v>
      </c>
      <c r="F485" s="1">
        <f>VLOOKUP(jablka5[[#This Row],[Nazwa]],cennik[],2,0) * jablka5[[#This Row],[sprzedaż]]</f>
        <v>805.8</v>
      </c>
      <c r="G485" s="1">
        <f>IF(jablka5[[#This Row],[NIP]]=D484,jablka5[[#This Row],[sprzedaż]]+G484,jablka5[[#This Row],[sprzedaż]])</f>
        <v>5813</v>
      </c>
      <c r="H485" s="1">
        <f>IF(jablka5[[#This Row],[dot sprz]]&lt;15000,0,IF(jablka5[[#This Row],[dot sprz]]&lt;20000,5,10))</f>
        <v>0</v>
      </c>
      <c r="I485" s="1">
        <f>jablka5[[#This Row],[rabat]]*jablka5[[#This Row],[sprzedaż]]/100</f>
        <v>0</v>
      </c>
    </row>
    <row r="486" spans="1:9" x14ac:dyDescent="0.25">
      <c r="A486" s="2">
        <v>44686</v>
      </c>
      <c r="B486" s="1" t="s">
        <v>0</v>
      </c>
      <c r="C486" s="1" t="s">
        <v>16</v>
      </c>
      <c r="D486" s="1" t="s">
        <v>24</v>
      </c>
      <c r="E486">
        <v>423</v>
      </c>
      <c r="F486" s="1">
        <f>VLOOKUP(jablka5[[#This Row],[Nazwa]],cennik[],2,0) * jablka5[[#This Row],[sprzedaż]]</f>
        <v>1226.7</v>
      </c>
      <c r="G486" s="1">
        <f>IF(jablka5[[#This Row],[NIP]]=D485,jablka5[[#This Row],[sprzedaż]]+G485,jablka5[[#This Row],[sprzedaż]])</f>
        <v>6236</v>
      </c>
      <c r="H486" s="1">
        <f>IF(jablka5[[#This Row],[dot sprz]]&lt;15000,0,IF(jablka5[[#This Row],[dot sprz]]&lt;20000,5,10))</f>
        <v>0</v>
      </c>
      <c r="I486" s="1">
        <f>jablka5[[#This Row],[rabat]]*jablka5[[#This Row],[sprzedaż]]/100</f>
        <v>0</v>
      </c>
    </row>
    <row r="487" spans="1:9" x14ac:dyDescent="0.25">
      <c r="A487" s="2">
        <v>44690</v>
      </c>
      <c r="B487" s="1" t="s">
        <v>8</v>
      </c>
      <c r="C487" s="1" t="s">
        <v>16</v>
      </c>
      <c r="D487" s="1" t="s">
        <v>24</v>
      </c>
      <c r="E487">
        <v>376</v>
      </c>
      <c r="F487" s="1">
        <f>VLOOKUP(jablka5[[#This Row],[Nazwa]],cennik[],2,0) * jablka5[[#This Row],[sprzedaż]]</f>
        <v>1316</v>
      </c>
      <c r="G487" s="1">
        <f>IF(jablka5[[#This Row],[NIP]]=D486,jablka5[[#This Row],[sprzedaż]]+G486,jablka5[[#This Row],[sprzedaż]])</f>
        <v>6612</v>
      </c>
      <c r="H487" s="1">
        <f>IF(jablka5[[#This Row],[dot sprz]]&lt;15000,0,IF(jablka5[[#This Row],[dot sprz]]&lt;20000,5,10))</f>
        <v>0</v>
      </c>
      <c r="I487" s="1">
        <f>jablka5[[#This Row],[rabat]]*jablka5[[#This Row],[sprzedaż]]/100</f>
        <v>0</v>
      </c>
    </row>
    <row r="488" spans="1:9" x14ac:dyDescent="0.25">
      <c r="A488" s="2">
        <v>44691</v>
      </c>
      <c r="B488" s="1" t="s">
        <v>8</v>
      </c>
      <c r="C488" s="1" t="s">
        <v>16</v>
      </c>
      <c r="D488" s="1" t="s">
        <v>24</v>
      </c>
      <c r="E488">
        <v>521</v>
      </c>
      <c r="F488" s="1">
        <f>VLOOKUP(jablka5[[#This Row],[Nazwa]],cennik[],2,0) * jablka5[[#This Row],[sprzedaż]]</f>
        <v>1823.5</v>
      </c>
      <c r="G488" s="1">
        <f>IF(jablka5[[#This Row],[NIP]]=D487,jablka5[[#This Row],[sprzedaż]]+G487,jablka5[[#This Row],[sprzedaż]])</f>
        <v>7133</v>
      </c>
      <c r="H488" s="1">
        <f>IF(jablka5[[#This Row],[dot sprz]]&lt;15000,0,IF(jablka5[[#This Row],[dot sprz]]&lt;20000,5,10))</f>
        <v>0</v>
      </c>
      <c r="I488" s="1">
        <f>jablka5[[#This Row],[rabat]]*jablka5[[#This Row],[sprzedaż]]/100</f>
        <v>0</v>
      </c>
    </row>
    <row r="489" spans="1:9" x14ac:dyDescent="0.25">
      <c r="A489" s="2">
        <v>44713</v>
      </c>
      <c r="B489" s="1" t="s">
        <v>13</v>
      </c>
      <c r="C489" s="1" t="s">
        <v>68</v>
      </c>
      <c r="D489" s="1" t="s">
        <v>24</v>
      </c>
      <c r="E489">
        <v>354</v>
      </c>
      <c r="F489" s="1">
        <f>VLOOKUP(jablka5[[#This Row],[Nazwa]],cennik[],2,0) * jablka5[[#This Row],[sprzedaż]]</f>
        <v>1132.8</v>
      </c>
      <c r="G489" s="1">
        <f>IF(jablka5[[#This Row],[NIP]]=D488,jablka5[[#This Row],[sprzedaż]]+G488,jablka5[[#This Row],[sprzedaż]])</f>
        <v>7487</v>
      </c>
      <c r="H489" s="1">
        <f>IF(jablka5[[#This Row],[dot sprz]]&lt;15000,0,IF(jablka5[[#This Row],[dot sprz]]&lt;20000,5,10))</f>
        <v>0</v>
      </c>
      <c r="I489" s="1">
        <f>jablka5[[#This Row],[rabat]]*jablka5[[#This Row],[sprzedaż]]/100</f>
        <v>0</v>
      </c>
    </row>
    <row r="490" spans="1:9" x14ac:dyDescent="0.25">
      <c r="A490" s="2">
        <v>44725</v>
      </c>
      <c r="B490" s="1" t="s">
        <v>14</v>
      </c>
      <c r="C490" s="1" t="s">
        <v>67</v>
      </c>
      <c r="D490" s="1" t="s">
        <v>24</v>
      </c>
      <c r="E490">
        <v>73</v>
      </c>
      <c r="F490" s="1">
        <f>VLOOKUP(jablka5[[#This Row],[Nazwa]],cennik[],2,0) * jablka5[[#This Row],[sprzedaż]]</f>
        <v>255.5</v>
      </c>
      <c r="G490" s="1">
        <f>IF(jablka5[[#This Row],[NIP]]=D489,jablka5[[#This Row],[sprzedaż]]+G489,jablka5[[#This Row],[sprzedaż]])</f>
        <v>7560</v>
      </c>
      <c r="H490" s="1">
        <f>IF(jablka5[[#This Row],[dot sprz]]&lt;15000,0,IF(jablka5[[#This Row],[dot sprz]]&lt;20000,5,10))</f>
        <v>0</v>
      </c>
      <c r="I490" s="1">
        <f>jablka5[[#This Row],[rabat]]*jablka5[[#This Row],[sprzedaż]]/100</f>
        <v>0</v>
      </c>
    </row>
    <row r="491" spans="1:9" x14ac:dyDescent="0.25">
      <c r="A491" s="2">
        <v>44725</v>
      </c>
      <c r="B491" s="1" t="s">
        <v>12</v>
      </c>
      <c r="C491" s="1" t="s">
        <v>68</v>
      </c>
      <c r="D491" s="1" t="s">
        <v>24</v>
      </c>
      <c r="E491">
        <v>302</v>
      </c>
      <c r="F491" s="1">
        <f>VLOOKUP(jablka5[[#This Row],[Nazwa]],cennik[],2,0) * jablka5[[#This Row],[sprzedaż]]</f>
        <v>815.40000000000009</v>
      </c>
      <c r="G491" s="1">
        <f>IF(jablka5[[#This Row],[NIP]]=D490,jablka5[[#This Row],[sprzedaż]]+G490,jablka5[[#This Row],[sprzedaż]])</f>
        <v>7862</v>
      </c>
      <c r="H491" s="1">
        <f>IF(jablka5[[#This Row],[dot sprz]]&lt;15000,0,IF(jablka5[[#This Row],[dot sprz]]&lt;20000,5,10))</f>
        <v>0</v>
      </c>
      <c r="I491" s="1">
        <f>jablka5[[#This Row],[rabat]]*jablka5[[#This Row],[sprzedaż]]/100</f>
        <v>0</v>
      </c>
    </row>
    <row r="492" spans="1:9" x14ac:dyDescent="0.25">
      <c r="A492" s="2">
        <v>44733</v>
      </c>
      <c r="B492" s="1" t="s">
        <v>13</v>
      </c>
      <c r="C492" s="1" t="s">
        <v>68</v>
      </c>
      <c r="D492" s="1" t="s">
        <v>24</v>
      </c>
      <c r="E492">
        <v>55</v>
      </c>
      <c r="F492" s="1">
        <f>VLOOKUP(jablka5[[#This Row],[Nazwa]],cennik[],2,0) * jablka5[[#This Row],[sprzedaż]]</f>
        <v>176</v>
      </c>
      <c r="G492" s="1">
        <f>IF(jablka5[[#This Row],[NIP]]=D491,jablka5[[#This Row],[sprzedaż]]+G491,jablka5[[#This Row],[sprzedaż]])</f>
        <v>7917</v>
      </c>
      <c r="H492" s="1">
        <f>IF(jablka5[[#This Row],[dot sprz]]&lt;15000,0,IF(jablka5[[#This Row],[dot sprz]]&lt;20000,5,10))</f>
        <v>0</v>
      </c>
      <c r="I492" s="1">
        <f>jablka5[[#This Row],[rabat]]*jablka5[[#This Row],[sprzedaż]]/100</f>
        <v>0</v>
      </c>
    </row>
    <row r="493" spans="1:9" x14ac:dyDescent="0.25">
      <c r="A493" s="2">
        <v>44740</v>
      </c>
      <c r="B493" s="1" t="s">
        <v>14</v>
      </c>
      <c r="C493" s="1" t="s">
        <v>67</v>
      </c>
      <c r="D493" s="1" t="s">
        <v>24</v>
      </c>
      <c r="E493">
        <v>495</v>
      </c>
      <c r="F493" s="1">
        <f>VLOOKUP(jablka5[[#This Row],[Nazwa]],cennik[],2,0) * jablka5[[#This Row],[sprzedaż]]</f>
        <v>1732.5</v>
      </c>
      <c r="G493" s="1">
        <f>IF(jablka5[[#This Row],[NIP]]=D492,jablka5[[#This Row],[sprzedaż]]+G492,jablka5[[#This Row],[sprzedaż]])</f>
        <v>8412</v>
      </c>
      <c r="H493" s="1">
        <f>IF(jablka5[[#This Row],[dot sprz]]&lt;15000,0,IF(jablka5[[#This Row],[dot sprz]]&lt;20000,5,10))</f>
        <v>0</v>
      </c>
      <c r="I493" s="1">
        <f>jablka5[[#This Row],[rabat]]*jablka5[[#This Row],[sprzedaż]]/100</f>
        <v>0</v>
      </c>
    </row>
    <row r="494" spans="1:9" x14ac:dyDescent="0.25">
      <c r="A494" s="2">
        <v>44740</v>
      </c>
      <c r="B494" s="1" t="s">
        <v>14</v>
      </c>
      <c r="C494" s="1" t="s">
        <v>67</v>
      </c>
      <c r="D494" s="1" t="s">
        <v>24</v>
      </c>
      <c r="E494">
        <v>266</v>
      </c>
      <c r="F494" s="1">
        <f>VLOOKUP(jablka5[[#This Row],[Nazwa]],cennik[],2,0) * jablka5[[#This Row],[sprzedaż]]</f>
        <v>931</v>
      </c>
      <c r="G494" s="1">
        <f>IF(jablka5[[#This Row],[NIP]]=D493,jablka5[[#This Row],[sprzedaż]]+G493,jablka5[[#This Row],[sprzedaż]])</f>
        <v>8678</v>
      </c>
      <c r="H494" s="1">
        <f>IF(jablka5[[#This Row],[dot sprz]]&lt;15000,0,IF(jablka5[[#This Row],[dot sprz]]&lt;20000,5,10))</f>
        <v>0</v>
      </c>
      <c r="I494" s="1">
        <f>jablka5[[#This Row],[rabat]]*jablka5[[#This Row],[sprzedaż]]/100</f>
        <v>0</v>
      </c>
    </row>
    <row r="495" spans="1:9" x14ac:dyDescent="0.25">
      <c r="A495" s="2">
        <v>44742</v>
      </c>
      <c r="B495" s="1" t="s">
        <v>12</v>
      </c>
      <c r="C495" s="1" t="s">
        <v>68</v>
      </c>
      <c r="D495" s="1" t="s">
        <v>24</v>
      </c>
      <c r="E495">
        <v>66</v>
      </c>
      <c r="F495" s="1">
        <f>VLOOKUP(jablka5[[#This Row],[Nazwa]],cennik[],2,0) * jablka5[[#This Row],[sprzedaż]]</f>
        <v>178.20000000000002</v>
      </c>
      <c r="G495" s="1">
        <f>IF(jablka5[[#This Row],[NIP]]=D494,jablka5[[#This Row],[sprzedaż]]+G494,jablka5[[#This Row],[sprzedaż]])</f>
        <v>8744</v>
      </c>
      <c r="H495" s="1">
        <f>IF(jablka5[[#This Row],[dot sprz]]&lt;15000,0,IF(jablka5[[#This Row],[dot sprz]]&lt;20000,5,10))</f>
        <v>0</v>
      </c>
      <c r="I495" s="1">
        <f>jablka5[[#This Row],[rabat]]*jablka5[[#This Row],[sprzedaż]]/100</f>
        <v>0</v>
      </c>
    </row>
    <row r="496" spans="1:9" x14ac:dyDescent="0.25">
      <c r="A496" s="2">
        <v>44758</v>
      </c>
      <c r="B496" s="1" t="s">
        <v>12</v>
      </c>
      <c r="C496" s="1" t="s">
        <v>68</v>
      </c>
      <c r="D496" s="1" t="s">
        <v>24</v>
      </c>
      <c r="E496">
        <v>355</v>
      </c>
      <c r="F496" s="1">
        <f>VLOOKUP(jablka5[[#This Row],[Nazwa]],cennik[],2,0) * jablka5[[#This Row],[sprzedaż]]</f>
        <v>958.50000000000011</v>
      </c>
      <c r="G496" s="1">
        <f>IF(jablka5[[#This Row],[NIP]]=D495,jablka5[[#This Row],[sprzedaż]]+G495,jablka5[[#This Row],[sprzedaż]])</f>
        <v>9099</v>
      </c>
      <c r="H496" s="1">
        <f>IF(jablka5[[#This Row],[dot sprz]]&lt;15000,0,IF(jablka5[[#This Row],[dot sprz]]&lt;20000,5,10))</f>
        <v>0</v>
      </c>
      <c r="I496" s="1">
        <f>jablka5[[#This Row],[rabat]]*jablka5[[#This Row],[sprzedaż]]/100</f>
        <v>0</v>
      </c>
    </row>
    <row r="497" spans="1:9" x14ac:dyDescent="0.25">
      <c r="A497" s="2">
        <v>44793</v>
      </c>
      <c r="B497" s="1" t="s">
        <v>12</v>
      </c>
      <c r="C497" s="1" t="s">
        <v>68</v>
      </c>
      <c r="D497" s="1" t="s">
        <v>24</v>
      </c>
      <c r="E497">
        <v>383</v>
      </c>
      <c r="F497" s="1">
        <f>VLOOKUP(jablka5[[#This Row],[Nazwa]],cennik[],2,0) * jablka5[[#This Row],[sprzedaż]]</f>
        <v>1034.1000000000001</v>
      </c>
      <c r="G497" s="1">
        <f>IF(jablka5[[#This Row],[NIP]]=D496,jablka5[[#This Row],[sprzedaż]]+G496,jablka5[[#This Row],[sprzedaż]])</f>
        <v>9482</v>
      </c>
      <c r="H497" s="1">
        <f>IF(jablka5[[#This Row],[dot sprz]]&lt;15000,0,IF(jablka5[[#This Row],[dot sprz]]&lt;20000,5,10))</f>
        <v>0</v>
      </c>
      <c r="I497" s="1">
        <f>jablka5[[#This Row],[rabat]]*jablka5[[#This Row],[sprzedaż]]/100</f>
        <v>0</v>
      </c>
    </row>
    <row r="498" spans="1:9" x14ac:dyDescent="0.25">
      <c r="A498" s="2">
        <v>44795</v>
      </c>
      <c r="B498" s="1" t="s">
        <v>14</v>
      </c>
      <c r="C498" s="1" t="s">
        <v>67</v>
      </c>
      <c r="D498" s="1" t="s">
        <v>24</v>
      </c>
      <c r="E498">
        <v>383</v>
      </c>
      <c r="F498" s="1">
        <f>VLOOKUP(jablka5[[#This Row],[Nazwa]],cennik[],2,0) * jablka5[[#This Row],[sprzedaż]]</f>
        <v>1340.5</v>
      </c>
      <c r="G498" s="1">
        <f>IF(jablka5[[#This Row],[NIP]]=D497,jablka5[[#This Row],[sprzedaż]]+G497,jablka5[[#This Row],[sprzedaż]])</f>
        <v>9865</v>
      </c>
      <c r="H498" s="1">
        <f>IF(jablka5[[#This Row],[dot sprz]]&lt;15000,0,IF(jablka5[[#This Row],[dot sprz]]&lt;20000,5,10))</f>
        <v>0</v>
      </c>
      <c r="I498" s="1">
        <f>jablka5[[#This Row],[rabat]]*jablka5[[#This Row],[sprzedaż]]/100</f>
        <v>0</v>
      </c>
    </row>
    <row r="499" spans="1:9" x14ac:dyDescent="0.25">
      <c r="A499" s="2">
        <v>44803</v>
      </c>
      <c r="B499" s="1" t="s">
        <v>12</v>
      </c>
      <c r="C499" s="1" t="s">
        <v>68</v>
      </c>
      <c r="D499" s="1" t="s">
        <v>24</v>
      </c>
      <c r="E499">
        <v>444</v>
      </c>
      <c r="F499" s="1">
        <f>VLOOKUP(jablka5[[#This Row],[Nazwa]],cennik[],2,0) * jablka5[[#This Row],[sprzedaż]]</f>
        <v>1198.8000000000002</v>
      </c>
      <c r="G499" s="1">
        <f>IF(jablka5[[#This Row],[NIP]]=D498,jablka5[[#This Row],[sprzedaż]]+G498,jablka5[[#This Row],[sprzedaż]])</f>
        <v>10309</v>
      </c>
      <c r="H499" s="1">
        <f>IF(jablka5[[#This Row],[dot sprz]]&lt;15000,0,IF(jablka5[[#This Row],[dot sprz]]&lt;20000,5,10))</f>
        <v>0</v>
      </c>
      <c r="I499" s="1">
        <f>jablka5[[#This Row],[rabat]]*jablka5[[#This Row],[sprzedaż]]/100</f>
        <v>0</v>
      </c>
    </row>
    <row r="500" spans="1:9" x14ac:dyDescent="0.25">
      <c r="A500" s="2">
        <v>44806</v>
      </c>
      <c r="B500" s="1" t="s">
        <v>11</v>
      </c>
      <c r="C500" s="1" t="s">
        <v>67</v>
      </c>
      <c r="D500" s="1" t="s">
        <v>24</v>
      </c>
      <c r="E500">
        <v>271</v>
      </c>
      <c r="F500" s="1">
        <f>VLOOKUP(jablka5[[#This Row],[Nazwa]],cennik[],2,0) * jablka5[[#This Row],[sprzedaż]]</f>
        <v>677.5</v>
      </c>
      <c r="G500" s="1">
        <f>IF(jablka5[[#This Row],[NIP]]=D499,jablka5[[#This Row],[sprzedaż]]+G499,jablka5[[#This Row],[sprzedaż]])</f>
        <v>10580</v>
      </c>
      <c r="H500" s="1">
        <f>IF(jablka5[[#This Row],[dot sprz]]&lt;15000,0,IF(jablka5[[#This Row],[dot sprz]]&lt;20000,5,10))</f>
        <v>0</v>
      </c>
      <c r="I500" s="1">
        <f>jablka5[[#This Row],[rabat]]*jablka5[[#This Row],[sprzedaż]]/100</f>
        <v>0</v>
      </c>
    </row>
    <row r="501" spans="1:9" x14ac:dyDescent="0.25">
      <c r="A501" s="2">
        <v>44811</v>
      </c>
      <c r="B501" s="1" t="s">
        <v>14</v>
      </c>
      <c r="C501" s="1" t="s">
        <v>67</v>
      </c>
      <c r="D501" s="1" t="s">
        <v>24</v>
      </c>
      <c r="E501">
        <v>17</v>
      </c>
      <c r="F501" s="1">
        <f>VLOOKUP(jablka5[[#This Row],[Nazwa]],cennik[],2,0) * jablka5[[#This Row],[sprzedaż]]</f>
        <v>59.5</v>
      </c>
      <c r="G501" s="1">
        <f>IF(jablka5[[#This Row],[NIP]]=D500,jablka5[[#This Row],[sprzedaż]]+G500,jablka5[[#This Row],[sprzedaż]])</f>
        <v>10597</v>
      </c>
      <c r="H501" s="1">
        <f>IF(jablka5[[#This Row],[dot sprz]]&lt;15000,0,IF(jablka5[[#This Row],[dot sprz]]&lt;20000,5,10))</f>
        <v>0</v>
      </c>
      <c r="I501" s="1">
        <f>jablka5[[#This Row],[rabat]]*jablka5[[#This Row],[sprzedaż]]/100</f>
        <v>0</v>
      </c>
    </row>
    <row r="502" spans="1:9" x14ac:dyDescent="0.25">
      <c r="A502" s="2">
        <v>44812</v>
      </c>
      <c r="B502" s="1" t="s">
        <v>9</v>
      </c>
      <c r="C502" s="1" t="s">
        <v>67</v>
      </c>
      <c r="D502" s="1" t="s">
        <v>24</v>
      </c>
      <c r="E502">
        <v>397</v>
      </c>
      <c r="F502" s="1">
        <f>VLOOKUP(jablka5[[#This Row],[Nazwa]],cennik[],2,0) * jablka5[[#This Row],[sprzedaż]]</f>
        <v>992.5</v>
      </c>
      <c r="G502" s="1">
        <f>IF(jablka5[[#This Row],[NIP]]=D501,jablka5[[#This Row],[sprzedaż]]+G501,jablka5[[#This Row],[sprzedaż]])</f>
        <v>10994</v>
      </c>
      <c r="H502" s="1">
        <f>IF(jablka5[[#This Row],[dot sprz]]&lt;15000,0,IF(jablka5[[#This Row],[dot sprz]]&lt;20000,5,10))</f>
        <v>0</v>
      </c>
      <c r="I502" s="1">
        <f>jablka5[[#This Row],[rabat]]*jablka5[[#This Row],[sprzedaż]]/100</f>
        <v>0</v>
      </c>
    </row>
    <row r="503" spans="1:9" x14ac:dyDescent="0.25">
      <c r="A503" s="2">
        <v>44816</v>
      </c>
      <c r="B503" s="1" t="s">
        <v>1</v>
      </c>
      <c r="C503" s="1" t="s">
        <v>67</v>
      </c>
      <c r="D503" s="1" t="s">
        <v>24</v>
      </c>
      <c r="E503">
        <v>227</v>
      </c>
      <c r="F503" s="1">
        <f>VLOOKUP(jablka5[[#This Row],[Nazwa]],cennik[],2,0) * jablka5[[#This Row],[sprzedaż]]</f>
        <v>726.40000000000009</v>
      </c>
      <c r="G503" s="1">
        <f>IF(jablka5[[#This Row],[NIP]]=D502,jablka5[[#This Row],[sprzedaż]]+G502,jablka5[[#This Row],[sprzedaż]])</f>
        <v>11221</v>
      </c>
      <c r="H503" s="1">
        <f>IF(jablka5[[#This Row],[dot sprz]]&lt;15000,0,IF(jablka5[[#This Row],[dot sprz]]&lt;20000,5,10))</f>
        <v>0</v>
      </c>
      <c r="I503" s="1">
        <f>jablka5[[#This Row],[rabat]]*jablka5[[#This Row],[sprzedaż]]/100</f>
        <v>0</v>
      </c>
    </row>
    <row r="504" spans="1:9" x14ac:dyDescent="0.25">
      <c r="A504" s="2">
        <v>44823</v>
      </c>
      <c r="B504" s="1" t="s">
        <v>9</v>
      </c>
      <c r="C504" s="1" t="s">
        <v>67</v>
      </c>
      <c r="D504" s="1" t="s">
        <v>24</v>
      </c>
      <c r="E504">
        <v>37</v>
      </c>
      <c r="F504" s="1">
        <f>VLOOKUP(jablka5[[#This Row],[Nazwa]],cennik[],2,0) * jablka5[[#This Row],[sprzedaż]]</f>
        <v>92.5</v>
      </c>
      <c r="G504" s="1">
        <f>IF(jablka5[[#This Row],[NIP]]=D503,jablka5[[#This Row],[sprzedaż]]+G503,jablka5[[#This Row],[sprzedaż]])</f>
        <v>11258</v>
      </c>
      <c r="H504" s="1">
        <f>IF(jablka5[[#This Row],[dot sprz]]&lt;15000,0,IF(jablka5[[#This Row],[dot sprz]]&lt;20000,5,10))</f>
        <v>0</v>
      </c>
      <c r="I504" s="1">
        <f>jablka5[[#This Row],[rabat]]*jablka5[[#This Row],[sprzedaż]]/100</f>
        <v>0</v>
      </c>
    </row>
    <row r="505" spans="1:9" x14ac:dyDescent="0.25">
      <c r="A505" s="2">
        <v>44839</v>
      </c>
      <c r="B505" s="1" t="s">
        <v>1</v>
      </c>
      <c r="C505" s="1" t="s">
        <v>67</v>
      </c>
      <c r="D505" s="1" t="s">
        <v>24</v>
      </c>
      <c r="E505">
        <v>135</v>
      </c>
      <c r="F505" s="1">
        <f>VLOOKUP(jablka5[[#This Row],[Nazwa]],cennik[],2,0) * jablka5[[#This Row],[sprzedaż]]</f>
        <v>432</v>
      </c>
      <c r="G505" s="1">
        <f>IF(jablka5[[#This Row],[NIP]]=D504,jablka5[[#This Row],[sprzedaż]]+G504,jablka5[[#This Row],[sprzedaż]])</f>
        <v>11393</v>
      </c>
      <c r="H505" s="1">
        <f>IF(jablka5[[#This Row],[dot sprz]]&lt;15000,0,IF(jablka5[[#This Row],[dot sprz]]&lt;20000,5,10))</f>
        <v>0</v>
      </c>
      <c r="I505" s="1">
        <f>jablka5[[#This Row],[rabat]]*jablka5[[#This Row],[sprzedaż]]/100</f>
        <v>0</v>
      </c>
    </row>
    <row r="506" spans="1:9" x14ac:dyDescent="0.25">
      <c r="A506" s="2">
        <v>44856</v>
      </c>
      <c r="B506" s="1" t="s">
        <v>3</v>
      </c>
      <c r="C506" s="1" t="s">
        <v>67</v>
      </c>
      <c r="D506" s="1" t="s">
        <v>24</v>
      </c>
      <c r="E506">
        <v>450</v>
      </c>
      <c r="F506" s="1">
        <f>VLOOKUP(jablka5[[#This Row],[Nazwa]],cennik[],2,0) * jablka5[[#This Row],[sprzedaż]]</f>
        <v>1440</v>
      </c>
      <c r="G506" s="1">
        <f>IF(jablka5[[#This Row],[NIP]]=D505,jablka5[[#This Row],[sprzedaż]]+G505,jablka5[[#This Row],[sprzedaż]])</f>
        <v>11843</v>
      </c>
      <c r="H506" s="1">
        <f>IF(jablka5[[#This Row],[dot sprz]]&lt;15000,0,IF(jablka5[[#This Row],[dot sprz]]&lt;20000,5,10))</f>
        <v>0</v>
      </c>
      <c r="I506" s="1">
        <f>jablka5[[#This Row],[rabat]]*jablka5[[#This Row],[sprzedaż]]/100</f>
        <v>0</v>
      </c>
    </row>
    <row r="507" spans="1:9" x14ac:dyDescent="0.25">
      <c r="A507" s="2">
        <v>44882</v>
      </c>
      <c r="B507" s="1" t="s">
        <v>14</v>
      </c>
      <c r="C507" s="1" t="s">
        <v>67</v>
      </c>
      <c r="D507" s="1" t="s">
        <v>24</v>
      </c>
      <c r="E507">
        <v>452</v>
      </c>
      <c r="F507" s="1">
        <f>VLOOKUP(jablka5[[#This Row],[Nazwa]],cennik[],2,0) * jablka5[[#This Row],[sprzedaż]]</f>
        <v>1582</v>
      </c>
      <c r="G507" s="1">
        <f>IF(jablka5[[#This Row],[NIP]]=D506,jablka5[[#This Row],[sprzedaż]]+G506,jablka5[[#This Row],[sprzedaż]])</f>
        <v>12295</v>
      </c>
      <c r="H507" s="1">
        <f>IF(jablka5[[#This Row],[dot sprz]]&lt;15000,0,IF(jablka5[[#This Row],[dot sprz]]&lt;20000,5,10))</f>
        <v>0</v>
      </c>
      <c r="I507" s="1">
        <f>jablka5[[#This Row],[rabat]]*jablka5[[#This Row],[sprzedaż]]/100</f>
        <v>0</v>
      </c>
    </row>
    <row r="508" spans="1:9" x14ac:dyDescent="0.25">
      <c r="A508" s="2">
        <v>44901</v>
      </c>
      <c r="B508" s="1" t="s">
        <v>7</v>
      </c>
      <c r="C508" s="1" t="s">
        <v>16</v>
      </c>
      <c r="D508" s="1" t="s">
        <v>24</v>
      </c>
      <c r="E508">
        <v>298</v>
      </c>
      <c r="F508" s="1">
        <f>VLOOKUP(jablka5[[#This Row],[Nazwa]],cennik[],2,0) * jablka5[[#This Row],[sprzedaż]]</f>
        <v>1013.1999999999999</v>
      </c>
      <c r="G508" s="1">
        <f>IF(jablka5[[#This Row],[NIP]]=D507,jablka5[[#This Row],[sprzedaż]]+G507,jablka5[[#This Row],[sprzedaż]])</f>
        <v>12593</v>
      </c>
      <c r="H508" s="1">
        <f>IF(jablka5[[#This Row],[dot sprz]]&lt;15000,0,IF(jablka5[[#This Row],[dot sprz]]&lt;20000,5,10))</f>
        <v>0</v>
      </c>
      <c r="I508" s="1">
        <f>jablka5[[#This Row],[rabat]]*jablka5[[#This Row],[sprzedaż]]/100</f>
        <v>0</v>
      </c>
    </row>
    <row r="509" spans="1:9" x14ac:dyDescent="0.25">
      <c r="A509" s="2">
        <v>44921</v>
      </c>
      <c r="B509" s="1" t="s">
        <v>15</v>
      </c>
      <c r="C509" s="1" t="s">
        <v>16</v>
      </c>
      <c r="D509" s="1" t="s">
        <v>24</v>
      </c>
      <c r="E509">
        <v>286</v>
      </c>
      <c r="F509" s="1">
        <f>VLOOKUP(jablka5[[#This Row],[Nazwa]],cennik[],2,0) * jablka5[[#This Row],[sprzedaż]]</f>
        <v>686.4</v>
      </c>
      <c r="G509" s="1">
        <f>IF(jablka5[[#This Row],[NIP]]=D508,jablka5[[#This Row],[sprzedaż]]+G508,jablka5[[#This Row],[sprzedaż]])</f>
        <v>12879</v>
      </c>
      <c r="H509" s="1">
        <f>IF(jablka5[[#This Row],[dot sprz]]&lt;15000,0,IF(jablka5[[#This Row],[dot sprz]]&lt;20000,5,10))</f>
        <v>0</v>
      </c>
      <c r="I509" s="1">
        <f>jablka5[[#This Row],[rabat]]*jablka5[[#This Row],[sprzedaż]]/100</f>
        <v>0</v>
      </c>
    </row>
    <row r="510" spans="1:9" x14ac:dyDescent="0.25">
      <c r="A510" s="2">
        <v>44571</v>
      </c>
      <c r="B510" s="1" t="s">
        <v>2</v>
      </c>
      <c r="C510" s="1" t="s">
        <v>16</v>
      </c>
      <c r="D510" s="1" t="s">
        <v>49</v>
      </c>
      <c r="E510">
        <v>32</v>
      </c>
      <c r="F510" s="1">
        <f>VLOOKUP(jablka5[[#This Row],[Nazwa]],cennik[],2,0) * jablka5[[#This Row],[sprzedaż]]</f>
        <v>102.4</v>
      </c>
      <c r="G510" s="1">
        <f>IF(jablka5[[#This Row],[NIP]]=D509,jablka5[[#This Row],[sprzedaż]]+G509,jablka5[[#This Row],[sprzedaż]])</f>
        <v>32</v>
      </c>
      <c r="H510" s="1">
        <f>IF(jablka5[[#This Row],[dot sprz]]&lt;15000,0,IF(jablka5[[#This Row],[dot sprz]]&lt;20000,5,10))</f>
        <v>0</v>
      </c>
      <c r="I510" s="1">
        <f>jablka5[[#This Row],[rabat]]*jablka5[[#This Row],[sprzedaż]]/100</f>
        <v>0</v>
      </c>
    </row>
    <row r="511" spans="1:9" x14ac:dyDescent="0.25">
      <c r="A511" s="2">
        <v>44575</v>
      </c>
      <c r="B511" s="1" t="s">
        <v>4</v>
      </c>
      <c r="C511" s="1" t="s">
        <v>16</v>
      </c>
      <c r="D511" s="1" t="s">
        <v>49</v>
      </c>
      <c r="E511">
        <v>752</v>
      </c>
      <c r="F511" s="1">
        <f>VLOOKUP(jablka5[[#This Row],[Nazwa]],cennik[],2,0) * jablka5[[#This Row],[sprzedaż]]</f>
        <v>2556.7999999999997</v>
      </c>
      <c r="G511" s="1">
        <f>IF(jablka5[[#This Row],[NIP]]=D510,jablka5[[#This Row],[sprzedaż]]+G510,jablka5[[#This Row],[sprzedaż]])</f>
        <v>784</v>
      </c>
      <c r="H511" s="1">
        <f>IF(jablka5[[#This Row],[dot sprz]]&lt;15000,0,IF(jablka5[[#This Row],[dot sprz]]&lt;20000,5,10))</f>
        <v>0</v>
      </c>
      <c r="I511" s="1">
        <f>jablka5[[#This Row],[rabat]]*jablka5[[#This Row],[sprzedaż]]/100</f>
        <v>0</v>
      </c>
    </row>
    <row r="512" spans="1:9" x14ac:dyDescent="0.25">
      <c r="A512" s="2">
        <v>44575</v>
      </c>
      <c r="B512" s="1" t="s">
        <v>10</v>
      </c>
      <c r="C512" s="1" t="s">
        <v>16</v>
      </c>
      <c r="D512" s="1" t="s">
        <v>49</v>
      </c>
      <c r="E512">
        <v>461</v>
      </c>
      <c r="F512" s="1">
        <f>VLOOKUP(jablka5[[#This Row],[Nazwa]],cennik[],2,0) * jablka5[[#This Row],[sprzedaż]]</f>
        <v>1567.3999999999999</v>
      </c>
      <c r="G512" s="1">
        <f>IF(jablka5[[#This Row],[NIP]]=D511,jablka5[[#This Row],[sprzedaż]]+G511,jablka5[[#This Row],[sprzedaż]])</f>
        <v>1245</v>
      </c>
      <c r="H512" s="1">
        <f>IF(jablka5[[#This Row],[dot sprz]]&lt;15000,0,IF(jablka5[[#This Row],[dot sprz]]&lt;20000,5,10))</f>
        <v>0</v>
      </c>
      <c r="I512" s="1">
        <f>jablka5[[#This Row],[rabat]]*jablka5[[#This Row],[sprzedaż]]/100</f>
        <v>0</v>
      </c>
    </row>
    <row r="513" spans="1:9" x14ac:dyDescent="0.25">
      <c r="A513" s="2">
        <v>44576</v>
      </c>
      <c r="B513" s="1" t="s">
        <v>5</v>
      </c>
      <c r="C513" s="1" t="s">
        <v>16</v>
      </c>
      <c r="D513" s="1" t="s">
        <v>49</v>
      </c>
      <c r="E513">
        <v>169</v>
      </c>
      <c r="F513" s="1">
        <f>VLOOKUP(jablka5[[#This Row],[Nazwa]],cennik[],2,0) * jablka5[[#This Row],[sprzedaż]]</f>
        <v>574.6</v>
      </c>
      <c r="G513" s="1">
        <f>IF(jablka5[[#This Row],[NIP]]=D512,jablka5[[#This Row],[sprzedaż]]+G512,jablka5[[#This Row],[sprzedaż]])</f>
        <v>1414</v>
      </c>
      <c r="H513" s="1">
        <f>IF(jablka5[[#This Row],[dot sprz]]&lt;15000,0,IF(jablka5[[#This Row],[dot sprz]]&lt;20000,5,10))</f>
        <v>0</v>
      </c>
      <c r="I513" s="1">
        <f>jablka5[[#This Row],[rabat]]*jablka5[[#This Row],[sprzedaż]]/100</f>
        <v>0</v>
      </c>
    </row>
    <row r="514" spans="1:9" x14ac:dyDescent="0.25">
      <c r="A514" s="2">
        <v>44578</v>
      </c>
      <c r="B514" s="1" t="s">
        <v>7</v>
      </c>
      <c r="C514" s="1" t="s">
        <v>16</v>
      </c>
      <c r="D514" s="1" t="s">
        <v>49</v>
      </c>
      <c r="E514">
        <v>256</v>
      </c>
      <c r="F514" s="1">
        <f>VLOOKUP(jablka5[[#This Row],[Nazwa]],cennik[],2,0) * jablka5[[#This Row],[sprzedaż]]</f>
        <v>870.4</v>
      </c>
      <c r="G514" s="1">
        <f>IF(jablka5[[#This Row],[NIP]]=D513,jablka5[[#This Row],[sprzedaż]]+G513,jablka5[[#This Row],[sprzedaż]])</f>
        <v>1670</v>
      </c>
      <c r="H514" s="1">
        <f>IF(jablka5[[#This Row],[dot sprz]]&lt;15000,0,IF(jablka5[[#This Row],[dot sprz]]&lt;20000,5,10))</f>
        <v>0</v>
      </c>
      <c r="I514" s="1">
        <f>jablka5[[#This Row],[rabat]]*jablka5[[#This Row],[sprzedaż]]/100</f>
        <v>0</v>
      </c>
    </row>
    <row r="515" spans="1:9" x14ac:dyDescent="0.25">
      <c r="A515" s="2">
        <v>44585</v>
      </c>
      <c r="B515" s="1" t="s">
        <v>7</v>
      </c>
      <c r="C515" s="1" t="s">
        <v>16</v>
      </c>
      <c r="D515" s="1" t="s">
        <v>49</v>
      </c>
      <c r="E515">
        <v>341</v>
      </c>
      <c r="F515" s="1">
        <f>VLOOKUP(jablka5[[#This Row],[Nazwa]],cennik[],2,0) * jablka5[[#This Row],[sprzedaż]]</f>
        <v>1159.3999999999999</v>
      </c>
      <c r="G515" s="1">
        <f>IF(jablka5[[#This Row],[NIP]]=D514,jablka5[[#This Row],[sprzedaż]]+G514,jablka5[[#This Row],[sprzedaż]])</f>
        <v>2011</v>
      </c>
      <c r="H515" s="1">
        <f>IF(jablka5[[#This Row],[dot sprz]]&lt;15000,0,IF(jablka5[[#This Row],[dot sprz]]&lt;20000,5,10))</f>
        <v>0</v>
      </c>
      <c r="I515" s="1">
        <f>jablka5[[#This Row],[rabat]]*jablka5[[#This Row],[sprzedaż]]/100</f>
        <v>0</v>
      </c>
    </row>
    <row r="516" spans="1:9" x14ac:dyDescent="0.25">
      <c r="A516" s="2">
        <v>44592</v>
      </c>
      <c r="B516" s="1" t="s">
        <v>4</v>
      </c>
      <c r="C516" s="1" t="s">
        <v>16</v>
      </c>
      <c r="D516" s="1" t="s">
        <v>49</v>
      </c>
      <c r="E516">
        <v>581</v>
      </c>
      <c r="F516" s="1">
        <f>VLOOKUP(jablka5[[#This Row],[Nazwa]],cennik[],2,0) * jablka5[[#This Row],[sprzedaż]]</f>
        <v>1975.3999999999999</v>
      </c>
      <c r="G516" s="1">
        <f>IF(jablka5[[#This Row],[NIP]]=D515,jablka5[[#This Row],[sprzedaż]]+G515,jablka5[[#This Row],[sprzedaż]])</f>
        <v>2592</v>
      </c>
      <c r="H516" s="1">
        <f>IF(jablka5[[#This Row],[dot sprz]]&lt;15000,0,IF(jablka5[[#This Row],[dot sprz]]&lt;20000,5,10))</f>
        <v>0</v>
      </c>
      <c r="I516" s="1">
        <f>jablka5[[#This Row],[rabat]]*jablka5[[#This Row],[sprzedaż]]/100</f>
        <v>0</v>
      </c>
    </row>
    <row r="517" spans="1:9" x14ac:dyDescent="0.25">
      <c r="A517" s="2">
        <v>44592</v>
      </c>
      <c r="B517" s="1" t="s">
        <v>4</v>
      </c>
      <c r="C517" s="1" t="s">
        <v>16</v>
      </c>
      <c r="D517" s="1" t="s">
        <v>49</v>
      </c>
      <c r="E517">
        <v>712</v>
      </c>
      <c r="F517" s="1">
        <f>VLOOKUP(jablka5[[#This Row],[Nazwa]],cennik[],2,0) * jablka5[[#This Row],[sprzedaż]]</f>
        <v>2420.7999999999997</v>
      </c>
      <c r="G517" s="1">
        <f>IF(jablka5[[#This Row],[NIP]]=D516,jablka5[[#This Row],[sprzedaż]]+G516,jablka5[[#This Row],[sprzedaż]])</f>
        <v>3304</v>
      </c>
      <c r="H517" s="1">
        <f>IF(jablka5[[#This Row],[dot sprz]]&lt;15000,0,IF(jablka5[[#This Row],[dot sprz]]&lt;20000,5,10))</f>
        <v>0</v>
      </c>
      <c r="I517" s="1">
        <f>jablka5[[#This Row],[rabat]]*jablka5[[#This Row],[sprzedaż]]/100</f>
        <v>0</v>
      </c>
    </row>
    <row r="518" spans="1:9" x14ac:dyDescent="0.25">
      <c r="A518" s="2">
        <v>44594</v>
      </c>
      <c r="B518" s="1" t="s">
        <v>2</v>
      </c>
      <c r="C518" s="1" t="s">
        <v>16</v>
      </c>
      <c r="D518" s="1" t="s">
        <v>49</v>
      </c>
      <c r="E518">
        <v>429</v>
      </c>
      <c r="F518" s="1">
        <f>VLOOKUP(jablka5[[#This Row],[Nazwa]],cennik[],2,0) * jablka5[[#This Row],[sprzedaż]]</f>
        <v>1372.8000000000002</v>
      </c>
      <c r="G518" s="1">
        <f>IF(jablka5[[#This Row],[NIP]]=D517,jablka5[[#This Row],[sprzedaż]]+G517,jablka5[[#This Row],[sprzedaż]])</f>
        <v>3733</v>
      </c>
      <c r="H518" s="1">
        <f>IF(jablka5[[#This Row],[dot sprz]]&lt;15000,0,IF(jablka5[[#This Row],[dot sprz]]&lt;20000,5,10))</f>
        <v>0</v>
      </c>
      <c r="I518" s="1">
        <f>jablka5[[#This Row],[rabat]]*jablka5[[#This Row],[sprzedaż]]/100</f>
        <v>0</v>
      </c>
    </row>
    <row r="519" spans="1:9" x14ac:dyDescent="0.25">
      <c r="A519" s="2">
        <v>44599</v>
      </c>
      <c r="B519" s="1" t="s">
        <v>10</v>
      </c>
      <c r="C519" s="1" t="s">
        <v>16</v>
      </c>
      <c r="D519" s="1" t="s">
        <v>49</v>
      </c>
      <c r="E519">
        <v>185</v>
      </c>
      <c r="F519" s="1">
        <f>VLOOKUP(jablka5[[#This Row],[Nazwa]],cennik[],2,0) * jablka5[[#This Row],[sprzedaż]]</f>
        <v>629</v>
      </c>
      <c r="G519" s="1">
        <f>IF(jablka5[[#This Row],[NIP]]=D518,jablka5[[#This Row],[sprzedaż]]+G518,jablka5[[#This Row],[sprzedaż]])</f>
        <v>3918</v>
      </c>
      <c r="H519" s="1">
        <f>IF(jablka5[[#This Row],[dot sprz]]&lt;15000,0,IF(jablka5[[#This Row],[dot sprz]]&lt;20000,5,10))</f>
        <v>0</v>
      </c>
      <c r="I519" s="1">
        <f>jablka5[[#This Row],[rabat]]*jablka5[[#This Row],[sprzedaż]]/100</f>
        <v>0</v>
      </c>
    </row>
    <row r="520" spans="1:9" x14ac:dyDescent="0.25">
      <c r="A520" s="2">
        <v>44607</v>
      </c>
      <c r="B520" s="1" t="s">
        <v>6</v>
      </c>
      <c r="C520" s="1" t="s">
        <v>16</v>
      </c>
      <c r="D520" s="1" t="s">
        <v>49</v>
      </c>
      <c r="E520">
        <v>154</v>
      </c>
      <c r="F520" s="1">
        <f>VLOOKUP(jablka5[[#This Row],[Nazwa]],cennik[],2,0) * jablka5[[#This Row],[sprzedaż]]</f>
        <v>523.6</v>
      </c>
      <c r="G520" s="1">
        <f>IF(jablka5[[#This Row],[NIP]]=D519,jablka5[[#This Row],[sprzedaż]]+G519,jablka5[[#This Row],[sprzedaż]])</f>
        <v>4072</v>
      </c>
      <c r="H520" s="1">
        <f>IF(jablka5[[#This Row],[dot sprz]]&lt;15000,0,IF(jablka5[[#This Row],[dot sprz]]&lt;20000,5,10))</f>
        <v>0</v>
      </c>
      <c r="I520" s="1">
        <f>jablka5[[#This Row],[rabat]]*jablka5[[#This Row],[sprzedaż]]/100</f>
        <v>0</v>
      </c>
    </row>
    <row r="521" spans="1:9" x14ac:dyDescent="0.25">
      <c r="A521" s="2">
        <v>44613</v>
      </c>
      <c r="B521" s="1" t="s">
        <v>8</v>
      </c>
      <c r="C521" s="1" t="s">
        <v>16</v>
      </c>
      <c r="D521" s="1" t="s">
        <v>49</v>
      </c>
      <c r="E521">
        <v>292</v>
      </c>
      <c r="F521" s="1">
        <f>VLOOKUP(jablka5[[#This Row],[Nazwa]],cennik[],2,0) * jablka5[[#This Row],[sprzedaż]]</f>
        <v>1022</v>
      </c>
      <c r="G521" s="1">
        <f>IF(jablka5[[#This Row],[NIP]]=D520,jablka5[[#This Row],[sprzedaż]]+G520,jablka5[[#This Row],[sprzedaż]])</f>
        <v>4364</v>
      </c>
      <c r="H521" s="1">
        <f>IF(jablka5[[#This Row],[dot sprz]]&lt;15000,0,IF(jablka5[[#This Row],[dot sprz]]&lt;20000,5,10))</f>
        <v>0</v>
      </c>
      <c r="I521" s="1">
        <f>jablka5[[#This Row],[rabat]]*jablka5[[#This Row],[sprzedaż]]/100</f>
        <v>0</v>
      </c>
    </row>
    <row r="522" spans="1:9" x14ac:dyDescent="0.25">
      <c r="A522" s="2">
        <v>44618</v>
      </c>
      <c r="B522" s="1" t="s">
        <v>8</v>
      </c>
      <c r="C522" s="1" t="s">
        <v>16</v>
      </c>
      <c r="D522" s="1" t="s">
        <v>49</v>
      </c>
      <c r="E522">
        <v>628</v>
      </c>
      <c r="F522" s="1">
        <f>VLOOKUP(jablka5[[#This Row],[Nazwa]],cennik[],2,0) * jablka5[[#This Row],[sprzedaż]]</f>
        <v>2198</v>
      </c>
      <c r="G522" s="1">
        <f>IF(jablka5[[#This Row],[NIP]]=D521,jablka5[[#This Row],[sprzedaż]]+G521,jablka5[[#This Row],[sprzedaż]])</f>
        <v>4992</v>
      </c>
      <c r="H522" s="1">
        <f>IF(jablka5[[#This Row],[dot sprz]]&lt;15000,0,IF(jablka5[[#This Row],[dot sprz]]&lt;20000,5,10))</f>
        <v>0</v>
      </c>
      <c r="I522" s="1">
        <f>jablka5[[#This Row],[rabat]]*jablka5[[#This Row],[sprzedaż]]/100</f>
        <v>0</v>
      </c>
    </row>
    <row r="523" spans="1:9" x14ac:dyDescent="0.25">
      <c r="A523" s="2">
        <v>44629</v>
      </c>
      <c r="B523" s="1" t="s">
        <v>2</v>
      </c>
      <c r="C523" s="1" t="s">
        <v>16</v>
      </c>
      <c r="D523" s="1" t="s">
        <v>49</v>
      </c>
      <c r="E523">
        <v>112</v>
      </c>
      <c r="F523" s="1">
        <f>VLOOKUP(jablka5[[#This Row],[Nazwa]],cennik[],2,0) * jablka5[[#This Row],[sprzedaż]]</f>
        <v>358.40000000000003</v>
      </c>
      <c r="G523" s="1">
        <f>IF(jablka5[[#This Row],[NIP]]=D522,jablka5[[#This Row],[sprzedaż]]+G522,jablka5[[#This Row],[sprzedaż]])</f>
        <v>5104</v>
      </c>
      <c r="H523" s="1">
        <f>IF(jablka5[[#This Row],[dot sprz]]&lt;15000,0,IF(jablka5[[#This Row],[dot sprz]]&lt;20000,5,10))</f>
        <v>0</v>
      </c>
      <c r="I523" s="1">
        <f>jablka5[[#This Row],[rabat]]*jablka5[[#This Row],[sprzedaż]]/100</f>
        <v>0</v>
      </c>
    </row>
    <row r="524" spans="1:9" x14ac:dyDescent="0.25">
      <c r="A524" s="2">
        <v>44638</v>
      </c>
      <c r="B524" s="1" t="s">
        <v>6</v>
      </c>
      <c r="C524" s="1" t="s">
        <v>16</v>
      </c>
      <c r="D524" s="1" t="s">
        <v>49</v>
      </c>
      <c r="E524">
        <v>364</v>
      </c>
      <c r="F524" s="1">
        <f>VLOOKUP(jablka5[[#This Row],[Nazwa]],cennik[],2,0) * jablka5[[#This Row],[sprzedaż]]</f>
        <v>1237.5999999999999</v>
      </c>
      <c r="G524" s="1">
        <f>IF(jablka5[[#This Row],[NIP]]=D523,jablka5[[#This Row],[sprzedaż]]+G523,jablka5[[#This Row],[sprzedaż]])</f>
        <v>5468</v>
      </c>
      <c r="H524" s="1">
        <f>IF(jablka5[[#This Row],[dot sprz]]&lt;15000,0,IF(jablka5[[#This Row],[dot sprz]]&lt;20000,5,10))</f>
        <v>0</v>
      </c>
      <c r="I524" s="1">
        <f>jablka5[[#This Row],[rabat]]*jablka5[[#This Row],[sprzedaż]]/100</f>
        <v>0</v>
      </c>
    </row>
    <row r="525" spans="1:9" x14ac:dyDescent="0.25">
      <c r="A525" s="2">
        <v>44644</v>
      </c>
      <c r="B525" s="1" t="s">
        <v>15</v>
      </c>
      <c r="C525" s="1" t="s">
        <v>16</v>
      </c>
      <c r="D525" s="1" t="s">
        <v>49</v>
      </c>
      <c r="E525">
        <v>123</v>
      </c>
      <c r="F525" s="1">
        <f>VLOOKUP(jablka5[[#This Row],[Nazwa]],cennik[],2,0) * jablka5[[#This Row],[sprzedaż]]</f>
        <v>295.2</v>
      </c>
      <c r="G525" s="1">
        <f>IF(jablka5[[#This Row],[NIP]]=D524,jablka5[[#This Row],[sprzedaż]]+G524,jablka5[[#This Row],[sprzedaż]])</f>
        <v>5591</v>
      </c>
      <c r="H525" s="1">
        <f>IF(jablka5[[#This Row],[dot sprz]]&lt;15000,0,IF(jablka5[[#This Row],[dot sprz]]&lt;20000,5,10))</f>
        <v>0</v>
      </c>
      <c r="I525" s="1">
        <f>jablka5[[#This Row],[rabat]]*jablka5[[#This Row],[sprzedaż]]/100</f>
        <v>0</v>
      </c>
    </row>
    <row r="526" spans="1:9" x14ac:dyDescent="0.25">
      <c r="A526" s="2">
        <v>44650</v>
      </c>
      <c r="B526" s="1" t="s">
        <v>10</v>
      </c>
      <c r="C526" s="1" t="s">
        <v>16</v>
      </c>
      <c r="D526" s="1" t="s">
        <v>49</v>
      </c>
      <c r="E526">
        <v>323</v>
      </c>
      <c r="F526" s="1">
        <f>VLOOKUP(jablka5[[#This Row],[Nazwa]],cennik[],2,0) * jablka5[[#This Row],[sprzedaż]]</f>
        <v>1098.2</v>
      </c>
      <c r="G526" s="1">
        <f>IF(jablka5[[#This Row],[NIP]]=D525,jablka5[[#This Row],[sprzedaż]]+G525,jablka5[[#This Row],[sprzedaż]])</f>
        <v>5914</v>
      </c>
      <c r="H526" s="1">
        <f>IF(jablka5[[#This Row],[dot sprz]]&lt;15000,0,IF(jablka5[[#This Row],[dot sprz]]&lt;20000,5,10))</f>
        <v>0</v>
      </c>
      <c r="I526" s="1">
        <f>jablka5[[#This Row],[rabat]]*jablka5[[#This Row],[sprzedaż]]/100</f>
        <v>0</v>
      </c>
    </row>
    <row r="527" spans="1:9" x14ac:dyDescent="0.25">
      <c r="A527" s="2">
        <v>44651</v>
      </c>
      <c r="B527" s="1" t="s">
        <v>2</v>
      </c>
      <c r="C527" s="1" t="s">
        <v>16</v>
      </c>
      <c r="D527" s="1" t="s">
        <v>49</v>
      </c>
      <c r="E527">
        <v>338</v>
      </c>
      <c r="F527" s="1">
        <f>VLOOKUP(jablka5[[#This Row],[Nazwa]],cennik[],2,0) * jablka5[[#This Row],[sprzedaż]]</f>
        <v>1081.6000000000001</v>
      </c>
      <c r="G527" s="1">
        <f>IF(jablka5[[#This Row],[NIP]]=D526,jablka5[[#This Row],[sprzedaż]]+G526,jablka5[[#This Row],[sprzedaż]])</f>
        <v>6252</v>
      </c>
      <c r="H527" s="1">
        <f>IF(jablka5[[#This Row],[dot sprz]]&lt;15000,0,IF(jablka5[[#This Row],[dot sprz]]&lt;20000,5,10))</f>
        <v>0</v>
      </c>
      <c r="I527" s="1">
        <f>jablka5[[#This Row],[rabat]]*jablka5[[#This Row],[sprzedaż]]/100</f>
        <v>0</v>
      </c>
    </row>
    <row r="528" spans="1:9" x14ac:dyDescent="0.25">
      <c r="A528" s="2">
        <v>44655</v>
      </c>
      <c r="B528" s="1" t="s">
        <v>0</v>
      </c>
      <c r="C528" s="1" t="s">
        <v>16</v>
      </c>
      <c r="D528" s="1" t="s">
        <v>49</v>
      </c>
      <c r="E528">
        <v>477</v>
      </c>
      <c r="F528" s="1">
        <f>VLOOKUP(jablka5[[#This Row],[Nazwa]],cennik[],2,0) * jablka5[[#This Row],[sprzedaż]]</f>
        <v>1383.3</v>
      </c>
      <c r="G528" s="1">
        <f>IF(jablka5[[#This Row],[NIP]]=D527,jablka5[[#This Row],[sprzedaż]]+G527,jablka5[[#This Row],[sprzedaż]])</f>
        <v>6729</v>
      </c>
      <c r="H528" s="1">
        <f>IF(jablka5[[#This Row],[dot sprz]]&lt;15000,0,IF(jablka5[[#This Row],[dot sprz]]&lt;20000,5,10))</f>
        <v>0</v>
      </c>
      <c r="I528" s="1">
        <f>jablka5[[#This Row],[rabat]]*jablka5[[#This Row],[sprzedaż]]/100</f>
        <v>0</v>
      </c>
    </row>
    <row r="529" spans="1:9" x14ac:dyDescent="0.25">
      <c r="A529" s="2">
        <v>44671</v>
      </c>
      <c r="B529" s="1" t="s">
        <v>6</v>
      </c>
      <c r="C529" s="1" t="s">
        <v>16</v>
      </c>
      <c r="D529" s="1" t="s">
        <v>49</v>
      </c>
      <c r="E529">
        <v>189</v>
      </c>
      <c r="F529" s="1">
        <f>VLOOKUP(jablka5[[#This Row],[Nazwa]],cennik[],2,0) * jablka5[[#This Row],[sprzedaż]]</f>
        <v>642.6</v>
      </c>
      <c r="G529" s="1">
        <f>IF(jablka5[[#This Row],[NIP]]=D528,jablka5[[#This Row],[sprzedaż]]+G528,jablka5[[#This Row],[sprzedaż]])</f>
        <v>6918</v>
      </c>
      <c r="H529" s="1">
        <f>IF(jablka5[[#This Row],[dot sprz]]&lt;15000,0,IF(jablka5[[#This Row],[dot sprz]]&lt;20000,5,10))</f>
        <v>0</v>
      </c>
      <c r="I529" s="1">
        <f>jablka5[[#This Row],[rabat]]*jablka5[[#This Row],[sprzedaż]]/100</f>
        <v>0</v>
      </c>
    </row>
    <row r="530" spans="1:9" x14ac:dyDescent="0.25">
      <c r="A530" s="2">
        <v>44690</v>
      </c>
      <c r="B530" s="1" t="s">
        <v>5</v>
      </c>
      <c r="C530" s="1" t="s">
        <v>16</v>
      </c>
      <c r="D530" s="1" t="s">
        <v>49</v>
      </c>
      <c r="E530">
        <v>44</v>
      </c>
      <c r="F530" s="1">
        <f>VLOOKUP(jablka5[[#This Row],[Nazwa]],cennik[],2,0) * jablka5[[#This Row],[sprzedaż]]</f>
        <v>149.6</v>
      </c>
      <c r="G530" s="1">
        <f>IF(jablka5[[#This Row],[NIP]]=D529,jablka5[[#This Row],[sprzedaż]]+G529,jablka5[[#This Row],[sprzedaż]])</f>
        <v>6962</v>
      </c>
      <c r="H530" s="1">
        <f>IF(jablka5[[#This Row],[dot sprz]]&lt;15000,0,IF(jablka5[[#This Row],[dot sprz]]&lt;20000,5,10))</f>
        <v>0</v>
      </c>
      <c r="I530" s="1">
        <f>jablka5[[#This Row],[rabat]]*jablka5[[#This Row],[sprzedaż]]/100</f>
        <v>0</v>
      </c>
    </row>
    <row r="531" spans="1:9" x14ac:dyDescent="0.25">
      <c r="A531" s="2">
        <v>44699</v>
      </c>
      <c r="B531" s="1" t="s">
        <v>4</v>
      </c>
      <c r="C531" s="1" t="s">
        <v>16</v>
      </c>
      <c r="D531" s="1" t="s">
        <v>49</v>
      </c>
      <c r="E531">
        <v>685</v>
      </c>
      <c r="F531" s="1">
        <f>VLOOKUP(jablka5[[#This Row],[Nazwa]],cennik[],2,0) * jablka5[[#This Row],[sprzedaż]]</f>
        <v>2329</v>
      </c>
      <c r="G531" s="1">
        <f>IF(jablka5[[#This Row],[NIP]]=D530,jablka5[[#This Row],[sprzedaż]]+G530,jablka5[[#This Row],[sprzedaż]])</f>
        <v>7647</v>
      </c>
      <c r="H531" s="1">
        <f>IF(jablka5[[#This Row],[dot sprz]]&lt;15000,0,IF(jablka5[[#This Row],[dot sprz]]&lt;20000,5,10))</f>
        <v>0</v>
      </c>
      <c r="I531" s="1">
        <f>jablka5[[#This Row],[rabat]]*jablka5[[#This Row],[sprzedaż]]/100</f>
        <v>0</v>
      </c>
    </row>
    <row r="532" spans="1:9" x14ac:dyDescent="0.25">
      <c r="A532" s="2">
        <v>44707</v>
      </c>
      <c r="B532" s="1" t="s">
        <v>8</v>
      </c>
      <c r="C532" s="1" t="s">
        <v>16</v>
      </c>
      <c r="D532" s="1" t="s">
        <v>49</v>
      </c>
      <c r="E532">
        <v>467</v>
      </c>
      <c r="F532" s="1">
        <f>VLOOKUP(jablka5[[#This Row],[Nazwa]],cennik[],2,0) * jablka5[[#This Row],[sprzedaż]]</f>
        <v>1634.5</v>
      </c>
      <c r="G532" s="1">
        <f>IF(jablka5[[#This Row],[NIP]]=D531,jablka5[[#This Row],[sprzedaż]]+G531,jablka5[[#This Row],[sprzedaż]])</f>
        <v>8114</v>
      </c>
      <c r="H532" s="1">
        <f>IF(jablka5[[#This Row],[dot sprz]]&lt;15000,0,IF(jablka5[[#This Row],[dot sprz]]&lt;20000,5,10))</f>
        <v>0</v>
      </c>
      <c r="I532" s="1">
        <f>jablka5[[#This Row],[rabat]]*jablka5[[#This Row],[sprzedaż]]/100</f>
        <v>0</v>
      </c>
    </row>
    <row r="533" spans="1:9" x14ac:dyDescent="0.25">
      <c r="A533" s="2">
        <v>44709</v>
      </c>
      <c r="B533" s="1" t="s">
        <v>15</v>
      </c>
      <c r="C533" s="1" t="s">
        <v>16</v>
      </c>
      <c r="D533" s="1" t="s">
        <v>49</v>
      </c>
      <c r="E533">
        <v>542</v>
      </c>
      <c r="F533" s="1">
        <f>VLOOKUP(jablka5[[#This Row],[Nazwa]],cennik[],2,0) * jablka5[[#This Row],[sprzedaż]]</f>
        <v>1300.8</v>
      </c>
      <c r="G533" s="1">
        <f>IF(jablka5[[#This Row],[NIP]]=D532,jablka5[[#This Row],[sprzedaż]]+G532,jablka5[[#This Row],[sprzedaż]])</f>
        <v>8656</v>
      </c>
      <c r="H533" s="1">
        <f>IF(jablka5[[#This Row],[dot sprz]]&lt;15000,0,IF(jablka5[[#This Row],[dot sprz]]&lt;20000,5,10))</f>
        <v>0</v>
      </c>
      <c r="I533" s="1">
        <f>jablka5[[#This Row],[rabat]]*jablka5[[#This Row],[sprzedaż]]/100</f>
        <v>0</v>
      </c>
    </row>
    <row r="534" spans="1:9" x14ac:dyDescent="0.25">
      <c r="A534" s="2">
        <v>44729</v>
      </c>
      <c r="B534" s="1" t="s">
        <v>13</v>
      </c>
      <c r="C534" s="1" t="s">
        <v>68</v>
      </c>
      <c r="D534" s="1" t="s">
        <v>49</v>
      </c>
      <c r="E534">
        <v>451</v>
      </c>
      <c r="F534" s="1">
        <f>VLOOKUP(jablka5[[#This Row],[Nazwa]],cennik[],2,0) * jablka5[[#This Row],[sprzedaż]]</f>
        <v>1443.2</v>
      </c>
      <c r="G534" s="1">
        <f>IF(jablka5[[#This Row],[NIP]]=D533,jablka5[[#This Row],[sprzedaż]]+G533,jablka5[[#This Row],[sprzedaż]])</f>
        <v>9107</v>
      </c>
      <c r="H534" s="1">
        <f>IF(jablka5[[#This Row],[dot sprz]]&lt;15000,0,IF(jablka5[[#This Row],[dot sprz]]&lt;20000,5,10))</f>
        <v>0</v>
      </c>
      <c r="I534" s="1">
        <f>jablka5[[#This Row],[rabat]]*jablka5[[#This Row],[sprzedaż]]/100</f>
        <v>0</v>
      </c>
    </row>
    <row r="535" spans="1:9" x14ac:dyDescent="0.25">
      <c r="A535" s="2">
        <v>44729</v>
      </c>
      <c r="B535" s="1" t="s">
        <v>14</v>
      </c>
      <c r="C535" s="1" t="s">
        <v>67</v>
      </c>
      <c r="D535" s="1" t="s">
        <v>49</v>
      </c>
      <c r="E535">
        <v>414</v>
      </c>
      <c r="F535" s="1">
        <f>VLOOKUP(jablka5[[#This Row],[Nazwa]],cennik[],2,0) * jablka5[[#This Row],[sprzedaż]]</f>
        <v>1449</v>
      </c>
      <c r="G535" s="1">
        <f>IF(jablka5[[#This Row],[NIP]]=D534,jablka5[[#This Row],[sprzedaż]]+G534,jablka5[[#This Row],[sprzedaż]])</f>
        <v>9521</v>
      </c>
      <c r="H535" s="1">
        <f>IF(jablka5[[#This Row],[dot sprz]]&lt;15000,0,IF(jablka5[[#This Row],[dot sprz]]&lt;20000,5,10))</f>
        <v>0</v>
      </c>
      <c r="I535" s="1">
        <f>jablka5[[#This Row],[rabat]]*jablka5[[#This Row],[sprzedaż]]/100</f>
        <v>0</v>
      </c>
    </row>
    <row r="536" spans="1:9" x14ac:dyDescent="0.25">
      <c r="A536" s="2">
        <v>44736</v>
      </c>
      <c r="B536" s="1" t="s">
        <v>13</v>
      </c>
      <c r="C536" s="1" t="s">
        <v>68</v>
      </c>
      <c r="D536" s="1" t="s">
        <v>49</v>
      </c>
      <c r="E536">
        <v>384</v>
      </c>
      <c r="F536" s="1">
        <f>VLOOKUP(jablka5[[#This Row],[Nazwa]],cennik[],2,0) * jablka5[[#This Row],[sprzedaż]]</f>
        <v>1228.8000000000002</v>
      </c>
      <c r="G536" s="1">
        <f>IF(jablka5[[#This Row],[NIP]]=D535,jablka5[[#This Row],[sprzedaż]]+G535,jablka5[[#This Row],[sprzedaż]])</f>
        <v>9905</v>
      </c>
      <c r="H536" s="1">
        <f>IF(jablka5[[#This Row],[dot sprz]]&lt;15000,0,IF(jablka5[[#This Row],[dot sprz]]&lt;20000,5,10))</f>
        <v>0</v>
      </c>
      <c r="I536" s="1">
        <f>jablka5[[#This Row],[rabat]]*jablka5[[#This Row],[sprzedaż]]/100</f>
        <v>0</v>
      </c>
    </row>
    <row r="537" spans="1:9" x14ac:dyDescent="0.25">
      <c r="A537" s="2">
        <v>44755</v>
      </c>
      <c r="B537" s="1" t="s">
        <v>12</v>
      </c>
      <c r="C537" s="1" t="s">
        <v>68</v>
      </c>
      <c r="D537" s="1" t="s">
        <v>49</v>
      </c>
      <c r="E537">
        <v>150</v>
      </c>
      <c r="F537" s="1">
        <f>VLOOKUP(jablka5[[#This Row],[Nazwa]],cennik[],2,0) * jablka5[[#This Row],[sprzedaż]]</f>
        <v>405</v>
      </c>
      <c r="G537" s="1">
        <f>IF(jablka5[[#This Row],[NIP]]=D536,jablka5[[#This Row],[sprzedaż]]+G536,jablka5[[#This Row],[sprzedaż]])</f>
        <v>10055</v>
      </c>
      <c r="H537" s="1">
        <f>IF(jablka5[[#This Row],[dot sprz]]&lt;15000,0,IF(jablka5[[#This Row],[dot sprz]]&lt;20000,5,10))</f>
        <v>0</v>
      </c>
      <c r="I537" s="1">
        <f>jablka5[[#This Row],[rabat]]*jablka5[[#This Row],[sprzedaż]]/100</f>
        <v>0</v>
      </c>
    </row>
    <row r="538" spans="1:9" x14ac:dyDescent="0.25">
      <c r="A538" s="2">
        <v>44757</v>
      </c>
      <c r="B538" s="1" t="s">
        <v>14</v>
      </c>
      <c r="C538" s="1" t="s">
        <v>67</v>
      </c>
      <c r="D538" s="1" t="s">
        <v>49</v>
      </c>
      <c r="E538">
        <v>227</v>
      </c>
      <c r="F538" s="1">
        <f>VLOOKUP(jablka5[[#This Row],[Nazwa]],cennik[],2,0) * jablka5[[#This Row],[sprzedaż]]</f>
        <v>794.5</v>
      </c>
      <c r="G538" s="1">
        <f>IF(jablka5[[#This Row],[NIP]]=D537,jablka5[[#This Row],[sprzedaż]]+G537,jablka5[[#This Row],[sprzedaż]])</f>
        <v>10282</v>
      </c>
      <c r="H538" s="1">
        <f>IF(jablka5[[#This Row],[dot sprz]]&lt;15000,0,IF(jablka5[[#This Row],[dot sprz]]&lt;20000,5,10))</f>
        <v>0</v>
      </c>
      <c r="I538" s="1">
        <f>jablka5[[#This Row],[rabat]]*jablka5[[#This Row],[sprzedaż]]/100</f>
        <v>0</v>
      </c>
    </row>
    <row r="539" spans="1:9" x14ac:dyDescent="0.25">
      <c r="A539" s="2">
        <v>44767</v>
      </c>
      <c r="B539" s="1" t="s">
        <v>12</v>
      </c>
      <c r="C539" s="1" t="s">
        <v>68</v>
      </c>
      <c r="D539" s="1" t="s">
        <v>49</v>
      </c>
      <c r="E539">
        <v>432</v>
      </c>
      <c r="F539" s="1">
        <f>VLOOKUP(jablka5[[#This Row],[Nazwa]],cennik[],2,0) * jablka5[[#This Row],[sprzedaż]]</f>
        <v>1166.4000000000001</v>
      </c>
      <c r="G539" s="1">
        <f>IF(jablka5[[#This Row],[NIP]]=D538,jablka5[[#This Row],[sprzedaż]]+G538,jablka5[[#This Row],[sprzedaż]])</f>
        <v>10714</v>
      </c>
      <c r="H539" s="1">
        <f>IF(jablka5[[#This Row],[dot sprz]]&lt;15000,0,IF(jablka5[[#This Row],[dot sprz]]&lt;20000,5,10))</f>
        <v>0</v>
      </c>
      <c r="I539" s="1">
        <f>jablka5[[#This Row],[rabat]]*jablka5[[#This Row],[sprzedaż]]/100</f>
        <v>0</v>
      </c>
    </row>
    <row r="540" spans="1:9" x14ac:dyDescent="0.25">
      <c r="A540" s="2">
        <v>44767</v>
      </c>
      <c r="B540" s="1" t="s">
        <v>14</v>
      </c>
      <c r="C540" s="1" t="s">
        <v>67</v>
      </c>
      <c r="D540" s="1" t="s">
        <v>49</v>
      </c>
      <c r="E540">
        <v>316</v>
      </c>
      <c r="F540" s="1">
        <f>VLOOKUP(jablka5[[#This Row],[Nazwa]],cennik[],2,0) * jablka5[[#This Row],[sprzedaż]]</f>
        <v>1106</v>
      </c>
      <c r="G540" s="1">
        <f>IF(jablka5[[#This Row],[NIP]]=D539,jablka5[[#This Row],[sprzedaż]]+G539,jablka5[[#This Row],[sprzedaż]])</f>
        <v>11030</v>
      </c>
      <c r="H540" s="1">
        <f>IF(jablka5[[#This Row],[dot sprz]]&lt;15000,0,IF(jablka5[[#This Row],[dot sprz]]&lt;20000,5,10))</f>
        <v>0</v>
      </c>
      <c r="I540" s="1">
        <f>jablka5[[#This Row],[rabat]]*jablka5[[#This Row],[sprzedaż]]/100</f>
        <v>0</v>
      </c>
    </row>
    <row r="541" spans="1:9" x14ac:dyDescent="0.25">
      <c r="A541" s="2">
        <v>44779</v>
      </c>
      <c r="B541" s="1" t="s">
        <v>12</v>
      </c>
      <c r="C541" s="1" t="s">
        <v>68</v>
      </c>
      <c r="D541" s="1" t="s">
        <v>49</v>
      </c>
      <c r="E541">
        <v>23</v>
      </c>
      <c r="F541" s="1">
        <f>VLOOKUP(jablka5[[#This Row],[Nazwa]],cennik[],2,0) * jablka5[[#This Row],[sprzedaż]]</f>
        <v>62.1</v>
      </c>
      <c r="G541" s="1">
        <f>IF(jablka5[[#This Row],[NIP]]=D540,jablka5[[#This Row],[sprzedaż]]+G540,jablka5[[#This Row],[sprzedaż]])</f>
        <v>11053</v>
      </c>
      <c r="H541" s="1">
        <f>IF(jablka5[[#This Row],[dot sprz]]&lt;15000,0,IF(jablka5[[#This Row],[dot sprz]]&lt;20000,5,10))</f>
        <v>0</v>
      </c>
      <c r="I541" s="1">
        <f>jablka5[[#This Row],[rabat]]*jablka5[[#This Row],[sprzedaż]]/100</f>
        <v>0</v>
      </c>
    </row>
    <row r="542" spans="1:9" x14ac:dyDescent="0.25">
      <c r="A542" s="2">
        <v>44782</v>
      </c>
      <c r="B542" s="1" t="s">
        <v>12</v>
      </c>
      <c r="C542" s="1" t="s">
        <v>68</v>
      </c>
      <c r="D542" s="1" t="s">
        <v>49</v>
      </c>
      <c r="E542">
        <v>179</v>
      </c>
      <c r="F542" s="1">
        <f>VLOOKUP(jablka5[[#This Row],[Nazwa]],cennik[],2,0) * jablka5[[#This Row],[sprzedaż]]</f>
        <v>483.3</v>
      </c>
      <c r="G542" s="1">
        <f>IF(jablka5[[#This Row],[NIP]]=D541,jablka5[[#This Row],[sprzedaż]]+G541,jablka5[[#This Row],[sprzedaż]])</f>
        <v>11232</v>
      </c>
      <c r="H542" s="1">
        <f>IF(jablka5[[#This Row],[dot sprz]]&lt;15000,0,IF(jablka5[[#This Row],[dot sprz]]&lt;20000,5,10))</f>
        <v>0</v>
      </c>
      <c r="I542" s="1">
        <f>jablka5[[#This Row],[rabat]]*jablka5[[#This Row],[sprzedaż]]/100</f>
        <v>0</v>
      </c>
    </row>
    <row r="543" spans="1:9" x14ac:dyDescent="0.25">
      <c r="A543" s="2">
        <v>44785</v>
      </c>
      <c r="B543" s="1" t="s">
        <v>14</v>
      </c>
      <c r="C543" s="1" t="s">
        <v>67</v>
      </c>
      <c r="D543" s="1" t="s">
        <v>49</v>
      </c>
      <c r="E543">
        <v>413</v>
      </c>
      <c r="F543" s="1">
        <f>VLOOKUP(jablka5[[#This Row],[Nazwa]],cennik[],2,0) * jablka5[[#This Row],[sprzedaż]]</f>
        <v>1445.5</v>
      </c>
      <c r="G543" s="1">
        <f>IF(jablka5[[#This Row],[NIP]]=D542,jablka5[[#This Row],[sprzedaż]]+G542,jablka5[[#This Row],[sprzedaż]])</f>
        <v>11645</v>
      </c>
      <c r="H543" s="1">
        <f>IF(jablka5[[#This Row],[dot sprz]]&lt;15000,0,IF(jablka5[[#This Row],[dot sprz]]&lt;20000,5,10))</f>
        <v>0</v>
      </c>
      <c r="I543" s="1">
        <f>jablka5[[#This Row],[rabat]]*jablka5[[#This Row],[sprzedaż]]/100</f>
        <v>0</v>
      </c>
    </row>
    <row r="544" spans="1:9" x14ac:dyDescent="0.25">
      <c r="A544" s="2">
        <v>44799</v>
      </c>
      <c r="B544" s="1" t="s">
        <v>14</v>
      </c>
      <c r="C544" s="1" t="s">
        <v>67</v>
      </c>
      <c r="D544" s="1" t="s">
        <v>49</v>
      </c>
      <c r="E544">
        <v>15</v>
      </c>
      <c r="F544" s="1">
        <f>VLOOKUP(jablka5[[#This Row],[Nazwa]],cennik[],2,0) * jablka5[[#This Row],[sprzedaż]]</f>
        <v>52.5</v>
      </c>
      <c r="G544" s="1">
        <f>IF(jablka5[[#This Row],[NIP]]=D543,jablka5[[#This Row],[sprzedaż]]+G543,jablka5[[#This Row],[sprzedaż]])</f>
        <v>11660</v>
      </c>
      <c r="H544" s="1">
        <f>IF(jablka5[[#This Row],[dot sprz]]&lt;15000,0,IF(jablka5[[#This Row],[dot sprz]]&lt;20000,5,10))</f>
        <v>0</v>
      </c>
      <c r="I544" s="1">
        <f>jablka5[[#This Row],[rabat]]*jablka5[[#This Row],[sprzedaż]]/100</f>
        <v>0</v>
      </c>
    </row>
    <row r="545" spans="1:9" x14ac:dyDescent="0.25">
      <c r="A545" s="2">
        <v>44802</v>
      </c>
      <c r="B545" s="1" t="s">
        <v>13</v>
      </c>
      <c r="C545" s="1" t="s">
        <v>68</v>
      </c>
      <c r="D545" s="1" t="s">
        <v>49</v>
      </c>
      <c r="E545">
        <v>411</v>
      </c>
      <c r="F545" s="1">
        <f>VLOOKUP(jablka5[[#This Row],[Nazwa]],cennik[],2,0) * jablka5[[#This Row],[sprzedaż]]</f>
        <v>1315.2</v>
      </c>
      <c r="G545" s="1">
        <f>IF(jablka5[[#This Row],[NIP]]=D544,jablka5[[#This Row],[sprzedaż]]+G544,jablka5[[#This Row],[sprzedaż]])</f>
        <v>12071</v>
      </c>
      <c r="H545" s="1">
        <f>IF(jablka5[[#This Row],[dot sprz]]&lt;15000,0,IF(jablka5[[#This Row],[dot sprz]]&lt;20000,5,10))</f>
        <v>0</v>
      </c>
      <c r="I545" s="1">
        <f>jablka5[[#This Row],[rabat]]*jablka5[[#This Row],[sprzedaż]]/100</f>
        <v>0</v>
      </c>
    </row>
    <row r="546" spans="1:9" x14ac:dyDescent="0.25">
      <c r="A546" s="2">
        <v>44802</v>
      </c>
      <c r="B546" s="1" t="s">
        <v>12</v>
      </c>
      <c r="C546" s="1" t="s">
        <v>68</v>
      </c>
      <c r="D546" s="1" t="s">
        <v>49</v>
      </c>
      <c r="E546">
        <v>401</v>
      </c>
      <c r="F546" s="1">
        <f>VLOOKUP(jablka5[[#This Row],[Nazwa]],cennik[],2,0) * jablka5[[#This Row],[sprzedaż]]</f>
        <v>1082.7</v>
      </c>
      <c r="G546" s="1">
        <f>IF(jablka5[[#This Row],[NIP]]=D545,jablka5[[#This Row],[sprzedaż]]+G545,jablka5[[#This Row],[sprzedaż]])</f>
        <v>12472</v>
      </c>
      <c r="H546" s="1">
        <f>IF(jablka5[[#This Row],[dot sprz]]&lt;15000,0,IF(jablka5[[#This Row],[dot sprz]]&lt;20000,5,10))</f>
        <v>0</v>
      </c>
      <c r="I546" s="1">
        <f>jablka5[[#This Row],[rabat]]*jablka5[[#This Row],[sprzedaż]]/100</f>
        <v>0</v>
      </c>
    </row>
    <row r="547" spans="1:9" x14ac:dyDescent="0.25">
      <c r="A547" s="2">
        <v>44816</v>
      </c>
      <c r="B547" s="1" t="s">
        <v>9</v>
      </c>
      <c r="C547" s="1" t="s">
        <v>67</v>
      </c>
      <c r="D547" s="1" t="s">
        <v>49</v>
      </c>
      <c r="E547">
        <v>370</v>
      </c>
      <c r="F547" s="1">
        <f>VLOOKUP(jablka5[[#This Row],[Nazwa]],cennik[],2,0) * jablka5[[#This Row],[sprzedaż]]</f>
        <v>925</v>
      </c>
      <c r="G547" s="1">
        <f>IF(jablka5[[#This Row],[NIP]]=D546,jablka5[[#This Row],[sprzedaż]]+G546,jablka5[[#This Row],[sprzedaż]])</f>
        <v>12842</v>
      </c>
      <c r="H547" s="1">
        <f>IF(jablka5[[#This Row],[dot sprz]]&lt;15000,0,IF(jablka5[[#This Row],[dot sprz]]&lt;20000,5,10))</f>
        <v>0</v>
      </c>
      <c r="I547" s="1">
        <f>jablka5[[#This Row],[rabat]]*jablka5[[#This Row],[sprzedaż]]/100</f>
        <v>0</v>
      </c>
    </row>
    <row r="548" spans="1:9" x14ac:dyDescent="0.25">
      <c r="A548" s="2">
        <v>44830</v>
      </c>
      <c r="B548" s="1" t="s">
        <v>3</v>
      </c>
      <c r="C548" s="1" t="s">
        <v>67</v>
      </c>
      <c r="D548" s="1" t="s">
        <v>49</v>
      </c>
      <c r="E548">
        <v>444</v>
      </c>
      <c r="F548" s="1">
        <f>VLOOKUP(jablka5[[#This Row],[Nazwa]],cennik[],2,0) * jablka5[[#This Row],[sprzedaż]]</f>
        <v>1420.8000000000002</v>
      </c>
      <c r="G548" s="1">
        <f>IF(jablka5[[#This Row],[NIP]]=D547,jablka5[[#This Row],[sprzedaż]]+G547,jablka5[[#This Row],[sprzedaż]])</f>
        <v>13286</v>
      </c>
      <c r="H548" s="1">
        <f>IF(jablka5[[#This Row],[dot sprz]]&lt;15000,0,IF(jablka5[[#This Row],[dot sprz]]&lt;20000,5,10))</f>
        <v>0</v>
      </c>
      <c r="I548" s="1">
        <f>jablka5[[#This Row],[rabat]]*jablka5[[#This Row],[sprzedaż]]/100</f>
        <v>0</v>
      </c>
    </row>
    <row r="549" spans="1:9" x14ac:dyDescent="0.25">
      <c r="A549" s="2">
        <v>44831</v>
      </c>
      <c r="B549" s="1" t="s">
        <v>1</v>
      </c>
      <c r="C549" s="1" t="s">
        <v>67</v>
      </c>
      <c r="D549" s="1" t="s">
        <v>49</v>
      </c>
      <c r="E549">
        <v>215</v>
      </c>
      <c r="F549" s="1">
        <f>VLOOKUP(jablka5[[#This Row],[Nazwa]],cennik[],2,0) * jablka5[[#This Row],[sprzedaż]]</f>
        <v>688</v>
      </c>
      <c r="G549" s="1">
        <f>IF(jablka5[[#This Row],[NIP]]=D548,jablka5[[#This Row],[sprzedaż]]+G548,jablka5[[#This Row],[sprzedaż]])</f>
        <v>13501</v>
      </c>
      <c r="H549" s="1">
        <f>IF(jablka5[[#This Row],[dot sprz]]&lt;15000,0,IF(jablka5[[#This Row],[dot sprz]]&lt;20000,5,10))</f>
        <v>0</v>
      </c>
      <c r="I549" s="1">
        <f>jablka5[[#This Row],[rabat]]*jablka5[[#This Row],[sprzedaż]]/100</f>
        <v>0</v>
      </c>
    </row>
    <row r="550" spans="1:9" x14ac:dyDescent="0.25">
      <c r="A550" s="2">
        <v>44837</v>
      </c>
      <c r="B550" s="1" t="s">
        <v>9</v>
      </c>
      <c r="C550" s="1" t="s">
        <v>67</v>
      </c>
      <c r="D550" s="1" t="s">
        <v>49</v>
      </c>
      <c r="E550">
        <v>46</v>
      </c>
      <c r="F550" s="1">
        <f>VLOOKUP(jablka5[[#This Row],[Nazwa]],cennik[],2,0) * jablka5[[#This Row],[sprzedaż]]</f>
        <v>115</v>
      </c>
      <c r="G550" s="1">
        <f>IF(jablka5[[#This Row],[NIP]]=D549,jablka5[[#This Row],[sprzedaż]]+G549,jablka5[[#This Row],[sprzedaż]])</f>
        <v>13547</v>
      </c>
      <c r="H550" s="1">
        <f>IF(jablka5[[#This Row],[dot sprz]]&lt;15000,0,IF(jablka5[[#This Row],[dot sprz]]&lt;20000,5,10))</f>
        <v>0</v>
      </c>
      <c r="I550" s="1">
        <f>jablka5[[#This Row],[rabat]]*jablka5[[#This Row],[sprzedaż]]/100</f>
        <v>0</v>
      </c>
    </row>
    <row r="551" spans="1:9" x14ac:dyDescent="0.25">
      <c r="A551" s="2">
        <v>44840</v>
      </c>
      <c r="B551" s="1" t="s">
        <v>14</v>
      </c>
      <c r="C551" s="1" t="s">
        <v>67</v>
      </c>
      <c r="D551" s="1" t="s">
        <v>49</v>
      </c>
      <c r="E551">
        <v>465</v>
      </c>
      <c r="F551" s="1">
        <f>VLOOKUP(jablka5[[#This Row],[Nazwa]],cennik[],2,0) * jablka5[[#This Row],[sprzedaż]]</f>
        <v>1627.5</v>
      </c>
      <c r="G551" s="1">
        <f>IF(jablka5[[#This Row],[NIP]]=D550,jablka5[[#This Row],[sprzedaż]]+G550,jablka5[[#This Row],[sprzedaż]])</f>
        <v>14012</v>
      </c>
      <c r="H551" s="1">
        <f>IF(jablka5[[#This Row],[dot sprz]]&lt;15000,0,IF(jablka5[[#This Row],[dot sprz]]&lt;20000,5,10))</f>
        <v>0</v>
      </c>
      <c r="I551" s="1">
        <f>jablka5[[#This Row],[rabat]]*jablka5[[#This Row],[sprzedaż]]/100</f>
        <v>0</v>
      </c>
    </row>
    <row r="552" spans="1:9" x14ac:dyDescent="0.25">
      <c r="A552" s="2">
        <v>44849</v>
      </c>
      <c r="B552" s="1" t="s">
        <v>14</v>
      </c>
      <c r="C552" s="1" t="s">
        <v>67</v>
      </c>
      <c r="D552" s="1" t="s">
        <v>49</v>
      </c>
      <c r="E552">
        <v>487</v>
      </c>
      <c r="F552" s="1">
        <f>VLOOKUP(jablka5[[#This Row],[Nazwa]],cennik[],2,0) * jablka5[[#This Row],[sprzedaż]]</f>
        <v>1704.5</v>
      </c>
      <c r="G552" s="1">
        <f>IF(jablka5[[#This Row],[NIP]]=D551,jablka5[[#This Row],[sprzedaż]]+G551,jablka5[[#This Row],[sprzedaż]])</f>
        <v>14499</v>
      </c>
      <c r="H552" s="1">
        <f>IF(jablka5[[#This Row],[dot sprz]]&lt;15000,0,IF(jablka5[[#This Row],[dot sprz]]&lt;20000,5,10))</f>
        <v>0</v>
      </c>
      <c r="I552" s="1">
        <f>jablka5[[#This Row],[rabat]]*jablka5[[#This Row],[sprzedaż]]/100</f>
        <v>0</v>
      </c>
    </row>
    <row r="553" spans="1:9" x14ac:dyDescent="0.25">
      <c r="A553" s="2">
        <v>44853</v>
      </c>
      <c r="B553" s="1" t="s">
        <v>11</v>
      </c>
      <c r="C553" s="1" t="s">
        <v>67</v>
      </c>
      <c r="D553" s="1" t="s">
        <v>49</v>
      </c>
      <c r="E553">
        <v>24</v>
      </c>
      <c r="F553" s="1">
        <f>VLOOKUP(jablka5[[#This Row],[Nazwa]],cennik[],2,0) * jablka5[[#This Row],[sprzedaż]]</f>
        <v>60</v>
      </c>
      <c r="G553" s="1">
        <f>IF(jablka5[[#This Row],[NIP]]=D552,jablka5[[#This Row],[sprzedaż]]+G552,jablka5[[#This Row],[sprzedaż]])</f>
        <v>14523</v>
      </c>
      <c r="H553" s="1">
        <f>IF(jablka5[[#This Row],[dot sprz]]&lt;15000,0,IF(jablka5[[#This Row],[dot sprz]]&lt;20000,5,10))</f>
        <v>0</v>
      </c>
      <c r="I553" s="1">
        <f>jablka5[[#This Row],[rabat]]*jablka5[[#This Row],[sprzedaż]]/100</f>
        <v>0</v>
      </c>
    </row>
    <row r="554" spans="1:9" x14ac:dyDescent="0.25">
      <c r="A554" s="2">
        <v>44854</v>
      </c>
      <c r="B554" s="1" t="s">
        <v>11</v>
      </c>
      <c r="C554" s="1" t="s">
        <v>67</v>
      </c>
      <c r="D554" s="1" t="s">
        <v>49</v>
      </c>
      <c r="E554">
        <v>376</v>
      </c>
      <c r="F554" s="1">
        <f>VLOOKUP(jablka5[[#This Row],[Nazwa]],cennik[],2,0) * jablka5[[#This Row],[sprzedaż]]</f>
        <v>940</v>
      </c>
      <c r="G554" s="1">
        <f>IF(jablka5[[#This Row],[NIP]]=D553,jablka5[[#This Row],[sprzedaż]]+G553,jablka5[[#This Row],[sprzedaż]])</f>
        <v>14899</v>
      </c>
      <c r="H554" s="1">
        <f>IF(jablka5[[#This Row],[dot sprz]]&lt;15000,0,IF(jablka5[[#This Row],[dot sprz]]&lt;20000,5,10))</f>
        <v>0</v>
      </c>
      <c r="I554" s="1">
        <f>jablka5[[#This Row],[rabat]]*jablka5[[#This Row],[sprzedaż]]/100</f>
        <v>0</v>
      </c>
    </row>
    <row r="555" spans="1:9" x14ac:dyDescent="0.25">
      <c r="A555" s="2">
        <v>44856</v>
      </c>
      <c r="B555" s="1" t="s">
        <v>3</v>
      </c>
      <c r="C555" s="1" t="s">
        <v>67</v>
      </c>
      <c r="D555" s="1" t="s">
        <v>49</v>
      </c>
      <c r="E555">
        <v>357</v>
      </c>
      <c r="F555" s="1">
        <f>VLOOKUP(jablka5[[#This Row],[Nazwa]],cennik[],2,0) * jablka5[[#This Row],[sprzedaż]]</f>
        <v>1142.4000000000001</v>
      </c>
      <c r="G555" s="1">
        <f>IF(jablka5[[#This Row],[NIP]]=D554,jablka5[[#This Row],[sprzedaż]]+G554,jablka5[[#This Row],[sprzedaż]])</f>
        <v>15256</v>
      </c>
      <c r="H555" s="1">
        <f>IF(jablka5[[#This Row],[dot sprz]]&lt;15000,0,IF(jablka5[[#This Row],[dot sprz]]&lt;20000,5,10))</f>
        <v>5</v>
      </c>
      <c r="I555" s="1">
        <f>jablka5[[#This Row],[rabat]]*jablka5[[#This Row],[sprzedaż]]/100</f>
        <v>17.850000000000001</v>
      </c>
    </row>
    <row r="556" spans="1:9" x14ac:dyDescent="0.25">
      <c r="A556" s="2">
        <v>44865</v>
      </c>
      <c r="B556" s="1" t="s">
        <v>1</v>
      </c>
      <c r="C556" s="1" t="s">
        <v>67</v>
      </c>
      <c r="D556" s="1" t="s">
        <v>49</v>
      </c>
      <c r="E556">
        <v>243</v>
      </c>
      <c r="F556" s="1">
        <f>VLOOKUP(jablka5[[#This Row],[Nazwa]],cennik[],2,0) * jablka5[[#This Row],[sprzedaż]]</f>
        <v>777.6</v>
      </c>
      <c r="G556" s="1">
        <f>IF(jablka5[[#This Row],[NIP]]=D555,jablka5[[#This Row],[sprzedaż]]+G555,jablka5[[#This Row],[sprzedaż]])</f>
        <v>15499</v>
      </c>
      <c r="H556" s="1">
        <f>IF(jablka5[[#This Row],[dot sprz]]&lt;15000,0,IF(jablka5[[#This Row],[dot sprz]]&lt;20000,5,10))</f>
        <v>5</v>
      </c>
      <c r="I556" s="1">
        <f>jablka5[[#This Row],[rabat]]*jablka5[[#This Row],[sprzedaż]]/100</f>
        <v>12.15</v>
      </c>
    </row>
    <row r="557" spans="1:9" x14ac:dyDescent="0.25">
      <c r="A557" s="2">
        <v>44865</v>
      </c>
      <c r="B557" s="1" t="s">
        <v>3</v>
      </c>
      <c r="C557" s="1" t="s">
        <v>67</v>
      </c>
      <c r="D557" s="1" t="s">
        <v>49</v>
      </c>
      <c r="E557">
        <v>115</v>
      </c>
      <c r="F557" s="1">
        <f>VLOOKUP(jablka5[[#This Row],[Nazwa]],cennik[],2,0) * jablka5[[#This Row],[sprzedaż]]</f>
        <v>368</v>
      </c>
      <c r="G557" s="1">
        <f>IF(jablka5[[#This Row],[NIP]]=D556,jablka5[[#This Row],[sprzedaż]]+G556,jablka5[[#This Row],[sprzedaż]])</f>
        <v>15614</v>
      </c>
      <c r="H557" s="1">
        <f>IF(jablka5[[#This Row],[dot sprz]]&lt;15000,0,IF(jablka5[[#This Row],[dot sprz]]&lt;20000,5,10))</f>
        <v>5</v>
      </c>
      <c r="I557" s="1">
        <f>jablka5[[#This Row],[rabat]]*jablka5[[#This Row],[sprzedaż]]/100</f>
        <v>5.75</v>
      </c>
    </row>
    <row r="558" spans="1:9" x14ac:dyDescent="0.25">
      <c r="A558" s="2">
        <v>44869</v>
      </c>
      <c r="B558" s="1" t="s">
        <v>14</v>
      </c>
      <c r="C558" s="1" t="s">
        <v>67</v>
      </c>
      <c r="D558" s="1" t="s">
        <v>49</v>
      </c>
      <c r="E558">
        <v>250</v>
      </c>
      <c r="F558" s="1">
        <f>VLOOKUP(jablka5[[#This Row],[Nazwa]],cennik[],2,0) * jablka5[[#This Row],[sprzedaż]]</f>
        <v>875</v>
      </c>
      <c r="G558" s="1">
        <f>IF(jablka5[[#This Row],[NIP]]=D557,jablka5[[#This Row],[sprzedaż]]+G557,jablka5[[#This Row],[sprzedaż]])</f>
        <v>15864</v>
      </c>
      <c r="H558" s="1">
        <f>IF(jablka5[[#This Row],[dot sprz]]&lt;15000,0,IF(jablka5[[#This Row],[dot sprz]]&lt;20000,5,10))</f>
        <v>5</v>
      </c>
      <c r="I558" s="1">
        <f>jablka5[[#This Row],[rabat]]*jablka5[[#This Row],[sprzedaż]]/100</f>
        <v>12.5</v>
      </c>
    </row>
    <row r="559" spans="1:9" x14ac:dyDescent="0.25">
      <c r="A559" s="2">
        <v>44874</v>
      </c>
      <c r="B559" s="1" t="s">
        <v>14</v>
      </c>
      <c r="C559" s="1" t="s">
        <v>67</v>
      </c>
      <c r="D559" s="1" t="s">
        <v>49</v>
      </c>
      <c r="E559">
        <v>349</v>
      </c>
      <c r="F559" s="1">
        <f>VLOOKUP(jablka5[[#This Row],[Nazwa]],cennik[],2,0) * jablka5[[#This Row],[sprzedaż]]</f>
        <v>1221.5</v>
      </c>
      <c r="G559" s="1">
        <f>IF(jablka5[[#This Row],[NIP]]=D558,jablka5[[#This Row],[sprzedaż]]+G558,jablka5[[#This Row],[sprzedaż]])</f>
        <v>16213</v>
      </c>
      <c r="H559" s="1">
        <f>IF(jablka5[[#This Row],[dot sprz]]&lt;15000,0,IF(jablka5[[#This Row],[dot sprz]]&lt;20000,5,10))</f>
        <v>5</v>
      </c>
      <c r="I559" s="1">
        <f>jablka5[[#This Row],[rabat]]*jablka5[[#This Row],[sprzedaż]]/100</f>
        <v>17.45</v>
      </c>
    </row>
    <row r="560" spans="1:9" x14ac:dyDescent="0.25">
      <c r="A560" s="2">
        <v>44881</v>
      </c>
      <c r="B560" s="1" t="s">
        <v>3</v>
      </c>
      <c r="C560" s="1" t="s">
        <v>67</v>
      </c>
      <c r="D560" s="1" t="s">
        <v>49</v>
      </c>
      <c r="E560">
        <v>353</v>
      </c>
      <c r="F560" s="1">
        <f>VLOOKUP(jablka5[[#This Row],[Nazwa]],cennik[],2,0) * jablka5[[#This Row],[sprzedaż]]</f>
        <v>1129.6000000000001</v>
      </c>
      <c r="G560" s="1">
        <f>IF(jablka5[[#This Row],[NIP]]=D559,jablka5[[#This Row],[sprzedaż]]+G559,jablka5[[#This Row],[sprzedaż]])</f>
        <v>16566</v>
      </c>
      <c r="H560" s="1">
        <f>IF(jablka5[[#This Row],[dot sprz]]&lt;15000,0,IF(jablka5[[#This Row],[dot sprz]]&lt;20000,5,10))</f>
        <v>5</v>
      </c>
      <c r="I560" s="1">
        <f>jablka5[[#This Row],[rabat]]*jablka5[[#This Row],[sprzedaż]]/100</f>
        <v>17.649999999999999</v>
      </c>
    </row>
    <row r="561" spans="1:9" x14ac:dyDescent="0.25">
      <c r="A561" s="2">
        <v>44882</v>
      </c>
      <c r="B561" s="1" t="s">
        <v>14</v>
      </c>
      <c r="C561" s="1" t="s">
        <v>67</v>
      </c>
      <c r="D561" s="1" t="s">
        <v>49</v>
      </c>
      <c r="E561">
        <v>288</v>
      </c>
      <c r="F561" s="1">
        <f>VLOOKUP(jablka5[[#This Row],[Nazwa]],cennik[],2,0) * jablka5[[#This Row],[sprzedaż]]</f>
        <v>1008</v>
      </c>
      <c r="G561" s="1">
        <f>IF(jablka5[[#This Row],[NIP]]=D560,jablka5[[#This Row],[sprzedaż]]+G560,jablka5[[#This Row],[sprzedaż]])</f>
        <v>16854</v>
      </c>
      <c r="H561" s="1">
        <f>IF(jablka5[[#This Row],[dot sprz]]&lt;15000,0,IF(jablka5[[#This Row],[dot sprz]]&lt;20000,5,10))</f>
        <v>5</v>
      </c>
      <c r="I561" s="1">
        <f>jablka5[[#This Row],[rabat]]*jablka5[[#This Row],[sprzedaż]]/100</f>
        <v>14.4</v>
      </c>
    </row>
    <row r="562" spans="1:9" x14ac:dyDescent="0.25">
      <c r="A562" s="2">
        <v>44888</v>
      </c>
      <c r="B562" s="1" t="s">
        <v>3</v>
      </c>
      <c r="C562" s="1" t="s">
        <v>67</v>
      </c>
      <c r="D562" s="1" t="s">
        <v>49</v>
      </c>
      <c r="E562">
        <v>107</v>
      </c>
      <c r="F562" s="1">
        <f>VLOOKUP(jablka5[[#This Row],[Nazwa]],cennik[],2,0) * jablka5[[#This Row],[sprzedaż]]</f>
        <v>342.40000000000003</v>
      </c>
      <c r="G562" s="1">
        <f>IF(jablka5[[#This Row],[NIP]]=D561,jablka5[[#This Row],[sprzedaż]]+G561,jablka5[[#This Row],[sprzedaż]])</f>
        <v>16961</v>
      </c>
      <c r="H562" s="1">
        <f>IF(jablka5[[#This Row],[dot sprz]]&lt;15000,0,IF(jablka5[[#This Row],[dot sprz]]&lt;20000,5,10))</f>
        <v>5</v>
      </c>
      <c r="I562" s="1">
        <f>jablka5[[#This Row],[rabat]]*jablka5[[#This Row],[sprzedaż]]/100</f>
        <v>5.35</v>
      </c>
    </row>
    <row r="563" spans="1:9" x14ac:dyDescent="0.25">
      <c r="A563" s="2">
        <v>44890</v>
      </c>
      <c r="B563" s="1" t="s">
        <v>9</v>
      </c>
      <c r="C563" s="1" t="s">
        <v>67</v>
      </c>
      <c r="D563" s="1" t="s">
        <v>49</v>
      </c>
      <c r="E563">
        <v>73</v>
      </c>
      <c r="F563" s="1">
        <f>VLOOKUP(jablka5[[#This Row],[Nazwa]],cennik[],2,0) * jablka5[[#This Row],[sprzedaż]]</f>
        <v>182.5</v>
      </c>
      <c r="G563" s="1">
        <f>IF(jablka5[[#This Row],[NIP]]=D562,jablka5[[#This Row],[sprzedaż]]+G562,jablka5[[#This Row],[sprzedaż]])</f>
        <v>17034</v>
      </c>
      <c r="H563" s="1">
        <f>IF(jablka5[[#This Row],[dot sprz]]&lt;15000,0,IF(jablka5[[#This Row],[dot sprz]]&lt;20000,5,10))</f>
        <v>5</v>
      </c>
      <c r="I563" s="1">
        <f>jablka5[[#This Row],[rabat]]*jablka5[[#This Row],[sprzedaż]]/100</f>
        <v>3.65</v>
      </c>
    </row>
    <row r="564" spans="1:9" x14ac:dyDescent="0.25">
      <c r="A564" s="2">
        <v>44890</v>
      </c>
      <c r="B564" s="1" t="s">
        <v>9</v>
      </c>
      <c r="C564" s="1" t="s">
        <v>67</v>
      </c>
      <c r="D564" s="1" t="s">
        <v>49</v>
      </c>
      <c r="E564">
        <v>11</v>
      </c>
      <c r="F564" s="1">
        <f>VLOOKUP(jablka5[[#This Row],[Nazwa]],cennik[],2,0) * jablka5[[#This Row],[sprzedaż]]</f>
        <v>27.5</v>
      </c>
      <c r="G564" s="1">
        <f>IF(jablka5[[#This Row],[NIP]]=D563,jablka5[[#This Row],[sprzedaż]]+G563,jablka5[[#This Row],[sprzedaż]])</f>
        <v>17045</v>
      </c>
      <c r="H564" s="1">
        <f>IF(jablka5[[#This Row],[dot sprz]]&lt;15000,0,IF(jablka5[[#This Row],[dot sprz]]&lt;20000,5,10))</f>
        <v>5</v>
      </c>
      <c r="I564" s="1">
        <f>jablka5[[#This Row],[rabat]]*jablka5[[#This Row],[sprzedaż]]/100</f>
        <v>0.55000000000000004</v>
      </c>
    </row>
    <row r="565" spans="1:9" x14ac:dyDescent="0.25">
      <c r="A565" s="2">
        <v>44893</v>
      </c>
      <c r="B565" s="1" t="s">
        <v>14</v>
      </c>
      <c r="C565" s="1" t="s">
        <v>67</v>
      </c>
      <c r="D565" s="1" t="s">
        <v>49</v>
      </c>
      <c r="E565">
        <v>262</v>
      </c>
      <c r="F565" s="1">
        <f>VLOOKUP(jablka5[[#This Row],[Nazwa]],cennik[],2,0) * jablka5[[#This Row],[sprzedaż]]</f>
        <v>917</v>
      </c>
      <c r="G565" s="1">
        <f>IF(jablka5[[#This Row],[NIP]]=D564,jablka5[[#This Row],[sprzedaż]]+G564,jablka5[[#This Row],[sprzedaż]])</f>
        <v>17307</v>
      </c>
      <c r="H565" s="1">
        <f>IF(jablka5[[#This Row],[dot sprz]]&lt;15000,0,IF(jablka5[[#This Row],[dot sprz]]&lt;20000,5,10))</f>
        <v>5</v>
      </c>
      <c r="I565" s="1">
        <f>jablka5[[#This Row],[rabat]]*jablka5[[#This Row],[sprzedaż]]/100</f>
        <v>13.1</v>
      </c>
    </row>
    <row r="566" spans="1:9" x14ac:dyDescent="0.25">
      <c r="A566" s="2">
        <v>44900</v>
      </c>
      <c r="B566" s="1" t="s">
        <v>15</v>
      </c>
      <c r="C566" s="1" t="s">
        <v>16</v>
      </c>
      <c r="D566" s="1" t="s">
        <v>49</v>
      </c>
      <c r="E566">
        <v>132</v>
      </c>
      <c r="F566" s="1">
        <f>VLOOKUP(jablka5[[#This Row],[Nazwa]],cennik[],2,0) * jablka5[[#This Row],[sprzedaż]]</f>
        <v>316.8</v>
      </c>
      <c r="G566" s="1">
        <f>IF(jablka5[[#This Row],[NIP]]=D565,jablka5[[#This Row],[sprzedaż]]+G565,jablka5[[#This Row],[sprzedaż]])</f>
        <v>17439</v>
      </c>
      <c r="H566" s="1">
        <f>IF(jablka5[[#This Row],[dot sprz]]&lt;15000,0,IF(jablka5[[#This Row],[dot sprz]]&lt;20000,5,10))</f>
        <v>5</v>
      </c>
      <c r="I566" s="1">
        <f>jablka5[[#This Row],[rabat]]*jablka5[[#This Row],[sprzedaż]]/100</f>
        <v>6.6</v>
      </c>
    </row>
    <row r="567" spans="1:9" x14ac:dyDescent="0.25">
      <c r="A567" s="2">
        <v>44902</v>
      </c>
      <c r="B567" s="1" t="s">
        <v>7</v>
      </c>
      <c r="C567" s="1" t="s">
        <v>16</v>
      </c>
      <c r="D567" s="1" t="s">
        <v>49</v>
      </c>
      <c r="E567">
        <v>454</v>
      </c>
      <c r="F567" s="1">
        <f>VLOOKUP(jablka5[[#This Row],[Nazwa]],cennik[],2,0) * jablka5[[#This Row],[sprzedaż]]</f>
        <v>1543.6</v>
      </c>
      <c r="G567" s="1">
        <f>IF(jablka5[[#This Row],[NIP]]=D566,jablka5[[#This Row],[sprzedaż]]+G566,jablka5[[#This Row],[sprzedaż]])</f>
        <v>17893</v>
      </c>
      <c r="H567" s="1">
        <f>IF(jablka5[[#This Row],[dot sprz]]&lt;15000,0,IF(jablka5[[#This Row],[dot sprz]]&lt;20000,5,10))</f>
        <v>5</v>
      </c>
      <c r="I567" s="1">
        <f>jablka5[[#This Row],[rabat]]*jablka5[[#This Row],[sprzedaż]]/100</f>
        <v>22.7</v>
      </c>
    </row>
    <row r="568" spans="1:9" x14ac:dyDescent="0.25">
      <c r="A568" s="2">
        <v>44921</v>
      </c>
      <c r="B568" s="1" t="s">
        <v>4</v>
      </c>
      <c r="C568" s="1" t="s">
        <v>16</v>
      </c>
      <c r="D568" s="1" t="s">
        <v>49</v>
      </c>
      <c r="E568">
        <v>562</v>
      </c>
      <c r="F568" s="1">
        <f>VLOOKUP(jablka5[[#This Row],[Nazwa]],cennik[],2,0) * jablka5[[#This Row],[sprzedaż]]</f>
        <v>1910.8</v>
      </c>
      <c r="G568" s="1">
        <f>IF(jablka5[[#This Row],[NIP]]=D567,jablka5[[#This Row],[sprzedaż]]+G567,jablka5[[#This Row],[sprzedaż]])</f>
        <v>18455</v>
      </c>
      <c r="H568" s="1">
        <f>IF(jablka5[[#This Row],[dot sprz]]&lt;15000,0,IF(jablka5[[#This Row],[dot sprz]]&lt;20000,5,10))</f>
        <v>5</v>
      </c>
      <c r="I568" s="1">
        <f>jablka5[[#This Row],[rabat]]*jablka5[[#This Row],[sprzedaż]]/100</f>
        <v>28.1</v>
      </c>
    </row>
    <row r="569" spans="1:9" x14ac:dyDescent="0.25">
      <c r="A569" s="2">
        <v>44564</v>
      </c>
      <c r="B569" s="1" t="s">
        <v>15</v>
      </c>
      <c r="C569" s="1" t="s">
        <v>16</v>
      </c>
      <c r="D569" s="1" t="s">
        <v>25</v>
      </c>
      <c r="E569">
        <v>570</v>
      </c>
      <c r="F569" s="1">
        <f>VLOOKUP(jablka5[[#This Row],[Nazwa]],cennik[],2,0) * jablka5[[#This Row],[sprzedaż]]</f>
        <v>1368</v>
      </c>
      <c r="G569" s="1">
        <f>IF(jablka5[[#This Row],[NIP]]=D568,jablka5[[#This Row],[sprzedaż]]+G568,jablka5[[#This Row],[sprzedaż]])</f>
        <v>570</v>
      </c>
      <c r="H569" s="1">
        <f>IF(jablka5[[#This Row],[dot sprz]]&lt;15000,0,IF(jablka5[[#This Row],[dot sprz]]&lt;20000,5,10))</f>
        <v>0</v>
      </c>
      <c r="I569" s="1">
        <f>jablka5[[#This Row],[rabat]]*jablka5[[#This Row],[sprzedaż]]/100</f>
        <v>0</v>
      </c>
    </row>
    <row r="570" spans="1:9" x14ac:dyDescent="0.25">
      <c r="A570" s="2">
        <v>44574</v>
      </c>
      <c r="B570" s="1" t="s">
        <v>0</v>
      </c>
      <c r="C570" s="1" t="s">
        <v>16</v>
      </c>
      <c r="D570" s="1" t="s">
        <v>25</v>
      </c>
      <c r="E570">
        <v>92</v>
      </c>
      <c r="F570" s="1">
        <f>VLOOKUP(jablka5[[#This Row],[Nazwa]],cennik[],2,0) * jablka5[[#This Row],[sprzedaż]]</f>
        <v>266.8</v>
      </c>
      <c r="G570" s="1">
        <f>IF(jablka5[[#This Row],[NIP]]=D569,jablka5[[#This Row],[sprzedaż]]+G569,jablka5[[#This Row],[sprzedaż]])</f>
        <v>662</v>
      </c>
      <c r="H570" s="1">
        <f>IF(jablka5[[#This Row],[dot sprz]]&lt;15000,0,IF(jablka5[[#This Row],[dot sprz]]&lt;20000,5,10))</f>
        <v>0</v>
      </c>
      <c r="I570" s="1">
        <f>jablka5[[#This Row],[rabat]]*jablka5[[#This Row],[sprzedaż]]/100</f>
        <v>0</v>
      </c>
    </row>
    <row r="571" spans="1:9" x14ac:dyDescent="0.25">
      <c r="A571" s="2">
        <v>44585</v>
      </c>
      <c r="B571" s="1" t="s">
        <v>4</v>
      </c>
      <c r="C571" s="1" t="s">
        <v>16</v>
      </c>
      <c r="D571" s="1" t="s">
        <v>25</v>
      </c>
      <c r="E571">
        <v>591</v>
      </c>
      <c r="F571" s="1">
        <f>VLOOKUP(jablka5[[#This Row],[Nazwa]],cennik[],2,0) * jablka5[[#This Row],[sprzedaż]]</f>
        <v>2009.3999999999999</v>
      </c>
      <c r="G571" s="1">
        <f>IF(jablka5[[#This Row],[NIP]]=D570,jablka5[[#This Row],[sprzedaż]]+G570,jablka5[[#This Row],[sprzedaż]])</f>
        <v>1253</v>
      </c>
      <c r="H571" s="1">
        <f>IF(jablka5[[#This Row],[dot sprz]]&lt;15000,0,IF(jablka5[[#This Row],[dot sprz]]&lt;20000,5,10))</f>
        <v>0</v>
      </c>
      <c r="I571" s="1">
        <f>jablka5[[#This Row],[rabat]]*jablka5[[#This Row],[sprzedaż]]/100</f>
        <v>0</v>
      </c>
    </row>
    <row r="572" spans="1:9" x14ac:dyDescent="0.25">
      <c r="A572" s="2">
        <v>44595</v>
      </c>
      <c r="B572" s="1" t="s">
        <v>8</v>
      </c>
      <c r="C572" s="1" t="s">
        <v>16</v>
      </c>
      <c r="D572" s="1" t="s">
        <v>25</v>
      </c>
      <c r="E572">
        <v>551</v>
      </c>
      <c r="F572" s="1">
        <f>VLOOKUP(jablka5[[#This Row],[Nazwa]],cennik[],2,0) * jablka5[[#This Row],[sprzedaż]]</f>
        <v>1928.5</v>
      </c>
      <c r="G572" s="1">
        <f>IF(jablka5[[#This Row],[NIP]]=D571,jablka5[[#This Row],[sprzedaż]]+G571,jablka5[[#This Row],[sprzedaż]])</f>
        <v>1804</v>
      </c>
      <c r="H572" s="1">
        <f>IF(jablka5[[#This Row],[dot sprz]]&lt;15000,0,IF(jablka5[[#This Row],[dot sprz]]&lt;20000,5,10))</f>
        <v>0</v>
      </c>
      <c r="I572" s="1">
        <f>jablka5[[#This Row],[rabat]]*jablka5[[#This Row],[sprzedaż]]/100</f>
        <v>0</v>
      </c>
    </row>
    <row r="573" spans="1:9" x14ac:dyDescent="0.25">
      <c r="A573" s="2">
        <v>44610</v>
      </c>
      <c r="B573" s="1" t="s">
        <v>6</v>
      </c>
      <c r="C573" s="1" t="s">
        <v>16</v>
      </c>
      <c r="D573" s="1" t="s">
        <v>25</v>
      </c>
      <c r="E573">
        <v>483</v>
      </c>
      <c r="F573" s="1">
        <f>VLOOKUP(jablka5[[#This Row],[Nazwa]],cennik[],2,0) * jablka5[[#This Row],[sprzedaż]]</f>
        <v>1642.2</v>
      </c>
      <c r="G573" s="1">
        <f>IF(jablka5[[#This Row],[NIP]]=D572,jablka5[[#This Row],[sprzedaż]]+G572,jablka5[[#This Row],[sprzedaż]])</f>
        <v>2287</v>
      </c>
      <c r="H573" s="1">
        <f>IF(jablka5[[#This Row],[dot sprz]]&lt;15000,0,IF(jablka5[[#This Row],[dot sprz]]&lt;20000,5,10))</f>
        <v>0</v>
      </c>
      <c r="I573" s="1">
        <f>jablka5[[#This Row],[rabat]]*jablka5[[#This Row],[sprzedaż]]/100</f>
        <v>0</v>
      </c>
    </row>
    <row r="574" spans="1:9" x14ac:dyDescent="0.25">
      <c r="A574" s="2">
        <v>44624</v>
      </c>
      <c r="B574" s="1" t="s">
        <v>10</v>
      </c>
      <c r="C574" s="1" t="s">
        <v>16</v>
      </c>
      <c r="D574" s="1" t="s">
        <v>25</v>
      </c>
      <c r="E574">
        <v>224</v>
      </c>
      <c r="F574" s="1">
        <f>VLOOKUP(jablka5[[#This Row],[Nazwa]],cennik[],2,0) * jablka5[[#This Row],[sprzedaż]]</f>
        <v>761.6</v>
      </c>
      <c r="G574" s="1">
        <f>IF(jablka5[[#This Row],[NIP]]=D573,jablka5[[#This Row],[sprzedaż]]+G573,jablka5[[#This Row],[sprzedaż]])</f>
        <v>2511</v>
      </c>
      <c r="H574" s="1">
        <f>IF(jablka5[[#This Row],[dot sprz]]&lt;15000,0,IF(jablka5[[#This Row],[dot sprz]]&lt;20000,5,10))</f>
        <v>0</v>
      </c>
      <c r="I574" s="1">
        <f>jablka5[[#This Row],[rabat]]*jablka5[[#This Row],[sprzedaż]]/100</f>
        <v>0</v>
      </c>
    </row>
    <row r="575" spans="1:9" x14ac:dyDescent="0.25">
      <c r="A575" s="2">
        <v>44625</v>
      </c>
      <c r="B575" s="1" t="s">
        <v>2</v>
      </c>
      <c r="C575" s="1" t="s">
        <v>16</v>
      </c>
      <c r="D575" s="1" t="s">
        <v>25</v>
      </c>
      <c r="E575">
        <v>418</v>
      </c>
      <c r="F575" s="1">
        <f>VLOOKUP(jablka5[[#This Row],[Nazwa]],cennik[],2,0) * jablka5[[#This Row],[sprzedaż]]</f>
        <v>1337.6000000000001</v>
      </c>
      <c r="G575" s="1">
        <f>IF(jablka5[[#This Row],[NIP]]=D574,jablka5[[#This Row],[sprzedaż]]+G574,jablka5[[#This Row],[sprzedaż]])</f>
        <v>2929</v>
      </c>
      <c r="H575" s="1">
        <f>IF(jablka5[[#This Row],[dot sprz]]&lt;15000,0,IF(jablka5[[#This Row],[dot sprz]]&lt;20000,5,10))</f>
        <v>0</v>
      </c>
      <c r="I575" s="1">
        <f>jablka5[[#This Row],[rabat]]*jablka5[[#This Row],[sprzedaż]]/100</f>
        <v>0</v>
      </c>
    </row>
    <row r="576" spans="1:9" x14ac:dyDescent="0.25">
      <c r="A576" s="2">
        <v>44637</v>
      </c>
      <c r="B576" s="1" t="s">
        <v>15</v>
      </c>
      <c r="C576" s="1" t="s">
        <v>16</v>
      </c>
      <c r="D576" s="1" t="s">
        <v>25</v>
      </c>
      <c r="E576">
        <v>362</v>
      </c>
      <c r="F576" s="1">
        <f>VLOOKUP(jablka5[[#This Row],[Nazwa]],cennik[],2,0) * jablka5[[#This Row],[sprzedaż]]</f>
        <v>868.8</v>
      </c>
      <c r="G576" s="1">
        <f>IF(jablka5[[#This Row],[NIP]]=D575,jablka5[[#This Row],[sprzedaż]]+G575,jablka5[[#This Row],[sprzedaż]])</f>
        <v>3291</v>
      </c>
      <c r="H576" s="1">
        <f>IF(jablka5[[#This Row],[dot sprz]]&lt;15000,0,IF(jablka5[[#This Row],[dot sprz]]&lt;20000,5,10))</f>
        <v>0</v>
      </c>
      <c r="I576" s="1">
        <f>jablka5[[#This Row],[rabat]]*jablka5[[#This Row],[sprzedaż]]/100</f>
        <v>0</v>
      </c>
    </row>
    <row r="577" spans="1:9" x14ac:dyDescent="0.25">
      <c r="A577" s="2">
        <v>44641</v>
      </c>
      <c r="B577" s="1" t="s">
        <v>2</v>
      </c>
      <c r="C577" s="1" t="s">
        <v>16</v>
      </c>
      <c r="D577" s="1" t="s">
        <v>25</v>
      </c>
      <c r="E577">
        <v>51</v>
      </c>
      <c r="F577" s="1">
        <f>VLOOKUP(jablka5[[#This Row],[Nazwa]],cennik[],2,0) * jablka5[[#This Row],[sprzedaż]]</f>
        <v>163.20000000000002</v>
      </c>
      <c r="G577" s="1">
        <f>IF(jablka5[[#This Row],[NIP]]=D576,jablka5[[#This Row],[sprzedaż]]+G576,jablka5[[#This Row],[sprzedaż]])</f>
        <v>3342</v>
      </c>
      <c r="H577" s="1">
        <f>IF(jablka5[[#This Row],[dot sprz]]&lt;15000,0,IF(jablka5[[#This Row],[dot sprz]]&lt;20000,5,10))</f>
        <v>0</v>
      </c>
      <c r="I577" s="1">
        <f>jablka5[[#This Row],[rabat]]*jablka5[[#This Row],[sprzedaż]]/100</f>
        <v>0</v>
      </c>
    </row>
    <row r="578" spans="1:9" x14ac:dyDescent="0.25">
      <c r="A578" s="2">
        <v>44648</v>
      </c>
      <c r="B578" s="1" t="s">
        <v>8</v>
      </c>
      <c r="C578" s="1" t="s">
        <v>16</v>
      </c>
      <c r="D578" s="1" t="s">
        <v>25</v>
      </c>
      <c r="E578">
        <v>466</v>
      </c>
      <c r="F578" s="1">
        <f>VLOOKUP(jablka5[[#This Row],[Nazwa]],cennik[],2,0) * jablka5[[#This Row],[sprzedaż]]</f>
        <v>1631</v>
      </c>
      <c r="G578" s="1">
        <f>IF(jablka5[[#This Row],[NIP]]=D577,jablka5[[#This Row],[sprzedaż]]+G577,jablka5[[#This Row],[sprzedaż]])</f>
        <v>3808</v>
      </c>
      <c r="H578" s="1">
        <f>IF(jablka5[[#This Row],[dot sprz]]&lt;15000,0,IF(jablka5[[#This Row],[dot sprz]]&lt;20000,5,10))</f>
        <v>0</v>
      </c>
      <c r="I578" s="1">
        <f>jablka5[[#This Row],[rabat]]*jablka5[[#This Row],[sprzedaż]]/100</f>
        <v>0</v>
      </c>
    </row>
    <row r="579" spans="1:9" x14ac:dyDescent="0.25">
      <c r="A579" s="2">
        <v>44651</v>
      </c>
      <c r="B579" s="1" t="s">
        <v>0</v>
      </c>
      <c r="C579" s="1" t="s">
        <v>16</v>
      </c>
      <c r="D579" s="1" t="s">
        <v>25</v>
      </c>
      <c r="E579">
        <v>83</v>
      </c>
      <c r="F579" s="1">
        <f>VLOOKUP(jablka5[[#This Row],[Nazwa]],cennik[],2,0) * jablka5[[#This Row],[sprzedaż]]</f>
        <v>240.7</v>
      </c>
      <c r="G579" s="1">
        <f>IF(jablka5[[#This Row],[NIP]]=D578,jablka5[[#This Row],[sprzedaż]]+G578,jablka5[[#This Row],[sprzedaż]])</f>
        <v>3891</v>
      </c>
      <c r="H579" s="1">
        <f>IF(jablka5[[#This Row],[dot sprz]]&lt;15000,0,IF(jablka5[[#This Row],[dot sprz]]&lt;20000,5,10))</f>
        <v>0</v>
      </c>
      <c r="I579" s="1">
        <f>jablka5[[#This Row],[rabat]]*jablka5[[#This Row],[sprzedaż]]/100</f>
        <v>0</v>
      </c>
    </row>
    <row r="580" spans="1:9" x14ac:dyDescent="0.25">
      <c r="A580" s="2">
        <v>44652</v>
      </c>
      <c r="B580" s="1" t="s">
        <v>5</v>
      </c>
      <c r="C580" s="1" t="s">
        <v>16</v>
      </c>
      <c r="D580" s="1" t="s">
        <v>25</v>
      </c>
      <c r="E580">
        <v>399</v>
      </c>
      <c r="F580" s="1">
        <f>VLOOKUP(jablka5[[#This Row],[Nazwa]],cennik[],2,0) * jablka5[[#This Row],[sprzedaż]]</f>
        <v>1356.6</v>
      </c>
      <c r="G580" s="1">
        <f>IF(jablka5[[#This Row],[NIP]]=D579,jablka5[[#This Row],[sprzedaż]]+G579,jablka5[[#This Row],[sprzedaż]])</f>
        <v>4290</v>
      </c>
      <c r="H580" s="1">
        <f>IF(jablka5[[#This Row],[dot sprz]]&lt;15000,0,IF(jablka5[[#This Row],[dot sprz]]&lt;20000,5,10))</f>
        <v>0</v>
      </c>
      <c r="I580" s="1">
        <f>jablka5[[#This Row],[rabat]]*jablka5[[#This Row],[sprzedaż]]/100</f>
        <v>0</v>
      </c>
    </row>
    <row r="581" spans="1:9" x14ac:dyDescent="0.25">
      <c r="A581" s="2">
        <v>44653</v>
      </c>
      <c r="B581" s="1" t="s">
        <v>4</v>
      </c>
      <c r="C581" s="1" t="s">
        <v>16</v>
      </c>
      <c r="D581" s="1" t="s">
        <v>25</v>
      </c>
      <c r="E581">
        <v>406</v>
      </c>
      <c r="F581" s="1">
        <f>VLOOKUP(jablka5[[#This Row],[Nazwa]],cennik[],2,0) * jablka5[[#This Row],[sprzedaż]]</f>
        <v>1380.3999999999999</v>
      </c>
      <c r="G581" s="1">
        <f>IF(jablka5[[#This Row],[NIP]]=D580,jablka5[[#This Row],[sprzedaż]]+G580,jablka5[[#This Row],[sprzedaż]])</f>
        <v>4696</v>
      </c>
      <c r="H581" s="1">
        <f>IF(jablka5[[#This Row],[dot sprz]]&lt;15000,0,IF(jablka5[[#This Row],[dot sprz]]&lt;20000,5,10))</f>
        <v>0</v>
      </c>
      <c r="I581" s="1">
        <f>jablka5[[#This Row],[rabat]]*jablka5[[#This Row],[sprzedaż]]/100</f>
        <v>0</v>
      </c>
    </row>
    <row r="582" spans="1:9" x14ac:dyDescent="0.25">
      <c r="A582" s="2">
        <v>44666</v>
      </c>
      <c r="B582" s="1" t="s">
        <v>15</v>
      </c>
      <c r="C582" s="1" t="s">
        <v>16</v>
      </c>
      <c r="D582" s="1" t="s">
        <v>25</v>
      </c>
      <c r="E582">
        <v>550</v>
      </c>
      <c r="F582" s="1">
        <f>VLOOKUP(jablka5[[#This Row],[Nazwa]],cennik[],2,0) * jablka5[[#This Row],[sprzedaż]]</f>
        <v>1320</v>
      </c>
      <c r="G582" s="1">
        <f>IF(jablka5[[#This Row],[NIP]]=D581,jablka5[[#This Row],[sprzedaż]]+G581,jablka5[[#This Row],[sprzedaż]])</f>
        <v>5246</v>
      </c>
      <c r="H582" s="1">
        <f>IF(jablka5[[#This Row],[dot sprz]]&lt;15000,0,IF(jablka5[[#This Row],[dot sprz]]&lt;20000,5,10))</f>
        <v>0</v>
      </c>
      <c r="I582" s="1">
        <f>jablka5[[#This Row],[rabat]]*jablka5[[#This Row],[sprzedaż]]/100</f>
        <v>0</v>
      </c>
    </row>
    <row r="583" spans="1:9" x14ac:dyDescent="0.25">
      <c r="A583" s="2">
        <v>44666</v>
      </c>
      <c r="B583" s="1" t="s">
        <v>2</v>
      </c>
      <c r="C583" s="1" t="s">
        <v>16</v>
      </c>
      <c r="D583" s="1" t="s">
        <v>25</v>
      </c>
      <c r="E583">
        <v>412</v>
      </c>
      <c r="F583" s="1">
        <f>VLOOKUP(jablka5[[#This Row],[Nazwa]],cennik[],2,0) * jablka5[[#This Row],[sprzedaż]]</f>
        <v>1318.4</v>
      </c>
      <c r="G583" s="1">
        <f>IF(jablka5[[#This Row],[NIP]]=D582,jablka5[[#This Row],[sprzedaż]]+G582,jablka5[[#This Row],[sprzedaż]])</f>
        <v>5658</v>
      </c>
      <c r="H583" s="1">
        <f>IF(jablka5[[#This Row],[dot sprz]]&lt;15000,0,IF(jablka5[[#This Row],[dot sprz]]&lt;20000,5,10))</f>
        <v>0</v>
      </c>
      <c r="I583" s="1">
        <f>jablka5[[#This Row],[rabat]]*jablka5[[#This Row],[sprzedaż]]/100</f>
        <v>0</v>
      </c>
    </row>
    <row r="584" spans="1:9" x14ac:dyDescent="0.25">
      <c r="A584" s="2">
        <v>44666</v>
      </c>
      <c r="B584" s="1" t="s">
        <v>15</v>
      </c>
      <c r="C584" s="1" t="s">
        <v>16</v>
      </c>
      <c r="D584" s="1" t="s">
        <v>25</v>
      </c>
      <c r="E584">
        <v>133</v>
      </c>
      <c r="F584" s="1">
        <f>VLOOKUP(jablka5[[#This Row],[Nazwa]],cennik[],2,0) * jablka5[[#This Row],[sprzedaż]]</f>
        <v>319.2</v>
      </c>
      <c r="G584" s="1">
        <f>IF(jablka5[[#This Row],[NIP]]=D583,jablka5[[#This Row],[sprzedaż]]+G583,jablka5[[#This Row],[sprzedaż]])</f>
        <v>5791</v>
      </c>
      <c r="H584" s="1">
        <f>IF(jablka5[[#This Row],[dot sprz]]&lt;15000,0,IF(jablka5[[#This Row],[dot sprz]]&lt;20000,5,10))</f>
        <v>0</v>
      </c>
      <c r="I584" s="1">
        <f>jablka5[[#This Row],[rabat]]*jablka5[[#This Row],[sprzedaż]]/100</f>
        <v>0</v>
      </c>
    </row>
    <row r="585" spans="1:9" x14ac:dyDescent="0.25">
      <c r="A585" s="2">
        <v>44718</v>
      </c>
      <c r="B585" s="1" t="s">
        <v>13</v>
      </c>
      <c r="C585" s="1" t="s">
        <v>68</v>
      </c>
      <c r="D585" s="1" t="s">
        <v>25</v>
      </c>
      <c r="E585">
        <v>476</v>
      </c>
      <c r="F585" s="1">
        <f>VLOOKUP(jablka5[[#This Row],[Nazwa]],cennik[],2,0) * jablka5[[#This Row],[sprzedaż]]</f>
        <v>1523.2</v>
      </c>
      <c r="G585" s="1">
        <f>IF(jablka5[[#This Row],[NIP]]=D584,jablka5[[#This Row],[sprzedaż]]+G584,jablka5[[#This Row],[sprzedaż]])</f>
        <v>6267</v>
      </c>
      <c r="H585" s="1">
        <f>IF(jablka5[[#This Row],[dot sprz]]&lt;15000,0,IF(jablka5[[#This Row],[dot sprz]]&lt;20000,5,10))</f>
        <v>0</v>
      </c>
      <c r="I585" s="1">
        <f>jablka5[[#This Row],[rabat]]*jablka5[[#This Row],[sprzedaż]]/100</f>
        <v>0</v>
      </c>
    </row>
    <row r="586" spans="1:9" x14ac:dyDescent="0.25">
      <c r="A586" s="2">
        <v>44727</v>
      </c>
      <c r="B586" s="1" t="s">
        <v>14</v>
      </c>
      <c r="C586" s="1" t="s">
        <v>67</v>
      </c>
      <c r="D586" s="1" t="s">
        <v>25</v>
      </c>
      <c r="E586">
        <v>372</v>
      </c>
      <c r="F586" s="1">
        <f>VLOOKUP(jablka5[[#This Row],[Nazwa]],cennik[],2,0) * jablka5[[#This Row],[sprzedaż]]</f>
        <v>1302</v>
      </c>
      <c r="G586" s="1">
        <f>IF(jablka5[[#This Row],[NIP]]=D585,jablka5[[#This Row],[sprzedaż]]+G585,jablka5[[#This Row],[sprzedaż]])</f>
        <v>6639</v>
      </c>
      <c r="H586" s="1">
        <f>IF(jablka5[[#This Row],[dot sprz]]&lt;15000,0,IF(jablka5[[#This Row],[dot sprz]]&lt;20000,5,10))</f>
        <v>0</v>
      </c>
      <c r="I586" s="1">
        <f>jablka5[[#This Row],[rabat]]*jablka5[[#This Row],[sprzedaż]]/100</f>
        <v>0</v>
      </c>
    </row>
    <row r="587" spans="1:9" x14ac:dyDescent="0.25">
      <c r="A587" s="2">
        <v>44741</v>
      </c>
      <c r="B587" s="1" t="s">
        <v>14</v>
      </c>
      <c r="C587" s="1" t="s">
        <v>67</v>
      </c>
      <c r="D587" s="1" t="s">
        <v>25</v>
      </c>
      <c r="E587">
        <v>456</v>
      </c>
      <c r="F587" s="1">
        <f>VLOOKUP(jablka5[[#This Row],[Nazwa]],cennik[],2,0) * jablka5[[#This Row],[sprzedaż]]</f>
        <v>1596</v>
      </c>
      <c r="G587" s="1">
        <f>IF(jablka5[[#This Row],[NIP]]=D586,jablka5[[#This Row],[sprzedaż]]+G586,jablka5[[#This Row],[sprzedaż]])</f>
        <v>7095</v>
      </c>
      <c r="H587" s="1">
        <f>IF(jablka5[[#This Row],[dot sprz]]&lt;15000,0,IF(jablka5[[#This Row],[dot sprz]]&lt;20000,5,10))</f>
        <v>0</v>
      </c>
      <c r="I587" s="1">
        <f>jablka5[[#This Row],[rabat]]*jablka5[[#This Row],[sprzedaż]]/100</f>
        <v>0</v>
      </c>
    </row>
    <row r="588" spans="1:9" x14ac:dyDescent="0.25">
      <c r="A588" s="2">
        <v>44743</v>
      </c>
      <c r="B588" s="1" t="s">
        <v>14</v>
      </c>
      <c r="C588" s="1" t="s">
        <v>67</v>
      </c>
      <c r="D588" s="1" t="s">
        <v>25</v>
      </c>
      <c r="E588">
        <v>191</v>
      </c>
      <c r="F588" s="1">
        <f>VLOOKUP(jablka5[[#This Row],[Nazwa]],cennik[],2,0) * jablka5[[#This Row],[sprzedaż]]</f>
        <v>668.5</v>
      </c>
      <c r="G588" s="1">
        <f>IF(jablka5[[#This Row],[NIP]]=D587,jablka5[[#This Row],[sprzedaż]]+G587,jablka5[[#This Row],[sprzedaż]])</f>
        <v>7286</v>
      </c>
      <c r="H588" s="1">
        <f>IF(jablka5[[#This Row],[dot sprz]]&lt;15000,0,IF(jablka5[[#This Row],[dot sprz]]&lt;20000,5,10))</f>
        <v>0</v>
      </c>
      <c r="I588" s="1">
        <f>jablka5[[#This Row],[rabat]]*jablka5[[#This Row],[sprzedaż]]/100</f>
        <v>0</v>
      </c>
    </row>
    <row r="589" spans="1:9" x14ac:dyDescent="0.25">
      <c r="A589" s="2">
        <v>44760</v>
      </c>
      <c r="B589" s="1" t="s">
        <v>14</v>
      </c>
      <c r="C589" s="1" t="s">
        <v>67</v>
      </c>
      <c r="D589" s="1" t="s">
        <v>25</v>
      </c>
      <c r="E589">
        <v>77</v>
      </c>
      <c r="F589" s="1">
        <f>VLOOKUP(jablka5[[#This Row],[Nazwa]],cennik[],2,0) * jablka5[[#This Row],[sprzedaż]]</f>
        <v>269.5</v>
      </c>
      <c r="G589" s="1">
        <f>IF(jablka5[[#This Row],[NIP]]=D588,jablka5[[#This Row],[sprzedaż]]+G588,jablka5[[#This Row],[sprzedaż]])</f>
        <v>7363</v>
      </c>
      <c r="H589" s="1">
        <f>IF(jablka5[[#This Row],[dot sprz]]&lt;15000,0,IF(jablka5[[#This Row],[dot sprz]]&lt;20000,5,10))</f>
        <v>0</v>
      </c>
      <c r="I589" s="1">
        <f>jablka5[[#This Row],[rabat]]*jablka5[[#This Row],[sprzedaż]]/100</f>
        <v>0</v>
      </c>
    </row>
    <row r="590" spans="1:9" x14ac:dyDescent="0.25">
      <c r="A590" s="2">
        <v>44762</v>
      </c>
      <c r="B590" s="1" t="s">
        <v>14</v>
      </c>
      <c r="C590" s="1" t="s">
        <v>67</v>
      </c>
      <c r="D590" s="1" t="s">
        <v>25</v>
      </c>
      <c r="E590">
        <v>154</v>
      </c>
      <c r="F590" s="1">
        <f>VLOOKUP(jablka5[[#This Row],[Nazwa]],cennik[],2,0) * jablka5[[#This Row],[sprzedaż]]</f>
        <v>539</v>
      </c>
      <c r="G590" s="1">
        <f>IF(jablka5[[#This Row],[NIP]]=D589,jablka5[[#This Row],[sprzedaż]]+G589,jablka5[[#This Row],[sprzedaż]])</f>
        <v>7517</v>
      </c>
      <c r="H590" s="1">
        <f>IF(jablka5[[#This Row],[dot sprz]]&lt;15000,0,IF(jablka5[[#This Row],[dot sprz]]&lt;20000,5,10))</f>
        <v>0</v>
      </c>
      <c r="I590" s="1">
        <f>jablka5[[#This Row],[rabat]]*jablka5[[#This Row],[sprzedaż]]/100</f>
        <v>0</v>
      </c>
    </row>
    <row r="591" spans="1:9" x14ac:dyDescent="0.25">
      <c r="A591" s="2">
        <v>44769</v>
      </c>
      <c r="B591" s="1" t="s">
        <v>13</v>
      </c>
      <c r="C591" s="1" t="s">
        <v>68</v>
      </c>
      <c r="D591" s="1" t="s">
        <v>25</v>
      </c>
      <c r="E591">
        <v>215</v>
      </c>
      <c r="F591" s="1">
        <f>VLOOKUP(jablka5[[#This Row],[Nazwa]],cennik[],2,0) * jablka5[[#This Row],[sprzedaż]]</f>
        <v>688</v>
      </c>
      <c r="G591" s="1">
        <f>IF(jablka5[[#This Row],[NIP]]=D590,jablka5[[#This Row],[sprzedaż]]+G590,jablka5[[#This Row],[sprzedaż]])</f>
        <v>7732</v>
      </c>
      <c r="H591" s="1">
        <f>IF(jablka5[[#This Row],[dot sprz]]&lt;15000,0,IF(jablka5[[#This Row],[dot sprz]]&lt;20000,5,10))</f>
        <v>0</v>
      </c>
      <c r="I591" s="1">
        <f>jablka5[[#This Row],[rabat]]*jablka5[[#This Row],[sprzedaż]]/100</f>
        <v>0</v>
      </c>
    </row>
    <row r="592" spans="1:9" x14ac:dyDescent="0.25">
      <c r="A592" s="2">
        <v>44772</v>
      </c>
      <c r="B592" s="1" t="s">
        <v>13</v>
      </c>
      <c r="C592" s="1" t="s">
        <v>68</v>
      </c>
      <c r="D592" s="1" t="s">
        <v>25</v>
      </c>
      <c r="E592">
        <v>157</v>
      </c>
      <c r="F592" s="1">
        <f>VLOOKUP(jablka5[[#This Row],[Nazwa]],cennik[],2,0) * jablka5[[#This Row],[sprzedaż]]</f>
        <v>502.40000000000003</v>
      </c>
      <c r="G592" s="1">
        <f>IF(jablka5[[#This Row],[NIP]]=D591,jablka5[[#This Row],[sprzedaż]]+G591,jablka5[[#This Row],[sprzedaż]])</f>
        <v>7889</v>
      </c>
      <c r="H592" s="1">
        <f>IF(jablka5[[#This Row],[dot sprz]]&lt;15000,0,IF(jablka5[[#This Row],[dot sprz]]&lt;20000,5,10))</f>
        <v>0</v>
      </c>
      <c r="I592" s="1">
        <f>jablka5[[#This Row],[rabat]]*jablka5[[#This Row],[sprzedaż]]/100</f>
        <v>0</v>
      </c>
    </row>
    <row r="593" spans="1:9" x14ac:dyDescent="0.25">
      <c r="A593" s="2">
        <v>44779</v>
      </c>
      <c r="B593" s="1" t="s">
        <v>14</v>
      </c>
      <c r="C593" s="1" t="s">
        <v>67</v>
      </c>
      <c r="D593" s="1" t="s">
        <v>25</v>
      </c>
      <c r="E593">
        <v>169</v>
      </c>
      <c r="F593" s="1">
        <f>VLOOKUP(jablka5[[#This Row],[Nazwa]],cennik[],2,0) * jablka5[[#This Row],[sprzedaż]]</f>
        <v>591.5</v>
      </c>
      <c r="G593" s="1">
        <f>IF(jablka5[[#This Row],[NIP]]=D592,jablka5[[#This Row],[sprzedaż]]+G592,jablka5[[#This Row],[sprzedaż]])</f>
        <v>8058</v>
      </c>
      <c r="H593" s="1">
        <f>IF(jablka5[[#This Row],[dot sprz]]&lt;15000,0,IF(jablka5[[#This Row],[dot sprz]]&lt;20000,5,10))</f>
        <v>0</v>
      </c>
      <c r="I593" s="1">
        <f>jablka5[[#This Row],[rabat]]*jablka5[[#This Row],[sprzedaż]]/100</f>
        <v>0</v>
      </c>
    </row>
    <row r="594" spans="1:9" x14ac:dyDescent="0.25">
      <c r="A594" s="2">
        <v>44782</v>
      </c>
      <c r="B594" s="1" t="s">
        <v>14</v>
      </c>
      <c r="C594" s="1" t="s">
        <v>67</v>
      </c>
      <c r="D594" s="1" t="s">
        <v>25</v>
      </c>
      <c r="E594">
        <v>357</v>
      </c>
      <c r="F594" s="1">
        <f>VLOOKUP(jablka5[[#This Row],[Nazwa]],cennik[],2,0) * jablka5[[#This Row],[sprzedaż]]</f>
        <v>1249.5</v>
      </c>
      <c r="G594" s="1">
        <f>IF(jablka5[[#This Row],[NIP]]=D593,jablka5[[#This Row],[sprzedaż]]+G593,jablka5[[#This Row],[sprzedaż]])</f>
        <v>8415</v>
      </c>
      <c r="H594" s="1">
        <f>IF(jablka5[[#This Row],[dot sprz]]&lt;15000,0,IF(jablka5[[#This Row],[dot sprz]]&lt;20000,5,10))</f>
        <v>0</v>
      </c>
      <c r="I594" s="1">
        <f>jablka5[[#This Row],[rabat]]*jablka5[[#This Row],[sprzedaż]]/100</f>
        <v>0</v>
      </c>
    </row>
    <row r="595" spans="1:9" x14ac:dyDescent="0.25">
      <c r="A595" s="2">
        <v>44793</v>
      </c>
      <c r="B595" s="1" t="s">
        <v>12</v>
      </c>
      <c r="C595" s="1" t="s">
        <v>68</v>
      </c>
      <c r="D595" s="1" t="s">
        <v>25</v>
      </c>
      <c r="E595">
        <v>426</v>
      </c>
      <c r="F595" s="1">
        <f>VLOOKUP(jablka5[[#This Row],[Nazwa]],cennik[],2,0) * jablka5[[#This Row],[sprzedaż]]</f>
        <v>1150.2</v>
      </c>
      <c r="G595" s="1">
        <f>IF(jablka5[[#This Row],[NIP]]=D594,jablka5[[#This Row],[sprzedaż]]+G594,jablka5[[#This Row],[sprzedaż]])</f>
        <v>8841</v>
      </c>
      <c r="H595" s="1">
        <f>IF(jablka5[[#This Row],[dot sprz]]&lt;15000,0,IF(jablka5[[#This Row],[dot sprz]]&lt;20000,5,10))</f>
        <v>0</v>
      </c>
      <c r="I595" s="1">
        <f>jablka5[[#This Row],[rabat]]*jablka5[[#This Row],[sprzedaż]]/100</f>
        <v>0</v>
      </c>
    </row>
    <row r="596" spans="1:9" x14ac:dyDescent="0.25">
      <c r="A596" s="2">
        <v>44821</v>
      </c>
      <c r="B596" s="1" t="s">
        <v>9</v>
      </c>
      <c r="C596" s="1" t="s">
        <v>67</v>
      </c>
      <c r="D596" s="1" t="s">
        <v>25</v>
      </c>
      <c r="E596">
        <v>173</v>
      </c>
      <c r="F596" s="1">
        <f>VLOOKUP(jablka5[[#This Row],[Nazwa]],cennik[],2,0) * jablka5[[#This Row],[sprzedaż]]</f>
        <v>432.5</v>
      </c>
      <c r="G596" s="1">
        <f>IF(jablka5[[#This Row],[NIP]]=D595,jablka5[[#This Row],[sprzedaż]]+G595,jablka5[[#This Row],[sprzedaż]])</f>
        <v>9014</v>
      </c>
      <c r="H596" s="1">
        <f>IF(jablka5[[#This Row],[dot sprz]]&lt;15000,0,IF(jablka5[[#This Row],[dot sprz]]&lt;20000,5,10))</f>
        <v>0</v>
      </c>
      <c r="I596" s="1">
        <f>jablka5[[#This Row],[rabat]]*jablka5[[#This Row],[sprzedaż]]/100</f>
        <v>0</v>
      </c>
    </row>
    <row r="597" spans="1:9" x14ac:dyDescent="0.25">
      <c r="A597" s="2">
        <v>44852</v>
      </c>
      <c r="B597" s="1" t="s">
        <v>9</v>
      </c>
      <c r="C597" s="1" t="s">
        <v>67</v>
      </c>
      <c r="D597" s="1" t="s">
        <v>25</v>
      </c>
      <c r="E597">
        <v>274</v>
      </c>
      <c r="F597" s="1">
        <f>VLOOKUP(jablka5[[#This Row],[Nazwa]],cennik[],2,0) * jablka5[[#This Row],[sprzedaż]]</f>
        <v>685</v>
      </c>
      <c r="G597" s="1">
        <f>IF(jablka5[[#This Row],[NIP]]=D596,jablka5[[#This Row],[sprzedaż]]+G596,jablka5[[#This Row],[sprzedaż]])</f>
        <v>9288</v>
      </c>
      <c r="H597" s="1">
        <f>IF(jablka5[[#This Row],[dot sprz]]&lt;15000,0,IF(jablka5[[#This Row],[dot sprz]]&lt;20000,5,10))</f>
        <v>0</v>
      </c>
      <c r="I597" s="1">
        <f>jablka5[[#This Row],[rabat]]*jablka5[[#This Row],[sprzedaż]]/100</f>
        <v>0</v>
      </c>
    </row>
    <row r="598" spans="1:9" x14ac:dyDescent="0.25">
      <c r="A598" s="2">
        <v>44861</v>
      </c>
      <c r="B598" s="1" t="s">
        <v>9</v>
      </c>
      <c r="C598" s="1" t="s">
        <v>67</v>
      </c>
      <c r="D598" s="1" t="s">
        <v>25</v>
      </c>
      <c r="E598">
        <v>283</v>
      </c>
      <c r="F598" s="1">
        <f>VLOOKUP(jablka5[[#This Row],[Nazwa]],cennik[],2,0) * jablka5[[#This Row],[sprzedaż]]</f>
        <v>707.5</v>
      </c>
      <c r="G598" s="1">
        <f>IF(jablka5[[#This Row],[NIP]]=D597,jablka5[[#This Row],[sprzedaż]]+G597,jablka5[[#This Row],[sprzedaż]])</f>
        <v>9571</v>
      </c>
      <c r="H598" s="1">
        <f>IF(jablka5[[#This Row],[dot sprz]]&lt;15000,0,IF(jablka5[[#This Row],[dot sprz]]&lt;20000,5,10))</f>
        <v>0</v>
      </c>
      <c r="I598" s="1">
        <f>jablka5[[#This Row],[rabat]]*jablka5[[#This Row],[sprzedaż]]/100</f>
        <v>0</v>
      </c>
    </row>
    <row r="599" spans="1:9" x14ac:dyDescent="0.25">
      <c r="A599" s="2">
        <v>44865</v>
      </c>
      <c r="B599" s="1" t="s">
        <v>11</v>
      </c>
      <c r="C599" s="1" t="s">
        <v>67</v>
      </c>
      <c r="D599" s="1" t="s">
        <v>25</v>
      </c>
      <c r="E599">
        <v>259</v>
      </c>
      <c r="F599" s="1">
        <f>VLOOKUP(jablka5[[#This Row],[Nazwa]],cennik[],2,0) * jablka5[[#This Row],[sprzedaż]]</f>
        <v>647.5</v>
      </c>
      <c r="G599" s="1">
        <f>IF(jablka5[[#This Row],[NIP]]=D598,jablka5[[#This Row],[sprzedaż]]+G598,jablka5[[#This Row],[sprzedaż]])</f>
        <v>9830</v>
      </c>
      <c r="H599" s="1">
        <f>IF(jablka5[[#This Row],[dot sprz]]&lt;15000,0,IF(jablka5[[#This Row],[dot sprz]]&lt;20000,5,10))</f>
        <v>0</v>
      </c>
      <c r="I599" s="1">
        <f>jablka5[[#This Row],[rabat]]*jablka5[[#This Row],[sprzedaż]]/100</f>
        <v>0</v>
      </c>
    </row>
    <row r="600" spans="1:9" x14ac:dyDescent="0.25">
      <c r="A600" s="2">
        <v>44876</v>
      </c>
      <c r="B600" s="1" t="s">
        <v>11</v>
      </c>
      <c r="C600" s="1" t="s">
        <v>67</v>
      </c>
      <c r="D600" s="1" t="s">
        <v>25</v>
      </c>
      <c r="E600">
        <v>242</v>
      </c>
      <c r="F600" s="1">
        <f>VLOOKUP(jablka5[[#This Row],[Nazwa]],cennik[],2,0) * jablka5[[#This Row],[sprzedaż]]</f>
        <v>605</v>
      </c>
      <c r="G600" s="1">
        <f>IF(jablka5[[#This Row],[NIP]]=D599,jablka5[[#This Row],[sprzedaż]]+G599,jablka5[[#This Row],[sprzedaż]])</f>
        <v>10072</v>
      </c>
      <c r="H600" s="1">
        <f>IF(jablka5[[#This Row],[dot sprz]]&lt;15000,0,IF(jablka5[[#This Row],[dot sprz]]&lt;20000,5,10))</f>
        <v>0</v>
      </c>
      <c r="I600" s="1">
        <f>jablka5[[#This Row],[rabat]]*jablka5[[#This Row],[sprzedaż]]/100</f>
        <v>0</v>
      </c>
    </row>
    <row r="601" spans="1:9" x14ac:dyDescent="0.25">
      <c r="A601" s="2">
        <v>44880</v>
      </c>
      <c r="B601" s="1" t="s">
        <v>1</v>
      </c>
      <c r="C601" s="1" t="s">
        <v>67</v>
      </c>
      <c r="D601" s="1" t="s">
        <v>25</v>
      </c>
      <c r="E601">
        <v>462</v>
      </c>
      <c r="F601" s="1">
        <f>VLOOKUP(jablka5[[#This Row],[Nazwa]],cennik[],2,0) * jablka5[[#This Row],[sprzedaż]]</f>
        <v>1478.4</v>
      </c>
      <c r="G601" s="1">
        <f>IF(jablka5[[#This Row],[NIP]]=D600,jablka5[[#This Row],[sprzedaż]]+G600,jablka5[[#This Row],[sprzedaż]])</f>
        <v>10534</v>
      </c>
      <c r="H601" s="1">
        <f>IF(jablka5[[#This Row],[dot sprz]]&lt;15000,0,IF(jablka5[[#This Row],[dot sprz]]&lt;20000,5,10))</f>
        <v>0</v>
      </c>
      <c r="I601" s="1">
        <f>jablka5[[#This Row],[rabat]]*jablka5[[#This Row],[sprzedaż]]/100</f>
        <v>0</v>
      </c>
    </row>
    <row r="602" spans="1:9" x14ac:dyDescent="0.25">
      <c r="A602" s="2">
        <v>44886</v>
      </c>
      <c r="B602" s="1" t="s">
        <v>14</v>
      </c>
      <c r="C602" s="1" t="s">
        <v>67</v>
      </c>
      <c r="D602" s="1" t="s">
        <v>25</v>
      </c>
      <c r="E602">
        <v>116</v>
      </c>
      <c r="F602" s="1">
        <f>VLOOKUP(jablka5[[#This Row],[Nazwa]],cennik[],2,0) * jablka5[[#This Row],[sprzedaż]]</f>
        <v>406</v>
      </c>
      <c r="G602" s="1">
        <f>IF(jablka5[[#This Row],[NIP]]=D601,jablka5[[#This Row],[sprzedaż]]+G601,jablka5[[#This Row],[sprzedaż]])</f>
        <v>10650</v>
      </c>
      <c r="H602" s="1">
        <f>IF(jablka5[[#This Row],[dot sprz]]&lt;15000,0,IF(jablka5[[#This Row],[dot sprz]]&lt;20000,5,10))</f>
        <v>0</v>
      </c>
      <c r="I602" s="1">
        <f>jablka5[[#This Row],[rabat]]*jablka5[[#This Row],[sprzedaż]]/100</f>
        <v>0</v>
      </c>
    </row>
    <row r="603" spans="1:9" x14ac:dyDescent="0.25">
      <c r="A603" s="2">
        <v>44887</v>
      </c>
      <c r="B603" s="1" t="s">
        <v>9</v>
      </c>
      <c r="C603" s="1" t="s">
        <v>67</v>
      </c>
      <c r="D603" s="1" t="s">
        <v>25</v>
      </c>
      <c r="E603">
        <v>453</v>
      </c>
      <c r="F603" s="1">
        <f>VLOOKUP(jablka5[[#This Row],[Nazwa]],cennik[],2,0) * jablka5[[#This Row],[sprzedaż]]</f>
        <v>1132.5</v>
      </c>
      <c r="G603" s="1">
        <f>IF(jablka5[[#This Row],[NIP]]=D602,jablka5[[#This Row],[sprzedaż]]+G602,jablka5[[#This Row],[sprzedaż]])</f>
        <v>11103</v>
      </c>
      <c r="H603" s="1">
        <f>IF(jablka5[[#This Row],[dot sprz]]&lt;15000,0,IF(jablka5[[#This Row],[dot sprz]]&lt;20000,5,10))</f>
        <v>0</v>
      </c>
      <c r="I603" s="1">
        <f>jablka5[[#This Row],[rabat]]*jablka5[[#This Row],[sprzedaż]]/100</f>
        <v>0</v>
      </c>
    </row>
    <row r="604" spans="1:9" x14ac:dyDescent="0.25">
      <c r="A604" s="2">
        <v>44893</v>
      </c>
      <c r="B604" s="1" t="s">
        <v>9</v>
      </c>
      <c r="C604" s="1" t="s">
        <v>67</v>
      </c>
      <c r="D604" s="1" t="s">
        <v>25</v>
      </c>
      <c r="E604">
        <v>389</v>
      </c>
      <c r="F604" s="1">
        <f>VLOOKUP(jablka5[[#This Row],[Nazwa]],cennik[],2,0) * jablka5[[#This Row],[sprzedaż]]</f>
        <v>972.5</v>
      </c>
      <c r="G604" s="1">
        <f>IF(jablka5[[#This Row],[NIP]]=D603,jablka5[[#This Row],[sprzedaż]]+G603,jablka5[[#This Row],[sprzedaż]])</f>
        <v>11492</v>
      </c>
      <c r="H604" s="1">
        <f>IF(jablka5[[#This Row],[dot sprz]]&lt;15000,0,IF(jablka5[[#This Row],[dot sprz]]&lt;20000,5,10))</f>
        <v>0</v>
      </c>
      <c r="I604" s="1">
        <f>jablka5[[#This Row],[rabat]]*jablka5[[#This Row],[sprzedaż]]/100</f>
        <v>0</v>
      </c>
    </row>
    <row r="605" spans="1:9" x14ac:dyDescent="0.25">
      <c r="A605" s="2">
        <v>44908</v>
      </c>
      <c r="B605" s="1" t="s">
        <v>10</v>
      </c>
      <c r="C605" s="1" t="s">
        <v>16</v>
      </c>
      <c r="D605" s="1" t="s">
        <v>25</v>
      </c>
      <c r="E605">
        <v>256</v>
      </c>
      <c r="F605" s="1">
        <f>VLOOKUP(jablka5[[#This Row],[Nazwa]],cennik[],2,0) * jablka5[[#This Row],[sprzedaż]]</f>
        <v>870.4</v>
      </c>
      <c r="G605" s="1">
        <f>IF(jablka5[[#This Row],[NIP]]=D604,jablka5[[#This Row],[sprzedaż]]+G604,jablka5[[#This Row],[sprzedaż]])</f>
        <v>11748</v>
      </c>
      <c r="H605" s="1">
        <f>IF(jablka5[[#This Row],[dot sprz]]&lt;15000,0,IF(jablka5[[#This Row],[dot sprz]]&lt;20000,5,10))</f>
        <v>0</v>
      </c>
      <c r="I605" s="1">
        <f>jablka5[[#This Row],[rabat]]*jablka5[[#This Row],[sprzedaż]]/100</f>
        <v>0</v>
      </c>
    </row>
    <row r="606" spans="1:9" x14ac:dyDescent="0.25">
      <c r="A606" s="2">
        <v>44918</v>
      </c>
      <c r="B606" s="1" t="s">
        <v>4</v>
      </c>
      <c r="C606" s="1" t="s">
        <v>16</v>
      </c>
      <c r="D606" s="1" t="s">
        <v>25</v>
      </c>
      <c r="E606">
        <v>665</v>
      </c>
      <c r="F606" s="1">
        <f>VLOOKUP(jablka5[[#This Row],[Nazwa]],cennik[],2,0) * jablka5[[#This Row],[sprzedaż]]</f>
        <v>2261</v>
      </c>
      <c r="G606" s="1">
        <f>IF(jablka5[[#This Row],[NIP]]=D605,jablka5[[#This Row],[sprzedaż]]+G605,jablka5[[#This Row],[sprzedaż]])</f>
        <v>12413</v>
      </c>
      <c r="H606" s="1">
        <f>IF(jablka5[[#This Row],[dot sprz]]&lt;15000,0,IF(jablka5[[#This Row],[dot sprz]]&lt;20000,5,10))</f>
        <v>0</v>
      </c>
      <c r="I606" s="1">
        <f>jablka5[[#This Row],[rabat]]*jablka5[[#This Row],[sprzedaż]]/100</f>
        <v>0</v>
      </c>
    </row>
    <row r="607" spans="1:9" x14ac:dyDescent="0.25">
      <c r="A607" s="2">
        <v>44926</v>
      </c>
      <c r="B607" s="1" t="s">
        <v>0</v>
      </c>
      <c r="C607" s="1" t="s">
        <v>16</v>
      </c>
      <c r="D607" s="1" t="s">
        <v>25</v>
      </c>
      <c r="E607">
        <v>118</v>
      </c>
      <c r="F607" s="1">
        <f>VLOOKUP(jablka5[[#This Row],[Nazwa]],cennik[],2,0) * jablka5[[#This Row],[sprzedaż]]</f>
        <v>342.2</v>
      </c>
      <c r="G607" s="1">
        <f>IF(jablka5[[#This Row],[NIP]]=D606,jablka5[[#This Row],[sprzedaż]]+G606,jablka5[[#This Row],[sprzedaż]])</f>
        <v>12531</v>
      </c>
      <c r="H607" s="1">
        <f>IF(jablka5[[#This Row],[dot sprz]]&lt;15000,0,IF(jablka5[[#This Row],[dot sprz]]&lt;20000,5,10))</f>
        <v>0</v>
      </c>
      <c r="I607" s="1">
        <f>jablka5[[#This Row],[rabat]]*jablka5[[#This Row],[sprzedaż]]/100</f>
        <v>0</v>
      </c>
    </row>
    <row r="608" spans="1:9" x14ac:dyDescent="0.25">
      <c r="A608" s="2">
        <v>44564</v>
      </c>
      <c r="B608" s="1" t="s">
        <v>8</v>
      </c>
      <c r="C608" s="1" t="s">
        <v>16</v>
      </c>
      <c r="D608" s="1" t="s">
        <v>20</v>
      </c>
      <c r="E608">
        <v>533</v>
      </c>
      <c r="F608" s="1">
        <f>VLOOKUP(jablka5[[#This Row],[Nazwa]],cennik[],2,0) * jablka5[[#This Row],[sprzedaż]]</f>
        <v>1865.5</v>
      </c>
      <c r="G608" s="1">
        <f>IF(jablka5[[#This Row],[NIP]]=D607,jablka5[[#This Row],[sprzedaż]]+G607,jablka5[[#This Row],[sprzedaż]])</f>
        <v>533</v>
      </c>
      <c r="H608" s="1">
        <f>IF(jablka5[[#This Row],[dot sprz]]&lt;15000,0,IF(jablka5[[#This Row],[dot sprz]]&lt;20000,5,10))</f>
        <v>0</v>
      </c>
      <c r="I608" s="1">
        <f>jablka5[[#This Row],[rabat]]*jablka5[[#This Row],[sprzedaż]]/100</f>
        <v>0</v>
      </c>
    </row>
    <row r="609" spans="1:9" x14ac:dyDescent="0.25">
      <c r="A609" s="2">
        <v>44573</v>
      </c>
      <c r="B609" s="1" t="s">
        <v>0</v>
      </c>
      <c r="C609" s="1" t="s">
        <v>16</v>
      </c>
      <c r="D609" s="1" t="s">
        <v>20</v>
      </c>
      <c r="E609">
        <v>89</v>
      </c>
      <c r="F609" s="1">
        <f>VLOOKUP(jablka5[[#This Row],[Nazwa]],cennik[],2,0) * jablka5[[#This Row],[sprzedaż]]</f>
        <v>258.09999999999997</v>
      </c>
      <c r="G609" s="1">
        <f>IF(jablka5[[#This Row],[NIP]]=D608,jablka5[[#This Row],[sprzedaż]]+G608,jablka5[[#This Row],[sprzedaż]])</f>
        <v>622</v>
      </c>
      <c r="H609" s="1">
        <f>IF(jablka5[[#This Row],[dot sprz]]&lt;15000,0,IF(jablka5[[#This Row],[dot sprz]]&lt;20000,5,10))</f>
        <v>0</v>
      </c>
      <c r="I609" s="1">
        <f>jablka5[[#This Row],[rabat]]*jablka5[[#This Row],[sprzedaż]]/100</f>
        <v>0</v>
      </c>
    </row>
    <row r="610" spans="1:9" x14ac:dyDescent="0.25">
      <c r="A610" s="2">
        <v>44574</v>
      </c>
      <c r="B610" s="1" t="s">
        <v>7</v>
      </c>
      <c r="C610" s="1" t="s">
        <v>16</v>
      </c>
      <c r="D610" s="1" t="s">
        <v>20</v>
      </c>
      <c r="E610">
        <v>269</v>
      </c>
      <c r="F610" s="1">
        <f>VLOOKUP(jablka5[[#This Row],[Nazwa]],cennik[],2,0) * jablka5[[#This Row],[sprzedaż]]</f>
        <v>914.6</v>
      </c>
      <c r="G610" s="1">
        <f>IF(jablka5[[#This Row],[NIP]]=D609,jablka5[[#This Row],[sprzedaż]]+G609,jablka5[[#This Row],[sprzedaż]])</f>
        <v>891</v>
      </c>
      <c r="H610" s="1">
        <f>IF(jablka5[[#This Row],[dot sprz]]&lt;15000,0,IF(jablka5[[#This Row],[dot sprz]]&lt;20000,5,10))</f>
        <v>0</v>
      </c>
      <c r="I610" s="1">
        <f>jablka5[[#This Row],[rabat]]*jablka5[[#This Row],[sprzedaż]]/100</f>
        <v>0</v>
      </c>
    </row>
    <row r="611" spans="1:9" x14ac:dyDescent="0.25">
      <c r="A611" s="2">
        <v>44607</v>
      </c>
      <c r="B611" s="1" t="s">
        <v>5</v>
      </c>
      <c r="C611" s="1" t="s">
        <v>16</v>
      </c>
      <c r="D611" s="1" t="s">
        <v>20</v>
      </c>
      <c r="E611">
        <v>475</v>
      </c>
      <c r="F611" s="1">
        <f>VLOOKUP(jablka5[[#This Row],[Nazwa]],cennik[],2,0) * jablka5[[#This Row],[sprzedaż]]</f>
        <v>1615</v>
      </c>
      <c r="G611" s="1">
        <f>IF(jablka5[[#This Row],[NIP]]=D610,jablka5[[#This Row],[sprzedaż]]+G610,jablka5[[#This Row],[sprzedaż]])</f>
        <v>1366</v>
      </c>
      <c r="H611" s="1">
        <f>IF(jablka5[[#This Row],[dot sprz]]&lt;15000,0,IF(jablka5[[#This Row],[dot sprz]]&lt;20000,5,10))</f>
        <v>0</v>
      </c>
      <c r="I611" s="1">
        <f>jablka5[[#This Row],[rabat]]*jablka5[[#This Row],[sprzedaż]]/100</f>
        <v>0</v>
      </c>
    </row>
    <row r="612" spans="1:9" x14ac:dyDescent="0.25">
      <c r="A612" s="2">
        <v>44613</v>
      </c>
      <c r="B612" s="1" t="s">
        <v>15</v>
      </c>
      <c r="C612" s="1" t="s">
        <v>16</v>
      </c>
      <c r="D612" s="1" t="s">
        <v>20</v>
      </c>
      <c r="E612">
        <v>316</v>
      </c>
      <c r="F612" s="1">
        <f>VLOOKUP(jablka5[[#This Row],[Nazwa]],cennik[],2,0) * jablka5[[#This Row],[sprzedaż]]</f>
        <v>758.4</v>
      </c>
      <c r="G612" s="1">
        <f>IF(jablka5[[#This Row],[NIP]]=D611,jablka5[[#This Row],[sprzedaż]]+G611,jablka5[[#This Row],[sprzedaż]])</f>
        <v>1682</v>
      </c>
      <c r="H612" s="1">
        <f>IF(jablka5[[#This Row],[dot sprz]]&lt;15000,0,IF(jablka5[[#This Row],[dot sprz]]&lt;20000,5,10))</f>
        <v>0</v>
      </c>
      <c r="I612" s="1">
        <f>jablka5[[#This Row],[rabat]]*jablka5[[#This Row],[sprzedaż]]/100</f>
        <v>0</v>
      </c>
    </row>
    <row r="613" spans="1:9" x14ac:dyDescent="0.25">
      <c r="A613" s="2">
        <v>44613</v>
      </c>
      <c r="B613" s="1" t="s">
        <v>15</v>
      </c>
      <c r="C613" s="1" t="s">
        <v>16</v>
      </c>
      <c r="D613" s="1" t="s">
        <v>20</v>
      </c>
      <c r="E613">
        <v>377</v>
      </c>
      <c r="F613" s="1">
        <f>VLOOKUP(jablka5[[#This Row],[Nazwa]],cennik[],2,0) * jablka5[[#This Row],[sprzedaż]]</f>
        <v>904.8</v>
      </c>
      <c r="G613" s="1">
        <f>IF(jablka5[[#This Row],[NIP]]=D612,jablka5[[#This Row],[sprzedaż]]+G612,jablka5[[#This Row],[sprzedaż]])</f>
        <v>2059</v>
      </c>
      <c r="H613" s="1">
        <f>IF(jablka5[[#This Row],[dot sprz]]&lt;15000,0,IF(jablka5[[#This Row],[dot sprz]]&lt;20000,5,10))</f>
        <v>0</v>
      </c>
      <c r="I613" s="1">
        <f>jablka5[[#This Row],[rabat]]*jablka5[[#This Row],[sprzedaż]]/100</f>
        <v>0</v>
      </c>
    </row>
    <row r="614" spans="1:9" x14ac:dyDescent="0.25">
      <c r="A614" s="2">
        <v>44616</v>
      </c>
      <c r="B614" s="1" t="s">
        <v>15</v>
      </c>
      <c r="C614" s="1" t="s">
        <v>16</v>
      </c>
      <c r="D614" s="1" t="s">
        <v>20</v>
      </c>
      <c r="E614">
        <v>328</v>
      </c>
      <c r="F614" s="1">
        <f>VLOOKUP(jablka5[[#This Row],[Nazwa]],cennik[],2,0) * jablka5[[#This Row],[sprzedaż]]</f>
        <v>787.19999999999993</v>
      </c>
      <c r="G614" s="1">
        <f>IF(jablka5[[#This Row],[NIP]]=D613,jablka5[[#This Row],[sprzedaż]]+G613,jablka5[[#This Row],[sprzedaż]])</f>
        <v>2387</v>
      </c>
      <c r="H614" s="1">
        <f>IF(jablka5[[#This Row],[dot sprz]]&lt;15000,0,IF(jablka5[[#This Row],[dot sprz]]&lt;20000,5,10))</f>
        <v>0</v>
      </c>
      <c r="I614" s="1">
        <f>jablka5[[#This Row],[rabat]]*jablka5[[#This Row],[sprzedaż]]/100</f>
        <v>0</v>
      </c>
    </row>
    <row r="615" spans="1:9" x14ac:dyDescent="0.25">
      <c r="A615" s="2">
        <v>44618</v>
      </c>
      <c r="B615" s="1" t="s">
        <v>4</v>
      </c>
      <c r="C615" s="1" t="s">
        <v>16</v>
      </c>
      <c r="D615" s="1" t="s">
        <v>20</v>
      </c>
      <c r="E615">
        <v>556</v>
      </c>
      <c r="F615" s="1">
        <f>VLOOKUP(jablka5[[#This Row],[Nazwa]],cennik[],2,0) * jablka5[[#This Row],[sprzedaż]]</f>
        <v>1890.3999999999999</v>
      </c>
      <c r="G615" s="1">
        <f>IF(jablka5[[#This Row],[NIP]]=D614,jablka5[[#This Row],[sprzedaż]]+G614,jablka5[[#This Row],[sprzedaż]])</f>
        <v>2943</v>
      </c>
      <c r="H615" s="1">
        <f>IF(jablka5[[#This Row],[dot sprz]]&lt;15000,0,IF(jablka5[[#This Row],[dot sprz]]&lt;20000,5,10))</f>
        <v>0</v>
      </c>
      <c r="I615" s="1">
        <f>jablka5[[#This Row],[rabat]]*jablka5[[#This Row],[sprzedaż]]/100</f>
        <v>0</v>
      </c>
    </row>
    <row r="616" spans="1:9" x14ac:dyDescent="0.25">
      <c r="A616" s="2">
        <v>44621</v>
      </c>
      <c r="B616" s="1" t="s">
        <v>7</v>
      </c>
      <c r="C616" s="1" t="s">
        <v>16</v>
      </c>
      <c r="D616" s="1" t="s">
        <v>20</v>
      </c>
      <c r="E616">
        <v>337</v>
      </c>
      <c r="F616" s="1">
        <f>VLOOKUP(jablka5[[#This Row],[Nazwa]],cennik[],2,0) * jablka5[[#This Row],[sprzedaż]]</f>
        <v>1145.8</v>
      </c>
      <c r="G616" s="1">
        <f>IF(jablka5[[#This Row],[NIP]]=D615,jablka5[[#This Row],[sprzedaż]]+G615,jablka5[[#This Row],[sprzedaż]])</f>
        <v>3280</v>
      </c>
      <c r="H616" s="1">
        <f>IF(jablka5[[#This Row],[dot sprz]]&lt;15000,0,IF(jablka5[[#This Row],[dot sprz]]&lt;20000,5,10))</f>
        <v>0</v>
      </c>
      <c r="I616" s="1">
        <f>jablka5[[#This Row],[rabat]]*jablka5[[#This Row],[sprzedaż]]/100</f>
        <v>0</v>
      </c>
    </row>
    <row r="617" spans="1:9" x14ac:dyDescent="0.25">
      <c r="A617" s="2">
        <v>44625</v>
      </c>
      <c r="B617" s="1" t="s">
        <v>8</v>
      </c>
      <c r="C617" s="1" t="s">
        <v>16</v>
      </c>
      <c r="D617" s="1" t="s">
        <v>20</v>
      </c>
      <c r="E617">
        <v>213</v>
      </c>
      <c r="F617" s="1">
        <f>VLOOKUP(jablka5[[#This Row],[Nazwa]],cennik[],2,0) * jablka5[[#This Row],[sprzedaż]]</f>
        <v>745.5</v>
      </c>
      <c r="G617" s="1">
        <f>IF(jablka5[[#This Row],[NIP]]=D616,jablka5[[#This Row],[sprzedaż]]+G616,jablka5[[#This Row],[sprzedaż]])</f>
        <v>3493</v>
      </c>
      <c r="H617" s="1">
        <f>IF(jablka5[[#This Row],[dot sprz]]&lt;15000,0,IF(jablka5[[#This Row],[dot sprz]]&lt;20000,5,10))</f>
        <v>0</v>
      </c>
      <c r="I617" s="1">
        <f>jablka5[[#This Row],[rabat]]*jablka5[[#This Row],[sprzedaż]]/100</f>
        <v>0</v>
      </c>
    </row>
    <row r="618" spans="1:9" x14ac:dyDescent="0.25">
      <c r="A618" s="2">
        <v>44630</v>
      </c>
      <c r="B618" s="1" t="s">
        <v>5</v>
      </c>
      <c r="C618" s="1" t="s">
        <v>16</v>
      </c>
      <c r="D618" s="1" t="s">
        <v>20</v>
      </c>
      <c r="E618">
        <v>34</v>
      </c>
      <c r="F618" s="1">
        <f>VLOOKUP(jablka5[[#This Row],[Nazwa]],cennik[],2,0) * jablka5[[#This Row],[sprzedaż]]</f>
        <v>115.6</v>
      </c>
      <c r="G618" s="1">
        <f>IF(jablka5[[#This Row],[NIP]]=D617,jablka5[[#This Row],[sprzedaż]]+G617,jablka5[[#This Row],[sprzedaż]])</f>
        <v>3527</v>
      </c>
      <c r="H618" s="1">
        <f>IF(jablka5[[#This Row],[dot sprz]]&lt;15000,0,IF(jablka5[[#This Row],[dot sprz]]&lt;20000,5,10))</f>
        <v>0</v>
      </c>
      <c r="I618" s="1">
        <f>jablka5[[#This Row],[rabat]]*jablka5[[#This Row],[sprzedaż]]/100</f>
        <v>0</v>
      </c>
    </row>
    <row r="619" spans="1:9" x14ac:dyDescent="0.25">
      <c r="A619" s="2">
        <v>44642</v>
      </c>
      <c r="B619" s="1" t="s">
        <v>0</v>
      </c>
      <c r="C619" s="1" t="s">
        <v>16</v>
      </c>
      <c r="D619" s="1" t="s">
        <v>20</v>
      </c>
      <c r="E619">
        <v>108</v>
      </c>
      <c r="F619" s="1">
        <f>VLOOKUP(jablka5[[#This Row],[Nazwa]],cennik[],2,0) * jablka5[[#This Row],[sprzedaż]]</f>
        <v>313.2</v>
      </c>
      <c r="G619" s="1">
        <f>IF(jablka5[[#This Row],[NIP]]=D618,jablka5[[#This Row],[sprzedaż]]+G618,jablka5[[#This Row],[sprzedaż]])</f>
        <v>3635</v>
      </c>
      <c r="H619" s="1">
        <f>IF(jablka5[[#This Row],[dot sprz]]&lt;15000,0,IF(jablka5[[#This Row],[dot sprz]]&lt;20000,5,10))</f>
        <v>0</v>
      </c>
      <c r="I619" s="1">
        <f>jablka5[[#This Row],[rabat]]*jablka5[[#This Row],[sprzedaż]]/100</f>
        <v>0</v>
      </c>
    </row>
    <row r="620" spans="1:9" x14ac:dyDescent="0.25">
      <c r="A620" s="2">
        <v>44645</v>
      </c>
      <c r="B620" s="1" t="s">
        <v>2</v>
      </c>
      <c r="C620" s="1" t="s">
        <v>16</v>
      </c>
      <c r="D620" s="1" t="s">
        <v>20</v>
      </c>
      <c r="E620">
        <v>117</v>
      </c>
      <c r="F620" s="1">
        <f>VLOOKUP(jablka5[[#This Row],[Nazwa]],cennik[],2,0) * jablka5[[#This Row],[sprzedaż]]</f>
        <v>374.40000000000003</v>
      </c>
      <c r="G620" s="1">
        <f>IF(jablka5[[#This Row],[NIP]]=D619,jablka5[[#This Row],[sprzedaż]]+G619,jablka5[[#This Row],[sprzedaż]])</f>
        <v>3752</v>
      </c>
      <c r="H620" s="1">
        <f>IF(jablka5[[#This Row],[dot sprz]]&lt;15000,0,IF(jablka5[[#This Row],[dot sprz]]&lt;20000,5,10))</f>
        <v>0</v>
      </c>
      <c r="I620" s="1">
        <f>jablka5[[#This Row],[rabat]]*jablka5[[#This Row],[sprzedaż]]/100</f>
        <v>0</v>
      </c>
    </row>
    <row r="621" spans="1:9" x14ac:dyDescent="0.25">
      <c r="A621" s="2">
        <v>44646</v>
      </c>
      <c r="B621" s="1" t="s">
        <v>2</v>
      </c>
      <c r="C621" s="1" t="s">
        <v>16</v>
      </c>
      <c r="D621" s="1" t="s">
        <v>20</v>
      </c>
      <c r="E621">
        <v>256</v>
      </c>
      <c r="F621" s="1">
        <f>VLOOKUP(jablka5[[#This Row],[Nazwa]],cennik[],2,0) * jablka5[[#This Row],[sprzedaż]]</f>
        <v>819.2</v>
      </c>
      <c r="G621" s="1">
        <f>IF(jablka5[[#This Row],[NIP]]=D620,jablka5[[#This Row],[sprzedaż]]+G620,jablka5[[#This Row],[sprzedaż]])</f>
        <v>4008</v>
      </c>
      <c r="H621" s="1">
        <f>IF(jablka5[[#This Row],[dot sprz]]&lt;15000,0,IF(jablka5[[#This Row],[dot sprz]]&lt;20000,5,10))</f>
        <v>0</v>
      </c>
      <c r="I621" s="1">
        <f>jablka5[[#This Row],[rabat]]*jablka5[[#This Row],[sprzedaż]]/100</f>
        <v>0</v>
      </c>
    </row>
    <row r="622" spans="1:9" x14ac:dyDescent="0.25">
      <c r="A622" s="2">
        <v>44655</v>
      </c>
      <c r="B622" s="1" t="s">
        <v>4</v>
      </c>
      <c r="C622" s="1" t="s">
        <v>16</v>
      </c>
      <c r="D622" s="1" t="s">
        <v>20</v>
      </c>
      <c r="E622">
        <v>417</v>
      </c>
      <c r="F622" s="1">
        <f>VLOOKUP(jablka5[[#This Row],[Nazwa]],cennik[],2,0) * jablka5[[#This Row],[sprzedaż]]</f>
        <v>1417.8</v>
      </c>
      <c r="G622" s="1">
        <f>IF(jablka5[[#This Row],[NIP]]=D621,jablka5[[#This Row],[sprzedaż]]+G621,jablka5[[#This Row],[sprzedaż]])</f>
        <v>4425</v>
      </c>
      <c r="H622" s="1">
        <f>IF(jablka5[[#This Row],[dot sprz]]&lt;15000,0,IF(jablka5[[#This Row],[dot sprz]]&lt;20000,5,10))</f>
        <v>0</v>
      </c>
      <c r="I622" s="1">
        <f>jablka5[[#This Row],[rabat]]*jablka5[[#This Row],[sprzedaż]]/100</f>
        <v>0</v>
      </c>
    </row>
    <row r="623" spans="1:9" x14ac:dyDescent="0.25">
      <c r="A623" s="2">
        <v>44655</v>
      </c>
      <c r="B623" s="1" t="s">
        <v>0</v>
      </c>
      <c r="C623" s="1" t="s">
        <v>16</v>
      </c>
      <c r="D623" s="1" t="s">
        <v>20</v>
      </c>
      <c r="E623">
        <v>191</v>
      </c>
      <c r="F623" s="1">
        <f>VLOOKUP(jablka5[[#This Row],[Nazwa]],cennik[],2,0) * jablka5[[#This Row],[sprzedaż]]</f>
        <v>553.9</v>
      </c>
      <c r="G623" s="1">
        <f>IF(jablka5[[#This Row],[NIP]]=D622,jablka5[[#This Row],[sprzedaż]]+G622,jablka5[[#This Row],[sprzedaż]])</f>
        <v>4616</v>
      </c>
      <c r="H623" s="1">
        <f>IF(jablka5[[#This Row],[dot sprz]]&lt;15000,0,IF(jablka5[[#This Row],[dot sprz]]&lt;20000,5,10))</f>
        <v>0</v>
      </c>
      <c r="I623" s="1">
        <f>jablka5[[#This Row],[rabat]]*jablka5[[#This Row],[sprzedaż]]/100</f>
        <v>0</v>
      </c>
    </row>
    <row r="624" spans="1:9" x14ac:dyDescent="0.25">
      <c r="A624" s="2">
        <v>44660</v>
      </c>
      <c r="B624" s="1" t="s">
        <v>2</v>
      </c>
      <c r="C624" s="1" t="s">
        <v>16</v>
      </c>
      <c r="D624" s="1" t="s">
        <v>20</v>
      </c>
      <c r="E624">
        <v>213</v>
      </c>
      <c r="F624" s="1">
        <f>VLOOKUP(jablka5[[#This Row],[Nazwa]],cennik[],2,0) * jablka5[[#This Row],[sprzedaż]]</f>
        <v>681.6</v>
      </c>
      <c r="G624" s="1">
        <f>IF(jablka5[[#This Row],[NIP]]=D623,jablka5[[#This Row],[sprzedaż]]+G623,jablka5[[#This Row],[sprzedaż]])</f>
        <v>4829</v>
      </c>
      <c r="H624" s="1">
        <f>IF(jablka5[[#This Row],[dot sprz]]&lt;15000,0,IF(jablka5[[#This Row],[dot sprz]]&lt;20000,5,10))</f>
        <v>0</v>
      </c>
      <c r="I624" s="1">
        <f>jablka5[[#This Row],[rabat]]*jablka5[[#This Row],[sprzedaż]]/100</f>
        <v>0</v>
      </c>
    </row>
    <row r="625" spans="1:9" x14ac:dyDescent="0.25">
      <c r="A625" s="2">
        <v>44663</v>
      </c>
      <c r="B625" s="1" t="s">
        <v>2</v>
      </c>
      <c r="C625" s="1" t="s">
        <v>16</v>
      </c>
      <c r="D625" s="1" t="s">
        <v>20</v>
      </c>
      <c r="E625">
        <v>95</v>
      </c>
      <c r="F625" s="1">
        <f>VLOOKUP(jablka5[[#This Row],[Nazwa]],cennik[],2,0) * jablka5[[#This Row],[sprzedaż]]</f>
        <v>304</v>
      </c>
      <c r="G625" s="1">
        <f>IF(jablka5[[#This Row],[NIP]]=D624,jablka5[[#This Row],[sprzedaż]]+G624,jablka5[[#This Row],[sprzedaż]])</f>
        <v>4924</v>
      </c>
      <c r="H625" s="1">
        <f>IF(jablka5[[#This Row],[dot sprz]]&lt;15000,0,IF(jablka5[[#This Row],[dot sprz]]&lt;20000,5,10))</f>
        <v>0</v>
      </c>
      <c r="I625" s="1">
        <f>jablka5[[#This Row],[rabat]]*jablka5[[#This Row],[sprzedaż]]/100</f>
        <v>0</v>
      </c>
    </row>
    <row r="626" spans="1:9" x14ac:dyDescent="0.25">
      <c r="A626" s="2">
        <v>44708</v>
      </c>
      <c r="B626" s="1" t="s">
        <v>10</v>
      </c>
      <c r="C626" s="1" t="s">
        <v>16</v>
      </c>
      <c r="D626" s="1" t="s">
        <v>20</v>
      </c>
      <c r="E626">
        <v>37</v>
      </c>
      <c r="F626" s="1">
        <f>VLOOKUP(jablka5[[#This Row],[Nazwa]],cennik[],2,0) * jablka5[[#This Row],[sprzedaż]]</f>
        <v>125.8</v>
      </c>
      <c r="G626" s="1">
        <f>IF(jablka5[[#This Row],[NIP]]=D625,jablka5[[#This Row],[sprzedaż]]+G625,jablka5[[#This Row],[sprzedaż]])</f>
        <v>4961</v>
      </c>
      <c r="H626" s="1">
        <f>IF(jablka5[[#This Row],[dot sprz]]&lt;15000,0,IF(jablka5[[#This Row],[dot sprz]]&lt;20000,5,10))</f>
        <v>0</v>
      </c>
      <c r="I626" s="1">
        <f>jablka5[[#This Row],[rabat]]*jablka5[[#This Row],[sprzedaż]]/100</f>
        <v>0</v>
      </c>
    </row>
    <row r="627" spans="1:9" x14ac:dyDescent="0.25">
      <c r="A627" s="2">
        <v>44718</v>
      </c>
      <c r="B627" s="1" t="s">
        <v>13</v>
      </c>
      <c r="C627" s="1" t="s">
        <v>68</v>
      </c>
      <c r="D627" s="1" t="s">
        <v>20</v>
      </c>
      <c r="E627">
        <v>58</v>
      </c>
      <c r="F627" s="1">
        <f>VLOOKUP(jablka5[[#This Row],[Nazwa]],cennik[],2,0) * jablka5[[#This Row],[sprzedaż]]</f>
        <v>185.60000000000002</v>
      </c>
      <c r="G627" s="1">
        <f>IF(jablka5[[#This Row],[NIP]]=D626,jablka5[[#This Row],[sprzedaż]]+G626,jablka5[[#This Row],[sprzedaż]])</f>
        <v>5019</v>
      </c>
      <c r="H627" s="1">
        <f>IF(jablka5[[#This Row],[dot sprz]]&lt;15000,0,IF(jablka5[[#This Row],[dot sprz]]&lt;20000,5,10))</f>
        <v>0</v>
      </c>
      <c r="I627" s="1">
        <f>jablka5[[#This Row],[rabat]]*jablka5[[#This Row],[sprzedaż]]/100</f>
        <v>0</v>
      </c>
    </row>
    <row r="628" spans="1:9" x14ac:dyDescent="0.25">
      <c r="A628" s="2">
        <v>44723</v>
      </c>
      <c r="B628" s="1" t="s">
        <v>12</v>
      </c>
      <c r="C628" s="1" t="s">
        <v>68</v>
      </c>
      <c r="D628" s="1" t="s">
        <v>20</v>
      </c>
      <c r="E628">
        <v>363</v>
      </c>
      <c r="F628" s="1">
        <f>VLOOKUP(jablka5[[#This Row],[Nazwa]],cennik[],2,0) * jablka5[[#This Row],[sprzedaż]]</f>
        <v>980.1</v>
      </c>
      <c r="G628" s="1">
        <f>IF(jablka5[[#This Row],[NIP]]=D627,jablka5[[#This Row],[sprzedaż]]+G627,jablka5[[#This Row],[sprzedaż]])</f>
        <v>5382</v>
      </c>
      <c r="H628" s="1">
        <f>IF(jablka5[[#This Row],[dot sprz]]&lt;15000,0,IF(jablka5[[#This Row],[dot sprz]]&lt;20000,5,10))</f>
        <v>0</v>
      </c>
      <c r="I628" s="1">
        <f>jablka5[[#This Row],[rabat]]*jablka5[[#This Row],[sprzedaż]]/100</f>
        <v>0</v>
      </c>
    </row>
    <row r="629" spans="1:9" x14ac:dyDescent="0.25">
      <c r="A629" s="2">
        <v>44734</v>
      </c>
      <c r="B629" s="1" t="s">
        <v>12</v>
      </c>
      <c r="C629" s="1" t="s">
        <v>68</v>
      </c>
      <c r="D629" s="1" t="s">
        <v>20</v>
      </c>
      <c r="E629">
        <v>288</v>
      </c>
      <c r="F629" s="1">
        <f>VLOOKUP(jablka5[[#This Row],[Nazwa]],cennik[],2,0) * jablka5[[#This Row],[sprzedaż]]</f>
        <v>777.6</v>
      </c>
      <c r="G629" s="1">
        <f>IF(jablka5[[#This Row],[NIP]]=D628,jablka5[[#This Row],[sprzedaż]]+G628,jablka5[[#This Row],[sprzedaż]])</f>
        <v>5670</v>
      </c>
      <c r="H629" s="1">
        <f>IF(jablka5[[#This Row],[dot sprz]]&lt;15000,0,IF(jablka5[[#This Row],[dot sprz]]&lt;20000,5,10))</f>
        <v>0</v>
      </c>
      <c r="I629" s="1">
        <f>jablka5[[#This Row],[rabat]]*jablka5[[#This Row],[sprzedaż]]/100</f>
        <v>0</v>
      </c>
    </row>
    <row r="630" spans="1:9" x14ac:dyDescent="0.25">
      <c r="A630" s="2">
        <v>44736</v>
      </c>
      <c r="B630" s="1" t="s">
        <v>14</v>
      </c>
      <c r="C630" s="1" t="s">
        <v>67</v>
      </c>
      <c r="D630" s="1" t="s">
        <v>20</v>
      </c>
      <c r="E630">
        <v>337</v>
      </c>
      <c r="F630" s="1">
        <f>VLOOKUP(jablka5[[#This Row],[Nazwa]],cennik[],2,0) * jablka5[[#This Row],[sprzedaż]]</f>
        <v>1179.5</v>
      </c>
      <c r="G630" s="1">
        <f>IF(jablka5[[#This Row],[NIP]]=D629,jablka5[[#This Row],[sprzedaż]]+G629,jablka5[[#This Row],[sprzedaż]])</f>
        <v>6007</v>
      </c>
      <c r="H630" s="1">
        <f>IF(jablka5[[#This Row],[dot sprz]]&lt;15000,0,IF(jablka5[[#This Row],[dot sprz]]&lt;20000,5,10))</f>
        <v>0</v>
      </c>
      <c r="I630" s="1">
        <f>jablka5[[#This Row],[rabat]]*jablka5[[#This Row],[sprzedaż]]/100</f>
        <v>0</v>
      </c>
    </row>
    <row r="631" spans="1:9" x14ac:dyDescent="0.25">
      <c r="A631" s="2">
        <v>44736</v>
      </c>
      <c r="B631" s="1" t="s">
        <v>12</v>
      </c>
      <c r="C631" s="1" t="s">
        <v>68</v>
      </c>
      <c r="D631" s="1" t="s">
        <v>20</v>
      </c>
      <c r="E631">
        <v>269</v>
      </c>
      <c r="F631" s="1">
        <f>VLOOKUP(jablka5[[#This Row],[Nazwa]],cennik[],2,0) * jablka5[[#This Row],[sprzedaż]]</f>
        <v>726.30000000000007</v>
      </c>
      <c r="G631" s="1">
        <f>IF(jablka5[[#This Row],[NIP]]=D630,jablka5[[#This Row],[sprzedaż]]+G630,jablka5[[#This Row],[sprzedaż]])</f>
        <v>6276</v>
      </c>
      <c r="H631" s="1">
        <f>IF(jablka5[[#This Row],[dot sprz]]&lt;15000,0,IF(jablka5[[#This Row],[dot sprz]]&lt;20000,5,10))</f>
        <v>0</v>
      </c>
      <c r="I631" s="1">
        <f>jablka5[[#This Row],[rabat]]*jablka5[[#This Row],[sprzedaż]]/100</f>
        <v>0</v>
      </c>
    </row>
    <row r="632" spans="1:9" x14ac:dyDescent="0.25">
      <c r="A632" s="2">
        <v>44740</v>
      </c>
      <c r="B632" s="1" t="s">
        <v>13</v>
      </c>
      <c r="C632" s="1" t="s">
        <v>68</v>
      </c>
      <c r="D632" s="1" t="s">
        <v>20</v>
      </c>
      <c r="E632">
        <v>439</v>
      </c>
      <c r="F632" s="1">
        <f>VLOOKUP(jablka5[[#This Row],[Nazwa]],cennik[],2,0) * jablka5[[#This Row],[sprzedaż]]</f>
        <v>1404.8000000000002</v>
      </c>
      <c r="G632" s="1">
        <f>IF(jablka5[[#This Row],[NIP]]=D631,jablka5[[#This Row],[sprzedaż]]+G631,jablka5[[#This Row],[sprzedaż]])</f>
        <v>6715</v>
      </c>
      <c r="H632" s="1">
        <f>IF(jablka5[[#This Row],[dot sprz]]&lt;15000,0,IF(jablka5[[#This Row],[dot sprz]]&lt;20000,5,10))</f>
        <v>0</v>
      </c>
      <c r="I632" s="1">
        <f>jablka5[[#This Row],[rabat]]*jablka5[[#This Row],[sprzedaż]]/100</f>
        <v>0</v>
      </c>
    </row>
    <row r="633" spans="1:9" x14ac:dyDescent="0.25">
      <c r="A633" s="2">
        <v>44741</v>
      </c>
      <c r="B633" s="1" t="s">
        <v>14</v>
      </c>
      <c r="C633" s="1" t="s">
        <v>67</v>
      </c>
      <c r="D633" s="1" t="s">
        <v>20</v>
      </c>
      <c r="E633">
        <v>461</v>
      </c>
      <c r="F633" s="1">
        <f>VLOOKUP(jablka5[[#This Row],[Nazwa]],cennik[],2,0) * jablka5[[#This Row],[sprzedaż]]</f>
        <v>1613.5</v>
      </c>
      <c r="G633" s="1">
        <f>IF(jablka5[[#This Row],[NIP]]=D632,jablka5[[#This Row],[sprzedaż]]+G632,jablka5[[#This Row],[sprzedaż]])</f>
        <v>7176</v>
      </c>
      <c r="H633" s="1">
        <f>IF(jablka5[[#This Row],[dot sprz]]&lt;15000,0,IF(jablka5[[#This Row],[dot sprz]]&lt;20000,5,10))</f>
        <v>0</v>
      </c>
      <c r="I633" s="1">
        <f>jablka5[[#This Row],[rabat]]*jablka5[[#This Row],[sprzedaż]]/100</f>
        <v>0</v>
      </c>
    </row>
    <row r="634" spans="1:9" x14ac:dyDescent="0.25">
      <c r="A634" s="2">
        <v>44742</v>
      </c>
      <c r="B634" s="1" t="s">
        <v>13</v>
      </c>
      <c r="C634" s="1" t="s">
        <v>68</v>
      </c>
      <c r="D634" s="1" t="s">
        <v>20</v>
      </c>
      <c r="E634">
        <v>314</v>
      </c>
      <c r="F634" s="1">
        <f>VLOOKUP(jablka5[[#This Row],[Nazwa]],cennik[],2,0) * jablka5[[#This Row],[sprzedaż]]</f>
        <v>1004.8000000000001</v>
      </c>
      <c r="G634" s="1">
        <f>IF(jablka5[[#This Row],[NIP]]=D633,jablka5[[#This Row],[sprzedaż]]+G633,jablka5[[#This Row],[sprzedaż]])</f>
        <v>7490</v>
      </c>
      <c r="H634" s="1">
        <f>IF(jablka5[[#This Row],[dot sprz]]&lt;15000,0,IF(jablka5[[#This Row],[dot sprz]]&lt;20000,5,10))</f>
        <v>0</v>
      </c>
      <c r="I634" s="1">
        <f>jablka5[[#This Row],[rabat]]*jablka5[[#This Row],[sprzedaż]]/100</f>
        <v>0</v>
      </c>
    </row>
    <row r="635" spans="1:9" x14ac:dyDescent="0.25">
      <c r="A635" s="2">
        <v>44746</v>
      </c>
      <c r="B635" s="1" t="s">
        <v>13</v>
      </c>
      <c r="C635" s="1" t="s">
        <v>68</v>
      </c>
      <c r="D635" s="1" t="s">
        <v>20</v>
      </c>
      <c r="E635">
        <v>265</v>
      </c>
      <c r="F635" s="1">
        <f>VLOOKUP(jablka5[[#This Row],[Nazwa]],cennik[],2,0) * jablka5[[#This Row],[sprzedaż]]</f>
        <v>848</v>
      </c>
      <c r="G635" s="1">
        <f>IF(jablka5[[#This Row],[NIP]]=D634,jablka5[[#This Row],[sprzedaż]]+G634,jablka5[[#This Row],[sprzedaż]])</f>
        <v>7755</v>
      </c>
      <c r="H635" s="1">
        <f>IF(jablka5[[#This Row],[dot sprz]]&lt;15000,0,IF(jablka5[[#This Row],[dot sprz]]&lt;20000,5,10))</f>
        <v>0</v>
      </c>
      <c r="I635" s="1">
        <f>jablka5[[#This Row],[rabat]]*jablka5[[#This Row],[sprzedaż]]/100</f>
        <v>0</v>
      </c>
    </row>
    <row r="636" spans="1:9" x14ac:dyDescent="0.25">
      <c r="A636" s="2">
        <v>44747</v>
      </c>
      <c r="B636" s="1" t="s">
        <v>12</v>
      </c>
      <c r="C636" s="1" t="s">
        <v>68</v>
      </c>
      <c r="D636" s="1" t="s">
        <v>20</v>
      </c>
      <c r="E636">
        <v>179</v>
      </c>
      <c r="F636" s="1">
        <f>VLOOKUP(jablka5[[#This Row],[Nazwa]],cennik[],2,0) * jablka5[[#This Row],[sprzedaż]]</f>
        <v>483.3</v>
      </c>
      <c r="G636" s="1">
        <f>IF(jablka5[[#This Row],[NIP]]=D635,jablka5[[#This Row],[sprzedaż]]+G635,jablka5[[#This Row],[sprzedaż]])</f>
        <v>7934</v>
      </c>
      <c r="H636" s="1">
        <f>IF(jablka5[[#This Row],[dot sprz]]&lt;15000,0,IF(jablka5[[#This Row],[dot sprz]]&lt;20000,5,10))</f>
        <v>0</v>
      </c>
      <c r="I636" s="1">
        <f>jablka5[[#This Row],[rabat]]*jablka5[[#This Row],[sprzedaż]]/100</f>
        <v>0</v>
      </c>
    </row>
    <row r="637" spans="1:9" x14ac:dyDescent="0.25">
      <c r="A637" s="2">
        <v>44751</v>
      </c>
      <c r="B637" s="1" t="s">
        <v>14</v>
      </c>
      <c r="C637" s="1" t="s">
        <v>67</v>
      </c>
      <c r="D637" s="1" t="s">
        <v>20</v>
      </c>
      <c r="E637">
        <v>479</v>
      </c>
      <c r="F637" s="1">
        <f>VLOOKUP(jablka5[[#This Row],[Nazwa]],cennik[],2,0) * jablka5[[#This Row],[sprzedaż]]</f>
        <v>1676.5</v>
      </c>
      <c r="G637" s="1">
        <f>IF(jablka5[[#This Row],[NIP]]=D636,jablka5[[#This Row],[sprzedaż]]+G636,jablka5[[#This Row],[sprzedaż]])</f>
        <v>8413</v>
      </c>
      <c r="H637" s="1">
        <f>IF(jablka5[[#This Row],[dot sprz]]&lt;15000,0,IF(jablka5[[#This Row],[dot sprz]]&lt;20000,5,10))</f>
        <v>0</v>
      </c>
      <c r="I637" s="1">
        <f>jablka5[[#This Row],[rabat]]*jablka5[[#This Row],[sprzedaż]]/100</f>
        <v>0</v>
      </c>
    </row>
    <row r="638" spans="1:9" x14ac:dyDescent="0.25">
      <c r="A638" s="2">
        <v>44764</v>
      </c>
      <c r="B638" s="1" t="s">
        <v>14</v>
      </c>
      <c r="C638" s="1" t="s">
        <v>67</v>
      </c>
      <c r="D638" s="1" t="s">
        <v>20</v>
      </c>
      <c r="E638">
        <v>392</v>
      </c>
      <c r="F638" s="1">
        <f>VLOOKUP(jablka5[[#This Row],[Nazwa]],cennik[],2,0) * jablka5[[#This Row],[sprzedaż]]</f>
        <v>1372</v>
      </c>
      <c r="G638" s="1">
        <f>IF(jablka5[[#This Row],[NIP]]=D637,jablka5[[#This Row],[sprzedaż]]+G637,jablka5[[#This Row],[sprzedaż]])</f>
        <v>8805</v>
      </c>
      <c r="H638" s="1">
        <f>IF(jablka5[[#This Row],[dot sprz]]&lt;15000,0,IF(jablka5[[#This Row],[dot sprz]]&lt;20000,5,10))</f>
        <v>0</v>
      </c>
      <c r="I638" s="1">
        <f>jablka5[[#This Row],[rabat]]*jablka5[[#This Row],[sprzedaż]]/100</f>
        <v>0</v>
      </c>
    </row>
    <row r="639" spans="1:9" x14ac:dyDescent="0.25">
      <c r="A639" s="2">
        <v>44767</v>
      </c>
      <c r="B639" s="1" t="s">
        <v>13</v>
      </c>
      <c r="C639" s="1" t="s">
        <v>68</v>
      </c>
      <c r="D639" s="1" t="s">
        <v>20</v>
      </c>
      <c r="E639">
        <v>112</v>
      </c>
      <c r="F639" s="1">
        <f>VLOOKUP(jablka5[[#This Row],[Nazwa]],cennik[],2,0) * jablka5[[#This Row],[sprzedaż]]</f>
        <v>358.40000000000003</v>
      </c>
      <c r="G639" s="1">
        <f>IF(jablka5[[#This Row],[NIP]]=D638,jablka5[[#This Row],[sprzedaż]]+G638,jablka5[[#This Row],[sprzedaż]])</f>
        <v>8917</v>
      </c>
      <c r="H639" s="1">
        <f>IF(jablka5[[#This Row],[dot sprz]]&lt;15000,0,IF(jablka5[[#This Row],[dot sprz]]&lt;20000,5,10))</f>
        <v>0</v>
      </c>
      <c r="I639" s="1">
        <f>jablka5[[#This Row],[rabat]]*jablka5[[#This Row],[sprzedaż]]/100</f>
        <v>0</v>
      </c>
    </row>
    <row r="640" spans="1:9" x14ac:dyDescent="0.25">
      <c r="A640" s="2">
        <v>44774</v>
      </c>
      <c r="B640" s="1" t="s">
        <v>14</v>
      </c>
      <c r="C640" s="1" t="s">
        <v>67</v>
      </c>
      <c r="D640" s="1" t="s">
        <v>20</v>
      </c>
      <c r="E640">
        <v>429</v>
      </c>
      <c r="F640" s="1">
        <f>VLOOKUP(jablka5[[#This Row],[Nazwa]],cennik[],2,0) * jablka5[[#This Row],[sprzedaż]]</f>
        <v>1501.5</v>
      </c>
      <c r="G640" s="1">
        <f>IF(jablka5[[#This Row],[NIP]]=D639,jablka5[[#This Row],[sprzedaż]]+G639,jablka5[[#This Row],[sprzedaż]])</f>
        <v>9346</v>
      </c>
      <c r="H640" s="1">
        <f>IF(jablka5[[#This Row],[dot sprz]]&lt;15000,0,IF(jablka5[[#This Row],[dot sprz]]&lt;20000,5,10))</f>
        <v>0</v>
      </c>
      <c r="I640" s="1">
        <f>jablka5[[#This Row],[rabat]]*jablka5[[#This Row],[sprzedaż]]/100</f>
        <v>0</v>
      </c>
    </row>
    <row r="641" spans="1:9" x14ac:dyDescent="0.25">
      <c r="A641" s="2">
        <v>44775</v>
      </c>
      <c r="B641" s="1" t="s">
        <v>13</v>
      </c>
      <c r="C641" s="1" t="s">
        <v>68</v>
      </c>
      <c r="D641" s="1" t="s">
        <v>20</v>
      </c>
      <c r="E641">
        <v>39</v>
      </c>
      <c r="F641" s="1">
        <f>VLOOKUP(jablka5[[#This Row],[Nazwa]],cennik[],2,0) * jablka5[[#This Row],[sprzedaż]]</f>
        <v>124.80000000000001</v>
      </c>
      <c r="G641" s="1">
        <f>IF(jablka5[[#This Row],[NIP]]=D640,jablka5[[#This Row],[sprzedaż]]+G640,jablka5[[#This Row],[sprzedaż]])</f>
        <v>9385</v>
      </c>
      <c r="H641" s="1">
        <f>IF(jablka5[[#This Row],[dot sprz]]&lt;15000,0,IF(jablka5[[#This Row],[dot sprz]]&lt;20000,5,10))</f>
        <v>0</v>
      </c>
      <c r="I641" s="1">
        <f>jablka5[[#This Row],[rabat]]*jablka5[[#This Row],[sprzedaż]]/100</f>
        <v>0</v>
      </c>
    </row>
    <row r="642" spans="1:9" x14ac:dyDescent="0.25">
      <c r="A642" s="2">
        <v>44806</v>
      </c>
      <c r="B642" s="1" t="s">
        <v>1</v>
      </c>
      <c r="C642" s="1" t="s">
        <v>67</v>
      </c>
      <c r="D642" s="1" t="s">
        <v>20</v>
      </c>
      <c r="E642">
        <v>93</v>
      </c>
      <c r="F642" s="1">
        <f>VLOOKUP(jablka5[[#This Row],[Nazwa]],cennik[],2,0) * jablka5[[#This Row],[sprzedaż]]</f>
        <v>297.60000000000002</v>
      </c>
      <c r="G642" s="1">
        <f>IF(jablka5[[#This Row],[NIP]]=D641,jablka5[[#This Row],[sprzedaż]]+G641,jablka5[[#This Row],[sprzedaż]])</f>
        <v>9478</v>
      </c>
      <c r="H642" s="1">
        <f>IF(jablka5[[#This Row],[dot sprz]]&lt;15000,0,IF(jablka5[[#This Row],[dot sprz]]&lt;20000,5,10))</f>
        <v>0</v>
      </c>
      <c r="I642" s="1">
        <f>jablka5[[#This Row],[rabat]]*jablka5[[#This Row],[sprzedaż]]/100</f>
        <v>0</v>
      </c>
    </row>
    <row r="643" spans="1:9" x14ac:dyDescent="0.25">
      <c r="A643" s="2">
        <v>44809</v>
      </c>
      <c r="B643" s="1" t="s">
        <v>14</v>
      </c>
      <c r="C643" s="1" t="s">
        <v>67</v>
      </c>
      <c r="D643" s="1" t="s">
        <v>20</v>
      </c>
      <c r="E643">
        <v>207</v>
      </c>
      <c r="F643" s="1">
        <f>VLOOKUP(jablka5[[#This Row],[Nazwa]],cennik[],2,0) * jablka5[[#This Row],[sprzedaż]]</f>
        <v>724.5</v>
      </c>
      <c r="G643" s="1">
        <f>IF(jablka5[[#This Row],[NIP]]=D642,jablka5[[#This Row],[sprzedaż]]+G642,jablka5[[#This Row],[sprzedaż]])</f>
        <v>9685</v>
      </c>
      <c r="H643" s="1">
        <f>IF(jablka5[[#This Row],[dot sprz]]&lt;15000,0,IF(jablka5[[#This Row],[dot sprz]]&lt;20000,5,10))</f>
        <v>0</v>
      </c>
      <c r="I643" s="1">
        <f>jablka5[[#This Row],[rabat]]*jablka5[[#This Row],[sprzedaż]]/100</f>
        <v>0</v>
      </c>
    </row>
    <row r="644" spans="1:9" x14ac:dyDescent="0.25">
      <c r="A644" s="2">
        <v>44813</v>
      </c>
      <c r="B644" s="1" t="s">
        <v>3</v>
      </c>
      <c r="C644" s="1" t="s">
        <v>67</v>
      </c>
      <c r="D644" s="1" t="s">
        <v>20</v>
      </c>
      <c r="E644">
        <v>380</v>
      </c>
      <c r="F644" s="1">
        <f>VLOOKUP(jablka5[[#This Row],[Nazwa]],cennik[],2,0) * jablka5[[#This Row],[sprzedaż]]</f>
        <v>1216</v>
      </c>
      <c r="G644" s="1">
        <f>IF(jablka5[[#This Row],[NIP]]=D643,jablka5[[#This Row],[sprzedaż]]+G643,jablka5[[#This Row],[sprzedaż]])</f>
        <v>10065</v>
      </c>
      <c r="H644" s="1">
        <f>IF(jablka5[[#This Row],[dot sprz]]&lt;15000,0,IF(jablka5[[#This Row],[dot sprz]]&lt;20000,5,10))</f>
        <v>0</v>
      </c>
      <c r="I644" s="1">
        <f>jablka5[[#This Row],[rabat]]*jablka5[[#This Row],[sprzedaż]]/100</f>
        <v>0</v>
      </c>
    </row>
    <row r="645" spans="1:9" x14ac:dyDescent="0.25">
      <c r="A645" s="2">
        <v>44823</v>
      </c>
      <c r="B645" s="1" t="s">
        <v>14</v>
      </c>
      <c r="C645" s="1" t="s">
        <v>67</v>
      </c>
      <c r="D645" s="1" t="s">
        <v>20</v>
      </c>
      <c r="E645">
        <v>432</v>
      </c>
      <c r="F645" s="1">
        <f>VLOOKUP(jablka5[[#This Row],[Nazwa]],cennik[],2,0) * jablka5[[#This Row],[sprzedaż]]</f>
        <v>1512</v>
      </c>
      <c r="G645" s="1">
        <f>IF(jablka5[[#This Row],[NIP]]=D644,jablka5[[#This Row],[sprzedaż]]+G644,jablka5[[#This Row],[sprzedaż]])</f>
        <v>10497</v>
      </c>
      <c r="H645" s="1">
        <f>IF(jablka5[[#This Row],[dot sprz]]&lt;15000,0,IF(jablka5[[#This Row],[dot sprz]]&lt;20000,5,10))</f>
        <v>0</v>
      </c>
      <c r="I645" s="1">
        <f>jablka5[[#This Row],[rabat]]*jablka5[[#This Row],[sprzedaż]]/100</f>
        <v>0</v>
      </c>
    </row>
    <row r="646" spans="1:9" x14ac:dyDescent="0.25">
      <c r="A646" s="2">
        <v>44825</v>
      </c>
      <c r="B646" s="1" t="s">
        <v>3</v>
      </c>
      <c r="C646" s="1" t="s">
        <v>67</v>
      </c>
      <c r="D646" s="1" t="s">
        <v>20</v>
      </c>
      <c r="E646">
        <v>136</v>
      </c>
      <c r="F646" s="1">
        <f>VLOOKUP(jablka5[[#This Row],[Nazwa]],cennik[],2,0) * jablka5[[#This Row],[sprzedaż]]</f>
        <v>435.20000000000005</v>
      </c>
      <c r="G646" s="1">
        <f>IF(jablka5[[#This Row],[NIP]]=D645,jablka5[[#This Row],[sprzedaż]]+G645,jablka5[[#This Row],[sprzedaż]])</f>
        <v>10633</v>
      </c>
      <c r="H646" s="1">
        <f>IF(jablka5[[#This Row],[dot sprz]]&lt;15000,0,IF(jablka5[[#This Row],[dot sprz]]&lt;20000,5,10))</f>
        <v>0</v>
      </c>
      <c r="I646" s="1">
        <f>jablka5[[#This Row],[rabat]]*jablka5[[#This Row],[sprzedaż]]/100</f>
        <v>0</v>
      </c>
    </row>
    <row r="647" spans="1:9" x14ac:dyDescent="0.25">
      <c r="A647" s="2">
        <v>44834</v>
      </c>
      <c r="B647" s="1" t="s">
        <v>1</v>
      </c>
      <c r="C647" s="1" t="s">
        <v>67</v>
      </c>
      <c r="D647" s="1" t="s">
        <v>20</v>
      </c>
      <c r="E647">
        <v>333</v>
      </c>
      <c r="F647" s="1">
        <f>VLOOKUP(jablka5[[#This Row],[Nazwa]],cennik[],2,0) * jablka5[[#This Row],[sprzedaż]]</f>
        <v>1065.6000000000001</v>
      </c>
      <c r="G647" s="1">
        <f>IF(jablka5[[#This Row],[NIP]]=D646,jablka5[[#This Row],[sprzedaż]]+G646,jablka5[[#This Row],[sprzedaż]])</f>
        <v>10966</v>
      </c>
      <c r="H647" s="1">
        <f>IF(jablka5[[#This Row],[dot sprz]]&lt;15000,0,IF(jablka5[[#This Row],[dot sprz]]&lt;20000,5,10))</f>
        <v>0</v>
      </c>
      <c r="I647" s="1">
        <f>jablka5[[#This Row],[rabat]]*jablka5[[#This Row],[sprzedaż]]/100</f>
        <v>0</v>
      </c>
    </row>
    <row r="648" spans="1:9" x14ac:dyDescent="0.25">
      <c r="A648" s="2">
        <v>44837</v>
      </c>
      <c r="B648" s="1" t="s">
        <v>9</v>
      </c>
      <c r="C648" s="1" t="s">
        <v>67</v>
      </c>
      <c r="D648" s="1" t="s">
        <v>20</v>
      </c>
      <c r="E648">
        <v>238</v>
      </c>
      <c r="F648" s="1">
        <f>VLOOKUP(jablka5[[#This Row],[Nazwa]],cennik[],2,0) * jablka5[[#This Row],[sprzedaż]]</f>
        <v>595</v>
      </c>
      <c r="G648" s="1">
        <f>IF(jablka5[[#This Row],[NIP]]=D647,jablka5[[#This Row],[sprzedaż]]+G647,jablka5[[#This Row],[sprzedaż]])</f>
        <v>11204</v>
      </c>
      <c r="H648" s="1">
        <f>IF(jablka5[[#This Row],[dot sprz]]&lt;15000,0,IF(jablka5[[#This Row],[dot sprz]]&lt;20000,5,10))</f>
        <v>0</v>
      </c>
      <c r="I648" s="1">
        <f>jablka5[[#This Row],[rabat]]*jablka5[[#This Row],[sprzedaż]]/100</f>
        <v>0</v>
      </c>
    </row>
    <row r="649" spans="1:9" x14ac:dyDescent="0.25">
      <c r="A649" s="2">
        <v>44846</v>
      </c>
      <c r="B649" s="1" t="s">
        <v>14</v>
      </c>
      <c r="C649" s="1" t="s">
        <v>67</v>
      </c>
      <c r="D649" s="1" t="s">
        <v>20</v>
      </c>
      <c r="E649">
        <v>475</v>
      </c>
      <c r="F649" s="1">
        <f>VLOOKUP(jablka5[[#This Row],[Nazwa]],cennik[],2,0) * jablka5[[#This Row],[sprzedaż]]</f>
        <v>1662.5</v>
      </c>
      <c r="G649" s="1">
        <f>IF(jablka5[[#This Row],[NIP]]=D648,jablka5[[#This Row],[sprzedaż]]+G648,jablka5[[#This Row],[sprzedaż]])</f>
        <v>11679</v>
      </c>
      <c r="H649" s="1">
        <f>IF(jablka5[[#This Row],[dot sprz]]&lt;15000,0,IF(jablka5[[#This Row],[dot sprz]]&lt;20000,5,10))</f>
        <v>0</v>
      </c>
      <c r="I649" s="1">
        <f>jablka5[[#This Row],[rabat]]*jablka5[[#This Row],[sprzedaż]]/100</f>
        <v>0</v>
      </c>
    </row>
    <row r="650" spans="1:9" x14ac:dyDescent="0.25">
      <c r="A650" s="2">
        <v>44848</v>
      </c>
      <c r="B650" s="1" t="s">
        <v>9</v>
      </c>
      <c r="C650" s="1" t="s">
        <v>67</v>
      </c>
      <c r="D650" s="1" t="s">
        <v>20</v>
      </c>
      <c r="E650">
        <v>232</v>
      </c>
      <c r="F650" s="1">
        <f>VLOOKUP(jablka5[[#This Row],[Nazwa]],cennik[],2,0) * jablka5[[#This Row],[sprzedaż]]</f>
        <v>580</v>
      </c>
      <c r="G650" s="1">
        <f>IF(jablka5[[#This Row],[NIP]]=D649,jablka5[[#This Row],[sprzedaż]]+G649,jablka5[[#This Row],[sprzedaż]])</f>
        <v>11911</v>
      </c>
      <c r="H650" s="1">
        <f>IF(jablka5[[#This Row],[dot sprz]]&lt;15000,0,IF(jablka5[[#This Row],[dot sprz]]&lt;20000,5,10))</f>
        <v>0</v>
      </c>
      <c r="I650" s="1">
        <f>jablka5[[#This Row],[rabat]]*jablka5[[#This Row],[sprzedaż]]/100</f>
        <v>0</v>
      </c>
    </row>
    <row r="651" spans="1:9" x14ac:dyDescent="0.25">
      <c r="A651" s="2">
        <v>44852</v>
      </c>
      <c r="B651" s="1" t="s">
        <v>9</v>
      </c>
      <c r="C651" s="1" t="s">
        <v>67</v>
      </c>
      <c r="D651" s="1" t="s">
        <v>20</v>
      </c>
      <c r="E651">
        <v>15</v>
      </c>
      <c r="F651" s="1">
        <f>VLOOKUP(jablka5[[#This Row],[Nazwa]],cennik[],2,0) * jablka5[[#This Row],[sprzedaż]]</f>
        <v>37.5</v>
      </c>
      <c r="G651" s="1">
        <f>IF(jablka5[[#This Row],[NIP]]=D650,jablka5[[#This Row],[sprzedaż]]+G650,jablka5[[#This Row],[sprzedaż]])</f>
        <v>11926</v>
      </c>
      <c r="H651" s="1">
        <f>IF(jablka5[[#This Row],[dot sprz]]&lt;15000,0,IF(jablka5[[#This Row],[dot sprz]]&lt;20000,5,10))</f>
        <v>0</v>
      </c>
      <c r="I651" s="1">
        <f>jablka5[[#This Row],[rabat]]*jablka5[[#This Row],[sprzedaż]]/100</f>
        <v>0</v>
      </c>
    </row>
    <row r="652" spans="1:9" x14ac:dyDescent="0.25">
      <c r="A652" s="2">
        <v>44862</v>
      </c>
      <c r="B652" s="1" t="s">
        <v>11</v>
      </c>
      <c r="C652" s="1" t="s">
        <v>67</v>
      </c>
      <c r="D652" s="1" t="s">
        <v>20</v>
      </c>
      <c r="E652">
        <v>102</v>
      </c>
      <c r="F652" s="1">
        <f>VLOOKUP(jablka5[[#This Row],[Nazwa]],cennik[],2,0) * jablka5[[#This Row],[sprzedaż]]</f>
        <v>255</v>
      </c>
      <c r="G652" s="1">
        <f>IF(jablka5[[#This Row],[NIP]]=D651,jablka5[[#This Row],[sprzedaż]]+G651,jablka5[[#This Row],[sprzedaż]])</f>
        <v>12028</v>
      </c>
      <c r="H652" s="1">
        <f>IF(jablka5[[#This Row],[dot sprz]]&lt;15000,0,IF(jablka5[[#This Row],[dot sprz]]&lt;20000,5,10))</f>
        <v>0</v>
      </c>
      <c r="I652" s="1">
        <f>jablka5[[#This Row],[rabat]]*jablka5[[#This Row],[sprzedaż]]/100</f>
        <v>0</v>
      </c>
    </row>
    <row r="653" spans="1:9" x14ac:dyDescent="0.25">
      <c r="A653" s="2">
        <v>44863</v>
      </c>
      <c r="B653" s="1" t="s">
        <v>14</v>
      </c>
      <c r="C653" s="1" t="s">
        <v>67</v>
      </c>
      <c r="D653" s="1" t="s">
        <v>20</v>
      </c>
      <c r="E653">
        <v>133</v>
      </c>
      <c r="F653" s="1">
        <f>VLOOKUP(jablka5[[#This Row],[Nazwa]],cennik[],2,0) * jablka5[[#This Row],[sprzedaż]]</f>
        <v>465.5</v>
      </c>
      <c r="G653" s="1">
        <f>IF(jablka5[[#This Row],[NIP]]=D652,jablka5[[#This Row],[sprzedaż]]+G652,jablka5[[#This Row],[sprzedaż]])</f>
        <v>12161</v>
      </c>
      <c r="H653" s="1">
        <f>IF(jablka5[[#This Row],[dot sprz]]&lt;15000,0,IF(jablka5[[#This Row],[dot sprz]]&lt;20000,5,10))</f>
        <v>0</v>
      </c>
      <c r="I653" s="1">
        <f>jablka5[[#This Row],[rabat]]*jablka5[[#This Row],[sprzedaż]]/100</f>
        <v>0</v>
      </c>
    </row>
    <row r="654" spans="1:9" x14ac:dyDescent="0.25">
      <c r="A654" s="2">
        <v>44870</v>
      </c>
      <c r="B654" s="1" t="s">
        <v>1</v>
      </c>
      <c r="C654" s="1" t="s">
        <v>67</v>
      </c>
      <c r="D654" s="1" t="s">
        <v>20</v>
      </c>
      <c r="E654">
        <v>459</v>
      </c>
      <c r="F654" s="1">
        <f>VLOOKUP(jablka5[[#This Row],[Nazwa]],cennik[],2,0) * jablka5[[#This Row],[sprzedaż]]</f>
        <v>1468.8000000000002</v>
      </c>
      <c r="G654" s="1">
        <f>IF(jablka5[[#This Row],[NIP]]=D653,jablka5[[#This Row],[sprzedaż]]+G653,jablka5[[#This Row],[sprzedaż]])</f>
        <v>12620</v>
      </c>
      <c r="H654" s="1">
        <f>IF(jablka5[[#This Row],[dot sprz]]&lt;15000,0,IF(jablka5[[#This Row],[dot sprz]]&lt;20000,5,10))</f>
        <v>0</v>
      </c>
      <c r="I654" s="1">
        <f>jablka5[[#This Row],[rabat]]*jablka5[[#This Row],[sprzedaż]]/100</f>
        <v>0</v>
      </c>
    </row>
    <row r="655" spans="1:9" x14ac:dyDescent="0.25">
      <c r="A655" s="2">
        <v>44870</v>
      </c>
      <c r="B655" s="1" t="s">
        <v>3</v>
      </c>
      <c r="C655" s="1" t="s">
        <v>67</v>
      </c>
      <c r="D655" s="1" t="s">
        <v>20</v>
      </c>
      <c r="E655">
        <v>297</v>
      </c>
      <c r="F655" s="1">
        <f>VLOOKUP(jablka5[[#This Row],[Nazwa]],cennik[],2,0) * jablka5[[#This Row],[sprzedaż]]</f>
        <v>950.40000000000009</v>
      </c>
      <c r="G655" s="1">
        <f>IF(jablka5[[#This Row],[NIP]]=D654,jablka5[[#This Row],[sprzedaż]]+G654,jablka5[[#This Row],[sprzedaż]])</f>
        <v>12917</v>
      </c>
      <c r="H655" s="1">
        <f>IF(jablka5[[#This Row],[dot sprz]]&lt;15000,0,IF(jablka5[[#This Row],[dot sprz]]&lt;20000,5,10))</f>
        <v>0</v>
      </c>
      <c r="I655" s="1">
        <f>jablka5[[#This Row],[rabat]]*jablka5[[#This Row],[sprzedaż]]/100</f>
        <v>0</v>
      </c>
    </row>
    <row r="656" spans="1:9" x14ac:dyDescent="0.25">
      <c r="A656" s="2">
        <v>44883</v>
      </c>
      <c r="B656" s="1" t="s">
        <v>1</v>
      </c>
      <c r="C656" s="1" t="s">
        <v>67</v>
      </c>
      <c r="D656" s="1" t="s">
        <v>20</v>
      </c>
      <c r="E656">
        <v>72</v>
      </c>
      <c r="F656" s="1">
        <f>VLOOKUP(jablka5[[#This Row],[Nazwa]],cennik[],2,0) * jablka5[[#This Row],[sprzedaż]]</f>
        <v>230.4</v>
      </c>
      <c r="G656" s="1">
        <f>IF(jablka5[[#This Row],[NIP]]=D655,jablka5[[#This Row],[sprzedaż]]+G655,jablka5[[#This Row],[sprzedaż]])</f>
        <v>12989</v>
      </c>
      <c r="H656" s="1">
        <f>IF(jablka5[[#This Row],[dot sprz]]&lt;15000,0,IF(jablka5[[#This Row],[dot sprz]]&lt;20000,5,10))</f>
        <v>0</v>
      </c>
      <c r="I656" s="1">
        <f>jablka5[[#This Row],[rabat]]*jablka5[[#This Row],[sprzedaż]]/100</f>
        <v>0</v>
      </c>
    </row>
    <row r="657" spans="1:9" x14ac:dyDescent="0.25">
      <c r="A657" s="2">
        <v>44891</v>
      </c>
      <c r="B657" s="1" t="s">
        <v>9</v>
      </c>
      <c r="C657" s="1" t="s">
        <v>67</v>
      </c>
      <c r="D657" s="1" t="s">
        <v>20</v>
      </c>
      <c r="E657">
        <v>85</v>
      </c>
      <c r="F657" s="1">
        <f>VLOOKUP(jablka5[[#This Row],[Nazwa]],cennik[],2,0) * jablka5[[#This Row],[sprzedaż]]</f>
        <v>212.5</v>
      </c>
      <c r="G657" s="1">
        <f>IF(jablka5[[#This Row],[NIP]]=D656,jablka5[[#This Row],[sprzedaż]]+G656,jablka5[[#This Row],[sprzedaż]])</f>
        <v>13074</v>
      </c>
      <c r="H657" s="1">
        <f>IF(jablka5[[#This Row],[dot sprz]]&lt;15000,0,IF(jablka5[[#This Row],[dot sprz]]&lt;20000,5,10))</f>
        <v>0</v>
      </c>
      <c r="I657" s="1">
        <f>jablka5[[#This Row],[rabat]]*jablka5[[#This Row],[sprzedaż]]/100</f>
        <v>0</v>
      </c>
    </row>
    <row r="658" spans="1:9" x14ac:dyDescent="0.25">
      <c r="A658" s="2">
        <v>44896</v>
      </c>
      <c r="B658" s="1" t="s">
        <v>15</v>
      </c>
      <c r="C658" s="1" t="s">
        <v>16</v>
      </c>
      <c r="D658" s="1" t="s">
        <v>20</v>
      </c>
      <c r="E658">
        <v>397</v>
      </c>
      <c r="F658" s="1">
        <f>VLOOKUP(jablka5[[#This Row],[Nazwa]],cennik[],2,0) * jablka5[[#This Row],[sprzedaż]]</f>
        <v>952.8</v>
      </c>
      <c r="G658" s="1">
        <f>IF(jablka5[[#This Row],[NIP]]=D657,jablka5[[#This Row],[sprzedaż]]+G657,jablka5[[#This Row],[sprzedaż]])</f>
        <v>13471</v>
      </c>
      <c r="H658" s="1">
        <f>IF(jablka5[[#This Row],[dot sprz]]&lt;15000,0,IF(jablka5[[#This Row],[dot sprz]]&lt;20000,5,10))</f>
        <v>0</v>
      </c>
      <c r="I658" s="1">
        <f>jablka5[[#This Row],[rabat]]*jablka5[[#This Row],[sprzedaż]]/100</f>
        <v>0</v>
      </c>
    </row>
    <row r="659" spans="1:9" x14ac:dyDescent="0.25">
      <c r="A659" s="2">
        <v>44897</v>
      </c>
      <c r="B659" s="1" t="s">
        <v>5</v>
      </c>
      <c r="C659" s="1" t="s">
        <v>16</v>
      </c>
      <c r="D659" s="1" t="s">
        <v>20</v>
      </c>
      <c r="E659">
        <v>207</v>
      </c>
      <c r="F659" s="1">
        <f>VLOOKUP(jablka5[[#This Row],[Nazwa]],cennik[],2,0) * jablka5[[#This Row],[sprzedaż]]</f>
        <v>703.8</v>
      </c>
      <c r="G659" s="1">
        <f>IF(jablka5[[#This Row],[NIP]]=D658,jablka5[[#This Row],[sprzedaż]]+G658,jablka5[[#This Row],[sprzedaż]])</f>
        <v>13678</v>
      </c>
      <c r="H659" s="1">
        <f>IF(jablka5[[#This Row],[dot sprz]]&lt;15000,0,IF(jablka5[[#This Row],[dot sprz]]&lt;20000,5,10))</f>
        <v>0</v>
      </c>
      <c r="I659" s="1">
        <f>jablka5[[#This Row],[rabat]]*jablka5[[#This Row],[sprzedaż]]/100</f>
        <v>0</v>
      </c>
    </row>
    <row r="660" spans="1:9" x14ac:dyDescent="0.25">
      <c r="A660" s="2">
        <v>44902</v>
      </c>
      <c r="B660" s="1" t="s">
        <v>7</v>
      </c>
      <c r="C660" s="1" t="s">
        <v>16</v>
      </c>
      <c r="D660" s="1" t="s">
        <v>20</v>
      </c>
      <c r="E660">
        <v>501</v>
      </c>
      <c r="F660" s="1">
        <f>VLOOKUP(jablka5[[#This Row],[Nazwa]],cennik[],2,0) * jablka5[[#This Row],[sprzedaż]]</f>
        <v>1703.3999999999999</v>
      </c>
      <c r="G660" s="1">
        <f>IF(jablka5[[#This Row],[NIP]]=D659,jablka5[[#This Row],[sprzedaż]]+G659,jablka5[[#This Row],[sprzedaż]])</f>
        <v>14179</v>
      </c>
      <c r="H660" s="1">
        <f>IF(jablka5[[#This Row],[dot sprz]]&lt;15000,0,IF(jablka5[[#This Row],[dot sprz]]&lt;20000,5,10))</f>
        <v>0</v>
      </c>
      <c r="I660" s="1">
        <f>jablka5[[#This Row],[rabat]]*jablka5[[#This Row],[sprzedaż]]/100</f>
        <v>0</v>
      </c>
    </row>
    <row r="661" spans="1:9" x14ac:dyDescent="0.25">
      <c r="A661" s="2">
        <v>44921</v>
      </c>
      <c r="B661" s="1" t="s">
        <v>8</v>
      </c>
      <c r="C661" s="1" t="s">
        <v>16</v>
      </c>
      <c r="D661" s="1" t="s">
        <v>20</v>
      </c>
      <c r="E661">
        <v>219</v>
      </c>
      <c r="F661" s="1">
        <f>VLOOKUP(jablka5[[#This Row],[Nazwa]],cennik[],2,0) * jablka5[[#This Row],[sprzedaż]]</f>
        <v>766.5</v>
      </c>
      <c r="G661" s="1">
        <f>IF(jablka5[[#This Row],[NIP]]=D660,jablka5[[#This Row],[sprzedaż]]+G660,jablka5[[#This Row],[sprzedaż]])</f>
        <v>14398</v>
      </c>
      <c r="H661" s="1">
        <f>IF(jablka5[[#This Row],[dot sprz]]&lt;15000,0,IF(jablka5[[#This Row],[dot sprz]]&lt;20000,5,10))</f>
        <v>0</v>
      </c>
      <c r="I661" s="1">
        <f>jablka5[[#This Row],[rabat]]*jablka5[[#This Row],[sprzedaż]]/100</f>
        <v>0</v>
      </c>
    </row>
    <row r="662" spans="1:9" x14ac:dyDescent="0.25">
      <c r="A662" s="2">
        <v>44926</v>
      </c>
      <c r="B662" s="1" t="s">
        <v>4</v>
      </c>
      <c r="C662" s="1" t="s">
        <v>16</v>
      </c>
      <c r="D662" s="1" t="s">
        <v>20</v>
      </c>
      <c r="E662">
        <v>629</v>
      </c>
      <c r="F662" s="1">
        <f>VLOOKUP(jablka5[[#This Row],[Nazwa]],cennik[],2,0) * jablka5[[#This Row],[sprzedaż]]</f>
        <v>2138.6</v>
      </c>
      <c r="G662" s="1">
        <f>IF(jablka5[[#This Row],[NIP]]=D661,jablka5[[#This Row],[sprzedaż]]+G661,jablka5[[#This Row],[sprzedaż]])</f>
        <v>15027</v>
      </c>
      <c r="H662" s="1">
        <f>IF(jablka5[[#This Row],[dot sprz]]&lt;15000,0,IF(jablka5[[#This Row],[dot sprz]]&lt;20000,5,10))</f>
        <v>5</v>
      </c>
      <c r="I662" s="1">
        <f>jablka5[[#This Row],[rabat]]*jablka5[[#This Row],[sprzedaż]]/100</f>
        <v>31.45</v>
      </c>
    </row>
    <row r="663" spans="1:9" x14ac:dyDescent="0.25">
      <c r="A663" s="2">
        <v>44575</v>
      </c>
      <c r="B663" s="1" t="s">
        <v>8</v>
      </c>
      <c r="C663" s="1" t="s">
        <v>16</v>
      </c>
      <c r="D663" s="1" t="s">
        <v>61</v>
      </c>
      <c r="E663">
        <v>463</v>
      </c>
      <c r="F663" s="1">
        <f>VLOOKUP(jablka5[[#This Row],[Nazwa]],cennik[],2,0) * jablka5[[#This Row],[sprzedaż]]</f>
        <v>1620.5</v>
      </c>
      <c r="G663" s="1">
        <f>IF(jablka5[[#This Row],[NIP]]=D662,jablka5[[#This Row],[sprzedaż]]+G662,jablka5[[#This Row],[sprzedaż]])</f>
        <v>463</v>
      </c>
      <c r="H663" s="1">
        <f>IF(jablka5[[#This Row],[dot sprz]]&lt;15000,0,IF(jablka5[[#This Row],[dot sprz]]&lt;20000,5,10))</f>
        <v>0</v>
      </c>
      <c r="I663" s="1">
        <f>jablka5[[#This Row],[rabat]]*jablka5[[#This Row],[sprzedaż]]/100</f>
        <v>0</v>
      </c>
    </row>
    <row r="664" spans="1:9" x14ac:dyDescent="0.25">
      <c r="A664" s="2">
        <v>44581</v>
      </c>
      <c r="B664" s="1" t="s">
        <v>15</v>
      </c>
      <c r="C664" s="1" t="s">
        <v>16</v>
      </c>
      <c r="D664" s="1" t="s">
        <v>61</v>
      </c>
      <c r="E664">
        <v>478</v>
      </c>
      <c r="F664" s="1">
        <f>VLOOKUP(jablka5[[#This Row],[Nazwa]],cennik[],2,0) * jablka5[[#This Row],[sprzedaż]]</f>
        <v>1147.2</v>
      </c>
      <c r="G664" s="1">
        <f>IF(jablka5[[#This Row],[NIP]]=D663,jablka5[[#This Row],[sprzedaż]]+G663,jablka5[[#This Row],[sprzedaż]])</f>
        <v>941</v>
      </c>
      <c r="H664" s="1">
        <f>IF(jablka5[[#This Row],[dot sprz]]&lt;15000,0,IF(jablka5[[#This Row],[dot sprz]]&lt;20000,5,10))</f>
        <v>0</v>
      </c>
      <c r="I664" s="1">
        <f>jablka5[[#This Row],[rabat]]*jablka5[[#This Row],[sprzedaż]]/100</f>
        <v>0</v>
      </c>
    </row>
    <row r="665" spans="1:9" x14ac:dyDescent="0.25">
      <c r="A665" s="2">
        <v>44582</v>
      </c>
      <c r="B665" s="1" t="s">
        <v>7</v>
      </c>
      <c r="C665" s="1" t="s">
        <v>16</v>
      </c>
      <c r="D665" s="1" t="s">
        <v>61</v>
      </c>
      <c r="E665">
        <v>361</v>
      </c>
      <c r="F665" s="1">
        <f>VLOOKUP(jablka5[[#This Row],[Nazwa]],cennik[],2,0) * jablka5[[#This Row],[sprzedaż]]</f>
        <v>1227.3999999999999</v>
      </c>
      <c r="G665" s="1">
        <f>IF(jablka5[[#This Row],[NIP]]=D664,jablka5[[#This Row],[sprzedaż]]+G664,jablka5[[#This Row],[sprzedaż]])</f>
        <v>1302</v>
      </c>
      <c r="H665" s="1">
        <f>IF(jablka5[[#This Row],[dot sprz]]&lt;15000,0,IF(jablka5[[#This Row],[dot sprz]]&lt;20000,5,10))</f>
        <v>0</v>
      </c>
      <c r="I665" s="1">
        <f>jablka5[[#This Row],[rabat]]*jablka5[[#This Row],[sprzedaż]]/100</f>
        <v>0</v>
      </c>
    </row>
    <row r="666" spans="1:9" x14ac:dyDescent="0.25">
      <c r="A666" s="2">
        <v>44585</v>
      </c>
      <c r="B666" s="1" t="s">
        <v>8</v>
      </c>
      <c r="C666" s="1" t="s">
        <v>16</v>
      </c>
      <c r="D666" s="1" t="s">
        <v>61</v>
      </c>
      <c r="E666">
        <v>424</v>
      </c>
      <c r="F666" s="1">
        <f>VLOOKUP(jablka5[[#This Row],[Nazwa]],cennik[],2,0) * jablka5[[#This Row],[sprzedaż]]</f>
        <v>1484</v>
      </c>
      <c r="G666" s="1">
        <f>IF(jablka5[[#This Row],[NIP]]=D665,jablka5[[#This Row],[sprzedaż]]+G665,jablka5[[#This Row],[sprzedaż]])</f>
        <v>1726</v>
      </c>
      <c r="H666" s="1">
        <f>IF(jablka5[[#This Row],[dot sprz]]&lt;15000,0,IF(jablka5[[#This Row],[dot sprz]]&lt;20000,5,10))</f>
        <v>0</v>
      </c>
      <c r="I666" s="1">
        <f>jablka5[[#This Row],[rabat]]*jablka5[[#This Row],[sprzedaż]]/100</f>
        <v>0</v>
      </c>
    </row>
    <row r="667" spans="1:9" x14ac:dyDescent="0.25">
      <c r="A667" s="2">
        <v>44585</v>
      </c>
      <c r="B667" s="1" t="s">
        <v>7</v>
      </c>
      <c r="C667" s="1" t="s">
        <v>16</v>
      </c>
      <c r="D667" s="1" t="s">
        <v>61</v>
      </c>
      <c r="E667">
        <v>621</v>
      </c>
      <c r="F667" s="1">
        <f>VLOOKUP(jablka5[[#This Row],[Nazwa]],cennik[],2,0) * jablka5[[#This Row],[sprzedaż]]</f>
        <v>2111.4</v>
      </c>
      <c r="G667" s="1">
        <f>IF(jablka5[[#This Row],[NIP]]=D666,jablka5[[#This Row],[sprzedaż]]+G666,jablka5[[#This Row],[sprzedaż]])</f>
        <v>2347</v>
      </c>
      <c r="H667" s="1">
        <f>IF(jablka5[[#This Row],[dot sprz]]&lt;15000,0,IF(jablka5[[#This Row],[dot sprz]]&lt;20000,5,10))</f>
        <v>0</v>
      </c>
      <c r="I667" s="1">
        <f>jablka5[[#This Row],[rabat]]*jablka5[[#This Row],[sprzedaż]]/100</f>
        <v>0</v>
      </c>
    </row>
    <row r="668" spans="1:9" x14ac:dyDescent="0.25">
      <c r="A668" s="2">
        <v>44592</v>
      </c>
      <c r="B668" s="1" t="s">
        <v>15</v>
      </c>
      <c r="C668" s="1" t="s">
        <v>16</v>
      </c>
      <c r="D668" s="1" t="s">
        <v>61</v>
      </c>
      <c r="E668">
        <v>272</v>
      </c>
      <c r="F668" s="1">
        <f>VLOOKUP(jablka5[[#This Row],[Nazwa]],cennik[],2,0) * jablka5[[#This Row],[sprzedaż]]</f>
        <v>652.79999999999995</v>
      </c>
      <c r="G668" s="1">
        <f>IF(jablka5[[#This Row],[NIP]]=D667,jablka5[[#This Row],[sprzedaż]]+G667,jablka5[[#This Row],[sprzedaż]])</f>
        <v>2619</v>
      </c>
      <c r="H668" s="1">
        <f>IF(jablka5[[#This Row],[dot sprz]]&lt;15000,0,IF(jablka5[[#This Row],[dot sprz]]&lt;20000,5,10))</f>
        <v>0</v>
      </c>
      <c r="I668" s="1">
        <f>jablka5[[#This Row],[rabat]]*jablka5[[#This Row],[sprzedaż]]/100</f>
        <v>0</v>
      </c>
    </row>
    <row r="669" spans="1:9" x14ac:dyDescent="0.25">
      <c r="A669" s="2">
        <v>44592</v>
      </c>
      <c r="B669" s="1" t="s">
        <v>2</v>
      </c>
      <c r="C669" s="1" t="s">
        <v>16</v>
      </c>
      <c r="D669" s="1" t="s">
        <v>61</v>
      </c>
      <c r="E669">
        <v>283</v>
      </c>
      <c r="F669" s="1">
        <f>VLOOKUP(jablka5[[#This Row],[Nazwa]],cennik[],2,0) * jablka5[[#This Row],[sprzedaż]]</f>
        <v>905.6</v>
      </c>
      <c r="G669" s="1">
        <f>IF(jablka5[[#This Row],[NIP]]=D668,jablka5[[#This Row],[sprzedaż]]+G668,jablka5[[#This Row],[sprzedaż]])</f>
        <v>2902</v>
      </c>
      <c r="H669" s="1">
        <f>IF(jablka5[[#This Row],[dot sprz]]&lt;15000,0,IF(jablka5[[#This Row],[dot sprz]]&lt;20000,5,10))</f>
        <v>0</v>
      </c>
      <c r="I669" s="1">
        <f>jablka5[[#This Row],[rabat]]*jablka5[[#This Row],[sprzedaż]]/100</f>
        <v>0</v>
      </c>
    </row>
    <row r="670" spans="1:9" x14ac:dyDescent="0.25">
      <c r="A670" s="2">
        <v>44606</v>
      </c>
      <c r="B670" s="1" t="s">
        <v>15</v>
      </c>
      <c r="C670" s="1" t="s">
        <v>16</v>
      </c>
      <c r="D670" s="1" t="s">
        <v>61</v>
      </c>
      <c r="E670">
        <v>150</v>
      </c>
      <c r="F670" s="1">
        <f>VLOOKUP(jablka5[[#This Row],[Nazwa]],cennik[],2,0) * jablka5[[#This Row],[sprzedaż]]</f>
        <v>360</v>
      </c>
      <c r="G670" s="1">
        <f>IF(jablka5[[#This Row],[NIP]]=D669,jablka5[[#This Row],[sprzedaż]]+G669,jablka5[[#This Row],[sprzedaż]])</f>
        <v>3052</v>
      </c>
      <c r="H670" s="1">
        <f>IF(jablka5[[#This Row],[dot sprz]]&lt;15000,0,IF(jablka5[[#This Row],[dot sprz]]&lt;20000,5,10))</f>
        <v>0</v>
      </c>
      <c r="I670" s="1">
        <f>jablka5[[#This Row],[rabat]]*jablka5[[#This Row],[sprzedaż]]/100</f>
        <v>0</v>
      </c>
    </row>
    <row r="671" spans="1:9" x14ac:dyDescent="0.25">
      <c r="A671" s="2">
        <v>44613</v>
      </c>
      <c r="B671" s="1" t="s">
        <v>2</v>
      </c>
      <c r="C671" s="1" t="s">
        <v>16</v>
      </c>
      <c r="D671" s="1" t="s">
        <v>61</v>
      </c>
      <c r="E671">
        <v>430</v>
      </c>
      <c r="F671" s="1">
        <f>VLOOKUP(jablka5[[#This Row],[Nazwa]],cennik[],2,0) * jablka5[[#This Row],[sprzedaż]]</f>
        <v>1376</v>
      </c>
      <c r="G671" s="1">
        <f>IF(jablka5[[#This Row],[NIP]]=D670,jablka5[[#This Row],[sprzedaż]]+G670,jablka5[[#This Row],[sprzedaż]])</f>
        <v>3482</v>
      </c>
      <c r="H671" s="1">
        <f>IF(jablka5[[#This Row],[dot sprz]]&lt;15000,0,IF(jablka5[[#This Row],[dot sprz]]&lt;20000,5,10))</f>
        <v>0</v>
      </c>
      <c r="I671" s="1">
        <f>jablka5[[#This Row],[rabat]]*jablka5[[#This Row],[sprzedaż]]/100</f>
        <v>0</v>
      </c>
    </row>
    <row r="672" spans="1:9" x14ac:dyDescent="0.25">
      <c r="A672" s="2">
        <v>44618</v>
      </c>
      <c r="B672" s="1" t="s">
        <v>5</v>
      </c>
      <c r="C672" s="1" t="s">
        <v>16</v>
      </c>
      <c r="D672" s="1" t="s">
        <v>61</v>
      </c>
      <c r="E672">
        <v>491</v>
      </c>
      <c r="F672" s="1">
        <f>VLOOKUP(jablka5[[#This Row],[Nazwa]],cennik[],2,0) * jablka5[[#This Row],[sprzedaż]]</f>
        <v>1669.3999999999999</v>
      </c>
      <c r="G672" s="1">
        <f>IF(jablka5[[#This Row],[NIP]]=D671,jablka5[[#This Row],[sprzedaż]]+G671,jablka5[[#This Row],[sprzedaż]])</f>
        <v>3973</v>
      </c>
      <c r="H672" s="1">
        <f>IF(jablka5[[#This Row],[dot sprz]]&lt;15000,0,IF(jablka5[[#This Row],[dot sprz]]&lt;20000,5,10))</f>
        <v>0</v>
      </c>
      <c r="I672" s="1">
        <f>jablka5[[#This Row],[rabat]]*jablka5[[#This Row],[sprzedaż]]/100</f>
        <v>0</v>
      </c>
    </row>
    <row r="673" spans="1:9" x14ac:dyDescent="0.25">
      <c r="A673" s="2">
        <v>44649</v>
      </c>
      <c r="B673" s="1" t="s">
        <v>8</v>
      </c>
      <c r="C673" s="1" t="s">
        <v>16</v>
      </c>
      <c r="D673" s="1" t="s">
        <v>61</v>
      </c>
      <c r="E673">
        <v>505</v>
      </c>
      <c r="F673" s="1">
        <f>VLOOKUP(jablka5[[#This Row],[Nazwa]],cennik[],2,0) * jablka5[[#This Row],[sprzedaż]]</f>
        <v>1767.5</v>
      </c>
      <c r="G673" s="1">
        <f>IF(jablka5[[#This Row],[NIP]]=D672,jablka5[[#This Row],[sprzedaż]]+G672,jablka5[[#This Row],[sprzedaż]])</f>
        <v>4478</v>
      </c>
      <c r="H673" s="1">
        <f>IF(jablka5[[#This Row],[dot sprz]]&lt;15000,0,IF(jablka5[[#This Row],[dot sprz]]&lt;20000,5,10))</f>
        <v>0</v>
      </c>
      <c r="I673" s="1">
        <f>jablka5[[#This Row],[rabat]]*jablka5[[#This Row],[sprzedaż]]/100</f>
        <v>0</v>
      </c>
    </row>
    <row r="674" spans="1:9" x14ac:dyDescent="0.25">
      <c r="A674" s="2">
        <v>44657</v>
      </c>
      <c r="B674" s="1" t="s">
        <v>0</v>
      </c>
      <c r="C674" s="1" t="s">
        <v>16</v>
      </c>
      <c r="D674" s="1" t="s">
        <v>61</v>
      </c>
      <c r="E674">
        <v>383</v>
      </c>
      <c r="F674" s="1">
        <f>VLOOKUP(jablka5[[#This Row],[Nazwa]],cennik[],2,0) * jablka5[[#This Row],[sprzedaż]]</f>
        <v>1110.7</v>
      </c>
      <c r="G674" s="1">
        <f>IF(jablka5[[#This Row],[NIP]]=D673,jablka5[[#This Row],[sprzedaż]]+G673,jablka5[[#This Row],[sprzedaż]])</f>
        <v>4861</v>
      </c>
      <c r="H674" s="1">
        <f>IF(jablka5[[#This Row],[dot sprz]]&lt;15000,0,IF(jablka5[[#This Row],[dot sprz]]&lt;20000,5,10))</f>
        <v>0</v>
      </c>
      <c r="I674" s="1">
        <f>jablka5[[#This Row],[rabat]]*jablka5[[#This Row],[sprzedaż]]/100</f>
        <v>0</v>
      </c>
    </row>
    <row r="675" spans="1:9" x14ac:dyDescent="0.25">
      <c r="A675" s="2">
        <v>44670</v>
      </c>
      <c r="B675" s="1" t="s">
        <v>8</v>
      </c>
      <c r="C675" s="1" t="s">
        <v>16</v>
      </c>
      <c r="D675" s="1" t="s">
        <v>61</v>
      </c>
      <c r="E675">
        <v>469</v>
      </c>
      <c r="F675" s="1">
        <f>VLOOKUP(jablka5[[#This Row],[Nazwa]],cennik[],2,0) * jablka5[[#This Row],[sprzedaż]]</f>
        <v>1641.5</v>
      </c>
      <c r="G675" s="1">
        <f>IF(jablka5[[#This Row],[NIP]]=D674,jablka5[[#This Row],[sprzedaż]]+G674,jablka5[[#This Row],[sprzedaż]])</f>
        <v>5330</v>
      </c>
      <c r="H675" s="1">
        <f>IF(jablka5[[#This Row],[dot sprz]]&lt;15000,0,IF(jablka5[[#This Row],[dot sprz]]&lt;20000,5,10))</f>
        <v>0</v>
      </c>
      <c r="I675" s="1">
        <f>jablka5[[#This Row],[rabat]]*jablka5[[#This Row],[sprzedaż]]/100</f>
        <v>0</v>
      </c>
    </row>
    <row r="676" spans="1:9" x14ac:dyDescent="0.25">
      <c r="A676" s="2">
        <v>44670</v>
      </c>
      <c r="B676" s="1" t="s">
        <v>0</v>
      </c>
      <c r="C676" s="1" t="s">
        <v>16</v>
      </c>
      <c r="D676" s="1" t="s">
        <v>61</v>
      </c>
      <c r="E676">
        <v>89</v>
      </c>
      <c r="F676" s="1">
        <f>VLOOKUP(jablka5[[#This Row],[Nazwa]],cennik[],2,0) * jablka5[[#This Row],[sprzedaż]]</f>
        <v>258.09999999999997</v>
      </c>
      <c r="G676" s="1">
        <f>IF(jablka5[[#This Row],[NIP]]=D675,jablka5[[#This Row],[sprzedaż]]+G675,jablka5[[#This Row],[sprzedaż]])</f>
        <v>5419</v>
      </c>
      <c r="H676" s="1">
        <f>IF(jablka5[[#This Row],[dot sprz]]&lt;15000,0,IF(jablka5[[#This Row],[dot sprz]]&lt;20000,5,10))</f>
        <v>0</v>
      </c>
      <c r="I676" s="1">
        <f>jablka5[[#This Row],[rabat]]*jablka5[[#This Row],[sprzedaż]]/100</f>
        <v>0</v>
      </c>
    </row>
    <row r="677" spans="1:9" x14ac:dyDescent="0.25">
      <c r="A677" s="2">
        <v>44671</v>
      </c>
      <c r="B677" s="1" t="s">
        <v>6</v>
      </c>
      <c r="C677" s="1" t="s">
        <v>16</v>
      </c>
      <c r="D677" s="1" t="s">
        <v>61</v>
      </c>
      <c r="E677">
        <v>349</v>
      </c>
      <c r="F677" s="1">
        <f>VLOOKUP(jablka5[[#This Row],[Nazwa]],cennik[],2,0) * jablka5[[#This Row],[sprzedaż]]</f>
        <v>1186.5999999999999</v>
      </c>
      <c r="G677" s="1">
        <f>IF(jablka5[[#This Row],[NIP]]=D676,jablka5[[#This Row],[sprzedaż]]+G676,jablka5[[#This Row],[sprzedaż]])</f>
        <v>5768</v>
      </c>
      <c r="H677" s="1">
        <f>IF(jablka5[[#This Row],[dot sprz]]&lt;15000,0,IF(jablka5[[#This Row],[dot sprz]]&lt;20000,5,10))</f>
        <v>0</v>
      </c>
      <c r="I677" s="1">
        <f>jablka5[[#This Row],[rabat]]*jablka5[[#This Row],[sprzedaż]]/100</f>
        <v>0</v>
      </c>
    </row>
    <row r="678" spans="1:9" x14ac:dyDescent="0.25">
      <c r="A678" s="2">
        <v>44673</v>
      </c>
      <c r="B678" s="1" t="s">
        <v>7</v>
      </c>
      <c r="C678" s="1" t="s">
        <v>16</v>
      </c>
      <c r="D678" s="1" t="s">
        <v>61</v>
      </c>
      <c r="E678">
        <v>266</v>
      </c>
      <c r="F678" s="1">
        <f>VLOOKUP(jablka5[[#This Row],[Nazwa]],cennik[],2,0) * jablka5[[#This Row],[sprzedaż]]</f>
        <v>904.4</v>
      </c>
      <c r="G678" s="1">
        <f>IF(jablka5[[#This Row],[NIP]]=D677,jablka5[[#This Row],[sprzedaż]]+G677,jablka5[[#This Row],[sprzedaż]])</f>
        <v>6034</v>
      </c>
      <c r="H678" s="1">
        <f>IF(jablka5[[#This Row],[dot sprz]]&lt;15000,0,IF(jablka5[[#This Row],[dot sprz]]&lt;20000,5,10))</f>
        <v>0</v>
      </c>
      <c r="I678" s="1">
        <f>jablka5[[#This Row],[rabat]]*jablka5[[#This Row],[sprzedaż]]/100</f>
        <v>0</v>
      </c>
    </row>
    <row r="679" spans="1:9" x14ac:dyDescent="0.25">
      <c r="A679" s="2">
        <v>44678</v>
      </c>
      <c r="B679" s="1" t="s">
        <v>7</v>
      </c>
      <c r="C679" s="1" t="s">
        <v>16</v>
      </c>
      <c r="D679" s="1" t="s">
        <v>61</v>
      </c>
      <c r="E679">
        <v>467</v>
      </c>
      <c r="F679" s="1">
        <f>VLOOKUP(jablka5[[#This Row],[Nazwa]],cennik[],2,0) * jablka5[[#This Row],[sprzedaż]]</f>
        <v>1587.8</v>
      </c>
      <c r="G679" s="1">
        <f>IF(jablka5[[#This Row],[NIP]]=D678,jablka5[[#This Row],[sprzedaż]]+G678,jablka5[[#This Row],[sprzedaż]])</f>
        <v>6501</v>
      </c>
      <c r="H679" s="1">
        <f>IF(jablka5[[#This Row],[dot sprz]]&lt;15000,0,IF(jablka5[[#This Row],[dot sprz]]&lt;20000,5,10))</f>
        <v>0</v>
      </c>
      <c r="I679" s="1">
        <f>jablka5[[#This Row],[rabat]]*jablka5[[#This Row],[sprzedaż]]/100</f>
        <v>0</v>
      </c>
    </row>
    <row r="680" spans="1:9" x14ac:dyDescent="0.25">
      <c r="A680" s="2">
        <v>44686</v>
      </c>
      <c r="B680" s="1" t="s">
        <v>4</v>
      </c>
      <c r="C680" s="1" t="s">
        <v>16</v>
      </c>
      <c r="D680" s="1" t="s">
        <v>61</v>
      </c>
      <c r="E680">
        <v>548</v>
      </c>
      <c r="F680" s="1">
        <f>VLOOKUP(jablka5[[#This Row],[Nazwa]],cennik[],2,0) * jablka5[[#This Row],[sprzedaż]]</f>
        <v>1863.2</v>
      </c>
      <c r="G680" s="1">
        <f>IF(jablka5[[#This Row],[NIP]]=D679,jablka5[[#This Row],[sprzedaż]]+G679,jablka5[[#This Row],[sprzedaż]])</f>
        <v>7049</v>
      </c>
      <c r="H680" s="1">
        <f>IF(jablka5[[#This Row],[dot sprz]]&lt;15000,0,IF(jablka5[[#This Row],[dot sprz]]&lt;20000,5,10))</f>
        <v>0</v>
      </c>
      <c r="I680" s="1">
        <f>jablka5[[#This Row],[rabat]]*jablka5[[#This Row],[sprzedaż]]/100</f>
        <v>0</v>
      </c>
    </row>
    <row r="681" spans="1:9" x14ac:dyDescent="0.25">
      <c r="A681" s="2">
        <v>44688</v>
      </c>
      <c r="B681" s="1" t="s">
        <v>0</v>
      </c>
      <c r="C681" s="1" t="s">
        <v>16</v>
      </c>
      <c r="D681" s="1" t="s">
        <v>61</v>
      </c>
      <c r="E681">
        <v>120</v>
      </c>
      <c r="F681" s="1">
        <f>VLOOKUP(jablka5[[#This Row],[Nazwa]],cennik[],2,0) * jablka5[[#This Row],[sprzedaż]]</f>
        <v>348</v>
      </c>
      <c r="G681" s="1">
        <f>IF(jablka5[[#This Row],[NIP]]=D680,jablka5[[#This Row],[sprzedaż]]+G680,jablka5[[#This Row],[sprzedaż]])</f>
        <v>7169</v>
      </c>
      <c r="H681" s="1">
        <f>IF(jablka5[[#This Row],[dot sprz]]&lt;15000,0,IF(jablka5[[#This Row],[dot sprz]]&lt;20000,5,10))</f>
        <v>0</v>
      </c>
      <c r="I681" s="1">
        <f>jablka5[[#This Row],[rabat]]*jablka5[[#This Row],[sprzedaż]]/100</f>
        <v>0</v>
      </c>
    </row>
    <row r="682" spans="1:9" x14ac:dyDescent="0.25">
      <c r="A682" s="2">
        <v>44704</v>
      </c>
      <c r="B682" s="1" t="s">
        <v>6</v>
      </c>
      <c r="C682" s="1" t="s">
        <v>16</v>
      </c>
      <c r="D682" s="1" t="s">
        <v>61</v>
      </c>
      <c r="E682">
        <v>135</v>
      </c>
      <c r="F682" s="1">
        <f>VLOOKUP(jablka5[[#This Row],[Nazwa]],cennik[],2,0) * jablka5[[#This Row],[sprzedaż]]</f>
        <v>459</v>
      </c>
      <c r="G682" s="1">
        <f>IF(jablka5[[#This Row],[NIP]]=D681,jablka5[[#This Row],[sprzedaż]]+G681,jablka5[[#This Row],[sprzedaż]])</f>
        <v>7304</v>
      </c>
      <c r="H682" s="1">
        <f>IF(jablka5[[#This Row],[dot sprz]]&lt;15000,0,IF(jablka5[[#This Row],[dot sprz]]&lt;20000,5,10))</f>
        <v>0</v>
      </c>
      <c r="I682" s="1">
        <f>jablka5[[#This Row],[rabat]]*jablka5[[#This Row],[sprzedaż]]/100</f>
        <v>0</v>
      </c>
    </row>
    <row r="683" spans="1:9" x14ac:dyDescent="0.25">
      <c r="A683" s="2">
        <v>44719</v>
      </c>
      <c r="B683" s="1" t="s">
        <v>14</v>
      </c>
      <c r="C683" s="1" t="s">
        <v>67</v>
      </c>
      <c r="D683" s="1" t="s">
        <v>61</v>
      </c>
      <c r="E683">
        <v>466</v>
      </c>
      <c r="F683" s="1">
        <f>VLOOKUP(jablka5[[#This Row],[Nazwa]],cennik[],2,0) * jablka5[[#This Row],[sprzedaż]]</f>
        <v>1631</v>
      </c>
      <c r="G683" s="1">
        <f>IF(jablka5[[#This Row],[NIP]]=D682,jablka5[[#This Row],[sprzedaż]]+G682,jablka5[[#This Row],[sprzedaż]])</f>
        <v>7770</v>
      </c>
      <c r="H683" s="1">
        <f>IF(jablka5[[#This Row],[dot sprz]]&lt;15000,0,IF(jablka5[[#This Row],[dot sprz]]&lt;20000,5,10))</f>
        <v>0</v>
      </c>
      <c r="I683" s="1">
        <f>jablka5[[#This Row],[rabat]]*jablka5[[#This Row],[sprzedaż]]/100</f>
        <v>0</v>
      </c>
    </row>
    <row r="684" spans="1:9" x14ac:dyDescent="0.25">
      <c r="A684" s="2">
        <v>44743</v>
      </c>
      <c r="B684" s="1" t="s">
        <v>12</v>
      </c>
      <c r="C684" s="1" t="s">
        <v>68</v>
      </c>
      <c r="D684" s="1" t="s">
        <v>61</v>
      </c>
      <c r="E684">
        <v>412</v>
      </c>
      <c r="F684" s="1">
        <f>VLOOKUP(jablka5[[#This Row],[Nazwa]],cennik[],2,0) * jablka5[[#This Row],[sprzedaż]]</f>
        <v>1112.4000000000001</v>
      </c>
      <c r="G684" s="1">
        <f>IF(jablka5[[#This Row],[NIP]]=D683,jablka5[[#This Row],[sprzedaż]]+G683,jablka5[[#This Row],[sprzedaż]])</f>
        <v>8182</v>
      </c>
      <c r="H684" s="1">
        <f>IF(jablka5[[#This Row],[dot sprz]]&lt;15000,0,IF(jablka5[[#This Row],[dot sprz]]&lt;20000,5,10))</f>
        <v>0</v>
      </c>
      <c r="I684" s="1">
        <f>jablka5[[#This Row],[rabat]]*jablka5[[#This Row],[sprzedaż]]/100</f>
        <v>0</v>
      </c>
    </row>
    <row r="685" spans="1:9" x14ac:dyDescent="0.25">
      <c r="A685" s="2">
        <v>44746</v>
      </c>
      <c r="B685" s="1" t="s">
        <v>14</v>
      </c>
      <c r="C685" s="1" t="s">
        <v>67</v>
      </c>
      <c r="D685" s="1" t="s">
        <v>61</v>
      </c>
      <c r="E685">
        <v>124</v>
      </c>
      <c r="F685" s="1">
        <f>VLOOKUP(jablka5[[#This Row],[Nazwa]],cennik[],2,0) * jablka5[[#This Row],[sprzedaż]]</f>
        <v>434</v>
      </c>
      <c r="G685" s="1">
        <f>IF(jablka5[[#This Row],[NIP]]=D684,jablka5[[#This Row],[sprzedaż]]+G684,jablka5[[#This Row],[sprzedaż]])</f>
        <v>8306</v>
      </c>
      <c r="H685" s="1">
        <f>IF(jablka5[[#This Row],[dot sprz]]&lt;15000,0,IF(jablka5[[#This Row],[dot sprz]]&lt;20000,5,10))</f>
        <v>0</v>
      </c>
      <c r="I685" s="1">
        <f>jablka5[[#This Row],[rabat]]*jablka5[[#This Row],[sprzedaż]]/100</f>
        <v>0</v>
      </c>
    </row>
    <row r="686" spans="1:9" x14ac:dyDescent="0.25">
      <c r="A686" s="2">
        <v>44746</v>
      </c>
      <c r="B686" s="1" t="s">
        <v>12</v>
      </c>
      <c r="C686" s="1" t="s">
        <v>68</v>
      </c>
      <c r="D686" s="1" t="s">
        <v>61</v>
      </c>
      <c r="E686">
        <v>407</v>
      </c>
      <c r="F686" s="1">
        <f>VLOOKUP(jablka5[[#This Row],[Nazwa]],cennik[],2,0) * jablka5[[#This Row],[sprzedaż]]</f>
        <v>1098.9000000000001</v>
      </c>
      <c r="G686" s="1">
        <f>IF(jablka5[[#This Row],[NIP]]=D685,jablka5[[#This Row],[sprzedaż]]+G685,jablka5[[#This Row],[sprzedaż]])</f>
        <v>8713</v>
      </c>
      <c r="H686" s="1">
        <f>IF(jablka5[[#This Row],[dot sprz]]&lt;15000,0,IF(jablka5[[#This Row],[dot sprz]]&lt;20000,5,10))</f>
        <v>0</v>
      </c>
      <c r="I686" s="1">
        <f>jablka5[[#This Row],[rabat]]*jablka5[[#This Row],[sprzedaż]]/100</f>
        <v>0</v>
      </c>
    </row>
    <row r="687" spans="1:9" x14ac:dyDescent="0.25">
      <c r="A687" s="2">
        <v>44753</v>
      </c>
      <c r="B687" s="1" t="s">
        <v>12</v>
      </c>
      <c r="C687" s="1" t="s">
        <v>68</v>
      </c>
      <c r="D687" s="1" t="s">
        <v>61</v>
      </c>
      <c r="E687">
        <v>155</v>
      </c>
      <c r="F687" s="1">
        <f>VLOOKUP(jablka5[[#This Row],[Nazwa]],cennik[],2,0) * jablka5[[#This Row],[sprzedaż]]</f>
        <v>418.5</v>
      </c>
      <c r="G687" s="1">
        <f>IF(jablka5[[#This Row],[NIP]]=D686,jablka5[[#This Row],[sprzedaż]]+G686,jablka5[[#This Row],[sprzedaż]])</f>
        <v>8868</v>
      </c>
      <c r="H687" s="1">
        <f>IF(jablka5[[#This Row],[dot sprz]]&lt;15000,0,IF(jablka5[[#This Row],[dot sprz]]&lt;20000,5,10))</f>
        <v>0</v>
      </c>
      <c r="I687" s="1">
        <f>jablka5[[#This Row],[rabat]]*jablka5[[#This Row],[sprzedaż]]/100</f>
        <v>0</v>
      </c>
    </row>
    <row r="688" spans="1:9" x14ac:dyDescent="0.25">
      <c r="A688" s="2">
        <v>44757</v>
      </c>
      <c r="B688" s="1" t="s">
        <v>13</v>
      </c>
      <c r="C688" s="1" t="s">
        <v>68</v>
      </c>
      <c r="D688" s="1" t="s">
        <v>61</v>
      </c>
      <c r="E688">
        <v>414</v>
      </c>
      <c r="F688" s="1">
        <f>VLOOKUP(jablka5[[#This Row],[Nazwa]],cennik[],2,0) * jablka5[[#This Row],[sprzedaż]]</f>
        <v>1324.8000000000002</v>
      </c>
      <c r="G688" s="1">
        <f>IF(jablka5[[#This Row],[NIP]]=D687,jablka5[[#This Row],[sprzedaż]]+G687,jablka5[[#This Row],[sprzedaż]])</f>
        <v>9282</v>
      </c>
      <c r="H688" s="1">
        <f>IF(jablka5[[#This Row],[dot sprz]]&lt;15000,0,IF(jablka5[[#This Row],[dot sprz]]&lt;20000,5,10))</f>
        <v>0</v>
      </c>
      <c r="I688" s="1">
        <f>jablka5[[#This Row],[rabat]]*jablka5[[#This Row],[sprzedaż]]/100</f>
        <v>0</v>
      </c>
    </row>
    <row r="689" spans="1:9" x14ac:dyDescent="0.25">
      <c r="A689" s="2">
        <v>44765</v>
      </c>
      <c r="B689" s="1" t="s">
        <v>13</v>
      </c>
      <c r="C689" s="1" t="s">
        <v>68</v>
      </c>
      <c r="D689" s="1" t="s">
        <v>61</v>
      </c>
      <c r="E689">
        <v>126</v>
      </c>
      <c r="F689" s="1">
        <f>VLOOKUP(jablka5[[#This Row],[Nazwa]],cennik[],2,0) * jablka5[[#This Row],[sprzedaż]]</f>
        <v>403.20000000000005</v>
      </c>
      <c r="G689" s="1">
        <f>IF(jablka5[[#This Row],[NIP]]=D688,jablka5[[#This Row],[sprzedaż]]+G688,jablka5[[#This Row],[sprzedaż]])</f>
        <v>9408</v>
      </c>
      <c r="H689" s="1">
        <f>IF(jablka5[[#This Row],[dot sprz]]&lt;15000,0,IF(jablka5[[#This Row],[dot sprz]]&lt;20000,5,10))</f>
        <v>0</v>
      </c>
      <c r="I689" s="1">
        <f>jablka5[[#This Row],[rabat]]*jablka5[[#This Row],[sprzedaż]]/100</f>
        <v>0</v>
      </c>
    </row>
    <row r="690" spans="1:9" x14ac:dyDescent="0.25">
      <c r="A690" s="2">
        <v>44772</v>
      </c>
      <c r="B690" s="1" t="s">
        <v>13</v>
      </c>
      <c r="C690" s="1" t="s">
        <v>68</v>
      </c>
      <c r="D690" s="1" t="s">
        <v>61</v>
      </c>
      <c r="E690">
        <v>125</v>
      </c>
      <c r="F690" s="1">
        <f>VLOOKUP(jablka5[[#This Row],[Nazwa]],cennik[],2,0) * jablka5[[#This Row],[sprzedaż]]</f>
        <v>400</v>
      </c>
      <c r="G690" s="1">
        <f>IF(jablka5[[#This Row],[NIP]]=D689,jablka5[[#This Row],[sprzedaż]]+G689,jablka5[[#This Row],[sprzedaż]])</f>
        <v>9533</v>
      </c>
      <c r="H690" s="1">
        <f>IF(jablka5[[#This Row],[dot sprz]]&lt;15000,0,IF(jablka5[[#This Row],[dot sprz]]&lt;20000,5,10))</f>
        <v>0</v>
      </c>
      <c r="I690" s="1">
        <f>jablka5[[#This Row],[rabat]]*jablka5[[#This Row],[sprzedaż]]/100</f>
        <v>0</v>
      </c>
    </row>
    <row r="691" spans="1:9" x14ac:dyDescent="0.25">
      <c r="A691" s="2">
        <v>44775</v>
      </c>
      <c r="B691" s="1" t="s">
        <v>13</v>
      </c>
      <c r="C691" s="1" t="s">
        <v>68</v>
      </c>
      <c r="D691" s="1" t="s">
        <v>61</v>
      </c>
      <c r="E691">
        <v>333</v>
      </c>
      <c r="F691" s="1">
        <f>VLOOKUP(jablka5[[#This Row],[Nazwa]],cennik[],2,0) * jablka5[[#This Row],[sprzedaż]]</f>
        <v>1065.6000000000001</v>
      </c>
      <c r="G691" s="1">
        <f>IF(jablka5[[#This Row],[NIP]]=D690,jablka5[[#This Row],[sprzedaż]]+G690,jablka5[[#This Row],[sprzedaż]])</f>
        <v>9866</v>
      </c>
      <c r="H691" s="1">
        <f>IF(jablka5[[#This Row],[dot sprz]]&lt;15000,0,IF(jablka5[[#This Row],[dot sprz]]&lt;20000,5,10))</f>
        <v>0</v>
      </c>
      <c r="I691" s="1">
        <f>jablka5[[#This Row],[rabat]]*jablka5[[#This Row],[sprzedaż]]/100</f>
        <v>0</v>
      </c>
    </row>
    <row r="692" spans="1:9" x14ac:dyDescent="0.25">
      <c r="A692" s="2">
        <v>44777</v>
      </c>
      <c r="B692" s="1" t="s">
        <v>13</v>
      </c>
      <c r="C692" s="1" t="s">
        <v>68</v>
      </c>
      <c r="D692" s="1" t="s">
        <v>61</v>
      </c>
      <c r="E692">
        <v>143</v>
      </c>
      <c r="F692" s="1">
        <f>VLOOKUP(jablka5[[#This Row],[Nazwa]],cennik[],2,0) * jablka5[[#This Row],[sprzedaż]]</f>
        <v>457.6</v>
      </c>
      <c r="G692" s="1">
        <f>IF(jablka5[[#This Row],[NIP]]=D691,jablka5[[#This Row],[sprzedaż]]+G691,jablka5[[#This Row],[sprzedaż]])</f>
        <v>10009</v>
      </c>
      <c r="H692" s="1">
        <f>IF(jablka5[[#This Row],[dot sprz]]&lt;15000,0,IF(jablka5[[#This Row],[dot sprz]]&lt;20000,5,10))</f>
        <v>0</v>
      </c>
      <c r="I692" s="1">
        <f>jablka5[[#This Row],[rabat]]*jablka5[[#This Row],[sprzedaż]]/100</f>
        <v>0</v>
      </c>
    </row>
    <row r="693" spans="1:9" x14ac:dyDescent="0.25">
      <c r="A693" s="2">
        <v>44779</v>
      </c>
      <c r="B693" s="1" t="s">
        <v>13</v>
      </c>
      <c r="C693" s="1" t="s">
        <v>68</v>
      </c>
      <c r="D693" s="1" t="s">
        <v>61</v>
      </c>
      <c r="E693">
        <v>49</v>
      </c>
      <c r="F693" s="1">
        <f>VLOOKUP(jablka5[[#This Row],[Nazwa]],cennik[],2,0) * jablka5[[#This Row],[sprzedaż]]</f>
        <v>156.80000000000001</v>
      </c>
      <c r="G693" s="1">
        <f>IF(jablka5[[#This Row],[NIP]]=D692,jablka5[[#This Row],[sprzedaż]]+G692,jablka5[[#This Row],[sprzedaż]])</f>
        <v>10058</v>
      </c>
      <c r="H693" s="1">
        <f>IF(jablka5[[#This Row],[dot sprz]]&lt;15000,0,IF(jablka5[[#This Row],[dot sprz]]&lt;20000,5,10))</f>
        <v>0</v>
      </c>
      <c r="I693" s="1">
        <f>jablka5[[#This Row],[rabat]]*jablka5[[#This Row],[sprzedaż]]/100</f>
        <v>0</v>
      </c>
    </row>
    <row r="694" spans="1:9" x14ac:dyDescent="0.25">
      <c r="A694" s="2">
        <v>44783</v>
      </c>
      <c r="B694" s="1" t="s">
        <v>12</v>
      </c>
      <c r="C694" s="1" t="s">
        <v>68</v>
      </c>
      <c r="D694" s="1" t="s">
        <v>61</v>
      </c>
      <c r="E694">
        <v>419</v>
      </c>
      <c r="F694" s="1">
        <f>VLOOKUP(jablka5[[#This Row],[Nazwa]],cennik[],2,0) * jablka5[[#This Row],[sprzedaż]]</f>
        <v>1131.3000000000002</v>
      </c>
      <c r="G694" s="1">
        <f>IF(jablka5[[#This Row],[NIP]]=D693,jablka5[[#This Row],[sprzedaż]]+G693,jablka5[[#This Row],[sprzedaż]])</f>
        <v>10477</v>
      </c>
      <c r="H694" s="1">
        <f>IF(jablka5[[#This Row],[dot sprz]]&lt;15000,0,IF(jablka5[[#This Row],[dot sprz]]&lt;20000,5,10))</f>
        <v>0</v>
      </c>
      <c r="I694" s="1">
        <f>jablka5[[#This Row],[rabat]]*jablka5[[#This Row],[sprzedaż]]/100</f>
        <v>0</v>
      </c>
    </row>
    <row r="695" spans="1:9" x14ac:dyDescent="0.25">
      <c r="A695" s="2">
        <v>44786</v>
      </c>
      <c r="B695" s="1" t="s">
        <v>13</v>
      </c>
      <c r="C695" s="1" t="s">
        <v>68</v>
      </c>
      <c r="D695" s="1" t="s">
        <v>61</v>
      </c>
      <c r="E695">
        <v>51</v>
      </c>
      <c r="F695" s="1">
        <f>VLOOKUP(jablka5[[#This Row],[Nazwa]],cennik[],2,0) * jablka5[[#This Row],[sprzedaż]]</f>
        <v>163.20000000000002</v>
      </c>
      <c r="G695" s="1">
        <f>IF(jablka5[[#This Row],[NIP]]=D694,jablka5[[#This Row],[sprzedaż]]+G694,jablka5[[#This Row],[sprzedaż]])</f>
        <v>10528</v>
      </c>
      <c r="H695" s="1">
        <f>IF(jablka5[[#This Row],[dot sprz]]&lt;15000,0,IF(jablka5[[#This Row],[dot sprz]]&lt;20000,5,10))</f>
        <v>0</v>
      </c>
      <c r="I695" s="1">
        <f>jablka5[[#This Row],[rabat]]*jablka5[[#This Row],[sprzedaż]]/100</f>
        <v>0</v>
      </c>
    </row>
    <row r="696" spans="1:9" x14ac:dyDescent="0.25">
      <c r="A696" s="2">
        <v>44807</v>
      </c>
      <c r="B696" s="1" t="s">
        <v>1</v>
      </c>
      <c r="C696" s="1" t="s">
        <v>67</v>
      </c>
      <c r="D696" s="1" t="s">
        <v>61</v>
      </c>
      <c r="E696">
        <v>261</v>
      </c>
      <c r="F696" s="1">
        <f>VLOOKUP(jablka5[[#This Row],[Nazwa]],cennik[],2,0) * jablka5[[#This Row],[sprzedaż]]</f>
        <v>835.2</v>
      </c>
      <c r="G696" s="1">
        <f>IF(jablka5[[#This Row],[NIP]]=D695,jablka5[[#This Row],[sprzedaż]]+G695,jablka5[[#This Row],[sprzedaż]])</f>
        <v>10789</v>
      </c>
      <c r="H696" s="1">
        <f>IF(jablka5[[#This Row],[dot sprz]]&lt;15000,0,IF(jablka5[[#This Row],[dot sprz]]&lt;20000,5,10))</f>
        <v>0</v>
      </c>
      <c r="I696" s="1">
        <f>jablka5[[#This Row],[rabat]]*jablka5[[#This Row],[sprzedaż]]/100</f>
        <v>0</v>
      </c>
    </row>
    <row r="697" spans="1:9" x14ac:dyDescent="0.25">
      <c r="A697" s="2">
        <v>44824</v>
      </c>
      <c r="B697" s="1" t="s">
        <v>9</v>
      </c>
      <c r="C697" s="1" t="s">
        <v>67</v>
      </c>
      <c r="D697" s="1" t="s">
        <v>61</v>
      </c>
      <c r="E697">
        <v>82</v>
      </c>
      <c r="F697" s="1">
        <f>VLOOKUP(jablka5[[#This Row],[Nazwa]],cennik[],2,0) * jablka5[[#This Row],[sprzedaż]]</f>
        <v>205</v>
      </c>
      <c r="G697" s="1">
        <f>IF(jablka5[[#This Row],[NIP]]=D696,jablka5[[#This Row],[sprzedaż]]+G696,jablka5[[#This Row],[sprzedaż]])</f>
        <v>10871</v>
      </c>
      <c r="H697" s="1">
        <f>IF(jablka5[[#This Row],[dot sprz]]&lt;15000,0,IF(jablka5[[#This Row],[dot sprz]]&lt;20000,5,10))</f>
        <v>0</v>
      </c>
      <c r="I697" s="1">
        <f>jablka5[[#This Row],[rabat]]*jablka5[[#This Row],[sprzedaż]]/100</f>
        <v>0</v>
      </c>
    </row>
    <row r="698" spans="1:9" x14ac:dyDescent="0.25">
      <c r="A698" s="2">
        <v>44851</v>
      </c>
      <c r="B698" s="1" t="s">
        <v>1</v>
      </c>
      <c r="C698" s="1" t="s">
        <v>67</v>
      </c>
      <c r="D698" s="1" t="s">
        <v>61</v>
      </c>
      <c r="E698">
        <v>208</v>
      </c>
      <c r="F698" s="1">
        <f>VLOOKUP(jablka5[[#This Row],[Nazwa]],cennik[],2,0) * jablka5[[#This Row],[sprzedaż]]</f>
        <v>665.6</v>
      </c>
      <c r="G698" s="1">
        <f>IF(jablka5[[#This Row],[NIP]]=D697,jablka5[[#This Row],[sprzedaż]]+G697,jablka5[[#This Row],[sprzedaż]])</f>
        <v>11079</v>
      </c>
      <c r="H698" s="1">
        <f>IF(jablka5[[#This Row],[dot sprz]]&lt;15000,0,IF(jablka5[[#This Row],[dot sprz]]&lt;20000,5,10))</f>
        <v>0</v>
      </c>
      <c r="I698" s="1">
        <f>jablka5[[#This Row],[rabat]]*jablka5[[#This Row],[sprzedaż]]/100</f>
        <v>0</v>
      </c>
    </row>
    <row r="699" spans="1:9" x14ac:dyDescent="0.25">
      <c r="A699" s="2">
        <v>44851</v>
      </c>
      <c r="B699" s="1" t="s">
        <v>3</v>
      </c>
      <c r="C699" s="1" t="s">
        <v>67</v>
      </c>
      <c r="D699" s="1" t="s">
        <v>61</v>
      </c>
      <c r="E699">
        <v>361</v>
      </c>
      <c r="F699" s="1">
        <f>VLOOKUP(jablka5[[#This Row],[Nazwa]],cennik[],2,0) * jablka5[[#This Row],[sprzedaż]]</f>
        <v>1155.2</v>
      </c>
      <c r="G699" s="1">
        <f>IF(jablka5[[#This Row],[NIP]]=D698,jablka5[[#This Row],[sprzedaż]]+G698,jablka5[[#This Row],[sprzedaż]])</f>
        <v>11440</v>
      </c>
      <c r="H699" s="1">
        <f>IF(jablka5[[#This Row],[dot sprz]]&lt;15000,0,IF(jablka5[[#This Row],[dot sprz]]&lt;20000,5,10))</f>
        <v>0</v>
      </c>
      <c r="I699" s="1">
        <f>jablka5[[#This Row],[rabat]]*jablka5[[#This Row],[sprzedaż]]/100</f>
        <v>0</v>
      </c>
    </row>
    <row r="700" spans="1:9" x14ac:dyDescent="0.25">
      <c r="A700" s="2">
        <v>44855</v>
      </c>
      <c r="B700" s="1" t="s">
        <v>9</v>
      </c>
      <c r="C700" s="1" t="s">
        <v>67</v>
      </c>
      <c r="D700" s="1" t="s">
        <v>61</v>
      </c>
      <c r="E700">
        <v>421</v>
      </c>
      <c r="F700" s="1">
        <f>VLOOKUP(jablka5[[#This Row],[Nazwa]],cennik[],2,0) * jablka5[[#This Row],[sprzedaż]]</f>
        <v>1052.5</v>
      </c>
      <c r="G700" s="1">
        <f>IF(jablka5[[#This Row],[NIP]]=D699,jablka5[[#This Row],[sprzedaż]]+G699,jablka5[[#This Row],[sprzedaż]])</f>
        <v>11861</v>
      </c>
      <c r="H700" s="1">
        <f>IF(jablka5[[#This Row],[dot sprz]]&lt;15000,0,IF(jablka5[[#This Row],[dot sprz]]&lt;20000,5,10))</f>
        <v>0</v>
      </c>
      <c r="I700" s="1">
        <f>jablka5[[#This Row],[rabat]]*jablka5[[#This Row],[sprzedaż]]/100</f>
        <v>0</v>
      </c>
    </row>
    <row r="701" spans="1:9" x14ac:dyDescent="0.25">
      <c r="A701" s="2">
        <v>44861</v>
      </c>
      <c r="B701" s="1" t="s">
        <v>14</v>
      </c>
      <c r="C701" s="1" t="s">
        <v>67</v>
      </c>
      <c r="D701" s="1" t="s">
        <v>61</v>
      </c>
      <c r="E701">
        <v>395</v>
      </c>
      <c r="F701" s="1">
        <f>VLOOKUP(jablka5[[#This Row],[Nazwa]],cennik[],2,0) * jablka5[[#This Row],[sprzedaż]]</f>
        <v>1382.5</v>
      </c>
      <c r="G701" s="1">
        <f>IF(jablka5[[#This Row],[NIP]]=D700,jablka5[[#This Row],[sprzedaż]]+G700,jablka5[[#This Row],[sprzedaż]])</f>
        <v>12256</v>
      </c>
      <c r="H701" s="1">
        <f>IF(jablka5[[#This Row],[dot sprz]]&lt;15000,0,IF(jablka5[[#This Row],[dot sprz]]&lt;20000,5,10))</f>
        <v>0</v>
      </c>
      <c r="I701" s="1">
        <f>jablka5[[#This Row],[rabat]]*jablka5[[#This Row],[sprzedaż]]/100</f>
        <v>0</v>
      </c>
    </row>
    <row r="702" spans="1:9" x14ac:dyDescent="0.25">
      <c r="A702" s="2">
        <v>44863</v>
      </c>
      <c r="B702" s="1" t="s">
        <v>9</v>
      </c>
      <c r="C702" s="1" t="s">
        <v>67</v>
      </c>
      <c r="D702" s="1" t="s">
        <v>61</v>
      </c>
      <c r="E702">
        <v>242</v>
      </c>
      <c r="F702" s="1">
        <f>VLOOKUP(jablka5[[#This Row],[Nazwa]],cennik[],2,0) * jablka5[[#This Row],[sprzedaż]]</f>
        <v>605</v>
      </c>
      <c r="G702" s="1">
        <f>IF(jablka5[[#This Row],[NIP]]=D701,jablka5[[#This Row],[sprzedaż]]+G701,jablka5[[#This Row],[sprzedaż]])</f>
        <v>12498</v>
      </c>
      <c r="H702" s="1">
        <f>IF(jablka5[[#This Row],[dot sprz]]&lt;15000,0,IF(jablka5[[#This Row],[dot sprz]]&lt;20000,5,10))</f>
        <v>0</v>
      </c>
      <c r="I702" s="1">
        <f>jablka5[[#This Row],[rabat]]*jablka5[[#This Row],[sprzedaż]]/100</f>
        <v>0</v>
      </c>
    </row>
    <row r="703" spans="1:9" x14ac:dyDescent="0.25">
      <c r="A703" s="2">
        <v>44866</v>
      </c>
      <c r="B703" s="1" t="s">
        <v>14</v>
      </c>
      <c r="C703" s="1" t="s">
        <v>67</v>
      </c>
      <c r="D703" s="1" t="s">
        <v>61</v>
      </c>
      <c r="E703">
        <v>444</v>
      </c>
      <c r="F703" s="1">
        <f>VLOOKUP(jablka5[[#This Row],[Nazwa]],cennik[],2,0) * jablka5[[#This Row],[sprzedaż]]</f>
        <v>1554</v>
      </c>
      <c r="G703" s="1">
        <f>IF(jablka5[[#This Row],[NIP]]=D702,jablka5[[#This Row],[sprzedaż]]+G702,jablka5[[#This Row],[sprzedaż]])</f>
        <v>12942</v>
      </c>
      <c r="H703" s="1">
        <f>IF(jablka5[[#This Row],[dot sprz]]&lt;15000,0,IF(jablka5[[#This Row],[dot sprz]]&lt;20000,5,10))</f>
        <v>0</v>
      </c>
      <c r="I703" s="1">
        <f>jablka5[[#This Row],[rabat]]*jablka5[[#This Row],[sprzedaż]]/100</f>
        <v>0</v>
      </c>
    </row>
    <row r="704" spans="1:9" x14ac:dyDescent="0.25">
      <c r="A704" s="2">
        <v>44877</v>
      </c>
      <c r="B704" s="1" t="s">
        <v>3</v>
      </c>
      <c r="C704" s="1" t="s">
        <v>67</v>
      </c>
      <c r="D704" s="1" t="s">
        <v>61</v>
      </c>
      <c r="E704">
        <v>172</v>
      </c>
      <c r="F704" s="1">
        <f>VLOOKUP(jablka5[[#This Row],[Nazwa]],cennik[],2,0) * jablka5[[#This Row],[sprzedaż]]</f>
        <v>550.4</v>
      </c>
      <c r="G704" s="1">
        <f>IF(jablka5[[#This Row],[NIP]]=D703,jablka5[[#This Row],[sprzedaż]]+G703,jablka5[[#This Row],[sprzedaż]])</f>
        <v>13114</v>
      </c>
      <c r="H704" s="1">
        <f>IF(jablka5[[#This Row],[dot sprz]]&lt;15000,0,IF(jablka5[[#This Row],[dot sprz]]&lt;20000,5,10))</f>
        <v>0</v>
      </c>
      <c r="I704" s="1">
        <f>jablka5[[#This Row],[rabat]]*jablka5[[#This Row],[sprzedaż]]/100</f>
        <v>0</v>
      </c>
    </row>
    <row r="705" spans="1:9" x14ac:dyDescent="0.25">
      <c r="A705" s="2">
        <v>44880</v>
      </c>
      <c r="B705" s="1" t="s">
        <v>1</v>
      </c>
      <c r="C705" s="1" t="s">
        <v>67</v>
      </c>
      <c r="D705" s="1" t="s">
        <v>61</v>
      </c>
      <c r="E705">
        <v>264</v>
      </c>
      <c r="F705" s="1">
        <f>VLOOKUP(jablka5[[#This Row],[Nazwa]],cennik[],2,0) * jablka5[[#This Row],[sprzedaż]]</f>
        <v>844.80000000000007</v>
      </c>
      <c r="G705" s="1">
        <f>IF(jablka5[[#This Row],[NIP]]=D704,jablka5[[#This Row],[sprzedaż]]+G704,jablka5[[#This Row],[sprzedaż]])</f>
        <v>13378</v>
      </c>
      <c r="H705" s="1">
        <f>IF(jablka5[[#This Row],[dot sprz]]&lt;15000,0,IF(jablka5[[#This Row],[dot sprz]]&lt;20000,5,10))</f>
        <v>0</v>
      </c>
      <c r="I705" s="1">
        <f>jablka5[[#This Row],[rabat]]*jablka5[[#This Row],[sprzedaż]]/100</f>
        <v>0</v>
      </c>
    </row>
    <row r="706" spans="1:9" x14ac:dyDescent="0.25">
      <c r="A706" s="2">
        <v>44882</v>
      </c>
      <c r="B706" s="1" t="s">
        <v>14</v>
      </c>
      <c r="C706" s="1" t="s">
        <v>67</v>
      </c>
      <c r="D706" s="1" t="s">
        <v>61</v>
      </c>
      <c r="E706">
        <v>172</v>
      </c>
      <c r="F706" s="1">
        <f>VLOOKUP(jablka5[[#This Row],[Nazwa]],cennik[],2,0) * jablka5[[#This Row],[sprzedaż]]</f>
        <v>602</v>
      </c>
      <c r="G706" s="1">
        <f>IF(jablka5[[#This Row],[NIP]]=D705,jablka5[[#This Row],[sprzedaż]]+G705,jablka5[[#This Row],[sprzedaż]])</f>
        <v>13550</v>
      </c>
      <c r="H706" s="1">
        <f>IF(jablka5[[#This Row],[dot sprz]]&lt;15000,0,IF(jablka5[[#This Row],[dot sprz]]&lt;20000,5,10))</f>
        <v>0</v>
      </c>
      <c r="I706" s="1">
        <f>jablka5[[#This Row],[rabat]]*jablka5[[#This Row],[sprzedaż]]/100</f>
        <v>0</v>
      </c>
    </row>
    <row r="707" spans="1:9" x14ac:dyDescent="0.25">
      <c r="A707" s="2">
        <v>44887</v>
      </c>
      <c r="B707" s="1" t="s">
        <v>3</v>
      </c>
      <c r="C707" s="1" t="s">
        <v>67</v>
      </c>
      <c r="D707" s="1" t="s">
        <v>61</v>
      </c>
      <c r="E707">
        <v>110</v>
      </c>
      <c r="F707" s="1">
        <f>VLOOKUP(jablka5[[#This Row],[Nazwa]],cennik[],2,0) * jablka5[[#This Row],[sprzedaż]]</f>
        <v>352</v>
      </c>
      <c r="G707" s="1">
        <f>IF(jablka5[[#This Row],[NIP]]=D706,jablka5[[#This Row],[sprzedaż]]+G706,jablka5[[#This Row],[sprzedaż]])</f>
        <v>13660</v>
      </c>
      <c r="H707" s="1">
        <f>IF(jablka5[[#This Row],[dot sprz]]&lt;15000,0,IF(jablka5[[#This Row],[dot sprz]]&lt;20000,5,10))</f>
        <v>0</v>
      </c>
      <c r="I707" s="1">
        <f>jablka5[[#This Row],[rabat]]*jablka5[[#This Row],[sprzedaż]]/100</f>
        <v>0</v>
      </c>
    </row>
    <row r="708" spans="1:9" x14ac:dyDescent="0.25">
      <c r="A708" s="2">
        <v>44888</v>
      </c>
      <c r="B708" s="1" t="s">
        <v>3</v>
      </c>
      <c r="C708" s="1" t="s">
        <v>67</v>
      </c>
      <c r="D708" s="1" t="s">
        <v>61</v>
      </c>
      <c r="E708">
        <v>495</v>
      </c>
      <c r="F708" s="1">
        <f>VLOOKUP(jablka5[[#This Row],[Nazwa]],cennik[],2,0) * jablka5[[#This Row],[sprzedaż]]</f>
        <v>1584</v>
      </c>
      <c r="G708" s="1">
        <f>IF(jablka5[[#This Row],[NIP]]=D707,jablka5[[#This Row],[sprzedaż]]+G707,jablka5[[#This Row],[sprzedaż]])</f>
        <v>14155</v>
      </c>
      <c r="H708" s="1">
        <f>IF(jablka5[[#This Row],[dot sprz]]&lt;15000,0,IF(jablka5[[#This Row],[dot sprz]]&lt;20000,5,10))</f>
        <v>0</v>
      </c>
      <c r="I708" s="1">
        <f>jablka5[[#This Row],[rabat]]*jablka5[[#This Row],[sprzedaż]]/100</f>
        <v>0</v>
      </c>
    </row>
    <row r="709" spans="1:9" x14ac:dyDescent="0.25">
      <c r="A709" s="2">
        <v>44894</v>
      </c>
      <c r="B709" s="1" t="s">
        <v>1</v>
      </c>
      <c r="C709" s="1" t="s">
        <v>67</v>
      </c>
      <c r="D709" s="1" t="s">
        <v>61</v>
      </c>
      <c r="E709">
        <v>17</v>
      </c>
      <c r="F709" s="1">
        <f>VLOOKUP(jablka5[[#This Row],[Nazwa]],cennik[],2,0) * jablka5[[#This Row],[sprzedaż]]</f>
        <v>54.400000000000006</v>
      </c>
      <c r="G709" s="1">
        <f>IF(jablka5[[#This Row],[NIP]]=D708,jablka5[[#This Row],[sprzedaż]]+G708,jablka5[[#This Row],[sprzedaż]])</f>
        <v>14172</v>
      </c>
      <c r="H709" s="1">
        <f>IF(jablka5[[#This Row],[dot sprz]]&lt;15000,0,IF(jablka5[[#This Row],[dot sprz]]&lt;20000,5,10))</f>
        <v>0</v>
      </c>
      <c r="I709" s="1">
        <f>jablka5[[#This Row],[rabat]]*jablka5[[#This Row],[sprzedaż]]/100</f>
        <v>0</v>
      </c>
    </row>
    <row r="710" spans="1:9" x14ac:dyDescent="0.25">
      <c r="A710" s="2">
        <v>44897</v>
      </c>
      <c r="B710" s="1" t="s">
        <v>6</v>
      </c>
      <c r="C710" s="1" t="s">
        <v>16</v>
      </c>
      <c r="D710" s="1" t="s">
        <v>61</v>
      </c>
      <c r="E710">
        <v>458</v>
      </c>
      <c r="F710" s="1">
        <f>VLOOKUP(jablka5[[#This Row],[Nazwa]],cennik[],2,0) * jablka5[[#This Row],[sprzedaż]]</f>
        <v>1557.2</v>
      </c>
      <c r="G710" s="1">
        <f>IF(jablka5[[#This Row],[NIP]]=D709,jablka5[[#This Row],[sprzedaż]]+G709,jablka5[[#This Row],[sprzedaż]])</f>
        <v>14630</v>
      </c>
      <c r="H710" s="1">
        <f>IF(jablka5[[#This Row],[dot sprz]]&lt;15000,0,IF(jablka5[[#This Row],[dot sprz]]&lt;20000,5,10))</f>
        <v>0</v>
      </c>
      <c r="I710" s="1">
        <f>jablka5[[#This Row],[rabat]]*jablka5[[#This Row],[sprzedaż]]/100</f>
        <v>0</v>
      </c>
    </row>
    <row r="711" spans="1:9" x14ac:dyDescent="0.25">
      <c r="A711" s="2">
        <v>44901</v>
      </c>
      <c r="B711" s="1" t="s">
        <v>15</v>
      </c>
      <c r="C711" s="1" t="s">
        <v>16</v>
      </c>
      <c r="D711" s="1" t="s">
        <v>61</v>
      </c>
      <c r="E711">
        <v>142</v>
      </c>
      <c r="F711" s="1">
        <f>VLOOKUP(jablka5[[#This Row],[Nazwa]],cennik[],2,0) * jablka5[[#This Row],[sprzedaż]]</f>
        <v>340.8</v>
      </c>
      <c r="G711" s="1">
        <f>IF(jablka5[[#This Row],[NIP]]=D710,jablka5[[#This Row],[sprzedaż]]+G710,jablka5[[#This Row],[sprzedaż]])</f>
        <v>14772</v>
      </c>
      <c r="H711" s="1">
        <f>IF(jablka5[[#This Row],[dot sprz]]&lt;15000,0,IF(jablka5[[#This Row],[dot sprz]]&lt;20000,5,10))</f>
        <v>0</v>
      </c>
      <c r="I711" s="1">
        <f>jablka5[[#This Row],[rabat]]*jablka5[[#This Row],[sprzedaż]]/100</f>
        <v>0</v>
      </c>
    </row>
    <row r="712" spans="1:9" x14ac:dyDescent="0.25">
      <c r="A712" s="2">
        <v>44903</v>
      </c>
      <c r="B712" s="1" t="s">
        <v>5</v>
      </c>
      <c r="C712" s="1" t="s">
        <v>16</v>
      </c>
      <c r="D712" s="1" t="s">
        <v>61</v>
      </c>
      <c r="E712">
        <v>382</v>
      </c>
      <c r="F712" s="1">
        <f>VLOOKUP(jablka5[[#This Row],[Nazwa]],cennik[],2,0) * jablka5[[#This Row],[sprzedaż]]</f>
        <v>1298.8</v>
      </c>
      <c r="G712" s="1">
        <f>IF(jablka5[[#This Row],[NIP]]=D711,jablka5[[#This Row],[sprzedaż]]+G711,jablka5[[#This Row],[sprzedaż]])</f>
        <v>15154</v>
      </c>
      <c r="H712" s="1">
        <f>IF(jablka5[[#This Row],[dot sprz]]&lt;15000,0,IF(jablka5[[#This Row],[dot sprz]]&lt;20000,5,10))</f>
        <v>5</v>
      </c>
      <c r="I712" s="1">
        <f>jablka5[[#This Row],[rabat]]*jablka5[[#This Row],[sprzedaż]]/100</f>
        <v>19.100000000000001</v>
      </c>
    </row>
    <row r="713" spans="1:9" x14ac:dyDescent="0.25">
      <c r="A713" s="2">
        <v>44915</v>
      </c>
      <c r="B713" s="1" t="s">
        <v>2</v>
      </c>
      <c r="C713" s="1" t="s">
        <v>16</v>
      </c>
      <c r="D713" s="1" t="s">
        <v>61</v>
      </c>
      <c r="E713">
        <v>337</v>
      </c>
      <c r="F713" s="1">
        <f>VLOOKUP(jablka5[[#This Row],[Nazwa]],cennik[],2,0) * jablka5[[#This Row],[sprzedaż]]</f>
        <v>1078.4000000000001</v>
      </c>
      <c r="G713" s="1">
        <f>IF(jablka5[[#This Row],[NIP]]=D712,jablka5[[#This Row],[sprzedaż]]+G712,jablka5[[#This Row],[sprzedaż]])</f>
        <v>15491</v>
      </c>
      <c r="H713" s="1">
        <f>IF(jablka5[[#This Row],[dot sprz]]&lt;15000,0,IF(jablka5[[#This Row],[dot sprz]]&lt;20000,5,10))</f>
        <v>5</v>
      </c>
      <c r="I713" s="1">
        <f>jablka5[[#This Row],[rabat]]*jablka5[[#This Row],[sprzedaż]]/100</f>
        <v>16.850000000000001</v>
      </c>
    </row>
    <row r="714" spans="1:9" x14ac:dyDescent="0.25">
      <c r="A714" s="2">
        <v>44918</v>
      </c>
      <c r="B714" s="1" t="s">
        <v>4</v>
      </c>
      <c r="C714" s="1" t="s">
        <v>16</v>
      </c>
      <c r="D714" s="1" t="s">
        <v>61</v>
      </c>
      <c r="E714">
        <v>549</v>
      </c>
      <c r="F714" s="1">
        <f>VLOOKUP(jablka5[[#This Row],[Nazwa]],cennik[],2,0) * jablka5[[#This Row],[sprzedaż]]</f>
        <v>1866.6</v>
      </c>
      <c r="G714" s="1">
        <f>IF(jablka5[[#This Row],[NIP]]=D713,jablka5[[#This Row],[sprzedaż]]+G713,jablka5[[#This Row],[sprzedaż]])</f>
        <v>16040</v>
      </c>
      <c r="H714" s="1">
        <f>IF(jablka5[[#This Row],[dot sprz]]&lt;15000,0,IF(jablka5[[#This Row],[dot sprz]]&lt;20000,5,10))</f>
        <v>5</v>
      </c>
      <c r="I714" s="1">
        <f>jablka5[[#This Row],[rabat]]*jablka5[[#This Row],[sprzedaż]]/100</f>
        <v>27.45</v>
      </c>
    </row>
    <row r="715" spans="1:9" x14ac:dyDescent="0.25">
      <c r="A715" s="2">
        <v>44926</v>
      </c>
      <c r="B715" s="1" t="s">
        <v>5</v>
      </c>
      <c r="C715" s="1" t="s">
        <v>16</v>
      </c>
      <c r="D715" s="1" t="s">
        <v>61</v>
      </c>
      <c r="E715">
        <v>281</v>
      </c>
      <c r="F715" s="1">
        <f>VLOOKUP(jablka5[[#This Row],[Nazwa]],cennik[],2,0) * jablka5[[#This Row],[sprzedaż]]</f>
        <v>955.4</v>
      </c>
      <c r="G715" s="1">
        <f>IF(jablka5[[#This Row],[NIP]]=D714,jablka5[[#This Row],[sprzedaż]]+G714,jablka5[[#This Row],[sprzedaż]])</f>
        <v>16321</v>
      </c>
      <c r="H715" s="1">
        <f>IF(jablka5[[#This Row],[dot sprz]]&lt;15000,0,IF(jablka5[[#This Row],[dot sprz]]&lt;20000,5,10))</f>
        <v>5</v>
      </c>
      <c r="I715" s="1">
        <f>jablka5[[#This Row],[rabat]]*jablka5[[#This Row],[sprzedaż]]/100</f>
        <v>14.05</v>
      </c>
    </row>
    <row r="716" spans="1:9" x14ac:dyDescent="0.25">
      <c r="A716" s="2">
        <v>44572</v>
      </c>
      <c r="B716" s="1" t="s">
        <v>6</v>
      </c>
      <c r="C716" s="1" t="s">
        <v>16</v>
      </c>
      <c r="D716" s="1" t="s">
        <v>54</v>
      </c>
      <c r="E716">
        <v>254</v>
      </c>
      <c r="F716" s="1">
        <f>VLOOKUP(jablka5[[#This Row],[Nazwa]],cennik[],2,0) * jablka5[[#This Row],[sprzedaż]]</f>
        <v>863.6</v>
      </c>
      <c r="G716" s="1">
        <f>IF(jablka5[[#This Row],[NIP]]=D715,jablka5[[#This Row],[sprzedaż]]+G715,jablka5[[#This Row],[sprzedaż]])</f>
        <v>254</v>
      </c>
      <c r="H716" s="1">
        <f>IF(jablka5[[#This Row],[dot sprz]]&lt;15000,0,IF(jablka5[[#This Row],[dot sprz]]&lt;20000,5,10))</f>
        <v>0</v>
      </c>
      <c r="I716" s="1">
        <f>jablka5[[#This Row],[rabat]]*jablka5[[#This Row],[sprzedaż]]/100</f>
        <v>0</v>
      </c>
    </row>
    <row r="717" spans="1:9" x14ac:dyDescent="0.25">
      <c r="A717" s="2">
        <v>44582</v>
      </c>
      <c r="B717" s="1" t="s">
        <v>15</v>
      </c>
      <c r="C717" s="1" t="s">
        <v>16</v>
      </c>
      <c r="D717" s="1" t="s">
        <v>54</v>
      </c>
      <c r="E717">
        <v>482</v>
      </c>
      <c r="F717" s="1">
        <f>VLOOKUP(jablka5[[#This Row],[Nazwa]],cennik[],2,0) * jablka5[[#This Row],[sprzedaż]]</f>
        <v>1156.8</v>
      </c>
      <c r="G717" s="1">
        <f>IF(jablka5[[#This Row],[NIP]]=D716,jablka5[[#This Row],[sprzedaż]]+G716,jablka5[[#This Row],[sprzedaż]])</f>
        <v>736</v>
      </c>
      <c r="H717" s="1">
        <f>IF(jablka5[[#This Row],[dot sprz]]&lt;15000,0,IF(jablka5[[#This Row],[dot sprz]]&lt;20000,5,10))</f>
        <v>0</v>
      </c>
      <c r="I717" s="1">
        <f>jablka5[[#This Row],[rabat]]*jablka5[[#This Row],[sprzedaż]]/100</f>
        <v>0</v>
      </c>
    </row>
    <row r="718" spans="1:9" x14ac:dyDescent="0.25">
      <c r="A718" s="2">
        <v>44585</v>
      </c>
      <c r="B718" s="1" t="s">
        <v>10</v>
      </c>
      <c r="C718" s="1" t="s">
        <v>16</v>
      </c>
      <c r="D718" s="1" t="s">
        <v>54</v>
      </c>
      <c r="E718">
        <v>23</v>
      </c>
      <c r="F718" s="1">
        <f>VLOOKUP(jablka5[[#This Row],[Nazwa]],cennik[],2,0) * jablka5[[#This Row],[sprzedaż]]</f>
        <v>78.2</v>
      </c>
      <c r="G718" s="1">
        <f>IF(jablka5[[#This Row],[NIP]]=D717,jablka5[[#This Row],[sprzedaż]]+G717,jablka5[[#This Row],[sprzedaż]])</f>
        <v>759</v>
      </c>
      <c r="H718" s="1">
        <f>IF(jablka5[[#This Row],[dot sprz]]&lt;15000,0,IF(jablka5[[#This Row],[dot sprz]]&lt;20000,5,10))</f>
        <v>0</v>
      </c>
      <c r="I718" s="1">
        <f>jablka5[[#This Row],[rabat]]*jablka5[[#This Row],[sprzedaż]]/100</f>
        <v>0</v>
      </c>
    </row>
    <row r="719" spans="1:9" x14ac:dyDescent="0.25">
      <c r="A719" s="2">
        <v>44590</v>
      </c>
      <c r="B719" s="1" t="s">
        <v>5</v>
      </c>
      <c r="C719" s="1" t="s">
        <v>16</v>
      </c>
      <c r="D719" s="1" t="s">
        <v>54</v>
      </c>
      <c r="E719">
        <v>129</v>
      </c>
      <c r="F719" s="1">
        <f>VLOOKUP(jablka5[[#This Row],[Nazwa]],cennik[],2,0) * jablka5[[#This Row],[sprzedaż]]</f>
        <v>438.59999999999997</v>
      </c>
      <c r="G719" s="1">
        <f>IF(jablka5[[#This Row],[NIP]]=D718,jablka5[[#This Row],[sprzedaż]]+G718,jablka5[[#This Row],[sprzedaż]])</f>
        <v>888</v>
      </c>
      <c r="H719" s="1">
        <f>IF(jablka5[[#This Row],[dot sprz]]&lt;15000,0,IF(jablka5[[#This Row],[dot sprz]]&lt;20000,5,10))</f>
        <v>0</v>
      </c>
      <c r="I719" s="1">
        <f>jablka5[[#This Row],[rabat]]*jablka5[[#This Row],[sprzedaż]]/100</f>
        <v>0</v>
      </c>
    </row>
    <row r="720" spans="1:9" x14ac:dyDescent="0.25">
      <c r="A720" s="2">
        <v>44606</v>
      </c>
      <c r="B720" s="1" t="s">
        <v>10</v>
      </c>
      <c r="C720" s="1" t="s">
        <v>16</v>
      </c>
      <c r="D720" s="1" t="s">
        <v>54</v>
      </c>
      <c r="E720">
        <v>489</v>
      </c>
      <c r="F720" s="1">
        <f>VLOOKUP(jablka5[[#This Row],[Nazwa]],cennik[],2,0) * jablka5[[#This Row],[sprzedaż]]</f>
        <v>1662.6</v>
      </c>
      <c r="G720" s="1">
        <f>IF(jablka5[[#This Row],[NIP]]=D719,jablka5[[#This Row],[sprzedaż]]+G719,jablka5[[#This Row],[sprzedaż]])</f>
        <v>1377</v>
      </c>
      <c r="H720" s="1">
        <f>IF(jablka5[[#This Row],[dot sprz]]&lt;15000,0,IF(jablka5[[#This Row],[dot sprz]]&lt;20000,5,10))</f>
        <v>0</v>
      </c>
      <c r="I720" s="1">
        <f>jablka5[[#This Row],[rabat]]*jablka5[[#This Row],[sprzedaż]]/100</f>
        <v>0</v>
      </c>
    </row>
    <row r="721" spans="1:9" x14ac:dyDescent="0.25">
      <c r="A721" s="2">
        <v>44607</v>
      </c>
      <c r="B721" s="1" t="s">
        <v>8</v>
      </c>
      <c r="C721" s="1" t="s">
        <v>16</v>
      </c>
      <c r="D721" s="1" t="s">
        <v>54</v>
      </c>
      <c r="E721">
        <v>603</v>
      </c>
      <c r="F721" s="1">
        <f>VLOOKUP(jablka5[[#This Row],[Nazwa]],cennik[],2,0) * jablka5[[#This Row],[sprzedaż]]</f>
        <v>2110.5</v>
      </c>
      <c r="G721" s="1">
        <f>IF(jablka5[[#This Row],[NIP]]=D720,jablka5[[#This Row],[sprzedaż]]+G720,jablka5[[#This Row],[sprzedaż]])</f>
        <v>1980</v>
      </c>
      <c r="H721" s="1">
        <f>IF(jablka5[[#This Row],[dot sprz]]&lt;15000,0,IF(jablka5[[#This Row],[dot sprz]]&lt;20000,5,10))</f>
        <v>0</v>
      </c>
      <c r="I721" s="1">
        <f>jablka5[[#This Row],[rabat]]*jablka5[[#This Row],[sprzedaż]]/100</f>
        <v>0</v>
      </c>
    </row>
    <row r="722" spans="1:9" x14ac:dyDescent="0.25">
      <c r="A722" s="2">
        <v>44607</v>
      </c>
      <c r="B722" s="1" t="s">
        <v>2</v>
      </c>
      <c r="C722" s="1" t="s">
        <v>16</v>
      </c>
      <c r="D722" s="1" t="s">
        <v>54</v>
      </c>
      <c r="E722">
        <v>281</v>
      </c>
      <c r="F722" s="1">
        <f>VLOOKUP(jablka5[[#This Row],[Nazwa]],cennik[],2,0) * jablka5[[#This Row],[sprzedaż]]</f>
        <v>899.2</v>
      </c>
      <c r="G722" s="1">
        <f>IF(jablka5[[#This Row],[NIP]]=D721,jablka5[[#This Row],[sprzedaż]]+G721,jablka5[[#This Row],[sprzedaż]])</f>
        <v>2261</v>
      </c>
      <c r="H722" s="1">
        <f>IF(jablka5[[#This Row],[dot sprz]]&lt;15000,0,IF(jablka5[[#This Row],[dot sprz]]&lt;20000,5,10))</f>
        <v>0</v>
      </c>
      <c r="I722" s="1">
        <f>jablka5[[#This Row],[rabat]]*jablka5[[#This Row],[sprzedaż]]/100</f>
        <v>0</v>
      </c>
    </row>
    <row r="723" spans="1:9" x14ac:dyDescent="0.25">
      <c r="A723" s="2">
        <v>44615</v>
      </c>
      <c r="B723" s="1" t="s">
        <v>15</v>
      </c>
      <c r="C723" s="1" t="s">
        <v>16</v>
      </c>
      <c r="D723" s="1" t="s">
        <v>54</v>
      </c>
      <c r="E723">
        <v>305</v>
      </c>
      <c r="F723" s="1">
        <f>VLOOKUP(jablka5[[#This Row],[Nazwa]],cennik[],2,0) * jablka5[[#This Row],[sprzedaż]]</f>
        <v>732</v>
      </c>
      <c r="G723" s="1">
        <f>IF(jablka5[[#This Row],[NIP]]=D722,jablka5[[#This Row],[sprzedaż]]+G722,jablka5[[#This Row],[sprzedaż]])</f>
        <v>2566</v>
      </c>
      <c r="H723" s="1">
        <f>IF(jablka5[[#This Row],[dot sprz]]&lt;15000,0,IF(jablka5[[#This Row],[dot sprz]]&lt;20000,5,10))</f>
        <v>0</v>
      </c>
      <c r="I723" s="1">
        <f>jablka5[[#This Row],[rabat]]*jablka5[[#This Row],[sprzedaż]]/100</f>
        <v>0</v>
      </c>
    </row>
    <row r="724" spans="1:9" x14ac:dyDescent="0.25">
      <c r="A724" s="2">
        <v>44624</v>
      </c>
      <c r="B724" s="1" t="s">
        <v>5</v>
      </c>
      <c r="C724" s="1" t="s">
        <v>16</v>
      </c>
      <c r="D724" s="1" t="s">
        <v>54</v>
      </c>
      <c r="E724">
        <v>274</v>
      </c>
      <c r="F724" s="1">
        <f>VLOOKUP(jablka5[[#This Row],[Nazwa]],cennik[],2,0) * jablka5[[#This Row],[sprzedaż]]</f>
        <v>931.6</v>
      </c>
      <c r="G724" s="1">
        <f>IF(jablka5[[#This Row],[NIP]]=D723,jablka5[[#This Row],[sprzedaż]]+G723,jablka5[[#This Row],[sprzedaż]])</f>
        <v>2840</v>
      </c>
      <c r="H724" s="1">
        <f>IF(jablka5[[#This Row],[dot sprz]]&lt;15000,0,IF(jablka5[[#This Row],[dot sprz]]&lt;20000,5,10))</f>
        <v>0</v>
      </c>
      <c r="I724" s="1">
        <f>jablka5[[#This Row],[rabat]]*jablka5[[#This Row],[sprzedaż]]/100</f>
        <v>0</v>
      </c>
    </row>
    <row r="725" spans="1:9" x14ac:dyDescent="0.25">
      <c r="A725" s="2">
        <v>44634</v>
      </c>
      <c r="B725" s="1" t="s">
        <v>7</v>
      </c>
      <c r="C725" s="1" t="s">
        <v>16</v>
      </c>
      <c r="D725" s="1" t="s">
        <v>54</v>
      </c>
      <c r="E725">
        <v>454</v>
      </c>
      <c r="F725" s="1">
        <f>VLOOKUP(jablka5[[#This Row],[Nazwa]],cennik[],2,0) * jablka5[[#This Row],[sprzedaż]]</f>
        <v>1543.6</v>
      </c>
      <c r="G725" s="1">
        <f>IF(jablka5[[#This Row],[NIP]]=D724,jablka5[[#This Row],[sprzedaż]]+G724,jablka5[[#This Row],[sprzedaż]])</f>
        <v>3294</v>
      </c>
      <c r="H725" s="1">
        <f>IF(jablka5[[#This Row],[dot sprz]]&lt;15000,0,IF(jablka5[[#This Row],[dot sprz]]&lt;20000,5,10))</f>
        <v>0</v>
      </c>
      <c r="I725" s="1">
        <f>jablka5[[#This Row],[rabat]]*jablka5[[#This Row],[sprzedaż]]/100</f>
        <v>0</v>
      </c>
    </row>
    <row r="726" spans="1:9" x14ac:dyDescent="0.25">
      <c r="A726" s="2">
        <v>44638</v>
      </c>
      <c r="B726" s="1" t="s">
        <v>2</v>
      </c>
      <c r="C726" s="1" t="s">
        <v>16</v>
      </c>
      <c r="D726" s="1" t="s">
        <v>54</v>
      </c>
      <c r="E726">
        <v>222</v>
      </c>
      <c r="F726" s="1">
        <f>VLOOKUP(jablka5[[#This Row],[Nazwa]],cennik[],2,0) * jablka5[[#This Row],[sprzedaż]]</f>
        <v>710.40000000000009</v>
      </c>
      <c r="G726" s="1">
        <f>IF(jablka5[[#This Row],[NIP]]=D725,jablka5[[#This Row],[sprzedaż]]+G725,jablka5[[#This Row],[sprzedaż]])</f>
        <v>3516</v>
      </c>
      <c r="H726" s="1">
        <f>IF(jablka5[[#This Row],[dot sprz]]&lt;15000,0,IF(jablka5[[#This Row],[dot sprz]]&lt;20000,5,10))</f>
        <v>0</v>
      </c>
      <c r="I726" s="1">
        <f>jablka5[[#This Row],[rabat]]*jablka5[[#This Row],[sprzedaż]]/100</f>
        <v>0</v>
      </c>
    </row>
    <row r="727" spans="1:9" x14ac:dyDescent="0.25">
      <c r="A727" s="2">
        <v>44649</v>
      </c>
      <c r="B727" s="1" t="s">
        <v>8</v>
      </c>
      <c r="C727" s="1" t="s">
        <v>16</v>
      </c>
      <c r="D727" s="1" t="s">
        <v>54</v>
      </c>
      <c r="E727">
        <v>695</v>
      </c>
      <c r="F727" s="1">
        <f>VLOOKUP(jablka5[[#This Row],[Nazwa]],cennik[],2,0) * jablka5[[#This Row],[sprzedaż]]</f>
        <v>2432.5</v>
      </c>
      <c r="G727" s="1">
        <f>IF(jablka5[[#This Row],[NIP]]=D726,jablka5[[#This Row],[sprzedaż]]+G726,jablka5[[#This Row],[sprzedaż]])</f>
        <v>4211</v>
      </c>
      <c r="H727" s="1">
        <f>IF(jablka5[[#This Row],[dot sprz]]&lt;15000,0,IF(jablka5[[#This Row],[dot sprz]]&lt;20000,5,10))</f>
        <v>0</v>
      </c>
      <c r="I727" s="1">
        <f>jablka5[[#This Row],[rabat]]*jablka5[[#This Row],[sprzedaż]]/100</f>
        <v>0</v>
      </c>
    </row>
    <row r="728" spans="1:9" x14ac:dyDescent="0.25">
      <c r="A728" s="2">
        <v>44681</v>
      </c>
      <c r="B728" s="1" t="s">
        <v>0</v>
      </c>
      <c r="C728" s="1" t="s">
        <v>16</v>
      </c>
      <c r="D728" s="1" t="s">
        <v>54</v>
      </c>
      <c r="E728">
        <v>433</v>
      </c>
      <c r="F728" s="1">
        <f>VLOOKUP(jablka5[[#This Row],[Nazwa]],cennik[],2,0) * jablka5[[#This Row],[sprzedaż]]</f>
        <v>1255.7</v>
      </c>
      <c r="G728" s="1">
        <f>IF(jablka5[[#This Row],[NIP]]=D727,jablka5[[#This Row],[sprzedaż]]+G727,jablka5[[#This Row],[sprzedaż]])</f>
        <v>4644</v>
      </c>
      <c r="H728" s="1">
        <f>IF(jablka5[[#This Row],[dot sprz]]&lt;15000,0,IF(jablka5[[#This Row],[dot sprz]]&lt;20000,5,10))</f>
        <v>0</v>
      </c>
      <c r="I728" s="1">
        <f>jablka5[[#This Row],[rabat]]*jablka5[[#This Row],[sprzedaż]]/100</f>
        <v>0</v>
      </c>
    </row>
    <row r="729" spans="1:9" x14ac:dyDescent="0.25">
      <c r="A729" s="2">
        <v>44683</v>
      </c>
      <c r="B729" s="1" t="s">
        <v>4</v>
      </c>
      <c r="C729" s="1" t="s">
        <v>16</v>
      </c>
      <c r="D729" s="1" t="s">
        <v>54</v>
      </c>
      <c r="E729">
        <v>350</v>
      </c>
      <c r="F729" s="1">
        <f>VLOOKUP(jablka5[[#This Row],[Nazwa]],cennik[],2,0) * jablka5[[#This Row],[sprzedaż]]</f>
        <v>1190</v>
      </c>
      <c r="G729" s="1">
        <f>IF(jablka5[[#This Row],[NIP]]=D728,jablka5[[#This Row],[sprzedaż]]+G728,jablka5[[#This Row],[sprzedaż]])</f>
        <v>4994</v>
      </c>
      <c r="H729" s="1">
        <f>IF(jablka5[[#This Row],[dot sprz]]&lt;15000,0,IF(jablka5[[#This Row],[dot sprz]]&lt;20000,5,10))</f>
        <v>0</v>
      </c>
      <c r="I729" s="1">
        <f>jablka5[[#This Row],[rabat]]*jablka5[[#This Row],[sprzedaż]]/100</f>
        <v>0</v>
      </c>
    </row>
    <row r="730" spans="1:9" x14ac:dyDescent="0.25">
      <c r="A730" s="2">
        <v>44688</v>
      </c>
      <c r="B730" s="1" t="s">
        <v>5</v>
      </c>
      <c r="C730" s="1" t="s">
        <v>16</v>
      </c>
      <c r="D730" s="1" t="s">
        <v>54</v>
      </c>
      <c r="E730">
        <v>12</v>
      </c>
      <c r="F730" s="1">
        <f>VLOOKUP(jablka5[[#This Row],[Nazwa]],cennik[],2,0) * jablka5[[#This Row],[sprzedaż]]</f>
        <v>40.799999999999997</v>
      </c>
      <c r="G730" s="1">
        <f>IF(jablka5[[#This Row],[NIP]]=D729,jablka5[[#This Row],[sprzedaż]]+G729,jablka5[[#This Row],[sprzedaż]])</f>
        <v>5006</v>
      </c>
      <c r="H730" s="1">
        <f>IF(jablka5[[#This Row],[dot sprz]]&lt;15000,0,IF(jablka5[[#This Row],[dot sprz]]&lt;20000,5,10))</f>
        <v>0</v>
      </c>
      <c r="I730" s="1">
        <f>jablka5[[#This Row],[rabat]]*jablka5[[#This Row],[sprzedaż]]/100</f>
        <v>0</v>
      </c>
    </row>
    <row r="731" spans="1:9" x14ac:dyDescent="0.25">
      <c r="A731" s="2">
        <v>44690</v>
      </c>
      <c r="B731" s="1" t="s">
        <v>15</v>
      </c>
      <c r="C731" s="1" t="s">
        <v>16</v>
      </c>
      <c r="D731" s="1" t="s">
        <v>54</v>
      </c>
      <c r="E731">
        <v>525</v>
      </c>
      <c r="F731" s="1">
        <f>VLOOKUP(jablka5[[#This Row],[Nazwa]],cennik[],2,0) * jablka5[[#This Row],[sprzedaż]]</f>
        <v>1260</v>
      </c>
      <c r="G731" s="1">
        <f>IF(jablka5[[#This Row],[NIP]]=D730,jablka5[[#This Row],[sprzedaż]]+G730,jablka5[[#This Row],[sprzedaż]])</f>
        <v>5531</v>
      </c>
      <c r="H731" s="1">
        <f>IF(jablka5[[#This Row],[dot sprz]]&lt;15000,0,IF(jablka5[[#This Row],[dot sprz]]&lt;20000,5,10))</f>
        <v>0</v>
      </c>
      <c r="I731" s="1">
        <f>jablka5[[#This Row],[rabat]]*jablka5[[#This Row],[sprzedaż]]/100</f>
        <v>0</v>
      </c>
    </row>
    <row r="732" spans="1:9" x14ac:dyDescent="0.25">
      <c r="A732" s="2">
        <v>44694</v>
      </c>
      <c r="B732" s="1" t="s">
        <v>6</v>
      </c>
      <c r="C732" s="1" t="s">
        <v>16</v>
      </c>
      <c r="D732" s="1" t="s">
        <v>54</v>
      </c>
      <c r="E732">
        <v>391</v>
      </c>
      <c r="F732" s="1">
        <f>VLOOKUP(jablka5[[#This Row],[Nazwa]],cennik[],2,0) * jablka5[[#This Row],[sprzedaż]]</f>
        <v>1329.3999999999999</v>
      </c>
      <c r="G732" s="1">
        <f>IF(jablka5[[#This Row],[NIP]]=D731,jablka5[[#This Row],[sprzedaż]]+G731,jablka5[[#This Row],[sprzedaż]])</f>
        <v>5922</v>
      </c>
      <c r="H732" s="1">
        <f>IF(jablka5[[#This Row],[dot sprz]]&lt;15000,0,IF(jablka5[[#This Row],[dot sprz]]&lt;20000,5,10))</f>
        <v>0</v>
      </c>
      <c r="I732" s="1">
        <f>jablka5[[#This Row],[rabat]]*jablka5[[#This Row],[sprzedaż]]/100</f>
        <v>0</v>
      </c>
    </row>
    <row r="733" spans="1:9" x14ac:dyDescent="0.25">
      <c r="A733" s="2">
        <v>44701</v>
      </c>
      <c r="B733" s="1" t="s">
        <v>4</v>
      </c>
      <c r="C733" s="1" t="s">
        <v>16</v>
      </c>
      <c r="D733" s="1" t="s">
        <v>54</v>
      </c>
      <c r="E733">
        <v>670</v>
      </c>
      <c r="F733" s="1">
        <f>VLOOKUP(jablka5[[#This Row],[Nazwa]],cennik[],2,0) * jablka5[[#This Row],[sprzedaż]]</f>
        <v>2278</v>
      </c>
      <c r="G733" s="1">
        <f>IF(jablka5[[#This Row],[NIP]]=D732,jablka5[[#This Row],[sprzedaż]]+G732,jablka5[[#This Row],[sprzedaż]])</f>
        <v>6592</v>
      </c>
      <c r="H733" s="1">
        <f>IF(jablka5[[#This Row],[dot sprz]]&lt;15000,0,IF(jablka5[[#This Row],[dot sprz]]&lt;20000,5,10))</f>
        <v>0</v>
      </c>
      <c r="I733" s="1">
        <f>jablka5[[#This Row],[rabat]]*jablka5[[#This Row],[sprzedaż]]/100</f>
        <v>0</v>
      </c>
    </row>
    <row r="734" spans="1:9" x14ac:dyDescent="0.25">
      <c r="A734" s="2">
        <v>44708</v>
      </c>
      <c r="B734" s="1" t="s">
        <v>8</v>
      </c>
      <c r="C734" s="1" t="s">
        <v>16</v>
      </c>
      <c r="D734" s="1" t="s">
        <v>54</v>
      </c>
      <c r="E734">
        <v>396</v>
      </c>
      <c r="F734" s="1">
        <f>VLOOKUP(jablka5[[#This Row],[Nazwa]],cennik[],2,0) * jablka5[[#This Row],[sprzedaż]]</f>
        <v>1386</v>
      </c>
      <c r="G734" s="1">
        <f>IF(jablka5[[#This Row],[NIP]]=D733,jablka5[[#This Row],[sprzedaż]]+G733,jablka5[[#This Row],[sprzedaż]])</f>
        <v>6988</v>
      </c>
      <c r="H734" s="1">
        <f>IF(jablka5[[#This Row],[dot sprz]]&lt;15000,0,IF(jablka5[[#This Row],[dot sprz]]&lt;20000,5,10))</f>
        <v>0</v>
      </c>
      <c r="I734" s="1">
        <f>jablka5[[#This Row],[rabat]]*jablka5[[#This Row],[sprzedaż]]/100</f>
        <v>0</v>
      </c>
    </row>
    <row r="735" spans="1:9" x14ac:dyDescent="0.25">
      <c r="A735" s="2">
        <v>44718</v>
      </c>
      <c r="B735" s="1" t="s">
        <v>12</v>
      </c>
      <c r="C735" s="1" t="s">
        <v>68</v>
      </c>
      <c r="D735" s="1" t="s">
        <v>54</v>
      </c>
      <c r="E735">
        <v>102</v>
      </c>
      <c r="F735" s="1">
        <f>VLOOKUP(jablka5[[#This Row],[Nazwa]],cennik[],2,0) * jablka5[[#This Row],[sprzedaż]]</f>
        <v>275.40000000000003</v>
      </c>
      <c r="G735" s="1">
        <f>IF(jablka5[[#This Row],[NIP]]=D734,jablka5[[#This Row],[sprzedaż]]+G734,jablka5[[#This Row],[sprzedaż]])</f>
        <v>7090</v>
      </c>
      <c r="H735" s="1">
        <f>IF(jablka5[[#This Row],[dot sprz]]&lt;15000,0,IF(jablka5[[#This Row],[dot sprz]]&lt;20000,5,10))</f>
        <v>0</v>
      </c>
      <c r="I735" s="1">
        <f>jablka5[[#This Row],[rabat]]*jablka5[[#This Row],[sprzedaż]]/100</f>
        <v>0</v>
      </c>
    </row>
    <row r="736" spans="1:9" x14ac:dyDescent="0.25">
      <c r="A736" s="2">
        <v>44722</v>
      </c>
      <c r="B736" s="1" t="s">
        <v>12</v>
      </c>
      <c r="C736" s="1" t="s">
        <v>68</v>
      </c>
      <c r="D736" s="1" t="s">
        <v>54</v>
      </c>
      <c r="E736">
        <v>55</v>
      </c>
      <c r="F736" s="1">
        <f>VLOOKUP(jablka5[[#This Row],[Nazwa]],cennik[],2,0) * jablka5[[#This Row],[sprzedaż]]</f>
        <v>148.5</v>
      </c>
      <c r="G736" s="1">
        <f>IF(jablka5[[#This Row],[NIP]]=D735,jablka5[[#This Row],[sprzedaż]]+G735,jablka5[[#This Row],[sprzedaż]])</f>
        <v>7145</v>
      </c>
      <c r="H736" s="1">
        <f>IF(jablka5[[#This Row],[dot sprz]]&lt;15000,0,IF(jablka5[[#This Row],[dot sprz]]&lt;20000,5,10))</f>
        <v>0</v>
      </c>
      <c r="I736" s="1">
        <f>jablka5[[#This Row],[rabat]]*jablka5[[#This Row],[sprzedaż]]/100</f>
        <v>0</v>
      </c>
    </row>
    <row r="737" spans="1:9" x14ac:dyDescent="0.25">
      <c r="A737" s="2">
        <v>44737</v>
      </c>
      <c r="B737" s="1" t="s">
        <v>13</v>
      </c>
      <c r="C737" s="1" t="s">
        <v>68</v>
      </c>
      <c r="D737" s="1" t="s">
        <v>54</v>
      </c>
      <c r="E737">
        <v>320</v>
      </c>
      <c r="F737" s="1">
        <f>VLOOKUP(jablka5[[#This Row],[Nazwa]],cennik[],2,0) * jablka5[[#This Row],[sprzedaż]]</f>
        <v>1024</v>
      </c>
      <c r="G737" s="1">
        <f>IF(jablka5[[#This Row],[NIP]]=D736,jablka5[[#This Row],[sprzedaż]]+G736,jablka5[[#This Row],[sprzedaż]])</f>
        <v>7465</v>
      </c>
      <c r="H737" s="1">
        <f>IF(jablka5[[#This Row],[dot sprz]]&lt;15000,0,IF(jablka5[[#This Row],[dot sprz]]&lt;20000,5,10))</f>
        <v>0</v>
      </c>
      <c r="I737" s="1">
        <f>jablka5[[#This Row],[rabat]]*jablka5[[#This Row],[sprzedaż]]/100</f>
        <v>0</v>
      </c>
    </row>
    <row r="738" spans="1:9" x14ac:dyDescent="0.25">
      <c r="A738" s="2">
        <v>44741</v>
      </c>
      <c r="B738" s="1" t="s">
        <v>14</v>
      </c>
      <c r="C738" s="1" t="s">
        <v>67</v>
      </c>
      <c r="D738" s="1" t="s">
        <v>54</v>
      </c>
      <c r="E738">
        <v>25</v>
      </c>
      <c r="F738" s="1">
        <f>VLOOKUP(jablka5[[#This Row],[Nazwa]],cennik[],2,0) * jablka5[[#This Row],[sprzedaż]]</f>
        <v>87.5</v>
      </c>
      <c r="G738" s="1">
        <f>IF(jablka5[[#This Row],[NIP]]=D737,jablka5[[#This Row],[sprzedaż]]+G737,jablka5[[#This Row],[sprzedaż]])</f>
        <v>7490</v>
      </c>
      <c r="H738" s="1">
        <f>IF(jablka5[[#This Row],[dot sprz]]&lt;15000,0,IF(jablka5[[#This Row],[dot sprz]]&lt;20000,5,10))</f>
        <v>0</v>
      </c>
      <c r="I738" s="1">
        <f>jablka5[[#This Row],[rabat]]*jablka5[[#This Row],[sprzedaż]]/100</f>
        <v>0</v>
      </c>
    </row>
    <row r="739" spans="1:9" x14ac:dyDescent="0.25">
      <c r="A739" s="2">
        <v>44743</v>
      </c>
      <c r="B739" s="1" t="s">
        <v>14</v>
      </c>
      <c r="C739" s="1" t="s">
        <v>67</v>
      </c>
      <c r="D739" s="1" t="s">
        <v>54</v>
      </c>
      <c r="E739">
        <v>16</v>
      </c>
      <c r="F739" s="1">
        <f>VLOOKUP(jablka5[[#This Row],[Nazwa]],cennik[],2,0) * jablka5[[#This Row],[sprzedaż]]</f>
        <v>56</v>
      </c>
      <c r="G739" s="1">
        <f>IF(jablka5[[#This Row],[NIP]]=D738,jablka5[[#This Row],[sprzedaż]]+G738,jablka5[[#This Row],[sprzedaż]])</f>
        <v>7506</v>
      </c>
      <c r="H739" s="1">
        <f>IF(jablka5[[#This Row],[dot sprz]]&lt;15000,0,IF(jablka5[[#This Row],[dot sprz]]&lt;20000,5,10))</f>
        <v>0</v>
      </c>
      <c r="I739" s="1">
        <f>jablka5[[#This Row],[rabat]]*jablka5[[#This Row],[sprzedaż]]/100</f>
        <v>0</v>
      </c>
    </row>
    <row r="740" spans="1:9" x14ac:dyDescent="0.25">
      <c r="A740" s="2">
        <v>44761</v>
      </c>
      <c r="B740" s="1" t="s">
        <v>12</v>
      </c>
      <c r="C740" s="1" t="s">
        <v>68</v>
      </c>
      <c r="D740" s="1" t="s">
        <v>54</v>
      </c>
      <c r="E740">
        <v>52</v>
      </c>
      <c r="F740" s="1">
        <f>VLOOKUP(jablka5[[#This Row],[Nazwa]],cennik[],2,0) * jablka5[[#This Row],[sprzedaż]]</f>
        <v>140.4</v>
      </c>
      <c r="G740" s="1">
        <f>IF(jablka5[[#This Row],[NIP]]=D739,jablka5[[#This Row],[sprzedaż]]+G739,jablka5[[#This Row],[sprzedaż]])</f>
        <v>7558</v>
      </c>
      <c r="H740" s="1">
        <f>IF(jablka5[[#This Row],[dot sprz]]&lt;15000,0,IF(jablka5[[#This Row],[dot sprz]]&lt;20000,5,10))</f>
        <v>0</v>
      </c>
      <c r="I740" s="1">
        <f>jablka5[[#This Row],[rabat]]*jablka5[[#This Row],[sprzedaż]]/100</f>
        <v>0</v>
      </c>
    </row>
    <row r="741" spans="1:9" x14ac:dyDescent="0.25">
      <c r="A741" s="2">
        <v>44772</v>
      </c>
      <c r="B741" s="1" t="s">
        <v>12</v>
      </c>
      <c r="C741" s="1" t="s">
        <v>68</v>
      </c>
      <c r="D741" s="1" t="s">
        <v>54</v>
      </c>
      <c r="E741">
        <v>267</v>
      </c>
      <c r="F741" s="1">
        <f>VLOOKUP(jablka5[[#This Row],[Nazwa]],cennik[],2,0) * jablka5[[#This Row],[sprzedaż]]</f>
        <v>720.90000000000009</v>
      </c>
      <c r="G741" s="1">
        <f>IF(jablka5[[#This Row],[NIP]]=D740,jablka5[[#This Row],[sprzedaż]]+G740,jablka5[[#This Row],[sprzedaż]])</f>
        <v>7825</v>
      </c>
      <c r="H741" s="1">
        <f>IF(jablka5[[#This Row],[dot sprz]]&lt;15000,0,IF(jablka5[[#This Row],[dot sprz]]&lt;20000,5,10))</f>
        <v>0</v>
      </c>
      <c r="I741" s="1">
        <f>jablka5[[#This Row],[rabat]]*jablka5[[#This Row],[sprzedaż]]/100</f>
        <v>0</v>
      </c>
    </row>
    <row r="742" spans="1:9" x14ac:dyDescent="0.25">
      <c r="A742" s="2">
        <v>44775</v>
      </c>
      <c r="B742" s="1" t="s">
        <v>14</v>
      </c>
      <c r="C742" s="1" t="s">
        <v>67</v>
      </c>
      <c r="D742" s="1" t="s">
        <v>54</v>
      </c>
      <c r="E742">
        <v>115</v>
      </c>
      <c r="F742" s="1">
        <f>VLOOKUP(jablka5[[#This Row],[Nazwa]],cennik[],2,0) * jablka5[[#This Row],[sprzedaż]]</f>
        <v>402.5</v>
      </c>
      <c r="G742" s="1">
        <f>IF(jablka5[[#This Row],[NIP]]=D741,jablka5[[#This Row],[sprzedaż]]+G741,jablka5[[#This Row],[sprzedaż]])</f>
        <v>7940</v>
      </c>
      <c r="H742" s="1">
        <f>IF(jablka5[[#This Row],[dot sprz]]&lt;15000,0,IF(jablka5[[#This Row],[dot sprz]]&lt;20000,5,10))</f>
        <v>0</v>
      </c>
      <c r="I742" s="1">
        <f>jablka5[[#This Row],[rabat]]*jablka5[[#This Row],[sprzedaż]]/100</f>
        <v>0</v>
      </c>
    </row>
    <row r="743" spans="1:9" x14ac:dyDescent="0.25">
      <c r="A743" s="2">
        <v>44776</v>
      </c>
      <c r="B743" s="1" t="s">
        <v>12</v>
      </c>
      <c r="C743" s="1" t="s">
        <v>68</v>
      </c>
      <c r="D743" s="1" t="s">
        <v>54</v>
      </c>
      <c r="E743">
        <v>113</v>
      </c>
      <c r="F743" s="1">
        <f>VLOOKUP(jablka5[[#This Row],[Nazwa]],cennik[],2,0) * jablka5[[#This Row],[sprzedaż]]</f>
        <v>305.10000000000002</v>
      </c>
      <c r="G743" s="1">
        <f>IF(jablka5[[#This Row],[NIP]]=D742,jablka5[[#This Row],[sprzedaż]]+G742,jablka5[[#This Row],[sprzedaż]])</f>
        <v>8053</v>
      </c>
      <c r="H743" s="1">
        <f>IF(jablka5[[#This Row],[dot sprz]]&lt;15000,0,IF(jablka5[[#This Row],[dot sprz]]&lt;20000,5,10))</f>
        <v>0</v>
      </c>
      <c r="I743" s="1">
        <f>jablka5[[#This Row],[rabat]]*jablka5[[#This Row],[sprzedaż]]/100</f>
        <v>0</v>
      </c>
    </row>
    <row r="744" spans="1:9" x14ac:dyDescent="0.25">
      <c r="A744" s="2">
        <v>44779</v>
      </c>
      <c r="B744" s="1" t="s">
        <v>12</v>
      </c>
      <c r="C744" s="1" t="s">
        <v>68</v>
      </c>
      <c r="D744" s="1" t="s">
        <v>54</v>
      </c>
      <c r="E744">
        <v>137</v>
      </c>
      <c r="F744" s="1">
        <f>VLOOKUP(jablka5[[#This Row],[Nazwa]],cennik[],2,0) * jablka5[[#This Row],[sprzedaż]]</f>
        <v>369.90000000000003</v>
      </c>
      <c r="G744" s="1">
        <f>IF(jablka5[[#This Row],[NIP]]=D743,jablka5[[#This Row],[sprzedaż]]+G743,jablka5[[#This Row],[sprzedaż]])</f>
        <v>8190</v>
      </c>
      <c r="H744" s="1">
        <f>IF(jablka5[[#This Row],[dot sprz]]&lt;15000,0,IF(jablka5[[#This Row],[dot sprz]]&lt;20000,5,10))</f>
        <v>0</v>
      </c>
      <c r="I744" s="1">
        <f>jablka5[[#This Row],[rabat]]*jablka5[[#This Row],[sprzedaż]]/100</f>
        <v>0</v>
      </c>
    </row>
    <row r="745" spans="1:9" x14ac:dyDescent="0.25">
      <c r="A745" s="2">
        <v>44781</v>
      </c>
      <c r="B745" s="1" t="s">
        <v>14</v>
      </c>
      <c r="C745" s="1" t="s">
        <v>67</v>
      </c>
      <c r="D745" s="1" t="s">
        <v>54</v>
      </c>
      <c r="E745">
        <v>290</v>
      </c>
      <c r="F745" s="1">
        <f>VLOOKUP(jablka5[[#This Row],[Nazwa]],cennik[],2,0) * jablka5[[#This Row],[sprzedaż]]</f>
        <v>1015</v>
      </c>
      <c r="G745" s="1">
        <f>IF(jablka5[[#This Row],[NIP]]=D744,jablka5[[#This Row],[sprzedaż]]+G744,jablka5[[#This Row],[sprzedaż]])</f>
        <v>8480</v>
      </c>
      <c r="H745" s="1">
        <f>IF(jablka5[[#This Row],[dot sprz]]&lt;15000,0,IF(jablka5[[#This Row],[dot sprz]]&lt;20000,5,10))</f>
        <v>0</v>
      </c>
      <c r="I745" s="1">
        <f>jablka5[[#This Row],[rabat]]*jablka5[[#This Row],[sprzedaż]]/100</f>
        <v>0</v>
      </c>
    </row>
    <row r="746" spans="1:9" x14ac:dyDescent="0.25">
      <c r="A746" s="2">
        <v>44788</v>
      </c>
      <c r="B746" s="1" t="s">
        <v>14</v>
      </c>
      <c r="C746" s="1" t="s">
        <v>67</v>
      </c>
      <c r="D746" s="1" t="s">
        <v>54</v>
      </c>
      <c r="E746">
        <v>312</v>
      </c>
      <c r="F746" s="1">
        <f>VLOOKUP(jablka5[[#This Row],[Nazwa]],cennik[],2,0) * jablka5[[#This Row],[sprzedaż]]</f>
        <v>1092</v>
      </c>
      <c r="G746" s="1">
        <f>IF(jablka5[[#This Row],[NIP]]=D745,jablka5[[#This Row],[sprzedaż]]+G745,jablka5[[#This Row],[sprzedaż]])</f>
        <v>8792</v>
      </c>
      <c r="H746" s="1">
        <f>IF(jablka5[[#This Row],[dot sprz]]&lt;15000,0,IF(jablka5[[#This Row],[dot sprz]]&lt;20000,5,10))</f>
        <v>0</v>
      </c>
      <c r="I746" s="1">
        <f>jablka5[[#This Row],[rabat]]*jablka5[[#This Row],[sprzedaż]]/100</f>
        <v>0</v>
      </c>
    </row>
    <row r="747" spans="1:9" x14ac:dyDescent="0.25">
      <c r="A747" s="2">
        <v>44788</v>
      </c>
      <c r="B747" s="1" t="s">
        <v>13</v>
      </c>
      <c r="C747" s="1" t="s">
        <v>68</v>
      </c>
      <c r="D747" s="1" t="s">
        <v>54</v>
      </c>
      <c r="E747">
        <v>241</v>
      </c>
      <c r="F747" s="1">
        <f>VLOOKUP(jablka5[[#This Row],[Nazwa]],cennik[],2,0) * jablka5[[#This Row],[sprzedaż]]</f>
        <v>771.2</v>
      </c>
      <c r="G747" s="1">
        <f>IF(jablka5[[#This Row],[NIP]]=D746,jablka5[[#This Row],[sprzedaż]]+G746,jablka5[[#This Row],[sprzedaż]])</f>
        <v>9033</v>
      </c>
      <c r="H747" s="1">
        <f>IF(jablka5[[#This Row],[dot sprz]]&lt;15000,0,IF(jablka5[[#This Row],[dot sprz]]&lt;20000,5,10))</f>
        <v>0</v>
      </c>
      <c r="I747" s="1">
        <f>jablka5[[#This Row],[rabat]]*jablka5[[#This Row],[sprzedaż]]/100</f>
        <v>0</v>
      </c>
    </row>
    <row r="748" spans="1:9" x14ac:dyDescent="0.25">
      <c r="A748" s="2">
        <v>44802</v>
      </c>
      <c r="B748" s="1" t="s">
        <v>12</v>
      </c>
      <c r="C748" s="1" t="s">
        <v>68</v>
      </c>
      <c r="D748" s="1" t="s">
        <v>54</v>
      </c>
      <c r="E748">
        <v>143</v>
      </c>
      <c r="F748" s="1">
        <f>VLOOKUP(jablka5[[#This Row],[Nazwa]],cennik[],2,0) * jablka5[[#This Row],[sprzedaż]]</f>
        <v>386.1</v>
      </c>
      <c r="G748" s="1">
        <f>IF(jablka5[[#This Row],[NIP]]=D747,jablka5[[#This Row],[sprzedaż]]+G747,jablka5[[#This Row],[sprzedaż]])</f>
        <v>9176</v>
      </c>
      <c r="H748" s="1">
        <f>IF(jablka5[[#This Row],[dot sprz]]&lt;15000,0,IF(jablka5[[#This Row],[dot sprz]]&lt;20000,5,10))</f>
        <v>0</v>
      </c>
      <c r="I748" s="1">
        <f>jablka5[[#This Row],[rabat]]*jablka5[[#This Row],[sprzedaż]]/100</f>
        <v>0</v>
      </c>
    </row>
    <row r="749" spans="1:9" x14ac:dyDescent="0.25">
      <c r="A749" s="2">
        <v>44803</v>
      </c>
      <c r="B749" s="1" t="s">
        <v>13</v>
      </c>
      <c r="C749" s="1" t="s">
        <v>68</v>
      </c>
      <c r="D749" s="1" t="s">
        <v>54</v>
      </c>
      <c r="E749">
        <v>379</v>
      </c>
      <c r="F749" s="1">
        <f>VLOOKUP(jablka5[[#This Row],[Nazwa]],cennik[],2,0) * jablka5[[#This Row],[sprzedaż]]</f>
        <v>1212.8</v>
      </c>
      <c r="G749" s="1">
        <f>IF(jablka5[[#This Row],[NIP]]=D748,jablka5[[#This Row],[sprzedaż]]+G748,jablka5[[#This Row],[sprzedaż]])</f>
        <v>9555</v>
      </c>
      <c r="H749" s="1">
        <f>IF(jablka5[[#This Row],[dot sprz]]&lt;15000,0,IF(jablka5[[#This Row],[dot sprz]]&lt;20000,5,10))</f>
        <v>0</v>
      </c>
      <c r="I749" s="1">
        <f>jablka5[[#This Row],[rabat]]*jablka5[[#This Row],[sprzedaż]]/100</f>
        <v>0</v>
      </c>
    </row>
    <row r="750" spans="1:9" x14ac:dyDescent="0.25">
      <c r="A750" s="2">
        <v>44825</v>
      </c>
      <c r="B750" s="1" t="s">
        <v>14</v>
      </c>
      <c r="C750" s="1" t="s">
        <v>67</v>
      </c>
      <c r="D750" s="1" t="s">
        <v>54</v>
      </c>
      <c r="E750">
        <v>281</v>
      </c>
      <c r="F750" s="1">
        <f>VLOOKUP(jablka5[[#This Row],[Nazwa]],cennik[],2,0) * jablka5[[#This Row],[sprzedaż]]</f>
        <v>983.5</v>
      </c>
      <c r="G750" s="1">
        <f>IF(jablka5[[#This Row],[NIP]]=D749,jablka5[[#This Row],[sprzedaż]]+G749,jablka5[[#This Row],[sprzedaż]])</f>
        <v>9836</v>
      </c>
      <c r="H750" s="1">
        <f>IF(jablka5[[#This Row],[dot sprz]]&lt;15000,0,IF(jablka5[[#This Row],[dot sprz]]&lt;20000,5,10))</f>
        <v>0</v>
      </c>
      <c r="I750" s="1">
        <f>jablka5[[#This Row],[rabat]]*jablka5[[#This Row],[sprzedaż]]/100</f>
        <v>0</v>
      </c>
    </row>
    <row r="751" spans="1:9" x14ac:dyDescent="0.25">
      <c r="A751" s="2">
        <v>44826</v>
      </c>
      <c r="B751" s="1" t="s">
        <v>9</v>
      </c>
      <c r="C751" s="1" t="s">
        <v>67</v>
      </c>
      <c r="D751" s="1" t="s">
        <v>54</v>
      </c>
      <c r="E751">
        <v>290</v>
      </c>
      <c r="F751" s="1">
        <f>VLOOKUP(jablka5[[#This Row],[Nazwa]],cennik[],2,0) * jablka5[[#This Row],[sprzedaż]]</f>
        <v>725</v>
      </c>
      <c r="G751" s="1">
        <f>IF(jablka5[[#This Row],[NIP]]=D750,jablka5[[#This Row],[sprzedaż]]+G750,jablka5[[#This Row],[sprzedaż]])</f>
        <v>10126</v>
      </c>
      <c r="H751" s="1">
        <f>IF(jablka5[[#This Row],[dot sprz]]&lt;15000,0,IF(jablka5[[#This Row],[dot sprz]]&lt;20000,5,10))</f>
        <v>0</v>
      </c>
      <c r="I751" s="1">
        <f>jablka5[[#This Row],[rabat]]*jablka5[[#This Row],[sprzedaż]]/100</f>
        <v>0</v>
      </c>
    </row>
    <row r="752" spans="1:9" x14ac:dyDescent="0.25">
      <c r="A752" s="2">
        <v>44834</v>
      </c>
      <c r="B752" s="1" t="s">
        <v>14</v>
      </c>
      <c r="C752" s="1" t="s">
        <v>67</v>
      </c>
      <c r="D752" s="1" t="s">
        <v>54</v>
      </c>
      <c r="E752">
        <v>128</v>
      </c>
      <c r="F752" s="1">
        <f>VLOOKUP(jablka5[[#This Row],[Nazwa]],cennik[],2,0) * jablka5[[#This Row],[sprzedaż]]</f>
        <v>448</v>
      </c>
      <c r="G752" s="1">
        <f>IF(jablka5[[#This Row],[NIP]]=D751,jablka5[[#This Row],[sprzedaż]]+G751,jablka5[[#This Row],[sprzedaż]])</f>
        <v>10254</v>
      </c>
      <c r="H752" s="1">
        <f>IF(jablka5[[#This Row],[dot sprz]]&lt;15000,0,IF(jablka5[[#This Row],[dot sprz]]&lt;20000,5,10))</f>
        <v>0</v>
      </c>
      <c r="I752" s="1">
        <f>jablka5[[#This Row],[rabat]]*jablka5[[#This Row],[sprzedaż]]/100</f>
        <v>0</v>
      </c>
    </row>
    <row r="753" spans="1:9" x14ac:dyDescent="0.25">
      <c r="A753" s="2">
        <v>44838</v>
      </c>
      <c r="B753" s="1" t="s">
        <v>1</v>
      </c>
      <c r="C753" s="1" t="s">
        <v>67</v>
      </c>
      <c r="D753" s="1" t="s">
        <v>54</v>
      </c>
      <c r="E753">
        <v>84</v>
      </c>
      <c r="F753" s="1">
        <f>VLOOKUP(jablka5[[#This Row],[Nazwa]],cennik[],2,0) * jablka5[[#This Row],[sprzedaż]]</f>
        <v>268.8</v>
      </c>
      <c r="G753" s="1">
        <f>IF(jablka5[[#This Row],[NIP]]=D752,jablka5[[#This Row],[sprzedaż]]+G752,jablka5[[#This Row],[sprzedaż]])</f>
        <v>10338</v>
      </c>
      <c r="H753" s="1">
        <f>IF(jablka5[[#This Row],[dot sprz]]&lt;15000,0,IF(jablka5[[#This Row],[dot sprz]]&lt;20000,5,10))</f>
        <v>0</v>
      </c>
      <c r="I753" s="1">
        <f>jablka5[[#This Row],[rabat]]*jablka5[[#This Row],[sprzedaż]]/100</f>
        <v>0</v>
      </c>
    </row>
    <row r="754" spans="1:9" x14ac:dyDescent="0.25">
      <c r="A754" s="2">
        <v>44842</v>
      </c>
      <c r="B754" s="1" t="s">
        <v>3</v>
      </c>
      <c r="C754" s="1" t="s">
        <v>67</v>
      </c>
      <c r="D754" s="1" t="s">
        <v>54</v>
      </c>
      <c r="E754">
        <v>24</v>
      </c>
      <c r="F754" s="1">
        <f>VLOOKUP(jablka5[[#This Row],[Nazwa]],cennik[],2,0) * jablka5[[#This Row],[sprzedaż]]</f>
        <v>76.800000000000011</v>
      </c>
      <c r="G754" s="1">
        <f>IF(jablka5[[#This Row],[NIP]]=D753,jablka5[[#This Row],[sprzedaż]]+G753,jablka5[[#This Row],[sprzedaż]])</f>
        <v>10362</v>
      </c>
      <c r="H754" s="1">
        <f>IF(jablka5[[#This Row],[dot sprz]]&lt;15000,0,IF(jablka5[[#This Row],[dot sprz]]&lt;20000,5,10))</f>
        <v>0</v>
      </c>
      <c r="I754" s="1">
        <f>jablka5[[#This Row],[rabat]]*jablka5[[#This Row],[sprzedaż]]/100</f>
        <v>0</v>
      </c>
    </row>
    <row r="755" spans="1:9" x14ac:dyDescent="0.25">
      <c r="A755" s="2">
        <v>44848</v>
      </c>
      <c r="B755" s="1" t="s">
        <v>11</v>
      </c>
      <c r="C755" s="1" t="s">
        <v>67</v>
      </c>
      <c r="D755" s="1" t="s">
        <v>54</v>
      </c>
      <c r="E755">
        <v>254</v>
      </c>
      <c r="F755" s="1">
        <f>VLOOKUP(jablka5[[#This Row],[Nazwa]],cennik[],2,0) * jablka5[[#This Row],[sprzedaż]]</f>
        <v>635</v>
      </c>
      <c r="G755" s="1">
        <f>IF(jablka5[[#This Row],[NIP]]=D754,jablka5[[#This Row],[sprzedaż]]+G754,jablka5[[#This Row],[sprzedaż]])</f>
        <v>10616</v>
      </c>
      <c r="H755" s="1">
        <f>IF(jablka5[[#This Row],[dot sprz]]&lt;15000,0,IF(jablka5[[#This Row],[dot sprz]]&lt;20000,5,10))</f>
        <v>0</v>
      </c>
      <c r="I755" s="1">
        <f>jablka5[[#This Row],[rabat]]*jablka5[[#This Row],[sprzedaż]]/100</f>
        <v>0</v>
      </c>
    </row>
    <row r="756" spans="1:9" x14ac:dyDescent="0.25">
      <c r="A756" s="2">
        <v>44852</v>
      </c>
      <c r="B756" s="1" t="s">
        <v>9</v>
      </c>
      <c r="C756" s="1" t="s">
        <v>67</v>
      </c>
      <c r="D756" s="1" t="s">
        <v>54</v>
      </c>
      <c r="E756">
        <v>342</v>
      </c>
      <c r="F756" s="1">
        <f>VLOOKUP(jablka5[[#This Row],[Nazwa]],cennik[],2,0) * jablka5[[#This Row],[sprzedaż]]</f>
        <v>855</v>
      </c>
      <c r="G756" s="1">
        <f>IF(jablka5[[#This Row],[NIP]]=D755,jablka5[[#This Row],[sprzedaż]]+G755,jablka5[[#This Row],[sprzedaż]])</f>
        <v>10958</v>
      </c>
      <c r="H756" s="1">
        <f>IF(jablka5[[#This Row],[dot sprz]]&lt;15000,0,IF(jablka5[[#This Row],[dot sprz]]&lt;20000,5,10))</f>
        <v>0</v>
      </c>
      <c r="I756" s="1">
        <f>jablka5[[#This Row],[rabat]]*jablka5[[#This Row],[sprzedaż]]/100</f>
        <v>0</v>
      </c>
    </row>
    <row r="757" spans="1:9" x14ac:dyDescent="0.25">
      <c r="A757" s="2">
        <v>44862</v>
      </c>
      <c r="B757" s="1" t="s">
        <v>11</v>
      </c>
      <c r="C757" s="1" t="s">
        <v>67</v>
      </c>
      <c r="D757" s="1" t="s">
        <v>54</v>
      </c>
      <c r="E757">
        <v>329</v>
      </c>
      <c r="F757" s="1">
        <f>VLOOKUP(jablka5[[#This Row],[Nazwa]],cennik[],2,0) * jablka5[[#This Row],[sprzedaż]]</f>
        <v>822.5</v>
      </c>
      <c r="G757" s="1">
        <f>IF(jablka5[[#This Row],[NIP]]=D756,jablka5[[#This Row],[sprzedaż]]+G756,jablka5[[#This Row],[sprzedaż]])</f>
        <v>11287</v>
      </c>
      <c r="H757" s="1">
        <f>IF(jablka5[[#This Row],[dot sprz]]&lt;15000,0,IF(jablka5[[#This Row],[dot sprz]]&lt;20000,5,10))</f>
        <v>0</v>
      </c>
      <c r="I757" s="1">
        <f>jablka5[[#This Row],[rabat]]*jablka5[[#This Row],[sprzedaż]]/100</f>
        <v>0</v>
      </c>
    </row>
    <row r="758" spans="1:9" x14ac:dyDescent="0.25">
      <c r="A758" s="2">
        <v>44865</v>
      </c>
      <c r="B758" s="1" t="s">
        <v>9</v>
      </c>
      <c r="C758" s="1" t="s">
        <v>67</v>
      </c>
      <c r="D758" s="1" t="s">
        <v>54</v>
      </c>
      <c r="E758">
        <v>127</v>
      </c>
      <c r="F758" s="1">
        <f>VLOOKUP(jablka5[[#This Row],[Nazwa]],cennik[],2,0) * jablka5[[#This Row],[sprzedaż]]</f>
        <v>317.5</v>
      </c>
      <c r="G758" s="1">
        <f>IF(jablka5[[#This Row],[NIP]]=D757,jablka5[[#This Row],[sprzedaż]]+G757,jablka5[[#This Row],[sprzedaż]])</f>
        <v>11414</v>
      </c>
      <c r="H758" s="1">
        <f>IF(jablka5[[#This Row],[dot sprz]]&lt;15000,0,IF(jablka5[[#This Row],[dot sprz]]&lt;20000,5,10))</f>
        <v>0</v>
      </c>
      <c r="I758" s="1">
        <f>jablka5[[#This Row],[rabat]]*jablka5[[#This Row],[sprzedaż]]/100</f>
        <v>0</v>
      </c>
    </row>
    <row r="759" spans="1:9" x14ac:dyDescent="0.25">
      <c r="A759" s="2">
        <v>44867</v>
      </c>
      <c r="B759" s="1" t="s">
        <v>3</v>
      </c>
      <c r="C759" s="1" t="s">
        <v>67</v>
      </c>
      <c r="D759" s="1" t="s">
        <v>54</v>
      </c>
      <c r="E759">
        <v>298</v>
      </c>
      <c r="F759" s="1">
        <f>VLOOKUP(jablka5[[#This Row],[Nazwa]],cennik[],2,0) * jablka5[[#This Row],[sprzedaż]]</f>
        <v>953.6</v>
      </c>
      <c r="G759" s="1">
        <f>IF(jablka5[[#This Row],[NIP]]=D758,jablka5[[#This Row],[sprzedaż]]+G758,jablka5[[#This Row],[sprzedaż]])</f>
        <v>11712</v>
      </c>
      <c r="H759" s="1">
        <f>IF(jablka5[[#This Row],[dot sprz]]&lt;15000,0,IF(jablka5[[#This Row],[dot sprz]]&lt;20000,5,10))</f>
        <v>0</v>
      </c>
      <c r="I759" s="1">
        <f>jablka5[[#This Row],[rabat]]*jablka5[[#This Row],[sprzedaż]]/100</f>
        <v>0</v>
      </c>
    </row>
    <row r="760" spans="1:9" x14ac:dyDescent="0.25">
      <c r="A760" s="2">
        <v>44881</v>
      </c>
      <c r="B760" s="1" t="s">
        <v>9</v>
      </c>
      <c r="C760" s="1" t="s">
        <v>67</v>
      </c>
      <c r="D760" s="1" t="s">
        <v>54</v>
      </c>
      <c r="E760">
        <v>109</v>
      </c>
      <c r="F760" s="1">
        <f>VLOOKUP(jablka5[[#This Row],[Nazwa]],cennik[],2,0) * jablka5[[#This Row],[sprzedaż]]</f>
        <v>272.5</v>
      </c>
      <c r="G760" s="1">
        <f>IF(jablka5[[#This Row],[NIP]]=D759,jablka5[[#This Row],[sprzedaż]]+G759,jablka5[[#This Row],[sprzedaż]])</f>
        <v>11821</v>
      </c>
      <c r="H760" s="1">
        <f>IF(jablka5[[#This Row],[dot sprz]]&lt;15000,0,IF(jablka5[[#This Row],[dot sprz]]&lt;20000,5,10))</f>
        <v>0</v>
      </c>
      <c r="I760" s="1">
        <f>jablka5[[#This Row],[rabat]]*jablka5[[#This Row],[sprzedaż]]/100</f>
        <v>0</v>
      </c>
    </row>
    <row r="761" spans="1:9" x14ac:dyDescent="0.25">
      <c r="A761" s="2">
        <v>44887</v>
      </c>
      <c r="B761" s="1" t="s">
        <v>1</v>
      </c>
      <c r="C761" s="1" t="s">
        <v>67</v>
      </c>
      <c r="D761" s="1" t="s">
        <v>54</v>
      </c>
      <c r="E761">
        <v>108</v>
      </c>
      <c r="F761" s="1">
        <f>VLOOKUP(jablka5[[#This Row],[Nazwa]],cennik[],2,0) * jablka5[[#This Row],[sprzedaż]]</f>
        <v>345.6</v>
      </c>
      <c r="G761" s="1">
        <f>IF(jablka5[[#This Row],[NIP]]=D760,jablka5[[#This Row],[sprzedaż]]+G760,jablka5[[#This Row],[sprzedaż]])</f>
        <v>11929</v>
      </c>
      <c r="H761" s="1">
        <f>IF(jablka5[[#This Row],[dot sprz]]&lt;15000,0,IF(jablka5[[#This Row],[dot sprz]]&lt;20000,5,10))</f>
        <v>0</v>
      </c>
      <c r="I761" s="1">
        <f>jablka5[[#This Row],[rabat]]*jablka5[[#This Row],[sprzedaż]]/100</f>
        <v>0</v>
      </c>
    </row>
    <row r="762" spans="1:9" x14ac:dyDescent="0.25">
      <c r="A762" s="2">
        <v>44888</v>
      </c>
      <c r="B762" s="1" t="s">
        <v>14</v>
      </c>
      <c r="C762" s="1" t="s">
        <v>67</v>
      </c>
      <c r="D762" s="1" t="s">
        <v>54</v>
      </c>
      <c r="E762">
        <v>411</v>
      </c>
      <c r="F762" s="1">
        <f>VLOOKUP(jablka5[[#This Row],[Nazwa]],cennik[],2,0) * jablka5[[#This Row],[sprzedaż]]</f>
        <v>1438.5</v>
      </c>
      <c r="G762" s="1">
        <f>IF(jablka5[[#This Row],[NIP]]=D761,jablka5[[#This Row],[sprzedaż]]+G761,jablka5[[#This Row],[sprzedaż]])</f>
        <v>12340</v>
      </c>
      <c r="H762" s="1">
        <f>IF(jablka5[[#This Row],[dot sprz]]&lt;15000,0,IF(jablka5[[#This Row],[dot sprz]]&lt;20000,5,10))</f>
        <v>0</v>
      </c>
      <c r="I762" s="1">
        <f>jablka5[[#This Row],[rabat]]*jablka5[[#This Row],[sprzedaż]]/100</f>
        <v>0</v>
      </c>
    </row>
    <row r="763" spans="1:9" x14ac:dyDescent="0.25">
      <c r="A763" s="2">
        <v>44896</v>
      </c>
      <c r="B763" s="1" t="s">
        <v>15</v>
      </c>
      <c r="C763" s="1" t="s">
        <v>16</v>
      </c>
      <c r="D763" s="1" t="s">
        <v>54</v>
      </c>
      <c r="E763">
        <v>160</v>
      </c>
      <c r="F763" s="1">
        <f>VLOOKUP(jablka5[[#This Row],[Nazwa]],cennik[],2,0) * jablka5[[#This Row],[sprzedaż]]</f>
        <v>384</v>
      </c>
      <c r="G763" s="1">
        <f>IF(jablka5[[#This Row],[NIP]]=D762,jablka5[[#This Row],[sprzedaż]]+G762,jablka5[[#This Row],[sprzedaż]])</f>
        <v>12500</v>
      </c>
      <c r="H763" s="1">
        <f>IF(jablka5[[#This Row],[dot sprz]]&lt;15000,0,IF(jablka5[[#This Row],[dot sprz]]&lt;20000,5,10))</f>
        <v>0</v>
      </c>
      <c r="I763" s="1">
        <f>jablka5[[#This Row],[rabat]]*jablka5[[#This Row],[sprzedaż]]/100</f>
        <v>0</v>
      </c>
    </row>
    <row r="764" spans="1:9" x14ac:dyDescent="0.25">
      <c r="A764" s="2">
        <v>44907</v>
      </c>
      <c r="B764" s="1" t="s">
        <v>5</v>
      </c>
      <c r="C764" s="1" t="s">
        <v>16</v>
      </c>
      <c r="D764" s="1" t="s">
        <v>54</v>
      </c>
      <c r="E764">
        <v>238</v>
      </c>
      <c r="F764" s="1">
        <f>VLOOKUP(jablka5[[#This Row],[Nazwa]],cennik[],2,0) * jablka5[[#This Row],[sprzedaż]]</f>
        <v>809.19999999999993</v>
      </c>
      <c r="G764" s="1">
        <f>IF(jablka5[[#This Row],[NIP]]=D763,jablka5[[#This Row],[sprzedaż]]+G763,jablka5[[#This Row],[sprzedaż]])</f>
        <v>12738</v>
      </c>
      <c r="H764" s="1">
        <f>IF(jablka5[[#This Row],[dot sprz]]&lt;15000,0,IF(jablka5[[#This Row],[dot sprz]]&lt;20000,5,10))</f>
        <v>0</v>
      </c>
      <c r="I764" s="1">
        <f>jablka5[[#This Row],[rabat]]*jablka5[[#This Row],[sprzedaż]]/100</f>
        <v>0</v>
      </c>
    </row>
    <row r="765" spans="1:9" x14ac:dyDescent="0.25">
      <c r="A765" s="2">
        <v>44907</v>
      </c>
      <c r="B765" s="1" t="s">
        <v>7</v>
      </c>
      <c r="C765" s="1" t="s">
        <v>16</v>
      </c>
      <c r="D765" s="1" t="s">
        <v>54</v>
      </c>
      <c r="E765">
        <v>317</v>
      </c>
      <c r="F765" s="1">
        <f>VLOOKUP(jablka5[[#This Row],[Nazwa]],cennik[],2,0) * jablka5[[#This Row],[sprzedaż]]</f>
        <v>1077.8</v>
      </c>
      <c r="G765" s="1">
        <f>IF(jablka5[[#This Row],[NIP]]=D764,jablka5[[#This Row],[sprzedaż]]+G764,jablka5[[#This Row],[sprzedaż]])</f>
        <v>13055</v>
      </c>
      <c r="H765" s="1">
        <f>IF(jablka5[[#This Row],[dot sprz]]&lt;15000,0,IF(jablka5[[#This Row],[dot sprz]]&lt;20000,5,10))</f>
        <v>0</v>
      </c>
      <c r="I765" s="1">
        <f>jablka5[[#This Row],[rabat]]*jablka5[[#This Row],[sprzedaż]]/100</f>
        <v>0</v>
      </c>
    </row>
    <row r="766" spans="1:9" x14ac:dyDescent="0.25">
      <c r="A766" s="2">
        <v>44919</v>
      </c>
      <c r="B766" s="1" t="s">
        <v>2</v>
      </c>
      <c r="C766" s="1" t="s">
        <v>16</v>
      </c>
      <c r="D766" s="1" t="s">
        <v>54</v>
      </c>
      <c r="E766">
        <v>368</v>
      </c>
      <c r="F766" s="1">
        <f>VLOOKUP(jablka5[[#This Row],[Nazwa]],cennik[],2,0) * jablka5[[#This Row],[sprzedaż]]</f>
        <v>1177.6000000000001</v>
      </c>
      <c r="G766" s="1">
        <f>IF(jablka5[[#This Row],[NIP]]=D765,jablka5[[#This Row],[sprzedaż]]+G765,jablka5[[#This Row],[sprzedaż]])</f>
        <v>13423</v>
      </c>
      <c r="H766" s="1">
        <f>IF(jablka5[[#This Row],[dot sprz]]&lt;15000,0,IF(jablka5[[#This Row],[dot sprz]]&lt;20000,5,10))</f>
        <v>0</v>
      </c>
      <c r="I766" s="1">
        <f>jablka5[[#This Row],[rabat]]*jablka5[[#This Row],[sprzedaż]]/100</f>
        <v>0</v>
      </c>
    </row>
    <row r="767" spans="1:9" x14ac:dyDescent="0.25">
      <c r="A767" s="2">
        <v>44923</v>
      </c>
      <c r="B767" s="1" t="s">
        <v>10</v>
      </c>
      <c r="C767" s="1" t="s">
        <v>16</v>
      </c>
      <c r="D767" s="1" t="s">
        <v>54</v>
      </c>
      <c r="E767">
        <v>313</v>
      </c>
      <c r="F767" s="1">
        <f>VLOOKUP(jablka5[[#This Row],[Nazwa]],cennik[],2,0) * jablka5[[#This Row],[sprzedaż]]</f>
        <v>1064.2</v>
      </c>
      <c r="G767" s="1">
        <f>IF(jablka5[[#This Row],[NIP]]=D766,jablka5[[#This Row],[sprzedaż]]+G766,jablka5[[#This Row],[sprzedaż]])</f>
        <v>13736</v>
      </c>
      <c r="H767" s="1">
        <f>IF(jablka5[[#This Row],[dot sprz]]&lt;15000,0,IF(jablka5[[#This Row],[dot sprz]]&lt;20000,5,10))</f>
        <v>0</v>
      </c>
      <c r="I767" s="1">
        <f>jablka5[[#This Row],[rabat]]*jablka5[[#This Row],[sprzedaż]]/100</f>
        <v>0</v>
      </c>
    </row>
    <row r="768" spans="1:9" x14ac:dyDescent="0.25">
      <c r="A768" s="2">
        <v>44926</v>
      </c>
      <c r="B768" s="1" t="s">
        <v>7</v>
      </c>
      <c r="C768" s="1" t="s">
        <v>16</v>
      </c>
      <c r="D768" s="1" t="s">
        <v>54</v>
      </c>
      <c r="E768">
        <v>241</v>
      </c>
      <c r="F768" s="1">
        <f>VLOOKUP(jablka5[[#This Row],[Nazwa]],cennik[],2,0) * jablka5[[#This Row],[sprzedaż]]</f>
        <v>819.4</v>
      </c>
      <c r="G768" s="1">
        <f>IF(jablka5[[#This Row],[NIP]]=D767,jablka5[[#This Row],[sprzedaż]]+G767,jablka5[[#This Row],[sprzedaż]])</f>
        <v>13977</v>
      </c>
      <c r="H768" s="1">
        <f>IF(jablka5[[#This Row],[dot sprz]]&lt;15000,0,IF(jablka5[[#This Row],[dot sprz]]&lt;20000,5,10))</f>
        <v>0</v>
      </c>
      <c r="I768" s="1">
        <f>jablka5[[#This Row],[rabat]]*jablka5[[#This Row],[sprzedaż]]/100</f>
        <v>0</v>
      </c>
    </row>
    <row r="769" spans="1:9" x14ac:dyDescent="0.25">
      <c r="A769" s="2">
        <v>44568</v>
      </c>
      <c r="B769" s="1" t="s">
        <v>4</v>
      </c>
      <c r="C769" s="1" t="s">
        <v>16</v>
      </c>
      <c r="D769" s="1" t="s">
        <v>42</v>
      </c>
      <c r="E769">
        <v>715</v>
      </c>
      <c r="F769" s="1">
        <f>VLOOKUP(jablka5[[#This Row],[Nazwa]],cennik[],2,0) * jablka5[[#This Row],[sprzedaż]]</f>
        <v>2431</v>
      </c>
      <c r="G769" s="1">
        <f>IF(jablka5[[#This Row],[NIP]]=D768,jablka5[[#This Row],[sprzedaż]]+G768,jablka5[[#This Row],[sprzedaż]])</f>
        <v>715</v>
      </c>
      <c r="H769" s="1">
        <f>IF(jablka5[[#This Row],[dot sprz]]&lt;15000,0,IF(jablka5[[#This Row],[dot sprz]]&lt;20000,5,10))</f>
        <v>0</v>
      </c>
      <c r="I769" s="1">
        <f>jablka5[[#This Row],[rabat]]*jablka5[[#This Row],[sprzedaż]]/100</f>
        <v>0</v>
      </c>
    </row>
    <row r="770" spans="1:9" x14ac:dyDescent="0.25">
      <c r="A770" s="2">
        <v>44589</v>
      </c>
      <c r="B770" s="1" t="s">
        <v>0</v>
      </c>
      <c r="C770" s="1" t="s">
        <v>16</v>
      </c>
      <c r="D770" s="1" t="s">
        <v>42</v>
      </c>
      <c r="E770">
        <v>12</v>
      </c>
      <c r="F770" s="1">
        <f>VLOOKUP(jablka5[[#This Row],[Nazwa]],cennik[],2,0) * jablka5[[#This Row],[sprzedaż]]</f>
        <v>34.799999999999997</v>
      </c>
      <c r="G770" s="1">
        <f>IF(jablka5[[#This Row],[NIP]]=D769,jablka5[[#This Row],[sprzedaż]]+G769,jablka5[[#This Row],[sprzedaż]])</f>
        <v>727</v>
      </c>
      <c r="H770" s="1">
        <f>IF(jablka5[[#This Row],[dot sprz]]&lt;15000,0,IF(jablka5[[#This Row],[dot sprz]]&lt;20000,5,10))</f>
        <v>0</v>
      </c>
      <c r="I770" s="1">
        <f>jablka5[[#This Row],[rabat]]*jablka5[[#This Row],[sprzedaż]]/100</f>
        <v>0</v>
      </c>
    </row>
    <row r="771" spans="1:9" x14ac:dyDescent="0.25">
      <c r="A771" s="2">
        <v>44603</v>
      </c>
      <c r="B771" s="1" t="s">
        <v>7</v>
      </c>
      <c r="C771" s="1" t="s">
        <v>16</v>
      </c>
      <c r="D771" s="1" t="s">
        <v>42</v>
      </c>
      <c r="E771">
        <v>609</v>
      </c>
      <c r="F771" s="1">
        <f>VLOOKUP(jablka5[[#This Row],[Nazwa]],cennik[],2,0) * jablka5[[#This Row],[sprzedaż]]</f>
        <v>2070.6</v>
      </c>
      <c r="G771" s="1">
        <f>IF(jablka5[[#This Row],[NIP]]=D770,jablka5[[#This Row],[sprzedaż]]+G770,jablka5[[#This Row],[sprzedaż]])</f>
        <v>1336</v>
      </c>
      <c r="H771" s="1">
        <f>IF(jablka5[[#This Row],[dot sprz]]&lt;15000,0,IF(jablka5[[#This Row],[dot sprz]]&lt;20000,5,10))</f>
        <v>0</v>
      </c>
      <c r="I771" s="1">
        <f>jablka5[[#This Row],[rabat]]*jablka5[[#This Row],[sprzedaż]]/100</f>
        <v>0</v>
      </c>
    </row>
    <row r="772" spans="1:9" x14ac:dyDescent="0.25">
      <c r="A772" s="2">
        <v>44608</v>
      </c>
      <c r="B772" s="1" t="s">
        <v>2</v>
      </c>
      <c r="C772" s="1" t="s">
        <v>16</v>
      </c>
      <c r="D772" s="1" t="s">
        <v>42</v>
      </c>
      <c r="E772">
        <v>221</v>
      </c>
      <c r="F772" s="1">
        <f>VLOOKUP(jablka5[[#This Row],[Nazwa]],cennik[],2,0) * jablka5[[#This Row],[sprzedaż]]</f>
        <v>707.2</v>
      </c>
      <c r="G772" s="1">
        <f>IF(jablka5[[#This Row],[NIP]]=D771,jablka5[[#This Row],[sprzedaż]]+G771,jablka5[[#This Row],[sprzedaż]])</f>
        <v>1557</v>
      </c>
      <c r="H772" s="1">
        <f>IF(jablka5[[#This Row],[dot sprz]]&lt;15000,0,IF(jablka5[[#This Row],[dot sprz]]&lt;20000,5,10))</f>
        <v>0</v>
      </c>
      <c r="I772" s="1">
        <f>jablka5[[#This Row],[rabat]]*jablka5[[#This Row],[sprzedaż]]/100</f>
        <v>0</v>
      </c>
    </row>
    <row r="773" spans="1:9" x14ac:dyDescent="0.25">
      <c r="A773" s="2">
        <v>44609</v>
      </c>
      <c r="B773" s="1" t="s">
        <v>4</v>
      </c>
      <c r="C773" s="1" t="s">
        <v>16</v>
      </c>
      <c r="D773" s="1" t="s">
        <v>42</v>
      </c>
      <c r="E773">
        <v>522</v>
      </c>
      <c r="F773" s="1">
        <f>VLOOKUP(jablka5[[#This Row],[Nazwa]],cennik[],2,0) * jablka5[[#This Row],[sprzedaż]]</f>
        <v>1774.8</v>
      </c>
      <c r="G773" s="1">
        <f>IF(jablka5[[#This Row],[NIP]]=D772,jablka5[[#This Row],[sprzedaż]]+G772,jablka5[[#This Row],[sprzedaż]])</f>
        <v>2079</v>
      </c>
      <c r="H773" s="1">
        <f>IF(jablka5[[#This Row],[dot sprz]]&lt;15000,0,IF(jablka5[[#This Row],[dot sprz]]&lt;20000,5,10))</f>
        <v>0</v>
      </c>
      <c r="I773" s="1">
        <f>jablka5[[#This Row],[rabat]]*jablka5[[#This Row],[sprzedaż]]/100</f>
        <v>0</v>
      </c>
    </row>
    <row r="774" spans="1:9" x14ac:dyDescent="0.25">
      <c r="A774" s="2">
        <v>44613</v>
      </c>
      <c r="B774" s="1" t="s">
        <v>15</v>
      </c>
      <c r="C774" s="1" t="s">
        <v>16</v>
      </c>
      <c r="D774" s="1" t="s">
        <v>42</v>
      </c>
      <c r="E774">
        <v>408</v>
      </c>
      <c r="F774" s="1">
        <f>VLOOKUP(jablka5[[#This Row],[Nazwa]],cennik[],2,0) * jablka5[[#This Row],[sprzedaż]]</f>
        <v>979.19999999999993</v>
      </c>
      <c r="G774" s="1">
        <f>IF(jablka5[[#This Row],[NIP]]=D773,jablka5[[#This Row],[sprzedaż]]+G773,jablka5[[#This Row],[sprzedaż]])</f>
        <v>2487</v>
      </c>
      <c r="H774" s="1">
        <f>IF(jablka5[[#This Row],[dot sprz]]&lt;15000,0,IF(jablka5[[#This Row],[dot sprz]]&lt;20000,5,10))</f>
        <v>0</v>
      </c>
      <c r="I774" s="1">
        <f>jablka5[[#This Row],[rabat]]*jablka5[[#This Row],[sprzedaż]]/100</f>
        <v>0</v>
      </c>
    </row>
    <row r="775" spans="1:9" x14ac:dyDescent="0.25">
      <c r="A775" s="2">
        <v>44617</v>
      </c>
      <c r="B775" s="1" t="s">
        <v>4</v>
      </c>
      <c r="C775" s="1" t="s">
        <v>16</v>
      </c>
      <c r="D775" s="1" t="s">
        <v>42</v>
      </c>
      <c r="E775">
        <v>603</v>
      </c>
      <c r="F775" s="1">
        <f>VLOOKUP(jablka5[[#This Row],[Nazwa]],cennik[],2,0) * jablka5[[#This Row],[sprzedaż]]</f>
        <v>2050.1999999999998</v>
      </c>
      <c r="G775" s="1">
        <f>IF(jablka5[[#This Row],[NIP]]=D774,jablka5[[#This Row],[sprzedaż]]+G774,jablka5[[#This Row],[sprzedaż]])</f>
        <v>3090</v>
      </c>
      <c r="H775" s="1">
        <f>IF(jablka5[[#This Row],[dot sprz]]&lt;15000,0,IF(jablka5[[#This Row],[dot sprz]]&lt;20000,5,10))</f>
        <v>0</v>
      </c>
      <c r="I775" s="1">
        <f>jablka5[[#This Row],[rabat]]*jablka5[[#This Row],[sprzedaż]]/100</f>
        <v>0</v>
      </c>
    </row>
    <row r="776" spans="1:9" x14ac:dyDescent="0.25">
      <c r="A776" s="2">
        <v>44620</v>
      </c>
      <c r="B776" s="1" t="s">
        <v>15</v>
      </c>
      <c r="C776" s="1" t="s">
        <v>16</v>
      </c>
      <c r="D776" s="1" t="s">
        <v>42</v>
      </c>
      <c r="E776">
        <v>480</v>
      </c>
      <c r="F776" s="1">
        <f>VLOOKUP(jablka5[[#This Row],[Nazwa]],cennik[],2,0) * jablka5[[#This Row],[sprzedaż]]</f>
        <v>1152</v>
      </c>
      <c r="G776" s="1">
        <f>IF(jablka5[[#This Row],[NIP]]=D775,jablka5[[#This Row],[sprzedaż]]+G775,jablka5[[#This Row],[sprzedaż]])</f>
        <v>3570</v>
      </c>
      <c r="H776" s="1">
        <f>IF(jablka5[[#This Row],[dot sprz]]&lt;15000,0,IF(jablka5[[#This Row],[dot sprz]]&lt;20000,5,10))</f>
        <v>0</v>
      </c>
      <c r="I776" s="1">
        <f>jablka5[[#This Row],[rabat]]*jablka5[[#This Row],[sprzedaż]]/100</f>
        <v>0</v>
      </c>
    </row>
    <row r="777" spans="1:9" x14ac:dyDescent="0.25">
      <c r="A777" s="2">
        <v>44630</v>
      </c>
      <c r="B777" s="1" t="s">
        <v>7</v>
      </c>
      <c r="C777" s="1" t="s">
        <v>16</v>
      </c>
      <c r="D777" s="1" t="s">
        <v>42</v>
      </c>
      <c r="E777">
        <v>420</v>
      </c>
      <c r="F777" s="1">
        <f>VLOOKUP(jablka5[[#This Row],[Nazwa]],cennik[],2,0) * jablka5[[#This Row],[sprzedaż]]</f>
        <v>1428</v>
      </c>
      <c r="G777" s="1">
        <f>IF(jablka5[[#This Row],[NIP]]=D776,jablka5[[#This Row],[sprzedaż]]+G776,jablka5[[#This Row],[sprzedaż]])</f>
        <v>3990</v>
      </c>
      <c r="H777" s="1">
        <f>IF(jablka5[[#This Row],[dot sprz]]&lt;15000,0,IF(jablka5[[#This Row],[dot sprz]]&lt;20000,5,10))</f>
        <v>0</v>
      </c>
      <c r="I777" s="1">
        <f>jablka5[[#This Row],[rabat]]*jablka5[[#This Row],[sprzedaż]]/100</f>
        <v>0</v>
      </c>
    </row>
    <row r="778" spans="1:9" x14ac:dyDescent="0.25">
      <c r="A778" s="2">
        <v>44643</v>
      </c>
      <c r="B778" s="1" t="s">
        <v>6</v>
      </c>
      <c r="C778" s="1" t="s">
        <v>16</v>
      </c>
      <c r="D778" s="1" t="s">
        <v>42</v>
      </c>
      <c r="E778">
        <v>17</v>
      </c>
      <c r="F778" s="1">
        <f>VLOOKUP(jablka5[[#This Row],[Nazwa]],cennik[],2,0) * jablka5[[#This Row],[sprzedaż]]</f>
        <v>57.8</v>
      </c>
      <c r="G778" s="1">
        <f>IF(jablka5[[#This Row],[NIP]]=D777,jablka5[[#This Row],[sprzedaż]]+G777,jablka5[[#This Row],[sprzedaż]])</f>
        <v>4007</v>
      </c>
      <c r="H778" s="1">
        <f>IF(jablka5[[#This Row],[dot sprz]]&lt;15000,0,IF(jablka5[[#This Row],[dot sprz]]&lt;20000,5,10))</f>
        <v>0</v>
      </c>
      <c r="I778" s="1">
        <f>jablka5[[#This Row],[rabat]]*jablka5[[#This Row],[sprzedaż]]/100</f>
        <v>0</v>
      </c>
    </row>
    <row r="779" spans="1:9" x14ac:dyDescent="0.25">
      <c r="A779" s="2">
        <v>44646</v>
      </c>
      <c r="B779" s="1" t="s">
        <v>2</v>
      </c>
      <c r="C779" s="1" t="s">
        <v>16</v>
      </c>
      <c r="D779" s="1" t="s">
        <v>42</v>
      </c>
      <c r="E779">
        <v>188</v>
      </c>
      <c r="F779" s="1">
        <f>VLOOKUP(jablka5[[#This Row],[Nazwa]],cennik[],2,0) * jablka5[[#This Row],[sprzedaż]]</f>
        <v>601.6</v>
      </c>
      <c r="G779" s="1">
        <f>IF(jablka5[[#This Row],[NIP]]=D778,jablka5[[#This Row],[sprzedaż]]+G778,jablka5[[#This Row],[sprzedaż]])</f>
        <v>4195</v>
      </c>
      <c r="H779" s="1">
        <f>IF(jablka5[[#This Row],[dot sprz]]&lt;15000,0,IF(jablka5[[#This Row],[dot sprz]]&lt;20000,5,10))</f>
        <v>0</v>
      </c>
      <c r="I779" s="1">
        <f>jablka5[[#This Row],[rabat]]*jablka5[[#This Row],[sprzedaż]]/100</f>
        <v>0</v>
      </c>
    </row>
    <row r="780" spans="1:9" x14ac:dyDescent="0.25">
      <c r="A780" s="2">
        <v>44646</v>
      </c>
      <c r="B780" s="1" t="s">
        <v>0</v>
      </c>
      <c r="C780" s="1" t="s">
        <v>16</v>
      </c>
      <c r="D780" s="1" t="s">
        <v>42</v>
      </c>
      <c r="E780">
        <v>474</v>
      </c>
      <c r="F780" s="1">
        <f>VLOOKUP(jablka5[[#This Row],[Nazwa]],cennik[],2,0) * jablka5[[#This Row],[sprzedaż]]</f>
        <v>1374.6</v>
      </c>
      <c r="G780" s="1">
        <f>IF(jablka5[[#This Row],[NIP]]=D779,jablka5[[#This Row],[sprzedaż]]+G779,jablka5[[#This Row],[sprzedaż]])</f>
        <v>4669</v>
      </c>
      <c r="H780" s="1">
        <f>IF(jablka5[[#This Row],[dot sprz]]&lt;15000,0,IF(jablka5[[#This Row],[dot sprz]]&lt;20000,5,10))</f>
        <v>0</v>
      </c>
      <c r="I780" s="1">
        <f>jablka5[[#This Row],[rabat]]*jablka5[[#This Row],[sprzedaż]]/100</f>
        <v>0</v>
      </c>
    </row>
    <row r="781" spans="1:9" x14ac:dyDescent="0.25">
      <c r="A781" s="2">
        <v>44652</v>
      </c>
      <c r="B781" s="1" t="s">
        <v>4</v>
      </c>
      <c r="C781" s="1" t="s">
        <v>16</v>
      </c>
      <c r="D781" s="1" t="s">
        <v>42</v>
      </c>
      <c r="E781">
        <v>776</v>
      </c>
      <c r="F781" s="1">
        <f>VLOOKUP(jablka5[[#This Row],[Nazwa]],cennik[],2,0) * jablka5[[#This Row],[sprzedaż]]</f>
        <v>2638.4</v>
      </c>
      <c r="G781" s="1">
        <f>IF(jablka5[[#This Row],[NIP]]=D780,jablka5[[#This Row],[sprzedaż]]+G780,jablka5[[#This Row],[sprzedaż]])</f>
        <v>5445</v>
      </c>
      <c r="H781" s="1">
        <f>IF(jablka5[[#This Row],[dot sprz]]&lt;15000,0,IF(jablka5[[#This Row],[dot sprz]]&lt;20000,5,10))</f>
        <v>0</v>
      </c>
      <c r="I781" s="1">
        <f>jablka5[[#This Row],[rabat]]*jablka5[[#This Row],[sprzedaż]]/100</f>
        <v>0</v>
      </c>
    </row>
    <row r="782" spans="1:9" x14ac:dyDescent="0.25">
      <c r="A782" s="2">
        <v>44655</v>
      </c>
      <c r="B782" s="1" t="s">
        <v>2</v>
      </c>
      <c r="C782" s="1" t="s">
        <v>16</v>
      </c>
      <c r="D782" s="1" t="s">
        <v>42</v>
      </c>
      <c r="E782">
        <v>333</v>
      </c>
      <c r="F782" s="1">
        <f>VLOOKUP(jablka5[[#This Row],[Nazwa]],cennik[],2,0) * jablka5[[#This Row],[sprzedaż]]</f>
        <v>1065.6000000000001</v>
      </c>
      <c r="G782" s="1">
        <f>IF(jablka5[[#This Row],[NIP]]=D781,jablka5[[#This Row],[sprzedaż]]+G781,jablka5[[#This Row],[sprzedaż]])</f>
        <v>5778</v>
      </c>
      <c r="H782" s="1">
        <f>IF(jablka5[[#This Row],[dot sprz]]&lt;15000,0,IF(jablka5[[#This Row],[dot sprz]]&lt;20000,5,10))</f>
        <v>0</v>
      </c>
      <c r="I782" s="1">
        <f>jablka5[[#This Row],[rabat]]*jablka5[[#This Row],[sprzedaż]]/100</f>
        <v>0</v>
      </c>
    </row>
    <row r="783" spans="1:9" x14ac:dyDescent="0.25">
      <c r="A783" s="2">
        <v>44655</v>
      </c>
      <c r="B783" s="1" t="s">
        <v>5</v>
      </c>
      <c r="C783" s="1" t="s">
        <v>16</v>
      </c>
      <c r="D783" s="1" t="s">
        <v>42</v>
      </c>
      <c r="E783">
        <v>488</v>
      </c>
      <c r="F783" s="1">
        <f>VLOOKUP(jablka5[[#This Row],[Nazwa]],cennik[],2,0) * jablka5[[#This Row],[sprzedaż]]</f>
        <v>1659.2</v>
      </c>
      <c r="G783" s="1">
        <f>IF(jablka5[[#This Row],[NIP]]=D782,jablka5[[#This Row],[sprzedaż]]+G782,jablka5[[#This Row],[sprzedaż]])</f>
        <v>6266</v>
      </c>
      <c r="H783" s="1">
        <f>IF(jablka5[[#This Row],[dot sprz]]&lt;15000,0,IF(jablka5[[#This Row],[dot sprz]]&lt;20000,5,10))</f>
        <v>0</v>
      </c>
      <c r="I783" s="1">
        <f>jablka5[[#This Row],[rabat]]*jablka5[[#This Row],[sprzedaż]]/100</f>
        <v>0</v>
      </c>
    </row>
    <row r="784" spans="1:9" x14ac:dyDescent="0.25">
      <c r="A784" s="2">
        <v>44667</v>
      </c>
      <c r="B784" s="1" t="s">
        <v>4</v>
      </c>
      <c r="C784" s="1" t="s">
        <v>16</v>
      </c>
      <c r="D784" s="1" t="s">
        <v>42</v>
      </c>
      <c r="E784">
        <v>317</v>
      </c>
      <c r="F784" s="1">
        <f>VLOOKUP(jablka5[[#This Row],[Nazwa]],cennik[],2,0) * jablka5[[#This Row],[sprzedaż]]</f>
        <v>1077.8</v>
      </c>
      <c r="G784" s="1">
        <f>IF(jablka5[[#This Row],[NIP]]=D783,jablka5[[#This Row],[sprzedaż]]+G783,jablka5[[#This Row],[sprzedaż]])</f>
        <v>6583</v>
      </c>
      <c r="H784" s="1">
        <f>IF(jablka5[[#This Row],[dot sprz]]&lt;15000,0,IF(jablka5[[#This Row],[dot sprz]]&lt;20000,5,10))</f>
        <v>0</v>
      </c>
      <c r="I784" s="1">
        <f>jablka5[[#This Row],[rabat]]*jablka5[[#This Row],[sprzedaż]]/100</f>
        <v>0</v>
      </c>
    </row>
    <row r="785" spans="1:9" x14ac:dyDescent="0.25">
      <c r="A785" s="2">
        <v>44676</v>
      </c>
      <c r="B785" s="1" t="s">
        <v>7</v>
      </c>
      <c r="C785" s="1" t="s">
        <v>16</v>
      </c>
      <c r="D785" s="1" t="s">
        <v>42</v>
      </c>
      <c r="E785">
        <v>448</v>
      </c>
      <c r="F785" s="1">
        <f>VLOOKUP(jablka5[[#This Row],[Nazwa]],cennik[],2,0) * jablka5[[#This Row],[sprzedaż]]</f>
        <v>1523.2</v>
      </c>
      <c r="G785" s="1">
        <f>IF(jablka5[[#This Row],[NIP]]=D784,jablka5[[#This Row],[sprzedaż]]+G784,jablka5[[#This Row],[sprzedaż]])</f>
        <v>7031</v>
      </c>
      <c r="H785" s="1">
        <f>IF(jablka5[[#This Row],[dot sprz]]&lt;15000,0,IF(jablka5[[#This Row],[dot sprz]]&lt;20000,5,10))</f>
        <v>0</v>
      </c>
      <c r="I785" s="1">
        <f>jablka5[[#This Row],[rabat]]*jablka5[[#This Row],[sprzedaż]]/100</f>
        <v>0</v>
      </c>
    </row>
    <row r="786" spans="1:9" x14ac:dyDescent="0.25">
      <c r="A786" s="2">
        <v>44680</v>
      </c>
      <c r="B786" s="1" t="s">
        <v>10</v>
      </c>
      <c r="C786" s="1" t="s">
        <v>16</v>
      </c>
      <c r="D786" s="1" t="s">
        <v>42</v>
      </c>
      <c r="E786">
        <v>359</v>
      </c>
      <c r="F786" s="1">
        <f>VLOOKUP(jablka5[[#This Row],[Nazwa]],cennik[],2,0) * jablka5[[#This Row],[sprzedaż]]</f>
        <v>1220.5999999999999</v>
      </c>
      <c r="G786" s="1">
        <f>IF(jablka5[[#This Row],[NIP]]=D785,jablka5[[#This Row],[sprzedaż]]+G785,jablka5[[#This Row],[sprzedaż]])</f>
        <v>7390</v>
      </c>
      <c r="H786" s="1">
        <f>IF(jablka5[[#This Row],[dot sprz]]&lt;15000,0,IF(jablka5[[#This Row],[dot sprz]]&lt;20000,5,10))</f>
        <v>0</v>
      </c>
      <c r="I786" s="1">
        <f>jablka5[[#This Row],[rabat]]*jablka5[[#This Row],[sprzedaż]]/100</f>
        <v>0</v>
      </c>
    </row>
    <row r="787" spans="1:9" x14ac:dyDescent="0.25">
      <c r="A787" s="2">
        <v>44683</v>
      </c>
      <c r="B787" s="1" t="s">
        <v>10</v>
      </c>
      <c r="C787" s="1" t="s">
        <v>16</v>
      </c>
      <c r="D787" s="1" t="s">
        <v>42</v>
      </c>
      <c r="E787">
        <v>395</v>
      </c>
      <c r="F787" s="1">
        <f>VLOOKUP(jablka5[[#This Row],[Nazwa]],cennik[],2,0) * jablka5[[#This Row],[sprzedaż]]</f>
        <v>1343</v>
      </c>
      <c r="G787" s="1">
        <f>IF(jablka5[[#This Row],[NIP]]=D786,jablka5[[#This Row],[sprzedaż]]+G786,jablka5[[#This Row],[sprzedaż]])</f>
        <v>7785</v>
      </c>
      <c r="H787" s="1">
        <f>IF(jablka5[[#This Row],[dot sprz]]&lt;15000,0,IF(jablka5[[#This Row],[dot sprz]]&lt;20000,5,10))</f>
        <v>0</v>
      </c>
      <c r="I787" s="1">
        <f>jablka5[[#This Row],[rabat]]*jablka5[[#This Row],[sprzedaż]]/100</f>
        <v>0</v>
      </c>
    </row>
    <row r="788" spans="1:9" x14ac:dyDescent="0.25">
      <c r="A788" s="2">
        <v>44711</v>
      </c>
      <c r="B788" s="1" t="s">
        <v>4</v>
      </c>
      <c r="C788" s="1" t="s">
        <v>16</v>
      </c>
      <c r="D788" s="1" t="s">
        <v>42</v>
      </c>
      <c r="E788">
        <v>359</v>
      </c>
      <c r="F788" s="1">
        <f>VLOOKUP(jablka5[[#This Row],[Nazwa]],cennik[],2,0) * jablka5[[#This Row],[sprzedaż]]</f>
        <v>1220.5999999999999</v>
      </c>
      <c r="G788" s="1">
        <f>IF(jablka5[[#This Row],[NIP]]=D787,jablka5[[#This Row],[sprzedaż]]+G787,jablka5[[#This Row],[sprzedaż]])</f>
        <v>8144</v>
      </c>
      <c r="H788" s="1">
        <f>IF(jablka5[[#This Row],[dot sprz]]&lt;15000,0,IF(jablka5[[#This Row],[dot sprz]]&lt;20000,5,10))</f>
        <v>0</v>
      </c>
      <c r="I788" s="1">
        <f>jablka5[[#This Row],[rabat]]*jablka5[[#This Row],[sprzedaż]]/100</f>
        <v>0</v>
      </c>
    </row>
    <row r="789" spans="1:9" x14ac:dyDescent="0.25">
      <c r="A789" s="2">
        <v>44714</v>
      </c>
      <c r="B789" s="1" t="s">
        <v>12</v>
      </c>
      <c r="C789" s="1" t="s">
        <v>68</v>
      </c>
      <c r="D789" s="1" t="s">
        <v>42</v>
      </c>
      <c r="E789">
        <v>499</v>
      </c>
      <c r="F789" s="1">
        <f>VLOOKUP(jablka5[[#This Row],[Nazwa]],cennik[],2,0) * jablka5[[#This Row],[sprzedaż]]</f>
        <v>1347.3000000000002</v>
      </c>
      <c r="G789" s="1">
        <f>IF(jablka5[[#This Row],[NIP]]=D788,jablka5[[#This Row],[sprzedaż]]+G788,jablka5[[#This Row],[sprzedaż]])</f>
        <v>8643</v>
      </c>
      <c r="H789" s="1">
        <f>IF(jablka5[[#This Row],[dot sprz]]&lt;15000,0,IF(jablka5[[#This Row],[dot sprz]]&lt;20000,5,10))</f>
        <v>0</v>
      </c>
      <c r="I789" s="1">
        <f>jablka5[[#This Row],[rabat]]*jablka5[[#This Row],[sprzedaż]]/100</f>
        <v>0</v>
      </c>
    </row>
    <row r="790" spans="1:9" x14ac:dyDescent="0.25">
      <c r="A790" s="2">
        <v>44718</v>
      </c>
      <c r="B790" s="1" t="s">
        <v>14</v>
      </c>
      <c r="C790" s="1" t="s">
        <v>67</v>
      </c>
      <c r="D790" s="1" t="s">
        <v>42</v>
      </c>
      <c r="E790">
        <v>30</v>
      </c>
      <c r="F790" s="1">
        <f>VLOOKUP(jablka5[[#This Row],[Nazwa]],cennik[],2,0) * jablka5[[#This Row],[sprzedaż]]</f>
        <v>105</v>
      </c>
      <c r="G790" s="1">
        <f>IF(jablka5[[#This Row],[NIP]]=D789,jablka5[[#This Row],[sprzedaż]]+G789,jablka5[[#This Row],[sprzedaż]])</f>
        <v>8673</v>
      </c>
      <c r="H790" s="1">
        <f>IF(jablka5[[#This Row],[dot sprz]]&lt;15000,0,IF(jablka5[[#This Row],[dot sprz]]&lt;20000,5,10))</f>
        <v>0</v>
      </c>
      <c r="I790" s="1">
        <f>jablka5[[#This Row],[rabat]]*jablka5[[#This Row],[sprzedaż]]/100</f>
        <v>0</v>
      </c>
    </row>
    <row r="791" spans="1:9" x14ac:dyDescent="0.25">
      <c r="A791" s="2">
        <v>44725</v>
      </c>
      <c r="B791" s="1" t="s">
        <v>13</v>
      </c>
      <c r="C791" s="1" t="s">
        <v>68</v>
      </c>
      <c r="D791" s="1" t="s">
        <v>42</v>
      </c>
      <c r="E791">
        <v>230</v>
      </c>
      <c r="F791" s="1">
        <f>VLOOKUP(jablka5[[#This Row],[Nazwa]],cennik[],2,0) * jablka5[[#This Row],[sprzedaż]]</f>
        <v>736</v>
      </c>
      <c r="G791" s="1">
        <f>IF(jablka5[[#This Row],[NIP]]=D790,jablka5[[#This Row],[sprzedaż]]+G790,jablka5[[#This Row],[sprzedaż]])</f>
        <v>8903</v>
      </c>
      <c r="H791" s="1">
        <f>IF(jablka5[[#This Row],[dot sprz]]&lt;15000,0,IF(jablka5[[#This Row],[dot sprz]]&lt;20000,5,10))</f>
        <v>0</v>
      </c>
      <c r="I791" s="1">
        <f>jablka5[[#This Row],[rabat]]*jablka5[[#This Row],[sprzedaż]]/100</f>
        <v>0</v>
      </c>
    </row>
    <row r="792" spans="1:9" x14ac:dyDescent="0.25">
      <c r="A792" s="2">
        <v>44728</v>
      </c>
      <c r="B792" s="1" t="s">
        <v>14</v>
      </c>
      <c r="C792" s="1" t="s">
        <v>67</v>
      </c>
      <c r="D792" s="1" t="s">
        <v>42</v>
      </c>
      <c r="E792">
        <v>498</v>
      </c>
      <c r="F792" s="1">
        <f>VLOOKUP(jablka5[[#This Row],[Nazwa]],cennik[],2,0) * jablka5[[#This Row],[sprzedaż]]</f>
        <v>1743</v>
      </c>
      <c r="G792" s="1">
        <f>IF(jablka5[[#This Row],[NIP]]=D791,jablka5[[#This Row],[sprzedaż]]+G791,jablka5[[#This Row],[sprzedaż]])</f>
        <v>9401</v>
      </c>
      <c r="H792" s="1">
        <f>IF(jablka5[[#This Row],[dot sprz]]&lt;15000,0,IF(jablka5[[#This Row],[dot sprz]]&lt;20000,5,10))</f>
        <v>0</v>
      </c>
      <c r="I792" s="1">
        <f>jablka5[[#This Row],[rabat]]*jablka5[[#This Row],[sprzedaż]]/100</f>
        <v>0</v>
      </c>
    </row>
    <row r="793" spans="1:9" x14ac:dyDescent="0.25">
      <c r="A793" s="2">
        <v>44737</v>
      </c>
      <c r="B793" s="1" t="s">
        <v>13</v>
      </c>
      <c r="C793" s="1" t="s">
        <v>68</v>
      </c>
      <c r="D793" s="1" t="s">
        <v>42</v>
      </c>
      <c r="E793">
        <v>182</v>
      </c>
      <c r="F793" s="1">
        <f>VLOOKUP(jablka5[[#This Row],[Nazwa]],cennik[],2,0) * jablka5[[#This Row],[sprzedaż]]</f>
        <v>582.4</v>
      </c>
      <c r="G793" s="1">
        <f>IF(jablka5[[#This Row],[NIP]]=D792,jablka5[[#This Row],[sprzedaż]]+G792,jablka5[[#This Row],[sprzedaż]])</f>
        <v>9583</v>
      </c>
      <c r="H793" s="1">
        <f>IF(jablka5[[#This Row],[dot sprz]]&lt;15000,0,IF(jablka5[[#This Row],[dot sprz]]&lt;20000,5,10))</f>
        <v>0</v>
      </c>
      <c r="I793" s="1">
        <f>jablka5[[#This Row],[rabat]]*jablka5[[#This Row],[sprzedaż]]/100</f>
        <v>0</v>
      </c>
    </row>
    <row r="794" spans="1:9" x14ac:dyDescent="0.25">
      <c r="A794" s="2">
        <v>44746</v>
      </c>
      <c r="B794" s="1" t="s">
        <v>14</v>
      </c>
      <c r="C794" s="1" t="s">
        <v>67</v>
      </c>
      <c r="D794" s="1" t="s">
        <v>42</v>
      </c>
      <c r="E794">
        <v>307</v>
      </c>
      <c r="F794" s="1">
        <f>VLOOKUP(jablka5[[#This Row],[Nazwa]],cennik[],2,0) * jablka5[[#This Row],[sprzedaż]]</f>
        <v>1074.5</v>
      </c>
      <c r="G794" s="1">
        <f>IF(jablka5[[#This Row],[NIP]]=D793,jablka5[[#This Row],[sprzedaż]]+G793,jablka5[[#This Row],[sprzedaż]])</f>
        <v>9890</v>
      </c>
      <c r="H794" s="1">
        <f>IF(jablka5[[#This Row],[dot sprz]]&lt;15000,0,IF(jablka5[[#This Row],[dot sprz]]&lt;20000,5,10))</f>
        <v>0</v>
      </c>
      <c r="I794" s="1">
        <f>jablka5[[#This Row],[rabat]]*jablka5[[#This Row],[sprzedaż]]/100</f>
        <v>0</v>
      </c>
    </row>
    <row r="795" spans="1:9" x14ac:dyDescent="0.25">
      <c r="A795" s="2">
        <v>44750</v>
      </c>
      <c r="B795" s="1" t="s">
        <v>14</v>
      </c>
      <c r="C795" s="1" t="s">
        <v>67</v>
      </c>
      <c r="D795" s="1" t="s">
        <v>42</v>
      </c>
      <c r="E795">
        <v>317</v>
      </c>
      <c r="F795" s="1">
        <f>VLOOKUP(jablka5[[#This Row],[Nazwa]],cennik[],2,0) * jablka5[[#This Row],[sprzedaż]]</f>
        <v>1109.5</v>
      </c>
      <c r="G795" s="1">
        <f>IF(jablka5[[#This Row],[NIP]]=D794,jablka5[[#This Row],[sprzedaż]]+G794,jablka5[[#This Row],[sprzedaż]])</f>
        <v>10207</v>
      </c>
      <c r="H795" s="1">
        <f>IF(jablka5[[#This Row],[dot sprz]]&lt;15000,0,IF(jablka5[[#This Row],[dot sprz]]&lt;20000,5,10))</f>
        <v>0</v>
      </c>
      <c r="I795" s="1">
        <f>jablka5[[#This Row],[rabat]]*jablka5[[#This Row],[sprzedaż]]/100</f>
        <v>0</v>
      </c>
    </row>
    <row r="796" spans="1:9" x14ac:dyDescent="0.25">
      <c r="A796" s="2">
        <v>44757</v>
      </c>
      <c r="B796" s="1" t="s">
        <v>13</v>
      </c>
      <c r="C796" s="1" t="s">
        <v>68</v>
      </c>
      <c r="D796" s="1" t="s">
        <v>42</v>
      </c>
      <c r="E796">
        <v>421</v>
      </c>
      <c r="F796" s="1">
        <f>VLOOKUP(jablka5[[#This Row],[Nazwa]],cennik[],2,0) * jablka5[[#This Row],[sprzedaż]]</f>
        <v>1347.2</v>
      </c>
      <c r="G796" s="1">
        <f>IF(jablka5[[#This Row],[NIP]]=D795,jablka5[[#This Row],[sprzedaż]]+G795,jablka5[[#This Row],[sprzedaż]])</f>
        <v>10628</v>
      </c>
      <c r="H796" s="1">
        <f>IF(jablka5[[#This Row],[dot sprz]]&lt;15000,0,IF(jablka5[[#This Row],[dot sprz]]&lt;20000,5,10))</f>
        <v>0</v>
      </c>
      <c r="I796" s="1">
        <f>jablka5[[#This Row],[rabat]]*jablka5[[#This Row],[sprzedaż]]/100</f>
        <v>0</v>
      </c>
    </row>
    <row r="797" spans="1:9" x14ac:dyDescent="0.25">
      <c r="A797" s="2">
        <v>44782</v>
      </c>
      <c r="B797" s="1" t="s">
        <v>12</v>
      </c>
      <c r="C797" s="1" t="s">
        <v>68</v>
      </c>
      <c r="D797" s="1" t="s">
        <v>42</v>
      </c>
      <c r="E797">
        <v>51</v>
      </c>
      <c r="F797" s="1">
        <f>VLOOKUP(jablka5[[#This Row],[Nazwa]],cennik[],2,0) * jablka5[[#This Row],[sprzedaż]]</f>
        <v>137.70000000000002</v>
      </c>
      <c r="G797" s="1">
        <f>IF(jablka5[[#This Row],[NIP]]=D796,jablka5[[#This Row],[sprzedaż]]+G796,jablka5[[#This Row],[sprzedaż]])</f>
        <v>10679</v>
      </c>
      <c r="H797" s="1">
        <f>IF(jablka5[[#This Row],[dot sprz]]&lt;15000,0,IF(jablka5[[#This Row],[dot sprz]]&lt;20000,5,10))</f>
        <v>0</v>
      </c>
      <c r="I797" s="1">
        <f>jablka5[[#This Row],[rabat]]*jablka5[[#This Row],[sprzedaż]]/100</f>
        <v>0</v>
      </c>
    </row>
    <row r="798" spans="1:9" x14ac:dyDescent="0.25">
      <c r="A798" s="2">
        <v>44784</v>
      </c>
      <c r="B798" s="1" t="s">
        <v>13</v>
      </c>
      <c r="C798" s="1" t="s">
        <v>68</v>
      </c>
      <c r="D798" s="1" t="s">
        <v>42</v>
      </c>
      <c r="E798">
        <v>309</v>
      </c>
      <c r="F798" s="1">
        <f>VLOOKUP(jablka5[[#This Row],[Nazwa]],cennik[],2,0) * jablka5[[#This Row],[sprzedaż]]</f>
        <v>988.80000000000007</v>
      </c>
      <c r="G798" s="1">
        <f>IF(jablka5[[#This Row],[NIP]]=D797,jablka5[[#This Row],[sprzedaż]]+G797,jablka5[[#This Row],[sprzedaż]])</f>
        <v>10988</v>
      </c>
      <c r="H798" s="1">
        <f>IF(jablka5[[#This Row],[dot sprz]]&lt;15000,0,IF(jablka5[[#This Row],[dot sprz]]&lt;20000,5,10))</f>
        <v>0</v>
      </c>
      <c r="I798" s="1">
        <f>jablka5[[#This Row],[rabat]]*jablka5[[#This Row],[sprzedaż]]/100</f>
        <v>0</v>
      </c>
    </row>
    <row r="799" spans="1:9" x14ac:dyDescent="0.25">
      <c r="A799" s="2">
        <v>44802</v>
      </c>
      <c r="B799" s="1" t="s">
        <v>12</v>
      </c>
      <c r="C799" s="1" t="s">
        <v>68</v>
      </c>
      <c r="D799" s="1" t="s">
        <v>42</v>
      </c>
      <c r="E799">
        <v>293</v>
      </c>
      <c r="F799" s="1">
        <f>VLOOKUP(jablka5[[#This Row],[Nazwa]],cennik[],2,0) * jablka5[[#This Row],[sprzedaż]]</f>
        <v>791.1</v>
      </c>
      <c r="G799" s="1">
        <f>IF(jablka5[[#This Row],[NIP]]=D798,jablka5[[#This Row],[sprzedaż]]+G798,jablka5[[#This Row],[sprzedaż]])</f>
        <v>11281</v>
      </c>
      <c r="H799" s="1">
        <f>IF(jablka5[[#This Row],[dot sprz]]&lt;15000,0,IF(jablka5[[#This Row],[dot sprz]]&lt;20000,5,10))</f>
        <v>0</v>
      </c>
      <c r="I799" s="1">
        <f>jablka5[[#This Row],[rabat]]*jablka5[[#This Row],[sprzedaż]]/100</f>
        <v>0</v>
      </c>
    </row>
    <row r="800" spans="1:9" x14ac:dyDescent="0.25">
      <c r="A800" s="2">
        <v>44812</v>
      </c>
      <c r="B800" s="1" t="s">
        <v>14</v>
      </c>
      <c r="C800" s="1" t="s">
        <v>67</v>
      </c>
      <c r="D800" s="1" t="s">
        <v>42</v>
      </c>
      <c r="E800">
        <v>334</v>
      </c>
      <c r="F800" s="1">
        <f>VLOOKUP(jablka5[[#This Row],[Nazwa]],cennik[],2,0) * jablka5[[#This Row],[sprzedaż]]</f>
        <v>1169</v>
      </c>
      <c r="G800" s="1">
        <f>IF(jablka5[[#This Row],[NIP]]=D799,jablka5[[#This Row],[sprzedaż]]+G799,jablka5[[#This Row],[sprzedaż]])</f>
        <v>11615</v>
      </c>
      <c r="H800" s="1">
        <f>IF(jablka5[[#This Row],[dot sprz]]&lt;15000,0,IF(jablka5[[#This Row],[dot sprz]]&lt;20000,5,10))</f>
        <v>0</v>
      </c>
      <c r="I800" s="1">
        <f>jablka5[[#This Row],[rabat]]*jablka5[[#This Row],[sprzedaż]]/100</f>
        <v>0</v>
      </c>
    </row>
    <row r="801" spans="1:9" x14ac:dyDescent="0.25">
      <c r="A801" s="2">
        <v>44820</v>
      </c>
      <c r="B801" s="1" t="s">
        <v>3</v>
      </c>
      <c r="C801" s="1" t="s">
        <v>67</v>
      </c>
      <c r="D801" s="1" t="s">
        <v>42</v>
      </c>
      <c r="E801">
        <v>355</v>
      </c>
      <c r="F801" s="1">
        <f>VLOOKUP(jablka5[[#This Row],[Nazwa]],cennik[],2,0) * jablka5[[#This Row],[sprzedaż]]</f>
        <v>1136</v>
      </c>
      <c r="G801" s="1">
        <f>IF(jablka5[[#This Row],[NIP]]=D800,jablka5[[#This Row],[sprzedaż]]+G800,jablka5[[#This Row],[sprzedaż]])</f>
        <v>11970</v>
      </c>
      <c r="H801" s="1">
        <f>IF(jablka5[[#This Row],[dot sprz]]&lt;15000,0,IF(jablka5[[#This Row],[dot sprz]]&lt;20000,5,10))</f>
        <v>0</v>
      </c>
      <c r="I801" s="1">
        <f>jablka5[[#This Row],[rabat]]*jablka5[[#This Row],[sprzedaż]]/100</f>
        <v>0</v>
      </c>
    </row>
    <row r="802" spans="1:9" x14ac:dyDescent="0.25">
      <c r="A802" s="2">
        <v>44821</v>
      </c>
      <c r="B802" s="1" t="s">
        <v>11</v>
      </c>
      <c r="C802" s="1" t="s">
        <v>67</v>
      </c>
      <c r="D802" s="1" t="s">
        <v>42</v>
      </c>
      <c r="E802">
        <v>138</v>
      </c>
      <c r="F802" s="1">
        <f>VLOOKUP(jablka5[[#This Row],[Nazwa]],cennik[],2,0) * jablka5[[#This Row],[sprzedaż]]</f>
        <v>345</v>
      </c>
      <c r="G802" s="1">
        <f>IF(jablka5[[#This Row],[NIP]]=D801,jablka5[[#This Row],[sprzedaż]]+G801,jablka5[[#This Row],[sprzedaż]])</f>
        <v>12108</v>
      </c>
      <c r="H802" s="1">
        <f>IF(jablka5[[#This Row],[dot sprz]]&lt;15000,0,IF(jablka5[[#This Row],[dot sprz]]&lt;20000,5,10))</f>
        <v>0</v>
      </c>
      <c r="I802" s="1">
        <f>jablka5[[#This Row],[rabat]]*jablka5[[#This Row],[sprzedaż]]/100</f>
        <v>0</v>
      </c>
    </row>
    <row r="803" spans="1:9" x14ac:dyDescent="0.25">
      <c r="A803" s="2">
        <v>44835</v>
      </c>
      <c r="B803" s="1" t="s">
        <v>3</v>
      </c>
      <c r="C803" s="1" t="s">
        <v>67</v>
      </c>
      <c r="D803" s="1" t="s">
        <v>42</v>
      </c>
      <c r="E803">
        <v>471</v>
      </c>
      <c r="F803" s="1">
        <f>VLOOKUP(jablka5[[#This Row],[Nazwa]],cennik[],2,0) * jablka5[[#This Row],[sprzedaż]]</f>
        <v>1507.2</v>
      </c>
      <c r="G803" s="1">
        <f>IF(jablka5[[#This Row],[NIP]]=D802,jablka5[[#This Row],[sprzedaż]]+G802,jablka5[[#This Row],[sprzedaż]])</f>
        <v>12579</v>
      </c>
      <c r="H803" s="1">
        <f>IF(jablka5[[#This Row],[dot sprz]]&lt;15000,0,IF(jablka5[[#This Row],[dot sprz]]&lt;20000,5,10))</f>
        <v>0</v>
      </c>
      <c r="I803" s="1">
        <f>jablka5[[#This Row],[rabat]]*jablka5[[#This Row],[sprzedaż]]/100</f>
        <v>0</v>
      </c>
    </row>
    <row r="804" spans="1:9" x14ac:dyDescent="0.25">
      <c r="A804" s="2">
        <v>44838</v>
      </c>
      <c r="B804" s="1" t="s">
        <v>14</v>
      </c>
      <c r="C804" s="1" t="s">
        <v>67</v>
      </c>
      <c r="D804" s="1" t="s">
        <v>42</v>
      </c>
      <c r="E804">
        <v>312</v>
      </c>
      <c r="F804" s="1">
        <f>VLOOKUP(jablka5[[#This Row],[Nazwa]],cennik[],2,0) * jablka5[[#This Row],[sprzedaż]]</f>
        <v>1092</v>
      </c>
      <c r="G804" s="1">
        <f>IF(jablka5[[#This Row],[NIP]]=D803,jablka5[[#This Row],[sprzedaż]]+G803,jablka5[[#This Row],[sprzedaż]])</f>
        <v>12891</v>
      </c>
      <c r="H804" s="1">
        <f>IF(jablka5[[#This Row],[dot sprz]]&lt;15000,0,IF(jablka5[[#This Row],[dot sprz]]&lt;20000,5,10))</f>
        <v>0</v>
      </c>
      <c r="I804" s="1">
        <f>jablka5[[#This Row],[rabat]]*jablka5[[#This Row],[sprzedaż]]/100</f>
        <v>0</v>
      </c>
    </row>
    <row r="805" spans="1:9" x14ac:dyDescent="0.25">
      <c r="A805" s="2">
        <v>44851</v>
      </c>
      <c r="B805" s="1" t="s">
        <v>14</v>
      </c>
      <c r="C805" s="1" t="s">
        <v>67</v>
      </c>
      <c r="D805" s="1" t="s">
        <v>42</v>
      </c>
      <c r="E805">
        <v>350</v>
      </c>
      <c r="F805" s="1">
        <f>VLOOKUP(jablka5[[#This Row],[Nazwa]],cennik[],2,0) * jablka5[[#This Row],[sprzedaż]]</f>
        <v>1225</v>
      </c>
      <c r="G805" s="1">
        <f>IF(jablka5[[#This Row],[NIP]]=D804,jablka5[[#This Row],[sprzedaż]]+G804,jablka5[[#This Row],[sprzedaż]])</f>
        <v>13241</v>
      </c>
      <c r="H805" s="1">
        <f>IF(jablka5[[#This Row],[dot sprz]]&lt;15000,0,IF(jablka5[[#This Row],[dot sprz]]&lt;20000,5,10))</f>
        <v>0</v>
      </c>
      <c r="I805" s="1">
        <f>jablka5[[#This Row],[rabat]]*jablka5[[#This Row],[sprzedaż]]/100</f>
        <v>0</v>
      </c>
    </row>
    <row r="806" spans="1:9" x14ac:dyDescent="0.25">
      <c r="A806" s="2">
        <v>44859</v>
      </c>
      <c r="B806" s="1" t="s">
        <v>14</v>
      </c>
      <c r="C806" s="1" t="s">
        <v>67</v>
      </c>
      <c r="D806" s="1" t="s">
        <v>42</v>
      </c>
      <c r="E806">
        <v>69</v>
      </c>
      <c r="F806" s="1">
        <f>VLOOKUP(jablka5[[#This Row],[Nazwa]],cennik[],2,0) * jablka5[[#This Row],[sprzedaż]]</f>
        <v>241.5</v>
      </c>
      <c r="G806" s="1">
        <f>IF(jablka5[[#This Row],[NIP]]=D805,jablka5[[#This Row],[sprzedaż]]+G805,jablka5[[#This Row],[sprzedaż]])</f>
        <v>13310</v>
      </c>
      <c r="H806" s="1">
        <f>IF(jablka5[[#This Row],[dot sprz]]&lt;15000,0,IF(jablka5[[#This Row],[dot sprz]]&lt;20000,5,10))</f>
        <v>0</v>
      </c>
      <c r="I806" s="1">
        <f>jablka5[[#This Row],[rabat]]*jablka5[[#This Row],[sprzedaż]]/100</f>
        <v>0</v>
      </c>
    </row>
    <row r="807" spans="1:9" x14ac:dyDescent="0.25">
      <c r="A807" s="2">
        <v>44866</v>
      </c>
      <c r="B807" s="1" t="s">
        <v>14</v>
      </c>
      <c r="C807" s="1" t="s">
        <v>67</v>
      </c>
      <c r="D807" s="1" t="s">
        <v>42</v>
      </c>
      <c r="E807">
        <v>244</v>
      </c>
      <c r="F807" s="1">
        <f>VLOOKUP(jablka5[[#This Row],[Nazwa]],cennik[],2,0) * jablka5[[#This Row],[sprzedaż]]</f>
        <v>854</v>
      </c>
      <c r="G807" s="1">
        <f>IF(jablka5[[#This Row],[NIP]]=D806,jablka5[[#This Row],[sprzedaż]]+G806,jablka5[[#This Row],[sprzedaż]])</f>
        <v>13554</v>
      </c>
      <c r="H807" s="1">
        <f>IF(jablka5[[#This Row],[dot sprz]]&lt;15000,0,IF(jablka5[[#This Row],[dot sprz]]&lt;20000,5,10))</f>
        <v>0</v>
      </c>
      <c r="I807" s="1">
        <f>jablka5[[#This Row],[rabat]]*jablka5[[#This Row],[sprzedaż]]/100</f>
        <v>0</v>
      </c>
    </row>
    <row r="808" spans="1:9" x14ac:dyDescent="0.25">
      <c r="A808" s="2">
        <v>44869</v>
      </c>
      <c r="B808" s="1" t="s">
        <v>9</v>
      </c>
      <c r="C808" s="1" t="s">
        <v>67</v>
      </c>
      <c r="D808" s="1" t="s">
        <v>42</v>
      </c>
      <c r="E808">
        <v>224</v>
      </c>
      <c r="F808" s="1">
        <f>VLOOKUP(jablka5[[#This Row],[Nazwa]],cennik[],2,0) * jablka5[[#This Row],[sprzedaż]]</f>
        <v>560</v>
      </c>
      <c r="G808" s="1">
        <f>IF(jablka5[[#This Row],[NIP]]=D807,jablka5[[#This Row],[sprzedaż]]+G807,jablka5[[#This Row],[sprzedaż]])</f>
        <v>13778</v>
      </c>
      <c r="H808" s="1">
        <f>IF(jablka5[[#This Row],[dot sprz]]&lt;15000,0,IF(jablka5[[#This Row],[dot sprz]]&lt;20000,5,10))</f>
        <v>0</v>
      </c>
      <c r="I808" s="1">
        <f>jablka5[[#This Row],[rabat]]*jablka5[[#This Row],[sprzedaż]]/100</f>
        <v>0</v>
      </c>
    </row>
    <row r="809" spans="1:9" x14ac:dyDescent="0.25">
      <c r="A809" s="2">
        <v>44872</v>
      </c>
      <c r="B809" s="1" t="s">
        <v>3</v>
      </c>
      <c r="C809" s="1" t="s">
        <v>67</v>
      </c>
      <c r="D809" s="1" t="s">
        <v>42</v>
      </c>
      <c r="E809">
        <v>369</v>
      </c>
      <c r="F809" s="1">
        <f>VLOOKUP(jablka5[[#This Row],[Nazwa]],cennik[],2,0) * jablka5[[#This Row],[sprzedaż]]</f>
        <v>1180.8</v>
      </c>
      <c r="G809" s="1">
        <f>IF(jablka5[[#This Row],[NIP]]=D808,jablka5[[#This Row],[sprzedaż]]+G808,jablka5[[#This Row],[sprzedaż]])</f>
        <v>14147</v>
      </c>
      <c r="H809" s="1">
        <f>IF(jablka5[[#This Row],[dot sprz]]&lt;15000,0,IF(jablka5[[#This Row],[dot sprz]]&lt;20000,5,10))</f>
        <v>0</v>
      </c>
      <c r="I809" s="1">
        <f>jablka5[[#This Row],[rabat]]*jablka5[[#This Row],[sprzedaż]]/100</f>
        <v>0</v>
      </c>
    </row>
    <row r="810" spans="1:9" x14ac:dyDescent="0.25">
      <c r="A810" s="2">
        <v>44875</v>
      </c>
      <c r="B810" s="1" t="s">
        <v>11</v>
      </c>
      <c r="C810" s="1" t="s">
        <v>67</v>
      </c>
      <c r="D810" s="1" t="s">
        <v>42</v>
      </c>
      <c r="E810">
        <v>407</v>
      </c>
      <c r="F810" s="1">
        <f>VLOOKUP(jablka5[[#This Row],[Nazwa]],cennik[],2,0) * jablka5[[#This Row],[sprzedaż]]</f>
        <v>1017.5</v>
      </c>
      <c r="G810" s="1">
        <f>IF(jablka5[[#This Row],[NIP]]=D809,jablka5[[#This Row],[sprzedaż]]+G809,jablka5[[#This Row],[sprzedaż]])</f>
        <v>14554</v>
      </c>
      <c r="H810" s="1">
        <f>IF(jablka5[[#This Row],[dot sprz]]&lt;15000,0,IF(jablka5[[#This Row],[dot sprz]]&lt;20000,5,10))</f>
        <v>0</v>
      </c>
      <c r="I810" s="1">
        <f>jablka5[[#This Row],[rabat]]*jablka5[[#This Row],[sprzedaż]]/100</f>
        <v>0</v>
      </c>
    </row>
    <row r="811" spans="1:9" x14ac:dyDescent="0.25">
      <c r="A811" s="2">
        <v>44879</v>
      </c>
      <c r="B811" s="1" t="s">
        <v>14</v>
      </c>
      <c r="C811" s="1" t="s">
        <v>67</v>
      </c>
      <c r="D811" s="1" t="s">
        <v>42</v>
      </c>
      <c r="E811">
        <v>224</v>
      </c>
      <c r="F811" s="1">
        <f>VLOOKUP(jablka5[[#This Row],[Nazwa]],cennik[],2,0) * jablka5[[#This Row],[sprzedaż]]</f>
        <v>784</v>
      </c>
      <c r="G811" s="1">
        <f>IF(jablka5[[#This Row],[NIP]]=D810,jablka5[[#This Row],[sprzedaż]]+G810,jablka5[[#This Row],[sprzedaż]])</f>
        <v>14778</v>
      </c>
      <c r="H811" s="1">
        <f>IF(jablka5[[#This Row],[dot sprz]]&lt;15000,0,IF(jablka5[[#This Row],[dot sprz]]&lt;20000,5,10))</f>
        <v>0</v>
      </c>
      <c r="I811" s="1">
        <f>jablka5[[#This Row],[rabat]]*jablka5[[#This Row],[sprzedaż]]/100</f>
        <v>0</v>
      </c>
    </row>
    <row r="812" spans="1:9" x14ac:dyDescent="0.25">
      <c r="A812" s="2">
        <v>44882</v>
      </c>
      <c r="B812" s="1" t="s">
        <v>11</v>
      </c>
      <c r="C812" s="1" t="s">
        <v>67</v>
      </c>
      <c r="D812" s="1" t="s">
        <v>42</v>
      </c>
      <c r="E812">
        <v>46</v>
      </c>
      <c r="F812" s="1">
        <f>VLOOKUP(jablka5[[#This Row],[Nazwa]],cennik[],2,0) * jablka5[[#This Row],[sprzedaż]]</f>
        <v>115</v>
      </c>
      <c r="G812" s="1">
        <f>IF(jablka5[[#This Row],[NIP]]=D811,jablka5[[#This Row],[sprzedaż]]+G811,jablka5[[#This Row],[sprzedaż]])</f>
        <v>14824</v>
      </c>
      <c r="H812" s="1">
        <f>IF(jablka5[[#This Row],[dot sprz]]&lt;15000,0,IF(jablka5[[#This Row],[dot sprz]]&lt;20000,5,10))</f>
        <v>0</v>
      </c>
      <c r="I812" s="1">
        <f>jablka5[[#This Row],[rabat]]*jablka5[[#This Row],[sprzedaż]]/100</f>
        <v>0</v>
      </c>
    </row>
    <row r="813" spans="1:9" x14ac:dyDescent="0.25">
      <c r="A813" s="2">
        <v>44889</v>
      </c>
      <c r="B813" s="1" t="s">
        <v>14</v>
      </c>
      <c r="C813" s="1" t="s">
        <v>67</v>
      </c>
      <c r="D813" s="1" t="s">
        <v>42</v>
      </c>
      <c r="E813">
        <v>363</v>
      </c>
      <c r="F813" s="1">
        <f>VLOOKUP(jablka5[[#This Row],[Nazwa]],cennik[],2,0) * jablka5[[#This Row],[sprzedaż]]</f>
        <v>1270.5</v>
      </c>
      <c r="G813" s="1">
        <f>IF(jablka5[[#This Row],[NIP]]=D812,jablka5[[#This Row],[sprzedaż]]+G812,jablka5[[#This Row],[sprzedaż]])</f>
        <v>15187</v>
      </c>
      <c r="H813" s="1">
        <f>IF(jablka5[[#This Row],[dot sprz]]&lt;15000,0,IF(jablka5[[#This Row],[dot sprz]]&lt;20000,5,10))</f>
        <v>5</v>
      </c>
      <c r="I813" s="1">
        <f>jablka5[[#This Row],[rabat]]*jablka5[[#This Row],[sprzedaż]]/100</f>
        <v>18.149999999999999</v>
      </c>
    </row>
    <row r="814" spans="1:9" x14ac:dyDescent="0.25">
      <c r="A814" s="2">
        <v>44893</v>
      </c>
      <c r="B814" s="1" t="s">
        <v>3</v>
      </c>
      <c r="C814" s="1" t="s">
        <v>67</v>
      </c>
      <c r="D814" s="1" t="s">
        <v>42</v>
      </c>
      <c r="E814">
        <v>100</v>
      </c>
      <c r="F814" s="1">
        <f>VLOOKUP(jablka5[[#This Row],[Nazwa]],cennik[],2,0) * jablka5[[#This Row],[sprzedaż]]</f>
        <v>320</v>
      </c>
      <c r="G814" s="1">
        <f>IF(jablka5[[#This Row],[NIP]]=D813,jablka5[[#This Row],[sprzedaż]]+G813,jablka5[[#This Row],[sprzedaż]])</f>
        <v>15287</v>
      </c>
      <c r="H814" s="1">
        <f>IF(jablka5[[#This Row],[dot sprz]]&lt;15000,0,IF(jablka5[[#This Row],[dot sprz]]&lt;20000,5,10))</f>
        <v>5</v>
      </c>
      <c r="I814" s="1">
        <f>jablka5[[#This Row],[rabat]]*jablka5[[#This Row],[sprzedaż]]/100</f>
        <v>5</v>
      </c>
    </row>
    <row r="815" spans="1:9" x14ac:dyDescent="0.25">
      <c r="A815" s="2">
        <v>44907</v>
      </c>
      <c r="B815" s="1" t="s">
        <v>8</v>
      </c>
      <c r="C815" s="1" t="s">
        <v>16</v>
      </c>
      <c r="D815" s="1" t="s">
        <v>42</v>
      </c>
      <c r="E815">
        <v>654</v>
      </c>
      <c r="F815" s="1">
        <f>VLOOKUP(jablka5[[#This Row],[Nazwa]],cennik[],2,0) * jablka5[[#This Row],[sprzedaż]]</f>
        <v>2289</v>
      </c>
      <c r="G815" s="1">
        <f>IF(jablka5[[#This Row],[NIP]]=D814,jablka5[[#This Row],[sprzedaż]]+G814,jablka5[[#This Row],[sprzedaż]])</f>
        <v>15941</v>
      </c>
      <c r="H815" s="1">
        <f>IF(jablka5[[#This Row],[dot sprz]]&lt;15000,0,IF(jablka5[[#This Row],[dot sprz]]&lt;20000,5,10))</f>
        <v>5</v>
      </c>
      <c r="I815" s="1">
        <f>jablka5[[#This Row],[rabat]]*jablka5[[#This Row],[sprzedaż]]/100</f>
        <v>32.700000000000003</v>
      </c>
    </row>
    <row r="816" spans="1:9" x14ac:dyDescent="0.25">
      <c r="A816" s="2">
        <v>44918</v>
      </c>
      <c r="B816" s="1" t="s">
        <v>7</v>
      </c>
      <c r="C816" s="1" t="s">
        <v>16</v>
      </c>
      <c r="D816" s="1" t="s">
        <v>42</v>
      </c>
      <c r="E816">
        <v>412</v>
      </c>
      <c r="F816" s="1">
        <f>VLOOKUP(jablka5[[#This Row],[Nazwa]],cennik[],2,0) * jablka5[[#This Row],[sprzedaż]]</f>
        <v>1400.8</v>
      </c>
      <c r="G816" s="1">
        <f>IF(jablka5[[#This Row],[NIP]]=D815,jablka5[[#This Row],[sprzedaż]]+G815,jablka5[[#This Row],[sprzedaż]])</f>
        <v>16353</v>
      </c>
      <c r="H816" s="1">
        <f>IF(jablka5[[#This Row],[dot sprz]]&lt;15000,0,IF(jablka5[[#This Row],[dot sprz]]&lt;20000,5,10))</f>
        <v>5</v>
      </c>
      <c r="I816" s="1">
        <f>jablka5[[#This Row],[rabat]]*jablka5[[#This Row],[sprzedaż]]/100</f>
        <v>20.6</v>
      </c>
    </row>
    <row r="817" spans="1:9" x14ac:dyDescent="0.25">
      <c r="A817" s="2">
        <v>44568</v>
      </c>
      <c r="B817" s="1" t="s">
        <v>7</v>
      </c>
      <c r="C817" s="1" t="s">
        <v>16</v>
      </c>
      <c r="D817" s="1" t="s">
        <v>44</v>
      </c>
      <c r="E817">
        <v>390</v>
      </c>
      <c r="F817" s="1">
        <f>VLOOKUP(jablka5[[#This Row],[Nazwa]],cennik[],2,0) * jablka5[[#This Row],[sprzedaż]]</f>
        <v>1326</v>
      </c>
      <c r="G817" s="1">
        <f>IF(jablka5[[#This Row],[NIP]]=D816,jablka5[[#This Row],[sprzedaż]]+G816,jablka5[[#This Row],[sprzedaż]])</f>
        <v>390</v>
      </c>
      <c r="H817" s="1">
        <f>IF(jablka5[[#This Row],[dot sprz]]&lt;15000,0,IF(jablka5[[#This Row],[dot sprz]]&lt;20000,5,10))</f>
        <v>0</v>
      </c>
      <c r="I817" s="1">
        <f>jablka5[[#This Row],[rabat]]*jablka5[[#This Row],[sprzedaż]]/100</f>
        <v>0</v>
      </c>
    </row>
    <row r="818" spans="1:9" x14ac:dyDescent="0.25">
      <c r="A818" s="2">
        <v>44568</v>
      </c>
      <c r="B818" s="1" t="s">
        <v>5</v>
      </c>
      <c r="C818" s="1" t="s">
        <v>16</v>
      </c>
      <c r="D818" s="1" t="s">
        <v>44</v>
      </c>
      <c r="E818">
        <v>115</v>
      </c>
      <c r="F818" s="1">
        <f>VLOOKUP(jablka5[[#This Row],[Nazwa]],cennik[],2,0) * jablka5[[#This Row],[sprzedaż]]</f>
        <v>391</v>
      </c>
      <c r="G818" s="1">
        <f>IF(jablka5[[#This Row],[NIP]]=D817,jablka5[[#This Row],[sprzedaż]]+G817,jablka5[[#This Row],[sprzedaż]])</f>
        <v>505</v>
      </c>
      <c r="H818" s="1">
        <f>IF(jablka5[[#This Row],[dot sprz]]&lt;15000,0,IF(jablka5[[#This Row],[dot sprz]]&lt;20000,5,10))</f>
        <v>0</v>
      </c>
      <c r="I818" s="1">
        <f>jablka5[[#This Row],[rabat]]*jablka5[[#This Row],[sprzedaż]]/100</f>
        <v>0</v>
      </c>
    </row>
    <row r="819" spans="1:9" x14ac:dyDescent="0.25">
      <c r="A819" s="2">
        <v>44578</v>
      </c>
      <c r="B819" s="1" t="s">
        <v>8</v>
      </c>
      <c r="C819" s="1" t="s">
        <v>16</v>
      </c>
      <c r="D819" s="1" t="s">
        <v>44</v>
      </c>
      <c r="E819">
        <v>532</v>
      </c>
      <c r="F819" s="1">
        <f>VLOOKUP(jablka5[[#This Row],[Nazwa]],cennik[],2,0) * jablka5[[#This Row],[sprzedaż]]</f>
        <v>1862</v>
      </c>
      <c r="G819" s="1">
        <f>IF(jablka5[[#This Row],[NIP]]=D818,jablka5[[#This Row],[sprzedaż]]+G818,jablka5[[#This Row],[sprzedaż]])</f>
        <v>1037</v>
      </c>
      <c r="H819" s="1">
        <f>IF(jablka5[[#This Row],[dot sprz]]&lt;15000,0,IF(jablka5[[#This Row],[dot sprz]]&lt;20000,5,10))</f>
        <v>0</v>
      </c>
      <c r="I819" s="1">
        <f>jablka5[[#This Row],[rabat]]*jablka5[[#This Row],[sprzedaż]]/100</f>
        <v>0</v>
      </c>
    </row>
    <row r="820" spans="1:9" x14ac:dyDescent="0.25">
      <c r="A820" s="2">
        <v>44588</v>
      </c>
      <c r="B820" s="1" t="s">
        <v>6</v>
      </c>
      <c r="C820" s="1" t="s">
        <v>16</v>
      </c>
      <c r="D820" s="1" t="s">
        <v>44</v>
      </c>
      <c r="E820">
        <v>257</v>
      </c>
      <c r="F820" s="1">
        <f>VLOOKUP(jablka5[[#This Row],[Nazwa]],cennik[],2,0) * jablka5[[#This Row],[sprzedaż]]</f>
        <v>873.8</v>
      </c>
      <c r="G820" s="1">
        <f>IF(jablka5[[#This Row],[NIP]]=D819,jablka5[[#This Row],[sprzedaż]]+G819,jablka5[[#This Row],[sprzedaż]])</f>
        <v>1294</v>
      </c>
      <c r="H820" s="1">
        <f>IF(jablka5[[#This Row],[dot sprz]]&lt;15000,0,IF(jablka5[[#This Row],[dot sprz]]&lt;20000,5,10))</f>
        <v>0</v>
      </c>
      <c r="I820" s="1">
        <f>jablka5[[#This Row],[rabat]]*jablka5[[#This Row],[sprzedaż]]/100</f>
        <v>0</v>
      </c>
    </row>
    <row r="821" spans="1:9" x14ac:dyDescent="0.25">
      <c r="A821" s="2">
        <v>44593</v>
      </c>
      <c r="B821" s="1" t="s">
        <v>5</v>
      </c>
      <c r="C821" s="1" t="s">
        <v>16</v>
      </c>
      <c r="D821" s="1" t="s">
        <v>44</v>
      </c>
      <c r="E821">
        <v>289</v>
      </c>
      <c r="F821" s="1">
        <f>VLOOKUP(jablka5[[#This Row],[Nazwa]],cennik[],2,0) * jablka5[[#This Row],[sprzedaż]]</f>
        <v>982.6</v>
      </c>
      <c r="G821" s="1">
        <f>IF(jablka5[[#This Row],[NIP]]=D820,jablka5[[#This Row],[sprzedaż]]+G820,jablka5[[#This Row],[sprzedaż]])</f>
        <v>1583</v>
      </c>
      <c r="H821" s="1">
        <f>IF(jablka5[[#This Row],[dot sprz]]&lt;15000,0,IF(jablka5[[#This Row],[dot sprz]]&lt;20000,5,10))</f>
        <v>0</v>
      </c>
      <c r="I821" s="1">
        <f>jablka5[[#This Row],[rabat]]*jablka5[[#This Row],[sprzedaż]]/100</f>
        <v>0</v>
      </c>
    </row>
    <row r="822" spans="1:9" x14ac:dyDescent="0.25">
      <c r="A822" s="2">
        <v>44597</v>
      </c>
      <c r="B822" s="1" t="s">
        <v>2</v>
      </c>
      <c r="C822" s="1" t="s">
        <v>16</v>
      </c>
      <c r="D822" s="1" t="s">
        <v>44</v>
      </c>
      <c r="E822">
        <v>100</v>
      </c>
      <c r="F822" s="1">
        <f>VLOOKUP(jablka5[[#This Row],[Nazwa]],cennik[],2,0) * jablka5[[#This Row],[sprzedaż]]</f>
        <v>320</v>
      </c>
      <c r="G822" s="1">
        <f>IF(jablka5[[#This Row],[NIP]]=D821,jablka5[[#This Row],[sprzedaż]]+G821,jablka5[[#This Row],[sprzedaż]])</f>
        <v>1683</v>
      </c>
      <c r="H822" s="1">
        <f>IF(jablka5[[#This Row],[dot sprz]]&lt;15000,0,IF(jablka5[[#This Row],[dot sprz]]&lt;20000,5,10))</f>
        <v>0</v>
      </c>
      <c r="I822" s="1">
        <f>jablka5[[#This Row],[rabat]]*jablka5[[#This Row],[sprzedaż]]/100</f>
        <v>0</v>
      </c>
    </row>
    <row r="823" spans="1:9" x14ac:dyDescent="0.25">
      <c r="A823" s="2">
        <v>44600</v>
      </c>
      <c r="B823" s="1" t="s">
        <v>4</v>
      </c>
      <c r="C823" s="1" t="s">
        <v>16</v>
      </c>
      <c r="D823" s="1" t="s">
        <v>44</v>
      </c>
      <c r="E823">
        <v>356</v>
      </c>
      <c r="F823" s="1">
        <f>VLOOKUP(jablka5[[#This Row],[Nazwa]],cennik[],2,0) * jablka5[[#This Row],[sprzedaż]]</f>
        <v>1210.3999999999999</v>
      </c>
      <c r="G823" s="1">
        <f>IF(jablka5[[#This Row],[NIP]]=D822,jablka5[[#This Row],[sprzedaż]]+G822,jablka5[[#This Row],[sprzedaż]])</f>
        <v>2039</v>
      </c>
      <c r="H823" s="1">
        <f>IF(jablka5[[#This Row],[dot sprz]]&lt;15000,0,IF(jablka5[[#This Row],[dot sprz]]&lt;20000,5,10))</f>
        <v>0</v>
      </c>
      <c r="I823" s="1">
        <f>jablka5[[#This Row],[rabat]]*jablka5[[#This Row],[sprzedaż]]/100</f>
        <v>0</v>
      </c>
    </row>
    <row r="824" spans="1:9" x14ac:dyDescent="0.25">
      <c r="A824" s="2">
        <v>44601</v>
      </c>
      <c r="B824" s="1" t="s">
        <v>15</v>
      </c>
      <c r="C824" s="1" t="s">
        <v>16</v>
      </c>
      <c r="D824" s="1" t="s">
        <v>44</v>
      </c>
      <c r="E824">
        <v>396</v>
      </c>
      <c r="F824" s="1">
        <f>VLOOKUP(jablka5[[#This Row],[Nazwa]],cennik[],2,0) * jablka5[[#This Row],[sprzedaż]]</f>
        <v>950.4</v>
      </c>
      <c r="G824" s="1">
        <f>IF(jablka5[[#This Row],[NIP]]=D823,jablka5[[#This Row],[sprzedaż]]+G823,jablka5[[#This Row],[sprzedaż]])</f>
        <v>2435</v>
      </c>
      <c r="H824" s="1">
        <f>IF(jablka5[[#This Row],[dot sprz]]&lt;15000,0,IF(jablka5[[#This Row],[dot sprz]]&lt;20000,5,10))</f>
        <v>0</v>
      </c>
      <c r="I824" s="1">
        <f>jablka5[[#This Row],[rabat]]*jablka5[[#This Row],[sprzedaż]]/100</f>
        <v>0</v>
      </c>
    </row>
    <row r="825" spans="1:9" x14ac:dyDescent="0.25">
      <c r="A825" s="2">
        <v>44601</v>
      </c>
      <c r="B825" s="1" t="s">
        <v>8</v>
      </c>
      <c r="C825" s="1" t="s">
        <v>16</v>
      </c>
      <c r="D825" s="1" t="s">
        <v>44</v>
      </c>
      <c r="E825">
        <v>581</v>
      </c>
      <c r="F825" s="1">
        <f>VLOOKUP(jablka5[[#This Row],[Nazwa]],cennik[],2,0) * jablka5[[#This Row],[sprzedaż]]</f>
        <v>2033.5</v>
      </c>
      <c r="G825" s="1">
        <f>IF(jablka5[[#This Row],[NIP]]=D824,jablka5[[#This Row],[sprzedaż]]+G824,jablka5[[#This Row],[sprzedaż]])</f>
        <v>3016</v>
      </c>
      <c r="H825" s="1">
        <f>IF(jablka5[[#This Row],[dot sprz]]&lt;15000,0,IF(jablka5[[#This Row],[dot sprz]]&lt;20000,5,10))</f>
        <v>0</v>
      </c>
      <c r="I825" s="1">
        <f>jablka5[[#This Row],[rabat]]*jablka5[[#This Row],[sprzedaż]]/100</f>
        <v>0</v>
      </c>
    </row>
    <row r="826" spans="1:9" x14ac:dyDescent="0.25">
      <c r="A826" s="2">
        <v>44611</v>
      </c>
      <c r="B826" s="1" t="s">
        <v>5</v>
      </c>
      <c r="C826" s="1" t="s">
        <v>16</v>
      </c>
      <c r="D826" s="1" t="s">
        <v>44</v>
      </c>
      <c r="E826">
        <v>456</v>
      </c>
      <c r="F826" s="1">
        <f>VLOOKUP(jablka5[[#This Row],[Nazwa]],cennik[],2,0) * jablka5[[#This Row],[sprzedaż]]</f>
        <v>1550.3999999999999</v>
      </c>
      <c r="G826" s="1">
        <f>IF(jablka5[[#This Row],[NIP]]=D825,jablka5[[#This Row],[sprzedaż]]+G825,jablka5[[#This Row],[sprzedaż]])</f>
        <v>3472</v>
      </c>
      <c r="H826" s="1">
        <f>IF(jablka5[[#This Row],[dot sprz]]&lt;15000,0,IF(jablka5[[#This Row],[dot sprz]]&lt;20000,5,10))</f>
        <v>0</v>
      </c>
      <c r="I826" s="1">
        <f>jablka5[[#This Row],[rabat]]*jablka5[[#This Row],[sprzedaż]]/100</f>
        <v>0</v>
      </c>
    </row>
    <row r="827" spans="1:9" x14ac:dyDescent="0.25">
      <c r="A827" s="2">
        <v>44615</v>
      </c>
      <c r="B827" s="1" t="s">
        <v>0</v>
      </c>
      <c r="C827" s="1" t="s">
        <v>16</v>
      </c>
      <c r="D827" s="1" t="s">
        <v>44</v>
      </c>
      <c r="E827">
        <v>395</v>
      </c>
      <c r="F827" s="1">
        <f>VLOOKUP(jablka5[[#This Row],[Nazwa]],cennik[],2,0) * jablka5[[#This Row],[sprzedaż]]</f>
        <v>1145.5</v>
      </c>
      <c r="G827" s="1">
        <f>IF(jablka5[[#This Row],[NIP]]=D826,jablka5[[#This Row],[sprzedaż]]+G826,jablka5[[#This Row],[sprzedaż]])</f>
        <v>3867</v>
      </c>
      <c r="H827" s="1">
        <f>IF(jablka5[[#This Row],[dot sprz]]&lt;15000,0,IF(jablka5[[#This Row],[dot sprz]]&lt;20000,5,10))</f>
        <v>0</v>
      </c>
      <c r="I827" s="1">
        <f>jablka5[[#This Row],[rabat]]*jablka5[[#This Row],[sprzedaż]]/100</f>
        <v>0</v>
      </c>
    </row>
    <row r="828" spans="1:9" x14ac:dyDescent="0.25">
      <c r="A828" s="2">
        <v>44628</v>
      </c>
      <c r="B828" s="1" t="s">
        <v>4</v>
      </c>
      <c r="C828" s="1" t="s">
        <v>16</v>
      </c>
      <c r="D828" s="1" t="s">
        <v>44</v>
      </c>
      <c r="E828">
        <v>529</v>
      </c>
      <c r="F828" s="1">
        <f>VLOOKUP(jablka5[[#This Row],[Nazwa]],cennik[],2,0) * jablka5[[#This Row],[sprzedaż]]</f>
        <v>1798.6</v>
      </c>
      <c r="G828" s="1">
        <f>IF(jablka5[[#This Row],[NIP]]=D827,jablka5[[#This Row],[sprzedaż]]+G827,jablka5[[#This Row],[sprzedaż]])</f>
        <v>4396</v>
      </c>
      <c r="H828" s="1">
        <f>IF(jablka5[[#This Row],[dot sprz]]&lt;15000,0,IF(jablka5[[#This Row],[dot sprz]]&lt;20000,5,10))</f>
        <v>0</v>
      </c>
      <c r="I828" s="1">
        <f>jablka5[[#This Row],[rabat]]*jablka5[[#This Row],[sprzedaż]]/100</f>
        <v>0</v>
      </c>
    </row>
    <row r="829" spans="1:9" x14ac:dyDescent="0.25">
      <c r="A829" s="2">
        <v>44648</v>
      </c>
      <c r="B829" s="1" t="s">
        <v>15</v>
      </c>
      <c r="C829" s="1" t="s">
        <v>16</v>
      </c>
      <c r="D829" s="1" t="s">
        <v>44</v>
      </c>
      <c r="E829">
        <v>580</v>
      </c>
      <c r="F829" s="1">
        <f>VLOOKUP(jablka5[[#This Row],[Nazwa]],cennik[],2,0) * jablka5[[#This Row],[sprzedaż]]</f>
        <v>1392</v>
      </c>
      <c r="G829" s="1">
        <f>IF(jablka5[[#This Row],[NIP]]=D828,jablka5[[#This Row],[sprzedaż]]+G828,jablka5[[#This Row],[sprzedaż]])</f>
        <v>4976</v>
      </c>
      <c r="H829" s="1">
        <f>IF(jablka5[[#This Row],[dot sprz]]&lt;15000,0,IF(jablka5[[#This Row],[dot sprz]]&lt;20000,5,10))</f>
        <v>0</v>
      </c>
      <c r="I829" s="1">
        <f>jablka5[[#This Row],[rabat]]*jablka5[[#This Row],[sprzedaż]]/100</f>
        <v>0</v>
      </c>
    </row>
    <row r="830" spans="1:9" x14ac:dyDescent="0.25">
      <c r="A830" s="2">
        <v>44653</v>
      </c>
      <c r="B830" s="1" t="s">
        <v>8</v>
      </c>
      <c r="C830" s="1" t="s">
        <v>16</v>
      </c>
      <c r="D830" s="1" t="s">
        <v>44</v>
      </c>
      <c r="E830">
        <v>372</v>
      </c>
      <c r="F830" s="1">
        <f>VLOOKUP(jablka5[[#This Row],[Nazwa]],cennik[],2,0) * jablka5[[#This Row],[sprzedaż]]</f>
        <v>1302</v>
      </c>
      <c r="G830" s="1">
        <f>IF(jablka5[[#This Row],[NIP]]=D829,jablka5[[#This Row],[sprzedaż]]+G829,jablka5[[#This Row],[sprzedaż]])</f>
        <v>5348</v>
      </c>
      <c r="H830" s="1">
        <f>IF(jablka5[[#This Row],[dot sprz]]&lt;15000,0,IF(jablka5[[#This Row],[dot sprz]]&lt;20000,5,10))</f>
        <v>0</v>
      </c>
      <c r="I830" s="1">
        <f>jablka5[[#This Row],[rabat]]*jablka5[[#This Row],[sprzedaż]]/100</f>
        <v>0</v>
      </c>
    </row>
    <row r="831" spans="1:9" x14ac:dyDescent="0.25">
      <c r="A831" s="2">
        <v>44667</v>
      </c>
      <c r="B831" s="1" t="s">
        <v>6</v>
      </c>
      <c r="C831" s="1" t="s">
        <v>16</v>
      </c>
      <c r="D831" s="1" t="s">
        <v>44</v>
      </c>
      <c r="E831">
        <v>119</v>
      </c>
      <c r="F831" s="1">
        <f>VLOOKUP(jablka5[[#This Row],[Nazwa]],cennik[],2,0) * jablka5[[#This Row],[sprzedaż]]</f>
        <v>404.59999999999997</v>
      </c>
      <c r="G831" s="1">
        <f>IF(jablka5[[#This Row],[NIP]]=D830,jablka5[[#This Row],[sprzedaż]]+G830,jablka5[[#This Row],[sprzedaż]])</f>
        <v>5467</v>
      </c>
      <c r="H831" s="1">
        <f>IF(jablka5[[#This Row],[dot sprz]]&lt;15000,0,IF(jablka5[[#This Row],[dot sprz]]&lt;20000,5,10))</f>
        <v>0</v>
      </c>
      <c r="I831" s="1">
        <f>jablka5[[#This Row],[rabat]]*jablka5[[#This Row],[sprzedaż]]/100</f>
        <v>0</v>
      </c>
    </row>
    <row r="832" spans="1:9" x14ac:dyDescent="0.25">
      <c r="A832" s="2">
        <v>44669</v>
      </c>
      <c r="B832" s="1" t="s">
        <v>7</v>
      </c>
      <c r="C832" s="1" t="s">
        <v>16</v>
      </c>
      <c r="D832" s="1" t="s">
        <v>44</v>
      </c>
      <c r="E832">
        <v>674</v>
      </c>
      <c r="F832" s="1">
        <f>VLOOKUP(jablka5[[#This Row],[Nazwa]],cennik[],2,0) * jablka5[[#This Row],[sprzedaż]]</f>
        <v>2291.6</v>
      </c>
      <c r="G832" s="1">
        <f>IF(jablka5[[#This Row],[NIP]]=D831,jablka5[[#This Row],[sprzedaż]]+G831,jablka5[[#This Row],[sprzedaż]])</f>
        <v>6141</v>
      </c>
      <c r="H832" s="1">
        <f>IF(jablka5[[#This Row],[dot sprz]]&lt;15000,0,IF(jablka5[[#This Row],[dot sprz]]&lt;20000,5,10))</f>
        <v>0</v>
      </c>
      <c r="I832" s="1">
        <f>jablka5[[#This Row],[rabat]]*jablka5[[#This Row],[sprzedaż]]/100</f>
        <v>0</v>
      </c>
    </row>
    <row r="833" spans="1:9" x14ac:dyDescent="0.25">
      <c r="A833" s="2">
        <v>44680</v>
      </c>
      <c r="B833" s="1" t="s">
        <v>4</v>
      </c>
      <c r="C833" s="1" t="s">
        <v>16</v>
      </c>
      <c r="D833" s="1" t="s">
        <v>44</v>
      </c>
      <c r="E833">
        <v>564</v>
      </c>
      <c r="F833" s="1">
        <f>VLOOKUP(jablka5[[#This Row],[Nazwa]],cennik[],2,0) * jablka5[[#This Row],[sprzedaż]]</f>
        <v>1917.6</v>
      </c>
      <c r="G833" s="1">
        <f>IF(jablka5[[#This Row],[NIP]]=D832,jablka5[[#This Row],[sprzedaż]]+G832,jablka5[[#This Row],[sprzedaż]])</f>
        <v>6705</v>
      </c>
      <c r="H833" s="1">
        <f>IF(jablka5[[#This Row],[dot sprz]]&lt;15000,0,IF(jablka5[[#This Row],[dot sprz]]&lt;20000,5,10))</f>
        <v>0</v>
      </c>
      <c r="I833" s="1">
        <f>jablka5[[#This Row],[rabat]]*jablka5[[#This Row],[sprzedaż]]/100</f>
        <v>0</v>
      </c>
    </row>
    <row r="834" spans="1:9" x14ac:dyDescent="0.25">
      <c r="A834" s="2">
        <v>44680</v>
      </c>
      <c r="B834" s="1" t="s">
        <v>4</v>
      </c>
      <c r="C834" s="1" t="s">
        <v>16</v>
      </c>
      <c r="D834" s="1" t="s">
        <v>44</v>
      </c>
      <c r="E834">
        <v>557</v>
      </c>
      <c r="F834" s="1">
        <f>VLOOKUP(jablka5[[#This Row],[Nazwa]],cennik[],2,0) * jablka5[[#This Row],[sprzedaż]]</f>
        <v>1893.8</v>
      </c>
      <c r="G834" s="1">
        <f>IF(jablka5[[#This Row],[NIP]]=D833,jablka5[[#This Row],[sprzedaż]]+G833,jablka5[[#This Row],[sprzedaż]])</f>
        <v>7262</v>
      </c>
      <c r="H834" s="1">
        <f>IF(jablka5[[#This Row],[dot sprz]]&lt;15000,0,IF(jablka5[[#This Row],[dot sprz]]&lt;20000,5,10))</f>
        <v>0</v>
      </c>
      <c r="I834" s="1">
        <f>jablka5[[#This Row],[rabat]]*jablka5[[#This Row],[sprzedaż]]/100</f>
        <v>0</v>
      </c>
    </row>
    <row r="835" spans="1:9" x14ac:dyDescent="0.25">
      <c r="A835" s="2">
        <v>44681</v>
      </c>
      <c r="B835" s="1" t="s">
        <v>0</v>
      </c>
      <c r="C835" s="1" t="s">
        <v>16</v>
      </c>
      <c r="D835" s="1" t="s">
        <v>44</v>
      </c>
      <c r="E835">
        <v>368</v>
      </c>
      <c r="F835" s="1">
        <f>VLOOKUP(jablka5[[#This Row],[Nazwa]],cennik[],2,0) * jablka5[[#This Row],[sprzedaż]]</f>
        <v>1067.2</v>
      </c>
      <c r="G835" s="1">
        <f>IF(jablka5[[#This Row],[NIP]]=D834,jablka5[[#This Row],[sprzedaż]]+G834,jablka5[[#This Row],[sprzedaż]])</f>
        <v>7630</v>
      </c>
      <c r="H835" s="1">
        <f>IF(jablka5[[#This Row],[dot sprz]]&lt;15000,0,IF(jablka5[[#This Row],[dot sprz]]&lt;20000,5,10))</f>
        <v>0</v>
      </c>
      <c r="I835" s="1">
        <f>jablka5[[#This Row],[rabat]]*jablka5[[#This Row],[sprzedaż]]/100</f>
        <v>0</v>
      </c>
    </row>
    <row r="836" spans="1:9" x14ac:dyDescent="0.25">
      <c r="A836" s="2">
        <v>44697</v>
      </c>
      <c r="B836" s="1" t="s">
        <v>15</v>
      </c>
      <c r="C836" s="1" t="s">
        <v>16</v>
      </c>
      <c r="D836" s="1" t="s">
        <v>44</v>
      </c>
      <c r="E836">
        <v>206</v>
      </c>
      <c r="F836" s="1">
        <f>VLOOKUP(jablka5[[#This Row],[Nazwa]],cennik[],2,0) * jablka5[[#This Row],[sprzedaż]]</f>
        <v>494.4</v>
      </c>
      <c r="G836" s="1">
        <f>IF(jablka5[[#This Row],[NIP]]=D835,jablka5[[#This Row],[sprzedaż]]+G835,jablka5[[#This Row],[sprzedaż]])</f>
        <v>7836</v>
      </c>
      <c r="H836" s="1">
        <f>IF(jablka5[[#This Row],[dot sprz]]&lt;15000,0,IF(jablka5[[#This Row],[dot sprz]]&lt;20000,5,10))</f>
        <v>0</v>
      </c>
      <c r="I836" s="1">
        <f>jablka5[[#This Row],[rabat]]*jablka5[[#This Row],[sprzedaż]]/100</f>
        <v>0</v>
      </c>
    </row>
    <row r="837" spans="1:9" x14ac:dyDescent="0.25">
      <c r="A837" s="2">
        <v>44704</v>
      </c>
      <c r="B837" s="1" t="s">
        <v>8</v>
      </c>
      <c r="C837" s="1" t="s">
        <v>16</v>
      </c>
      <c r="D837" s="1" t="s">
        <v>44</v>
      </c>
      <c r="E837">
        <v>675</v>
      </c>
      <c r="F837" s="1">
        <f>VLOOKUP(jablka5[[#This Row],[Nazwa]],cennik[],2,0) * jablka5[[#This Row],[sprzedaż]]</f>
        <v>2362.5</v>
      </c>
      <c r="G837" s="1">
        <f>IF(jablka5[[#This Row],[NIP]]=D836,jablka5[[#This Row],[sprzedaż]]+G836,jablka5[[#This Row],[sprzedaż]])</f>
        <v>8511</v>
      </c>
      <c r="H837" s="1">
        <f>IF(jablka5[[#This Row],[dot sprz]]&lt;15000,0,IF(jablka5[[#This Row],[dot sprz]]&lt;20000,5,10))</f>
        <v>0</v>
      </c>
      <c r="I837" s="1">
        <f>jablka5[[#This Row],[rabat]]*jablka5[[#This Row],[sprzedaż]]/100</f>
        <v>0</v>
      </c>
    </row>
    <row r="838" spans="1:9" x14ac:dyDescent="0.25">
      <c r="A838" s="2">
        <v>44709</v>
      </c>
      <c r="B838" s="1" t="s">
        <v>15</v>
      </c>
      <c r="C838" s="1" t="s">
        <v>16</v>
      </c>
      <c r="D838" s="1" t="s">
        <v>44</v>
      </c>
      <c r="E838">
        <v>477</v>
      </c>
      <c r="F838" s="1">
        <f>VLOOKUP(jablka5[[#This Row],[Nazwa]],cennik[],2,0) * jablka5[[#This Row],[sprzedaż]]</f>
        <v>1144.8</v>
      </c>
      <c r="G838" s="1">
        <f>IF(jablka5[[#This Row],[NIP]]=D837,jablka5[[#This Row],[sprzedaż]]+G837,jablka5[[#This Row],[sprzedaż]])</f>
        <v>8988</v>
      </c>
      <c r="H838" s="1">
        <f>IF(jablka5[[#This Row],[dot sprz]]&lt;15000,0,IF(jablka5[[#This Row],[dot sprz]]&lt;20000,5,10))</f>
        <v>0</v>
      </c>
      <c r="I838" s="1">
        <f>jablka5[[#This Row],[rabat]]*jablka5[[#This Row],[sprzedaż]]/100</f>
        <v>0</v>
      </c>
    </row>
    <row r="839" spans="1:9" x14ac:dyDescent="0.25">
      <c r="A839" s="2">
        <v>44711</v>
      </c>
      <c r="B839" s="1" t="s">
        <v>6</v>
      </c>
      <c r="C839" s="1" t="s">
        <v>16</v>
      </c>
      <c r="D839" s="1" t="s">
        <v>44</v>
      </c>
      <c r="E839">
        <v>461</v>
      </c>
      <c r="F839" s="1">
        <f>VLOOKUP(jablka5[[#This Row],[Nazwa]],cennik[],2,0) * jablka5[[#This Row],[sprzedaż]]</f>
        <v>1567.3999999999999</v>
      </c>
      <c r="G839" s="1">
        <f>IF(jablka5[[#This Row],[NIP]]=D838,jablka5[[#This Row],[sprzedaż]]+G838,jablka5[[#This Row],[sprzedaż]])</f>
        <v>9449</v>
      </c>
      <c r="H839" s="1">
        <f>IF(jablka5[[#This Row],[dot sprz]]&lt;15000,0,IF(jablka5[[#This Row],[dot sprz]]&lt;20000,5,10))</f>
        <v>0</v>
      </c>
      <c r="I839" s="1">
        <f>jablka5[[#This Row],[rabat]]*jablka5[[#This Row],[sprzedaż]]/100</f>
        <v>0</v>
      </c>
    </row>
    <row r="840" spans="1:9" x14ac:dyDescent="0.25">
      <c r="A840" s="2">
        <v>44715</v>
      </c>
      <c r="B840" s="1" t="s">
        <v>14</v>
      </c>
      <c r="C840" s="1" t="s">
        <v>67</v>
      </c>
      <c r="D840" s="1" t="s">
        <v>44</v>
      </c>
      <c r="E840">
        <v>181</v>
      </c>
      <c r="F840" s="1">
        <f>VLOOKUP(jablka5[[#This Row],[Nazwa]],cennik[],2,0) * jablka5[[#This Row],[sprzedaż]]</f>
        <v>633.5</v>
      </c>
      <c r="G840" s="1">
        <f>IF(jablka5[[#This Row],[NIP]]=D839,jablka5[[#This Row],[sprzedaż]]+G839,jablka5[[#This Row],[sprzedaż]])</f>
        <v>9630</v>
      </c>
      <c r="H840" s="1">
        <f>IF(jablka5[[#This Row],[dot sprz]]&lt;15000,0,IF(jablka5[[#This Row],[dot sprz]]&lt;20000,5,10))</f>
        <v>0</v>
      </c>
      <c r="I840" s="1">
        <f>jablka5[[#This Row],[rabat]]*jablka5[[#This Row],[sprzedaż]]/100</f>
        <v>0</v>
      </c>
    </row>
    <row r="841" spans="1:9" x14ac:dyDescent="0.25">
      <c r="A841" s="2">
        <v>44718</v>
      </c>
      <c r="B841" s="1" t="s">
        <v>13</v>
      </c>
      <c r="C841" s="1" t="s">
        <v>68</v>
      </c>
      <c r="D841" s="1" t="s">
        <v>44</v>
      </c>
      <c r="E841">
        <v>339</v>
      </c>
      <c r="F841" s="1">
        <f>VLOOKUP(jablka5[[#This Row],[Nazwa]],cennik[],2,0) * jablka5[[#This Row],[sprzedaż]]</f>
        <v>1084.8</v>
      </c>
      <c r="G841" s="1">
        <f>IF(jablka5[[#This Row],[NIP]]=D840,jablka5[[#This Row],[sprzedaż]]+G840,jablka5[[#This Row],[sprzedaż]])</f>
        <v>9969</v>
      </c>
      <c r="H841" s="1">
        <f>IF(jablka5[[#This Row],[dot sprz]]&lt;15000,0,IF(jablka5[[#This Row],[dot sprz]]&lt;20000,5,10))</f>
        <v>0</v>
      </c>
      <c r="I841" s="1">
        <f>jablka5[[#This Row],[rabat]]*jablka5[[#This Row],[sprzedaż]]/100</f>
        <v>0</v>
      </c>
    </row>
    <row r="842" spans="1:9" x14ac:dyDescent="0.25">
      <c r="A842" s="2">
        <v>44720</v>
      </c>
      <c r="B842" s="1" t="s">
        <v>13</v>
      </c>
      <c r="C842" s="1" t="s">
        <v>68</v>
      </c>
      <c r="D842" s="1" t="s">
        <v>44</v>
      </c>
      <c r="E842">
        <v>256</v>
      </c>
      <c r="F842" s="1">
        <f>VLOOKUP(jablka5[[#This Row],[Nazwa]],cennik[],2,0) * jablka5[[#This Row],[sprzedaż]]</f>
        <v>819.2</v>
      </c>
      <c r="G842" s="1">
        <f>IF(jablka5[[#This Row],[NIP]]=D841,jablka5[[#This Row],[sprzedaż]]+G841,jablka5[[#This Row],[sprzedaż]])</f>
        <v>10225</v>
      </c>
      <c r="H842" s="1">
        <f>IF(jablka5[[#This Row],[dot sprz]]&lt;15000,0,IF(jablka5[[#This Row],[dot sprz]]&lt;20000,5,10))</f>
        <v>0</v>
      </c>
      <c r="I842" s="1">
        <f>jablka5[[#This Row],[rabat]]*jablka5[[#This Row],[sprzedaż]]/100</f>
        <v>0</v>
      </c>
    </row>
    <row r="843" spans="1:9" x14ac:dyDescent="0.25">
      <c r="A843" s="2">
        <v>44730</v>
      </c>
      <c r="B843" s="1" t="s">
        <v>12</v>
      </c>
      <c r="C843" s="1" t="s">
        <v>68</v>
      </c>
      <c r="D843" s="1" t="s">
        <v>44</v>
      </c>
      <c r="E843">
        <v>492</v>
      </c>
      <c r="F843" s="1">
        <f>VLOOKUP(jablka5[[#This Row],[Nazwa]],cennik[],2,0) * jablka5[[#This Row],[sprzedaż]]</f>
        <v>1328.4</v>
      </c>
      <c r="G843" s="1">
        <f>IF(jablka5[[#This Row],[NIP]]=D842,jablka5[[#This Row],[sprzedaż]]+G842,jablka5[[#This Row],[sprzedaż]])</f>
        <v>10717</v>
      </c>
      <c r="H843" s="1">
        <f>IF(jablka5[[#This Row],[dot sprz]]&lt;15000,0,IF(jablka5[[#This Row],[dot sprz]]&lt;20000,5,10))</f>
        <v>0</v>
      </c>
      <c r="I843" s="1">
        <f>jablka5[[#This Row],[rabat]]*jablka5[[#This Row],[sprzedaż]]/100</f>
        <v>0</v>
      </c>
    </row>
    <row r="844" spans="1:9" x14ac:dyDescent="0.25">
      <c r="A844" s="2">
        <v>44733</v>
      </c>
      <c r="B844" s="1" t="s">
        <v>14</v>
      </c>
      <c r="C844" s="1" t="s">
        <v>67</v>
      </c>
      <c r="D844" s="1" t="s">
        <v>44</v>
      </c>
      <c r="E844">
        <v>287</v>
      </c>
      <c r="F844" s="1">
        <f>VLOOKUP(jablka5[[#This Row],[Nazwa]],cennik[],2,0) * jablka5[[#This Row],[sprzedaż]]</f>
        <v>1004.5</v>
      </c>
      <c r="G844" s="1">
        <f>IF(jablka5[[#This Row],[NIP]]=D843,jablka5[[#This Row],[sprzedaż]]+G843,jablka5[[#This Row],[sprzedaż]])</f>
        <v>11004</v>
      </c>
      <c r="H844" s="1">
        <f>IF(jablka5[[#This Row],[dot sprz]]&lt;15000,0,IF(jablka5[[#This Row],[dot sprz]]&lt;20000,5,10))</f>
        <v>0</v>
      </c>
      <c r="I844" s="1">
        <f>jablka5[[#This Row],[rabat]]*jablka5[[#This Row],[sprzedaż]]/100</f>
        <v>0</v>
      </c>
    </row>
    <row r="845" spans="1:9" x14ac:dyDescent="0.25">
      <c r="A845" s="2">
        <v>44736</v>
      </c>
      <c r="B845" s="1" t="s">
        <v>14</v>
      </c>
      <c r="C845" s="1" t="s">
        <v>67</v>
      </c>
      <c r="D845" s="1" t="s">
        <v>44</v>
      </c>
      <c r="E845">
        <v>166</v>
      </c>
      <c r="F845" s="1">
        <f>VLOOKUP(jablka5[[#This Row],[Nazwa]],cennik[],2,0) * jablka5[[#This Row],[sprzedaż]]</f>
        <v>581</v>
      </c>
      <c r="G845" s="1">
        <f>IF(jablka5[[#This Row],[NIP]]=D844,jablka5[[#This Row],[sprzedaż]]+G844,jablka5[[#This Row],[sprzedaż]])</f>
        <v>11170</v>
      </c>
      <c r="H845" s="1">
        <f>IF(jablka5[[#This Row],[dot sprz]]&lt;15000,0,IF(jablka5[[#This Row],[dot sprz]]&lt;20000,5,10))</f>
        <v>0</v>
      </c>
      <c r="I845" s="1">
        <f>jablka5[[#This Row],[rabat]]*jablka5[[#This Row],[sprzedaż]]/100</f>
        <v>0</v>
      </c>
    </row>
    <row r="846" spans="1:9" x14ac:dyDescent="0.25">
      <c r="A846" s="2">
        <v>44736</v>
      </c>
      <c r="B846" s="1" t="s">
        <v>13</v>
      </c>
      <c r="C846" s="1" t="s">
        <v>68</v>
      </c>
      <c r="D846" s="1" t="s">
        <v>44</v>
      </c>
      <c r="E846">
        <v>52</v>
      </c>
      <c r="F846" s="1">
        <f>VLOOKUP(jablka5[[#This Row],[Nazwa]],cennik[],2,0) * jablka5[[#This Row],[sprzedaż]]</f>
        <v>166.4</v>
      </c>
      <c r="G846" s="1">
        <f>IF(jablka5[[#This Row],[NIP]]=D845,jablka5[[#This Row],[sprzedaż]]+G845,jablka5[[#This Row],[sprzedaż]])</f>
        <v>11222</v>
      </c>
      <c r="H846" s="1">
        <f>IF(jablka5[[#This Row],[dot sprz]]&lt;15000,0,IF(jablka5[[#This Row],[dot sprz]]&lt;20000,5,10))</f>
        <v>0</v>
      </c>
      <c r="I846" s="1">
        <f>jablka5[[#This Row],[rabat]]*jablka5[[#This Row],[sprzedaż]]/100</f>
        <v>0</v>
      </c>
    </row>
    <row r="847" spans="1:9" x14ac:dyDescent="0.25">
      <c r="A847" s="2">
        <v>44743</v>
      </c>
      <c r="B847" s="1" t="s">
        <v>13</v>
      </c>
      <c r="C847" s="1" t="s">
        <v>68</v>
      </c>
      <c r="D847" s="1" t="s">
        <v>44</v>
      </c>
      <c r="E847">
        <v>438</v>
      </c>
      <c r="F847" s="1">
        <f>VLOOKUP(jablka5[[#This Row],[Nazwa]],cennik[],2,0) * jablka5[[#This Row],[sprzedaż]]</f>
        <v>1401.6000000000001</v>
      </c>
      <c r="G847" s="1">
        <f>IF(jablka5[[#This Row],[NIP]]=D846,jablka5[[#This Row],[sprzedaż]]+G846,jablka5[[#This Row],[sprzedaż]])</f>
        <v>11660</v>
      </c>
      <c r="H847" s="1">
        <f>IF(jablka5[[#This Row],[dot sprz]]&lt;15000,0,IF(jablka5[[#This Row],[dot sprz]]&lt;20000,5,10))</f>
        <v>0</v>
      </c>
      <c r="I847" s="1">
        <f>jablka5[[#This Row],[rabat]]*jablka5[[#This Row],[sprzedaż]]/100</f>
        <v>0</v>
      </c>
    </row>
    <row r="848" spans="1:9" x14ac:dyDescent="0.25">
      <c r="A848" s="2">
        <v>44748</v>
      </c>
      <c r="B848" s="1" t="s">
        <v>12</v>
      </c>
      <c r="C848" s="1" t="s">
        <v>68</v>
      </c>
      <c r="D848" s="1" t="s">
        <v>44</v>
      </c>
      <c r="E848">
        <v>240</v>
      </c>
      <c r="F848" s="1">
        <f>VLOOKUP(jablka5[[#This Row],[Nazwa]],cennik[],2,0) * jablka5[[#This Row],[sprzedaż]]</f>
        <v>648</v>
      </c>
      <c r="G848" s="1">
        <f>IF(jablka5[[#This Row],[NIP]]=D847,jablka5[[#This Row],[sprzedaż]]+G847,jablka5[[#This Row],[sprzedaż]])</f>
        <v>11900</v>
      </c>
      <c r="H848" s="1">
        <f>IF(jablka5[[#This Row],[dot sprz]]&lt;15000,0,IF(jablka5[[#This Row],[dot sprz]]&lt;20000,5,10))</f>
        <v>0</v>
      </c>
      <c r="I848" s="1">
        <f>jablka5[[#This Row],[rabat]]*jablka5[[#This Row],[sprzedaż]]/100</f>
        <v>0</v>
      </c>
    </row>
    <row r="849" spans="1:9" x14ac:dyDescent="0.25">
      <c r="A849" s="2">
        <v>44750</v>
      </c>
      <c r="B849" s="1" t="s">
        <v>14</v>
      </c>
      <c r="C849" s="1" t="s">
        <v>67</v>
      </c>
      <c r="D849" s="1" t="s">
        <v>44</v>
      </c>
      <c r="E849">
        <v>233</v>
      </c>
      <c r="F849" s="1">
        <f>VLOOKUP(jablka5[[#This Row],[Nazwa]],cennik[],2,0) * jablka5[[#This Row],[sprzedaż]]</f>
        <v>815.5</v>
      </c>
      <c r="G849" s="1">
        <f>IF(jablka5[[#This Row],[NIP]]=D848,jablka5[[#This Row],[sprzedaż]]+G848,jablka5[[#This Row],[sprzedaż]])</f>
        <v>12133</v>
      </c>
      <c r="H849" s="1">
        <f>IF(jablka5[[#This Row],[dot sprz]]&lt;15000,0,IF(jablka5[[#This Row],[dot sprz]]&lt;20000,5,10))</f>
        <v>0</v>
      </c>
      <c r="I849" s="1">
        <f>jablka5[[#This Row],[rabat]]*jablka5[[#This Row],[sprzedaż]]/100</f>
        <v>0</v>
      </c>
    </row>
    <row r="850" spans="1:9" x14ac:dyDescent="0.25">
      <c r="A850" s="2">
        <v>44760</v>
      </c>
      <c r="B850" s="1" t="s">
        <v>14</v>
      </c>
      <c r="C850" s="1" t="s">
        <v>67</v>
      </c>
      <c r="D850" s="1" t="s">
        <v>44</v>
      </c>
      <c r="E850">
        <v>37</v>
      </c>
      <c r="F850" s="1">
        <f>VLOOKUP(jablka5[[#This Row],[Nazwa]],cennik[],2,0) * jablka5[[#This Row],[sprzedaż]]</f>
        <v>129.5</v>
      </c>
      <c r="G850" s="1">
        <f>IF(jablka5[[#This Row],[NIP]]=D849,jablka5[[#This Row],[sprzedaż]]+G849,jablka5[[#This Row],[sprzedaż]])</f>
        <v>12170</v>
      </c>
      <c r="H850" s="1">
        <f>IF(jablka5[[#This Row],[dot sprz]]&lt;15000,0,IF(jablka5[[#This Row],[dot sprz]]&lt;20000,5,10))</f>
        <v>0</v>
      </c>
      <c r="I850" s="1">
        <f>jablka5[[#This Row],[rabat]]*jablka5[[#This Row],[sprzedaż]]/100</f>
        <v>0</v>
      </c>
    </row>
    <row r="851" spans="1:9" x14ac:dyDescent="0.25">
      <c r="A851" s="2">
        <v>44767</v>
      </c>
      <c r="B851" s="1" t="s">
        <v>14</v>
      </c>
      <c r="C851" s="1" t="s">
        <v>67</v>
      </c>
      <c r="D851" s="1" t="s">
        <v>44</v>
      </c>
      <c r="E851">
        <v>214</v>
      </c>
      <c r="F851" s="1">
        <f>VLOOKUP(jablka5[[#This Row],[Nazwa]],cennik[],2,0) * jablka5[[#This Row],[sprzedaż]]</f>
        <v>749</v>
      </c>
      <c r="G851" s="1">
        <f>IF(jablka5[[#This Row],[NIP]]=D850,jablka5[[#This Row],[sprzedaż]]+G850,jablka5[[#This Row],[sprzedaż]])</f>
        <v>12384</v>
      </c>
      <c r="H851" s="1">
        <f>IF(jablka5[[#This Row],[dot sprz]]&lt;15000,0,IF(jablka5[[#This Row],[dot sprz]]&lt;20000,5,10))</f>
        <v>0</v>
      </c>
      <c r="I851" s="1">
        <f>jablka5[[#This Row],[rabat]]*jablka5[[#This Row],[sprzedaż]]/100</f>
        <v>0</v>
      </c>
    </row>
    <row r="852" spans="1:9" x14ac:dyDescent="0.25">
      <c r="A852" s="2">
        <v>44767</v>
      </c>
      <c r="B852" s="1" t="s">
        <v>13</v>
      </c>
      <c r="C852" s="1" t="s">
        <v>68</v>
      </c>
      <c r="D852" s="1" t="s">
        <v>44</v>
      </c>
      <c r="E852">
        <v>68</v>
      </c>
      <c r="F852" s="1">
        <f>VLOOKUP(jablka5[[#This Row],[Nazwa]],cennik[],2,0) * jablka5[[#This Row],[sprzedaż]]</f>
        <v>217.60000000000002</v>
      </c>
      <c r="G852" s="1">
        <f>IF(jablka5[[#This Row],[NIP]]=D851,jablka5[[#This Row],[sprzedaż]]+G851,jablka5[[#This Row],[sprzedaż]])</f>
        <v>12452</v>
      </c>
      <c r="H852" s="1">
        <f>IF(jablka5[[#This Row],[dot sprz]]&lt;15000,0,IF(jablka5[[#This Row],[dot sprz]]&lt;20000,5,10))</f>
        <v>0</v>
      </c>
      <c r="I852" s="1">
        <f>jablka5[[#This Row],[rabat]]*jablka5[[#This Row],[sprzedaż]]/100</f>
        <v>0</v>
      </c>
    </row>
    <row r="853" spans="1:9" x14ac:dyDescent="0.25">
      <c r="A853" s="2">
        <v>44770</v>
      </c>
      <c r="B853" s="1" t="s">
        <v>14</v>
      </c>
      <c r="C853" s="1" t="s">
        <v>67</v>
      </c>
      <c r="D853" s="1" t="s">
        <v>44</v>
      </c>
      <c r="E853">
        <v>184</v>
      </c>
      <c r="F853" s="1">
        <f>VLOOKUP(jablka5[[#This Row],[Nazwa]],cennik[],2,0) * jablka5[[#This Row],[sprzedaż]]</f>
        <v>644</v>
      </c>
      <c r="G853" s="1">
        <f>IF(jablka5[[#This Row],[NIP]]=D852,jablka5[[#This Row],[sprzedaż]]+G852,jablka5[[#This Row],[sprzedaż]])</f>
        <v>12636</v>
      </c>
      <c r="H853" s="1">
        <f>IF(jablka5[[#This Row],[dot sprz]]&lt;15000,0,IF(jablka5[[#This Row],[dot sprz]]&lt;20000,5,10))</f>
        <v>0</v>
      </c>
      <c r="I853" s="1">
        <f>jablka5[[#This Row],[rabat]]*jablka5[[#This Row],[sprzedaż]]/100</f>
        <v>0</v>
      </c>
    </row>
    <row r="854" spans="1:9" x14ac:dyDescent="0.25">
      <c r="A854" s="2">
        <v>44774</v>
      </c>
      <c r="B854" s="1" t="s">
        <v>13</v>
      </c>
      <c r="C854" s="1" t="s">
        <v>68</v>
      </c>
      <c r="D854" s="1" t="s">
        <v>44</v>
      </c>
      <c r="E854">
        <v>109</v>
      </c>
      <c r="F854" s="1">
        <f>VLOOKUP(jablka5[[#This Row],[Nazwa]],cennik[],2,0) * jablka5[[#This Row],[sprzedaż]]</f>
        <v>348.8</v>
      </c>
      <c r="G854" s="1">
        <f>IF(jablka5[[#This Row],[NIP]]=D853,jablka5[[#This Row],[sprzedaż]]+G853,jablka5[[#This Row],[sprzedaż]])</f>
        <v>12745</v>
      </c>
      <c r="H854" s="1">
        <f>IF(jablka5[[#This Row],[dot sprz]]&lt;15000,0,IF(jablka5[[#This Row],[dot sprz]]&lt;20000,5,10))</f>
        <v>0</v>
      </c>
      <c r="I854" s="1">
        <f>jablka5[[#This Row],[rabat]]*jablka5[[#This Row],[sprzedaż]]/100</f>
        <v>0</v>
      </c>
    </row>
    <row r="855" spans="1:9" x14ac:dyDescent="0.25">
      <c r="A855" s="2">
        <v>44790</v>
      </c>
      <c r="B855" s="1" t="s">
        <v>12</v>
      </c>
      <c r="C855" s="1" t="s">
        <v>68</v>
      </c>
      <c r="D855" s="1" t="s">
        <v>44</v>
      </c>
      <c r="E855">
        <v>219</v>
      </c>
      <c r="F855" s="1">
        <f>VLOOKUP(jablka5[[#This Row],[Nazwa]],cennik[],2,0) * jablka5[[#This Row],[sprzedaż]]</f>
        <v>591.30000000000007</v>
      </c>
      <c r="G855" s="1">
        <f>IF(jablka5[[#This Row],[NIP]]=D854,jablka5[[#This Row],[sprzedaż]]+G854,jablka5[[#This Row],[sprzedaż]])</f>
        <v>12964</v>
      </c>
      <c r="H855" s="1">
        <f>IF(jablka5[[#This Row],[dot sprz]]&lt;15000,0,IF(jablka5[[#This Row],[dot sprz]]&lt;20000,5,10))</f>
        <v>0</v>
      </c>
      <c r="I855" s="1">
        <f>jablka5[[#This Row],[rabat]]*jablka5[[#This Row],[sprzedaż]]/100</f>
        <v>0</v>
      </c>
    </row>
    <row r="856" spans="1:9" x14ac:dyDescent="0.25">
      <c r="A856" s="2">
        <v>44819</v>
      </c>
      <c r="B856" s="1" t="s">
        <v>11</v>
      </c>
      <c r="C856" s="1" t="s">
        <v>67</v>
      </c>
      <c r="D856" s="1" t="s">
        <v>44</v>
      </c>
      <c r="E856">
        <v>334</v>
      </c>
      <c r="F856" s="1">
        <f>VLOOKUP(jablka5[[#This Row],[Nazwa]],cennik[],2,0) * jablka5[[#This Row],[sprzedaż]]</f>
        <v>835</v>
      </c>
      <c r="G856" s="1">
        <f>IF(jablka5[[#This Row],[NIP]]=D855,jablka5[[#This Row],[sprzedaż]]+G855,jablka5[[#This Row],[sprzedaż]])</f>
        <v>13298</v>
      </c>
      <c r="H856" s="1">
        <f>IF(jablka5[[#This Row],[dot sprz]]&lt;15000,0,IF(jablka5[[#This Row],[dot sprz]]&lt;20000,5,10))</f>
        <v>0</v>
      </c>
      <c r="I856" s="1">
        <f>jablka5[[#This Row],[rabat]]*jablka5[[#This Row],[sprzedaż]]/100</f>
        <v>0</v>
      </c>
    </row>
    <row r="857" spans="1:9" x14ac:dyDescent="0.25">
      <c r="A857" s="2">
        <v>44819</v>
      </c>
      <c r="B857" s="1" t="s">
        <v>3</v>
      </c>
      <c r="C857" s="1" t="s">
        <v>67</v>
      </c>
      <c r="D857" s="1" t="s">
        <v>44</v>
      </c>
      <c r="E857">
        <v>138</v>
      </c>
      <c r="F857" s="1">
        <f>VLOOKUP(jablka5[[#This Row],[Nazwa]],cennik[],2,0) * jablka5[[#This Row],[sprzedaż]]</f>
        <v>441.6</v>
      </c>
      <c r="G857" s="1">
        <f>IF(jablka5[[#This Row],[NIP]]=D856,jablka5[[#This Row],[sprzedaż]]+G856,jablka5[[#This Row],[sprzedaż]])</f>
        <v>13436</v>
      </c>
      <c r="H857" s="1">
        <f>IF(jablka5[[#This Row],[dot sprz]]&lt;15000,0,IF(jablka5[[#This Row],[dot sprz]]&lt;20000,5,10))</f>
        <v>0</v>
      </c>
      <c r="I857" s="1">
        <f>jablka5[[#This Row],[rabat]]*jablka5[[#This Row],[sprzedaż]]/100</f>
        <v>0</v>
      </c>
    </row>
    <row r="858" spans="1:9" x14ac:dyDescent="0.25">
      <c r="A858" s="2">
        <v>44844</v>
      </c>
      <c r="B858" s="1" t="s">
        <v>3</v>
      </c>
      <c r="C858" s="1" t="s">
        <v>67</v>
      </c>
      <c r="D858" s="1" t="s">
        <v>44</v>
      </c>
      <c r="E858">
        <v>306</v>
      </c>
      <c r="F858" s="1">
        <f>VLOOKUP(jablka5[[#This Row],[Nazwa]],cennik[],2,0) * jablka5[[#This Row],[sprzedaż]]</f>
        <v>979.2</v>
      </c>
      <c r="G858" s="1">
        <f>IF(jablka5[[#This Row],[NIP]]=D857,jablka5[[#This Row],[sprzedaż]]+G857,jablka5[[#This Row],[sprzedaż]])</f>
        <v>13742</v>
      </c>
      <c r="H858" s="1">
        <f>IF(jablka5[[#This Row],[dot sprz]]&lt;15000,0,IF(jablka5[[#This Row],[dot sprz]]&lt;20000,5,10))</f>
        <v>0</v>
      </c>
      <c r="I858" s="1">
        <f>jablka5[[#This Row],[rabat]]*jablka5[[#This Row],[sprzedaż]]/100</f>
        <v>0</v>
      </c>
    </row>
    <row r="859" spans="1:9" x14ac:dyDescent="0.25">
      <c r="A859" s="2">
        <v>44847</v>
      </c>
      <c r="B859" s="1" t="s">
        <v>9</v>
      </c>
      <c r="C859" s="1" t="s">
        <v>67</v>
      </c>
      <c r="D859" s="1" t="s">
        <v>44</v>
      </c>
      <c r="E859">
        <v>478</v>
      </c>
      <c r="F859" s="1">
        <f>VLOOKUP(jablka5[[#This Row],[Nazwa]],cennik[],2,0) * jablka5[[#This Row],[sprzedaż]]</f>
        <v>1195</v>
      </c>
      <c r="G859" s="1">
        <f>IF(jablka5[[#This Row],[NIP]]=D858,jablka5[[#This Row],[sprzedaż]]+G858,jablka5[[#This Row],[sprzedaż]])</f>
        <v>14220</v>
      </c>
      <c r="H859" s="1">
        <f>IF(jablka5[[#This Row],[dot sprz]]&lt;15000,0,IF(jablka5[[#This Row],[dot sprz]]&lt;20000,5,10))</f>
        <v>0</v>
      </c>
      <c r="I859" s="1">
        <f>jablka5[[#This Row],[rabat]]*jablka5[[#This Row],[sprzedaż]]/100</f>
        <v>0</v>
      </c>
    </row>
    <row r="860" spans="1:9" x14ac:dyDescent="0.25">
      <c r="A860" s="2">
        <v>44852</v>
      </c>
      <c r="B860" s="1" t="s">
        <v>9</v>
      </c>
      <c r="C860" s="1" t="s">
        <v>67</v>
      </c>
      <c r="D860" s="1" t="s">
        <v>44</v>
      </c>
      <c r="E860">
        <v>72</v>
      </c>
      <c r="F860" s="1">
        <f>VLOOKUP(jablka5[[#This Row],[Nazwa]],cennik[],2,0) * jablka5[[#This Row],[sprzedaż]]</f>
        <v>180</v>
      </c>
      <c r="G860" s="1">
        <f>IF(jablka5[[#This Row],[NIP]]=D859,jablka5[[#This Row],[sprzedaż]]+G859,jablka5[[#This Row],[sprzedaż]])</f>
        <v>14292</v>
      </c>
      <c r="H860" s="1">
        <f>IF(jablka5[[#This Row],[dot sprz]]&lt;15000,0,IF(jablka5[[#This Row],[dot sprz]]&lt;20000,5,10))</f>
        <v>0</v>
      </c>
      <c r="I860" s="1">
        <f>jablka5[[#This Row],[rabat]]*jablka5[[#This Row],[sprzedaż]]/100</f>
        <v>0</v>
      </c>
    </row>
    <row r="861" spans="1:9" x14ac:dyDescent="0.25">
      <c r="A861" s="2">
        <v>44867</v>
      </c>
      <c r="B861" s="1" t="s">
        <v>1</v>
      </c>
      <c r="C861" s="1" t="s">
        <v>67</v>
      </c>
      <c r="D861" s="1" t="s">
        <v>44</v>
      </c>
      <c r="E861">
        <v>282</v>
      </c>
      <c r="F861" s="1">
        <f>VLOOKUP(jablka5[[#This Row],[Nazwa]],cennik[],2,0) * jablka5[[#This Row],[sprzedaż]]</f>
        <v>902.40000000000009</v>
      </c>
      <c r="G861" s="1">
        <f>IF(jablka5[[#This Row],[NIP]]=D860,jablka5[[#This Row],[sprzedaż]]+G860,jablka5[[#This Row],[sprzedaż]])</f>
        <v>14574</v>
      </c>
      <c r="H861" s="1">
        <f>IF(jablka5[[#This Row],[dot sprz]]&lt;15000,0,IF(jablka5[[#This Row],[dot sprz]]&lt;20000,5,10))</f>
        <v>0</v>
      </c>
      <c r="I861" s="1">
        <f>jablka5[[#This Row],[rabat]]*jablka5[[#This Row],[sprzedaż]]/100</f>
        <v>0</v>
      </c>
    </row>
    <row r="862" spans="1:9" x14ac:dyDescent="0.25">
      <c r="A862" s="2">
        <v>44879</v>
      </c>
      <c r="B862" s="1" t="s">
        <v>14</v>
      </c>
      <c r="C862" s="1" t="s">
        <v>67</v>
      </c>
      <c r="D862" s="1" t="s">
        <v>44</v>
      </c>
      <c r="E862">
        <v>172</v>
      </c>
      <c r="F862" s="1">
        <f>VLOOKUP(jablka5[[#This Row],[Nazwa]],cennik[],2,0) * jablka5[[#This Row],[sprzedaż]]</f>
        <v>602</v>
      </c>
      <c r="G862" s="1">
        <f>IF(jablka5[[#This Row],[NIP]]=D861,jablka5[[#This Row],[sprzedaż]]+G861,jablka5[[#This Row],[sprzedaż]])</f>
        <v>14746</v>
      </c>
      <c r="H862" s="1">
        <f>IF(jablka5[[#This Row],[dot sprz]]&lt;15000,0,IF(jablka5[[#This Row],[dot sprz]]&lt;20000,5,10))</f>
        <v>0</v>
      </c>
      <c r="I862" s="1">
        <f>jablka5[[#This Row],[rabat]]*jablka5[[#This Row],[sprzedaż]]/100</f>
        <v>0</v>
      </c>
    </row>
    <row r="863" spans="1:9" x14ac:dyDescent="0.25">
      <c r="A863" s="2">
        <v>44880</v>
      </c>
      <c r="B863" s="1" t="s">
        <v>11</v>
      </c>
      <c r="C863" s="1" t="s">
        <v>67</v>
      </c>
      <c r="D863" s="1" t="s">
        <v>44</v>
      </c>
      <c r="E863">
        <v>465</v>
      </c>
      <c r="F863" s="1">
        <f>VLOOKUP(jablka5[[#This Row],[Nazwa]],cennik[],2,0) * jablka5[[#This Row],[sprzedaż]]</f>
        <v>1162.5</v>
      </c>
      <c r="G863" s="1">
        <f>IF(jablka5[[#This Row],[NIP]]=D862,jablka5[[#This Row],[sprzedaż]]+G862,jablka5[[#This Row],[sprzedaż]])</f>
        <v>15211</v>
      </c>
      <c r="H863" s="1">
        <f>IF(jablka5[[#This Row],[dot sprz]]&lt;15000,0,IF(jablka5[[#This Row],[dot sprz]]&lt;20000,5,10))</f>
        <v>5</v>
      </c>
      <c r="I863" s="1">
        <f>jablka5[[#This Row],[rabat]]*jablka5[[#This Row],[sprzedaż]]/100</f>
        <v>23.25</v>
      </c>
    </row>
    <row r="864" spans="1:9" x14ac:dyDescent="0.25">
      <c r="A864" s="2">
        <v>44881</v>
      </c>
      <c r="B864" s="1" t="s">
        <v>14</v>
      </c>
      <c r="C864" s="1" t="s">
        <v>67</v>
      </c>
      <c r="D864" s="1" t="s">
        <v>44</v>
      </c>
      <c r="E864">
        <v>356</v>
      </c>
      <c r="F864" s="1">
        <f>VLOOKUP(jablka5[[#This Row],[Nazwa]],cennik[],2,0) * jablka5[[#This Row],[sprzedaż]]</f>
        <v>1246</v>
      </c>
      <c r="G864" s="1">
        <f>IF(jablka5[[#This Row],[NIP]]=D863,jablka5[[#This Row],[sprzedaż]]+G863,jablka5[[#This Row],[sprzedaż]])</f>
        <v>15567</v>
      </c>
      <c r="H864" s="1">
        <f>IF(jablka5[[#This Row],[dot sprz]]&lt;15000,0,IF(jablka5[[#This Row],[dot sprz]]&lt;20000,5,10))</f>
        <v>5</v>
      </c>
      <c r="I864" s="1">
        <f>jablka5[[#This Row],[rabat]]*jablka5[[#This Row],[sprzedaż]]/100</f>
        <v>17.8</v>
      </c>
    </row>
    <row r="865" spans="1:9" x14ac:dyDescent="0.25">
      <c r="A865" s="2">
        <v>44895</v>
      </c>
      <c r="B865" s="1" t="s">
        <v>11</v>
      </c>
      <c r="C865" s="1" t="s">
        <v>67</v>
      </c>
      <c r="D865" s="1" t="s">
        <v>44</v>
      </c>
      <c r="E865">
        <v>301</v>
      </c>
      <c r="F865" s="1">
        <f>VLOOKUP(jablka5[[#This Row],[Nazwa]],cennik[],2,0) * jablka5[[#This Row],[sprzedaż]]</f>
        <v>752.5</v>
      </c>
      <c r="G865" s="1">
        <f>IF(jablka5[[#This Row],[NIP]]=D864,jablka5[[#This Row],[sprzedaż]]+G864,jablka5[[#This Row],[sprzedaż]])</f>
        <v>15868</v>
      </c>
      <c r="H865" s="1">
        <f>IF(jablka5[[#This Row],[dot sprz]]&lt;15000,0,IF(jablka5[[#This Row],[dot sprz]]&lt;20000,5,10))</f>
        <v>5</v>
      </c>
      <c r="I865" s="1">
        <f>jablka5[[#This Row],[rabat]]*jablka5[[#This Row],[sprzedaż]]/100</f>
        <v>15.05</v>
      </c>
    </row>
    <row r="866" spans="1:9" x14ac:dyDescent="0.25">
      <c r="A866" s="2">
        <v>44901</v>
      </c>
      <c r="B866" s="1" t="s">
        <v>8</v>
      </c>
      <c r="C866" s="1" t="s">
        <v>16</v>
      </c>
      <c r="D866" s="1" t="s">
        <v>44</v>
      </c>
      <c r="E866">
        <v>443</v>
      </c>
      <c r="F866" s="1">
        <f>VLOOKUP(jablka5[[#This Row],[Nazwa]],cennik[],2,0) * jablka5[[#This Row],[sprzedaż]]</f>
        <v>1550.5</v>
      </c>
      <c r="G866" s="1">
        <f>IF(jablka5[[#This Row],[NIP]]=D865,jablka5[[#This Row],[sprzedaż]]+G865,jablka5[[#This Row],[sprzedaż]])</f>
        <v>16311</v>
      </c>
      <c r="H866" s="1">
        <f>IF(jablka5[[#This Row],[dot sprz]]&lt;15000,0,IF(jablka5[[#This Row],[dot sprz]]&lt;20000,5,10))</f>
        <v>5</v>
      </c>
      <c r="I866" s="1">
        <f>jablka5[[#This Row],[rabat]]*jablka5[[#This Row],[sprzedaż]]/100</f>
        <v>22.15</v>
      </c>
    </row>
    <row r="867" spans="1:9" x14ac:dyDescent="0.25">
      <c r="A867" s="2">
        <v>44902</v>
      </c>
      <c r="B867" s="1" t="s">
        <v>2</v>
      </c>
      <c r="C867" s="1" t="s">
        <v>16</v>
      </c>
      <c r="D867" s="1" t="s">
        <v>44</v>
      </c>
      <c r="E867">
        <v>343</v>
      </c>
      <c r="F867" s="1">
        <f>VLOOKUP(jablka5[[#This Row],[Nazwa]],cennik[],2,0) * jablka5[[#This Row],[sprzedaż]]</f>
        <v>1097.6000000000001</v>
      </c>
      <c r="G867" s="1">
        <f>IF(jablka5[[#This Row],[NIP]]=D866,jablka5[[#This Row],[sprzedaż]]+G866,jablka5[[#This Row],[sprzedaż]])</f>
        <v>16654</v>
      </c>
      <c r="H867" s="1">
        <f>IF(jablka5[[#This Row],[dot sprz]]&lt;15000,0,IF(jablka5[[#This Row],[dot sprz]]&lt;20000,5,10))</f>
        <v>5</v>
      </c>
      <c r="I867" s="1">
        <f>jablka5[[#This Row],[rabat]]*jablka5[[#This Row],[sprzedaż]]/100</f>
        <v>17.149999999999999</v>
      </c>
    </row>
    <row r="868" spans="1:9" x14ac:dyDescent="0.25">
      <c r="A868" s="2">
        <v>44907</v>
      </c>
      <c r="B868" s="1" t="s">
        <v>8</v>
      </c>
      <c r="C868" s="1" t="s">
        <v>16</v>
      </c>
      <c r="D868" s="1" t="s">
        <v>44</v>
      </c>
      <c r="E868">
        <v>670</v>
      </c>
      <c r="F868" s="1">
        <f>VLOOKUP(jablka5[[#This Row],[Nazwa]],cennik[],2,0) * jablka5[[#This Row],[sprzedaż]]</f>
        <v>2345</v>
      </c>
      <c r="G868" s="1">
        <f>IF(jablka5[[#This Row],[NIP]]=D867,jablka5[[#This Row],[sprzedaż]]+G867,jablka5[[#This Row],[sprzedaż]])</f>
        <v>17324</v>
      </c>
      <c r="H868" s="1">
        <f>IF(jablka5[[#This Row],[dot sprz]]&lt;15000,0,IF(jablka5[[#This Row],[dot sprz]]&lt;20000,5,10))</f>
        <v>5</v>
      </c>
      <c r="I868" s="1">
        <f>jablka5[[#This Row],[rabat]]*jablka5[[#This Row],[sprzedaż]]/100</f>
        <v>33.5</v>
      </c>
    </row>
    <row r="869" spans="1:9" x14ac:dyDescent="0.25">
      <c r="A869" s="2">
        <v>44910</v>
      </c>
      <c r="B869" s="1" t="s">
        <v>2</v>
      </c>
      <c r="C869" s="1" t="s">
        <v>16</v>
      </c>
      <c r="D869" s="1" t="s">
        <v>44</v>
      </c>
      <c r="E869">
        <v>106</v>
      </c>
      <c r="F869" s="1">
        <f>VLOOKUP(jablka5[[#This Row],[Nazwa]],cennik[],2,0) * jablka5[[#This Row],[sprzedaż]]</f>
        <v>339.20000000000005</v>
      </c>
      <c r="G869" s="1">
        <f>IF(jablka5[[#This Row],[NIP]]=D868,jablka5[[#This Row],[sprzedaż]]+G868,jablka5[[#This Row],[sprzedaż]])</f>
        <v>17430</v>
      </c>
      <c r="H869" s="1">
        <f>IF(jablka5[[#This Row],[dot sprz]]&lt;15000,0,IF(jablka5[[#This Row],[dot sprz]]&lt;20000,5,10))</f>
        <v>5</v>
      </c>
      <c r="I869" s="1">
        <f>jablka5[[#This Row],[rabat]]*jablka5[[#This Row],[sprzedaż]]/100</f>
        <v>5.3</v>
      </c>
    </row>
    <row r="870" spans="1:9" x14ac:dyDescent="0.25">
      <c r="A870" s="2">
        <v>44921</v>
      </c>
      <c r="B870" s="1" t="s">
        <v>8</v>
      </c>
      <c r="C870" s="1" t="s">
        <v>16</v>
      </c>
      <c r="D870" s="1" t="s">
        <v>44</v>
      </c>
      <c r="E870">
        <v>321</v>
      </c>
      <c r="F870" s="1">
        <f>VLOOKUP(jablka5[[#This Row],[Nazwa]],cennik[],2,0) * jablka5[[#This Row],[sprzedaż]]</f>
        <v>1123.5</v>
      </c>
      <c r="G870" s="1">
        <f>IF(jablka5[[#This Row],[NIP]]=D869,jablka5[[#This Row],[sprzedaż]]+G869,jablka5[[#This Row],[sprzedaż]])</f>
        <v>17751</v>
      </c>
      <c r="H870" s="1">
        <f>IF(jablka5[[#This Row],[dot sprz]]&lt;15000,0,IF(jablka5[[#This Row],[dot sprz]]&lt;20000,5,10))</f>
        <v>5</v>
      </c>
      <c r="I870" s="1">
        <f>jablka5[[#This Row],[rabat]]*jablka5[[#This Row],[sprzedaż]]/100</f>
        <v>16.05</v>
      </c>
    </row>
    <row r="871" spans="1:9" x14ac:dyDescent="0.25">
      <c r="A871" s="2">
        <v>44567</v>
      </c>
      <c r="B871" s="1" t="s">
        <v>6</v>
      </c>
      <c r="C871" s="1" t="s">
        <v>16</v>
      </c>
      <c r="D871" s="1" t="s">
        <v>40</v>
      </c>
      <c r="E871">
        <v>254</v>
      </c>
      <c r="F871" s="1">
        <f>VLOOKUP(jablka5[[#This Row],[Nazwa]],cennik[],2,0) * jablka5[[#This Row],[sprzedaż]]</f>
        <v>863.6</v>
      </c>
      <c r="G871" s="1">
        <f>IF(jablka5[[#This Row],[NIP]]=D870,jablka5[[#This Row],[sprzedaż]]+G870,jablka5[[#This Row],[sprzedaż]])</f>
        <v>254</v>
      </c>
      <c r="H871" s="1">
        <f>IF(jablka5[[#This Row],[dot sprz]]&lt;15000,0,IF(jablka5[[#This Row],[dot sprz]]&lt;20000,5,10))</f>
        <v>0</v>
      </c>
      <c r="I871" s="1">
        <f>jablka5[[#This Row],[rabat]]*jablka5[[#This Row],[sprzedaż]]/100</f>
        <v>0</v>
      </c>
    </row>
    <row r="872" spans="1:9" x14ac:dyDescent="0.25">
      <c r="A872" s="2">
        <v>44578</v>
      </c>
      <c r="B872" s="1" t="s">
        <v>15</v>
      </c>
      <c r="C872" s="1" t="s">
        <v>16</v>
      </c>
      <c r="D872" s="1" t="s">
        <v>40</v>
      </c>
      <c r="E872">
        <v>374</v>
      </c>
      <c r="F872" s="1">
        <f>VLOOKUP(jablka5[[#This Row],[Nazwa]],cennik[],2,0) * jablka5[[#This Row],[sprzedaż]]</f>
        <v>897.6</v>
      </c>
      <c r="G872" s="1">
        <f>IF(jablka5[[#This Row],[NIP]]=D871,jablka5[[#This Row],[sprzedaż]]+G871,jablka5[[#This Row],[sprzedaż]])</f>
        <v>628</v>
      </c>
      <c r="H872" s="1">
        <f>IF(jablka5[[#This Row],[dot sprz]]&lt;15000,0,IF(jablka5[[#This Row],[dot sprz]]&lt;20000,5,10))</f>
        <v>0</v>
      </c>
      <c r="I872" s="1">
        <f>jablka5[[#This Row],[rabat]]*jablka5[[#This Row],[sprzedaż]]/100</f>
        <v>0</v>
      </c>
    </row>
    <row r="873" spans="1:9" x14ac:dyDescent="0.25">
      <c r="A873" s="2">
        <v>44581</v>
      </c>
      <c r="B873" s="1" t="s">
        <v>15</v>
      </c>
      <c r="C873" s="1" t="s">
        <v>16</v>
      </c>
      <c r="D873" s="1" t="s">
        <v>40</v>
      </c>
      <c r="E873">
        <v>402</v>
      </c>
      <c r="F873" s="1">
        <f>VLOOKUP(jablka5[[#This Row],[Nazwa]],cennik[],2,0) * jablka5[[#This Row],[sprzedaż]]</f>
        <v>964.8</v>
      </c>
      <c r="G873" s="1">
        <f>IF(jablka5[[#This Row],[NIP]]=D872,jablka5[[#This Row],[sprzedaż]]+G872,jablka5[[#This Row],[sprzedaż]])</f>
        <v>1030</v>
      </c>
      <c r="H873" s="1">
        <f>IF(jablka5[[#This Row],[dot sprz]]&lt;15000,0,IF(jablka5[[#This Row],[dot sprz]]&lt;20000,5,10))</f>
        <v>0</v>
      </c>
      <c r="I873" s="1">
        <f>jablka5[[#This Row],[rabat]]*jablka5[[#This Row],[sprzedaż]]/100</f>
        <v>0</v>
      </c>
    </row>
    <row r="874" spans="1:9" x14ac:dyDescent="0.25">
      <c r="A874" s="2">
        <v>44585</v>
      </c>
      <c r="B874" s="1" t="s">
        <v>6</v>
      </c>
      <c r="C874" s="1" t="s">
        <v>16</v>
      </c>
      <c r="D874" s="1" t="s">
        <v>40</v>
      </c>
      <c r="E874">
        <v>136</v>
      </c>
      <c r="F874" s="1">
        <f>VLOOKUP(jablka5[[#This Row],[Nazwa]],cennik[],2,0) * jablka5[[#This Row],[sprzedaż]]</f>
        <v>462.4</v>
      </c>
      <c r="G874" s="1">
        <f>IF(jablka5[[#This Row],[NIP]]=D873,jablka5[[#This Row],[sprzedaż]]+G873,jablka5[[#This Row],[sprzedaż]])</f>
        <v>1166</v>
      </c>
      <c r="H874" s="1">
        <f>IF(jablka5[[#This Row],[dot sprz]]&lt;15000,0,IF(jablka5[[#This Row],[dot sprz]]&lt;20000,5,10))</f>
        <v>0</v>
      </c>
      <c r="I874" s="1">
        <f>jablka5[[#This Row],[rabat]]*jablka5[[#This Row],[sprzedaż]]/100</f>
        <v>0</v>
      </c>
    </row>
    <row r="875" spans="1:9" x14ac:dyDescent="0.25">
      <c r="A875" s="2">
        <v>44592</v>
      </c>
      <c r="B875" s="1" t="s">
        <v>4</v>
      </c>
      <c r="C875" s="1" t="s">
        <v>16</v>
      </c>
      <c r="D875" s="1" t="s">
        <v>40</v>
      </c>
      <c r="E875">
        <v>493</v>
      </c>
      <c r="F875" s="1">
        <f>VLOOKUP(jablka5[[#This Row],[Nazwa]],cennik[],2,0) * jablka5[[#This Row],[sprzedaż]]</f>
        <v>1676.2</v>
      </c>
      <c r="G875" s="1">
        <f>IF(jablka5[[#This Row],[NIP]]=D874,jablka5[[#This Row],[sprzedaż]]+G874,jablka5[[#This Row],[sprzedaż]])</f>
        <v>1659</v>
      </c>
      <c r="H875" s="1">
        <f>IF(jablka5[[#This Row],[dot sprz]]&lt;15000,0,IF(jablka5[[#This Row],[dot sprz]]&lt;20000,5,10))</f>
        <v>0</v>
      </c>
      <c r="I875" s="1">
        <f>jablka5[[#This Row],[rabat]]*jablka5[[#This Row],[sprzedaż]]/100</f>
        <v>0</v>
      </c>
    </row>
    <row r="876" spans="1:9" x14ac:dyDescent="0.25">
      <c r="A876" s="2">
        <v>44593</v>
      </c>
      <c r="B876" s="1" t="s">
        <v>5</v>
      </c>
      <c r="C876" s="1" t="s">
        <v>16</v>
      </c>
      <c r="D876" s="1" t="s">
        <v>40</v>
      </c>
      <c r="E876">
        <v>144</v>
      </c>
      <c r="F876" s="1">
        <f>VLOOKUP(jablka5[[#This Row],[Nazwa]],cennik[],2,0) * jablka5[[#This Row],[sprzedaż]]</f>
        <v>489.59999999999997</v>
      </c>
      <c r="G876" s="1">
        <f>IF(jablka5[[#This Row],[NIP]]=D875,jablka5[[#This Row],[sprzedaż]]+G875,jablka5[[#This Row],[sprzedaż]])</f>
        <v>1803</v>
      </c>
      <c r="H876" s="1">
        <f>IF(jablka5[[#This Row],[dot sprz]]&lt;15000,0,IF(jablka5[[#This Row],[dot sprz]]&lt;20000,5,10))</f>
        <v>0</v>
      </c>
      <c r="I876" s="1">
        <f>jablka5[[#This Row],[rabat]]*jablka5[[#This Row],[sprzedaż]]/100</f>
        <v>0</v>
      </c>
    </row>
    <row r="877" spans="1:9" x14ac:dyDescent="0.25">
      <c r="A877" s="2">
        <v>44594</v>
      </c>
      <c r="B877" s="1" t="s">
        <v>10</v>
      </c>
      <c r="C877" s="1" t="s">
        <v>16</v>
      </c>
      <c r="D877" s="1" t="s">
        <v>40</v>
      </c>
      <c r="E877">
        <v>100</v>
      </c>
      <c r="F877" s="1">
        <f>VLOOKUP(jablka5[[#This Row],[Nazwa]],cennik[],2,0) * jablka5[[#This Row],[sprzedaż]]</f>
        <v>340</v>
      </c>
      <c r="G877" s="1">
        <f>IF(jablka5[[#This Row],[NIP]]=D876,jablka5[[#This Row],[sprzedaż]]+G876,jablka5[[#This Row],[sprzedaż]])</f>
        <v>1903</v>
      </c>
      <c r="H877" s="1">
        <f>IF(jablka5[[#This Row],[dot sprz]]&lt;15000,0,IF(jablka5[[#This Row],[dot sprz]]&lt;20000,5,10))</f>
        <v>0</v>
      </c>
      <c r="I877" s="1">
        <f>jablka5[[#This Row],[rabat]]*jablka5[[#This Row],[sprzedaż]]/100</f>
        <v>0</v>
      </c>
    </row>
    <row r="878" spans="1:9" x14ac:dyDescent="0.25">
      <c r="A878" s="2">
        <v>44606</v>
      </c>
      <c r="B878" s="1" t="s">
        <v>8</v>
      </c>
      <c r="C878" s="1" t="s">
        <v>16</v>
      </c>
      <c r="D878" s="1" t="s">
        <v>40</v>
      </c>
      <c r="E878">
        <v>579</v>
      </c>
      <c r="F878" s="1">
        <f>VLOOKUP(jablka5[[#This Row],[Nazwa]],cennik[],2,0) * jablka5[[#This Row],[sprzedaż]]</f>
        <v>2026.5</v>
      </c>
      <c r="G878" s="1">
        <f>IF(jablka5[[#This Row],[NIP]]=D877,jablka5[[#This Row],[sprzedaż]]+G877,jablka5[[#This Row],[sprzedaż]])</f>
        <v>2482</v>
      </c>
      <c r="H878" s="1">
        <f>IF(jablka5[[#This Row],[dot sprz]]&lt;15000,0,IF(jablka5[[#This Row],[dot sprz]]&lt;20000,5,10))</f>
        <v>0</v>
      </c>
      <c r="I878" s="1">
        <f>jablka5[[#This Row],[rabat]]*jablka5[[#This Row],[sprzedaż]]/100</f>
        <v>0</v>
      </c>
    </row>
    <row r="879" spans="1:9" x14ac:dyDescent="0.25">
      <c r="A879" s="2">
        <v>44608</v>
      </c>
      <c r="B879" s="1" t="s">
        <v>7</v>
      </c>
      <c r="C879" s="1" t="s">
        <v>16</v>
      </c>
      <c r="D879" s="1" t="s">
        <v>40</v>
      </c>
      <c r="E879">
        <v>510</v>
      </c>
      <c r="F879" s="1">
        <f>VLOOKUP(jablka5[[#This Row],[Nazwa]],cennik[],2,0) * jablka5[[#This Row],[sprzedaż]]</f>
        <v>1734</v>
      </c>
      <c r="G879" s="1">
        <f>IF(jablka5[[#This Row],[NIP]]=D878,jablka5[[#This Row],[sprzedaż]]+G878,jablka5[[#This Row],[sprzedaż]])</f>
        <v>2992</v>
      </c>
      <c r="H879" s="1">
        <f>IF(jablka5[[#This Row],[dot sprz]]&lt;15000,0,IF(jablka5[[#This Row],[dot sprz]]&lt;20000,5,10))</f>
        <v>0</v>
      </c>
      <c r="I879" s="1">
        <f>jablka5[[#This Row],[rabat]]*jablka5[[#This Row],[sprzedaż]]/100</f>
        <v>0</v>
      </c>
    </row>
    <row r="880" spans="1:9" x14ac:dyDescent="0.25">
      <c r="A880" s="2">
        <v>44613</v>
      </c>
      <c r="B880" s="1" t="s">
        <v>0</v>
      </c>
      <c r="C880" s="1" t="s">
        <v>16</v>
      </c>
      <c r="D880" s="1" t="s">
        <v>40</v>
      </c>
      <c r="E880">
        <v>332</v>
      </c>
      <c r="F880" s="1">
        <f>VLOOKUP(jablka5[[#This Row],[Nazwa]],cennik[],2,0) * jablka5[[#This Row],[sprzedaż]]</f>
        <v>962.8</v>
      </c>
      <c r="G880" s="1">
        <f>IF(jablka5[[#This Row],[NIP]]=D879,jablka5[[#This Row],[sprzedaż]]+G879,jablka5[[#This Row],[sprzedaż]])</f>
        <v>3324</v>
      </c>
      <c r="H880" s="1">
        <f>IF(jablka5[[#This Row],[dot sprz]]&lt;15000,0,IF(jablka5[[#This Row],[dot sprz]]&lt;20000,5,10))</f>
        <v>0</v>
      </c>
      <c r="I880" s="1">
        <f>jablka5[[#This Row],[rabat]]*jablka5[[#This Row],[sprzedaż]]/100</f>
        <v>0</v>
      </c>
    </row>
    <row r="881" spans="1:9" x14ac:dyDescent="0.25">
      <c r="A881" s="2">
        <v>44628</v>
      </c>
      <c r="B881" s="1" t="s">
        <v>4</v>
      </c>
      <c r="C881" s="1" t="s">
        <v>16</v>
      </c>
      <c r="D881" s="1" t="s">
        <v>40</v>
      </c>
      <c r="E881">
        <v>658</v>
      </c>
      <c r="F881" s="1">
        <f>VLOOKUP(jablka5[[#This Row],[Nazwa]],cennik[],2,0) * jablka5[[#This Row],[sprzedaż]]</f>
        <v>2237.1999999999998</v>
      </c>
      <c r="G881" s="1">
        <f>IF(jablka5[[#This Row],[NIP]]=D880,jablka5[[#This Row],[sprzedaż]]+G880,jablka5[[#This Row],[sprzedaż]])</f>
        <v>3982</v>
      </c>
      <c r="H881" s="1">
        <f>IF(jablka5[[#This Row],[dot sprz]]&lt;15000,0,IF(jablka5[[#This Row],[dot sprz]]&lt;20000,5,10))</f>
        <v>0</v>
      </c>
      <c r="I881" s="1">
        <f>jablka5[[#This Row],[rabat]]*jablka5[[#This Row],[sprzedaż]]/100</f>
        <v>0</v>
      </c>
    </row>
    <row r="882" spans="1:9" x14ac:dyDescent="0.25">
      <c r="A882" s="2">
        <v>44642</v>
      </c>
      <c r="B882" s="1" t="s">
        <v>10</v>
      </c>
      <c r="C882" s="1" t="s">
        <v>16</v>
      </c>
      <c r="D882" s="1" t="s">
        <v>40</v>
      </c>
      <c r="E882">
        <v>13</v>
      </c>
      <c r="F882" s="1">
        <f>VLOOKUP(jablka5[[#This Row],[Nazwa]],cennik[],2,0) * jablka5[[#This Row],[sprzedaż]]</f>
        <v>44.199999999999996</v>
      </c>
      <c r="G882" s="1">
        <f>IF(jablka5[[#This Row],[NIP]]=D881,jablka5[[#This Row],[sprzedaż]]+G881,jablka5[[#This Row],[sprzedaż]])</f>
        <v>3995</v>
      </c>
      <c r="H882" s="1">
        <f>IF(jablka5[[#This Row],[dot sprz]]&lt;15000,0,IF(jablka5[[#This Row],[dot sprz]]&lt;20000,5,10))</f>
        <v>0</v>
      </c>
      <c r="I882" s="1">
        <f>jablka5[[#This Row],[rabat]]*jablka5[[#This Row],[sprzedaż]]/100</f>
        <v>0</v>
      </c>
    </row>
    <row r="883" spans="1:9" x14ac:dyDescent="0.25">
      <c r="A883" s="2">
        <v>44643</v>
      </c>
      <c r="B883" s="1" t="s">
        <v>0</v>
      </c>
      <c r="C883" s="1" t="s">
        <v>16</v>
      </c>
      <c r="D883" s="1" t="s">
        <v>40</v>
      </c>
      <c r="E883">
        <v>282</v>
      </c>
      <c r="F883" s="1">
        <f>VLOOKUP(jablka5[[#This Row],[Nazwa]],cennik[],2,0) * jablka5[[#This Row],[sprzedaż]]</f>
        <v>817.8</v>
      </c>
      <c r="G883" s="1">
        <f>IF(jablka5[[#This Row],[NIP]]=D882,jablka5[[#This Row],[sprzedaż]]+G882,jablka5[[#This Row],[sprzedaż]])</f>
        <v>4277</v>
      </c>
      <c r="H883" s="1">
        <f>IF(jablka5[[#This Row],[dot sprz]]&lt;15000,0,IF(jablka5[[#This Row],[dot sprz]]&lt;20000,5,10))</f>
        <v>0</v>
      </c>
      <c r="I883" s="1">
        <f>jablka5[[#This Row],[rabat]]*jablka5[[#This Row],[sprzedaż]]/100</f>
        <v>0</v>
      </c>
    </row>
    <row r="884" spans="1:9" x14ac:dyDescent="0.25">
      <c r="A884" s="2">
        <v>44649</v>
      </c>
      <c r="B884" s="1" t="s">
        <v>15</v>
      </c>
      <c r="C884" s="1" t="s">
        <v>16</v>
      </c>
      <c r="D884" s="1" t="s">
        <v>40</v>
      </c>
      <c r="E884">
        <v>483</v>
      </c>
      <c r="F884" s="1">
        <f>VLOOKUP(jablka5[[#This Row],[Nazwa]],cennik[],2,0) * jablka5[[#This Row],[sprzedaż]]</f>
        <v>1159.2</v>
      </c>
      <c r="G884" s="1">
        <f>IF(jablka5[[#This Row],[NIP]]=D883,jablka5[[#This Row],[sprzedaż]]+G883,jablka5[[#This Row],[sprzedaż]])</f>
        <v>4760</v>
      </c>
      <c r="H884" s="1">
        <f>IF(jablka5[[#This Row],[dot sprz]]&lt;15000,0,IF(jablka5[[#This Row],[dot sprz]]&lt;20000,5,10))</f>
        <v>0</v>
      </c>
      <c r="I884" s="1">
        <f>jablka5[[#This Row],[rabat]]*jablka5[[#This Row],[sprzedaż]]/100</f>
        <v>0</v>
      </c>
    </row>
    <row r="885" spans="1:9" x14ac:dyDescent="0.25">
      <c r="A885" s="2">
        <v>44658</v>
      </c>
      <c r="B885" s="1" t="s">
        <v>4</v>
      </c>
      <c r="C885" s="1" t="s">
        <v>16</v>
      </c>
      <c r="D885" s="1" t="s">
        <v>40</v>
      </c>
      <c r="E885">
        <v>710</v>
      </c>
      <c r="F885" s="1">
        <f>VLOOKUP(jablka5[[#This Row],[Nazwa]],cennik[],2,0) * jablka5[[#This Row],[sprzedaż]]</f>
        <v>2414</v>
      </c>
      <c r="G885" s="1">
        <f>IF(jablka5[[#This Row],[NIP]]=D884,jablka5[[#This Row],[sprzedaż]]+G884,jablka5[[#This Row],[sprzedaż]])</f>
        <v>5470</v>
      </c>
      <c r="H885" s="1">
        <f>IF(jablka5[[#This Row],[dot sprz]]&lt;15000,0,IF(jablka5[[#This Row],[dot sprz]]&lt;20000,5,10))</f>
        <v>0</v>
      </c>
      <c r="I885" s="1">
        <f>jablka5[[#This Row],[rabat]]*jablka5[[#This Row],[sprzedaż]]/100</f>
        <v>0</v>
      </c>
    </row>
    <row r="886" spans="1:9" x14ac:dyDescent="0.25">
      <c r="A886" s="2">
        <v>44660</v>
      </c>
      <c r="B886" s="1" t="s">
        <v>10</v>
      </c>
      <c r="C886" s="1" t="s">
        <v>16</v>
      </c>
      <c r="D886" s="1" t="s">
        <v>40</v>
      </c>
      <c r="E886">
        <v>457</v>
      </c>
      <c r="F886" s="1">
        <f>VLOOKUP(jablka5[[#This Row],[Nazwa]],cennik[],2,0) * jablka5[[#This Row],[sprzedaż]]</f>
        <v>1553.8</v>
      </c>
      <c r="G886" s="1">
        <f>IF(jablka5[[#This Row],[NIP]]=D885,jablka5[[#This Row],[sprzedaż]]+G885,jablka5[[#This Row],[sprzedaż]])</f>
        <v>5927</v>
      </c>
      <c r="H886" s="1">
        <f>IF(jablka5[[#This Row],[dot sprz]]&lt;15000,0,IF(jablka5[[#This Row],[dot sprz]]&lt;20000,5,10))</f>
        <v>0</v>
      </c>
      <c r="I886" s="1">
        <f>jablka5[[#This Row],[rabat]]*jablka5[[#This Row],[sprzedaż]]/100</f>
        <v>0</v>
      </c>
    </row>
    <row r="887" spans="1:9" x14ac:dyDescent="0.25">
      <c r="A887" s="2">
        <v>44660</v>
      </c>
      <c r="B887" s="1" t="s">
        <v>4</v>
      </c>
      <c r="C887" s="1" t="s">
        <v>16</v>
      </c>
      <c r="D887" s="1" t="s">
        <v>40</v>
      </c>
      <c r="E887">
        <v>454</v>
      </c>
      <c r="F887" s="1">
        <f>VLOOKUP(jablka5[[#This Row],[Nazwa]],cennik[],2,0) * jablka5[[#This Row],[sprzedaż]]</f>
        <v>1543.6</v>
      </c>
      <c r="G887" s="1">
        <f>IF(jablka5[[#This Row],[NIP]]=D886,jablka5[[#This Row],[sprzedaż]]+G886,jablka5[[#This Row],[sprzedaż]])</f>
        <v>6381</v>
      </c>
      <c r="H887" s="1">
        <f>IF(jablka5[[#This Row],[dot sprz]]&lt;15000,0,IF(jablka5[[#This Row],[dot sprz]]&lt;20000,5,10))</f>
        <v>0</v>
      </c>
      <c r="I887" s="1">
        <f>jablka5[[#This Row],[rabat]]*jablka5[[#This Row],[sprzedaż]]/100</f>
        <v>0</v>
      </c>
    </row>
    <row r="888" spans="1:9" x14ac:dyDescent="0.25">
      <c r="A888" s="2">
        <v>44662</v>
      </c>
      <c r="B888" s="1" t="s">
        <v>2</v>
      </c>
      <c r="C888" s="1" t="s">
        <v>16</v>
      </c>
      <c r="D888" s="1" t="s">
        <v>40</v>
      </c>
      <c r="E888">
        <v>94</v>
      </c>
      <c r="F888" s="1">
        <f>VLOOKUP(jablka5[[#This Row],[Nazwa]],cennik[],2,0) * jablka5[[#This Row],[sprzedaż]]</f>
        <v>300.8</v>
      </c>
      <c r="G888" s="1">
        <f>IF(jablka5[[#This Row],[NIP]]=D887,jablka5[[#This Row],[sprzedaż]]+G887,jablka5[[#This Row],[sprzedaż]])</f>
        <v>6475</v>
      </c>
      <c r="H888" s="1">
        <f>IF(jablka5[[#This Row],[dot sprz]]&lt;15000,0,IF(jablka5[[#This Row],[dot sprz]]&lt;20000,5,10))</f>
        <v>0</v>
      </c>
      <c r="I888" s="1">
        <f>jablka5[[#This Row],[rabat]]*jablka5[[#This Row],[sprzedaż]]/100</f>
        <v>0</v>
      </c>
    </row>
    <row r="889" spans="1:9" x14ac:dyDescent="0.25">
      <c r="A889" s="2">
        <v>44672</v>
      </c>
      <c r="B889" s="1" t="s">
        <v>2</v>
      </c>
      <c r="C889" s="1" t="s">
        <v>16</v>
      </c>
      <c r="D889" s="1" t="s">
        <v>40</v>
      </c>
      <c r="E889">
        <v>27</v>
      </c>
      <c r="F889" s="1">
        <f>VLOOKUP(jablka5[[#This Row],[Nazwa]],cennik[],2,0) * jablka5[[#This Row],[sprzedaż]]</f>
        <v>86.4</v>
      </c>
      <c r="G889" s="1">
        <f>IF(jablka5[[#This Row],[NIP]]=D888,jablka5[[#This Row],[sprzedaż]]+G888,jablka5[[#This Row],[sprzedaż]])</f>
        <v>6502</v>
      </c>
      <c r="H889" s="1">
        <f>IF(jablka5[[#This Row],[dot sprz]]&lt;15000,0,IF(jablka5[[#This Row],[dot sprz]]&lt;20000,5,10))</f>
        <v>0</v>
      </c>
      <c r="I889" s="1">
        <f>jablka5[[#This Row],[rabat]]*jablka5[[#This Row],[sprzedaż]]/100</f>
        <v>0</v>
      </c>
    </row>
    <row r="890" spans="1:9" x14ac:dyDescent="0.25">
      <c r="A890" s="2">
        <v>44678</v>
      </c>
      <c r="B890" s="1" t="s">
        <v>7</v>
      </c>
      <c r="C890" s="1" t="s">
        <v>16</v>
      </c>
      <c r="D890" s="1" t="s">
        <v>40</v>
      </c>
      <c r="E890">
        <v>255</v>
      </c>
      <c r="F890" s="1">
        <f>VLOOKUP(jablka5[[#This Row],[Nazwa]],cennik[],2,0) * jablka5[[#This Row],[sprzedaż]]</f>
        <v>867</v>
      </c>
      <c r="G890" s="1">
        <f>IF(jablka5[[#This Row],[NIP]]=D889,jablka5[[#This Row],[sprzedaż]]+G889,jablka5[[#This Row],[sprzedaż]])</f>
        <v>6757</v>
      </c>
      <c r="H890" s="1">
        <f>IF(jablka5[[#This Row],[dot sprz]]&lt;15000,0,IF(jablka5[[#This Row],[dot sprz]]&lt;20000,5,10))</f>
        <v>0</v>
      </c>
      <c r="I890" s="1">
        <f>jablka5[[#This Row],[rabat]]*jablka5[[#This Row],[sprzedaż]]/100</f>
        <v>0</v>
      </c>
    </row>
    <row r="891" spans="1:9" x14ac:dyDescent="0.25">
      <c r="A891" s="2">
        <v>44685</v>
      </c>
      <c r="B891" s="1" t="s">
        <v>5</v>
      </c>
      <c r="C891" s="1" t="s">
        <v>16</v>
      </c>
      <c r="D891" s="1" t="s">
        <v>40</v>
      </c>
      <c r="E891">
        <v>143</v>
      </c>
      <c r="F891" s="1">
        <f>VLOOKUP(jablka5[[#This Row],[Nazwa]],cennik[],2,0) * jablka5[[#This Row],[sprzedaż]]</f>
        <v>486.2</v>
      </c>
      <c r="G891" s="1">
        <f>IF(jablka5[[#This Row],[NIP]]=D890,jablka5[[#This Row],[sprzedaż]]+G890,jablka5[[#This Row],[sprzedaż]])</f>
        <v>6900</v>
      </c>
      <c r="H891" s="1">
        <f>IF(jablka5[[#This Row],[dot sprz]]&lt;15000,0,IF(jablka5[[#This Row],[dot sprz]]&lt;20000,5,10))</f>
        <v>0</v>
      </c>
      <c r="I891" s="1">
        <f>jablka5[[#This Row],[rabat]]*jablka5[[#This Row],[sprzedaż]]/100</f>
        <v>0</v>
      </c>
    </row>
    <row r="892" spans="1:9" x14ac:dyDescent="0.25">
      <c r="A892" s="2">
        <v>44690</v>
      </c>
      <c r="B892" s="1" t="s">
        <v>10</v>
      </c>
      <c r="C892" s="1" t="s">
        <v>16</v>
      </c>
      <c r="D892" s="1" t="s">
        <v>40</v>
      </c>
      <c r="E892">
        <v>171</v>
      </c>
      <c r="F892" s="1">
        <f>VLOOKUP(jablka5[[#This Row],[Nazwa]],cennik[],2,0) * jablka5[[#This Row],[sprzedaż]]</f>
        <v>581.4</v>
      </c>
      <c r="G892" s="1">
        <f>IF(jablka5[[#This Row],[NIP]]=D891,jablka5[[#This Row],[sprzedaż]]+G891,jablka5[[#This Row],[sprzedaż]])</f>
        <v>7071</v>
      </c>
      <c r="H892" s="1">
        <f>IF(jablka5[[#This Row],[dot sprz]]&lt;15000,0,IF(jablka5[[#This Row],[dot sprz]]&lt;20000,5,10))</f>
        <v>0</v>
      </c>
      <c r="I892" s="1">
        <f>jablka5[[#This Row],[rabat]]*jablka5[[#This Row],[sprzedaż]]/100</f>
        <v>0</v>
      </c>
    </row>
    <row r="893" spans="1:9" x14ac:dyDescent="0.25">
      <c r="A893" s="2">
        <v>44701</v>
      </c>
      <c r="B893" s="1" t="s">
        <v>4</v>
      </c>
      <c r="C893" s="1" t="s">
        <v>16</v>
      </c>
      <c r="D893" s="1" t="s">
        <v>40</v>
      </c>
      <c r="E893">
        <v>490</v>
      </c>
      <c r="F893" s="1">
        <f>VLOOKUP(jablka5[[#This Row],[Nazwa]],cennik[],2,0) * jablka5[[#This Row],[sprzedaż]]</f>
        <v>1666</v>
      </c>
      <c r="G893" s="1">
        <f>IF(jablka5[[#This Row],[NIP]]=D892,jablka5[[#This Row],[sprzedaż]]+G892,jablka5[[#This Row],[sprzedaż]])</f>
        <v>7561</v>
      </c>
      <c r="H893" s="1">
        <f>IF(jablka5[[#This Row],[dot sprz]]&lt;15000,0,IF(jablka5[[#This Row],[dot sprz]]&lt;20000,5,10))</f>
        <v>0</v>
      </c>
      <c r="I893" s="1">
        <f>jablka5[[#This Row],[rabat]]*jablka5[[#This Row],[sprzedaż]]/100</f>
        <v>0</v>
      </c>
    </row>
    <row r="894" spans="1:9" x14ac:dyDescent="0.25">
      <c r="A894" s="2">
        <v>44704</v>
      </c>
      <c r="B894" s="1" t="s">
        <v>15</v>
      </c>
      <c r="C894" s="1" t="s">
        <v>16</v>
      </c>
      <c r="D894" s="1" t="s">
        <v>40</v>
      </c>
      <c r="E894">
        <v>350</v>
      </c>
      <c r="F894" s="1">
        <f>VLOOKUP(jablka5[[#This Row],[Nazwa]],cennik[],2,0) * jablka5[[#This Row],[sprzedaż]]</f>
        <v>840</v>
      </c>
      <c r="G894" s="1">
        <f>IF(jablka5[[#This Row],[NIP]]=D893,jablka5[[#This Row],[sprzedaż]]+G893,jablka5[[#This Row],[sprzedaż]])</f>
        <v>7911</v>
      </c>
      <c r="H894" s="1">
        <f>IF(jablka5[[#This Row],[dot sprz]]&lt;15000,0,IF(jablka5[[#This Row],[dot sprz]]&lt;20000,5,10))</f>
        <v>0</v>
      </c>
      <c r="I894" s="1">
        <f>jablka5[[#This Row],[rabat]]*jablka5[[#This Row],[sprzedaż]]/100</f>
        <v>0</v>
      </c>
    </row>
    <row r="895" spans="1:9" x14ac:dyDescent="0.25">
      <c r="A895" s="2">
        <v>44716</v>
      </c>
      <c r="B895" s="1" t="s">
        <v>13</v>
      </c>
      <c r="C895" s="1" t="s">
        <v>68</v>
      </c>
      <c r="D895" s="1" t="s">
        <v>40</v>
      </c>
      <c r="E895">
        <v>377</v>
      </c>
      <c r="F895" s="1">
        <f>VLOOKUP(jablka5[[#This Row],[Nazwa]],cennik[],2,0) * jablka5[[#This Row],[sprzedaż]]</f>
        <v>1206.4000000000001</v>
      </c>
      <c r="G895" s="1">
        <f>IF(jablka5[[#This Row],[NIP]]=D894,jablka5[[#This Row],[sprzedaż]]+G894,jablka5[[#This Row],[sprzedaż]])</f>
        <v>8288</v>
      </c>
      <c r="H895" s="1">
        <f>IF(jablka5[[#This Row],[dot sprz]]&lt;15000,0,IF(jablka5[[#This Row],[dot sprz]]&lt;20000,5,10))</f>
        <v>0</v>
      </c>
      <c r="I895" s="1">
        <f>jablka5[[#This Row],[rabat]]*jablka5[[#This Row],[sprzedaż]]/100</f>
        <v>0</v>
      </c>
    </row>
    <row r="896" spans="1:9" x14ac:dyDescent="0.25">
      <c r="A896" s="2">
        <v>44726</v>
      </c>
      <c r="B896" s="1" t="s">
        <v>12</v>
      </c>
      <c r="C896" s="1" t="s">
        <v>68</v>
      </c>
      <c r="D896" s="1" t="s">
        <v>40</v>
      </c>
      <c r="E896">
        <v>86</v>
      </c>
      <c r="F896" s="1">
        <f>VLOOKUP(jablka5[[#This Row],[Nazwa]],cennik[],2,0) * jablka5[[#This Row],[sprzedaż]]</f>
        <v>232.20000000000002</v>
      </c>
      <c r="G896" s="1">
        <f>IF(jablka5[[#This Row],[NIP]]=D895,jablka5[[#This Row],[sprzedaż]]+G895,jablka5[[#This Row],[sprzedaż]])</f>
        <v>8374</v>
      </c>
      <c r="H896" s="1">
        <f>IF(jablka5[[#This Row],[dot sprz]]&lt;15000,0,IF(jablka5[[#This Row],[dot sprz]]&lt;20000,5,10))</f>
        <v>0</v>
      </c>
      <c r="I896" s="1">
        <f>jablka5[[#This Row],[rabat]]*jablka5[[#This Row],[sprzedaż]]/100</f>
        <v>0</v>
      </c>
    </row>
    <row r="897" spans="1:9" x14ac:dyDescent="0.25">
      <c r="A897" s="2">
        <v>44743</v>
      </c>
      <c r="B897" s="1" t="s">
        <v>12</v>
      </c>
      <c r="C897" s="1" t="s">
        <v>68</v>
      </c>
      <c r="D897" s="1" t="s">
        <v>40</v>
      </c>
      <c r="E897">
        <v>298</v>
      </c>
      <c r="F897" s="1">
        <f>VLOOKUP(jablka5[[#This Row],[Nazwa]],cennik[],2,0) * jablka5[[#This Row],[sprzedaż]]</f>
        <v>804.6</v>
      </c>
      <c r="G897" s="1">
        <f>IF(jablka5[[#This Row],[NIP]]=D896,jablka5[[#This Row],[sprzedaż]]+G896,jablka5[[#This Row],[sprzedaż]])</f>
        <v>8672</v>
      </c>
      <c r="H897" s="1">
        <f>IF(jablka5[[#This Row],[dot sprz]]&lt;15000,0,IF(jablka5[[#This Row],[dot sprz]]&lt;20000,5,10))</f>
        <v>0</v>
      </c>
      <c r="I897" s="1">
        <f>jablka5[[#This Row],[rabat]]*jablka5[[#This Row],[sprzedaż]]/100</f>
        <v>0</v>
      </c>
    </row>
    <row r="898" spans="1:9" x14ac:dyDescent="0.25">
      <c r="A898" s="2">
        <v>44749</v>
      </c>
      <c r="B898" s="1" t="s">
        <v>12</v>
      </c>
      <c r="C898" s="1" t="s">
        <v>68</v>
      </c>
      <c r="D898" s="1" t="s">
        <v>40</v>
      </c>
      <c r="E898">
        <v>329</v>
      </c>
      <c r="F898" s="1">
        <f>VLOOKUP(jablka5[[#This Row],[Nazwa]],cennik[],2,0) * jablka5[[#This Row],[sprzedaż]]</f>
        <v>888.30000000000007</v>
      </c>
      <c r="G898" s="1">
        <f>IF(jablka5[[#This Row],[NIP]]=D897,jablka5[[#This Row],[sprzedaż]]+G897,jablka5[[#This Row],[sprzedaż]])</f>
        <v>9001</v>
      </c>
      <c r="H898" s="1">
        <f>IF(jablka5[[#This Row],[dot sprz]]&lt;15000,0,IF(jablka5[[#This Row],[dot sprz]]&lt;20000,5,10))</f>
        <v>0</v>
      </c>
      <c r="I898" s="1">
        <f>jablka5[[#This Row],[rabat]]*jablka5[[#This Row],[sprzedaż]]/100</f>
        <v>0</v>
      </c>
    </row>
    <row r="899" spans="1:9" x14ac:dyDescent="0.25">
      <c r="A899" s="2">
        <v>44754</v>
      </c>
      <c r="B899" s="1" t="s">
        <v>13</v>
      </c>
      <c r="C899" s="1" t="s">
        <v>68</v>
      </c>
      <c r="D899" s="1" t="s">
        <v>40</v>
      </c>
      <c r="E899">
        <v>342</v>
      </c>
      <c r="F899" s="1">
        <f>VLOOKUP(jablka5[[#This Row],[Nazwa]],cennik[],2,0) * jablka5[[#This Row],[sprzedaż]]</f>
        <v>1094.4000000000001</v>
      </c>
      <c r="G899" s="1">
        <f>IF(jablka5[[#This Row],[NIP]]=D898,jablka5[[#This Row],[sprzedaż]]+G898,jablka5[[#This Row],[sprzedaż]])</f>
        <v>9343</v>
      </c>
      <c r="H899" s="1">
        <f>IF(jablka5[[#This Row],[dot sprz]]&lt;15000,0,IF(jablka5[[#This Row],[dot sprz]]&lt;20000,5,10))</f>
        <v>0</v>
      </c>
      <c r="I899" s="1">
        <f>jablka5[[#This Row],[rabat]]*jablka5[[#This Row],[sprzedaż]]/100</f>
        <v>0</v>
      </c>
    </row>
    <row r="900" spans="1:9" x14ac:dyDescent="0.25">
      <c r="A900" s="2">
        <v>44754</v>
      </c>
      <c r="B900" s="1" t="s">
        <v>14</v>
      </c>
      <c r="C900" s="1" t="s">
        <v>67</v>
      </c>
      <c r="D900" s="1" t="s">
        <v>40</v>
      </c>
      <c r="E900">
        <v>497</v>
      </c>
      <c r="F900" s="1">
        <f>VLOOKUP(jablka5[[#This Row],[Nazwa]],cennik[],2,0) * jablka5[[#This Row],[sprzedaż]]</f>
        <v>1739.5</v>
      </c>
      <c r="G900" s="1">
        <f>IF(jablka5[[#This Row],[NIP]]=D899,jablka5[[#This Row],[sprzedaż]]+G899,jablka5[[#This Row],[sprzedaż]])</f>
        <v>9840</v>
      </c>
      <c r="H900" s="1">
        <f>IF(jablka5[[#This Row],[dot sprz]]&lt;15000,0,IF(jablka5[[#This Row],[dot sprz]]&lt;20000,5,10))</f>
        <v>0</v>
      </c>
      <c r="I900" s="1">
        <f>jablka5[[#This Row],[rabat]]*jablka5[[#This Row],[sprzedaż]]/100</f>
        <v>0</v>
      </c>
    </row>
    <row r="901" spans="1:9" x14ac:dyDescent="0.25">
      <c r="A901" s="2">
        <v>44769</v>
      </c>
      <c r="B901" s="1" t="s">
        <v>12</v>
      </c>
      <c r="C901" s="1" t="s">
        <v>68</v>
      </c>
      <c r="D901" s="1" t="s">
        <v>40</v>
      </c>
      <c r="E901">
        <v>408</v>
      </c>
      <c r="F901" s="1">
        <f>VLOOKUP(jablka5[[#This Row],[Nazwa]],cennik[],2,0) * jablka5[[#This Row],[sprzedaż]]</f>
        <v>1101.6000000000001</v>
      </c>
      <c r="G901" s="1">
        <f>IF(jablka5[[#This Row],[NIP]]=D900,jablka5[[#This Row],[sprzedaż]]+G900,jablka5[[#This Row],[sprzedaż]])</f>
        <v>10248</v>
      </c>
      <c r="H901" s="1">
        <f>IF(jablka5[[#This Row],[dot sprz]]&lt;15000,0,IF(jablka5[[#This Row],[dot sprz]]&lt;20000,5,10))</f>
        <v>0</v>
      </c>
      <c r="I901" s="1">
        <f>jablka5[[#This Row],[rabat]]*jablka5[[#This Row],[sprzedaż]]/100</f>
        <v>0</v>
      </c>
    </row>
    <row r="902" spans="1:9" x14ac:dyDescent="0.25">
      <c r="A902" s="2">
        <v>44795</v>
      </c>
      <c r="B902" s="1" t="s">
        <v>12</v>
      </c>
      <c r="C902" s="1" t="s">
        <v>68</v>
      </c>
      <c r="D902" s="1" t="s">
        <v>40</v>
      </c>
      <c r="E902">
        <v>490</v>
      </c>
      <c r="F902" s="1">
        <f>VLOOKUP(jablka5[[#This Row],[Nazwa]],cennik[],2,0) * jablka5[[#This Row],[sprzedaż]]</f>
        <v>1323</v>
      </c>
      <c r="G902" s="1">
        <f>IF(jablka5[[#This Row],[NIP]]=D901,jablka5[[#This Row],[sprzedaż]]+G901,jablka5[[#This Row],[sprzedaż]])</f>
        <v>10738</v>
      </c>
      <c r="H902" s="1">
        <f>IF(jablka5[[#This Row],[dot sprz]]&lt;15000,0,IF(jablka5[[#This Row],[dot sprz]]&lt;20000,5,10))</f>
        <v>0</v>
      </c>
      <c r="I902" s="1">
        <f>jablka5[[#This Row],[rabat]]*jablka5[[#This Row],[sprzedaż]]/100</f>
        <v>0</v>
      </c>
    </row>
    <row r="903" spans="1:9" x14ac:dyDescent="0.25">
      <c r="A903" s="2">
        <v>44811</v>
      </c>
      <c r="B903" s="1" t="s">
        <v>9</v>
      </c>
      <c r="C903" s="1" t="s">
        <v>67</v>
      </c>
      <c r="D903" s="1" t="s">
        <v>40</v>
      </c>
      <c r="E903">
        <v>291</v>
      </c>
      <c r="F903" s="1">
        <f>VLOOKUP(jablka5[[#This Row],[Nazwa]],cennik[],2,0) * jablka5[[#This Row],[sprzedaż]]</f>
        <v>727.5</v>
      </c>
      <c r="G903" s="1">
        <f>IF(jablka5[[#This Row],[NIP]]=D902,jablka5[[#This Row],[sprzedaż]]+G902,jablka5[[#This Row],[sprzedaż]])</f>
        <v>11029</v>
      </c>
      <c r="H903" s="1">
        <f>IF(jablka5[[#This Row],[dot sprz]]&lt;15000,0,IF(jablka5[[#This Row],[dot sprz]]&lt;20000,5,10))</f>
        <v>0</v>
      </c>
      <c r="I903" s="1">
        <f>jablka5[[#This Row],[rabat]]*jablka5[[#This Row],[sprzedaż]]/100</f>
        <v>0</v>
      </c>
    </row>
    <row r="904" spans="1:9" x14ac:dyDescent="0.25">
      <c r="A904" s="2">
        <v>44820</v>
      </c>
      <c r="B904" s="1" t="s">
        <v>3</v>
      </c>
      <c r="C904" s="1" t="s">
        <v>67</v>
      </c>
      <c r="D904" s="1" t="s">
        <v>40</v>
      </c>
      <c r="E904">
        <v>348</v>
      </c>
      <c r="F904" s="1">
        <f>VLOOKUP(jablka5[[#This Row],[Nazwa]],cennik[],2,0) * jablka5[[#This Row],[sprzedaż]]</f>
        <v>1113.6000000000001</v>
      </c>
      <c r="G904" s="1">
        <f>IF(jablka5[[#This Row],[NIP]]=D903,jablka5[[#This Row],[sprzedaż]]+G903,jablka5[[#This Row],[sprzedaż]])</f>
        <v>11377</v>
      </c>
      <c r="H904" s="1">
        <f>IF(jablka5[[#This Row],[dot sprz]]&lt;15000,0,IF(jablka5[[#This Row],[dot sprz]]&lt;20000,5,10))</f>
        <v>0</v>
      </c>
      <c r="I904" s="1">
        <f>jablka5[[#This Row],[rabat]]*jablka5[[#This Row],[sprzedaż]]/100</f>
        <v>0</v>
      </c>
    </row>
    <row r="905" spans="1:9" x14ac:dyDescent="0.25">
      <c r="A905" s="2">
        <v>44826</v>
      </c>
      <c r="B905" s="1" t="s">
        <v>14</v>
      </c>
      <c r="C905" s="1" t="s">
        <v>67</v>
      </c>
      <c r="D905" s="1" t="s">
        <v>40</v>
      </c>
      <c r="E905">
        <v>446</v>
      </c>
      <c r="F905" s="1">
        <f>VLOOKUP(jablka5[[#This Row],[Nazwa]],cennik[],2,0) * jablka5[[#This Row],[sprzedaż]]</f>
        <v>1561</v>
      </c>
      <c r="G905" s="1">
        <f>IF(jablka5[[#This Row],[NIP]]=D904,jablka5[[#This Row],[sprzedaż]]+G904,jablka5[[#This Row],[sprzedaż]])</f>
        <v>11823</v>
      </c>
      <c r="H905" s="1">
        <f>IF(jablka5[[#This Row],[dot sprz]]&lt;15000,0,IF(jablka5[[#This Row],[dot sprz]]&lt;20000,5,10))</f>
        <v>0</v>
      </c>
      <c r="I905" s="1">
        <f>jablka5[[#This Row],[rabat]]*jablka5[[#This Row],[sprzedaż]]/100</f>
        <v>0</v>
      </c>
    </row>
    <row r="906" spans="1:9" x14ac:dyDescent="0.25">
      <c r="A906" s="2">
        <v>44839</v>
      </c>
      <c r="B906" s="1" t="s">
        <v>3</v>
      </c>
      <c r="C906" s="1" t="s">
        <v>67</v>
      </c>
      <c r="D906" s="1" t="s">
        <v>40</v>
      </c>
      <c r="E906">
        <v>354</v>
      </c>
      <c r="F906" s="1">
        <f>VLOOKUP(jablka5[[#This Row],[Nazwa]],cennik[],2,0) * jablka5[[#This Row],[sprzedaż]]</f>
        <v>1132.8</v>
      </c>
      <c r="G906" s="1">
        <f>IF(jablka5[[#This Row],[NIP]]=D905,jablka5[[#This Row],[sprzedaż]]+G905,jablka5[[#This Row],[sprzedaż]])</f>
        <v>12177</v>
      </c>
      <c r="H906" s="1">
        <f>IF(jablka5[[#This Row],[dot sprz]]&lt;15000,0,IF(jablka5[[#This Row],[dot sprz]]&lt;20000,5,10))</f>
        <v>0</v>
      </c>
      <c r="I906" s="1">
        <f>jablka5[[#This Row],[rabat]]*jablka5[[#This Row],[sprzedaż]]/100</f>
        <v>0</v>
      </c>
    </row>
    <row r="907" spans="1:9" x14ac:dyDescent="0.25">
      <c r="A907" s="2">
        <v>44863</v>
      </c>
      <c r="B907" s="1" t="s">
        <v>3</v>
      </c>
      <c r="C907" s="1" t="s">
        <v>67</v>
      </c>
      <c r="D907" s="1" t="s">
        <v>40</v>
      </c>
      <c r="E907">
        <v>10</v>
      </c>
      <c r="F907" s="1">
        <f>VLOOKUP(jablka5[[#This Row],[Nazwa]],cennik[],2,0) * jablka5[[#This Row],[sprzedaż]]</f>
        <v>32</v>
      </c>
      <c r="G907" s="1">
        <f>IF(jablka5[[#This Row],[NIP]]=D906,jablka5[[#This Row],[sprzedaż]]+G906,jablka5[[#This Row],[sprzedaż]])</f>
        <v>12187</v>
      </c>
      <c r="H907" s="1">
        <f>IF(jablka5[[#This Row],[dot sprz]]&lt;15000,0,IF(jablka5[[#This Row],[dot sprz]]&lt;20000,5,10))</f>
        <v>0</v>
      </c>
      <c r="I907" s="1">
        <f>jablka5[[#This Row],[rabat]]*jablka5[[#This Row],[sprzedaż]]/100</f>
        <v>0</v>
      </c>
    </row>
    <row r="908" spans="1:9" x14ac:dyDescent="0.25">
      <c r="A908" s="2">
        <v>44865</v>
      </c>
      <c r="B908" s="1" t="s">
        <v>9</v>
      </c>
      <c r="C908" s="1" t="s">
        <v>67</v>
      </c>
      <c r="D908" s="1" t="s">
        <v>40</v>
      </c>
      <c r="E908">
        <v>246</v>
      </c>
      <c r="F908" s="1">
        <f>VLOOKUP(jablka5[[#This Row],[Nazwa]],cennik[],2,0) * jablka5[[#This Row],[sprzedaż]]</f>
        <v>615</v>
      </c>
      <c r="G908" s="1">
        <f>IF(jablka5[[#This Row],[NIP]]=D907,jablka5[[#This Row],[sprzedaż]]+G907,jablka5[[#This Row],[sprzedaż]])</f>
        <v>12433</v>
      </c>
      <c r="H908" s="1">
        <f>IF(jablka5[[#This Row],[dot sprz]]&lt;15000,0,IF(jablka5[[#This Row],[dot sprz]]&lt;20000,5,10))</f>
        <v>0</v>
      </c>
      <c r="I908" s="1">
        <f>jablka5[[#This Row],[rabat]]*jablka5[[#This Row],[sprzedaż]]/100</f>
        <v>0</v>
      </c>
    </row>
    <row r="909" spans="1:9" x14ac:dyDescent="0.25">
      <c r="A909" s="2">
        <v>44896</v>
      </c>
      <c r="B909" s="1" t="s">
        <v>2</v>
      </c>
      <c r="C909" s="1" t="s">
        <v>16</v>
      </c>
      <c r="D909" s="1" t="s">
        <v>40</v>
      </c>
      <c r="E909">
        <v>480</v>
      </c>
      <c r="F909" s="1">
        <f>VLOOKUP(jablka5[[#This Row],[Nazwa]],cennik[],2,0) * jablka5[[#This Row],[sprzedaż]]</f>
        <v>1536</v>
      </c>
      <c r="G909" s="1">
        <f>IF(jablka5[[#This Row],[NIP]]=D908,jablka5[[#This Row],[sprzedaż]]+G908,jablka5[[#This Row],[sprzedaż]])</f>
        <v>12913</v>
      </c>
      <c r="H909" s="1">
        <f>IF(jablka5[[#This Row],[dot sprz]]&lt;15000,0,IF(jablka5[[#This Row],[dot sprz]]&lt;20000,5,10))</f>
        <v>0</v>
      </c>
      <c r="I909" s="1">
        <f>jablka5[[#This Row],[rabat]]*jablka5[[#This Row],[sprzedaż]]/100</f>
        <v>0</v>
      </c>
    </row>
    <row r="910" spans="1:9" x14ac:dyDescent="0.25">
      <c r="A910" s="2">
        <v>44921</v>
      </c>
      <c r="B910" s="1" t="s">
        <v>7</v>
      </c>
      <c r="C910" s="1" t="s">
        <v>16</v>
      </c>
      <c r="D910" s="1" t="s">
        <v>40</v>
      </c>
      <c r="E910">
        <v>553</v>
      </c>
      <c r="F910" s="1">
        <f>VLOOKUP(jablka5[[#This Row],[Nazwa]],cennik[],2,0) * jablka5[[#This Row],[sprzedaż]]</f>
        <v>1880.2</v>
      </c>
      <c r="G910" s="1">
        <f>IF(jablka5[[#This Row],[NIP]]=D909,jablka5[[#This Row],[sprzedaż]]+G909,jablka5[[#This Row],[sprzedaż]])</f>
        <v>13466</v>
      </c>
      <c r="H910" s="1">
        <f>IF(jablka5[[#This Row],[dot sprz]]&lt;15000,0,IF(jablka5[[#This Row],[dot sprz]]&lt;20000,5,10))</f>
        <v>0</v>
      </c>
      <c r="I910" s="1">
        <f>jablka5[[#This Row],[rabat]]*jablka5[[#This Row],[sprzedaż]]/100</f>
        <v>0</v>
      </c>
    </row>
    <row r="911" spans="1:9" x14ac:dyDescent="0.25">
      <c r="A911" s="2">
        <v>44922</v>
      </c>
      <c r="B911" s="1" t="s">
        <v>10</v>
      </c>
      <c r="C911" s="1" t="s">
        <v>16</v>
      </c>
      <c r="D911" s="1" t="s">
        <v>40</v>
      </c>
      <c r="E911">
        <v>444</v>
      </c>
      <c r="F911" s="1">
        <f>VLOOKUP(jablka5[[#This Row],[Nazwa]],cennik[],2,0) * jablka5[[#This Row],[sprzedaż]]</f>
        <v>1509.6</v>
      </c>
      <c r="G911" s="1">
        <f>IF(jablka5[[#This Row],[NIP]]=D910,jablka5[[#This Row],[sprzedaż]]+G910,jablka5[[#This Row],[sprzedaż]])</f>
        <v>13910</v>
      </c>
      <c r="H911" s="1">
        <f>IF(jablka5[[#This Row],[dot sprz]]&lt;15000,0,IF(jablka5[[#This Row],[dot sprz]]&lt;20000,5,10))</f>
        <v>0</v>
      </c>
      <c r="I911" s="1">
        <f>jablka5[[#This Row],[rabat]]*jablka5[[#This Row],[sprzedaż]]/100</f>
        <v>0</v>
      </c>
    </row>
    <row r="912" spans="1:9" x14ac:dyDescent="0.25">
      <c r="A912" s="2">
        <v>44922</v>
      </c>
      <c r="B912" s="1" t="s">
        <v>10</v>
      </c>
      <c r="C912" s="1" t="s">
        <v>16</v>
      </c>
      <c r="D912" s="1" t="s">
        <v>40</v>
      </c>
      <c r="E912">
        <v>70</v>
      </c>
      <c r="F912" s="1">
        <f>VLOOKUP(jablka5[[#This Row],[Nazwa]],cennik[],2,0) * jablka5[[#This Row],[sprzedaż]]</f>
        <v>238</v>
      </c>
      <c r="G912" s="1">
        <f>IF(jablka5[[#This Row],[NIP]]=D911,jablka5[[#This Row],[sprzedaż]]+G911,jablka5[[#This Row],[sprzedaż]])</f>
        <v>13980</v>
      </c>
      <c r="H912" s="1">
        <f>IF(jablka5[[#This Row],[dot sprz]]&lt;15000,0,IF(jablka5[[#This Row],[dot sprz]]&lt;20000,5,10))</f>
        <v>0</v>
      </c>
      <c r="I912" s="1">
        <f>jablka5[[#This Row],[rabat]]*jablka5[[#This Row],[sprzedaż]]/100</f>
        <v>0</v>
      </c>
    </row>
    <row r="913" spans="1:9" x14ac:dyDescent="0.25">
      <c r="A913" s="2">
        <v>44923</v>
      </c>
      <c r="B913" s="1" t="s">
        <v>4</v>
      </c>
      <c r="C913" s="1" t="s">
        <v>16</v>
      </c>
      <c r="D913" s="1" t="s">
        <v>40</v>
      </c>
      <c r="E913">
        <v>447</v>
      </c>
      <c r="F913" s="1">
        <f>VLOOKUP(jablka5[[#This Row],[Nazwa]],cennik[],2,0) * jablka5[[#This Row],[sprzedaż]]</f>
        <v>1519.8</v>
      </c>
      <c r="G913" s="1">
        <f>IF(jablka5[[#This Row],[NIP]]=D912,jablka5[[#This Row],[sprzedaż]]+G912,jablka5[[#This Row],[sprzedaż]])</f>
        <v>14427</v>
      </c>
      <c r="H913" s="1">
        <f>IF(jablka5[[#This Row],[dot sprz]]&lt;15000,0,IF(jablka5[[#This Row],[dot sprz]]&lt;20000,5,10))</f>
        <v>0</v>
      </c>
      <c r="I913" s="1">
        <f>jablka5[[#This Row],[rabat]]*jablka5[[#This Row],[sprzedaż]]/100</f>
        <v>0</v>
      </c>
    </row>
    <row r="914" spans="1:9" x14ac:dyDescent="0.25">
      <c r="A914" s="2">
        <v>44564</v>
      </c>
      <c r="B914" s="1" t="s">
        <v>7</v>
      </c>
      <c r="C914" s="1" t="s">
        <v>16</v>
      </c>
      <c r="D914" s="1" t="s">
        <v>27</v>
      </c>
      <c r="E914">
        <v>283</v>
      </c>
      <c r="F914" s="1">
        <f>VLOOKUP(jablka5[[#This Row],[Nazwa]],cennik[],2,0) * jablka5[[#This Row],[sprzedaż]]</f>
        <v>962.19999999999993</v>
      </c>
      <c r="G914" s="1">
        <f>IF(jablka5[[#This Row],[NIP]]=D913,jablka5[[#This Row],[sprzedaż]]+G913,jablka5[[#This Row],[sprzedaż]])</f>
        <v>283</v>
      </c>
      <c r="H914" s="1">
        <f>IF(jablka5[[#This Row],[dot sprz]]&lt;15000,0,IF(jablka5[[#This Row],[dot sprz]]&lt;20000,5,10))</f>
        <v>0</v>
      </c>
      <c r="I914" s="1">
        <f>jablka5[[#This Row],[rabat]]*jablka5[[#This Row],[sprzedaż]]/100</f>
        <v>0</v>
      </c>
    </row>
    <row r="915" spans="1:9" x14ac:dyDescent="0.25">
      <c r="A915" s="2">
        <v>44565</v>
      </c>
      <c r="B915" s="1" t="s">
        <v>5</v>
      </c>
      <c r="C915" s="1" t="s">
        <v>16</v>
      </c>
      <c r="D915" s="1" t="s">
        <v>27</v>
      </c>
      <c r="E915">
        <v>34</v>
      </c>
      <c r="F915" s="1">
        <f>VLOOKUP(jablka5[[#This Row],[Nazwa]],cennik[],2,0) * jablka5[[#This Row],[sprzedaż]]</f>
        <v>115.6</v>
      </c>
      <c r="G915" s="1">
        <f>IF(jablka5[[#This Row],[NIP]]=D914,jablka5[[#This Row],[sprzedaż]]+G914,jablka5[[#This Row],[sprzedaż]])</f>
        <v>317</v>
      </c>
      <c r="H915" s="1">
        <f>IF(jablka5[[#This Row],[dot sprz]]&lt;15000,0,IF(jablka5[[#This Row],[dot sprz]]&lt;20000,5,10))</f>
        <v>0</v>
      </c>
      <c r="I915" s="1">
        <f>jablka5[[#This Row],[rabat]]*jablka5[[#This Row],[sprzedaż]]/100</f>
        <v>0</v>
      </c>
    </row>
    <row r="916" spans="1:9" x14ac:dyDescent="0.25">
      <c r="A916" s="2">
        <v>44568</v>
      </c>
      <c r="B916" s="1" t="s">
        <v>5</v>
      </c>
      <c r="C916" s="1" t="s">
        <v>16</v>
      </c>
      <c r="D916" s="1" t="s">
        <v>27</v>
      </c>
      <c r="E916">
        <v>378</v>
      </c>
      <c r="F916" s="1">
        <f>VLOOKUP(jablka5[[#This Row],[Nazwa]],cennik[],2,0) * jablka5[[#This Row],[sprzedaż]]</f>
        <v>1285.2</v>
      </c>
      <c r="G916" s="1">
        <f>IF(jablka5[[#This Row],[NIP]]=D915,jablka5[[#This Row],[sprzedaż]]+G915,jablka5[[#This Row],[sprzedaż]])</f>
        <v>695</v>
      </c>
      <c r="H916" s="1">
        <f>IF(jablka5[[#This Row],[dot sprz]]&lt;15000,0,IF(jablka5[[#This Row],[dot sprz]]&lt;20000,5,10))</f>
        <v>0</v>
      </c>
      <c r="I916" s="1">
        <f>jablka5[[#This Row],[rabat]]*jablka5[[#This Row],[sprzedaż]]/100</f>
        <v>0</v>
      </c>
    </row>
    <row r="917" spans="1:9" x14ac:dyDescent="0.25">
      <c r="A917" s="2">
        <v>44575</v>
      </c>
      <c r="B917" s="1" t="s">
        <v>0</v>
      </c>
      <c r="C917" s="1" t="s">
        <v>16</v>
      </c>
      <c r="D917" s="1" t="s">
        <v>27</v>
      </c>
      <c r="E917">
        <v>256</v>
      </c>
      <c r="F917" s="1">
        <f>VLOOKUP(jablka5[[#This Row],[Nazwa]],cennik[],2,0) * jablka5[[#This Row],[sprzedaż]]</f>
        <v>742.4</v>
      </c>
      <c r="G917" s="1">
        <f>IF(jablka5[[#This Row],[NIP]]=D916,jablka5[[#This Row],[sprzedaż]]+G916,jablka5[[#This Row],[sprzedaż]])</f>
        <v>951</v>
      </c>
      <c r="H917" s="1">
        <f>IF(jablka5[[#This Row],[dot sprz]]&lt;15000,0,IF(jablka5[[#This Row],[dot sprz]]&lt;20000,5,10))</f>
        <v>0</v>
      </c>
      <c r="I917" s="1">
        <f>jablka5[[#This Row],[rabat]]*jablka5[[#This Row],[sprzedaż]]/100</f>
        <v>0</v>
      </c>
    </row>
    <row r="918" spans="1:9" x14ac:dyDescent="0.25">
      <c r="A918" s="2">
        <v>44594</v>
      </c>
      <c r="B918" s="1" t="s">
        <v>5</v>
      </c>
      <c r="C918" s="1" t="s">
        <v>16</v>
      </c>
      <c r="D918" s="1" t="s">
        <v>27</v>
      </c>
      <c r="E918">
        <v>483</v>
      </c>
      <c r="F918" s="1">
        <f>VLOOKUP(jablka5[[#This Row],[Nazwa]],cennik[],2,0) * jablka5[[#This Row],[sprzedaż]]</f>
        <v>1642.2</v>
      </c>
      <c r="G918" s="1">
        <f>IF(jablka5[[#This Row],[NIP]]=D917,jablka5[[#This Row],[sprzedaż]]+G917,jablka5[[#This Row],[sprzedaż]])</f>
        <v>1434</v>
      </c>
      <c r="H918" s="1">
        <f>IF(jablka5[[#This Row],[dot sprz]]&lt;15000,0,IF(jablka5[[#This Row],[dot sprz]]&lt;20000,5,10))</f>
        <v>0</v>
      </c>
      <c r="I918" s="1">
        <f>jablka5[[#This Row],[rabat]]*jablka5[[#This Row],[sprzedaż]]/100</f>
        <v>0</v>
      </c>
    </row>
    <row r="919" spans="1:9" x14ac:dyDescent="0.25">
      <c r="A919" s="2">
        <v>44597</v>
      </c>
      <c r="B919" s="1" t="s">
        <v>5</v>
      </c>
      <c r="C919" s="1" t="s">
        <v>16</v>
      </c>
      <c r="D919" s="1" t="s">
        <v>27</v>
      </c>
      <c r="E919">
        <v>84</v>
      </c>
      <c r="F919" s="1">
        <f>VLOOKUP(jablka5[[#This Row],[Nazwa]],cennik[],2,0) * jablka5[[#This Row],[sprzedaż]]</f>
        <v>285.59999999999997</v>
      </c>
      <c r="G919" s="1">
        <f>IF(jablka5[[#This Row],[NIP]]=D918,jablka5[[#This Row],[sprzedaż]]+G918,jablka5[[#This Row],[sprzedaż]])</f>
        <v>1518</v>
      </c>
      <c r="H919" s="1">
        <f>IF(jablka5[[#This Row],[dot sprz]]&lt;15000,0,IF(jablka5[[#This Row],[dot sprz]]&lt;20000,5,10))</f>
        <v>0</v>
      </c>
      <c r="I919" s="1">
        <f>jablka5[[#This Row],[rabat]]*jablka5[[#This Row],[sprzedaż]]/100</f>
        <v>0</v>
      </c>
    </row>
    <row r="920" spans="1:9" x14ac:dyDescent="0.25">
      <c r="A920" s="2">
        <v>44607</v>
      </c>
      <c r="B920" s="1" t="s">
        <v>15</v>
      </c>
      <c r="C920" s="1" t="s">
        <v>16</v>
      </c>
      <c r="D920" s="1" t="s">
        <v>27</v>
      </c>
      <c r="E920">
        <v>574</v>
      </c>
      <c r="F920" s="1">
        <f>VLOOKUP(jablka5[[#This Row],[Nazwa]],cennik[],2,0) * jablka5[[#This Row],[sprzedaż]]</f>
        <v>1377.6</v>
      </c>
      <c r="G920" s="1">
        <f>IF(jablka5[[#This Row],[NIP]]=D919,jablka5[[#This Row],[sprzedaż]]+G919,jablka5[[#This Row],[sprzedaż]])</f>
        <v>2092</v>
      </c>
      <c r="H920" s="1">
        <f>IF(jablka5[[#This Row],[dot sprz]]&lt;15000,0,IF(jablka5[[#This Row],[dot sprz]]&lt;20000,5,10))</f>
        <v>0</v>
      </c>
      <c r="I920" s="1">
        <f>jablka5[[#This Row],[rabat]]*jablka5[[#This Row],[sprzedaż]]/100</f>
        <v>0</v>
      </c>
    </row>
    <row r="921" spans="1:9" x14ac:dyDescent="0.25">
      <c r="A921" s="2">
        <v>44608</v>
      </c>
      <c r="B921" s="1" t="s">
        <v>4</v>
      </c>
      <c r="C921" s="1" t="s">
        <v>16</v>
      </c>
      <c r="D921" s="1" t="s">
        <v>27</v>
      </c>
      <c r="E921">
        <v>463</v>
      </c>
      <c r="F921" s="1">
        <f>VLOOKUP(jablka5[[#This Row],[Nazwa]],cennik[],2,0) * jablka5[[#This Row],[sprzedaż]]</f>
        <v>1574.2</v>
      </c>
      <c r="G921" s="1">
        <f>IF(jablka5[[#This Row],[NIP]]=D920,jablka5[[#This Row],[sprzedaż]]+G920,jablka5[[#This Row],[sprzedaż]])</f>
        <v>2555</v>
      </c>
      <c r="H921" s="1">
        <f>IF(jablka5[[#This Row],[dot sprz]]&lt;15000,0,IF(jablka5[[#This Row],[dot sprz]]&lt;20000,5,10))</f>
        <v>0</v>
      </c>
      <c r="I921" s="1">
        <f>jablka5[[#This Row],[rabat]]*jablka5[[#This Row],[sprzedaż]]/100</f>
        <v>0</v>
      </c>
    </row>
    <row r="922" spans="1:9" x14ac:dyDescent="0.25">
      <c r="A922" s="2">
        <v>44625</v>
      </c>
      <c r="B922" s="1" t="s">
        <v>10</v>
      </c>
      <c r="C922" s="1" t="s">
        <v>16</v>
      </c>
      <c r="D922" s="1" t="s">
        <v>27</v>
      </c>
      <c r="E922">
        <v>269</v>
      </c>
      <c r="F922" s="1">
        <f>VLOOKUP(jablka5[[#This Row],[Nazwa]],cennik[],2,0) * jablka5[[#This Row],[sprzedaż]]</f>
        <v>914.6</v>
      </c>
      <c r="G922" s="1">
        <f>IF(jablka5[[#This Row],[NIP]]=D921,jablka5[[#This Row],[sprzedaż]]+G921,jablka5[[#This Row],[sprzedaż]])</f>
        <v>2824</v>
      </c>
      <c r="H922" s="1">
        <f>IF(jablka5[[#This Row],[dot sprz]]&lt;15000,0,IF(jablka5[[#This Row],[dot sprz]]&lt;20000,5,10))</f>
        <v>0</v>
      </c>
      <c r="I922" s="1">
        <f>jablka5[[#This Row],[rabat]]*jablka5[[#This Row],[sprzedaż]]/100</f>
        <v>0</v>
      </c>
    </row>
    <row r="923" spans="1:9" x14ac:dyDescent="0.25">
      <c r="A923" s="2">
        <v>44631</v>
      </c>
      <c r="B923" s="1" t="s">
        <v>5</v>
      </c>
      <c r="C923" s="1" t="s">
        <v>16</v>
      </c>
      <c r="D923" s="1" t="s">
        <v>27</v>
      </c>
      <c r="E923">
        <v>81</v>
      </c>
      <c r="F923" s="1">
        <f>VLOOKUP(jablka5[[#This Row],[Nazwa]],cennik[],2,0) * jablka5[[#This Row],[sprzedaż]]</f>
        <v>275.39999999999998</v>
      </c>
      <c r="G923" s="1">
        <f>IF(jablka5[[#This Row],[NIP]]=D922,jablka5[[#This Row],[sprzedaż]]+G922,jablka5[[#This Row],[sprzedaż]])</f>
        <v>2905</v>
      </c>
      <c r="H923" s="1">
        <f>IF(jablka5[[#This Row],[dot sprz]]&lt;15000,0,IF(jablka5[[#This Row],[dot sprz]]&lt;20000,5,10))</f>
        <v>0</v>
      </c>
      <c r="I923" s="1">
        <f>jablka5[[#This Row],[rabat]]*jablka5[[#This Row],[sprzedaż]]/100</f>
        <v>0</v>
      </c>
    </row>
    <row r="924" spans="1:9" x14ac:dyDescent="0.25">
      <c r="A924" s="2">
        <v>44656</v>
      </c>
      <c r="B924" s="1" t="s">
        <v>4</v>
      </c>
      <c r="C924" s="1" t="s">
        <v>16</v>
      </c>
      <c r="D924" s="1" t="s">
        <v>27</v>
      </c>
      <c r="E924">
        <v>342</v>
      </c>
      <c r="F924" s="1">
        <f>VLOOKUP(jablka5[[#This Row],[Nazwa]],cennik[],2,0) * jablka5[[#This Row],[sprzedaż]]</f>
        <v>1162.8</v>
      </c>
      <c r="G924" s="1">
        <f>IF(jablka5[[#This Row],[NIP]]=D923,jablka5[[#This Row],[sprzedaż]]+G923,jablka5[[#This Row],[sprzedaż]])</f>
        <v>3247</v>
      </c>
      <c r="H924" s="1">
        <f>IF(jablka5[[#This Row],[dot sprz]]&lt;15000,0,IF(jablka5[[#This Row],[dot sprz]]&lt;20000,5,10))</f>
        <v>0</v>
      </c>
      <c r="I924" s="1">
        <f>jablka5[[#This Row],[rabat]]*jablka5[[#This Row],[sprzedaż]]/100</f>
        <v>0</v>
      </c>
    </row>
    <row r="925" spans="1:9" x14ac:dyDescent="0.25">
      <c r="A925" s="2">
        <v>44658</v>
      </c>
      <c r="B925" s="1" t="s">
        <v>0</v>
      </c>
      <c r="C925" s="1" t="s">
        <v>16</v>
      </c>
      <c r="D925" s="1" t="s">
        <v>27</v>
      </c>
      <c r="E925">
        <v>238</v>
      </c>
      <c r="F925" s="1">
        <f>VLOOKUP(jablka5[[#This Row],[Nazwa]],cennik[],2,0) * jablka5[[#This Row],[sprzedaż]]</f>
        <v>690.19999999999993</v>
      </c>
      <c r="G925" s="1">
        <f>IF(jablka5[[#This Row],[NIP]]=D924,jablka5[[#This Row],[sprzedaż]]+G924,jablka5[[#This Row],[sprzedaż]])</f>
        <v>3485</v>
      </c>
      <c r="H925" s="1">
        <f>IF(jablka5[[#This Row],[dot sprz]]&lt;15000,0,IF(jablka5[[#This Row],[dot sprz]]&lt;20000,5,10))</f>
        <v>0</v>
      </c>
      <c r="I925" s="1">
        <f>jablka5[[#This Row],[rabat]]*jablka5[[#This Row],[sprzedaż]]/100</f>
        <v>0</v>
      </c>
    </row>
    <row r="926" spans="1:9" x14ac:dyDescent="0.25">
      <c r="A926" s="2">
        <v>44659</v>
      </c>
      <c r="B926" s="1" t="s">
        <v>0</v>
      </c>
      <c r="C926" s="1" t="s">
        <v>16</v>
      </c>
      <c r="D926" s="1" t="s">
        <v>27</v>
      </c>
      <c r="E926">
        <v>107</v>
      </c>
      <c r="F926" s="1">
        <f>VLOOKUP(jablka5[[#This Row],[Nazwa]],cennik[],2,0) * jablka5[[#This Row],[sprzedaż]]</f>
        <v>310.3</v>
      </c>
      <c r="G926" s="1">
        <f>IF(jablka5[[#This Row],[NIP]]=D925,jablka5[[#This Row],[sprzedaż]]+G925,jablka5[[#This Row],[sprzedaż]])</f>
        <v>3592</v>
      </c>
      <c r="H926" s="1">
        <f>IF(jablka5[[#This Row],[dot sprz]]&lt;15000,0,IF(jablka5[[#This Row],[dot sprz]]&lt;20000,5,10))</f>
        <v>0</v>
      </c>
      <c r="I926" s="1">
        <f>jablka5[[#This Row],[rabat]]*jablka5[[#This Row],[sprzedaż]]/100</f>
        <v>0</v>
      </c>
    </row>
    <row r="927" spans="1:9" x14ac:dyDescent="0.25">
      <c r="A927" s="2">
        <v>44660</v>
      </c>
      <c r="B927" s="1" t="s">
        <v>2</v>
      </c>
      <c r="C927" s="1" t="s">
        <v>16</v>
      </c>
      <c r="D927" s="1" t="s">
        <v>27</v>
      </c>
      <c r="E927">
        <v>344</v>
      </c>
      <c r="F927" s="1">
        <f>VLOOKUP(jablka5[[#This Row],[Nazwa]],cennik[],2,0) * jablka5[[#This Row],[sprzedaż]]</f>
        <v>1100.8</v>
      </c>
      <c r="G927" s="1">
        <f>IF(jablka5[[#This Row],[NIP]]=D926,jablka5[[#This Row],[sprzedaż]]+G926,jablka5[[#This Row],[sprzedaż]])</f>
        <v>3936</v>
      </c>
      <c r="H927" s="1">
        <f>IF(jablka5[[#This Row],[dot sprz]]&lt;15000,0,IF(jablka5[[#This Row],[dot sprz]]&lt;20000,5,10))</f>
        <v>0</v>
      </c>
      <c r="I927" s="1">
        <f>jablka5[[#This Row],[rabat]]*jablka5[[#This Row],[sprzedaż]]/100</f>
        <v>0</v>
      </c>
    </row>
    <row r="928" spans="1:9" x14ac:dyDescent="0.25">
      <c r="A928" s="2">
        <v>44660</v>
      </c>
      <c r="B928" s="1" t="s">
        <v>2</v>
      </c>
      <c r="C928" s="1" t="s">
        <v>16</v>
      </c>
      <c r="D928" s="1" t="s">
        <v>27</v>
      </c>
      <c r="E928">
        <v>294</v>
      </c>
      <c r="F928" s="1">
        <f>VLOOKUP(jablka5[[#This Row],[Nazwa]],cennik[],2,0) * jablka5[[#This Row],[sprzedaż]]</f>
        <v>940.80000000000007</v>
      </c>
      <c r="G928" s="1">
        <f>IF(jablka5[[#This Row],[NIP]]=D927,jablka5[[#This Row],[sprzedaż]]+G927,jablka5[[#This Row],[sprzedaż]])</f>
        <v>4230</v>
      </c>
      <c r="H928" s="1">
        <f>IF(jablka5[[#This Row],[dot sprz]]&lt;15000,0,IF(jablka5[[#This Row],[dot sprz]]&lt;20000,5,10))</f>
        <v>0</v>
      </c>
      <c r="I928" s="1">
        <f>jablka5[[#This Row],[rabat]]*jablka5[[#This Row],[sprzedaż]]/100</f>
        <v>0</v>
      </c>
    </row>
    <row r="929" spans="1:9" x14ac:dyDescent="0.25">
      <c r="A929" s="2">
        <v>44676</v>
      </c>
      <c r="B929" s="1" t="s">
        <v>4</v>
      </c>
      <c r="C929" s="1" t="s">
        <v>16</v>
      </c>
      <c r="D929" s="1" t="s">
        <v>27</v>
      </c>
      <c r="E929">
        <v>623</v>
      </c>
      <c r="F929" s="1">
        <f>VLOOKUP(jablka5[[#This Row],[Nazwa]],cennik[],2,0) * jablka5[[#This Row],[sprzedaż]]</f>
        <v>2118.1999999999998</v>
      </c>
      <c r="G929" s="1">
        <f>IF(jablka5[[#This Row],[NIP]]=D928,jablka5[[#This Row],[sprzedaż]]+G928,jablka5[[#This Row],[sprzedaż]])</f>
        <v>4853</v>
      </c>
      <c r="H929" s="1">
        <f>IF(jablka5[[#This Row],[dot sprz]]&lt;15000,0,IF(jablka5[[#This Row],[dot sprz]]&lt;20000,5,10))</f>
        <v>0</v>
      </c>
      <c r="I929" s="1">
        <f>jablka5[[#This Row],[rabat]]*jablka5[[#This Row],[sprzedaż]]/100</f>
        <v>0</v>
      </c>
    </row>
    <row r="930" spans="1:9" x14ac:dyDescent="0.25">
      <c r="A930" s="2">
        <v>44683</v>
      </c>
      <c r="B930" s="1" t="s">
        <v>8</v>
      </c>
      <c r="C930" s="1" t="s">
        <v>16</v>
      </c>
      <c r="D930" s="1" t="s">
        <v>27</v>
      </c>
      <c r="E930">
        <v>535</v>
      </c>
      <c r="F930" s="1">
        <f>VLOOKUP(jablka5[[#This Row],[Nazwa]],cennik[],2,0) * jablka5[[#This Row],[sprzedaż]]</f>
        <v>1872.5</v>
      </c>
      <c r="G930" s="1">
        <f>IF(jablka5[[#This Row],[NIP]]=D929,jablka5[[#This Row],[sprzedaż]]+G929,jablka5[[#This Row],[sprzedaż]])</f>
        <v>5388</v>
      </c>
      <c r="H930" s="1">
        <f>IF(jablka5[[#This Row],[dot sprz]]&lt;15000,0,IF(jablka5[[#This Row],[dot sprz]]&lt;20000,5,10))</f>
        <v>0</v>
      </c>
      <c r="I930" s="1">
        <f>jablka5[[#This Row],[rabat]]*jablka5[[#This Row],[sprzedaż]]/100</f>
        <v>0</v>
      </c>
    </row>
    <row r="931" spans="1:9" x14ac:dyDescent="0.25">
      <c r="A931" s="2">
        <v>44684</v>
      </c>
      <c r="B931" s="1" t="s">
        <v>4</v>
      </c>
      <c r="C931" s="1" t="s">
        <v>16</v>
      </c>
      <c r="D931" s="1" t="s">
        <v>27</v>
      </c>
      <c r="E931">
        <v>457</v>
      </c>
      <c r="F931" s="1">
        <f>VLOOKUP(jablka5[[#This Row],[Nazwa]],cennik[],2,0) * jablka5[[#This Row],[sprzedaż]]</f>
        <v>1553.8</v>
      </c>
      <c r="G931" s="1">
        <f>IF(jablka5[[#This Row],[NIP]]=D930,jablka5[[#This Row],[sprzedaż]]+G930,jablka5[[#This Row],[sprzedaż]])</f>
        <v>5845</v>
      </c>
      <c r="H931" s="1">
        <f>IF(jablka5[[#This Row],[dot sprz]]&lt;15000,0,IF(jablka5[[#This Row],[dot sprz]]&lt;20000,5,10))</f>
        <v>0</v>
      </c>
      <c r="I931" s="1">
        <f>jablka5[[#This Row],[rabat]]*jablka5[[#This Row],[sprzedaż]]/100</f>
        <v>0</v>
      </c>
    </row>
    <row r="932" spans="1:9" x14ac:dyDescent="0.25">
      <c r="A932" s="2">
        <v>44685</v>
      </c>
      <c r="B932" s="1" t="s">
        <v>4</v>
      </c>
      <c r="C932" s="1" t="s">
        <v>16</v>
      </c>
      <c r="D932" s="1" t="s">
        <v>27</v>
      </c>
      <c r="E932">
        <v>745</v>
      </c>
      <c r="F932" s="1">
        <f>VLOOKUP(jablka5[[#This Row],[Nazwa]],cennik[],2,0) * jablka5[[#This Row],[sprzedaż]]</f>
        <v>2533</v>
      </c>
      <c r="G932" s="1">
        <f>IF(jablka5[[#This Row],[NIP]]=D931,jablka5[[#This Row],[sprzedaż]]+G931,jablka5[[#This Row],[sprzedaż]])</f>
        <v>6590</v>
      </c>
      <c r="H932" s="1">
        <f>IF(jablka5[[#This Row],[dot sprz]]&lt;15000,0,IF(jablka5[[#This Row],[dot sprz]]&lt;20000,5,10))</f>
        <v>0</v>
      </c>
      <c r="I932" s="1">
        <f>jablka5[[#This Row],[rabat]]*jablka5[[#This Row],[sprzedaż]]/100</f>
        <v>0</v>
      </c>
    </row>
    <row r="933" spans="1:9" x14ac:dyDescent="0.25">
      <c r="A933" s="2">
        <v>44695</v>
      </c>
      <c r="B933" s="1" t="s">
        <v>7</v>
      </c>
      <c r="C933" s="1" t="s">
        <v>16</v>
      </c>
      <c r="D933" s="1" t="s">
        <v>27</v>
      </c>
      <c r="E933">
        <v>550</v>
      </c>
      <c r="F933" s="1">
        <f>VLOOKUP(jablka5[[#This Row],[Nazwa]],cennik[],2,0) * jablka5[[#This Row],[sprzedaż]]</f>
        <v>1870</v>
      </c>
      <c r="G933" s="1">
        <f>IF(jablka5[[#This Row],[NIP]]=D932,jablka5[[#This Row],[sprzedaż]]+G932,jablka5[[#This Row],[sprzedaż]])</f>
        <v>7140</v>
      </c>
      <c r="H933" s="1">
        <f>IF(jablka5[[#This Row],[dot sprz]]&lt;15000,0,IF(jablka5[[#This Row],[dot sprz]]&lt;20000,5,10))</f>
        <v>0</v>
      </c>
      <c r="I933" s="1">
        <f>jablka5[[#This Row],[rabat]]*jablka5[[#This Row],[sprzedaż]]/100</f>
        <v>0</v>
      </c>
    </row>
    <row r="934" spans="1:9" x14ac:dyDescent="0.25">
      <c r="A934" s="2">
        <v>44709</v>
      </c>
      <c r="B934" s="1" t="s">
        <v>8</v>
      </c>
      <c r="C934" s="1" t="s">
        <v>16</v>
      </c>
      <c r="D934" s="1" t="s">
        <v>27</v>
      </c>
      <c r="E934">
        <v>319</v>
      </c>
      <c r="F934" s="1">
        <f>VLOOKUP(jablka5[[#This Row],[Nazwa]],cennik[],2,0) * jablka5[[#This Row],[sprzedaż]]</f>
        <v>1116.5</v>
      </c>
      <c r="G934" s="1">
        <f>IF(jablka5[[#This Row],[NIP]]=D933,jablka5[[#This Row],[sprzedaż]]+G933,jablka5[[#This Row],[sprzedaż]])</f>
        <v>7459</v>
      </c>
      <c r="H934" s="1">
        <f>IF(jablka5[[#This Row],[dot sprz]]&lt;15000,0,IF(jablka5[[#This Row],[dot sprz]]&lt;20000,5,10))</f>
        <v>0</v>
      </c>
      <c r="I934" s="1">
        <f>jablka5[[#This Row],[rabat]]*jablka5[[#This Row],[sprzedaż]]/100</f>
        <v>0</v>
      </c>
    </row>
    <row r="935" spans="1:9" x14ac:dyDescent="0.25">
      <c r="A935" s="2">
        <v>44718</v>
      </c>
      <c r="B935" s="1" t="s">
        <v>12</v>
      </c>
      <c r="C935" s="1" t="s">
        <v>68</v>
      </c>
      <c r="D935" s="1" t="s">
        <v>27</v>
      </c>
      <c r="E935">
        <v>50</v>
      </c>
      <c r="F935" s="1">
        <f>VLOOKUP(jablka5[[#This Row],[Nazwa]],cennik[],2,0) * jablka5[[#This Row],[sprzedaż]]</f>
        <v>135</v>
      </c>
      <c r="G935" s="1">
        <f>IF(jablka5[[#This Row],[NIP]]=D934,jablka5[[#This Row],[sprzedaż]]+G934,jablka5[[#This Row],[sprzedaż]])</f>
        <v>7509</v>
      </c>
      <c r="H935" s="1">
        <f>IF(jablka5[[#This Row],[dot sprz]]&lt;15000,0,IF(jablka5[[#This Row],[dot sprz]]&lt;20000,5,10))</f>
        <v>0</v>
      </c>
      <c r="I935" s="1">
        <f>jablka5[[#This Row],[rabat]]*jablka5[[#This Row],[sprzedaż]]/100</f>
        <v>0</v>
      </c>
    </row>
    <row r="936" spans="1:9" x14ac:dyDescent="0.25">
      <c r="A936" s="2">
        <v>44736</v>
      </c>
      <c r="B936" s="1" t="s">
        <v>13</v>
      </c>
      <c r="C936" s="1" t="s">
        <v>68</v>
      </c>
      <c r="D936" s="1" t="s">
        <v>27</v>
      </c>
      <c r="E936">
        <v>53</v>
      </c>
      <c r="F936" s="1">
        <f>VLOOKUP(jablka5[[#This Row],[Nazwa]],cennik[],2,0) * jablka5[[#This Row],[sprzedaż]]</f>
        <v>169.60000000000002</v>
      </c>
      <c r="G936" s="1">
        <f>IF(jablka5[[#This Row],[NIP]]=D935,jablka5[[#This Row],[sprzedaż]]+G935,jablka5[[#This Row],[sprzedaż]])</f>
        <v>7562</v>
      </c>
      <c r="H936" s="1">
        <f>IF(jablka5[[#This Row],[dot sprz]]&lt;15000,0,IF(jablka5[[#This Row],[dot sprz]]&lt;20000,5,10))</f>
        <v>0</v>
      </c>
      <c r="I936" s="1">
        <f>jablka5[[#This Row],[rabat]]*jablka5[[#This Row],[sprzedaż]]/100</f>
        <v>0</v>
      </c>
    </row>
    <row r="937" spans="1:9" x14ac:dyDescent="0.25">
      <c r="A937" s="2">
        <v>44740</v>
      </c>
      <c r="B937" s="1" t="s">
        <v>12</v>
      </c>
      <c r="C937" s="1" t="s">
        <v>68</v>
      </c>
      <c r="D937" s="1" t="s">
        <v>27</v>
      </c>
      <c r="E937">
        <v>29</v>
      </c>
      <c r="F937" s="1">
        <f>VLOOKUP(jablka5[[#This Row],[Nazwa]],cennik[],2,0) * jablka5[[#This Row],[sprzedaż]]</f>
        <v>78.300000000000011</v>
      </c>
      <c r="G937" s="1">
        <f>IF(jablka5[[#This Row],[NIP]]=D936,jablka5[[#This Row],[sprzedaż]]+G936,jablka5[[#This Row],[sprzedaż]])</f>
        <v>7591</v>
      </c>
      <c r="H937" s="1">
        <f>IF(jablka5[[#This Row],[dot sprz]]&lt;15000,0,IF(jablka5[[#This Row],[dot sprz]]&lt;20000,5,10))</f>
        <v>0</v>
      </c>
      <c r="I937" s="1">
        <f>jablka5[[#This Row],[rabat]]*jablka5[[#This Row],[sprzedaż]]/100</f>
        <v>0</v>
      </c>
    </row>
    <row r="938" spans="1:9" x14ac:dyDescent="0.25">
      <c r="A938" s="2">
        <v>44760</v>
      </c>
      <c r="B938" s="1" t="s">
        <v>13</v>
      </c>
      <c r="C938" s="1" t="s">
        <v>68</v>
      </c>
      <c r="D938" s="1" t="s">
        <v>27</v>
      </c>
      <c r="E938">
        <v>120</v>
      </c>
      <c r="F938" s="1">
        <f>VLOOKUP(jablka5[[#This Row],[Nazwa]],cennik[],2,0) * jablka5[[#This Row],[sprzedaż]]</f>
        <v>384</v>
      </c>
      <c r="G938" s="1">
        <f>IF(jablka5[[#This Row],[NIP]]=D937,jablka5[[#This Row],[sprzedaż]]+G937,jablka5[[#This Row],[sprzedaż]])</f>
        <v>7711</v>
      </c>
      <c r="H938" s="1">
        <f>IF(jablka5[[#This Row],[dot sprz]]&lt;15000,0,IF(jablka5[[#This Row],[dot sprz]]&lt;20000,5,10))</f>
        <v>0</v>
      </c>
      <c r="I938" s="1">
        <f>jablka5[[#This Row],[rabat]]*jablka5[[#This Row],[sprzedaż]]/100</f>
        <v>0</v>
      </c>
    </row>
    <row r="939" spans="1:9" x14ac:dyDescent="0.25">
      <c r="A939" s="2">
        <v>44763</v>
      </c>
      <c r="B939" s="1" t="s">
        <v>14</v>
      </c>
      <c r="C939" s="1" t="s">
        <v>67</v>
      </c>
      <c r="D939" s="1" t="s">
        <v>27</v>
      </c>
      <c r="E939">
        <v>73</v>
      </c>
      <c r="F939" s="1">
        <f>VLOOKUP(jablka5[[#This Row],[Nazwa]],cennik[],2,0) * jablka5[[#This Row],[sprzedaż]]</f>
        <v>255.5</v>
      </c>
      <c r="G939" s="1">
        <f>IF(jablka5[[#This Row],[NIP]]=D938,jablka5[[#This Row],[sprzedaż]]+G938,jablka5[[#This Row],[sprzedaż]])</f>
        <v>7784</v>
      </c>
      <c r="H939" s="1">
        <f>IF(jablka5[[#This Row],[dot sprz]]&lt;15000,0,IF(jablka5[[#This Row],[dot sprz]]&lt;20000,5,10))</f>
        <v>0</v>
      </c>
      <c r="I939" s="1">
        <f>jablka5[[#This Row],[rabat]]*jablka5[[#This Row],[sprzedaż]]/100</f>
        <v>0</v>
      </c>
    </row>
    <row r="940" spans="1:9" x14ac:dyDescent="0.25">
      <c r="A940" s="2">
        <v>44771</v>
      </c>
      <c r="B940" s="1" t="s">
        <v>12</v>
      </c>
      <c r="C940" s="1" t="s">
        <v>68</v>
      </c>
      <c r="D940" s="1" t="s">
        <v>27</v>
      </c>
      <c r="E940">
        <v>82</v>
      </c>
      <c r="F940" s="1">
        <f>VLOOKUP(jablka5[[#This Row],[Nazwa]],cennik[],2,0) * jablka5[[#This Row],[sprzedaż]]</f>
        <v>221.4</v>
      </c>
      <c r="G940" s="1">
        <f>IF(jablka5[[#This Row],[NIP]]=D939,jablka5[[#This Row],[sprzedaż]]+G939,jablka5[[#This Row],[sprzedaż]])</f>
        <v>7866</v>
      </c>
      <c r="H940" s="1">
        <f>IF(jablka5[[#This Row],[dot sprz]]&lt;15000,0,IF(jablka5[[#This Row],[dot sprz]]&lt;20000,5,10))</f>
        <v>0</v>
      </c>
      <c r="I940" s="1">
        <f>jablka5[[#This Row],[rabat]]*jablka5[[#This Row],[sprzedaż]]/100</f>
        <v>0</v>
      </c>
    </row>
    <row r="941" spans="1:9" x14ac:dyDescent="0.25">
      <c r="A941" s="2">
        <v>44772</v>
      </c>
      <c r="B941" s="1" t="s">
        <v>12</v>
      </c>
      <c r="C941" s="1" t="s">
        <v>68</v>
      </c>
      <c r="D941" s="1" t="s">
        <v>27</v>
      </c>
      <c r="E941">
        <v>346</v>
      </c>
      <c r="F941" s="1">
        <f>VLOOKUP(jablka5[[#This Row],[Nazwa]],cennik[],2,0) * jablka5[[#This Row],[sprzedaż]]</f>
        <v>934.2</v>
      </c>
      <c r="G941" s="1">
        <f>IF(jablka5[[#This Row],[NIP]]=D940,jablka5[[#This Row],[sprzedaż]]+G940,jablka5[[#This Row],[sprzedaż]])</f>
        <v>8212</v>
      </c>
      <c r="H941" s="1">
        <f>IF(jablka5[[#This Row],[dot sprz]]&lt;15000,0,IF(jablka5[[#This Row],[dot sprz]]&lt;20000,5,10))</f>
        <v>0</v>
      </c>
      <c r="I941" s="1">
        <f>jablka5[[#This Row],[rabat]]*jablka5[[#This Row],[sprzedaż]]/100</f>
        <v>0</v>
      </c>
    </row>
    <row r="942" spans="1:9" x14ac:dyDescent="0.25">
      <c r="A942" s="2">
        <v>44774</v>
      </c>
      <c r="B942" s="1" t="s">
        <v>13</v>
      </c>
      <c r="C942" s="1" t="s">
        <v>68</v>
      </c>
      <c r="D942" s="1" t="s">
        <v>27</v>
      </c>
      <c r="E942">
        <v>108</v>
      </c>
      <c r="F942" s="1">
        <f>VLOOKUP(jablka5[[#This Row],[Nazwa]],cennik[],2,0) * jablka5[[#This Row],[sprzedaż]]</f>
        <v>345.6</v>
      </c>
      <c r="G942" s="1">
        <f>IF(jablka5[[#This Row],[NIP]]=D941,jablka5[[#This Row],[sprzedaż]]+G941,jablka5[[#This Row],[sprzedaż]])</f>
        <v>8320</v>
      </c>
      <c r="H942" s="1">
        <f>IF(jablka5[[#This Row],[dot sprz]]&lt;15000,0,IF(jablka5[[#This Row],[dot sprz]]&lt;20000,5,10))</f>
        <v>0</v>
      </c>
      <c r="I942" s="1">
        <f>jablka5[[#This Row],[rabat]]*jablka5[[#This Row],[sprzedaż]]/100</f>
        <v>0</v>
      </c>
    </row>
    <row r="943" spans="1:9" x14ac:dyDescent="0.25">
      <c r="A943" s="2">
        <v>44781</v>
      </c>
      <c r="B943" s="1" t="s">
        <v>14</v>
      </c>
      <c r="C943" s="1" t="s">
        <v>67</v>
      </c>
      <c r="D943" s="1" t="s">
        <v>27</v>
      </c>
      <c r="E943">
        <v>327</v>
      </c>
      <c r="F943" s="1">
        <f>VLOOKUP(jablka5[[#This Row],[Nazwa]],cennik[],2,0) * jablka5[[#This Row],[sprzedaż]]</f>
        <v>1144.5</v>
      </c>
      <c r="G943" s="1">
        <f>IF(jablka5[[#This Row],[NIP]]=D942,jablka5[[#This Row],[sprzedaż]]+G942,jablka5[[#This Row],[sprzedaż]])</f>
        <v>8647</v>
      </c>
      <c r="H943" s="1">
        <f>IF(jablka5[[#This Row],[dot sprz]]&lt;15000,0,IF(jablka5[[#This Row],[dot sprz]]&lt;20000,5,10))</f>
        <v>0</v>
      </c>
      <c r="I943" s="1">
        <f>jablka5[[#This Row],[rabat]]*jablka5[[#This Row],[sprzedaż]]/100</f>
        <v>0</v>
      </c>
    </row>
    <row r="944" spans="1:9" x14ac:dyDescent="0.25">
      <c r="A944" s="2">
        <v>44799</v>
      </c>
      <c r="B944" s="1" t="s">
        <v>14</v>
      </c>
      <c r="C944" s="1" t="s">
        <v>67</v>
      </c>
      <c r="D944" s="1" t="s">
        <v>27</v>
      </c>
      <c r="E944">
        <v>392</v>
      </c>
      <c r="F944" s="1">
        <f>VLOOKUP(jablka5[[#This Row],[Nazwa]],cennik[],2,0) * jablka5[[#This Row],[sprzedaż]]</f>
        <v>1372</v>
      </c>
      <c r="G944" s="1">
        <f>IF(jablka5[[#This Row],[NIP]]=D943,jablka5[[#This Row],[sprzedaż]]+G943,jablka5[[#This Row],[sprzedaż]])</f>
        <v>9039</v>
      </c>
      <c r="H944" s="1">
        <f>IF(jablka5[[#This Row],[dot sprz]]&lt;15000,0,IF(jablka5[[#This Row],[dot sprz]]&lt;20000,5,10))</f>
        <v>0</v>
      </c>
      <c r="I944" s="1">
        <f>jablka5[[#This Row],[rabat]]*jablka5[[#This Row],[sprzedaż]]/100</f>
        <v>0</v>
      </c>
    </row>
    <row r="945" spans="1:9" x14ac:dyDescent="0.25">
      <c r="A945" s="2">
        <v>44802</v>
      </c>
      <c r="B945" s="1" t="s">
        <v>14</v>
      </c>
      <c r="C945" s="1" t="s">
        <v>67</v>
      </c>
      <c r="D945" s="1" t="s">
        <v>27</v>
      </c>
      <c r="E945">
        <v>302</v>
      </c>
      <c r="F945" s="1">
        <f>VLOOKUP(jablka5[[#This Row],[Nazwa]],cennik[],2,0) * jablka5[[#This Row],[sprzedaż]]</f>
        <v>1057</v>
      </c>
      <c r="G945" s="1">
        <f>IF(jablka5[[#This Row],[NIP]]=D944,jablka5[[#This Row],[sprzedaż]]+G944,jablka5[[#This Row],[sprzedaż]])</f>
        <v>9341</v>
      </c>
      <c r="H945" s="1">
        <f>IF(jablka5[[#This Row],[dot sprz]]&lt;15000,0,IF(jablka5[[#This Row],[dot sprz]]&lt;20000,5,10))</f>
        <v>0</v>
      </c>
      <c r="I945" s="1">
        <f>jablka5[[#This Row],[rabat]]*jablka5[[#This Row],[sprzedaż]]/100</f>
        <v>0</v>
      </c>
    </row>
    <row r="946" spans="1:9" x14ac:dyDescent="0.25">
      <c r="A946" s="2">
        <v>44802</v>
      </c>
      <c r="B946" s="1" t="s">
        <v>13</v>
      </c>
      <c r="C946" s="1" t="s">
        <v>68</v>
      </c>
      <c r="D946" s="1" t="s">
        <v>27</v>
      </c>
      <c r="E946">
        <v>328</v>
      </c>
      <c r="F946" s="1">
        <f>VLOOKUP(jablka5[[#This Row],[Nazwa]],cennik[],2,0) * jablka5[[#This Row],[sprzedaż]]</f>
        <v>1049.6000000000001</v>
      </c>
      <c r="G946" s="1">
        <f>IF(jablka5[[#This Row],[NIP]]=D945,jablka5[[#This Row],[sprzedaż]]+G945,jablka5[[#This Row],[sprzedaż]])</f>
        <v>9669</v>
      </c>
      <c r="H946" s="1">
        <f>IF(jablka5[[#This Row],[dot sprz]]&lt;15000,0,IF(jablka5[[#This Row],[dot sprz]]&lt;20000,5,10))</f>
        <v>0</v>
      </c>
      <c r="I946" s="1">
        <f>jablka5[[#This Row],[rabat]]*jablka5[[#This Row],[sprzedaż]]/100</f>
        <v>0</v>
      </c>
    </row>
    <row r="947" spans="1:9" x14ac:dyDescent="0.25">
      <c r="A947" s="2">
        <v>44803</v>
      </c>
      <c r="B947" s="1" t="s">
        <v>14</v>
      </c>
      <c r="C947" s="1" t="s">
        <v>67</v>
      </c>
      <c r="D947" s="1" t="s">
        <v>27</v>
      </c>
      <c r="E947">
        <v>421</v>
      </c>
      <c r="F947" s="1">
        <f>VLOOKUP(jablka5[[#This Row],[Nazwa]],cennik[],2,0) * jablka5[[#This Row],[sprzedaż]]</f>
        <v>1473.5</v>
      </c>
      <c r="G947" s="1">
        <f>IF(jablka5[[#This Row],[NIP]]=D946,jablka5[[#This Row],[sprzedaż]]+G946,jablka5[[#This Row],[sprzedaż]])</f>
        <v>10090</v>
      </c>
      <c r="H947" s="1">
        <f>IF(jablka5[[#This Row],[dot sprz]]&lt;15000,0,IF(jablka5[[#This Row],[dot sprz]]&lt;20000,5,10))</f>
        <v>0</v>
      </c>
      <c r="I947" s="1">
        <f>jablka5[[#This Row],[rabat]]*jablka5[[#This Row],[sprzedaż]]/100</f>
        <v>0</v>
      </c>
    </row>
    <row r="948" spans="1:9" x14ac:dyDescent="0.25">
      <c r="A948" s="2">
        <v>44806</v>
      </c>
      <c r="B948" s="1" t="s">
        <v>14</v>
      </c>
      <c r="C948" s="1" t="s">
        <v>67</v>
      </c>
      <c r="D948" s="1" t="s">
        <v>27</v>
      </c>
      <c r="E948">
        <v>275</v>
      </c>
      <c r="F948" s="1">
        <f>VLOOKUP(jablka5[[#This Row],[Nazwa]],cennik[],2,0) * jablka5[[#This Row],[sprzedaż]]</f>
        <v>962.5</v>
      </c>
      <c r="G948" s="1">
        <f>IF(jablka5[[#This Row],[NIP]]=D947,jablka5[[#This Row],[sprzedaż]]+G947,jablka5[[#This Row],[sprzedaż]])</f>
        <v>10365</v>
      </c>
      <c r="H948" s="1">
        <f>IF(jablka5[[#This Row],[dot sprz]]&lt;15000,0,IF(jablka5[[#This Row],[dot sprz]]&lt;20000,5,10))</f>
        <v>0</v>
      </c>
      <c r="I948" s="1">
        <f>jablka5[[#This Row],[rabat]]*jablka5[[#This Row],[sprzedaż]]/100</f>
        <v>0</v>
      </c>
    </row>
    <row r="949" spans="1:9" x14ac:dyDescent="0.25">
      <c r="A949" s="2">
        <v>44810</v>
      </c>
      <c r="B949" s="1" t="s">
        <v>1</v>
      </c>
      <c r="C949" s="1" t="s">
        <v>67</v>
      </c>
      <c r="D949" s="1" t="s">
        <v>27</v>
      </c>
      <c r="E949">
        <v>29</v>
      </c>
      <c r="F949" s="1">
        <f>VLOOKUP(jablka5[[#This Row],[Nazwa]],cennik[],2,0) * jablka5[[#This Row],[sprzedaż]]</f>
        <v>92.800000000000011</v>
      </c>
      <c r="G949" s="1">
        <f>IF(jablka5[[#This Row],[NIP]]=D948,jablka5[[#This Row],[sprzedaż]]+G948,jablka5[[#This Row],[sprzedaż]])</f>
        <v>10394</v>
      </c>
      <c r="H949" s="1">
        <f>IF(jablka5[[#This Row],[dot sprz]]&lt;15000,0,IF(jablka5[[#This Row],[dot sprz]]&lt;20000,5,10))</f>
        <v>0</v>
      </c>
      <c r="I949" s="1">
        <f>jablka5[[#This Row],[rabat]]*jablka5[[#This Row],[sprzedaż]]/100</f>
        <v>0</v>
      </c>
    </row>
    <row r="950" spans="1:9" x14ac:dyDescent="0.25">
      <c r="A950" s="2">
        <v>44860</v>
      </c>
      <c r="B950" s="1" t="s">
        <v>14</v>
      </c>
      <c r="C950" s="1" t="s">
        <v>67</v>
      </c>
      <c r="D950" s="1" t="s">
        <v>27</v>
      </c>
      <c r="E950">
        <v>369</v>
      </c>
      <c r="F950" s="1">
        <f>VLOOKUP(jablka5[[#This Row],[Nazwa]],cennik[],2,0) * jablka5[[#This Row],[sprzedaż]]</f>
        <v>1291.5</v>
      </c>
      <c r="G950" s="1">
        <f>IF(jablka5[[#This Row],[NIP]]=D949,jablka5[[#This Row],[sprzedaż]]+G949,jablka5[[#This Row],[sprzedaż]])</f>
        <v>10763</v>
      </c>
      <c r="H950" s="1">
        <f>IF(jablka5[[#This Row],[dot sprz]]&lt;15000,0,IF(jablka5[[#This Row],[dot sprz]]&lt;20000,5,10))</f>
        <v>0</v>
      </c>
      <c r="I950" s="1">
        <f>jablka5[[#This Row],[rabat]]*jablka5[[#This Row],[sprzedaż]]/100</f>
        <v>0</v>
      </c>
    </row>
    <row r="951" spans="1:9" x14ac:dyDescent="0.25">
      <c r="A951" s="2">
        <v>44870</v>
      </c>
      <c r="B951" s="1" t="s">
        <v>3</v>
      </c>
      <c r="C951" s="1" t="s">
        <v>67</v>
      </c>
      <c r="D951" s="1" t="s">
        <v>27</v>
      </c>
      <c r="E951">
        <v>473</v>
      </c>
      <c r="F951" s="1">
        <f>VLOOKUP(jablka5[[#This Row],[Nazwa]],cennik[],2,0) * jablka5[[#This Row],[sprzedaż]]</f>
        <v>1513.6000000000001</v>
      </c>
      <c r="G951" s="1">
        <f>IF(jablka5[[#This Row],[NIP]]=D950,jablka5[[#This Row],[sprzedaż]]+G950,jablka5[[#This Row],[sprzedaż]])</f>
        <v>11236</v>
      </c>
      <c r="H951" s="1">
        <f>IF(jablka5[[#This Row],[dot sprz]]&lt;15000,0,IF(jablka5[[#This Row],[dot sprz]]&lt;20000,5,10))</f>
        <v>0</v>
      </c>
      <c r="I951" s="1">
        <f>jablka5[[#This Row],[rabat]]*jablka5[[#This Row],[sprzedaż]]/100</f>
        <v>0</v>
      </c>
    </row>
    <row r="952" spans="1:9" x14ac:dyDescent="0.25">
      <c r="A952" s="2">
        <v>44877</v>
      </c>
      <c r="B952" s="1" t="s">
        <v>1</v>
      </c>
      <c r="C952" s="1" t="s">
        <v>67</v>
      </c>
      <c r="D952" s="1" t="s">
        <v>27</v>
      </c>
      <c r="E952">
        <v>52</v>
      </c>
      <c r="F952" s="1">
        <f>VLOOKUP(jablka5[[#This Row],[Nazwa]],cennik[],2,0) * jablka5[[#This Row],[sprzedaż]]</f>
        <v>166.4</v>
      </c>
      <c r="G952" s="1">
        <f>IF(jablka5[[#This Row],[NIP]]=D951,jablka5[[#This Row],[sprzedaż]]+G951,jablka5[[#This Row],[sprzedaż]])</f>
        <v>11288</v>
      </c>
      <c r="H952" s="1">
        <f>IF(jablka5[[#This Row],[dot sprz]]&lt;15000,0,IF(jablka5[[#This Row],[dot sprz]]&lt;20000,5,10))</f>
        <v>0</v>
      </c>
      <c r="I952" s="1">
        <f>jablka5[[#This Row],[rabat]]*jablka5[[#This Row],[sprzedaż]]/100</f>
        <v>0</v>
      </c>
    </row>
    <row r="953" spans="1:9" x14ac:dyDescent="0.25">
      <c r="A953" s="2">
        <v>44884</v>
      </c>
      <c r="B953" s="1" t="s">
        <v>14</v>
      </c>
      <c r="C953" s="1" t="s">
        <v>67</v>
      </c>
      <c r="D953" s="1" t="s">
        <v>27</v>
      </c>
      <c r="E953">
        <v>263</v>
      </c>
      <c r="F953" s="1">
        <f>VLOOKUP(jablka5[[#This Row],[Nazwa]],cennik[],2,0) * jablka5[[#This Row],[sprzedaż]]</f>
        <v>920.5</v>
      </c>
      <c r="G953" s="1">
        <f>IF(jablka5[[#This Row],[NIP]]=D952,jablka5[[#This Row],[sprzedaż]]+G952,jablka5[[#This Row],[sprzedaż]])</f>
        <v>11551</v>
      </c>
      <c r="H953" s="1">
        <f>IF(jablka5[[#This Row],[dot sprz]]&lt;15000,0,IF(jablka5[[#This Row],[dot sprz]]&lt;20000,5,10))</f>
        <v>0</v>
      </c>
      <c r="I953" s="1">
        <f>jablka5[[#This Row],[rabat]]*jablka5[[#This Row],[sprzedaż]]/100</f>
        <v>0</v>
      </c>
    </row>
    <row r="954" spans="1:9" x14ac:dyDescent="0.25">
      <c r="A954" s="2">
        <v>44895</v>
      </c>
      <c r="B954" s="1" t="s">
        <v>14</v>
      </c>
      <c r="C954" s="1" t="s">
        <v>67</v>
      </c>
      <c r="D954" s="1" t="s">
        <v>27</v>
      </c>
      <c r="E954">
        <v>58</v>
      </c>
      <c r="F954" s="1">
        <f>VLOOKUP(jablka5[[#This Row],[Nazwa]],cennik[],2,0) * jablka5[[#This Row],[sprzedaż]]</f>
        <v>203</v>
      </c>
      <c r="G954" s="1">
        <f>IF(jablka5[[#This Row],[NIP]]=D953,jablka5[[#This Row],[sprzedaż]]+G953,jablka5[[#This Row],[sprzedaż]])</f>
        <v>11609</v>
      </c>
      <c r="H954" s="1">
        <f>IF(jablka5[[#This Row],[dot sprz]]&lt;15000,0,IF(jablka5[[#This Row],[dot sprz]]&lt;20000,5,10))</f>
        <v>0</v>
      </c>
      <c r="I954" s="1">
        <f>jablka5[[#This Row],[rabat]]*jablka5[[#This Row],[sprzedaż]]/100</f>
        <v>0</v>
      </c>
    </row>
    <row r="955" spans="1:9" x14ac:dyDescent="0.25">
      <c r="A955" s="2">
        <v>44898</v>
      </c>
      <c r="B955" s="1" t="s">
        <v>7</v>
      </c>
      <c r="C955" s="1" t="s">
        <v>16</v>
      </c>
      <c r="D955" s="1" t="s">
        <v>27</v>
      </c>
      <c r="E955">
        <v>582</v>
      </c>
      <c r="F955" s="1">
        <f>VLOOKUP(jablka5[[#This Row],[Nazwa]],cennik[],2,0) * jablka5[[#This Row],[sprzedaż]]</f>
        <v>1978.8</v>
      </c>
      <c r="G955" s="1">
        <f>IF(jablka5[[#This Row],[NIP]]=D954,jablka5[[#This Row],[sprzedaż]]+G954,jablka5[[#This Row],[sprzedaż]])</f>
        <v>12191</v>
      </c>
      <c r="H955" s="1">
        <f>IF(jablka5[[#This Row],[dot sprz]]&lt;15000,0,IF(jablka5[[#This Row],[dot sprz]]&lt;20000,5,10))</f>
        <v>0</v>
      </c>
      <c r="I955" s="1">
        <f>jablka5[[#This Row],[rabat]]*jablka5[[#This Row],[sprzedaż]]/100</f>
        <v>0</v>
      </c>
    </row>
    <row r="956" spans="1:9" x14ac:dyDescent="0.25">
      <c r="A956" s="2">
        <v>44901</v>
      </c>
      <c r="B956" s="1" t="s">
        <v>15</v>
      </c>
      <c r="C956" s="1" t="s">
        <v>16</v>
      </c>
      <c r="D956" s="1" t="s">
        <v>27</v>
      </c>
      <c r="E956">
        <v>457</v>
      </c>
      <c r="F956" s="1">
        <f>VLOOKUP(jablka5[[#This Row],[Nazwa]],cennik[],2,0) * jablka5[[#This Row],[sprzedaż]]</f>
        <v>1096.8</v>
      </c>
      <c r="G956" s="1">
        <f>IF(jablka5[[#This Row],[NIP]]=D955,jablka5[[#This Row],[sprzedaż]]+G955,jablka5[[#This Row],[sprzedaż]])</f>
        <v>12648</v>
      </c>
      <c r="H956" s="1">
        <f>IF(jablka5[[#This Row],[dot sprz]]&lt;15000,0,IF(jablka5[[#This Row],[dot sprz]]&lt;20000,5,10))</f>
        <v>0</v>
      </c>
      <c r="I956" s="1">
        <f>jablka5[[#This Row],[rabat]]*jablka5[[#This Row],[sprzedaż]]/100</f>
        <v>0</v>
      </c>
    </row>
    <row r="957" spans="1:9" x14ac:dyDescent="0.25">
      <c r="A957" s="2">
        <v>44914</v>
      </c>
      <c r="B957" s="1" t="s">
        <v>10</v>
      </c>
      <c r="C957" s="1" t="s">
        <v>16</v>
      </c>
      <c r="D957" s="1" t="s">
        <v>27</v>
      </c>
      <c r="E957">
        <v>340</v>
      </c>
      <c r="F957" s="1">
        <f>VLOOKUP(jablka5[[#This Row],[Nazwa]],cennik[],2,0) * jablka5[[#This Row],[sprzedaż]]</f>
        <v>1156</v>
      </c>
      <c r="G957" s="1">
        <f>IF(jablka5[[#This Row],[NIP]]=D956,jablka5[[#This Row],[sprzedaż]]+G956,jablka5[[#This Row],[sprzedaż]])</f>
        <v>12988</v>
      </c>
      <c r="H957" s="1">
        <f>IF(jablka5[[#This Row],[dot sprz]]&lt;15000,0,IF(jablka5[[#This Row],[dot sprz]]&lt;20000,5,10))</f>
        <v>0</v>
      </c>
      <c r="I957" s="1">
        <f>jablka5[[#This Row],[rabat]]*jablka5[[#This Row],[sprzedaż]]/100</f>
        <v>0</v>
      </c>
    </row>
    <row r="958" spans="1:9" x14ac:dyDescent="0.25">
      <c r="A958" s="2">
        <v>44915</v>
      </c>
      <c r="B958" s="1" t="s">
        <v>5</v>
      </c>
      <c r="C958" s="1" t="s">
        <v>16</v>
      </c>
      <c r="D958" s="1" t="s">
        <v>27</v>
      </c>
      <c r="E958">
        <v>369</v>
      </c>
      <c r="F958" s="1">
        <f>VLOOKUP(jablka5[[#This Row],[Nazwa]],cennik[],2,0) * jablka5[[#This Row],[sprzedaż]]</f>
        <v>1254.5999999999999</v>
      </c>
      <c r="G958" s="1">
        <f>IF(jablka5[[#This Row],[NIP]]=D957,jablka5[[#This Row],[sprzedaż]]+G957,jablka5[[#This Row],[sprzedaż]])</f>
        <v>13357</v>
      </c>
      <c r="H958" s="1">
        <f>IF(jablka5[[#This Row],[dot sprz]]&lt;15000,0,IF(jablka5[[#This Row],[dot sprz]]&lt;20000,5,10))</f>
        <v>0</v>
      </c>
      <c r="I958" s="1">
        <f>jablka5[[#This Row],[rabat]]*jablka5[[#This Row],[sprzedaż]]/100</f>
        <v>0</v>
      </c>
    </row>
    <row r="959" spans="1:9" x14ac:dyDescent="0.25">
      <c r="A959" s="2">
        <v>44565</v>
      </c>
      <c r="B959" s="1" t="s">
        <v>15</v>
      </c>
      <c r="C959" s="1" t="s">
        <v>16</v>
      </c>
      <c r="D959" s="1" t="s">
        <v>29</v>
      </c>
      <c r="E959">
        <v>534</v>
      </c>
      <c r="F959" s="1">
        <f>VLOOKUP(jablka5[[#This Row],[Nazwa]],cennik[],2,0) * jablka5[[#This Row],[sprzedaż]]</f>
        <v>1281.5999999999999</v>
      </c>
      <c r="G959" s="1">
        <f>IF(jablka5[[#This Row],[NIP]]=D958,jablka5[[#This Row],[sprzedaż]]+G958,jablka5[[#This Row],[sprzedaż]])</f>
        <v>534</v>
      </c>
      <c r="H959" s="1">
        <f>IF(jablka5[[#This Row],[dot sprz]]&lt;15000,0,IF(jablka5[[#This Row],[dot sprz]]&lt;20000,5,10))</f>
        <v>0</v>
      </c>
      <c r="I959" s="1">
        <f>jablka5[[#This Row],[rabat]]*jablka5[[#This Row],[sprzedaż]]/100</f>
        <v>0</v>
      </c>
    </row>
    <row r="960" spans="1:9" x14ac:dyDescent="0.25">
      <c r="A960" s="2">
        <v>44566</v>
      </c>
      <c r="B960" s="1" t="s">
        <v>7</v>
      </c>
      <c r="C960" s="1" t="s">
        <v>16</v>
      </c>
      <c r="D960" s="1" t="s">
        <v>29</v>
      </c>
      <c r="E960">
        <v>378</v>
      </c>
      <c r="F960" s="1">
        <f>VLOOKUP(jablka5[[#This Row],[Nazwa]],cennik[],2,0) * jablka5[[#This Row],[sprzedaż]]</f>
        <v>1285.2</v>
      </c>
      <c r="G960" s="1">
        <f>IF(jablka5[[#This Row],[NIP]]=D959,jablka5[[#This Row],[sprzedaż]]+G959,jablka5[[#This Row],[sprzedaż]])</f>
        <v>912</v>
      </c>
      <c r="H960" s="1">
        <f>IF(jablka5[[#This Row],[dot sprz]]&lt;15000,0,IF(jablka5[[#This Row],[dot sprz]]&lt;20000,5,10))</f>
        <v>0</v>
      </c>
      <c r="I960" s="1">
        <f>jablka5[[#This Row],[rabat]]*jablka5[[#This Row],[sprzedaż]]/100</f>
        <v>0</v>
      </c>
    </row>
    <row r="961" spans="1:9" x14ac:dyDescent="0.25">
      <c r="A961" s="2">
        <v>44579</v>
      </c>
      <c r="B961" s="1" t="s">
        <v>15</v>
      </c>
      <c r="C961" s="1" t="s">
        <v>16</v>
      </c>
      <c r="D961" s="1" t="s">
        <v>29</v>
      </c>
      <c r="E961">
        <v>212</v>
      </c>
      <c r="F961" s="1">
        <f>VLOOKUP(jablka5[[#This Row],[Nazwa]],cennik[],2,0) * jablka5[[#This Row],[sprzedaż]]</f>
        <v>508.79999999999995</v>
      </c>
      <c r="G961" s="1">
        <f>IF(jablka5[[#This Row],[NIP]]=D960,jablka5[[#This Row],[sprzedaż]]+G960,jablka5[[#This Row],[sprzedaż]])</f>
        <v>1124</v>
      </c>
      <c r="H961" s="1">
        <f>IF(jablka5[[#This Row],[dot sprz]]&lt;15000,0,IF(jablka5[[#This Row],[dot sprz]]&lt;20000,5,10))</f>
        <v>0</v>
      </c>
      <c r="I961" s="1">
        <f>jablka5[[#This Row],[rabat]]*jablka5[[#This Row],[sprzedaż]]/100</f>
        <v>0</v>
      </c>
    </row>
    <row r="962" spans="1:9" x14ac:dyDescent="0.25">
      <c r="A962" s="2">
        <v>44588</v>
      </c>
      <c r="B962" s="1" t="s">
        <v>0</v>
      </c>
      <c r="C962" s="1" t="s">
        <v>16</v>
      </c>
      <c r="D962" s="1" t="s">
        <v>29</v>
      </c>
      <c r="E962">
        <v>389</v>
      </c>
      <c r="F962" s="1">
        <f>VLOOKUP(jablka5[[#This Row],[Nazwa]],cennik[],2,0) * jablka5[[#This Row],[sprzedaż]]</f>
        <v>1128.0999999999999</v>
      </c>
      <c r="G962" s="1">
        <f>IF(jablka5[[#This Row],[NIP]]=D961,jablka5[[#This Row],[sprzedaż]]+G961,jablka5[[#This Row],[sprzedaż]])</f>
        <v>1513</v>
      </c>
      <c r="H962" s="1">
        <f>IF(jablka5[[#This Row],[dot sprz]]&lt;15000,0,IF(jablka5[[#This Row],[dot sprz]]&lt;20000,5,10))</f>
        <v>0</v>
      </c>
      <c r="I962" s="1">
        <f>jablka5[[#This Row],[rabat]]*jablka5[[#This Row],[sprzedaż]]/100</f>
        <v>0</v>
      </c>
    </row>
    <row r="963" spans="1:9" x14ac:dyDescent="0.25">
      <c r="A963" s="2">
        <v>44596</v>
      </c>
      <c r="B963" s="1" t="s">
        <v>4</v>
      </c>
      <c r="C963" s="1" t="s">
        <v>16</v>
      </c>
      <c r="D963" s="1" t="s">
        <v>29</v>
      </c>
      <c r="E963">
        <v>737</v>
      </c>
      <c r="F963" s="1">
        <f>VLOOKUP(jablka5[[#This Row],[Nazwa]],cennik[],2,0) * jablka5[[#This Row],[sprzedaż]]</f>
        <v>2505.7999999999997</v>
      </c>
      <c r="G963" s="1">
        <f>IF(jablka5[[#This Row],[NIP]]=D962,jablka5[[#This Row],[sprzedaż]]+G962,jablka5[[#This Row],[sprzedaż]])</f>
        <v>2250</v>
      </c>
      <c r="H963" s="1">
        <f>IF(jablka5[[#This Row],[dot sprz]]&lt;15000,0,IF(jablka5[[#This Row],[dot sprz]]&lt;20000,5,10))</f>
        <v>0</v>
      </c>
      <c r="I963" s="1">
        <f>jablka5[[#This Row],[rabat]]*jablka5[[#This Row],[sprzedaż]]/100</f>
        <v>0</v>
      </c>
    </row>
    <row r="964" spans="1:9" x14ac:dyDescent="0.25">
      <c r="A964" s="2">
        <v>44602</v>
      </c>
      <c r="B964" s="1" t="s">
        <v>8</v>
      </c>
      <c r="C964" s="1" t="s">
        <v>16</v>
      </c>
      <c r="D964" s="1" t="s">
        <v>29</v>
      </c>
      <c r="E964">
        <v>538</v>
      </c>
      <c r="F964" s="1">
        <f>VLOOKUP(jablka5[[#This Row],[Nazwa]],cennik[],2,0) * jablka5[[#This Row],[sprzedaż]]</f>
        <v>1883</v>
      </c>
      <c r="G964" s="1">
        <f>IF(jablka5[[#This Row],[NIP]]=D963,jablka5[[#This Row],[sprzedaż]]+G963,jablka5[[#This Row],[sprzedaż]])</f>
        <v>2788</v>
      </c>
      <c r="H964" s="1">
        <f>IF(jablka5[[#This Row],[dot sprz]]&lt;15000,0,IF(jablka5[[#This Row],[dot sprz]]&lt;20000,5,10))</f>
        <v>0</v>
      </c>
      <c r="I964" s="1">
        <f>jablka5[[#This Row],[rabat]]*jablka5[[#This Row],[sprzedaż]]/100</f>
        <v>0</v>
      </c>
    </row>
    <row r="965" spans="1:9" x14ac:dyDescent="0.25">
      <c r="A965" s="2">
        <v>44622</v>
      </c>
      <c r="B965" s="1" t="s">
        <v>8</v>
      </c>
      <c r="C965" s="1" t="s">
        <v>16</v>
      </c>
      <c r="D965" s="1" t="s">
        <v>29</v>
      </c>
      <c r="E965">
        <v>345</v>
      </c>
      <c r="F965" s="1">
        <f>VLOOKUP(jablka5[[#This Row],[Nazwa]],cennik[],2,0) * jablka5[[#This Row],[sprzedaż]]</f>
        <v>1207.5</v>
      </c>
      <c r="G965" s="1">
        <f>IF(jablka5[[#This Row],[NIP]]=D964,jablka5[[#This Row],[sprzedaż]]+G964,jablka5[[#This Row],[sprzedaż]])</f>
        <v>3133</v>
      </c>
      <c r="H965" s="1">
        <f>IF(jablka5[[#This Row],[dot sprz]]&lt;15000,0,IF(jablka5[[#This Row],[dot sprz]]&lt;20000,5,10))</f>
        <v>0</v>
      </c>
      <c r="I965" s="1">
        <f>jablka5[[#This Row],[rabat]]*jablka5[[#This Row],[sprzedaż]]/100</f>
        <v>0</v>
      </c>
    </row>
    <row r="966" spans="1:9" x14ac:dyDescent="0.25">
      <c r="A966" s="2">
        <v>44630</v>
      </c>
      <c r="B966" s="1" t="s">
        <v>2</v>
      </c>
      <c r="C966" s="1" t="s">
        <v>16</v>
      </c>
      <c r="D966" s="1" t="s">
        <v>29</v>
      </c>
      <c r="E966">
        <v>277</v>
      </c>
      <c r="F966" s="1">
        <f>VLOOKUP(jablka5[[#This Row],[Nazwa]],cennik[],2,0) * jablka5[[#This Row],[sprzedaż]]</f>
        <v>886.40000000000009</v>
      </c>
      <c r="G966" s="1">
        <f>IF(jablka5[[#This Row],[NIP]]=D965,jablka5[[#This Row],[sprzedaż]]+G965,jablka5[[#This Row],[sprzedaż]])</f>
        <v>3410</v>
      </c>
      <c r="H966" s="1">
        <f>IF(jablka5[[#This Row],[dot sprz]]&lt;15000,0,IF(jablka5[[#This Row],[dot sprz]]&lt;20000,5,10))</f>
        <v>0</v>
      </c>
      <c r="I966" s="1">
        <f>jablka5[[#This Row],[rabat]]*jablka5[[#This Row],[sprzedaż]]/100</f>
        <v>0</v>
      </c>
    </row>
    <row r="967" spans="1:9" x14ac:dyDescent="0.25">
      <c r="A967" s="2">
        <v>44630</v>
      </c>
      <c r="B967" s="1" t="s">
        <v>0</v>
      </c>
      <c r="C967" s="1" t="s">
        <v>16</v>
      </c>
      <c r="D967" s="1" t="s">
        <v>29</v>
      </c>
      <c r="E967">
        <v>133</v>
      </c>
      <c r="F967" s="1">
        <f>VLOOKUP(jablka5[[#This Row],[Nazwa]],cennik[],2,0) * jablka5[[#This Row],[sprzedaż]]</f>
        <v>385.7</v>
      </c>
      <c r="G967" s="1">
        <f>IF(jablka5[[#This Row],[NIP]]=D966,jablka5[[#This Row],[sprzedaż]]+G966,jablka5[[#This Row],[sprzedaż]])</f>
        <v>3543</v>
      </c>
      <c r="H967" s="1">
        <f>IF(jablka5[[#This Row],[dot sprz]]&lt;15000,0,IF(jablka5[[#This Row],[dot sprz]]&lt;20000,5,10))</f>
        <v>0</v>
      </c>
      <c r="I967" s="1">
        <f>jablka5[[#This Row],[rabat]]*jablka5[[#This Row],[sprzedaż]]/100</f>
        <v>0</v>
      </c>
    </row>
    <row r="968" spans="1:9" x14ac:dyDescent="0.25">
      <c r="A968" s="2">
        <v>44641</v>
      </c>
      <c r="B968" s="1" t="s">
        <v>8</v>
      </c>
      <c r="C968" s="1" t="s">
        <v>16</v>
      </c>
      <c r="D968" s="1" t="s">
        <v>29</v>
      </c>
      <c r="E968">
        <v>487</v>
      </c>
      <c r="F968" s="1">
        <f>VLOOKUP(jablka5[[#This Row],[Nazwa]],cennik[],2,0) * jablka5[[#This Row],[sprzedaż]]</f>
        <v>1704.5</v>
      </c>
      <c r="G968" s="1">
        <f>IF(jablka5[[#This Row],[NIP]]=D967,jablka5[[#This Row],[sprzedaż]]+G967,jablka5[[#This Row],[sprzedaż]])</f>
        <v>4030</v>
      </c>
      <c r="H968" s="1">
        <f>IF(jablka5[[#This Row],[dot sprz]]&lt;15000,0,IF(jablka5[[#This Row],[dot sprz]]&lt;20000,5,10))</f>
        <v>0</v>
      </c>
      <c r="I968" s="1">
        <f>jablka5[[#This Row],[rabat]]*jablka5[[#This Row],[sprzedaż]]/100</f>
        <v>0</v>
      </c>
    </row>
    <row r="969" spans="1:9" x14ac:dyDescent="0.25">
      <c r="A969" s="2">
        <v>44644</v>
      </c>
      <c r="B969" s="1" t="s">
        <v>0</v>
      </c>
      <c r="C969" s="1" t="s">
        <v>16</v>
      </c>
      <c r="D969" s="1" t="s">
        <v>29</v>
      </c>
      <c r="E969">
        <v>75</v>
      </c>
      <c r="F969" s="1">
        <f>VLOOKUP(jablka5[[#This Row],[Nazwa]],cennik[],2,0) * jablka5[[#This Row],[sprzedaż]]</f>
        <v>217.5</v>
      </c>
      <c r="G969" s="1">
        <f>IF(jablka5[[#This Row],[NIP]]=D968,jablka5[[#This Row],[sprzedaż]]+G968,jablka5[[#This Row],[sprzedaż]])</f>
        <v>4105</v>
      </c>
      <c r="H969" s="1">
        <f>IF(jablka5[[#This Row],[dot sprz]]&lt;15000,0,IF(jablka5[[#This Row],[dot sprz]]&lt;20000,5,10))</f>
        <v>0</v>
      </c>
      <c r="I969" s="1">
        <f>jablka5[[#This Row],[rabat]]*jablka5[[#This Row],[sprzedaż]]/100</f>
        <v>0</v>
      </c>
    </row>
    <row r="970" spans="1:9" x14ac:dyDescent="0.25">
      <c r="A970" s="2">
        <v>44651</v>
      </c>
      <c r="B970" s="1" t="s">
        <v>7</v>
      </c>
      <c r="C970" s="1" t="s">
        <v>16</v>
      </c>
      <c r="D970" s="1" t="s">
        <v>29</v>
      </c>
      <c r="E970">
        <v>634</v>
      </c>
      <c r="F970" s="1">
        <f>VLOOKUP(jablka5[[#This Row],[Nazwa]],cennik[],2,0) * jablka5[[#This Row],[sprzedaż]]</f>
        <v>2155.6</v>
      </c>
      <c r="G970" s="1">
        <f>IF(jablka5[[#This Row],[NIP]]=D969,jablka5[[#This Row],[sprzedaż]]+G969,jablka5[[#This Row],[sprzedaż]])</f>
        <v>4739</v>
      </c>
      <c r="H970" s="1">
        <f>IF(jablka5[[#This Row],[dot sprz]]&lt;15000,0,IF(jablka5[[#This Row],[dot sprz]]&lt;20000,5,10))</f>
        <v>0</v>
      </c>
      <c r="I970" s="1">
        <f>jablka5[[#This Row],[rabat]]*jablka5[[#This Row],[sprzedaż]]/100</f>
        <v>0</v>
      </c>
    </row>
    <row r="971" spans="1:9" x14ac:dyDescent="0.25">
      <c r="A971" s="2">
        <v>44657</v>
      </c>
      <c r="B971" s="1" t="s">
        <v>0</v>
      </c>
      <c r="C971" s="1" t="s">
        <v>16</v>
      </c>
      <c r="D971" s="1" t="s">
        <v>29</v>
      </c>
      <c r="E971">
        <v>451</v>
      </c>
      <c r="F971" s="1">
        <f>VLOOKUP(jablka5[[#This Row],[Nazwa]],cennik[],2,0) * jablka5[[#This Row],[sprzedaż]]</f>
        <v>1307.8999999999999</v>
      </c>
      <c r="G971" s="1">
        <f>IF(jablka5[[#This Row],[NIP]]=D970,jablka5[[#This Row],[sprzedaż]]+G970,jablka5[[#This Row],[sprzedaż]])</f>
        <v>5190</v>
      </c>
      <c r="H971" s="1">
        <f>IF(jablka5[[#This Row],[dot sprz]]&lt;15000,0,IF(jablka5[[#This Row],[dot sprz]]&lt;20000,5,10))</f>
        <v>0</v>
      </c>
      <c r="I971" s="1">
        <f>jablka5[[#This Row],[rabat]]*jablka5[[#This Row],[sprzedaż]]/100</f>
        <v>0</v>
      </c>
    </row>
    <row r="972" spans="1:9" x14ac:dyDescent="0.25">
      <c r="A972" s="2">
        <v>44658</v>
      </c>
      <c r="B972" s="1" t="s">
        <v>7</v>
      </c>
      <c r="C972" s="1" t="s">
        <v>16</v>
      </c>
      <c r="D972" s="1" t="s">
        <v>29</v>
      </c>
      <c r="E972">
        <v>229</v>
      </c>
      <c r="F972" s="1">
        <f>VLOOKUP(jablka5[[#This Row],[Nazwa]],cennik[],2,0) * jablka5[[#This Row],[sprzedaż]]</f>
        <v>778.6</v>
      </c>
      <c r="G972" s="1">
        <f>IF(jablka5[[#This Row],[NIP]]=D971,jablka5[[#This Row],[sprzedaż]]+G971,jablka5[[#This Row],[sprzedaż]])</f>
        <v>5419</v>
      </c>
      <c r="H972" s="1">
        <f>IF(jablka5[[#This Row],[dot sprz]]&lt;15000,0,IF(jablka5[[#This Row],[dot sprz]]&lt;20000,5,10))</f>
        <v>0</v>
      </c>
      <c r="I972" s="1">
        <f>jablka5[[#This Row],[rabat]]*jablka5[[#This Row],[sprzedaż]]/100</f>
        <v>0</v>
      </c>
    </row>
    <row r="973" spans="1:9" x14ac:dyDescent="0.25">
      <c r="A973" s="2">
        <v>44665</v>
      </c>
      <c r="B973" s="1" t="s">
        <v>15</v>
      </c>
      <c r="C973" s="1" t="s">
        <v>16</v>
      </c>
      <c r="D973" s="1" t="s">
        <v>29</v>
      </c>
      <c r="E973">
        <v>506</v>
      </c>
      <c r="F973" s="1">
        <f>VLOOKUP(jablka5[[#This Row],[Nazwa]],cennik[],2,0) * jablka5[[#This Row],[sprzedaż]]</f>
        <v>1214.3999999999999</v>
      </c>
      <c r="G973" s="1">
        <f>IF(jablka5[[#This Row],[NIP]]=D972,jablka5[[#This Row],[sprzedaż]]+G972,jablka5[[#This Row],[sprzedaż]])</f>
        <v>5925</v>
      </c>
      <c r="H973" s="1">
        <f>IF(jablka5[[#This Row],[dot sprz]]&lt;15000,0,IF(jablka5[[#This Row],[dot sprz]]&lt;20000,5,10))</f>
        <v>0</v>
      </c>
      <c r="I973" s="1">
        <f>jablka5[[#This Row],[rabat]]*jablka5[[#This Row],[sprzedaż]]/100</f>
        <v>0</v>
      </c>
    </row>
    <row r="974" spans="1:9" x14ac:dyDescent="0.25">
      <c r="A974" s="2">
        <v>44670</v>
      </c>
      <c r="B974" s="1" t="s">
        <v>0</v>
      </c>
      <c r="C974" s="1" t="s">
        <v>16</v>
      </c>
      <c r="D974" s="1" t="s">
        <v>29</v>
      </c>
      <c r="E974">
        <v>264</v>
      </c>
      <c r="F974" s="1">
        <f>VLOOKUP(jablka5[[#This Row],[Nazwa]],cennik[],2,0) * jablka5[[#This Row],[sprzedaż]]</f>
        <v>765.6</v>
      </c>
      <c r="G974" s="1">
        <f>IF(jablka5[[#This Row],[NIP]]=D973,jablka5[[#This Row],[sprzedaż]]+G973,jablka5[[#This Row],[sprzedaż]])</f>
        <v>6189</v>
      </c>
      <c r="H974" s="1">
        <f>IF(jablka5[[#This Row],[dot sprz]]&lt;15000,0,IF(jablka5[[#This Row],[dot sprz]]&lt;20000,5,10))</f>
        <v>0</v>
      </c>
      <c r="I974" s="1">
        <f>jablka5[[#This Row],[rabat]]*jablka5[[#This Row],[sprzedaż]]/100</f>
        <v>0</v>
      </c>
    </row>
    <row r="975" spans="1:9" x14ac:dyDescent="0.25">
      <c r="A975" s="2">
        <v>44686</v>
      </c>
      <c r="B975" s="1" t="s">
        <v>10</v>
      </c>
      <c r="C975" s="1" t="s">
        <v>16</v>
      </c>
      <c r="D975" s="1" t="s">
        <v>29</v>
      </c>
      <c r="E975">
        <v>87</v>
      </c>
      <c r="F975" s="1">
        <f>VLOOKUP(jablka5[[#This Row],[Nazwa]],cennik[],2,0) * jablka5[[#This Row],[sprzedaż]]</f>
        <v>295.8</v>
      </c>
      <c r="G975" s="1">
        <f>IF(jablka5[[#This Row],[NIP]]=D974,jablka5[[#This Row],[sprzedaż]]+G974,jablka5[[#This Row],[sprzedaż]])</f>
        <v>6276</v>
      </c>
      <c r="H975" s="1">
        <f>IF(jablka5[[#This Row],[dot sprz]]&lt;15000,0,IF(jablka5[[#This Row],[dot sprz]]&lt;20000,5,10))</f>
        <v>0</v>
      </c>
      <c r="I975" s="1">
        <f>jablka5[[#This Row],[rabat]]*jablka5[[#This Row],[sprzedaż]]/100</f>
        <v>0</v>
      </c>
    </row>
    <row r="976" spans="1:9" x14ac:dyDescent="0.25">
      <c r="A976" s="2">
        <v>44697</v>
      </c>
      <c r="B976" s="1" t="s">
        <v>6</v>
      </c>
      <c r="C976" s="1" t="s">
        <v>16</v>
      </c>
      <c r="D976" s="1" t="s">
        <v>29</v>
      </c>
      <c r="E976">
        <v>58</v>
      </c>
      <c r="F976" s="1">
        <f>VLOOKUP(jablka5[[#This Row],[Nazwa]],cennik[],2,0) * jablka5[[#This Row],[sprzedaż]]</f>
        <v>197.2</v>
      </c>
      <c r="G976" s="1">
        <f>IF(jablka5[[#This Row],[NIP]]=D975,jablka5[[#This Row],[sprzedaż]]+G975,jablka5[[#This Row],[sprzedaż]])</f>
        <v>6334</v>
      </c>
      <c r="H976" s="1">
        <f>IF(jablka5[[#This Row],[dot sprz]]&lt;15000,0,IF(jablka5[[#This Row],[dot sprz]]&lt;20000,5,10))</f>
        <v>0</v>
      </c>
      <c r="I976" s="1">
        <f>jablka5[[#This Row],[rabat]]*jablka5[[#This Row],[sprzedaż]]/100</f>
        <v>0</v>
      </c>
    </row>
    <row r="977" spans="1:9" x14ac:dyDescent="0.25">
      <c r="A977" s="2">
        <v>44697</v>
      </c>
      <c r="B977" s="1" t="s">
        <v>6</v>
      </c>
      <c r="C977" s="1" t="s">
        <v>16</v>
      </c>
      <c r="D977" s="1" t="s">
        <v>29</v>
      </c>
      <c r="E977">
        <v>428</v>
      </c>
      <c r="F977" s="1">
        <f>VLOOKUP(jablka5[[#This Row],[Nazwa]],cennik[],2,0) * jablka5[[#This Row],[sprzedaż]]</f>
        <v>1455.2</v>
      </c>
      <c r="G977" s="1">
        <f>IF(jablka5[[#This Row],[NIP]]=D976,jablka5[[#This Row],[sprzedaż]]+G976,jablka5[[#This Row],[sprzedaż]])</f>
        <v>6762</v>
      </c>
      <c r="H977" s="1">
        <f>IF(jablka5[[#This Row],[dot sprz]]&lt;15000,0,IF(jablka5[[#This Row],[dot sprz]]&lt;20000,5,10))</f>
        <v>0</v>
      </c>
      <c r="I977" s="1">
        <f>jablka5[[#This Row],[rabat]]*jablka5[[#This Row],[sprzedaż]]/100</f>
        <v>0</v>
      </c>
    </row>
    <row r="978" spans="1:9" x14ac:dyDescent="0.25">
      <c r="A978" s="2">
        <v>44713</v>
      </c>
      <c r="B978" s="1" t="s">
        <v>13</v>
      </c>
      <c r="C978" s="1" t="s">
        <v>68</v>
      </c>
      <c r="D978" s="1" t="s">
        <v>29</v>
      </c>
      <c r="E978">
        <v>234</v>
      </c>
      <c r="F978" s="1">
        <f>VLOOKUP(jablka5[[#This Row],[Nazwa]],cennik[],2,0) * jablka5[[#This Row],[sprzedaż]]</f>
        <v>748.80000000000007</v>
      </c>
      <c r="G978" s="1">
        <f>IF(jablka5[[#This Row],[NIP]]=D977,jablka5[[#This Row],[sprzedaż]]+G977,jablka5[[#This Row],[sprzedaż]])</f>
        <v>6996</v>
      </c>
      <c r="H978" s="1">
        <f>IF(jablka5[[#This Row],[dot sprz]]&lt;15000,0,IF(jablka5[[#This Row],[dot sprz]]&lt;20000,5,10))</f>
        <v>0</v>
      </c>
      <c r="I978" s="1">
        <f>jablka5[[#This Row],[rabat]]*jablka5[[#This Row],[sprzedaż]]/100</f>
        <v>0</v>
      </c>
    </row>
    <row r="979" spans="1:9" x14ac:dyDescent="0.25">
      <c r="A979" s="2">
        <v>44723</v>
      </c>
      <c r="B979" s="1" t="s">
        <v>14</v>
      </c>
      <c r="C979" s="1" t="s">
        <v>67</v>
      </c>
      <c r="D979" s="1" t="s">
        <v>29</v>
      </c>
      <c r="E979">
        <v>39</v>
      </c>
      <c r="F979" s="1">
        <f>VLOOKUP(jablka5[[#This Row],[Nazwa]],cennik[],2,0) * jablka5[[#This Row],[sprzedaż]]</f>
        <v>136.5</v>
      </c>
      <c r="G979" s="1">
        <f>IF(jablka5[[#This Row],[NIP]]=D978,jablka5[[#This Row],[sprzedaż]]+G978,jablka5[[#This Row],[sprzedaż]])</f>
        <v>7035</v>
      </c>
      <c r="H979" s="1">
        <f>IF(jablka5[[#This Row],[dot sprz]]&lt;15000,0,IF(jablka5[[#This Row],[dot sprz]]&lt;20000,5,10))</f>
        <v>0</v>
      </c>
      <c r="I979" s="1">
        <f>jablka5[[#This Row],[rabat]]*jablka5[[#This Row],[sprzedaż]]/100</f>
        <v>0</v>
      </c>
    </row>
    <row r="980" spans="1:9" x14ac:dyDescent="0.25">
      <c r="A980" s="2">
        <v>44725</v>
      </c>
      <c r="B980" s="1" t="s">
        <v>14</v>
      </c>
      <c r="C980" s="1" t="s">
        <v>67</v>
      </c>
      <c r="D980" s="1" t="s">
        <v>29</v>
      </c>
      <c r="E980">
        <v>89</v>
      </c>
      <c r="F980" s="1">
        <f>VLOOKUP(jablka5[[#This Row],[Nazwa]],cennik[],2,0) * jablka5[[#This Row],[sprzedaż]]</f>
        <v>311.5</v>
      </c>
      <c r="G980" s="1">
        <f>IF(jablka5[[#This Row],[NIP]]=D979,jablka5[[#This Row],[sprzedaż]]+G979,jablka5[[#This Row],[sprzedaż]])</f>
        <v>7124</v>
      </c>
      <c r="H980" s="1">
        <f>IF(jablka5[[#This Row],[dot sprz]]&lt;15000,0,IF(jablka5[[#This Row],[dot sprz]]&lt;20000,5,10))</f>
        <v>0</v>
      </c>
      <c r="I980" s="1">
        <f>jablka5[[#This Row],[rabat]]*jablka5[[#This Row],[sprzedaż]]/100</f>
        <v>0</v>
      </c>
    </row>
    <row r="981" spans="1:9" x14ac:dyDescent="0.25">
      <c r="A981" s="2">
        <v>44735</v>
      </c>
      <c r="B981" s="1" t="s">
        <v>13</v>
      </c>
      <c r="C981" s="1" t="s">
        <v>68</v>
      </c>
      <c r="D981" s="1" t="s">
        <v>29</v>
      </c>
      <c r="E981">
        <v>115</v>
      </c>
      <c r="F981" s="1">
        <f>VLOOKUP(jablka5[[#This Row],[Nazwa]],cennik[],2,0) * jablka5[[#This Row],[sprzedaż]]</f>
        <v>368</v>
      </c>
      <c r="G981" s="1">
        <f>IF(jablka5[[#This Row],[NIP]]=D980,jablka5[[#This Row],[sprzedaż]]+G980,jablka5[[#This Row],[sprzedaż]])</f>
        <v>7239</v>
      </c>
      <c r="H981" s="1">
        <f>IF(jablka5[[#This Row],[dot sprz]]&lt;15000,0,IF(jablka5[[#This Row],[dot sprz]]&lt;20000,5,10))</f>
        <v>0</v>
      </c>
      <c r="I981" s="1">
        <f>jablka5[[#This Row],[rabat]]*jablka5[[#This Row],[sprzedaż]]/100</f>
        <v>0</v>
      </c>
    </row>
    <row r="982" spans="1:9" x14ac:dyDescent="0.25">
      <c r="A982" s="2">
        <v>44740</v>
      </c>
      <c r="B982" s="1" t="s">
        <v>14</v>
      </c>
      <c r="C982" s="1" t="s">
        <v>67</v>
      </c>
      <c r="D982" s="1" t="s">
        <v>29</v>
      </c>
      <c r="E982">
        <v>377</v>
      </c>
      <c r="F982" s="1">
        <f>VLOOKUP(jablka5[[#This Row],[Nazwa]],cennik[],2,0) * jablka5[[#This Row],[sprzedaż]]</f>
        <v>1319.5</v>
      </c>
      <c r="G982" s="1">
        <f>IF(jablka5[[#This Row],[NIP]]=D981,jablka5[[#This Row],[sprzedaż]]+G981,jablka5[[#This Row],[sprzedaż]])</f>
        <v>7616</v>
      </c>
      <c r="H982" s="1">
        <f>IF(jablka5[[#This Row],[dot sprz]]&lt;15000,0,IF(jablka5[[#This Row],[dot sprz]]&lt;20000,5,10))</f>
        <v>0</v>
      </c>
      <c r="I982" s="1">
        <f>jablka5[[#This Row],[rabat]]*jablka5[[#This Row],[sprzedaż]]/100</f>
        <v>0</v>
      </c>
    </row>
    <row r="983" spans="1:9" x14ac:dyDescent="0.25">
      <c r="A983" s="2">
        <v>44741</v>
      </c>
      <c r="B983" s="1" t="s">
        <v>13</v>
      </c>
      <c r="C983" s="1" t="s">
        <v>68</v>
      </c>
      <c r="D983" s="1" t="s">
        <v>29</v>
      </c>
      <c r="E983">
        <v>148</v>
      </c>
      <c r="F983" s="1">
        <f>VLOOKUP(jablka5[[#This Row],[Nazwa]],cennik[],2,0) * jablka5[[#This Row],[sprzedaż]]</f>
        <v>473.6</v>
      </c>
      <c r="G983" s="1">
        <f>IF(jablka5[[#This Row],[NIP]]=D982,jablka5[[#This Row],[sprzedaż]]+G982,jablka5[[#This Row],[sprzedaż]])</f>
        <v>7764</v>
      </c>
      <c r="H983" s="1">
        <f>IF(jablka5[[#This Row],[dot sprz]]&lt;15000,0,IF(jablka5[[#This Row],[dot sprz]]&lt;20000,5,10))</f>
        <v>0</v>
      </c>
      <c r="I983" s="1">
        <f>jablka5[[#This Row],[rabat]]*jablka5[[#This Row],[sprzedaż]]/100</f>
        <v>0</v>
      </c>
    </row>
    <row r="984" spans="1:9" x14ac:dyDescent="0.25">
      <c r="A984" s="2">
        <v>44753</v>
      </c>
      <c r="B984" s="1" t="s">
        <v>13</v>
      </c>
      <c r="C984" s="1" t="s">
        <v>68</v>
      </c>
      <c r="D984" s="1" t="s">
        <v>29</v>
      </c>
      <c r="E984">
        <v>62</v>
      </c>
      <c r="F984" s="1">
        <f>VLOOKUP(jablka5[[#This Row],[Nazwa]],cennik[],2,0) * jablka5[[#This Row],[sprzedaż]]</f>
        <v>198.4</v>
      </c>
      <c r="G984" s="1">
        <f>IF(jablka5[[#This Row],[NIP]]=D983,jablka5[[#This Row],[sprzedaż]]+G983,jablka5[[#This Row],[sprzedaż]])</f>
        <v>7826</v>
      </c>
      <c r="H984" s="1">
        <f>IF(jablka5[[#This Row],[dot sprz]]&lt;15000,0,IF(jablka5[[#This Row],[dot sprz]]&lt;20000,5,10))</f>
        <v>0</v>
      </c>
      <c r="I984" s="1">
        <f>jablka5[[#This Row],[rabat]]*jablka5[[#This Row],[sprzedaż]]/100</f>
        <v>0</v>
      </c>
    </row>
    <row r="985" spans="1:9" x14ac:dyDescent="0.25">
      <c r="A985" s="2">
        <v>44756</v>
      </c>
      <c r="B985" s="1" t="s">
        <v>12</v>
      </c>
      <c r="C985" s="1" t="s">
        <v>68</v>
      </c>
      <c r="D985" s="1" t="s">
        <v>29</v>
      </c>
      <c r="E985">
        <v>275</v>
      </c>
      <c r="F985" s="1">
        <f>VLOOKUP(jablka5[[#This Row],[Nazwa]],cennik[],2,0) * jablka5[[#This Row],[sprzedaż]]</f>
        <v>742.5</v>
      </c>
      <c r="G985" s="1">
        <f>IF(jablka5[[#This Row],[NIP]]=D984,jablka5[[#This Row],[sprzedaż]]+G984,jablka5[[#This Row],[sprzedaż]])</f>
        <v>8101</v>
      </c>
      <c r="H985" s="1">
        <f>IF(jablka5[[#This Row],[dot sprz]]&lt;15000,0,IF(jablka5[[#This Row],[dot sprz]]&lt;20000,5,10))</f>
        <v>0</v>
      </c>
      <c r="I985" s="1">
        <f>jablka5[[#This Row],[rabat]]*jablka5[[#This Row],[sprzedaż]]/100</f>
        <v>0</v>
      </c>
    </row>
    <row r="986" spans="1:9" x14ac:dyDescent="0.25">
      <c r="A986" s="2">
        <v>44761</v>
      </c>
      <c r="B986" s="1" t="s">
        <v>13</v>
      </c>
      <c r="C986" s="1" t="s">
        <v>68</v>
      </c>
      <c r="D986" s="1" t="s">
        <v>29</v>
      </c>
      <c r="E986">
        <v>389</v>
      </c>
      <c r="F986" s="1">
        <f>VLOOKUP(jablka5[[#This Row],[Nazwa]],cennik[],2,0) * jablka5[[#This Row],[sprzedaż]]</f>
        <v>1244.8000000000002</v>
      </c>
      <c r="G986" s="1">
        <f>IF(jablka5[[#This Row],[NIP]]=D985,jablka5[[#This Row],[sprzedaż]]+G985,jablka5[[#This Row],[sprzedaż]])</f>
        <v>8490</v>
      </c>
      <c r="H986" s="1">
        <f>IF(jablka5[[#This Row],[dot sprz]]&lt;15000,0,IF(jablka5[[#This Row],[dot sprz]]&lt;20000,5,10))</f>
        <v>0</v>
      </c>
      <c r="I986" s="1">
        <f>jablka5[[#This Row],[rabat]]*jablka5[[#This Row],[sprzedaż]]/100</f>
        <v>0</v>
      </c>
    </row>
    <row r="987" spans="1:9" x14ac:dyDescent="0.25">
      <c r="A987" s="2">
        <v>44770</v>
      </c>
      <c r="B987" s="1" t="s">
        <v>14</v>
      </c>
      <c r="C987" s="1" t="s">
        <v>67</v>
      </c>
      <c r="D987" s="1" t="s">
        <v>29</v>
      </c>
      <c r="E987">
        <v>185</v>
      </c>
      <c r="F987" s="1">
        <f>VLOOKUP(jablka5[[#This Row],[Nazwa]],cennik[],2,0) * jablka5[[#This Row],[sprzedaż]]</f>
        <v>647.5</v>
      </c>
      <c r="G987" s="1">
        <f>IF(jablka5[[#This Row],[NIP]]=D986,jablka5[[#This Row],[sprzedaż]]+G986,jablka5[[#This Row],[sprzedaż]])</f>
        <v>8675</v>
      </c>
      <c r="H987" s="1">
        <f>IF(jablka5[[#This Row],[dot sprz]]&lt;15000,0,IF(jablka5[[#This Row],[dot sprz]]&lt;20000,5,10))</f>
        <v>0</v>
      </c>
      <c r="I987" s="1">
        <f>jablka5[[#This Row],[rabat]]*jablka5[[#This Row],[sprzedaż]]/100</f>
        <v>0</v>
      </c>
    </row>
    <row r="988" spans="1:9" x14ac:dyDescent="0.25">
      <c r="A988" s="2">
        <v>44771</v>
      </c>
      <c r="B988" s="1" t="s">
        <v>14</v>
      </c>
      <c r="C988" s="1" t="s">
        <v>67</v>
      </c>
      <c r="D988" s="1" t="s">
        <v>29</v>
      </c>
      <c r="E988">
        <v>438</v>
      </c>
      <c r="F988" s="1">
        <f>VLOOKUP(jablka5[[#This Row],[Nazwa]],cennik[],2,0) * jablka5[[#This Row],[sprzedaż]]</f>
        <v>1533</v>
      </c>
      <c r="G988" s="1">
        <f>IF(jablka5[[#This Row],[NIP]]=D987,jablka5[[#This Row],[sprzedaż]]+G987,jablka5[[#This Row],[sprzedaż]])</f>
        <v>9113</v>
      </c>
      <c r="H988" s="1">
        <f>IF(jablka5[[#This Row],[dot sprz]]&lt;15000,0,IF(jablka5[[#This Row],[dot sprz]]&lt;20000,5,10))</f>
        <v>0</v>
      </c>
      <c r="I988" s="1">
        <f>jablka5[[#This Row],[rabat]]*jablka5[[#This Row],[sprzedaż]]/100</f>
        <v>0</v>
      </c>
    </row>
    <row r="989" spans="1:9" x14ac:dyDescent="0.25">
      <c r="A989" s="2">
        <v>44781</v>
      </c>
      <c r="B989" s="1" t="s">
        <v>13</v>
      </c>
      <c r="C989" s="1" t="s">
        <v>68</v>
      </c>
      <c r="D989" s="1" t="s">
        <v>29</v>
      </c>
      <c r="E989">
        <v>388</v>
      </c>
      <c r="F989" s="1">
        <f>VLOOKUP(jablka5[[#This Row],[Nazwa]],cennik[],2,0) * jablka5[[#This Row],[sprzedaż]]</f>
        <v>1241.6000000000001</v>
      </c>
      <c r="G989" s="1">
        <f>IF(jablka5[[#This Row],[NIP]]=D988,jablka5[[#This Row],[sprzedaż]]+G988,jablka5[[#This Row],[sprzedaż]])</f>
        <v>9501</v>
      </c>
      <c r="H989" s="1">
        <f>IF(jablka5[[#This Row],[dot sprz]]&lt;15000,0,IF(jablka5[[#This Row],[dot sprz]]&lt;20000,5,10))</f>
        <v>0</v>
      </c>
      <c r="I989" s="1">
        <f>jablka5[[#This Row],[rabat]]*jablka5[[#This Row],[sprzedaż]]/100</f>
        <v>0</v>
      </c>
    </row>
    <row r="990" spans="1:9" x14ac:dyDescent="0.25">
      <c r="A990" s="2">
        <v>44782</v>
      </c>
      <c r="B990" s="1" t="s">
        <v>12</v>
      </c>
      <c r="C990" s="1" t="s">
        <v>68</v>
      </c>
      <c r="D990" s="1" t="s">
        <v>29</v>
      </c>
      <c r="E990">
        <v>48</v>
      </c>
      <c r="F990" s="1">
        <f>VLOOKUP(jablka5[[#This Row],[Nazwa]],cennik[],2,0) * jablka5[[#This Row],[sprzedaż]]</f>
        <v>129.60000000000002</v>
      </c>
      <c r="G990" s="1">
        <f>IF(jablka5[[#This Row],[NIP]]=D989,jablka5[[#This Row],[sprzedaż]]+G989,jablka5[[#This Row],[sprzedaż]])</f>
        <v>9549</v>
      </c>
      <c r="H990" s="1">
        <f>IF(jablka5[[#This Row],[dot sprz]]&lt;15000,0,IF(jablka5[[#This Row],[dot sprz]]&lt;20000,5,10))</f>
        <v>0</v>
      </c>
      <c r="I990" s="1">
        <f>jablka5[[#This Row],[rabat]]*jablka5[[#This Row],[sprzedaż]]/100</f>
        <v>0</v>
      </c>
    </row>
    <row r="991" spans="1:9" x14ac:dyDescent="0.25">
      <c r="A991" s="2">
        <v>44796</v>
      </c>
      <c r="B991" s="1" t="s">
        <v>12</v>
      </c>
      <c r="C991" s="1" t="s">
        <v>68</v>
      </c>
      <c r="D991" s="1" t="s">
        <v>29</v>
      </c>
      <c r="E991">
        <v>472</v>
      </c>
      <c r="F991" s="1">
        <f>VLOOKUP(jablka5[[#This Row],[Nazwa]],cennik[],2,0) * jablka5[[#This Row],[sprzedaż]]</f>
        <v>1274.4000000000001</v>
      </c>
      <c r="G991" s="1">
        <f>IF(jablka5[[#This Row],[NIP]]=D990,jablka5[[#This Row],[sprzedaż]]+G990,jablka5[[#This Row],[sprzedaż]])</f>
        <v>10021</v>
      </c>
      <c r="H991" s="1">
        <f>IF(jablka5[[#This Row],[dot sprz]]&lt;15000,0,IF(jablka5[[#This Row],[dot sprz]]&lt;20000,5,10))</f>
        <v>0</v>
      </c>
      <c r="I991" s="1">
        <f>jablka5[[#This Row],[rabat]]*jablka5[[#This Row],[sprzedaż]]/100</f>
        <v>0</v>
      </c>
    </row>
    <row r="992" spans="1:9" x14ac:dyDescent="0.25">
      <c r="A992" s="2">
        <v>44814</v>
      </c>
      <c r="B992" s="1" t="s">
        <v>1</v>
      </c>
      <c r="C992" s="1" t="s">
        <v>67</v>
      </c>
      <c r="D992" s="1" t="s">
        <v>29</v>
      </c>
      <c r="E992">
        <v>129</v>
      </c>
      <c r="F992" s="1">
        <f>VLOOKUP(jablka5[[#This Row],[Nazwa]],cennik[],2,0) * jablka5[[#This Row],[sprzedaż]]</f>
        <v>412.8</v>
      </c>
      <c r="G992" s="1">
        <f>IF(jablka5[[#This Row],[NIP]]=D991,jablka5[[#This Row],[sprzedaż]]+G991,jablka5[[#This Row],[sprzedaż]])</f>
        <v>10150</v>
      </c>
      <c r="H992" s="1">
        <f>IF(jablka5[[#This Row],[dot sprz]]&lt;15000,0,IF(jablka5[[#This Row],[dot sprz]]&lt;20000,5,10))</f>
        <v>0</v>
      </c>
      <c r="I992" s="1">
        <f>jablka5[[#This Row],[rabat]]*jablka5[[#This Row],[sprzedaż]]/100</f>
        <v>0</v>
      </c>
    </row>
    <row r="993" spans="1:9" x14ac:dyDescent="0.25">
      <c r="A993" s="2">
        <v>44825</v>
      </c>
      <c r="B993" s="1" t="s">
        <v>3</v>
      </c>
      <c r="C993" s="1" t="s">
        <v>67</v>
      </c>
      <c r="D993" s="1" t="s">
        <v>29</v>
      </c>
      <c r="E993">
        <v>164</v>
      </c>
      <c r="F993" s="1">
        <f>VLOOKUP(jablka5[[#This Row],[Nazwa]],cennik[],2,0) * jablka5[[#This Row],[sprzedaż]]</f>
        <v>524.80000000000007</v>
      </c>
      <c r="G993" s="1">
        <f>IF(jablka5[[#This Row],[NIP]]=D992,jablka5[[#This Row],[sprzedaż]]+G992,jablka5[[#This Row],[sprzedaż]])</f>
        <v>10314</v>
      </c>
      <c r="H993" s="1">
        <f>IF(jablka5[[#This Row],[dot sprz]]&lt;15000,0,IF(jablka5[[#This Row],[dot sprz]]&lt;20000,5,10))</f>
        <v>0</v>
      </c>
      <c r="I993" s="1">
        <f>jablka5[[#This Row],[rabat]]*jablka5[[#This Row],[sprzedaż]]/100</f>
        <v>0</v>
      </c>
    </row>
    <row r="994" spans="1:9" x14ac:dyDescent="0.25">
      <c r="A994" s="2">
        <v>44837</v>
      </c>
      <c r="B994" s="1" t="s">
        <v>1</v>
      </c>
      <c r="C994" s="1" t="s">
        <v>67</v>
      </c>
      <c r="D994" s="1" t="s">
        <v>29</v>
      </c>
      <c r="E994">
        <v>217</v>
      </c>
      <c r="F994" s="1">
        <f>VLOOKUP(jablka5[[#This Row],[Nazwa]],cennik[],2,0) * jablka5[[#This Row],[sprzedaż]]</f>
        <v>694.40000000000009</v>
      </c>
      <c r="G994" s="1">
        <f>IF(jablka5[[#This Row],[NIP]]=D993,jablka5[[#This Row],[sprzedaż]]+G993,jablka5[[#This Row],[sprzedaż]])</f>
        <v>10531</v>
      </c>
      <c r="H994" s="1">
        <f>IF(jablka5[[#This Row],[dot sprz]]&lt;15000,0,IF(jablka5[[#This Row],[dot sprz]]&lt;20000,5,10))</f>
        <v>0</v>
      </c>
      <c r="I994" s="1">
        <f>jablka5[[#This Row],[rabat]]*jablka5[[#This Row],[sprzedaż]]/100</f>
        <v>0</v>
      </c>
    </row>
    <row r="995" spans="1:9" x14ac:dyDescent="0.25">
      <c r="A995" s="2">
        <v>44841</v>
      </c>
      <c r="B995" s="1" t="s">
        <v>1</v>
      </c>
      <c r="C995" s="1" t="s">
        <v>67</v>
      </c>
      <c r="D995" s="1" t="s">
        <v>29</v>
      </c>
      <c r="E995">
        <v>252</v>
      </c>
      <c r="F995" s="1">
        <f>VLOOKUP(jablka5[[#This Row],[Nazwa]],cennik[],2,0) * jablka5[[#This Row],[sprzedaż]]</f>
        <v>806.40000000000009</v>
      </c>
      <c r="G995" s="1">
        <f>IF(jablka5[[#This Row],[NIP]]=D994,jablka5[[#This Row],[sprzedaż]]+G994,jablka5[[#This Row],[sprzedaż]])</f>
        <v>10783</v>
      </c>
      <c r="H995" s="1">
        <f>IF(jablka5[[#This Row],[dot sprz]]&lt;15000,0,IF(jablka5[[#This Row],[dot sprz]]&lt;20000,5,10))</f>
        <v>0</v>
      </c>
      <c r="I995" s="1">
        <f>jablka5[[#This Row],[rabat]]*jablka5[[#This Row],[sprzedaż]]/100</f>
        <v>0</v>
      </c>
    </row>
    <row r="996" spans="1:9" x14ac:dyDescent="0.25">
      <c r="A996" s="2">
        <v>44845</v>
      </c>
      <c r="B996" s="1" t="s">
        <v>11</v>
      </c>
      <c r="C996" s="1" t="s">
        <v>67</v>
      </c>
      <c r="D996" s="1" t="s">
        <v>29</v>
      </c>
      <c r="E996">
        <v>438</v>
      </c>
      <c r="F996" s="1">
        <f>VLOOKUP(jablka5[[#This Row],[Nazwa]],cennik[],2,0) * jablka5[[#This Row],[sprzedaż]]</f>
        <v>1095</v>
      </c>
      <c r="G996" s="1">
        <f>IF(jablka5[[#This Row],[NIP]]=D995,jablka5[[#This Row],[sprzedaż]]+G995,jablka5[[#This Row],[sprzedaż]])</f>
        <v>11221</v>
      </c>
      <c r="H996" s="1">
        <f>IF(jablka5[[#This Row],[dot sprz]]&lt;15000,0,IF(jablka5[[#This Row],[dot sprz]]&lt;20000,5,10))</f>
        <v>0</v>
      </c>
      <c r="I996" s="1">
        <f>jablka5[[#This Row],[rabat]]*jablka5[[#This Row],[sprzedaż]]/100</f>
        <v>0</v>
      </c>
    </row>
    <row r="997" spans="1:9" x14ac:dyDescent="0.25">
      <c r="A997" s="2">
        <v>44847</v>
      </c>
      <c r="B997" s="1" t="s">
        <v>9</v>
      </c>
      <c r="C997" s="1" t="s">
        <v>67</v>
      </c>
      <c r="D997" s="1" t="s">
        <v>29</v>
      </c>
      <c r="E997">
        <v>379</v>
      </c>
      <c r="F997" s="1">
        <f>VLOOKUP(jablka5[[#This Row],[Nazwa]],cennik[],2,0) * jablka5[[#This Row],[sprzedaż]]</f>
        <v>947.5</v>
      </c>
      <c r="G997" s="1">
        <f>IF(jablka5[[#This Row],[NIP]]=D996,jablka5[[#This Row],[sprzedaż]]+G996,jablka5[[#This Row],[sprzedaż]])</f>
        <v>11600</v>
      </c>
      <c r="H997" s="1">
        <f>IF(jablka5[[#This Row],[dot sprz]]&lt;15000,0,IF(jablka5[[#This Row],[dot sprz]]&lt;20000,5,10))</f>
        <v>0</v>
      </c>
      <c r="I997" s="1">
        <f>jablka5[[#This Row],[rabat]]*jablka5[[#This Row],[sprzedaż]]/100</f>
        <v>0</v>
      </c>
    </row>
    <row r="998" spans="1:9" x14ac:dyDescent="0.25">
      <c r="A998" s="2">
        <v>44849</v>
      </c>
      <c r="B998" s="1" t="s">
        <v>14</v>
      </c>
      <c r="C998" s="1" t="s">
        <v>67</v>
      </c>
      <c r="D998" s="1" t="s">
        <v>29</v>
      </c>
      <c r="E998">
        <v>168</v>
      </c>
      <c r="F998" s="1">
        <f>VLOOKUP(jablka5[[#This Row],[Nazwa]],cennik[],2,0) * jablka5[[#This Row],[sprzedaż]]</f>
        <v>588</v>
      </c>
      <c r="G998" s="1">
        <f>IF(jablka5[[#This Row],[NIP]]=D997,jablka5[[#This Row],[sprzedaż]]+G997,jablka5[[#This Row],[sprzedaż]])</f>
        <v>11768</v>
      </c>
      <c r="H998" s="1">
        <f>IF(jablka5[[#This Row],[dot sprz]]&lt;15000,0,IF(jablka5[[#This Row],[dot sprz]]&lt;20000,5,10))</f>
        <v>0</v>
      </c>
      <c r="I998" s="1">
        <f>jablka5[[#This Row],[rabat]]*jablka5[[#This Row],[sprzedaż]]/100</f>
        <v>0</v>
      </c>
    </row>
    <row r="999" spans="1:9" x14ac:dyDescent="0.25">
      <c r="A999" s="2">
        <v>44858</v>
      </c>
      <c r="B999" s="1" t="s">
        <v>14</v>
      </c>
      <c r="C999" s="1" t="s">
        <v>67</v>
      </c>
      <c r="D999" s="1" t="s">
        <v>29</v>
      </c>
      <c r="E999">
        <v>133</v>
      </c>
      <c r="F999" s="1">
        <f>VLOOKUP(jablka5[[#This Row],[Nazwa]],cennik[],2,0) * jablka5[[#This Row],[sprzedaż]]</f>
        <v>465.5</v>
      </c>
      <c r="G999" s="1">
        <f>IF(jablka5[[#This Row],[NIP]]=D998,jablka5[[#This Row],[sprzedaż]]+G998,jablka5[[#This Row],[sprzedaż]])</f>
        <v>11901</v>
      </c>
      <c r="H999" s="1">
        <f>IF(jablka5[[#This Row],[dot sprz]]&lt;15000,0,IF(jablka5[[#This Row],[dot sprz]]&lt;20000,5,10))</f>
        <v>0</v>
      </c>
      <c r="I999" s="1">
        <f>jablka5[[#This Row],[rabat]]*jablka5[[#This Row],[sprzedaż]]/100</f>
        <v>0</v>
      </c>
    </row>
    <row r="1000" spans="1:9" x14ac:dyDescent="0.25">
      <c r="A1000" s="2">
        <v>44859</v>
      </c>
      <c r="B1000" s="1" t="s">
        <v>9</v>
      </c>
      <c r="C1000" s="1" t="s">
        <v>67</v>
      </c>
      <c r="D1000" s="1" t="s">
        <v>29</v>
      </c>
      <c r="E1000">
        <v>455</v>
      </c>
      <c r="F1000" s="1">
        <f>VLOOKUP(jablka5[[#This Row],[Nazwa]],cennik[],2,0) * jablka5[[#This Row],[sprzedaż]]</f>
        <v>1137.5</v>
      </c>
      <c r="G1000" s="1">
        <f>IF(jablka5[[#This Row],[NIP]]=D999,jablka5[[#This Row],[sprzedaż]]+G999,jablka5[[#This Row],[sprzedaż]])</f>
        <v>12356</v>
      </c>
      <c r="H1000" s="1">
        <f>IF(jablka5[[#This Row],[dot sprz]]&lt;15000,0,IF(jablka5[[#This Row],[dot sprz]]&lt;20000,5,10))</f>
        <v>0</v>
      </c>
      <c r="I1000" s="1">
        <f>jablka5[[#This Row],[rabat]]*jablka5[[#This Row],[sprzedaż]]/100</f>
        <v>0</v>
      </c>
    </row>
    <row r="1001" spans="1:9" x14ac:dyDescent="0.25">
      <c r="A1001" s="2">
        <v>44861</v>
      </c>
      <c r="B1001" s="1" t="s">
        <v>3</v>
      </c>
      <c r="C1001" s="1" t="s">
        <v>67</v>
      </c>
      <c r="D1001" s="1" t="s">
        <v>29</v>
      </c>
      <c r="E1001">
        <v>365</v>
      </c>
      <c r="F1001" s="1">
        <f>VLOOKUP(jablka5[[#This Row],[Nazwa]],cennik[],2,0) * jablka5[[#This Row],[sprzedaż]]</f>
        <v>1168</v>
      </c>
      <c r="G1001" s="1">
        <f>IF(jablka5[[#This Row],[NIP]]=D1000,jablka5[[#This Row],[sprzedaż]]+G1000,jablka5[[#This Row],[sprzedaż]])</f>
        <v>12721</v>
      </c>
      <c r="H1001" s="1">
        <f>IF(jablka5[[#This Row],[dot sprz]]&lt;15000,0,IF(jablka5[[#This Row],[dot sprz]]&lt;20000,5,10))</f>
        <v>0</v>
      </c>
      <c r="I1001" s="1">
        <f>jablka5[[#This Row],[rabat]]*jablka5[[#This Row],[sprzedaż]]/100</f>
        <v>0</v>
      </c>
    </row>
    <row r="1002" spans="1:9" x14ac:dyDescent="0.25">
      <c r="A1002" s="2">
        <v>44865</v>
      </c>
      <c r="B1002" s="1" t="s">
        <v>14</v>
      </c>
      <c r="C1002" s="1" t="s">
        <v>67</v>
      </c>
      <c r="D1002" s="1" t="s">
        <v>29</v>
      </c>
      <c r="E1002">
        <v>284</v>
      </c>
      <c r="F1002" s="1">
        <f>VLOOKUP(jablka5[[#This Row],[Nazwa]],cennik[],2,0) * jablka5[[#This Row],[sprzedaż]]</f>
        <v>994</v>
      </c>
      <c r="G1002" s="1">
        <f>IF(jablka5[[#This Row],[NIP]]=D1001,jablka5[[#This Row],[sprzedaż]]+G1001,jablka5[[#This Row],[sprzedaż]])</f>
        <v>13005</v>
      </c>
      <c r="H1002" s="1">
        <f>IF(jablka5[[#This Row],[dot sprz]]&lt;15000,0,IF(jablka5[[#This Row],[dot sprz]]&lt;20000,5,10))</f>
        <v>0</v>
      </c>
      <c r="I1002" s="1">
        <f>jablka5[[#This Row],[rabat]]*jablka5[[#This Row],[sprzedaż]]/100</f>
        <v>0</v>
      </c>
    </row>
    <row r="1003" spans="1:9" x14ac:dyDescent="0.25">
      <c r="A1003" s="2">
        <v>44870</v>
      </c>
      <c r="B1003" s="1" t="s">
        <v>3</v>
      </c>
      <c r="C1003" s="1" t="s">
        <v>67</v>
      </c>
      <c r="D1003" s="1" t="s">
        <v>29</v>
      </c>
      <c r="E1003">
        <v>178</v>
      </c>
      <c r="F1003" s="1">
        <f>VLOOKUP(jablka5[[#This Row],[Nazwa]],cennik[],2,0) * jablka5[[#This Row],[sprzedaż]]</f>
        <v>569.6</v>
      </c>
      <c r="G1003" s="1">
        <f>IF(jablka5[[#This Row],[NIP]]=D1002,jablka5[[#This Row],[sprzedaż]]+G1002,jablka5[[#This Row],[sprzedaż]])</f>
        <v>13183</v>
      </c>
      <c r="H1003" s="1">
        <f>IF(jablka5[[#This Row],[dot sprz]]&lt;15000,0,IF(jablka5[[#This Row],[dot sprz]]&lt;20000,5,10))</f>
        <v>0</v>
      </c>
      <c r="I1003" s="1">
        <f>jablka5[[#This Row],[rabat]]*jablka5[[#This Row],[sprzedaż]]/100</f>
        <v>0</v>
      </c>
    </row>
    <row r="1004" spans="1:9" x14ac:dyDescent="0.25">
      <c r="A1004" s="2">
        <v>44886</v>
      </c>
      <c r="B1004" s="1" t="s">
        <v>14</v>
      </c>
      <c r="C1004" s="1" t="s">
        <v>67</v>
      </c>
      <c r="D1004" s="1" t="s">
        <v>29</v>
      </c>
      <c r="E1004">
        <v>14</v>
      </c>
      <c r="F1004" s="1">
        <f>VLOOKUP(jablka5[[#This Row],[Nazwa]],cennik[],2,0) * jablka5[[#This Row],[sprzedaż]]</f>
        <v>49</v>
      </c>
      <c r="G1004" s="1">
        <f>IF(jablka5[[#This Row],[NIP]]=D1003,jablka5[[#This Row],[sprzedaż]]+G1003,jablka5[[#This Row],[sprzedaż]])</f>
        <v>13197</v>
      </c>
      <c r="H1004" s="1">
        <f>IF(jablka5[[#This Row],[dot sprz]]&lt;15000,0,IF(jablka5[[#This Row],[dot sprz]]&lt;20000,5,10))</f>
        <v>0</v>
      </c>
      <c r="I1004" s="1">
        <f>jablka5[[#This Row],[rabat]]*jablka5[[#This Row],[sprzedaż]]/100</f>
        <v>0</v>
      </c>
    </row>
    <row r="1005" spans="1:9" x14ac:dyDescent="0.25">
      <c r="A1005" s="2">
        <v>44886</v>
      </c>
      <c r="B1005" s="1" t="s">
        <v>14</v>
      </c>
      <c r="C1005" s="1" t="s">
        <v>67</v>
      </c>
      <c r="D1005" s="1" t="s">
        <v>29</v>
      </c>
      <c r="E1005">
        <v>283</v>
      </c>
      <c r="F1005" s="1">
        <f>VLOOKUP(jablka5[[#This Row],[Nazwa]],cennik[],2,0) * jablka5[[#This Row],[sprzedaż]]</f>
        <v>990.5</v>
      </c>
      <c r="G1005" s="1">
        <f>IF(jablka5[[#This Row],[NIP]]=D1004,jablka5[[#This Row],[sprzedaż]]+G1004,jablka5[[#This Row],[sprzedaż]])</f>
        <v>13480</v>
      </c>
      <c r="H1005" s="1">
        <f>IF(jablka5[[#This Row],[dot sprz]]&lt;15000,0,IF(jablka5[[#This Row],[dot sprz]]&lt;20000,5,10))</f>
        <v>0</v>
      </c>
      <c r="I1005" s="1">
        <f>jablka5[[#This Row],[rabat]]*jablka5[[#This Row],[sprzedaż]]/100</f>
        <v>0</v>
      </c>
    </row>
    <row r="1006" spans="1:9" x14ac:dyDescent="0.25">
      <c r="A1006" s="2">
        <v>44887</v>
      </c>
      <c r="B1006" s="1" t="s">
        <v>9</v>
      </c>
      <c r="C1006" s="1" t="s">
        <v>67</v>
      </c>
      <c r="D1006" s="1" t="s">
        <v>29</v>
      </c>
      <c r="E1006">
        <v>10</v>
      </c>
      <c r="F1006" s="1">
        <f>VLOOKUP(jablka5[[#This Row],[Nazwa]],cennik[],2,0) * jablka5[[#This Row],[sprzedaż]]</f>
        <v>25</v>
      </c>
      <c r="G1006" s="1">
        <f>IF(jablka5[[#This Row],[NIP]]=D1005,jablka5[[#This Row],[sprzedaż]]+G1005,jablka5[[#This Row],[sprzedaż]])</f>
        <v>13490</v>
      </c>
      <c r="H1006" s="1">
        <f>IF(jablka5[[#This Row],[dot sprz]]&lt;15000,0,IF(jablka5[[#This Row],[dot sprz]]&lt;20000,5,10))</f>
        <v>0</v>
      </c>
      <c r="I1006" s="1">
        <f>jablka5[[#This Row],[rabat]]*jablka5[[#This Row],[sprzedaż]]/100</f>
        <v>0</v>
      </c>
    </row>
    <row r="1007" spans="1:9" x14ac:dyDescent="0.25">
      <c r="A1007" s="2">
        <v>44900</v>
      </c>
      <c r="B1007" s="1" t="s">
        <v>8</v>
      </c>
      <c r="C1007" s="1" t="s">
        <v>16</v>
      </c>
      <c r="D1007" s="1" t="s">
        <v>29</v>
      </c>
      <c r="E1007">
        <v>469</v>
      </c>
      <c r="F1007" s="1">
        <f>VLOOKUP(jablka5[[#This Row],[Nazwa]],cennik[],2,0) * jablka5[[#This Row],[sprzedaż]]</f>
        <v>1641.5</v>
      </c>
      <c r="G1007" s="1">
        <f>IF(jablka5[[#This Row],[NIP]]=D1006,jablka5[[#This Row],[sprzedaż]]+G1006,jablka5[[#This Row],[sprzedaż]])</f>
        <v>13959</v>
      </c>
      <c r="H1007" s="1">
        <f>IF(jablka5[[#This Row],[dot sprz]]&lt;15000,0,IF(jablka5[[#This Row],[dot sprz]]&lt;20000,5,10))</f>
        <v>0</v>
      </c>
      <c r="I1007" s="1">
        <f>jablka5[[#This Row],[rabat]]*jablka5[[#This Row],[sprzedaż]]/100</f>
        <v>0</v>
      </c>
    </row>
    <row r="1008" spans="1:9" x14ac:dyDescent="0.25">
      <c r="A1008" s="2">
        <v>44904</v>
      </c>
      <c r="B1008" s="1" t="s">
        <v>0</v>
      </c>
      <c r="C1008" s="1" t="s">
        <v>16</v>
      </c>
      <c r="D1008" s="1" t="s">
        <v>29</v>
      </c>
      <c r="E1008">
        <v>263</v>
      </c>
      <c r="F1008" s="1">
        <f>VLOOKUP(jablka5[[#This Row],[Nazwa]],cennik[],2,0) * jablka5[[#This Row],[sprzedaż]]</f>
        <v>762.69999999999993</v>
      </c>
      <c r="G1008" s="1">
        <f>IF(jablka5[[#This Row],[NIP]]=D1007,jablka5[[#This Row],[sprzedaż]]+G1007,jablka5[[#This Row],[sprzedaż]])</f>
        <v>14222</v>
      </c>
      <c r="H1008" s="1">
        <f>IF(jablka5[[#This Row],[dot sprz]]&lt;15000,0,IF(jablka5[[#This Row],[dot sprz]]&lt;20000,5,10))</f>
        <v>0</v>
      </c>
      <c r="I1008" s="1">
        <f>jablka5[[#This Row],[rabat]]*jablka5[[#This Row],[sprzedaż]]/100</f>
        <v>0</v>
      </c>
    </row>
    <row r="1009" spans="1:9" x14ac:dyDescent="0.25">
      <c r="A1009" s="2">
        <v>44908</v>
      </c>
      <c r="B1009" s="1" t="s">
        <v>0</v>
      </c>
      <c r="C1009" s="1" t="s">
        <v>16</v>
      </c>
      <c r="D1009" s="1" t="s">
        <v>29</v>
      </c>
      <c r="E1009">
        <v>26</v>
      </c>
      <c r="F1009" s="1">
        <f>VLOOKUP(jablka5[[#This Row],[Nazwa]],cennik[],2,0) * jablka5[[#This Row],[sprzedaż]]</f>
        <v>75.399999999999991</v>
      </c>
      <c r="G1009" s="1">
        <f>IF(jablka5[[#This Row],[NIP]]=D1008,jablka5[[#This Row],[sprzedaż]]+G1008,jablka5[[#This Row],[sprzedaż]])</f>
        <v>14248</v>
      </c>
      <c r="H1009" s="1">
        <f>IF(jablka5[[#This Row],[dot sprz]]&lt;15000,0,IF(jablka5[[#This Row],[dot sprz]]&lt;20000,5,10))</f>
        <v>0</v>
      </c>
      <c r="I1009" s="1">
        <f>jablka5[[#This Row],[rabat]]*jablka5[[#This Row],[sprzedaż]]/100</f>
        <v>0</v>
      </c>
    </row>
    <row r="1010" spans="1:9" x14ac:dyDescent="0.25">
      <c r="A1010" s="2">
        <v>44912</v>
      </c>
      <c r="B1010" s="1" t="s">
        <v>6</v>
      </c>
      <c r="C1010" s="1" t="s">
        <v>16</v>
      </c>
      <c r="D1010" s="1" t="s">
        <v>29</v>
      </c>
      <c r="E1010">
        <v>438</v>
      </c>
      <c r="F1010" s="1">
        <f>VLOOKUP(jablka5[[#This Row],[Nazwa]],cennik[],2,0) * jablka5[[#This Row],[sprzedaż]]</f>
        <v>1489.2</v>
      </c>
      <c r="G1010" s="1">
        <f>IF(jablka5[[#This Row],[NIP]]=D1009,jablka5[[#This Row],[sprzedaż]]+G1009,jablka5[[#This Row],[sprzedaż]])</f>
        <v>14686</v>
      </c>
      <c r="H1010" s="1">
        <f>IF(jablka5[[#This Row],[dot sprz]]&lt;15000,0,IF(jablka5[[#This Row],[dot sprz]]&lt;20000,5,10))</f>
        <v>0</v>
      </c>
      <c r="I1010" s="1">
        <f>jablka5[[#This Row],[rabat]]*jablka5[[#This Row],[sprzedaż]]/100</f>
        <v>0</v>
      </c>
    </row>
    <row r="1011" spans="1:9" x14ac:dyDescent="0.25">
      <c r="A1011" s="2">
        <v>44925</v>
      </c>
      <c r="B1011" s="1" t="s">
        <v>6</v>
      </c>
      <c r="C1011" s="1" t="s">
        <v>16</v>
      </c>
      <c r="D1011" s="1" t="s">
        <v>29</v>
      </c>
      <c r="E1011">
        <v>307</v>
      </c>
      <c r="F1011" s="1">
        <f>VLOOKUP(jablka5[[#This Row],[Nazwa]],cennik[],2,0) * jablka5[[#This Row],[sprzedaż]]</f>
        <v>1043.8</v>
      </c>
      <c r="G1011" s="1">
        <f>IF(jablka5[[#This Row],[NIP]]=D1010,jablka5[[#This Row],[sprzedaż]]+G1010,jablka5[[#This Row],[sprzedaż]])</f>
        <v>14993</v>
      </c>
      <c r="H1011" s="1">
        <f>IF(jablka5[[#This Row],[dot sprz]]&lt;15000,0,IF(jablka5[[#This Row],[dot sprz]]&lt;20000,5,10))</f>
        <v>0</v>
      </c>
      <c r="I1011" s="1">
        <f>jablka5[[#This Row],[rabat]]*jablka5[[#This Row],[sprzedaż]]/100</f>
        <v>0</v>
      </c>
    </row>
    <row r="1012" spans="1:9" x14ac:dyDescent="0.25">
      <c r="A1012" s="2">
        <v>44578</v>
      </c>
      <c r="B1012" s="1" t="s">
        <v>10</v>
      </c>
      <c r="C1012" s="1" t="s">
        <v>16</v>
      </c>
      <c r="D1012" s="1" t="s">
        <v>63</v>
      </c>
      <c r="E1012">
        <v>298</v>
      </c>
      <c r="F1012" s="1">
        <f>VLOOKUP(jablka5[[#This Row],[Nazwa]],cennik[],2,0) * jablka5[[#This Row],[sprzedaż]]</f>
        <v>1013.1999999999999</v>
      </c>
      <c r="G1012" s="1">
        <f>IF(jablka5[[#This Row],[NIP]]=D1011,jablka5[[#This Row],[sprzedaż]]+G1011,jablka5[[#This Row],[sprzedaż]])</f>
        <v>298</v>
      </c>
      <c r="H1012" s="1">
        <f>IF(jablka5[[#This Row],[dot sprz]]&lt;15000,0,IF(jablka5[[#This Row],[dot sprz]]&lt;20000,5,10))</f>
        <v>0</v>
      </c>
      <c r="I1012" s="1">
        <f>jablka5[[#This Row],[rabat]]*jablka5[[#This Row],[sprzedaż]]/100</f>
        <v>0</v>
      </c>
    </row>
    <row r="1013" spans="1:9" x14ac:dyDescent="0.25">
      <c r="A1013" s="2">
        <v>44578</v>
      </c>
      <c r="B1013" s="1" t="s">
        <v>15</v>
      </c>
      <c r="C1013" s="1" t="s">
        <v>16</v>
      </c>
      <c r="D1013" s="1" t="s">
        <v>63</v>
      </c>
      <c r="E1013">
        <v>221</v>
      </c>
      <c r="F1013" s="1">
        <f>VLOOKUP(jablka5[[#This Row],[Nazwa]],cennik[],2,0) * jablka5[[#This Row],[sprzedaż]]</f>
        <v>530.4</v>
      </c>
      <c r="G1013" s="1">
        <f>IF(jablka5[[#This Row],[NIP]]=D1012,jablka5[[#This Row],[sprzedaż]]+G1012,jablka5[[#This Row],[sprzedaż]])</f>
        <v>519</v>
      </c>
      <c r="H1013" s="1">
        <f>IF(jablka5[[#This Row],[dot sprz]]&lt;15000,0,IF(jablka5[[#This Row],[dot sprz]]&lt;20000,5,10))</f>
        <v>0</v>
      </c>
      <c r="I1013" s="1">
        <f>jablka5[[#This Row],[rabat]]*jablka5[[#This Row],[sprzedaż]]/100</f>
        <v>0</v>
      </c>
    </row>
    <row r="1014" spans="1:9" x14ac:dyDescent="0.25">
      <c r="A1014" s="2">
        <v>44580</v>
      </c>
      <c r="B1014" s="1" t="s">
        <v>10</v>
      </c>
      <c r="C1014" s="1" t="s">
        <v>16</v>
      </c>
      <c r="D1014" s="1" t="s">
        <v>63</v>
      </c>
      <c r="E1014">
        <v>385</v>
      </c>
      <c r="F1014" s="1">
        <f>VLOOKUP(jablka5[[#This Row],[Nazwa]],cennik[],2,0) * jablka5[[#This Row],[sprzedaż]]</f>
        <v>1309</v>
      </c>
      <c r="G1014" s="1">
        <f>IF(jablka5[[#This Row],[NIP]]=D1013,jablka5[[#This Row],[sprzedaż]]+G1013,jablka5[[#This Row],[sprzedaż]])</f>
        <v>904</v>
      </c>
      <c r="H1014" s="1">
        <f>IF(jablka5[[#This Row],[dot sprz]]&lt;15000,0,IF(jablka5[[#This Row],[dot sprz]]&lt;20000,5,10))</f>
        <v>0</v>
      </c>
      <c r="I1014" s="1">
        <f>jablka5[[#This Row],[rabat]]*jablka5[[#This Row],[sprzedaż]]/100</f>
        <v>0</v>
      </c>
    </row>
    <row r="1015" spans="1:9" x14ac:dyDescent="0.25">
      <c r="A1015" s="2">
        <v>44585</v>
      </c>
      <c r="B1015" s="1" t="s">
        <v>5</v>
      </c>
      <c r="C1015" s="1" t="s">
        <v>16</v>
      </c>
      <c r="D1015" s="1" t="s">
        <v>63</v>
      </c>
      <c r="E1015">
        <v>186</v>
      </c>
      <c r="F1015" s="1">
        <f>VLOOKUP(jablka5[[#This Row],[Nazwa]],cennik[],2,0) * jablka5[[#This Row],[sprzedaż]]</f>
        <v>632.4</v>
      </c>
      <c r="G1015" s="1">
        <f>IF(jablka5[[#This Row],[NIP]]=D1014,jablka5[[#This Row],[sprzedaż]]+G1014,jablka5[[#This Row],[sprzedaż]])</f>
        <v>1090</v>
      </c>
      <c r="H1015" s="1">
        <f>IF(jablka5[[#This Row],[dot sprz]]&lt;15000,0,IF(jablka5[[#This Row],[dot sprz]]&lt;20000,5,10))</f>
        <v>0</v>
      </c>
      <c r="I1015" s="1">
        <f>jablka5[[#This Row],[rabat]]*jablka5[[#This Row],[sprzedaż]]/100</f>
        <v>0</v>
      </c>
    </row>
    <row r="1016" spans="1:9" x14ac:dyDescent="0.25">
      <c r="A1016" s="2">
        <v>44590</v>
      </c>
      <c r="B1016" s="1" t="s">
        <v>4</v>
      </c>
      <c r="C1016" s="1" t="s">
        <v>16</v>
      </c>
      <c r="D1016" s="1" t="s">
        <v>63</v>
      </c>
      <c r="E1016">
        <v>783</v>
      </c>
      <c r="F1016" s="1">
        <f>VLOOKUP(jablka5[[#This Row],[Nazwa]],cennik[],2,0) * jablka5[[#This Row],[sprzedaż]]</f>
        <v>2662.2</v>
      </c>
      <c r="G1016" s="1">
        <f>IF(jablka5[[#This Row],[NIP]]=D1015,jablka5[[#This Row],[sprzedaż]]+G1015,jablka5[[#This Row],[sprzedaż]])</f>
        <v>1873</v>
      </c>
      <c r="H1016" s="1">
        <f>IF(jablka5[[#This Row],[dot sprz]]&lt;15000,0,IF(jablka5[[#This Row],[dot sprz]]&lt;20000,5,10))</f>
        <v>0</v>
      </c>
      <c r="I1016" s="1">
        <f>jablka5[[#This Row],[rabat]]*jablka5[[#This Row],[sprzedaż]]/100</f>
        <v>0</v>
      </c>
    </row>
    <row r="1017" spans="1:9" x14ac:dyDescent="0.25">
      <c r="A1017" s="2">
        <v>44601</v>
      </c>
      <c r="B1017" s="1" t="s">
        <v>2</v>
      </c>
      <c r="C1017" s="1" t="s">
        <v>16</v>
      </c>
      <c r="D1017" s="1" t="s">
        <v>63</v>
      </c>
      <c r="E1017">
        <v>42</v>
      </c>
      <c r="F1017" s="1">
        <f>VLOOKUP(jablka5[[#This Row],[Nazwa]],cennik[],2,0) * jablka5[[#This Row],[sprzedaż]]</f>
        <v>134.4</v>
      </c>
      <c r="G1017" s="1">
        <f>IF(jablka5[[#This Row],[NIP]]=D1016,jablka5[[#This Row],[sprzedaż]]+G1016,jablka5[[#This Row],[sprzedaż]])</f>
        <v>1915</v>
      </c>
      <c r="H1017" s="1">
        <f>IF(jablka5[[#This Row],[dot sprz]]&lt;15000,0,IF(jablka5[[#This Row],[dot sprz]]&lt;20000,5,10))</f>
        <v>0</v>
      </c>
      <c r="I1017" s="1">
        <f>jablka5[[#This Row],[rabat]]*jablka5[[#This Row],[sprzedaż]]/100</f>
        <v>0</v>
      </c>
    </row>
    <row r="1018" spans="1:9" x14ac:dyDescent="0.25">
      <c r="A1018" s="2">
        <v>44604</v>
      </c>
      <c r="B1018" s="1" t="s">
        <v>6</v>
      </c>
      <c r="C1018" s="1" t="s">
        <v>16</v>
      </c>
      <c r="D1018" s="1" t="s">
        <v>63</v>
      </c>
      <c r="E1018">
        <v>421</v>
      </c>
      <c r="F1018" s="1">
        <f>VLOOKUP(jablka5[[#This Row],[Nazwa]],cennik[],2,0) * jablka5[[#This Row],[sprzedaż]]</f>
        <v>1431.3999999999999</v>
      </c>
      <c r="G1018" s="1">
        <f>IF(jablka5[[#This Row],[NIP]]=D1017,jablka5[[#This Row],[sprzedaż]]+G1017,jablka5[[#This Row],[sprzedaż]])</f>
        <v>2336</v>
      </c>
      <c r="H1018" s="1">
        <f>IF(jablka5[[#This Row],[dot sprz]]&lt;15000,0,IF(jablka5[[#This Row],[dot sprz]]&lt;20000,5,10))</f>
        <v>0</v>
      </c>
      <c r="I1018" s="1">
        <f>jablka5[[#This Row],[rabat]]*jablka5[[#This Row],[sprzedaż]]/100</f>
        <v>0</v>
      </c>
    </row>
    <row r="1019" spans="1:9" x14ac:dyDescent="0.25">
      <c r="A1019" s="2">
        <v>44613</v>
      </c>
      <c r="B1019" s="1" t="s">
        <v>0</v>
      </c>
      <c r="C1019" s="1" t="s">
        <v>16</v>
      </c>
      <c r="D1019" s="1" t="s">
        <v>63</v>
      </c>
      <c r="E1019">
        <v>85</v>
      </c>
      <c r="F1019" s="1">
        <f>VLOOKUP(jablka5[[#This Row],[Nazwa]],cennik[],2,0) * jablka5[[#This Row],[sprzedaż]]</f>
        <v>246.5</v>
      </c>
      <c r="G1019" s="1">
        <f>IF(jablka5[[#This Row],[NIP]]=D1018,jablka5[[#This Row],[sprzedaż]]+G1018,jablka5[[#This Row],[sprzedaż]])</f>
        <v>2421</v>
      </c>
      <c r="H1019" s="1">
        <f>IF(jablka5[[#This Row],[dot sprz]]&lt;15000,0,IF(jablka5[[#This Row],[dot sprz]]&lt;20000,5,10))</f>
        <v>0</v>
      </c>
      <c r="I1019" s="1">
        <f>jablka5[[#This Row],[rabat]]*jablka5[[#This Row],[sprzedaż]]/100</f>
        <v>0</v>
      </c>
    </row>
    <row r="1020" spans="1:9" x14ac:dyDescent="0.25">
      <c r="A1020" s="2">
        <v>44613</v>
      </c>
      <c r="B1020" s="1" t="s">
        <v>4</v>
      </c>
      <c r="C1020" s="1" t="s">
        <v>16</v>
      </c>
      <c r="D1020" s="1" t="s">
        <v>63</v>
      </c>
      <c r="E1020">
        <v>454</v>
      </c>
      <c r="F1020" s="1">
        <f>VLOOKUP(jablka5[[#This Row],[Nazwa]],cennik[],2,0) * jablka5[[#This Row],[sprzedaż]]</f>
        <v>1543.6</v>
      </c>
      <c r="G1020" s="1">
        <f>IF(jablka5[[#This Row],[NIP]]=D1019,jablka5[[#This Row],[sprzedaż]]+G1019,jablka5[[#This Row],[sprzedaż]])</f>
        <v>2875</v>
      </c>
      <c r="H1020" s="1">
        <f>IF(jablka5[[#This Row],[dot sprz]]&lt;15000,0,IF(jablka5[[#This Row],[dot sprz]]&lt;20000,5,10))</f>
        <v>0</v>
      </c>
      <c r="I1020" s="1">
        <f>jablka5[[#This Row],[rabat]]*jablka5[[#This Row],[sprzedaż]]/100</f>
        <v>0</v>
      </c>
    </row>
    <row r="1021" spans="1:9" x14ac:dyDescent="0.25">
      <c r="A1021" s="2">
        <v>44622</v>
      </c>
      <c r="B1021" s="1" t="s">
        <v>15</v>
      </c>
      <c r="C1021" s="1" t="s">
        <v>16</v>
      </c>
      <c r="D1021" s="1" t="s">
        <v>63</v>
      </c>
      <c r="E1021">
        <v>536</v>
      </c>
      <c r="F1021" s="1">
        <f>VLOOKUP(jablka5[[#This Row],[Nazwa]],cennik[],2,0) * jablka5[[#This Row],[sprzedaż]]</f>
        <v>1286.3999999999999</v>
      </c>
      <c r="G1021" s="1">
        <f>IF(jablka5[[#This Row],[NIP]]=D1020,jablka5[[#This Row],[sprzedaż]]+G1020,jablka5[[#This Row],[sprzedaż]])</f>
        <v>3411</v>
      </c>
      <c r="H1021" s="1">
        <f>IF(jablka5[[#This Row],[dot sprz]]&lt;15000,0,IF(jablka5[[#This Row],[dot sprz]]&lt;20000,5,10))</f>
        <v>0</v>
      </c>
      <c r="I1021" s="1">
        <f>jablka5[[#This Row],[rabat]]*jablka5[[#This Row],[sprzedaż]]/100</f>
        <v>0</v>
      </c>
    </row>
    <row r="1022" spans="1:9" x14ac:dyDescent="0.25">
      <c r="A1022" s="2">
        <v>44625</v>
      </c>
      <c r="B1022" s="1" t="s">
        <v>8</v>
      </c>
      <c r="C1022" s="1" t="s">
        <v>16</v>
      </c>
      <c r="D1022" s="1" t="s">
        <v>63</v>
      </c>
      <c r="E1022">
        <v>495</v>
      </c>
      <c r="F1022" s="1">
        <f>VLOOKUP(jablka5[[#This Row],[Nazwa]],cennik[],2,0) * jablka5[[#This Row],[sprzedaż]]</f>
        <v>1732.5</v>
      </c>
      <c r="G1022" s="1">
        <f>IF(jablka5[[#This Row],[NIP]]=D1021,jablka5[[#This Row],[sprzedaż]]+G1021,jablka5[[#This Row],[sprzedaż]])</f>
        <v>3906</v>
      </c>
      <c r="H1022" s="1">
        <f>IF(jablka5[[#This Row],[dot sprz]]&lt;15000,0,IF(jablka5[[#This Row],[dot sprz]]&lt;20000,5,10))</f>
        <v>0</v>
      </c>
      <c r="I1022" s="1">
        <f>jablka5[[#This Row],[rabat]]*jablka5[[#This Row],[sprzedaż]]/100</f>
        <v>0</v>
      </c>
    </row>
    <row r="1023" spans="1:9" x14ac:dyDescent="0.25">
      <c r="A1023" s="2">
        <v>44638</v>
      </c>
      <c r="B1023" s="1" t="s">
        <v>10</v>
      </c>
      <c r="C1023" s="1" t="s">
        <v>16</v>
      </c>
      <c r="D1023" s="1" t="s">
        <v>63</v>
      </c>
      <c r="E1023">
        <v>156</v>
      </c>
      <c r="F1023" s="1">
        <f>VLOOKUP(jablka5[[#This Row],[Nazwa]],cennik[],2,0) * jablka5[[#This Row],[sprzedaż]]</f>
        <v>530.4</v>
      </c>
      <c r="G1023" s="1">
        <f>IF(jablka5[[#This Row],[NIP]]=D1022,jablka5[[#This Row],[sprzedaż]]+G1022,jablka5[[#This Row],[sprzedaż]])</f>
        <v>4062</v>
      </c>
      <c r="H1023" s="1">
        <f>IF(jablka5[[#This Row],[dot sprz]]&lt;15000,0,IF(jablka5[[#This Row],[dot sprz]]&lt;20000,5,10))</f>
        <v>0</v>
      </c>
      <c r="I1023" s="1">
        <f>jablka5[[#This Row],[rabat]]*jablka5[[#This Row],[sprzedaż]]/100</f>
        <v>0</v>
      </c>
    </row>
    <row r="1024" spans="1:9" x14ac:dyDescent="0.25">
      <c r="A1024" s="2">
        <v>44641</v>
      </c>
      <c r="B1024" s="1" t="s">
        <v>4</v>
      </c>
      <c r="C1024" s="1" t="s">
        <v>16</v>
      </c>
      <c r="D1024" s="1" t="s">
        <v>63</v>
      </c>
      <c r="E1024">
        <v>634</v>
      </c>
      <c r="F1024" s="1">
        <f>VLOOKUP(jablka5[[#This Row],[Nazwa]],cennik[],2,0) * jablka5[[#This Row],[sprzedaż]]</f>
        <v>2155.6</v>
      </c>
      <c r="G1024" s="1">
        <f>IF(jablka5[[#This Row],[NIP]]=D1023,jablka5[[#This Row],[sprzedaż]]+G1023,jablka5[[#This Row],[sprzedaż]])</f>
        <v>4696</v>
      </c>
      <c r="H1024" s="1">
        <f>IF(jablka5[[#This Row],[dot sprz]]&lt;15000,0,IF(jablka5[[#This Row],[dot sprz]]&lt;20000,5,10))</f>
        <v>0</v>
      </c>
      <c r="I1024" s="1">
        <f>jablka5[[#This Row],[rabat]]*jablka5[[#This Row],[sprzedaż]]/100</f>
        <v>0</v>
      </c>
    </row>
    <row r="1025" spans="1:9" x14ac:dyDescent="0.25">
      <c r="A1025" s="2">
        <v>44651</v>
      </c>
      <c r="B1025" s="1" t="s">
        <v>4</v>
      </c>
      <c r="C1025" s="1" t="s">
        <v>16</v>
      </c>
      <c r="D1025" s="1" t="s">
        <v>63</v>
      </c>
      <c r="E1025">
        <v>361</v>
      </c>
      <c r="F1025" s="1">
        <f>VLOOKUP(jablka5[[#This Row],[Nazwa]],cennik[],2,0) * jablka5[[#This Row],[sprzedaż]]</f>
        <v>1227.3999999999999</v>
      </c>
      <c r="G1025" s="1">
        <f>IF(jablka5[[#This Row],[NIP]]=D1024,jablka5[[#This Row],[sprzedaż]]+G1024,jablka5[[#This Row],[sprzedaż]])</f>
        <v>5057</v>
      </c>
      <c r="H1025" s="1">
        <f>IF(jablka5[[#This Row],[dot sprz]]&lt;15000,0,IF(jablka5[[#This Row],[dot sprz]]&lt;20000,5,10))</f>
        <v>0</v>
      </c>
      <c r="I1025" s="1">
        <f>jablka5[[#This Row],[rabat]]*jablka5[[#This Row],[sprzedaż]]/100</f>
        <v>0</v>
      </c>
    </row>
    <row r="1026" spans="1:9" x14ac:dyDescent="0.25">
      <c r="A1026" s="2">
        <v>44652</v>
      </c>
      <c r="B1026" s="1" t="s">
        <v>10</v>
      </c>
      <c r="C1026" s="1" t="s">
        <v>16</v>
      </c>
      <c r="D1026" s="1" t="s">
        <v>63</v>
      </c>
      <c r="E1026">
        <v>343</v>
      </c>
      <c r="F1026" s="1">
        <f>VLOOKUP(jablka5[[#This Row],[Nazwa]],cennik[],2,0) * jablka5[[#This Row],[sprzedaż]]</f>
        <v>1166.2</v>
      </c>
      <c r="G1026" s="1">
        <f>IF(jablka5[[#This Row],[NIP]]=D1025,jablka5[[#This Row],[sprzedaż]]+G1025,jablka5[[#This Row],[sprzedaż]])</f>
        <v>5400</v>
      </c>
      <c r="H1026" s="1">
        <f>IF(jablka5[[#This Row],[dot sprz]]&lt;15000,0,IF(jablka5[[#This Row],[dot sprz]]&lt;20000,5,10))</f>
        <v>0</v>
      </c>
      <c r="I1026" s="1">
        <f>jablka5[[#This Row],[rabat]]*jablka5[[#This Row],[sprzedaż]]/100</f>
        <v>0</v>
      </c>
    </row>
    <row r="1027" spans="1:9" x14ac:dyDescent="0.25">
      <c r="A1027" s="2">
        <v>44653</v>
      </c>
      <c r="B1027" s="1" t="s">
        <v>15</v>
      </c>
      <c r="C1027" s="1" t="s">
        <v>16</v>
      </c>
      <c r="D1027" s="1" t="s">
        <v>63</v>
      </c>
      <c r="E1027">
        <v>220</v>
      </c>
      <c r="F1027" s="1">
        <f>VLOOKUP(jablka5[[#This Row],[Nazwa]],cennik[],2,0) * jablka5[[#This Row],[sprzedaż]]</f>
        <v>528</v>
      </c>
      <c r="G1027" s="1">
        <f>IF(jablka5[[#This Row],[NIP]]=D1026,jablka5[[#This Row],[sprzedaż]]+G1026,jablka5[[#This Row],[sprzedaż]])</f>
        <v>5620</v>
      </c>
      <c r="H1027" s="1">
        <f>IF(jablka5[[#This Row],[dot sprz]]&lt;15000,0,IF(jablka5[[#This Row],[dot sprz]]&lt;20000,5,10))</f>
        <v>0</v>
      </c>
      <c r="I1027" s="1">
        <f>jablka5[[#This Row],[rabat]]*jablka5[[#This Row],[sprzedaż]]/100</f>
        <v>0</v>
      </c>
    </row>
    <row r="1028" spans="1:9" x14ac:dyDescent="0.25">
      <c r="A1028" s="2">
        <v>44653</v>
      </c>
      <c r="B1028" s="1" t="s">
        <v>5</v>
      </c>
      <c r="C1028" s="1" t="s">
        <v>16</v>
      </c>
      <c r="D1028" s="1" t="s">
        <v>63</v>
      </c>
      <c r="E1028">
        <v>433</v>
      </c>
      <c r="F1028" s="1">
        <f>VLOOKUP(jablka5[[#This Row],[Nazwa]],cennik[],2,0) * jablka5[[#This Row],[sprzedaż]]</f>
        <v>1472.2</v>
      </c>
      <c r="G1028" s="1">
        <f>IF(jablka5[[#This Row],[NIP]]=D1027,jablka5[[#This Row],[sprzedaż]]+G1027,jablka5[[#This Row],[sprzedaż]])</f>
        <v>6053</v>
      </c>
      <c r="H1028" s="1">
        <f>IF(jablka5[[#This Row],[dot sprz]]&lt;15000,0,IF(jablka5[[#This Row],[dot sprz]]&lt;20000,5,10))</f>
        <v>0</v>
      </c>
      <c r="I1028" s="1">
        <f>jablka5[[#This Row],[rabat]]*jablka5[[#This Row],[sprzedaż]]/100</f>
        <v>0</v>
      </c>
    </row>
    <row r="1029" spans="1:9" x14ac:dyDescent="0.25">
      <c r="A1029" s="2">
        <v>44658</v>
      </c>
      <c r="B1029" s="1" t="s">
        <v>10</v>
      </c>
      <c r="C1029" s="1" t="s">
        <v>16</v>
      </c>
      <c r="D1029" s="1" t="s">
        <v>63</v>
      </c>
      <c r="E1029">
        <v>20</v>
      </c>
      <c r="F1029" s="1">
        <f>VLOOKUP(jablka5[[#This Row],[Nazwa]],cennik[],2,0) * jablka5[[#This Row],[sprzedaż]]</f>
        <v>68</v>
      </c>
      <c r="G1029" s="1">
        <f>IF(jablka5[[#This Row],[NIP]]=D1028,jablka5[[#This Row],[sprzedaż]]+G1028,jablka5[[#This Row],[sprzedaż]])</f>
        <v>6073</v>
      </c>
      <c r="H1029" s="1">
        <f>IF(jablka5[[#This Row],[dot sprz]]&lt;15000,0,IF(jablka5[[#This Row],[dot sprz]]&lt;20000,5,10))</f>
        <v>0</v>
      </c>
      <c r="I1029" s="1">
        <f>jablka5[[#This Row],[rabat]]*jablka5[[#This Row],[sprzedaż]]/100</f>
        <v>0</v>
      </c>
    </row>
    <row r="1030" spans="1:9" x14ac:dyDescent="0.25">
      <c r="A1030" s="2">
        <v>44662</v>
      </c>
      <c r="B1030" s="1" t="s">
        <v>0</v>
      </c>
      <c r="C1030" s="1" t="s">
        <v>16</v>
      </c>
      <c r="D1030" s="1" t="s">
        <v>63</v>
      </c>
      <c r="E1030">
        <v>133</v>
      </c>
      <c r="F1030" s="1">
        <f>VLOOKUP(jablka5[[#This Row],[Nazwa]],cennik[],2,0) * jablka5[[#This Row],[sprzedaż]]</f>
        <v>385.7</v>
      </c>
      <c r="G1030" s="1">
        <f>IF(jablka5[[#This Row],[NIP]]=D1029,jablka5[[#This Row],[sprzedaż]]+G1029,jablka5[[#This Row],[sprzedaż]])</f>
        <v>6206</v>
      </c>
      <c r="H1030" s="1">
        <f>IF(jablka5[[#This Row],[dot sprz]]&lt;15000,0,IF(jablka5[[#This Row],[dot sprz]]&lt;20000,5,10))</f>
        <v>0</v>
      </c>
      <c r="I1030" s="1">
        <f>jablka5[[#This Row],[rabat]]*jablka5[[#This Row],[sprzedaż]]/100</f>
        <v>0</v>
      </c>
    </row>
    <row r="1031" spans="1:9" x14ac:dyDescent="0.25">
      <c r="A1031" s="2">
        <v>44663</v>
      </c>
      <c r="B1031" s="1" t="s">
        <v>5</v>
      </c>
      <c r="C1031" s="1" t="s">
        <v>16</v>
      </c>
      <c r="D1031" s="1" t="s">
        <v>63</v>
      </c>
      <c r="E1031">
        <v>307</v>
      </c>
      <c r="F1031" s="1">
        <f>VLOOKUP(jablka5[[#This Row],[Nazwa]],cennik[],2,0) * jablka5[[#This Row],[sprzedaż]]</f>
        <v>1043.8</v>
      </c>
      <c r="G1031" s="1">
        <f>IF(jablka5[[#This Row],[NIP]]=D1030,jablka5[[#This Row],[sprzedaż]]+G1030,jablka5[[#This Row],[sprzedaż]])</f>
        <v>6513</v>
      </c>
      <c r="H1031" s="1">
        <f>IF(jablka5[[#This Row],[dot sprz]]&lt;15000,0,IF(jablka5[[#This Row],[dot sprz]]&lt;20000,5,10))</f>
        <v>0</v>
      </c>
      <c r="I1031" s="1">
        <f>jablka5[[#This Row],[rabat]]*jablka5[[#This Row],[sprzedaż]]/100</f>
        <v>0</v>
      </c>
    </row>
    <row r="1032" spans="1:9" x14ac:dyDescent="0.25">
      <c r="A1032" s="2">
        <v>44676</v>
      </c>
      <c r="B1032" s="1" t="s">
        <v>15</v>
      </c>
      <c r="C1032" s="1" t="s">
        <v>16</v>
      </c>
      <c r="D1032" s="1" t="s">
        <v>63</v>
      </c>
      <c r="E1032">
        <v>178</v>
      </c>
      <c r="F1032" s="1">
        <f>VLOOKUP(jablka5[[#This Row],[Nazwa]],cennik[],2,0) * jablka5[[#This Row],[sprzedaż]]</f>
        <v>427.2</v>
      </c>
      <c r="G1032" s="1">
        <f>IF(jablka5[[#This Row],[NIP]]=D1031,jablka5[[#This Row],[sprzedaż]]+G1031,jablka5[[#This Row],[sprzedaż]])</f>
        <v>6691</v>
      </c>
      <c r="H1032" s="1">
        <f>IF(jablka5[[#This Row],[dot sprz]]&lt;15000,0,IF(jablka5[[#This Row],[dot sprz]]&lt;20000,5,10))</f>
        <v>0</v>
      </c>
      <c r="I1032" s="1">
        <f>jablka5[[#This Row],[rabat]]*jablka5[[#This Row],[sprzedaż]]/100</f>
        <v>0</v>
      </c>
    </row>
    <row r="1033" spans="1:9" x14ac:dyDescent="0.25">
      <c r="A1033" s="2">
        <v>44687</v>
      </c>
      <c r="B1033" s="1" t="s">
        <v>10</v>
      </c>
      <c r="C1033" s="1" t="s">
        <v>16</v>
      </c>
      <c r="D1033" s="1" t="s">
        <v>63</v>
      </c>
      <c r="E1033">
        <v>120</v>
      </c>
      <c r="F1033" s="1">
        <f>VLOOKUP(jablka5[[#This Row],[Nazwa]],cennik[],2,0) * jablka5[[#This Row],[sprzedaż]]</f>
        <v>408</v>
      </c>
      <c r="G1033" s="1">
        <f>IF(jablka5[[#This Row],[NIP]]=D1032,jablka5[[#This Row],[sprzedaż]]+G1032,jablka5[[#This Row],[sprzedaż]])</f>
        <v>6811</v>
      </c>
      <c r="H1033" s="1">
        <f>IF(jablka5[[#This Row],[dot sprz]]&lt;15000,0,IF(jablka5[[#This Row],[dot sprz]]&lt;20000,5,10))</f>
        <v>0</v>
      </c>
      <c r="I1033" s="1">
        <f>jablka5[[#This Row],[rabat]]*jablka5[[#This Row],[sprzedaż]]/100</f>
        <v>0</v>
      </c>
    </row>
    <row r="1034" spans="1:9" x14ac:dyDescent="0.25">
      <c r="A1034" s="2">
        <v>44690</v>
      </c>
      <c r="B1034" s="1" t="s">
        <v>7</v>
      </c>
      <c r="C1034" s="1" t="s">
        <v>16</v>
      </c>
      <c r="D1034" s="1" t="s">
        <v>63</v>
      </c>
      <c r="E1034">
        <v>527</v>
      </c>
      <c r="F1034" s="1">
        <f>VLOOKUP(jablka5[[#This Row],[Nazwa]],cennik[],2,0) * jablka5[[#This Row],[sprzedaż]]</f>
        <v>1791.8</v>
      </c>
      <c r="G1034" s="1">
        <f>IF(jablka5[[#This Row],[NIP]]=D1033,jablka5[[#This Row],[sprzedaż]]+G1033,jablka5[[#This Row],[sprzedaż]])</f>
        <v>7338</v>
      </c>
      <c r="H1034" s="1">
        <f>IF(jablka5[[#This Row],[dot sprz]]&lt;15000,0,IF(jablka5[[#This Row],[dot sprz]]&lt;20000,5,10))</f>
        <v>0</v>
      </c>
      <c r="I1034" s="1">
        <f>jablka5[[#This Row],[rabat]]*jablka5[[#This Row],[sprzedaż]]/100</f>
        <v>0</v>
      </c>
    </row>
    <row r="1035" spans="1:9" x14ac:dyDescent="0.25">
      <c r="A1035" s="2">
        <v>44695</v>
      </c>
      <c r="B1035" s="1" t="s">
        <v>2</v>
      </c>
      <c r="C1035" s="1" t="s">
        <v>16</v>
      </c>
      <c r="D1035" s="1" t="s">
        <v>63</v>
      </c>
      <c r="E1035">
        <v>358</v>
      </c>
      <c r="F1035" s="1">
        <f>VLOOKUP(jablka5[[#This Row],[Nazwa]],cennik[],2,0) * jablka5[[#This Row],[sprzedaż]]</f>
        <v>1145.6000000000001</v>
      </c>
      <c r="G1035" s="1">
        <f>IF(jablka5[[#This Row],[NIP]]=D1034,jablka5[[#This Row],[sprzedaż]]+G1034,jablka5[[#This Row],[sprzedaż]])</f>
        <v>7696</v>
      </c>
      <c r="H1035" s="1">
        <f>IF(jablka5[[#This Row],[dot sprz]]&lt;15000,0,IF(jablka5[[#This Row],[dot sprz]]&lt;20000,5,10))</f>
        <v>0</v>
      </c>
      <c r="I1035" s="1">
        <f>jablka5[[#This Row],[rabat]]*jablka5[[#This Row],[sprzedaż]]/100</f>
        <v>0</v>
      </c>
    </row>
    <row r="1036" spans="1:9" x14ac:dyDescent="0.25">
      <c r="A1036" s="2">
        <v>44701</v>
      </c>
      <c r="B1036" s="1" t="s">
        <v>5</v>
      </c>
      <c r="C1036" s="1" t="s">
        <v>16</v>
      </c>
      <c r="D1036" s="1" t="s">
        <v>63</v>
      </c>
      <c r="E1036">
        <v>211</v>
      </c>
      <c r="F1036" s="1">
        <f>VLOOKUP(jablka5[[#This Row],[Nazwa]],cennik[],2,0) * jablka5[[#This Row],[sprzedaż]]</f>
        <v>717.4</v>
      </c>
      <c r="G1036" s="1">
        <f>IF(jablka5[[#This Row],[NIP]]=D1035,jablka5[[#This Row],[sprzedaż]]+G1035,jablka5[[#This Row],[sprzedaż]])</f>
        <v>7907</v>
      </c>
      <c r="H1036" s="1">
        <f>IF(jablka5[[#This Row],[dot sprz]]&lt;15000,0,IF(jablka5[[#This Row],[dot sprz]]&lt;20000,5,10))</f>
        <v>0</v>
      </c>
      <c r="I1036" s="1">
        <f>jablka5[[#This Row],[rabat]]*jablka5[[#This Row],[sprzedaż]]/100</f>
        <v>0</v>
      </c>
    </row>
    <row r="1037" spans="1:9" x14ac:dyDescent="0.25">
      <c r="A1037" s="2">
        <v>44708</v>
      </c>
      <c r="B1037" s="1" t="s">
        <v>15</v>
      </c>
      <c r="C1037" s="1" t="s">
        <v>16</v>
      </c>
      <c r="D1037" s="1" t="s">
        <v>63</v>
      </c>
      <c r="E1037">
        <v>526</v>
      </c>
      <c r="F1037" s="1">
        <f>VLOOKUP(jablka5[[#This Row],[Nazwa]],cennik[],2,0) * jablka5[[#This Row],[sprzedaż]]</f>
        <v>1262.3999999999999</v>
      </c>
      <c r="G1037" s="1">
        <f>IF(jablka5[[#This Row],[NIP]]=D1036,jablka5[[#This Row],[sprzedaż]]+G1036,jablka5[[#This Row],[sprzedaż]])</f>
        <v>8433</v>
      </c>
      <c r="H1037" s="1">
        <f>IF(jablka5[[#This Row],[dot sprz]]&lt;15000,0,IF(jablka5[[#This Row],[dot sprz]]&lt;20000,5,10))</f>
        <v>0</v>
      </c>
      <c r="I1037" s="1">
        <f>jablka5[[#This Row],[rabat]]*jablka5[[#This Row],[sprzedaż]]/100</f>
        <v>0</v>
      </c>
    </row>
    <row r="1038" spans="1:9" x14ac:dyDescent="0.25">
      <c r="A1038" s="2">
        <v>44712</v>
      </c>
      <c r="B1038" s="1" t="s">
        <v>4</v>
      </c>
      <c r="C1038" s="1" t="s">
        <v>16</v>
      </c>
      <c r="D1038" s="1" t="s">
        <v>63</v>
      </c>
      <c r="E1038">
        <v>575</v>
      </c>
      <c r="F1038" s="1">
        <f>VLOOKUP(jablka5[[#This Row],[Nazwa]],cennik[],2,0) * jablka5[[#This Row],[sprzedaż]]</f>
        <v>1955</v>
      </c>
      <c r="G1038" s="1">
        <f>IF(jablka5[[#This Row],[NIP]]=D1037,jablka5[[#This Row],[sprzedaż]]+G1037,jablka5[[#This Row],[sprzedaż]])</f>
        <v>9008</v>
      </c>
      <c r="H1038" s="1">
        <f>IF(jablka5[[#This Row],[dot sprz]]&lt;15000,0,IF(jablka5[[#This Row],[dot sprz]]&lt;20000,5,10))</f>
        <v>0</v>
      </c>
      <c r="I1038" s="1">
        <f>jablka5[[#This Row],[rabat]]*jablka5[[#This Row],[sprzedaż]]/100</f>
        <v>0</v>
      </c>
    </row>
    <row r="1039" spans="1:9" x14ac:dyDescent="0.25">
      <c r="A1039" s="2">
        <v>44729</v>
      </c>
      <c r="B1039" s="1" t="s">
        <v>13</v>
      </c>
      <c r="C1039" s="1" t="s">
        <v>68</v>
      </c>
      <c r="D1039" s="1" t="s">
        <v>63</v>
      </c>
      <c r="E1039">
        <v>314</v>
      </c>
      <c r="F1039" s="1">
        <f>VLOOKUP(jablka5[[#This Row],[Nazwa]],cennik[],2,0) * jablka5[[#This Row],[sprzedaż]]</f>
        <v>1004.8000000000001</v>
      </c>
      <c r="G1039" s="1">
        <f>IF(jablka5[[#This Row],[NIP]]=D1038,jablka5[[#This Row],[sprzedaż]]+G1038,jablka5[[#This Row],[sprzedaż]])</f>
        <v>9322</v>
      </c>
      <c r="H1039" s="1">
        <f>IF(jablka5[[#This Row],[dot sprz]]&lt;15000,0,IF(jablka5[[#This Row],[dot sprz]]&lt;20000,5,10))</f>
        <v>0</v>
      </c>
      <c r="I1039" s="1">
        <f>jablka5[[#This Row],[rabat]]*jablka5[[#This Row],[sprzedaż]]/100</f>
        <v>0</v>
      </c>
    </row>
    <row r="1040" spans="1:9" x14ac:dyDescent="0.25">
      <c r="A1040" s="2">
        <v>44732</v>
      </c>
      <c r="B1040" s="1" t="s">
        <v>13</v>
      </c>
      <c r="C1040" s="1" t="s">
        <v>68</v>
      </c>
      <c r="D1040" s="1" t="s">
        <v>63</v>
      </c>
      <c r="E1040">
        <v>177</v>
      </c>
      <c r="F1040" s="1">
        <f>VLOOKUP(jablka5[[#This Row],[Nazwa]],cennik[],2,0) * jablka5[[#This Row],[sprzedaż]]</f>
        <v>566.4</v>
      </c>
      <c r="G1040" s="1">
        <f>IF(jablka5[[#This Row],[NIP]]=D1039,jablka5[[#This Row],[sprzedaż]]+G1039,jablka5[[#This Row],[sprzedaż]])</f>
        <v>9499</v>
      </c>
      <c r="H1040" s="1">
        <f>IF(jablka5[[#This Row],[dot sprz]]&lt;15000,0,IF(jablka5[[#This Row],[dot sprz]]&lt;20000,5,10))</f>
        <v>0</v>
      </c>
      <c r="I1040" s="1">
        <f>jablka5[[#This Row],[rabat]]*jablka5[[#This Row],[sprzedaż]]/100</f>
        <v>0</v>
      </c>
    </row>
    <row r="1041" spans="1:9" x14ac:dyDescent="0.25">
      <c r="A1041" s="2">
        <v>44735</v>
      </c>
      <c r="B1041" s="1" t="s">
        <v>13</v>
      </c>
      <c r="C1041" s="1" t="s">
        <v>68</v>
      </c>
      <c r="D1041" s="1" t="s">
        <v>63</v>
      </c>
      <c r="E1041">
        <v>435</v>
      </c>
      <c r="F1041" s="1">
        <f>VLOOKUP(jablka5[[#This Row],[Nazwa]],cennik[],2,0) * jablka5[[#This Row],[sprzedaż]]</f>
        <v>1392</v>
      </c>
      <c r="G1041" s="1">
        <f>IF(jablka5[[#This Row],[NIP]]=D1040,jablka5[[#This Row],[sprzedaż]]+G1040,jablka5[[#This Row],[sprzedaż]])</f>
        <v>9934</v>
      </c>
      <c r="H1041" s="1">
        <f>IF(jablka5[[#This Row],[dot sprz]]&lt;15000,0,IF(jablka5[[#This Row],[dot sprz]]&lt;20000,5,10))</f>
        <v>0</v>
      </c>
      <c r="I1041" s="1">
        <f>jablka5[[#This Row],[rabat]]*jablka5[[#This Row],[sprzedaż]]/100</f>
        <v>0</v>
      </c>
    </row>
    <row r="1042" spans="1:9" x14ac:dyDescent="0.25">
      <c r="A1042" s="2">
        <v>44739</v>
      </c>
      <c r="B1042" s="1" t="s">
        <v>12</v>
      </c>
      <c r="C1042" s="1" t="s">
        <v>68</v>
      </c>
      <c r="D1042" s="1" t="s">
        <v>63</v>
      </c>
      <c r="E1042">
        <v>177</v>
      </c>
      <c r="F1042" s="1">
        <f>VLOOKUP(jablka5[[#This Row],[Nazwa]],cennik[],2,0) * jablka5[[#This Row],[sprzedaż]]</f>
        <v>477.90000000000003</v>
      </c>
      <c r="G1042" s="1">
        <f>IF(jablka5[[#This Row],[NIP]]=D1041,jablka5[[#This Row],[sprzedaż]]+G1041,jablka5[[#This Row],[sprzedaż]])</f>
        <v>10111</v>
      </c>
      <c r="H1042" s="1">
        <f>IF(jablka5[[#This Row],[dot sprz]]&lt;15000,0,IF(jablka5[[#This Row],[dot sprz]]&lt;20000,5,10))</f>
        <v>0</v>
      </c>
      <c r="I1042" s="1">
        <f>jablka5[[#This Row],[rabat]]*jablka5[[#This Row],[sprzedaż]]/100</f>
        <v>0</v>
      </c>
    </row>
    <row r="1043" spans="1:9" x14ac:dyDescent="0.25">
      <c r="A1043" s="2">
        <v>44760</v>
      </c>
      <c r="B1043" s="1" t="s">
        <v>12</v>
      </c>
      <c r="C1043" s="1" t="s">
        <v>68</v>
      </c>
      <c r="D1043" s="1" t="s">
        <v>63</v>
      </c>
      <c r="E1043">
        <v>293</v>
      </c>
      <c r="F1043" s="1">
        <f>VLOOKUP(jablka5[[#This Row],[Nazwa]],cennik[],2,0) * jablka5[[#This Row],[sprzedaż]]</f>
        <v>791.1</v>
      </c>
      <c r="G1043" s="1">
        <f>IF(jablka5[[#This Row],[NIP]]=D1042,jablka5[[#This Row],[sprzedaż]]+G1042,jablka5[[#This Row],[sprzedaż]])</f>
        <v>10404</v>
      </c>
      <c r="H1043" s="1">
        <f>IF(jablka5[[#This Row],[dot sprz]]&lt;15000,0,IF(jablka5[[#This Row],[dot sprz]]&lt;20000,5,10))</f>
        <v>0</v>
      </c>
      <c r="I1043" s="1">
        <f>jablka5[[#This Row],[rabat]]*jablka5[[#This Row],[sprzedaż]]/100</f>
        <v>0</v>
      </c>
    </row>
    <row r="1044" spans="1:9" x14ac:dyDescent="0.25">
      <c r="A1044" s="2">
        <v>44761</v>
      </c>
      <c r="B1044" s="1" t="s">
        <v>14</v>
      </c>
      <c r="C1044" s="1" t="s">
        <v>67</v>
      </c>
      <c r="D1044" s="1" t="s">
        <v>63</v>
      </c>
      <c r="E1044">
        <v>201</v>
      </c>
      <c r="F1044" s="1">
        <f>VLOOKUP(jablka5[[#This Row],[Nazwa]],cennik[],2,0) * jablka5[[#This Row],[sprzedaż]]</f>
        <v>703.5</v>
      </c>
      <c r="G1044" s="1">
        <f>IF(jablka5[[#This Row],[NIP]]=D1043,jablka5[[#This Row],[sprzedaż]]+G1043,jablka5[[#This Row],[sprzedaż]])</f>
        <v>10605</v>
      </c>
      <c r="H1044" s="1">
        <f>IF(jablka5[[#This Row],[dot sprz]]&lt;15000,0,IF(jablka5[[#This Row],[dot sprz]]&lt;20000,5,10))</f>
        <v>0</v>
      </c>
      <c r="I1044" s="1">
        <f>jablka5[[#This Row],[rabat]]*jablka5[[#This Row],[sprzedaż]]/100</f>
        <v>0</v>
      </c>
    </row>
    <row r="1045" spans="1:9" x14ac:dyDescent="0.25">
      <c r="A1045" s="2">
        <v>44781</v>
      </c>
      <c r="B1045" s="1" t="s">
        <v>14</v>
      </c>
      <c r="C1045" s="1" t="s">
        <v>67</v>
      </c>
      <c r="D1045" s="1" t="s">
        <v>63</v>
      </c>
      <c r="E1045">
        <v>122</v>
      </c>
      <c r="F1045" s="1">
        <f>VLOOKUP(jablka5[[#This Row],[Nazwa]],cennik[],2,0) * jablka5[[#This Row],[sprzedaż]]</f>
        <v>427</v>
      </c>
      <c r="G1045" s="1">
        <f>IF(jablka5[[#This Row],[NIP]]=D1044,jablka5[[#This Row],[sprzedaż]]+G1044,jablka5[[#This Row],[sprzedaż]])</f>
        <v>10727</v>
      </c>
      <c r="H1045" s="1">
        <f>IF(jablka5[[#This Row],[dot sprz]]&lt;15000,0,IF(jablka5[[#This Row],[dot sprz]]&lt;20000,5,10))</f>
        <v>0</v>
      </c>
      <c r="I1045" s="1">
        <f>jablka5[[#This Row],[rabat]]*jablka5[[#This Row],[sprzedaż]]/100</f>
        <v>0</v>
      </c>
    </row>
    <row r="1046" spans="1:9" x14ac:dyDescent="0.25">
      <c r="A1046" s="2">
        <v>44793</v>
      </c>
      <c r="B1046" s="1" t="s">
        <v>12</v>
      </c>
      <c r="C1046" s="1" t="s">
        <v>68</v>
      </c>
      <c r="D1046" s="1" t="s">
        <v>63</v>
      </c>
      <c r="E1046">
        <v>261</v>
      </c>
      <c r="F1046" s="1">
        <f>VLOOKUP(jablka5[[#This Row],[Nazwa]],cennik[],2,0) * jablka5[[#This Row],[sprzedaż]]</f>
        <v>704.7</v>
      </c>
      <c r="G1046" s="1">
        <f>IF(jablka5[[#This Row],[NIP]]=D1045,jablka5[[#This Row],[sprzedaż]]+G1045,jablka5[[#This Row],[sprzedaż]])</f>
        <v>10988</v>
      </c>
      <c r="H1046" s="1">
        <f>IF(jablka5[[#This Row],[dot sprz]]&lt;15000,0,IF(jablka5[[#This Row],[dot sprz]]&lt;20000,5,10))</f>
        <v>0</v>
      </c>
      <c r="I1046" s="1">
        <f>jablka5[[#This Row],[rabat]]*jablka5[[#This Row],[sprzedaż]]/100</f>
        <v>0</v>
      </c>
    </row>
    <row r="1047" spans="1:9" x14ac:dyDescent="0.25">
      <c r="A1047" s="2">
        <v>44809</v>
      </c>
      <c r="B1047" s="1" t="s">
        <v>14</v>
      </c>
      <c r="C1047" s="1" t="s">
        <v>67</v>
      </c>
      <c r="D1047" s="1" t="s">
        <v>63</v>
      </c>
      <c r="E1047">
        <v>132</v>
      </c>
      <c r="F1047" s="1">
        <f>VLOOKUP(jablka5[[#This Row],[Nazwa]],cennik[],2,0) * jablka5[[#This Row],[sprzedaż]]</f>
        <v>462</v>
      </c>
      <c r="G1047" s="1">
        <f>IF(jablka5[[#This Row],[NIP]]=D1046,jablka5[[#This Row],[sprzedaż]]+G1046,jablka5[[#This Row],[sprzedaż]])</f>
        <v>11120</v>
      </c>
      <c r="H1047" s="1">
        <f>IF(jablka5[[#This Row],[dot sprz]]&lt;15000,0,IF(jablka5[[#This Row],[dot sprz]]&lt;20000,5,10))</f>
        <v>0</v>
      </c>
      <c r="I1047" s="1">
        <f>jablka5[[#This Row],[rabat]]*jablka5[[#This Row],[sprzedaż]]/100</f>
        <v>0</v>
      </c>
    </row>
    <row r="1048" spans="1:9" x14ac:dyDescent="0.25">
      <c r="A1048" s="2">
        <v>44828</v>
      </c>
      <c r="B1048" s="1" t="s">
        <v>3</v>
      </c>
      <c r="C1048" s="1" t="s">
        <v>67</v>
      </c>
      <c r="D1048" s="1" t="s">
        <v>63</v>
      </c>
      <c r="E1048">
        <v>342</v>
      </c>
      <c r="F1048" s="1">
        <f>VLOOKUP(jablka5[[#This Row],[Nazwa]],cennik[],2,0) * jablka5[[#This Row],[sprzedaż]]</f>
        <v>1094.4000000000001</v>
      </c>
      <c r="G1048" s="1">
        <f>IF(jablka5[[#This Row],[NIP]]=D1047,jablka5[[#This Row],[sprzedaż]]+G1047,jablka5[[#This Row],[sprzedaż]])</f>
        <v>11462</v>
      </c>
      <c r="H1048" s="1">
        <f>IF(jablka5[[#This Row],[dot sprz]]&lt;15000,0,IF(jablka5[[#This Row],[dot sprz]]&lt;20000,5,10))</f>
        <v>0</v>
      </c>
      <c r="I1048" s="1">
        <f>jablka5[[#This Row],[rabat]]*jablka5[[#This Row],[sprzedaż]]/100</f>
        <v>0</v>
      </c>
    </row>
    <row r="1049" spans="1:9" x14ac:dyDescent="0.25">
      <c r="A1049" s="2">
        <v>44844</v>
      </c>
      <c r="B1049" s="1" t="s">
        <v>14</v>
      </c>
      <c r="C1049" s="1" t="s">
        <v>67</v>
      </c>
      <c r="D1049" s="1" t="s">
        <v>63</v>
      </c>
      <c r="E1049">
        <v>178</v>
      </c>
      <c r="F1049" s="1">
        <f>VLOOKUP(jablka5[[#This Row],[Nazwa]],cennik[],2,0) * jablka5[[#This Row],[sprzedaż]]</f>
        <v>623</v>
      </c>
      <c r="G1049" s="1">
        <f>IF(jablka5[[#This Row],[NIP]]=D1048,jablka5[[#This Row],[sprzedaż]]+G1048,jablka5[[#This Row],[sprzedaż]])</f>
        <v>11640</v>
      </c>
      <c r="H1049" s="1">
        <f>IF(jablka5[[#This Row],[dot sprz]]&lt;15000,0,IF(jablka5[[#This Row],[dot sprz]]&lt;20000,5,10))</f>
        <v>0</v>
      </c>
      <c r="I1049" s="1">
        <f>jablka5[[#This Row],[rabat]]*jablka5[[#This Row],[sprzedaż]]/100</f>
        <v>0</v>
      </c>
    </row>
    <row r="1050" spans="1:9" x14ac:dyDescent="0.25">
      <c r="A1050" s="2">
        <v>44846</v>
      </c>
      <c r="B1050" s="1" t="s">
        <v>3</v>
      </c>
      <c r="C1050" s="1" t="s">
        <v>67</v>
      </c>
      <c r="D1050" s="1" t="s">
        <v>63</v>
      </c>
      <c r="E1050">
        <v>292</v>
      </c>
      <c r="F1050" s="1">
        <f>VLOOKUP(jablka5[[#This Row],[Nazwa]],cennik[],2,0) * jablka5[[#This Row],[sprzedaż]]</f>
        <v>934.40000000000009</v>
      </c>
      <c r="G1050" s="1">
        <f>IF(jablka5[[#This Row],[NIP]]=D1049,jablka5[[#This Row],[sprzedaż]]+G1049,jablka5[[#This Row],[sprzedaż]])</f>
        <v>11932</v>
      </c>
      <c r="H1050" s="1">
        <f>IF(jablka5[[#This Row],[dot sprz]]&lt;15000,0,IF(jablka5[[#This Row],[dot sprz]]&lt;20000,5,10))</f>
        <v>0</v>
      </c>
      <c r="I1050" s="1">
        <f>jablka5[[#This Row],[rabat]]*jablka5[[#This Row],[sprzedaż]]/100</f>
        <v>0</v>
      </c>
    </row>
    <row r="1051" spans="1:9" x14ac:dyDescent="0.25">
      <c r="A1051" s="2">
        <v>44851</v>
      </c>
      <c r="B1051" s="1" t="s">
        <v>1</v>
      </c>
      <c r="C1051" s="1" t="s">
        <v>67</v>
      </c>
      <c r="D1051" s="1" t="s">
        <v>63</v>
      </c>
      <c r="E1051">
        <v>263</v>
      </c>
      <c r="F1051" s="1">
        <f>VLOOKUP(jablka5[[#This Row],[Nazwa]],cennik[],2,0) * jablka5[[#This Row],[sprzedaż]]</f>
        <v>841.6</v>
      </c>
      <c r="G1051" s="1">
        <f>IF(jablka5[[#This Row],[NIP]]=D1050,jablka5[[#This Row],[sprzedaż]]+G1050,jablka5[[#This Row],[sprzedaż]])</f>
        <v>12195</v>
      </c>
      <c r="H1051" s="1">
        <f>IF(jablka5[[#This Row],[dot sprz]]&lt;15000,0,IF(jablka5[[#This Row],[dot sprz]]&lt;20000,5,10))</f>
        <v>0</v>
      </c>
      <c r="I1051" s="1">
        <f>jablka5[[#This Row],[rabat]]*jablka5[[#This Row],[sprzedaż]]/100</f>
        <v>0</v>
      </c>
    </row>
    <row r="1052" spans="1:9" x14ac:dyDescent="0.25">
      <c r="A1052" s="2">
        <v>44860</v>
      </c>
      <c r="B1052" s="1" t="s">
        <v>1</v>
      </c>
      <c r="C1052" s="1" t="s">
        <v>67</v>
      </c>
      <c r="D1052" s="1" t="s">
        <v>63</v>
      </c>
      <c r="E1052">
        <v>489</v>
      </c>
      <c r="F1052" s="1">
        <f>VLOOKUP(jablka5[[#This Row],[Nazwa]],cennik[],2,0) * jablka5[[#This Row],[sprzedaż]]</f>
        <v>1564.8000000000002</v>
      </c>
      <c r="G1052" s="1">
        <f>IF(jablka5[[#This Row],[NIP]]=D1051,jablka5[[#This Row],[sprzedaż]]+G1051,jablka5[[#This Row],[sprzedaż]])</f>
        <v>12684</v>
      </c>
      <c r="H1052" s="1">
        <f>IF(jablka5[[#This Row],[dot sprz]]&lt;15000,0,IF(jablka5[[#This Row],[dot sprz]]&lt;20000,5,10))</f>
        <v>0</v>
      </c>
      <c r="I1052" s="1">
        <f>jablka5[[#This Row],[rabat]]*jablka5[[#This Row],[sprzedaż]]/100</f>
        <v>0</v>
      </c>
    </row>
    <row r="1053" spans="1:9" x14ac:dyDescent="0.25">
      <c r="A1053" s="2">
        <v>44865</v>
      </c>
      <c r="B1053" s="1" t="s">
        <v>3</v>
      </c>
      <c r="C1053" s="1" t="s">
        <v>67</v>
      </c>
      <c r="D1053" s="1" t="s">
        <v>63</v>
      </c>
      <c r="E1053">
        <v>41</v>
      </c>
      <c r="F1053" s="1">
        <f>VLOOKUP(jablka5[[#This Row],[Nazwa]],cennik[],2,0) * jablka5[[#This Row],[sprzedaż]]</f>
        <v>131.20000000000002</v>
      </c>
      <c r="G1053" s="1">
        <f>IF(jablka5[[#This Row],[NIP]]=D1052,jablka5[[#This Row],[sprzedaż]]+G1052,jablka5[[#This Row],[sprzedaż]])</f>
        <v>12725</v>
      </c>
      <c r="H1053" s="1">
        <f>IF(jablka5[[#This Row],[dot sprz]]&lt;15000,0,IF(jablka5[[#This Row],[dot sprz]]&lt;20000,5,10))</f>
        <v>0</v>
      </c>
      <c r="I1053" s="1">
        <f>jablka5[[#This Row],[rabat]]*jablka5[[#This Row],[sprzedaż]]/100</f>
        <v>0</v>
      </c>
    </row>
    <row r="1054" spans="1:9" x14ac:dyDescent="0.25">
      <c r="A1054" s="2">
        <v>44869</v>
      </c>
      <c r="B1054" s="1" t="s">
        <v>3</v>
      </c>
      <c r="C1054" s="1" t="s">
        <v>67</v>
      </c>
      <c r="D1054" s="1" t="s">
        <v>63</v>
      </c>
      <c r="E1054">
        <v>179</v>
      </c>
      <c r="F1054" s="1">
        <f>VLOOKUP(jablka5[[#This Row],[Nazwa]],cennik[],2,0) * jablka5[[#This Row],[sprzedaż]]</f>
        <v>572.80000000000007</v>
      </c>
      <c r="G1054" s="1">
        <f>IF(jablka5[[#This Row],[NIP]]=D1053,jablka5[[#This Row],[sprzedaż]]+G1053,jablka5[[#This Row],[sprzedaż]])</f>
        <v>12904</v>
      </c>
      <c r="H1054" s="1">
        <f>IF(jablka5[[#This Row],[dot sprz]]&lt;15000,0,IF(jablka5[[#This Row],[dot sprz]]&lt;20000,5,10))</f>
        <v>0</v>
      </c>
      <c r="I1054" s="1">
        <f>jablka5[[#This Row],[rabat]]*jablka5[[#This Row],[sprzedaż]]/100</f>
        <v>0</v>
      </c>
    </row>
    <row r="1055" spans="1:9" x14ac:dyDescent="0.25">
      <c r="A1055" s="2">
        <v>44873</v>
      </c>
      <c r="B1055" s="1" t="s">
        <v>14</v>
      </c>
      <c r="C1055" s="1" t="s">
        <v>67</v>
      </c>
      <c r="D1055" s="1" t="s">
        <v>63</v>
      </c>
      <c r="E1055">
        <v>311</v>
      </c>
      <c r="F1055" s="1">
        <f>VLOOKUP(jablka5[[#This Row],[Nazwa]],cennik[],2,0) * jablka5[[#This Row],[sprzedaż]]</f>
        <v>1088.5</v>
      </c>
      <c r="G1055" s="1">
        <f>IF(jablka5[[#This Row],[NIP]]=D1054,jablka5[[#This Row],[sprzedaż]]+G1054,jablka5[[#This Row],[sprzedaż]])</f>
        <v>13215</v>
      </c>
      <c r="H1055" s="1">
        <f>IF(jablka5[[#This Row],[dot sprz]]&lt;15000,0,IF(jablka5[[#This Row],[dot sprz]]&lt;20000,5,10))</f>
        <v>0</v>
      </c>
      <c r="I1055" s="1">
        <f>jablka5[[#This Row],[rabat]]*jablka5[[#This Row],[sprzedaż]]/100</f>
        <v>0</v>
      </c>
    </row>
    <row r="1056" spans="1:9" x14ac:dyDescent="0.25">
      <c r="A1056" s="2">
        <v>44883</v>
      </c>
      <c r="B1056" s="1" t="s">
        <v>14</v>
      </c>
      <c r="C1056" s="1" t="s">
        <v>67</v>
      </c>
      <c r="D1056" s="1" t="s">
        <v>63</v>
      </c>
      <c r="E1056">
        <v>16</v>
      </c>
      <c r="F1056" s="1">
        <f>VLOOKUP(jablka5[[#This Row],[Nazwa]],cennik[],2,0) * jablka5[[#This Row],[sprzedaż]]</f>
        <v>56</v>
      </c>
      <c r="G1056" s="1">
        <f>IF(jablka5[[#This Row],[NIP]]=D1055,jablka5[[#This Row],[sprzedaż]]+G1055,jablka5[[#This Row],[sprzedaż]])</f>
        <v>13231</v>
      </c>
      <c r="H1056" s="1">
        <f>IF(jablka5[[#This Row],[dot sprz]]&lt;15000,0,IF(jablka5[[#This Row],[dot sprz]]&lt;20000,5,10))</f>
        <v>0</v>
      </c>
      <c r="I1056" s="1">
        <f>jablka5[[#This Row],[rabat]]*jablka5[[#This Row],[sprzedaż]]/100</f>
        <v>0</v>
      </c>
    </row>
    <row r="1057" spans="1:9" x14ac:dyDescent="0.25">
      <c r="A1057" s="2">
        <v>44883</v>
      </c>
      <c r="B1057" s="1" t="s">
        <v>11</v>
      </c>
      <c r="C1057" s="1" t="s">
        <v>67</v>
      </c>
      <c r="D1057" s="1" t="s">
        <v>63</v>
      </c>
      <c r="E1057">
        <v>417</v>
      </c>
      <c r="F1057" s="1">
        <f>VLOOKUP(jablka5[[#This Row],[Nazwa]],cennik[],2,0) * jablka5[[#This Row],[sprzedaż]]</f>
        <v>1042.5</v>
      </c>
      <c r="G1057" s="1">
        <f>IF(jablka5[[#This Row],[NIP]]=D1056,jablka5[[#This Row],[sprzedaż]]+G1056,jablka5[[#This Row],[sprzedaż]])</f>
        <v>13648</v>
      </c>
      <c r="H1057" s="1">
        <f>IF(jablka5[[#This Row],[dot sprz]]&lt;15000,0,IF(jablka5[[#This Row],[dot sprz]]&lt;20000,5,10))</f>
        <v>0</v>
      </c>
      <c r="I1057" s="1">
        <f>jablka5[[#This Row],[rabat]]*jablka5[[#This Row],[sprzedaż]]/100</f>
        <v>0</v>
      </c>
    </row>
    <row r="1058" spans="1:9" x14ac:dyDescent="0.25">
      <c r="A1058" s="2">
        <v>44887</v>
      </c>
      <c r="B1058" s="1" t="s">
        <v>3</v>
      </c>
      <c r="C1058" s="1" t="s">
        <v>67</v>
      </c>
      <c r="D1058" s="1" t="s">
        <v>63</v>
      </c>
      <c r="E1058">
        <v>213</v>
      </c>
      <c r="F1058" s="1">
        <f>VLOOKUP(jablka5[[#This Row],[Nazwa]],cennik[],2,0) * jablka5[[#This Row],[sprzedaż]]</f>
        <v>681.6</v>
      </c>
      <c r="G1058" s="1">
        <f>IF(jablka5[[#This Row],[NIP]]=D1057,jablka5[[#This Row],[sprzedaż]]+G1057,jablka5[[#This Row],[sprzedaż]])</f>
        <v>13861</v>
      </c>
      <c r="H1058" s="1">
        <f>IF(jablka5[[#This Row],[dot sprz]]&lt;15000,0,IF(jablka5[[#This Row],[dot sprz]]&lt;20000,5,10))</f>
        <v>0</v>
      </c>
      <c r="I1058" s="1">
        <f>jablka5[[#This Row],[rabat]]*jablka5[[#This Row],[sprzedaż]]/100</f>
        <v>0</v>
      </c>
    </row>
    <row r="1059" spans="1:9" x14ac:dyDescent="0.25">
      <c r="A1059" s="2">
        <v>44900</v>
      </c>
      <c r="B1059" s="1" t="s">
        <v>0</v>
      </c>
      <c r="C1059" s="1" t="s">
        <v>16</v>
      </c>
      <c r="D1059" s="1" t="s">
        <v>63</v>
      </c>
      <c r="E1059">
        <v>33</v>
      </c>
      <c r="F1059" s="1">
        <f>VLOOKUP(jablka5[[#This Row],[Nazwa]],cennik[],2,0) * jablka5[[#This Row],[sprzedaż]]</f>
        <v>95.7</v>
      </c>
      <c r="G1059" s="1">
        <f>IF(jablka5[[#This Row],[NIP]]=D1058,jablka5[[#This Row],[sprzedaż]]+G1058,jablka5[[#This Row],[sprzedaż]])</f>
        <v>13894</v>
      </c>
      <c r="H1059" s="1">
        <f>IF(jablka5[[#This Row],[dot sprz]]&lt;15000,0,IF(jablka5[[#This Row],[dot sprz]]&lt;20000,5,10))</f>
        <v>0</v>
      </c>
      <c r="I1059" s="1">
        <f>jablka5[[#This Row],[rabat]]*jablka5[[#This Row],[sprzedaż]]/100</f>
        <v>0</v>
      </c>
    </row>
    <row r="1060" spans="1:9" x14ac:dyDescent="0.25">
      <c r="A1060" s="2">
        <v>44901</v>
      </c>
      <c r="B1060" s="1" t="s">
        <v>10</v>
      </c>
      <c r="C1060" s="1" t="s">
        <v>16</v>
      </c>
      <c r="D1060" s="1" t="s">
        <v>63</v>
      </c>
      <c r="E1060">
        <v>347</v>
      </c>
      <c r="F1060" s="1">
        <f>VLOOKUP(jablka5[[#This Row],[Nazwa]],cennik[],2,0) * jablka5[[#This Row],[sprzedaż]]</f>
        <v>1179.8</v>
      </c>
      <c r="G1060" s="1">
        <f>IF(jablka5[[#This Row],[NIP]]=D1059,jablka5[[#This Row],[sprzedaż]]+G1059,jablka5[[#This Row],[sprzedaż]])</f>
        <v>14241</v>
      </c>
      <c r="H1060" s="1">
        <f>IF(jablka5[[#This Row],[dot sprz]]&lt;15000,0,IF(jablka5[[#This Row],[dot sprz]]&lt;20000,5,10))</f>
        <v>0</v>
      </c>
      <c r="I1060" s="1">
        <f>jablka5[[#This Row],[rabat]]*jablka5[[#This Row],[sprzedaż]]/100</f>
        <v>0</v>
      </c>
    </row>
    <row r="1061" spans="1:9" x14ac:dyDescent="0.25">
      <c r="A1061" s="2">
        <v>44910</v>
      </c>
      <c r="B1061" s="1" t="s">
        <v>6</v>
      </c>
      <c r="C1061" s="1" t="s">
        <v>16</v>
      </c>
      <c r="D1061" s="1" t="s">
        <v>63</v>
      </c>
      <c r="E1061">
        <v>167</v>
      </c>
      <c r="F1061" s="1">
        <f>VLOOKUP(jablka5[[#This Row],[Nazwa]],cennik[],2,0) * jablka5[[#This Row],[sprzedaż]]</f>
        <v>567.79999999999995</v>
      </c>
      <c r="G1061" s="1">
        <f>IF(jablka5[[#This Row],[NIP]]=D1060,jablka5[[#This Row],[sprzedaż]]+G1060,jablka5[[#This Row],[sprzedaż]])</f>
        <v>14408</v>
      </c>
      <c r="H1061" s="1">
        <f>IF(jablka5[[#This Row],[dot sprz]]&lt;15000,0,IF(jablka5[[#This Row],[dot sprz]]&lt;20000,5,10))</f>
        <v>0</v>
      </c>
      <c r="I1061" s="1">
        <f>jablka5[[#This Row],[rabat]]*jablka5[[#This Row],[sprzedaż]]/100</f>
        <v>0</v>
      </c>
    </row>
    <row r="1062" spans="1:9" x14ac:dyDescent="0.25">
      <c r="A1062" s="2">
        <v>44918</v>
      </c>
      <c r="B1062" s="1" t="s">
        <v>8</v>
      </c>
      <c r="C1062" s="1" t="s">
        <v>16</v>
      </c>
      <c r="D1062" s="1" t="s">
        <v>63</v>
      </c>
      <c r="E1062">
        <v>572</v>
      </c>
      <c r="F1062" s="1">
        <f>VLOOKUP(jablka5[[#This Row],[Nazwa]],cennik[],2,0) * jablka5[[#This Row],[sprzedaż]]</f>
        <v>2002</v>
      </c>
      <c r="G1062" s="1">
        <f>IF(jablka5[[#This Row],[NIP]]=D1061,jablka5[[#This Row],[sprzedaż]]+G1061,jablka5[[#This Row],[sprzedaż]])</f>
        <v>14980</v>
      </c>
      <c r="H1062" s="1">
        <f>IF(jablka5[[#This Row],[dot sprz]]&lt;15000,0,IF(jablka5[[#This Row],[dot sprz]]&lt;20000,5,10))</f>
        <v>0</v>
      </c>
      <c r="I1062" s="1">
        <f>jablka5[[#This Row],[rabat]]*jablka5[[#This Row],[sprzedaż]]/100</f>
        <v>0</v>
      </c>
    </row>
    <row r="1063" spans="1:9" x14ac:dyDescent="0.25">
      <c r="A1063" s="2">
        <v>44921</v>
      </c>
      <c r="B1063" s="1" t="s">
        <v>2</v>
      </c>
      <c r="C1063" s="1" t="s">
        <v>16</v>
      </c>
      <c r="D1063" s="1" t="s">
        <v>63</v>
      </c>
      <c r="E1063">
        <v>401</v>
      </c>
      <c r="F1063" s="1">
        <f>VLOOKUP(jablka5[[#This Row],[Nazwa]],cennik[],2,0) * jablka5[[#This Row],[sprzedaż]]</f>
        <v>1283.2</v>
      </c>
      <c r="G1063" s="1">
        <f>IF(jablka5[[#This Row],[NIP]]=D1062,jablka5[[#This Row],[sprzedaż]]+G1062,jablka5[[#This Row],[sprzedaż]])</f>
        <v>15381</v>
      </c>
      <c r="H1063" s="1">
        <f>IF(jablka5[[#This Row],[dot sprz]]&lt;15000,0,IF(jablka5[[#This Row],[dot sprz]]&lt;20000,5,10))</f>
        <v>5</v>
      </c>
      <c r="I1063" s="1">
        <f>jablka5[[#This Row],[rabat]]*jablka5[[#This Row],[sprzedaż]]/100</f>
        <v>20.05</v>
      </c>
    </row>
    <row r="1064" spans="1:9" x14ac:dyDescent="0.25">
      <c r="A1064" s="2">
        <v>44921</v>
      </c>
      <c r="B1064" s="1" t="s">
        <v>7</v>
      </c>
      <c r="C1064" s="1" t="s">
        <v>16</v>
      </c>
      <c r="D1064" s="1" t="s">
        <v>63</v>
      </c>
      <c r="E1064">
        <v>648</v>
      </c>
      <c r="F1064" s="1">
        <f>VLOOKUP(jablka5[[#This Row],[Nazwa]],cennik[],2,0) * jablka5[[#This Row],[sprzedaż]]</f>
        <v>2203.1999999999998</v>
      </c>
      <c r="G1064" s="1">
        <f>IF(jablka5[[#This Row],[NIP]]=D1063,jablka5[[#This Row],[sprzedaż]]+G1063,jablka5[[#This Row],[sprzedaż]])</f>
        <v>16029</v>
      </c>
      <c r="H1064" s="1">
        <f>IF(jablka5[[#This Row],[dot sprz]]&lt;15000,0,IF(jablka5[[#This Row],[dot sprz]]&lt;20000,5,10))</f>
        <v>5</v>
      </c>
      <c r="I1064" s="1">
        <f>jablka5[[#This Row],[rabat]]*jablka5[[#This Row],[sprzedaż]]/100</f>
        <v>32.4</v>
      </c>
    </row>
    <row r="1065" spans="1:9" x14ac:dyDescent="0.25">
      <c r="A1065" s="2">
        <v>44925</v>
      </c>
      <c r="B1065" s="1" t="s">
        <v>7</v>
      </c>
      <c r="C1065" s="1" t="s">
        <v>16</v>
      </c>
      <c r="D1065" s="1" t="s">
        <v>63</v>
      </c>
      <c r="E1065">
        <v>593</v>
      </c>
      <c r="F1065" s="1">
        <f>VLOOKUP(jablka5[[#This Row],[Nazwa]],cennik[],2,0) * jablka5[[#This Row],[sprzedaż]]</f>
        <v>2016.2</v>
      </c>
      <c r="G1065" s="1">
        <f>IF(jablka5[[#This Row],[NIP]]=D1064,jablka5[[#This Row],[sprzedaż]]+G1064,jablka5[[#This Row],[sprzedaż]])</f>
        <v>16622</v>
      </c>
      <c r="H1065" s="1">
        <f>IF(jablka5[[#This Row],[dot sprz]]&lt;15000,0,IF(jablka5[[#This Row],[dot sprz]]&lt;20000,5,10))</f>
        <v>5</v>
      </c>
      <c r="I1065" s="1">
        <f>jablka5[[#This Row],[rabat]]*jablka5[[#This Row],[sprzedaż]]/100</f>
        <v>29.65</v>
      </c>
    </row>
    <row r="1066" spans="1:9" x14ac:dyDescent="0.25">
      <c r="A1066" s="2">
        <v>44564</v>
      </c>
      <c r="B1066" s="1" t="s">
        <v>10</v>
      </c>
      <c r="C1066" s="1" t="s">
        <v>16</v>
      </c>
      <c r="D1066" s="1" t="s">
        <v>22</v>
      </c>
      <c r="E1066">
        <v>284</v>
      </c>
      <c r="F1066" s="1">
        <f>VLOOKUP(jablka5[[#This Row],[Nazwa]],cennik[],2,0) * jablka5[[#This Row],[sprzedaż]]</f>
        <v>965.6</v>
      </c>
      <c r="G1066" s="1">
        <f>IF(jablka5[[#This Row],[NIP]]=D1065,jablka5[[#This Row],[sprzedaż]]+G1065,jablka5[[#This Row],[sprzedaż]])</f>
        <v>284</v>
      </c>
      <c r="H1066" s="1">
        <f>IF(jablka5[[#This Row],[dot sprz]]&lt;15000,0,IF(jablka5[[#This Row],[dot sprz]]&lt;20000,5,10))</f>
        <v>0</v>
      </c>
      <c r="I1066" s="1">
        <f>jablka5[[#This Row],[rabat]]*jablka5[[#This Row],[sprzedaż]]/100</f>
        <v>0</v>
      </c>
    </row>
    <row r="1067" spans="1:9" x14ac:dyDescent="0.25">
      <c r="A1067" s="2">
        <v>44569</v>
      </c>
      <c r="B1067" s="1" t="s">
        <v>15</v>
      </c>
      <c r="C1067" s="1" t="s">
        <v>16</v>
      </c>
      <c r="D1067" s="1" t="s">
        <v>22</v>
      </c>
      <c r="E1067">
        <v>306</v>
      </c>
      <c r="F1067" s="1">
        <f>VLOOKUP(jablka5[[#This Row],[Nazwa]],cennik[],2,0) * jablka5[[#This Row],[sprzedaż]]</f>
        <v>734.4</v>
      </c>
      <c r="G1067" s="1">
        <f>IF(jablka5[[#This Row],[NIP]]=D1066,jablka5[[#This Row],[sprzedaż]]+G1066,jablka5[[#This Row],[sprzedaż]])</f>
        <v>590</v>
      </c>
      <c r="H1067" s="1">
        <f>IF(jablka5[[#This Row],[dot sprz]]&lt;15000,0,IF(jablka5[[#This Row],[dot sprz]]&lt;20000,5,10))</f>
        <v>0</v>
      </c>
      <c r="I1067" s="1">
        <f>jablka5[[#This Row],[rabat]]*jablka5[[#This Row],[sprzedaż]]/100</f>
        <v>0</v>
      </c>
    </row>
    <row r="1068" spans="1:9" x14ac:dyDescent="0.25">
      <c r="A1068" s="2">
        <v>44571</v>
      </c>
      <c r="B1068" s="1" t="s">
        <v>10</v>
      </c>
      <c r="C1068" s="1" t="s">
        <v>16</v>
      </c>
      <c r="D1068" s="1" t="s">
        <v>22</v>
      </c>
      <c r="E1068">
        <v>372</v>
      </c>
      <c r="F1068" s="1">
        <f>VLOOKUP(jablka5[[#This Row],[Nazwa]],cennik[],2,0) * jablka5[[#This Row],[sprzedaż]]</f>
        <v>1264.8</v>
      </c>
      <c r="G1068" s="1">
        <f>IF(jablka5[[#This Row],[NIP]]=D1067,jablka5[[#This Row],[sprzedaż]]+G1067,jablka5[[#This Row],[sprzedaż]])</f>
        <v>962</v>
      </c>
      <c r="H1068" s="1">
        <f>IF(jablka5[[#This Row],[dot sprz]]&lt;15000,0,IF(jablka5[[#This Row],[dot sprz]]&lt;20000,5,10))</f>
        <v>0</v>
      </c>
      <c r="I1068" s="1">
        <f>jablka5[[#This Row],[rabat]]*jablka5[[#This Row],[sprzedaż]]/100</f>
        <v>0</v>
      </c>
    </row>
    <row r="1069" spans="1:9" x14ac:dyDescent="0.25">
      <c r="A1069" s="2">
        <v>44573</v>
      </c>
      <c r="B1069" s="1" t="s">
        <v>0</v>
      </c>
      <c r="C1069" s="1" t="s">
        <v>16</v>
      </c>
      <c r="D1069" s="1" t="s">
        <v>22</v>
      </c>
      <c r="E1069">
        <v>412</v>
      </c>
      <c r="F1069" s="1">
        <f>VLOOKUP(jablka5[[#This Row],[Nazwa]],cennik[],2,0) * jablka5[[#This Row],[sprzedaż]]</f>
        <v>1194.8</v>
      </c>
      <c r="G1069" s="1">
        <f>IF(jablka5[[#This Row],[NIP]]=D1068,jablka5[[#This Row],[sprzedaż]]+G1068,jablka5[[#This Row],[sprzedaż]])</f>
        <v>1374</v>
      </c>
      <c r="H1069" s="1">
        <f>IF(jablka5[[#This Row],[dot sprz]]&lt;15000,0,IF(jablka5[[#This Row],[dot sprz]]&lt;20000,5,10))</f>
        <v>0</v>
      </c>
      <c r="I1069" s="1">
        <f>jablka5[[#This Row],[rabat]]*jablka5[[#This Row],[sprzedaż]]/100</f>
        <v>0</v>
      </c>
    </row>
    <row r="1070" spans="1:9" x14ac:dyDescent="0.25">
      <c r="A1070" s="2">
        <v>44602</v>
      </c>
      <c r="B1070" s="1" t="s">
        <v>5</v>
      </c>
      <c r="C1070" s="1" t="s">
        <v>16</v>
      </c>
      <c r="D1070" s="1" t="s">
        <v>22</v>
      </c>
      <c r="E1070">
        <v>93</v>
      </c>
      <c r="F1070" s="1">
        <f>VLOOKUP(jablka5[[#This Row],[Nazwa]],cennik[],2,0) * jablka5[[#This Row],[sprzedaż]]</f>
        <v>316.2</v>
      </c>
      <c r="G1070" s="1">
        <f>IF(jablka5[[#This Row],[NIP]]=D1069,jablka5[[#This Row],[sprzedaż]]+G1069,jablka5[[#This Row],[sprzedaż]])</f>
        <v>1467</v>
      </c>
      <c r="H1070" s="1">
        <f>IF(jablka5[[#This Row],[dot sprz]]&lt;15000,0,IF(jablka5[[#This Row],[dot sprz]]&lt;20000,5,10))</f>
        <v>0</v>
      </c>
      <c r="I1070" s="1">
        <f>jablka5[[#This Row],[rabat]]*jablka5[[#This Row],[sprzedaż]]/100</f>
        <v>0</v>
      </c>
    </row>
    <row r="1071" spans="1:9" x14ac:dyDescent="0.25">
      <c r="A1071" s="2">
        <v>44627</v>
      </c>
      <c r="B1071" s="1" t="s">
        <v>5</v>
      </c>
      <c r="C1071" s="1" t="s">
        <v>16</v>
      </c>
      <c r="D1071" s="1" t="s">
        <v>22</v>
      </c>
      <c r="E1071">
        <v>165</v>
      </c>
      <c r="F1071" s="1">
        <f>VLOOKUP(jablka5[[#This Row],[Nazwa]],cennik[],2,0) * jablka5[[#This Row],[sprzedaż]]</f>
        <v>561</v>
      </c>
      <c r="G1071" s="1">
        <f>IF(jablka5[[#This Row],[NIP]]=D1070,jablka5[[#This Row],[sprzedaż]]+G1070,jablka5[[#This Row],[sprzedaż]])</f>
        <v>1632</v>
      </c>
      <c r="H1071" s="1">
        <f>IF(jablka5[[#This Row],[dot sprz]]&lt;15000,0,IF(jablka5[[#This Row],[dot sprz]]&lt;20000,5,10))</f>
        <v>0</v>
      </c>
      <c r="I1071" s="1">
        <f>jablka5[[#This Row],[rabat]]*jablka5[[#This Row],[sprzedaż]]/100</f>
        <v>0</v>
      </c>
    </row>
    <row r="1072" spans="1:9" x14ac:dyDescent="0.25">
      <c r="A1072" s="2">
        <v>44630</v>
      </c>
      <c r="B1072" s="1" t="s">
        <v>2</v>
      </c>
      <c r="C1072" s="1" t="s">
        <v>16</v>
      </c>
      <c r="D1072" s="1" t="s">
        <v>22</v>
      </c>
      <c r="E1072">
        <v>497</v>
      </c>
      <c r="F1072" s="1">
        <f>VLOOKUP(jablka5[[#This Row],[Nazwa]],cennik[],2,0) * jablka5[[#This Row],[sprzedaż]]</f>
        <v>1590.4</v>
      </c>
      <c r="G1072" s="1">
        <f>IF(jablka5[[#This Row],[NIP]]=D1071,jablka5[[#This Row],[sprzedaż]]+G1071,jablka5[[#This Row],[sprzedaż]])</f>
        <v>2129</v>
      </c>
      <c r="H1072" s="1">
        <f>IF(jablka5[[#This Row],[dot sprz]]&lt;15000,0,IF(jablka5[[#This Row],[dot sprz]]&lt;20000,5,10))</f>
        <v>0</v>
      </c>
      <c r="I1072" s="1">
        <f>jablka5[[#This Row],[rabat]]*jablka5[[#This Row],[sprzedaż]]/100</f>
        <v>0</v>
      </c>
    </row>
    <row r="1073" spans="1:9" x14ac:dyDescent="0.25">
      <c r="A1073" s="2">
        <v>44630</v>
      </c>
      <c r="B1073" s="1" t="s">
        <v>7</v>
      </c>
      <c r="C1073" s="1" t="s">
        <v>16</v>
      </c>
      <c r="D1073" s="1" t="s">
        <v>22</v>
      </c>
      <c r="E1073">
        <v>408</v>
      </c>
      <c r="F1073" s="1">
        <f>VLOOKUP(jablka5[[#This Row],[Nazwa]],cennik[],2,0) * jablka5[[#This Row],[sprzedaż]]</f>
        <v>1387.2</v>
      </c>
      <c r="G1073" s="1">
        <f>IF(jablka5[[#This Row],[NIP]]=D1072,jablka5[[#This Row],[sprzedaż]]+G1072,jablka5[[#This Row],[sprzedaż]])</f>
        <v>2537</v>
      </c>
      <c r="H1073" s="1">
        <f>IF(jablka5[[#This Row],[dot sprz]]&lt;15000,0,IF(jablka5[[#This Row],[dot sprz]]&lt;20000,5,10))</f>
        <v>0</v>
      </c>
      <c r="I1073" s="1">
        <f>jablka5[[#This Row],[rabat]]*jablka5[[#This Row],[sprzedaż]]/100</f>
        <v>0</v>
      </c>
    </row>
    <row r="1074" spans="1:9" x14ac:dyDescent="0.25">
      <c r="A1074" s="2">
        <v>44632</v>
      </c>
      <c r="B1074" s="1" t="s">
        <v>10</v>
      </c>
      <c r="C1074" s="1" t="s">
        <v>16</v>
      </c>
      <c r="D1074" s="1" t="s">
        <v>22</v>
      </c>
      <c r="E1074">
        <v>359</v>
      </c>
      <c r="F1074" s="1">
        <f>VLOOKUP(jablka5[[#This Row],[Nazwa]],cennik[],2,0) * jablka5[[#This Row],[sprzedaż]]</f>
        <v>1220.5999999999999</v>
      </c>
      <c r="G1074" s="1">
        <f>IF(jablka5[[#This Row],[NIP]]=D1073,jablka5[[#This Row],[sprzedaż]]+G1073,jablka5[[#This Row],[sprzedaż]])</f>
        <v>2896</v>
      </c>
      <c r="H1074" s="1">
        <f>IF(jablka5[[#This Row],[dot sprz]]&lt;15000,0,IF(jablka5[[#This Row],[dot sprz]]&lt;20000,5,10))</f>
        <v>0</v>
      </c>
      <c r="I1074" s="1">
        <f>jablka5[[#This Row],[rabat]]*jablka5[[#This Row],[sprzedaż]]/100</f>
        <v>0</v>
      </c>
    </row>
    <row r="1075" spans="1:9" x14ac:dyDescent="0.25">
      <c r="A1075" s="2">
        <v>44651</v>
      </c>
      <c r="B1075" s="1" t="s">
        <v>6</v>
      </c>
      <c r="C1075" s="1" t="s">
        <v>16</v>
      </c>
      <c r="D1075" s="1" t="s">
        <v>22</v>
      </c>
      <c r="E1075">
        <v>294</v>
      </c>
      <c r="F1075" s="1">
        <f>VLOOKUP(jablka5[[#This Row],[Nazwa]],cennik[],2,0) * jablka5[[#This Row],[sprzedaż]]</f>
        <v>999.6</v>
      </c>
      <c r="G1075" s="1">
        <f>IF(jablka5[[#This Row],[NIP]]=D1074,jablka5[[#This Row],[sprzedaż]]+G1074,jablka5[[#This Row],[sprzedaż]])</f>
        <v>3190</v>
      </c>
      <c r="H1075" s="1">
        <f>IF(jablka5[[#This Row],[dot sprz]]&lt;15000,0,IF(jablka5[[#This Row],[dot sprz]]&lt;20000,5,10))</f>
        <v>0</v>
      </c>
      <c r="I1075" s="1">
        <f>jablka5[[#This Row],[rabat]]*jablka5[[#This Row],[sprzedaż]]/100</f>
        <v>0</v>
      </c>
    </row>
    <row r="1076" spans="1:9" x14ac:dyDescent="0.25">
      <c r="A1076" s="2">
        <v>44652</v>
      </c>
      <c r="B1076" s="1" t="s">
        <v>4</v>
      </c>
      <c r="C1076" s="1" t="s">
        <v>16</v>
      </c>
      <c r="D1076" s="1" t="s">
        <v>22</v>
      </c>
      <c r="E1076">
        <v>609</v>
      </c>
      <c r="F1076" s="1">
        <f>VLOOKUP(jablka5[[#This Row],[Nazwa]],cennik[],2,0) * jablka5[[#This Row],[sprzedaż]]</f>
        <v>2070.6</v>
      </c>
      <c r="G1076" s="1">
        <f>IF(jablka5[[#This Row],[NIP]]=D1075,jablka5[[#This Row],[sprzedaż]]+G1075,jablka5[[#This Row],[sprzedaż]])</f>
        <v>3799</v>
      </c>
      <c r="H1076" s="1">
        <f>IF(jablka5[[#This Row],[dot sprz]]&lt;15000,0,IF(jablka5[[#This Row],[dot sprz]]&lt;20000,5,10))</f>
        <v>0</v>
      </c>
      <c r="I1076" s="1">
        <f>jablka5[[#This Row],[rabat]]*jablka5[[#This Row],[sprzedaż]]/100</f>
        <v>0</v>
      </c>
    </row>
    <row r="1077" spans="1:9" x14ac:dyDescent="0.25">
      <c r="A1077" s="2">
        <v>44662</v>
      </c>
      <c r="B1077" s="1" t="s">
        <v>10</v>
      </c>
      <c r="C1077" s="1" t="s">
        <v>16</v>
      </c>
      <c r="D1077" s="1" t="s">
        <v>22</v>
      </c>
      <c r="E1077">
        <v>403</v>
      </c>
      <c r="F1077" s="1">
        <f>VLOOKUP(jablka5[[#This Row],[Nazwa]],cennik[],2,0) * jablka5[[#This Row],[sprzedaż]]</f>
        <v>1370.2</v>
      </c>
      <c r="G1077" s="1">
        <f>IF(jablka5[[#This Row],[NIP]]=D1076,jablka5[[#This Row],[sprzedaż]]+G1076,jablka5[[#This Row],[sprzedaż]])</f>
        <v>4202</v>
      </c>
      <c r="H1077" s="1">
        <f>IF(jablka5[[#This Row],[dot sprz]]&lt;15000,0,IF(jablka5[[#This Row],[dot sprz]]&lt;20000,5,10))</f>
        <v>0</v>
      </c>
      <c r="I1077" s="1">
        <f>jablka5[[#This Row],[rabat]]*jablka5[[#This Row],[sprzedaż]]/100</f>
        <v>0</v>
      </c>
    </row>
    <row r="1078" spans="1:9" x14ac:dyDescent="0.25">
      <c r="A1078" s="2">
        <v>44664</v>
      </c>
      <c r="B1078" s="1" t="s">
        <v>10</v>
      </c>
      <c r="C1078" s="1" t="s">
        <v>16</v>
      </c>
      <c r="D1078" s="1" t="s">
        <v>22</v>
      </c>
      <c r="E1078">
        <v>200</v>
      </c>
      <c r="F1078" s="1">
        <f>VLOOKUP(jablka5[[#This Row],[Nazwa]],cennik[],2,0) * jablka5[[#This Row],[sprzedaż]]</f>
        <v>680</v>
      </c>
      <c r="G1078" s="1">
        <f>IF(jablka5[[#This Row],[NIP]]=D1077,jablka5[[#This Row],[sprzedaż]]+G1077,jablka5[[#This Row],[sprzedaż]])</f>
        <v>4402</v>
      </c>
      <c r="H1078" s="1">
        <f>IF(jablka5[[#This Row],[dot sprz]]&lt;15000,0,IF(jablka5[[#This Row],[dot sprz]]&lt;20000,5,10))</f>
        <v>0</v>
      </c>
      <c r="I1078" s="1">
        <f>jablka5[[#This Row],[rabat]]*jablka5[[#This Row],[sprzedaż]]/100</f>
        <v>0</v>
      </c>
    </row>
    <row r="1079" spans="1:9" x14ac:dyDescent="0.25">
      <c r="A1079" s="2">
        <v>44664</v>
      </c>
      <c r="B1079" s="1" t="s">
        <v>15</v>
      </c>
      <c r="C1079" s="1" t="s">
        <v>16</v>
      </c>
      <c r="D1079" s="1" t="s">
        <v>22</v>
      </c>
      <c r="E1079">
        <v>274</v>
      </c>
      <c r="F1079" s="1">
        <f>VLOOKUP(jablka5[[#This Row],[Nazwa]],cennik[],2,0) * jablka5[[#This Row],[sprzedaż]]</f>
        <v>657.6</v>
      </c>
      <c r="G1079" s="1">
        <f>IF(jablka5[[#This Row],[NIP]]=D1078,jablka5[[#This Row],[sprzedaż]]+G1078,jablka5[[#This Row],[sprzedaż]])</f>
        <v>4676</v>
      </c>
      <c r="H1079" s="1">
        <f>IF(jablka5[[#This Row],[dot sprz]]&lt;15000,0,IF(jablka5[[#This Row],[dot sprz]]&lt;20000,5,10))</f>
        <v>0</v>
      </c>
      <c r="I1079" s="1">
        <f>jablka5[[#This Row],[rabat]]*jablka5[[#This Row],[sprzedaż]]/100</f>
        <v>0</v>
      </c>
    </row>
    <row r="1080" spans="1:9" x14ac:dyDescent="0.25">
      <c r="A1080" s="2">
        <v>44669</v>
      </c>
      <c r="B1080" s="1" t="s">
        <v>0</v>
      </c>
      <c r="C1080" s="1" t="s">
        <v>16</v>
      </c>
      <c r="D1080" s="1" t="s">
        <v>22</v>
      </c>
      <c r="E1080">
        <v>440</v>
      </c>
      <c r="F1080" s="1">
        <f>VLOOKUP(jablka5[[#This Row],[Nazwa]],cennik[],2,0) * jablka5[[#This Row],[sprzedaż]]</f>
        <v>1276</v>
      </c>
      <c r="G1080" s="1">
        <f>IF(jablka5[[#This Row],[NIP]]=D1079,jablka5[[#This Row],[sprzedaż]]+G1079,jablka5[[#This Row],[sprzedaż]])</f>
        <v>5116</v>
      </c>
      <c r="H1080" s="1">
        <f>IF(jablka5[[#This Row],[dot sprz]]&lt;15000,0,IF(jablka5[[#This Row],[dot sprz]]&lt;20000,5,10))</f>
        <v>0</v>
      </c>
      <c r="I1080" s="1">
        <f>jablka5[[#This Row],[rabat]]*jablka5[[#This Row],[sprzedaż]]/100</f>
        <v>0</v>
      </c>
    </row>
    <row r="1081" spans="1:9" x14ac:dyDescent="0.25">
      <c r="A1081" s="2">
        <v>44673</v>
      </c>
      <c r="B1081" s="1" t="s">
        <v>5</v>
      </c>
      <c r="C1081" s="1" t="s">
        <v>16</v>
      </c>
      <c r="D1081" s="1" t="s">
        <v>22</v>
      </c>
      <c r="E1081">
        <v>356</v>
      </c>
      <c r="F1081" s="1">
        <f>VLOOKUP(jablka5[[#This Row],[Nazwa]],cennik[],2,0) * jablka5[[#This Row],[sprzedaż]]</f>
        <v>1210.3999999999999</v>
      </c>
      <c r="G1081" s="1">
        <f>IF(jablka5[[#This Row],[NIP]]=D1080,jablka5[[#This Row],[sprzedaż]]+G1080,jablka5[[#This Row],[sprzedaż]])</f>
        <v>5472</v>
      </c>
      <c r="H1081" s="1">
        <f>IF(jablka5[[#This Row],[dot sprz]]&lt;15000,0,IF(jablka5[[#This Row],[dot sprz]]&lt;20000,5,10))</f>
        <v>0</v>
      </c>
      <c r="I1081" s="1">
        <f>jablka5[[#This Row],[rabat]]*jablka5[[#This Row],[sprzedaż]]/100</f>
        <v>0</v>
      </c>
    </row>
    <row r="1082" spans="1:9" x14ac:dyDescent="0.25">
      <c r="A1082" s="2">
        <v>44676</v>
      </c>
      <c r="B1082" s="1" t="s">
        <v>8</v>
      </c>
      <c r="C1082" s="1" t="s">
        <v>16</v>
      </c>
      <c r="D1082" s="1" t="s">
        <v>22</v>
      </c>
      <c r="E1082">
        <v>403</v>
      </c>
      <c r="F1082" s="1">
        <f>VLOOKUP(jablka5[[#This Row],[Nazwa]],cennik[],2,0) * jablka5[[#This Row],[sprzedaż]]</f>
        <v>1410.5</v>
      </c>
      <c r="G1082" s="1">
        <f>IF(jablka5[[#This Row],[NIP]]=D1081,jablka5[[#This Row],[sprzedaż]]+G1081,jablka5[[#This Row],[sprzedaż]])</f>
        <v>5875</v>
      </c>
      <c r="H1082" s="1">
        <f>IF(jablka5[[#This Row],[dot sprz]]&lt;15000,0,IF(jablka5[[#This Row],[dot sprz]]&lt;20000,5,10))</f>
        <v>0</v>
      </c>
      <c r="I1082" s="1">
        <f>jablka5[[#This Row],[rabat]]*jablka5[[#This Row],[sprzedaż]]/100</f>
        <v>0</v>
      </c>
    </row>
    <row r="1083" spans="1:9" x14ac:dyDescent="0.25">
      <c r="A1083" s="2">
        <v>44677</v>
      </c>
      <c r="B1083" s="1" t="s">
        <v>5</v>
      </c>
      <c r="C1083" s="1" t="s">
        <v>16</v>
      </c>
      <c r="D1083" s="1" t="s">
        <v>22</v>
      </c>
      <c r="E1083">
        <v>338</v>
      </c>
      <c r="F1083" s="1">
        <f>VLOOKUP(jablka5[[#This Row],[Nazwa]],cennik[],2,0) * jablka5[[#This Row],[sprzedaż]]</f>
        <v>1149.2</v>
      </c>
      <c r="G1083" s="1">
        <f>IF(jablka5[[#This Row],[NIP]]=D1082,jablka5[[#This Row],[sprzedaż]]+G1082,jablka5[[#This Row],[sprzedaż]])</f>
        <v>6213</v>
      </c>
      <c r="H1083" s="1">
        <f>IF(jablka5[[#This Row],[dot sprz]]&lt;15000,0,IF(jablka5[[#This Row],[dot sprz]]&lt;20000,5,10))</f>
        <v>0</v>
      </c>
      <c r="I1083" s="1">
        <f>jablka5[[#This Row],[rabat]]*jablka5[[#This Row],[sprzedaż]]/100</f>
        <v>0</v>
      </c>
    </row>
    <row r="1084" spans="1:9" x14ac:dyDescent="0.25">
      <c r="A1084" s="2">
        <v>44678</v>
      </c>
      <c r="B1084" s="1" t="s">
        <v>15</v>
      </c>
      <c r="C1084" s="1" t="s">
        <v>16</v>
      </c>
      <c r="D1084" s="1" t="s">
        <v>22</v>
      </c>
      <c r="E1084">
        <v>383</v>
      </c>
      <c r="F1084" s="1">
        <f>VLOOKUP(jablka5[[#This Row],[Nazwa]],cennik[],2,0) * jablka5[[#This Row],[sprzedaż]]</f>
        <v>919.19999999999993</v>
      </c>
      <c r="G1084" s="1">
        <f>IF(jablka5[[#This Row],[NIP]]=D1083,jablka5[[#This Row],[sprzedaż]]+G1083,jablka5[[#This Row],[sprzedaż]])</f>
        <v>6596</v>
      </c>
      <c r="H1084" s="1">
        <f>IF(jablka5[[#This Row],[dot sprz]]&lt;15000,0,IF(jablka5[[#This Row],[dot sprz]]&lt;20000,5,10))</f>
        <v>0</v>
      </c>
      <c r="I1084" s="1">
        <f>jablka5[[#This Row],[rabat]]*jablka5[[#This Row],[sprzedaż]]/100</f>
        <v>0</v>
      </c>
    </row>
    <row r="1085" spans="1:9" x14ac:dyDescent="0.25">
      <c r="A1085" s="2">
        <v>44694</v>
      </c>
      <c r="B1085" s="1" t="s">
        <v>7</v>
      </c>
      <c r="C1085" s="1" t="s">
        <v>16</v>
      </c>
      <c r="D1085" s="1" t="s">
        <v>22</v>
      </c>
      <c r="E1085">
        <v>394</v>
      </c>
      <c r="F1085" s="1">
        <f>VLOOKUP(jablka5[[#This Row],[Nazwa]],cennik[],2,0) * jablka5[[#This Row],[sprzedaż]]</f>
        <v>1339.6</v>
      </c>
      <c r="G1085" s="1">
        <f>IF(jablka5[[#This Row],[NIP]]=D1084,jablka5[[#This Row],[sprzedaż]]+G1084,jablka5[[#This Row],[sprzedaż]])</f>
        <v>6990</v>
      </c>
      <c r="H1085" s="1">
        <f>IF(jablka5[[#This Row],[dot sprz]]&lt;15000,0,IF(jablka5[[#This Row],[dot sprz]]&lt;20000,5,10))</f>
        <v>0</v>
      </c>
      <c r="I1085" s="1">
        <f>jablka5[[#This Row],[rabat]]*jablka5[[#This Row],[sprzedaż]]/100</f>
        <v>0</v>
      </c>
    </row>
    <row r="1086" spans="1:9" x14ac:dyDescent="0.25">
      <c r="A1086" s="2">
        <v>44695</v>
      </c>
      <c r="B1086" s="1" t="s">
        <v>2</v>
      </c>
      <c r="C1086" s="1" t="s">
        <v>16</v>
      </c>
      <c r="D1086" s="1" t="s">
        <v>22</v>
      </c>
      <c r="E1086">
        <v>190</v>
      </c>
      <c r="F1086" s="1">
        <f>VLOOKUP(jablka5[[#This Row],[Nazwa]],cennik[],2,0) * jablka5[[#This Row],[sprzedaż]]</f>
        <v>608</v>
      </c>
      <c r="G1086" s="1">
        <f>IF(jablka5[[#This Row],[NIP]]=D1085,jablka5[[#This Row],[sprzedaż]]+G1085,jablka5[[#This Row],[sprzedaż]])</f>
        <v>7180</v>
      </c>
      <c r="H1086" s="1">
        <f>IF(jablka5[[#This Row],[dot sprz]]&lt;15000,0,IF(jablka5[[#This Row],[dot sprz]]&lt;20000,5,10))</f>
        <v>0</v>
      </c>
      <c r="I1086" s="1">
        <f>jablka5[[#This Row],[rabat]]*jablka5[[#This Row],[sprzedaż]]/100</f>
        <v>0</v>
      </c>
    </row>
    <row r="1087" spans="1:9" x14ac:dyDescent="0.25">
      <c r="A1087" s="2">
        <v>44706</v>
      </c>
      <c r="B1087" s="1" t="s">
        <v>10</v>
      </c>
      <c r="C1087" s="1" t="s">
        <v>16</v>
      </c>
      <c r="D1087" s="1" t="s">
        <v>22</v>
      </c>
      <c r="E1087">
        <v>313</v>
      </c>
      <c r="F1087" s="1">
        <f>VLOOKUP(jablka5[[#This Row],[Nazwa]],cennik[],2,0) * jablka5[[#This Row],[sprzedaż]]</f>
        <v>1064.2</v>
      </c>
      <c r="G1087" s="1">
        <f>IF(jablka5[[#This Row],[NIP]]=D1086,jablka5[[#This Row],[sprzedaż]]+G1086,jablka5[[#This Row],[sprzedaż]])</f>
        <v>7493</v>
      </c>
      <c r="H1087" s="1">
        <f>IF(jablka5[[#This Row],[dot sprz]]&lt;15000,0,IF(jablka5[[#This Row],[dot sprz]]&lt;20000,5,10))</f>
        <v>0</v>
      </c>
      <c r="I1087" s="1">
        <f>jablka5[[#This Row],[rabat]]*jablka5[[#This Row],[sprzedaż]]/100</f>
        <v>0</v>
      </c>
    </row>
    <row r="1088" spans="1:9" x14ac:dyDescent="0.25">
      <c r="A1088" s="2">
        <v>44716</v>
      </c>
      <c r="B1088" s="1" t="s">
        <v>12</v>
      </c>
      <c r="C1088" s="1" t="s">
        <v>68</v>
      </c>
      <c r="D1088" s="1" t="s">
        <v>22</v>
      </c>
      <c r="E1088">
        <v>101</v>
      </c>
      <c r="F1088" s="1">
        <f>VLOOKUP(jablka5[[#This Row],[Nazwa]],cennik[],2,0) * jablka5[[#This Row],[sprzedaż]]</f>
        <v>272.70000000000005</v>
      </c>
      <c r="G1088" s="1">
        <f>IF(jablka5[[#This Row],[NIP]]=D1087,jablka5[[#This Row],[sprzedaż]]+G1087,jablka5[[#This Row],[sprzedaż]])</f>
        <v>7594</v>
      </c>
      <c r="H1088" s="1">
        <f>IF(jablka5[[#This Row],[dot sprz]]&lt;15000,0,IF(jablka5[[#This Row],[dot sprz]]&lt;20000,5,10))</f>
        <v>0</v>
      </c>
      <c r="I1088" s="1">
        <f>jablka5[[#This Row],[rabat]]*jablka5[[#This Row],[sprzedaż]]/100</f>
        <v>0</v>
      </c>
    </row>
    <row r="1089" spans="1:9" x14ac:dyDescent="0.25">
      <c r="A1089" s="2">
        <v>44739</v>
      </c>
      <c r="B1089" s="1" t="s">
        <v>13</v>
      </c>
      <c r="C1089" s="1" t="s">
        <v>68</v>
      </c>
      <c r="D1089" s="1" t="s">
        <v>22</v>
      </c>
      <c r="E1089">
        <v>132</v>
      </c>
      <c r="F1089" s="1">
        <f>VLOOKUP(jablka5[[#This Row],[Nazwa]],cennik[],2,0) * jablka5[[#This Row],[sprzedaż]]</f>
        <v>422.40000000000003</v>
      </c>
      <c r="G1089" s="1">
        <f>IF(jablka5[[#This Row],[NIP]]=D1088,jablka5[[#This Row],[sprzedaż]]+G1088,jablka5[[#This Row],[sprzedaż]])</f>
        <v>7726</v>
      </c>
      <c r="H1089" s="1">
        <f>IF(jablka5[[#This Row],[dot sprz]]&lt;15000,0,IF(jablka5[[#This Row],[dot sprz]]&lt;20000,5,10))</f>
        <v>0</v>
      </c>
      <c r="I1089" s="1">
        <f>jablka5[[#This Row],[rabat]]*jablka5[[#This Row],[sprzedaż]]/100</f>
        <v>0</v>
      </c>
    </row>
    <row r="1090" spans="1:9" x14ac:dyDescent="0.25">
      <c r="A1090" s="2">
        <v>44739</v>
      </c>
      <c r="B1090" s="1" t="s">
        <v>14</v>
      </c>
      <c r="C1090" s="1" t="s">
        <v>67</v>
      </c>
      <c r="D1090" s="1" t="s">
        <v>22</v>
      </c>
      <c r="E1090">
        <v>181</v>
      </c>
      <c r="F1090" s="1">
        <f>VLOOKUP(jablka5[[#This Row],[Nazwa]],cennik[],2,0) * jablka5[[#This Row],[sprzedaż]]</f>
        <v>633.5</v>
      </c>
      <c r="G1090" s="1">
        <f>IF(jablka5[[#This Row],[NIP]]=D1089,jablka5[[#This Row],[sprzedaż]]+G1089,jablka5[[#This Row],[sprzedaż]])</f>
        <v>7907</v>
      </c>
      <c r="H1090" s="1">
        <f>IF(jablka5[[#This Row],[dot sprz]]&lt;15000,0,IF(jablka5[[#This Row],[dot sprz]]&lt;20000,5,10))</f>
        <v>0</v>
      </c>
      <c r="I1090" s="1">
        <f>jablka5[[#This Row],[rabat]]*jablka5[[#This Row],[sprzedaż]]/100</f>
        <v>0</v>
      </c>
    </row>
    <row r="1091" spans="1:9" x14ac:dyDescent="0.25">
      <c r="A1091" s="2">
        <v>44756</v>
      </c>
      <c r="B1091" s="1" t="s">
        <v>12</v>
      </c>
      <c r="C1091" s="1" t="s">
        <v>68</v>
      </c>
      <c r="D1091" s="1" t="s">
        <v>22</v>
      </c>
      <c r="E1091">
        <v>373</v>
      </c>
      <c r="F1091" s="1">
        <f>VLOOKUP(jablka5[[#This Row],[Nazwa]],cennik[],2,0) * jablka5[[#This Row],[sprzedaż]]</f>
        <v>1007.1</v>
      </c>
      <c r="G1091" s="1">
        <f>IF(jablka5[[#This Row],[NIP]]=D1090,jablka5[[#This Row],[sprzedaż]]+G1090,jablka5[[#This Row],[sprzedaż]])</f>
        <v>8280</v>
      </c>
      <c r="H1091" s="1">
        <f>IF(jablka5[[#This Row],[dot sprz]]&lt;15000,0,IF(jablka5[[#This Row],[dot sprz]]&lt;20000,5,10))</f>
        <v>0</v>
      </c>
      <c r="I1091" s="1">
        <f>jablka5[[#This Row],[rabat]]*jablka5[[#This Row],[sprzedaż]]/100</f>
        <v>0</v>
      </c>
    </row>
    <row r="1092" spans="1:9" x14ac:dyDescent="0.25">
      <c r="A1092" s="2">
        <v>44762</v>
      </c>
      <c r="B1092" s="1" t="s">
        <v>13</v>
      </c>
      <c r="C1092" s="1" t="s">
        <v>68</v>
      </c>
      <c r="D1092" s="1" t="s">
        <v>22</v>
      </c>
      <c r="E1092">
        <v>352</v>
      </c>
      <c r="F1092" s="1">
        <f>VLOOKUP(jablka5[[#This Row],[Nazwa]],cennik[],2,0) * jablka5[[#This Row],[sprzedaż]]</f>
        <v>1126.4000000000001</v>
      </c>
      <c r="G1092" s="1">
        <f>IF(jablka5[[#This Row],[NIP]]=D1091,jablka5[[#This Row],[sprzedaż]]+G1091,jablka5[[#This Row],[sprzedaż]])</f>
        <v>8632</v>
      </c>
      <c r="H1092" s="1">
        <f>IF(jablka5[[#This Row],[dot sprz]]&lt;15000,0,IF(jablka5[[#This Row],[dot sprz]]&lt;20000,5,10))</f>
        <v>0</v>
      </c>
      <c r="I1092" s="1">
        <f>jablka5[[#This Row],[rabat]]*jablka5[[#This Row],[sprzedaż]]/100</f>
        <v>0</v>
      </c>
    </row>
    <row r="1093" spans="1:9" x14ac:dyDescent="0.25">
      <c r="A1093" s="2">
        <v>44764</v>
      </c>
      <c r="B1093" s="1" t="s">
        <v>13</v>
      </c>
      <c r="C1093" s="1" t="s">
        <v>68</v>
      </c>
      <c r="D1093" s="1" t="s">
        <v>22</v>
      </c>
      <c r="E1093">
        <v>262</v>
      </c>
      <c r="F1093" s="1">
        <f>VLOOKUP(jablka5[[#This Row],[Nazwa]],cennik[],2,0) * jablka5[[#This Row],[sprzedaż]]</f>
        <v>838.40000000000009</v>
      </c>
      <c r="G1093" s="1">
        <f>IF(jablka5[[#This Row],[NIP]]=D1092,jablka5[[#This Row],[sprzedaż]]+G1092,jablka5[[#This Row],[sprzedaż]])</f>
        <v>8894</v>
      </c>
      <c r="H1093" s="1">
        <f>IF(jablka5[[#This Row],[dot sprz]]&lt;15000,0,IF(jablka5[[#This Row],[dot sprz]]&lt;20000,5,10))</f>
        <v>0</v>
      </c>
      <c r="I1093" s="1">
        <f>jablka5[[#This Row],[rabat]]*jablka5[[#This Row],[sprzedaż]]/100</f>
        <v>0</v>
      </c>
    </row>
    <row r="1094" spans="1:9" x14ac:dyDescent="0.25">
      <c r="A1094" s="2">
        <v>44769</v>
      </c>
      <c r="B1094" s="1" t="s">
        <v>14</v>
      </c>
      <c r="C1094" s="1" t="s">
        <v>67</v>
      </c>
      <c r="D1094" s="1" t="s">
        <v>22</v>
      </c>
      <c r="E1094">
        <v>40</v>
      </c>
      <c r="F1094" s="1">
        <f>VLOOKUP(jablka5[[#This Row],[Nazwa]],cennik[],2,0) * jablka5[[#This Row],[sprzedaż]]</f>
        <v>140</v>
      </c>
      <c r="G1094" s="1">
        <f>IF(jablka5[[#This Row],[NIP]]=D1093,jablka5[[#This Row],[sprzedaż]]+G1093,jablka5[[#This Row],[sprzedaż]])</f>
        <v>8934</v>
      </c>
      <c r="H1094" s="1">
        <f>IF(jablka5[[#This Row],[dot sprz]]&lt;15000,0,IF(jablka5[[#This Row],[dot sprz]]&lt;20000,5,10))</f>
        <v>0</v>
      </c>
      <c r="I1094" s="1">
        <f>jablka5[[#This Row],[rabat]]*jablka5[[#This Row],[sprzedaż]]/100</f>
        <v>0</v>
      </c>
    </row>
    <row r="1095" spans="1:9" x14ac:dyDescent="0.25">
      <c r="A1095" s="2">
        <v>44774</v>
      </c>
      <c r="B1095" s="1" t="s">
        <v>13</v>
      </c>
      <c r="C1095" s="1" t="s">
        <v>68</v>
      </c>
      <c r="D1095" s="1" t="s">
        <v>22</v>
      </c>
      <c r="E1095">
        <v>317</v>
      </c>
      <c r="F1095" s="1">
        <f>VLOOKUP(jablka5[[#This Row],[Nazwa]],cennik[],2,0) * jablka5[[#This Row],[sprzedaż]]</f>
        <v>1014.4000000000001</v>
      </c>
      <c r="G1095" s="1">
        <f>IF(jablka5[[#This Row],[NIP]]=D1094,jablka5[[#This Row],[sprzedaż]]+G1094,jablka5[[#This Row],[sprzedaż]])</f>
        <v>9251</v>
      </c>
      <c r="H1095" s="1">
        <f>IF(jablka5[[#This Row],[dot sprz]]&lt;15000,0,IF(jablka5[[#This Row],[dot sprz]]&lt;20000,5,10))</f>
        <v>0</v>
      </c>
      <c r="I1095" s="1">
        <f>jablka5[[#This Row],[rabat]]*jablka5[[#This Row],[sprzedaż]]/100</f>
        <v>0</v>
      </c>
    </row>
    <row r="1096" spans="1:9" x14ac:dyDescent="0.25">
      <c r="A1096" s="2">
        <v>44777</v>
      </c>
      <c r="B1096" s="1" t="s">
        <v>14</v>
      </c>
      <c r="C1096" s="1" t="s">
        <v>67</v>
      </c>
      <c r="D1096" s="1" t="s">
        <v>22</v>
      </c>
      <c r="E1096">
        <v>283</v>
      </c>
      <c r="F1096" s="1">
        <f>VLOOKUP(jablka5[[#This Row],[Nazwa]],cennik[],2,0) * jablka5[[#This Row],[sprzedaż]]</f>
        <v>990.5</v>
      </c>
      <c r="G1096" s="1">
        <f>IF(jablka5[[#This Row],[NIP]]=D1095,jablka5[[#This Row],[sprzedaż]]+G1095,jablka5[[#This Row],[sprzedaż]])</f>
        <v>9534</v>
      </c>
      <c r="H1096" s="1">
        <f>IF(jablka5[[#This Row],[dot sprz]]&lt;15000,0,IF(jablka5[[#This Row],[dot sprz]]&lt;20000,5,10))</f>
        <v>0</v>
      </c>
      <c r="I1096" s="1">
        <f>jablka5[[#This Row],[rabat]]*jablka5[[#This Row],[sprzedaż]]/100</f>
        <v>0</v>
      </c>
    </row>
    <row r="1097" spans="1:9" x14ac:dyDescent="0.25">
      <c r="A1097" s="2">
        <v>44782</v>
      </c>
      <c r="B1097" s="1" t="s">
        <v>13</v>
      </c>
      <c r="C1097" s="1" t="s">
        <v>68</v>
      </c>
      <c r="D1097" s="1" t="s">
        <v>22</v>
      </c>
      <c r="E1097">
        <v>300</v>
      </c>
      <c r="F1097" s="1">
        <f>VLOOKUP(jablka5[[#This Row],[Nazwa]],cennik[],2,0) * jablka5[[#This Row],[sprzedaż]]</f>
        <v>960</v>
      </c>
      <c r="G1097" s="1">
        <f>IF(jablka5[[#This Row],[NIP]]=D1096,jablka5[[#This Row],[sprzedaż]]+G1096,jablka5[[#This Row],[sprzedaż]])</f>
        <v>9834</v>
      </c>
      <c r="H1097" s="1">
        <f>IF(jablka5[[#This Row],[dot sprz]]&lt;15000,0,IF(jablka5[[#This Row],[dot sprz]]&lt;20000,5,10))</f>
        <v>0</v>
      </c>
      <c r="I1097" s="1">
        <f>jablka5[[#This Row],[rabat]]*jablka5[[#This Row],[sprzedaż]]/100</f>
        <v>0</v>
      </c>
    </row>
    <row r="1098" spans="1:9" x14ac:dyDescent="0.25">
      <c r="A1098" s="2">
        <v>44795</v>
      </c>
      <c r="B1098" s="1" t="s">
        <v>14</v>
      </c>
      <c r="C1098" s="1" t="s">
        <v>67</v>
      </c>
      <c r="D1098" s="1" t="s">
        <v>22</v>
      </c>
      <c r="E1098">
        <v>219</v>
      </c>
      <c r="F1098" s="1">
        <f>VLOOKUP(jablka5[[#This Row],[Nazwa]],cennik[],2,0) * jablka5[[#This Row],[sprzedaż]]</f>
        <v>766.5</v>
      </c>
      <c r="G1098" s="1">
        <f>IF(jablka5[[#This Row],[NIP]]=D1097,jablka5[[#This Row],[sprzedaż]]+G1097,jablka5[[#This Row],[sprzedaż]])</f>
        <v>10053</v>
      </c>
      <c r="H1098" s="1">
        <f>IF(jablka5[[#This Row],[dot sprz]]&lt;15000,0,IF(jablka5[[#This Row],[dot sprz]]&lt;20000,5,10))</f>
        <v>0</v>
      </c>
      <c r="I1098" s="1">
        <f>jablka5[[#This Row],[rabat]]*jablka5[[#This Row],[sprzedaż]]/100</f>
        <v>0</v>
      </c>
    </row>
    <row r="1099" spans="1:9" x14ac:dyDescent="0.25">
      <c r="A1099" s="2">
        <v>44795</v>
      </c>
      <c r="B1099" s="1" t="s">
        <v>14</v>
      </c>
      <c r="C1099" s="1" t="s">
        <v>67</v>
      </c>
      <c r="D1099" s="1" t="s">
        <v>22</v>
      </c>
      <c r="E1099">
        <v>201</v>
      </c>
      <c r="F1099" s="1">
        <f>VLOOKUP(jablka5[[#This Row],[Nazwa]],cennik[],2,0) * jablka5[[#This Row],[sprzedaż]]</f>
        <v>703.5</v>
      </c>
      <c r="G1099" s="1">
        <f>IF(jablka5[[#This Row],[NIP]]=D1098,jablka5[[#This Row],[sprzedaż]]+G1098,jablka5[[#This Row],[sprzedaż]])</f>
        <v>10254</v>
      </c>
      <c r="H1099" s="1">
        <f>IF(jablka5[[#This Row],[dot sprz]]&lt;15000,0,IF(jablka5[[#This Row],[dot sprz]]&lt;20000,5,10))</f>
        <v>0</v>
      </c>
      <c r="I1099" s="1">
        <f>jablka5[[#This Row],[rabat]]*jablka5[[#This Row],[sprzedaż]]/100</f>
        <v>0</v>
      </c>
    </row>
    <row r="1100" spans="1:9" x14ac:dyDescent="0.25">
      <c r="A1100" s="2">
        <v>44795</v>
      </c>
      <c r="B1100" s="1" t="s">
        <v>12</v>
      </c>
      <c r="C1100" s="1" t="s">
        <v>68</v>
      </c>
      <c r="D1100" s="1" t="s">
        <v>22</v>
      </c>
      <c r="E1100">
        <v>387</v>
      </c>
      <c r="F1100" s="1">
        <f>VLOOKUP(jablka5[[#This Row],[Nazwa]],cennik[],2,0) * jablka5[[#This Row],[sprzedaż]]</f>
        <v>1044.9000000000001</v>
      </c>
      <c r="G1100" s="1">
        <f>IF(jablka5[[#This Row],[NIP]]=D1099,jablka5[[#This Row],[sprzedaż]]+G1099,jablka5[[#This Row],[sprzedaż]])</f>
        <v>10641</v>
      </c>
      <c r="H1100" s="1">
        <f>IF(jablka5[[#This Row],[dot sprz]]&lt;15000,0,IF(jablka5[[#This Row],[dot sprz]]&lt;20000,5,10))</f>
        <v>0</v>
      </c>
      <c r="I1100" s="1">
        <f>jablka5[[#This Row],[rabat]]*jablka5[[#This Row],[sprzedaż]]/100</f>
        <v>0</v>
      </c>
    </row>
    <row r="1101" spans="1:9" x14ac:dyDescent="0.25">
      <c r="A1101" s="2">
        <v>44811</v>
      </c>
      <c r="B1101" s="1" t="s">
        <v>9</v>
      </c>
      <c r="C1101" s="1" t="s">
        <v>67</v>
      </c>
      <c r="D1101" s="1" t="s">
        <v>22</v>
      </c>
      <c r="E1101">
        <v>358</v>
      </c>
      <c r="F1101" s="1">
        <f>VLOOKUP(jablka5[[#This Row],[Nazwa]],cennik[],2,0) * jablka5[[#This Row],[sprzedaż]]</f>
        <v>895</v>
      </c>
      <c r="G1101" s="1">
        <f>IF(jablka5[[#This Row],[NIP]]=D1100,jablka5[[#This Row],[sprzedaż]]+G1100,jablka5[[#This Row],[sprzedaż]])</f>
        <v>10999</v>
      </c>
      <c r="H1101" s="1">
        <f>IF(jablka5[[#This Row],[dot sprz]]&lt;15000,0,IF(jablka5[[#This Row],[dot sprz]]&lt;20000,5,10))</f>
        <v>0</v>
      </c>
      <c r="I1101" s="1">
        <f>jablka5[[#This Row],[rabat]]*jablka5[[#This Row],[sprzedaż]]/100</f>
        <v>0</v>
      </c>
    </row>
    <row r="1102" spans="1:9" x14ac:dyDescent="0.25">
      <c r="A1102" s="2">
        <v>44816</v>
      </c>
      <c r="B1102" s="1" t="s">
        <v>14</v>
      </c>
      <c r="C1102" s="1" t="s">
        <v>67</v>
      </c>
      <c r="D1102" s="1" t="s">
        <v>22</v>
      </c>
      <c r="E1102">
        <v>401</v>
      </c>
      <c r="F1102" s="1">
        <f>VLOOKUP(jablka5[[#This Row],[Nazwa]],cennik[],2,0) * jablka5[[#This Row],[sprzedaż]]</f>
        <v>1403.5</v>
      </c>
      <c r="G1102" s="1">
        <f>IF(jablka5[[#This Row],[NIP]]=D1101,jablka5[[#This Row],[sprzedaż]]+G1101,jablka5[[#This Row],[sprzedaż]])</f>
        <v>11400</v>
      </c>
      <c r="H1102" s="1">
        <f>IF(jablka5[[#This Row],[dot sprz]]&lt;15000,0,IF(jablka5[[#This Row],[dot sprz]]&lt;20000,5,10))</f>
        <v>0</v>
      </c>
      <c r="I1102" s="1">
        <f>jablka5[[#This Row],[rabat]]*jablka5[[#This Row],[sprzedaż]]/100</f>
        <v>0</v>
      </c>
    </row>
    <row r="1103" spans="1:9" x14ac:dyDescent="0.25">
      <c r="A1103" s="2">
        <v>44832</v>
      </c>
      <c r="B1103" s="1" t="s">
        <v>9</v>
      </c>
      <c r="C1103" s="1" t="s">
        <v>67</v>
      </c>
      <c r="D1103" s="1" t="s">
        <v>22</v>
      </c>
      <c r="E1103">
        <v>289</v>
      </c>
      <c r="F1103" s="1">
        <f>VLOOKUP(jablka5[[#This Row],[Nazwa]],cennik[],2,0) * jablka5[[#This Row],[sprzedaż]]</f>
        <v>722.5</v>
      </c>
      <c r="G1103" s="1">
        <f>IF(jablka5[[#This Row],[NIP]]=D1102,jablka5[[#This Row],[sprzedaż]]+G1102,jablka5[[#This Row],[sprzedaż]])</f>
        <v>11689</v>
      </c>
      <c r="H1103" s="1">
        <f>IF(jablka5[[#This Row],[dot sprz]]&lt;15000,0,IF(jablka5[[#This Row],[dot sprz]]&lt;20000,5,10))</f>
        <v>0</v>
      </c>
      <c r="I1103" s="1">
        <f>jablka5[[#This Row],[rabat]]*jablka5[[#This Row],[sprzedaż]]/100</f>
        <v>0</v>
      </c>
    </row>
    <row r="1104" spans="1:9" x14ac:dyDescent="0.25">
      <c r="A1104" s="2">
        <v>44833</v>
      </c>
      <c r="B1104" s="1" t="s">
        <v>14</v>
      </c>
      <c r="C1104" s="1" t="s">
        <v>67</v>
      </c>
      <c r="D1104" s="1" t="s">
        <v>22</v>
      </c>
      <c r="E1104">
        <v>494</v>
      </c>
      <c r="F1104" s="1">
        <f>VLOOKUP(jablka5[[#This Row],[Nazwa]],cennik[],2,0) * jablka5[[#This Row],[sprzedaż]]</f>
        <v>1729</v>
      </c>
      <c r="G1104" s="1">
        <f>IF(jablka5[[#This Row],[NIP]]=D1103,jablka5[[#This Row],[sprzedaż]]+G1103,jablka5[[#This Row],[sprzedaż]])</f>
        <v>12183</v>
      </c>
      <c r="H1104" s="1">
        <f>IF(jablka5[[#This Row],[dot sprz]]&lt;15000,0,IF(jablka5[[#This Row],[dot sprz]]&lt;20000,5,10))</f>
        <v>0</v>
      </c>
      <c r="I1104" s="1">
        <f>jablka5[[#This Row],[rabat]]*jablka5[[#This Row],[sprzedaż]]/100</f>
        <v>0</v>
      </c>
    </row>
    <row r="1105" spans="1:9" x14ac:dyDescent="0.25">
      <c r="A1105" s="2">
        <v>44848</v>
      </c>
      <c r="B1105" s="1" t="s">
        <v>14</v>
      </c>
      <c r="C1105" s="1" t="s">
        <v>67</v>
      </c>
      <c r="D1105" s="1" t="s">
        <v>22</v>
      </c>
      <c r="E1105">
        <v>458</v>
      </c>
      <c r="F1105" s="1">
        <f>VLOOKUP(jablka5[[#This Row],[Nazwa]],cennik[],2,0) * jablka5[[#This Row],[sprzedaż]]</f>
        <v>1603</v>
      </c>
      <c r="G1105" s="1">
        <f>IF(jablka5[[#This Row],[NIP]]=D1104,jablka5[[#This Row],[sprzedaż]]+G1104,jablka5[[#This Row],[sprzedaż]])</f>
        <v>12641</v>
      </c>
      <c r="H1105" s="1">
        <f>IF(jablka5[[#This Row],[dot sprz]]&lt;15000,0,IF(jablka5[[#This Row],[dot sprz]]&lt;20000,5,10))</f>
        <v>0</v>
      </c>
      <c r="I1105" s="1">
        <f>jablka5[[#This Row],[rabat]]*jablka5[[#This Row],[sprzedaż]]/100</f>
        <v>0</v>
      </c>
    </row>
    <row r="1106" spans="1:9" x14ac:dyDescent="0.25">
      <c r="A1106" s="2">
        <v>44851</v>
      </c>
      <c r="B1106" s="1" t="s">
        <v>14</v>
      </c>
      <c r="C1106" s="1" t="s">
        <v>67</v>
      </c>
      <c r="D1106" s="1" t="s">
        <v>22</v>
      </c>
      <c r="E1106">
        <v>38</v>
      </c>
      <c r="F1106" s="1">
        <f>VLOOKUP(jablka5[[#This Row],[Nazwa]],cennik[],2,0) * jablka5[[#This Row],[sprzedaż]]</f>
        <v>133</v>
      </c>
      <c r="G1106" s="1">
        <f>IF(jablka5[[#This Row],[NIP]]=D1105,jablka5[[#This Row],[sprzedaż]]+G1105,jablka5[[#This Row],[sprzedaż]])</f>
        <v>12679</v>
      </c>
      <c r="H1106" s="1">
        <f>IF(jablka5[[#This Row],[dot sprz]]&lt;15000,0,IF(jablka5[[#This Row],[dot sprz]]&lt;20000,5,10))</f>
        <v>0</v>
      </c>
      <c r="I1106" s="1">
        <f>jablka5[[#This Row],[rabat]]*jablka5[[#This Row],[sprzedaż]]/100</f>
        <v>0</v>
      </c>
    </row>
    <row r="1107" spans="1:9" x14ac:dyDescent="0.25">
      <c r="A1107" s="2">
        <v>44852</v>
      </c>
      <c r="B1107" s="1" t="s">
        <v>1</v>
      </c>
      <c r="C1107" s="1" t="s">
        <v>67</v>
      </c>
      <c r="D1107" s="1" t="s">
        <v>22</v>
      </c>
      <c r="E1107">
        <v>308</v>
      </c>
      <c r="F1107" s="1">
        <f>VLOOKUP(jablka5[[#This Row],[Nazwa]],cennik[],2,0) * jablka5[[#This Row],[sprzedaż]]</f>
        <v>985.6</v>
      </c>
      <c r="G1107" s="1">
        <f>IF(jablka5[[#This Row],[NIP]]=D1106,jablka5[[#This Row],[sprzedaż]]+G1106,jablka5[[#This Row],[sprzedaż]])</f>
        <v>12987</v>
      </c>
      <c r="H1107" s="1">
        <f>IF(jablka5[[#This Row],[dot sprz]]&lt;15000,0,IF(jablka5[[#This Row],[dot sprz]]&lt;20000,5,10))</f>
        <v>0</v>
      </c>
      <c r="I1107" s="1">
        <f>jablka5[[#This Row],[rabat]]*jablka5[[#This Row],[sprzedaż]]/100</f>
        <v>0</v>
      </c>
    </row>
    <row r="1108" spans="1:9" x14ac:dyDescent="0.25">
      <c r="A1108" s="2">
        <v>44853</v>
      </c>
      <c r="B1108" s="1" t="s">
        <v>14</v>
      </c>
      <c r="C1108" s="1" t="s">
        <v>67</v>
      </c>
      <c r="D1108" s="1" t="s">
        <v>22</v>
      </c>
      <c r="E1108">
        <v>52</v>
      </c>
      <c r="F1108" s="1">
        <f>VLOOKUP(jablka5[[#This Row],[Nazwa]],cennik[],2,0) * jablka5[[#This Row],[sprzedaż]]</f>
        <v>182</v>
      </c>
      <c r="G1108" s="1">
        <f>IF(jablka5[[#This Row],[NIP]]=D1107,jablka5[[#This Row],[sprzedaż]]+G1107,jablka5[[#This Row],[sprzedaż]])</f>
        <v>13039</v>
      </c>
      <c r="H1108" s="1">
        <f>IF(jablka5[[#This Row],[dot sprz]]&lt;15000,0,IF(jablka5[[#This Row],[dot sprz]]&lt;20000,5,10))</f>
        <v>0</v>
      </c>
      <c r="I1108" s="1">
        <f>jablka5[[#This Row],[rabat]]*jablka5[[#This Row],[sprzedaż]]/100</f>
        <v>0</v>
      </c>
    </row>
    <row r="1109" spans="1:9" x14ac:dyDescent="0.25">
      <c r="A1109" s="2">
        <v>44855</v>
      </c>
      <c r="B1109" s="1" t="s">
        <v>3</v>
      </c>
      <c r="C1109" s="1" t="s">
        <v>67</v>
      </c>
      <c r="D1109" s="1" t="s">
        <v>22</v>
      </c>
      <c r="E1109">
        <v>87</v>
      </c>
      <c r="F1109" s="1">
        <f>VLOOKUP(jablka5[[#This Row],[Nazwa]],cennik[],2,0) * jablka5[[#This Row],[sprzedaż]]</f>
        <v>278.40000000000003</v>
      </c>
      <c r="G1109" s="1">
        <f>IF(jablka5[[#This Row],[NIP]]=D1108,jablka5[[#This Row],[sprzedaż]]+G1108,jablka5[[#This Row],[sprzedaż]])</f>
        <v>13126</v>
      </c>
      <c r="H1109" s="1">
        <f>IF(jablka5[[#This Row],[dot sprz]]&lt;15000,0,IF(jablka5[[#This Row],[dot sprz]]&lt;20000,5,10))</f>
        <v>0</v>
      </c>
      <c r="I1109" s="1">
        <f>jablka5[[#This Row],[rabat]]*jablka5[[#This Row],[sprzedaż]]/100</f>
        <v>0</v>
      </c>
    </row>
    <row r="1110" spans="1:9" x14ac:dyDescent="0.25">
      <c r="A1110" s="2">
        <v>44861</v>
      </c>
      <c r="B1110" s="1" t="s">
        <v>9</v>
      </c>
      <c r="C1110" s="1" t="s">
        <v>67</v>
      </c>
      <c r="D1110" s="1" t="s">
        <v>22</v>
      </c>
      <c r="E1110">
        <v>405</v>
      </c>
      <c r="F1110" s="1">
        <f>VLOOKUP(jablka5[[#This Row],[Nazwa]],cennik[],2,0) * jablka5[[#This Row],[sprzedaż]]</f>
        <v>1012.5</v>
      </c>
      <c r="G1110" s="1">
        <f>IF(jablka5[[#This Row],[NIP]]=D1109,jablka5[[#This Row],[sprzedaż]]+G1109,jablka5[[#This Row],[sprzedaż]])</f>
        <v>13531</v>
      </c>
      <c r="H1110" s="1">
        <f>IF(jablka5[[#This Row],[dot sprz]]&lt;15000,0,IF(jablka5[[#This Row],[dot sprz]]&lt;20000,5,10))</f>
        <v>0</v>
      </c>
      <c r="I1110" s="1">
        <f>jablka5[[#This Row],[rabat]]*jablka5[[#This Row],[sprzedaż]]/100</f>
        <v>0</v>
      </c>
    </row>
    <row r="1111" spans="1:9" x14ac:dyDescent="0.25">
      <c r="A1111" s="2">
        <v>44861</v>
      </c>
      <c r="B1111" s="1" t="s">
        <v>9</v>
      </c>
      <c r="C1111" s="1" t="s">
        <v>67</v>
      </c>
      <c r="D1111" s="1" t="s">
        <v>22</v>
      </c>
      <c r="E1111">
        <v>361</v>
      </c>
      <c r="F1111" s="1">
        <f>VLOOKUP(jablka5[[#This Row],[Nazwa]],cennik[],2,0) * jablka5[[#This Row],[sprzedaż]]</f>
        <v>902.5</v>
      </c>
      <c r="G1111" s="1">
        <f>IF(jablka5[[#This Row],[NIP]]=D1110,jablka5[[#This Row],[sprzedaż]]+G1110,jablka5[[#This Row],[sprzedaż]])</f>
        <v>13892</v>
      </c>
      <c r="H1111" s="1">
        <f>IF(jablka5[[#This Row],[dot sprz]]&lt;15000,0,IF(jablka5[[#This Row],[dot sprz]]&lt;20000,5,10))</f>
        <v>0</v>
      </c>
      <c r="I1111" s="1">
        <f>jablka5[[#This Row],[rabat]]*jablka5[[#This Row],[sprzedaż]]/100</f>
        <v>0</v>
      </c>
    </row>
    <row r="1112" spans="1:9" x14ac:dyDescent="0.25">
      <c r="A1112" s="2">
        <v>44872</v>
      </c>
      <c r="B1112" s="1" t="s">
        <v>1</v>
      </c>
      <c r="C1112" s="1" t="s">
        <v>67</v>
      </c>
      <c r="D1112" s="1" t="s">
        <v>22</v>
      </c>
      <c r="E1112">
        <v>488</v>
      </c>
      <c r="F1112" s="1">
        <f>VLOOKUP(jablka5[[#This Row],[Nazwa]],cennik[],2,0) * jablka5[[#This Row],[sprzedaż]]</f>
        <v>1561.6000000000001</v>
      </c>
      <c r="G1112" s="1">
        <f>IF(jablka5[[#This Row],[NIP]]=D1111,jablka5[[#This Row],[sprzedaż]]+G1111,jablka5[[#This Row],[sprzedaż]])</f>
        <v>14380</v>
      </c>
      <c r="H1112" s="1">
        <f>IF(jablka5[[#This Row],[dot sprz]]&lt;15000,0,IF(jablka5[[#This Row],[dot sprz]]&lt;20000,5,10))</f>
        <v>0</v>
      </c>
      <c r="I1112" s="1">
        <f>jablka5[[#This Row],[rabat]]*jablka5[[#This Row],[sprzedaż]]/100</f>
        <v>0</v>
      </c>
    </row>
    <row r="1113" spans="1:9" x14ac:dyDescent="0.25">
      <c r="A1113" s="2">
        <v>44874</v>
      </c>
      <c r="B1113" s="1" t="s">
        <v>11</v>
      </c>
      <c r="C1113" s="1" t="s">
        <v>67</v>
      </c>
      <c r="D1113" s="1" t="s">
        <v>22</v>
      </c>
      <c r="E1113">
        <v>244</v>
      </c>
      <c r="F1113" s="1">
        <f>VLOOKUP(jablka5[[#This Row],[Nazwa]],cennik[],2,0) * jablka5[[#This Row],[sprzedaż]]</f>
        <v>610</v>
      </c>
      <c r="G1113" s="1">
        <f>IF(jablka5[[#This Row],[NIP]]=D1112,jablka5[[#This Row],[sprzedaż]]+G1112,jablka5[[#This Row],[sprzedaż]])</f>
        <v>14624</v>
      </c>
      <c r="H1113" s="1">
        <f>IF(jablka5[[#This Row],[dot sprz]]&lt;15000,0,IF(jablka5[[#This Row],[dot sprz]]&lt;20000,5,10))</f>
        <v>0</v>
      </c>
      <c r="I1113" s="1">
        <f>jablka5[[#This Row],[rabat]]*jablka5[[#This Row],[sprzedaż]]/100</f>
        <v>0</v>
      </c>
    </row>
    <row r="1114" spans="1:9" x14ac:dyDescent="0.25">
      <c r="A1114" s="2">
        <v>44882</v>
      </c>
      <c r="B1114" s="1" t="s">
        <v>3</v>
      </c>
      <c r="C1114" s="1" t="s">
        <v>67</v>
      </c>
      <c r="D1114" s="1" t="s">
        <v>22</v>
      </c>
      <c r="E1114">
        <v>469</v>
      </c>
      <c r="F1114" s="1">
        <f>VLOOKUP(jablka5[[#This Row],[Nazwa]],cennik[],2,0) * jablka5[[#This Row],[sprzedaż]]</f>
        <v>1500.8000000000002</v>
      </c>
      <c r="G1114" s="1">
        <f>IF(jablka5[[#This Row],[NIP]]=D1113,jablka5[[#This Row],[sprzedaż]]+G1113,jablka5[[#This Row],[sprzedaż]])</f>
        <v>15093</v>
      </c>
      <c r="H1114" s="1">
        <f>IF(jablka5[[#This Row],[dot sprz]]&lt;15000,0,IF(jablka5[[#This Row],[dot sprz]]&lt;20000,5,10))</f>
        <v>5</v>
      </c>
      <c r="I1114" s="1">
        <f>jablka5[[#This Row],[rabat]]*jablka5[[#This Row],[sprzedaż]]/100</f>
        <v>23.45</v>
      </c>
    </row>
    <row r="1115" spans="1:9" x14ac:dyDescent="0.25">
      <c r="A1115" s="2">
        <v>44884</v>
      </c>
      <c r="B1115" s="1" t="s">
        <v>11</v>
      </c>
      <c r="C1115" s="1" t="s">
        <v>67</v>
      </c>
      <c r="D1115" s="1" t="s">
        <v>22</v>
      </c>
      <c r="E1115">
        <v>396</v>
      </c>
      <c r="F1115" s="1">
        <f>VLOOKUP(jablka5[[#This Row],[Nazwa]],cennik[],2,0) * jablka5[[#This Row],[sprzedaż]]</f>
        <v>990</v>
      </c>
      <c r="G1115" s="1">
        <f>IF(jablka5[[#This Row],[NIP]]=D1114,jablka5[[#This Row],[sprzedaż]]+G1114,jablka5[[#This Row],[sprzedaż]])</f>
        <v>15489</v>
      </c>
      <c r="H1115" s="1">
        <f>IF(jablka5[[#This Row],[dot sprz]]&lt;15000,0,IF(jablka5[[#This Row],[dot sprz]]&lt;20000,5,10))</f>
        <v>5</v>
      </c>
      <c r="I1115" s="1">
        <f>jablka5[[#This Row],[rabat]]*jablka5[[#This Row],[sprzedaż]]/100</f>
        <v>19.8</v>
      </c>
    </row>
    <row r="1116" spans="1:9" x14ac:dyDescent="0.25">
      <c r="A1116" s="2">
        <v>44889</v>
      </c>
      <c r="B1116" s="1" t="s">
        <v>14</v>
      </c>
      <c r="C1116" s="1" t="s">
        <v>67</v>
      </c>
      <c r="D1116" s="1" t="s">
        <v>22</v>
      </c>
      <c r="E1116">
        <v>257</v>
      </c>
      <c r="F1116" s="1">
        <f>VLOOKUP(jablka5[[#This Row],[Nazwa]],cennik[],2,0) * jablka5[[#This Row],[sprzedaż]]</f>
        <v>899.5</v>
      </c>
      <c r="G1116" s="1">
        <f>IF(jablka5[[#This Row],[NIP]]=D1115,jablka5[[#This Row],[sprzedaż]]+G1115,jablka5[[#This Row],[sprzedaż]])</f>
        <v>15746</v>
      </c>
      <c r="H1116" s="1">
        <f>IF(jablka5[[#This Row],[dot sprz]]&lt;15000,0,IF(jablka5[[#This Row],[dot sprz]]&lt;20000,5,10))</f>
        <v>5</v>
      </c>
      <c r="I1116" s="1">
        <f>jablka5[[#This Row],[rabat]]*jablka5[[#This Row],[sprzedaż]]/100</f>
        <v>12.85</v>
      </c>
    </row>
    <row r="1117" spans="1:9" x14ac:dyDescent="0.25">
      <c r="A1117" s="2">
        <v>44893</v>
      </c>
      <c r="B1117" s="1" t="s">
        <v>9</v>
      </c>
      <c r="C1117" s="1" t="s">
        <v>67</v>
      </c>
      <c r="D1117" s="1" t="s">
        <v>22</v>
      </c>
      <c r="E1117">
        <v>118</v>
      </c>
      <c r="F1117" s="1">
        <f>VLOOKUP(jablka5[[#This Row],[Nazwa]],cennik[],2,0) * jablka5[[#This Row],[sprzedaż]]</f>
        <v>295</v>
      </c>
      <c r="G1117" s="1">
        <f>IF(jablka5[[#This Row],[NIP]]=D1116,jablka5[[#This Row],[sprzedaż]]+G1116,jablka5[[#This Row],[sprzedaż]])</f>
        <v>15864</v>
      </c>
      <c r="H1117" s="1">
        <f>IF(jablka5[[#This Row],[dot sprz]]&lt;15000,0,IF(jablka5[[#This Row],[dot sprz]]&lt;20000,5,10))</f>
        <v>5</v>
      </c>
      <c r="I1117" s="1">
        <f>jablka5[[#This Row],[rabat]]*jablka5[[#This Row],[sprzedaż]]/100</f>
        <v>5.9</v>
      </c>
    </row>
    <row r="1118" spans="1:9" x14ac:dyDescent="0.25">
      <c r="A1118" s="2">
        <v>44896</v>
      </c>
      <c r="B1118" s="1" t="s">
        <v>5</v>
      </c>
      <c r="C1118" s="1" t="s">
        <v>16</v>
      </c>
      <c r="D1118" s="1" t="s">
        <v>22</v>
      </c>
      <c r="E1118">
        <v>458</v>
      </c>
      <c r="F1118" s="1">
        <f>VLOOKUP(jablka5[[#This Row],[Nazwa]],cennik[],2,0) * jablka5[[#This Row],[sprzedaż]]</f>
        <v>1557.2</v>
      </c>
      <c r="G1118" s="1">
        <f>IF(jablka5[[#This Row],[NIP]]=D1117,jablka5[[#This Row],[sprzedaż]]+G1117,jablka5[[#This Row],[sprzedaż]])</f>
        <v>16322</v>
      </c>
      <c r="H1118" s="1">
        <f>IF(jablka5[[#This Row],[dot sprz]]&lt;15000,0,IF(jablka5[[#This Row],[dot sprz]]&lt;20000,5,10))</f>
        <v>5</v>
      </c>
      <c r="I1118" s="1">
        <f>jablka5[[#This Row],[rabat]]*jablka5[[#This Row],[sprzedaż]]/100</f>
        <v>22.9</v>
      </c>
    </row>
    <row r="1119" spans="1:9" x14ac:dyDescent="0.25">
      <c r="A1119" s="2">
        <v>44900</v>
      </c>
      <c r="B1119" s="1" t="s">
        <v>7</v>
      </c>
      <c r="C1119" s="1" t="s">
        <v>16</v>
      </c>
      <c r="D1119" s="1" t="s">
        <v>22</v>
      </c>
      <c r="E1119">
        <v>540</v>
      </c>
      <c r="F1119" s="1">
        <f>VLOOKUP(jablka5[[#This Row],[Nazwa]],cennik[],2,0) * jablka5[[#This Row],[sprzedaż]]</f>
        <v>1836</v>
      </c>
      <c r="G1119" s="1">
        <f>IF(jablka5[[#This Row],[NIP]]=D1118,jablka5[[#This Row],[sprzedaż]]+G1118,jablka5[[#This Row],[sprzedaż]])</f>
        <v>16862</v>
      </c>
      <c r="H1119" s="1">
        <f>IF(jablka5[[#This Row],[dot sprz]]&lt;15000,0,IF(jablka5[[#This Row],[dot sprz]]&lt;20000,5,10))</f>
        <v>5</v>
      </c>
      <c r="I1119" s="1">
        <f>jablka5[[#This Row],[rabat]]*jablka5[[#This Row],[sprzedaż]]/100</f>
        <v>27</v>
      </c>
    </row>
    <row r="1120" spans="1:9" x14ac:dyDescent="0.25">
      <c r="A1120" s="2">
        <v>44903</v>
      </c>
      <c r="B1120" s="1" t="s">
        <v>5</v>
      </c>
      <c r="C1120" s="1" t="s">
        <v>16</v>
      </c>
      <c r="D1120" s="1" t="s">
        <v>22</v>
      </c>
      <c r="E1120">
        <v>322</v>
      </c>
      <c r="F1120" s="1">
        <f>VLOOKUP(jablka5[[#This Row],[Nazwa]],cennik[],2,0) * jablka5[[#This Row],[sprzedaż]]</f>
        <v>1094.8</v>
      </c>
      <c r="G1120" s="1">
        <f>IF(jablka5[[#This Row],[NIP]]=D1119,jablka5[[#This Row],[sprzedaż]]+G1119,jablka5[[#This Row],[sprzedaż]])</f>
        <v>17184</v>
      </c>
      <c r="H1120" s="1">
        <f>IF(jablka5[[#This Row],[dot sprz]]&lt;15000,0,IF(jablka5[[#This Row],[dot sprz]]&lt;20000,5,10))</f>
        <v>5</v>
      </c>
      <c r="I1120" s="1">
        <f>jablka5[[#This Row],[rabat]]*jablka5[[#This Row],[sprzedaż]]/100</f>
        <v>16.100000000000001</v>
      </c>
    </row>
    <row r="1121" spans="1:9" x14ac:dyDescent="0.25">
      <c r="A1121" s="2">
        <v>44905</v>
      </c>
      <c r="B1121" s="1" t="s">
        <v>15</v>
      </c>
      <c r="C1121" s="1" t="s">
        <v>16</v>
      </c>
      <c r="D1121" s="1" t="s">
        <v>22</v>
      </c>
      <c r="E1121">
        <v>382</v>
      </c>
      <c r="F1121" s="1">
        <f>VLOOKUP(jablka5[[#This Row],[Nazwa]],cennik[],2,0) * jablka5[[#This Row],[sprzedaż]]</f>
        <v>916.8</v>
      </c>
      <c r="G1121" s="1">
        <f>IF(jablka5[[#This Row],[NIP]]=D1120,jablka5[[#This Row],[sprzedaż]]+G1120,jablka5[[#This Row],[sprzedaż]])</f>
        <v>17566</v>
      </c>
      <c r="H1121" s="1">
        <f>IF(jablka5[[#This Row],[dot sprz]]&lt;15000,0,IF(jablka5[[#This Row],[dot sprz]]&lt;20000,5,10))</f>
        <v>5</v>
      </c>
      <c r="I1121" s="1">
        <f>jablka5[[#This Row],[rabat]]*jablka5[[#This Row],[sprzedaż]]/100</f>
        <v>19.100000000000001</v>
      </c>
    </row>
    <row r="1122" spans="1:9" x14ac:dyDescent="0.25">
      <c r="A1122" s="2">
        <v>44564</v>
      </c>
      <c r="B1122" s="1" t="s">
        <v>6</v>
      </c>
      <c r="C1122" s="1" t="s">
        <v>16</v>
      </c>
      <c r="D1122" s="1" t="s">
        <v>23</v>
      </c>
      <c r="E1122">
        <v>159</v>
      </c>
      <c r="F1122" s="1">
        <f>VLOOKUP(jablka5[[#This Row],[Nazwa]],cennik[],2,0) * jablka5[[#This Row],[sprzedaż]]</f>
        <v>540.6</v>
      </c>
      <c r="G1122" s="1">
        <f>IF(jablka5[[#This Row],[NIP]]=D1121,jablka5[[#This Row],[sprzedaż]]+G1121,jablka5[[#This Row],[sprzedaż]])</f>
        <v>159</v>
      </c>
      <c r="H1122" s="1">
        <f>IF(jablka5[[#This Row],[dot sprz]]&lt;15000,0,IF(jablka5[[#This Row],[dot sprz]]&lt;20000,5,10))</f>
        <v>0</v>
      </c>
      <c r="I1122" s="1">
        <f>jablka5[[#This Row],[rabat]]*jablka5[[#This Row],[sprzedaż]]/100</f>
        <v>0</v>
      </c>
    </row>
    <row r="1123" spans="1:9" x14ac:dyDescent="0.25">
      <c r="A1123" s="2">
        <v>44565</v>
      </c>
      <c r="B1123" s="1" t="s">
        <v>5</v>
      </c>
      <c r="C1123" s="1" t="s">
        <v>16</v>
      </c>
      <c r="D1123" s="1" t="s">
        <v>23</v>
      </c>
      <c r="E1123">
        <v>110</v>
      </c>
      <c r="F1123" s="1">
        <f>VLOOKUP(jablka5[[#This Row],[Nazwa]],cennik[],2,0) * jablka5[[#This Row],[sprzedaż]]</f>
        <v>374</v>
      </c>
      <c r="G1123" s="1">
        <f>IF(jablka5[[#This Row],[NIP]]=D1122,jablka5[[#This Row],[sprzedaż]]+G1122,jablka5[[#This Row],[sprzedaż]])</f>
        <v>269</v>
      </c>
      <c r="H1123" s="1">
        <f>IF(jablka5[[#This Row],[dot sprz]]&lt;15000,0,IF(jablka5[[#This Row],[dot sprz]]&lt;20000,5,10))</f>
        <v>0</v>
      </c>
      <c r="I1123" s="1">
        <f>jablka5[[#This Row],[rabat]]*jablka5[[#This Row],[sprzedaż]]/100</f>
        <v>0</v>
      </c>
    </row>
    <row r="1124" spans="1:9" x14ac:dyDescent="0.25">
      <c r="A1124" s="2">
        <v>44569</v>
      </c>
      <c r="B1124" s="1" t="s">
        <v>5</v>
      </c>
      <c r="C1124" s="1" t="s">
        <v>16</v>
      </c>
      <c r="D1124" s="1" t="s">
        <v>23</v>
      </c>
      <c r="E1124">
        <v>11</v>
      </c>
      <c r="F1124" s="1">
        <f>VLOOKUP(jablka5[[#This Row],[Nazwa]],cennik[],2,0) * jablka5[[#This Row],[sprzedaż]]</f>
        <v>37.4</v>
      </c>
      <c r="G1124" s="1">
        <f>IF(jablka5[[#This Row],[NIP]]=D1123,jablka5[[#This Row],[sprzedaż]]+G1123,jablka5[[#This Row],[sprzedaż]])</f>
        <v>280</v>
      </c>
      <c r="H1124" s="1">
        <f>IF(jablka5[[#This Row],[dot sprz]]&lt;15000,0,IF(jablka5[[#This Row],[dot sprz]]&lt;20000,5,10))</f>
        <v>0</v>
      </c>
      <c r="I1124" s="1">
        <f>jablka5[[#This Row],[rabat]]*jablka5[[#This Row],[sprzedaż]]/100</f>
        <v>0</v>
      </c>
    </row>
    <row r="1125" spans="1:9" x14ac:dyDescent="0.25">
      <c r="A1125" s="2">
        <v>44571</v>
      </c>
      <c r="B1125" s="1" t="s">
        <v>0</v>
      </c>
      <c r="C1125" s="1" t="s">
        <v>16</v>
      </c>
      <c r="D1125" s="1" t="s">
        <v>23</v>
      </c>
      <c r="E1125">
        <v>323</v>
      </c>
      <c r="F1125" s="1">
        <f>VLOOKUP(jablka5[[#This Row],[Nazwa]],cennik[],2,0) * jablka5[[#This Row],[sprzedaż]]</f>
        <v>936.69999999999993</v>
      </c>
      <c r="G1125" s="1">
        <f>IF(jablka5[[#This Row],[NIP]]=D1124,jablka5[[#This Row],[sprzedaż]]+G1124,jablka5[[#This Row],[sprzedaż]])</f>
        <v>603</v>
      </c>
      <c r="H1125" s="1">
        <f>IF(jablka5[[#This Row],[dot sprz]]&lt;15000,0,IF(jablka5[[#This Row],[dot sprz]]&lt;20000,5,10))</f>
        <v>0</v>
      </c>
      <c r="I1125" s="1">
        <f>jablka5[[#This Row],[rabat]]*jablka5[[#This Row],[sprzedaż]]/100</f>
        <v>0</v>
      </c>
    </row>
    <row r="1126" spans="1:9" x14ac:dyDescent="0.25">
      <c r="A1126" s="2">
        <v>44579</v>
      </c>
      <c r="B1126" s="1" t="s">
        <v>10</v>
      </c>
      <c r="C1126" s="1" t="s">
        <v>16</v>
      </c>
      <c r="D1126" s="1" t="s">
        <v>23</v>
      </c>
      <c r="E1126">
        <v>419</v>
      </c>
      <c r="F1126" s="1">
        <f>VLOOKUP(jablka5[[#This Row],[Nazwa]],cennik[],2,0) * jablka5[[#This Row],[sprzedaż]]</f>
        <v>1424.6</v>
      </c>
      <c r="G1126" s="1">
        <f>IF(jablka5[[#This Row],[NIP]]=D1125,jablka5[[#This Row],[sprzedaż]]+G1125,jablka5[[#This Row],[sprzedaż]])</f>
        <v>1022</v>
      </c>
      <c r="H1126" s="1">
        <f>IF(jablka5[[#This Row],[dot sprz]]&lt;15000,0,IF(jablka5[[#This Row],[dot sprz]]&lt;20000,5,10))</f>
        <v>0</v>
      </c>
      <c r="I1126" s="1">
        <f>jablka5[[#This Row],[rabat]]*jablka5[[#This Row],[sprzedaż]]/100</f>
        <v>0</v>
      </c>
    </row>
    <row r="1127" spans="1:9" x14ac:dyDescent="0.25">
      <c r="A1127" s="2">
        <v>44580</v>
      </c>
      <c r="B1127" s="1" t="s">
        <v>2</v>
      </c>
      <c r="C1127" s="1" t="s">
        <v>16</v>
      </c>
      <c r="D1127" s="1" t="s">
        <v>23</v>
      </c>
      <c r="E1127">
        <v>111</v>
      </c>
      <c r="F1127" s="1">
        <f>VLOOKUP(jablka5[[#This Row],[Nazwa]],cennik[],2,0) * jablka5[[#This Row],[sprzedaż]]</f>
        <v>355.20000000000005</v>
      </c>
      <c r="G1127" s="1">
        <f>IF(jablka5[[#This Row],[NIP]]=D1126,jablka5[[#This Row],[sprzedaż]]+G1126,jablka5[[#This Row],[sprzedaż]])</f>
        <v>1133</v>
      </c>
      <c r="H1127" s="1">
        <f>IF(jablka5[[#This Row],[dot sprz]]&lt;15000,0,IF(jablka5[[#This Row],[dot sprz]]&lt;20000,5,10))</f>
        <v>0</v>
      </c>
      <c r="I1127" s="1">
        <f>jablka5[[#This Row],[rabat]]*jablka5[[#This Row],[sprzedaż]]/100</f>
        <v>0</v>
      </c>
    </row>
    <row r="1128" spans="1:9" x14ac:dyDescent="0.25">
      <c r="A1128" s="2">
        <v>44585</v>
      </c>
      <c r="B1128" s="1" t="s">
        <v>5</v>
      </c>
      <c r="C1128" s="1" t="s">
        <v>16</v>
      </c>
      <c r="D1128" s="1" t="s">
        <v>23</v>
      </c>
      <c r="E1128">
        <v>132</v>
      </c>
      <c r="F1128" s="1">
        <f>VLOOKUP(jablka5[[#This Row],[Nazwa]],cennik[],2,0) * jablka5[[#This Row],[sprzedaż]]</f>
        <v>448.8</v>
      </c>
      <c r="G1128" s="1">
        <f>IF(jablka5[[#This Row],[NIP]]=D1127,jablka5[[#This Row],[sprzedaż]]+G1127,jablka5[[#This Row],[sprzedaż]])</f>
        <v>1265</v>
      </c>
      <c r="H1128" s="1">
        <f>IF(jablka5[[#This Row],[dot sprz]]&lt;15000,0,IF(jablka5[[#This Row],[dot sprz]]&lt;20000,5,10))</f>
        <v>0</v>
      </c>
      <c r="I1128" s="1">
        <f>jablka5[[#This Row],[rabat]]*jablka5[[#This Row],[sprzedaż]]/100</f>
        <v>0</v>
      </c>
    </row>
    <row r="1129" spans="1:9" x14ac:dyDescent="0.25">
      <c r="A1129" s="2">
        <v>44585</v>
      </c>
      <c r="B1129" s="1" t="s">
        <v>6</v>
      </c>
      <c r="C1129" s="1" t="s">
        <v>16</v>
      </c>
      <c r="D1129" s="1" t="s">
        <v>23</v>
      </c>
      <c r="E1129">
        <v>339</v>
      </c>
      <c r="F1129" s="1">
        <f>VLOOKUP(jablka5[[#This Row],[Nazwa]],cennik[],2,0) * jablka5[[#This Row],[sprzedaż]]</f>
        <v>1152.5999999999999</v>
      </c>
      <c r="G1129" s="1">
        <f>IF(jablka5[[#This Row],[NIP]]=D1128,jablka5[[#This Row],[sprzedaż]]+G1128,jablka5[[#This Row],[sprzedaż]])</f>
        <v>1604</v>
      </c>
      <c r="H1129" s="1">
        <f>IF(jablka5[[#This Row],[dot sprz]]&lt;15000,0,IF(jablka5[[#This Row],[dot sprz]]&lt;20000,5,10))</f>
        <v>0</v>
      </c>
      <c r="I1129" s="1">
        <f>jablka5[[#This Row],[rabat]]*jablka5[[#This Row],[sprzedaż]]/100</f>
        <v>0</v>
      </c>
    </row>
    <row r="1130" spans="1:9" x14ac:dyDescent="0.25">
      <c r="A1130" s="2">
        <v>44601</v>
      </c>
      <c r="B1130" s="1" t="s">
        <v>2</v>
      </c>
      <c r="C1130" s="1" t="s">
        <v>16</v>
      </c>
      <c r="D1130" s="1" t="s">
        <v>23</v>
      </c>
      <c r="E1130">
        <v>333</v>
      </c>
      <c r="F1130" s="1">
        <f>VLOOKUP(jablka5[[#This Row],[Nazwa]],cennik[],2,0) * jablka5[[#This Row],[sprzedaż]]</f>
        <v>1065.6000000000001</v>
      </c>
      <c r="G1130" s="1">
        <f>IF(jablka5[[#This Row],[NIP]]=D1129,jablka5[[#This Row],[sprzedaż]]+G1129,jablka5[[#This Row],[sprzedaż]])</f>
        <v>1937</v>
      </c>
      <c r="H1130" s="1">
        <f>IF(jablka5[[#This Row],[dot sprz]]&lt;15000,0,IF(jablka5[[#This Row],[dot sprz]]&lt;20000,5,10))</f>
        <v>0</v>
      </c>
      <c r="I1130" s="1">
        <f>jablka5[[#This Row],[rabat]]*jablka5[[#This Row],[sprzedaż]]/100</f>
        <v>0</v>
      </c>
    </row>
    <row r="1131" spans="1:9" x14ac:dyDescent="0.25">
      <c r="A1131" s="2">
        <v>44602</v>
      </c>
      <c r="B1131" s="1" t="s">
        <v>0</v>
      </c>
      <c r="C1131" s="1" t="s">
        <v>16</v>
      </c>
      <c r="D1131" s="1" t="s">
        <v>23</v>
      </c>
      <c r="E1131">
        <v>46</v>
      </c>
      <c r="F1131" s="1">
        <f>VLOOKUP(jablka5[[#This Row],[Nazwa]],cennik[],2,0) * jablka5[[#This Row],[sprzedaż]]</f>
        <v>133.4</v>
      </c>
      <c r="G1131" s="1">
        <f>IF(jablka5[[#This Row],[NIP]]=D1130,jablka5[[#This Row],[sprzedaż]]+G1130,jablka5[[#This Row],[sprzedaż]])</f>
        <v>1983</v>
      </c>
      <c r="H1131" s="1">
        <f>IF(jablka5[[#This Row],[dot sprz]]&lt;15000,0,IF(jablka5[[#This Row],[dot sprz]]&lt;20000,5,10))</f>
        <v>0</v>
      </c>
      <c r="I1131" s="1">
        <f>jablka5[[#This Row],[rabat]]*jablka5[[#This Row],[sprzedaż]]/100</f>
        <v>0</v>
      </c>
    </row>
    <row r="1132" spans="1:9" x14ac:dyDescent="0.25">
      <c r="A1132" s="2">
        <v>44614</v>
      </c>
      <c r="B1132" s="1" t="s">
        <v>10</v>
      </c>
      <c r="C1132" s="1" t="s">
        <v>16</v>
      </c>
      <c r="D1132" s="1" t="s">
        <v>23</v>
      </c>
      <c r="E1132">
        <v>316</v>
      </c>
      <c r="F1132" s="1">
        <f>VLOOKUP(jablka5[[#This Row],[Nazwa]],cennik[],2,0) * jablka5[[#This Row],[sprzedaż]]</f>
        <v>1074.3999999999999</v>
      </c>
      <c r="G1132" s="1">
        <f>IF(jablka5[[#This Row],[NIP]]=D1131,jablka5[[#This Row],[sprzedaż]]+G1131,jablka5[[#This Row],[sprzedaż]])</f>
        <v>2299</v>
      </c>
      <c r="H1132" s="1">
        <f>IF(jablka5[[#This Row],[dot sprz]]&lt;15000,0,IF(jablka5[[#This Row],[dot sprz]]&lt;20000,5,10))</f>
        <v>0</v>
      </c>
      <c r="I1132" s="1">
        <f>jablka5[[#This Row],[rabat]]*jablka5[[#This Row],[sprzedaż]]/100</f>
        <v>0</v>
      </c>
    </row>
    <row r="1133" spans="1:9" x14ac:dyDescent="0.25">
      <c r="A1133" s="2">
        <v>44621</v>
      </c>
      <c r="B1133" s="1" t="s">
        <v>5</v>
      </c>
      <c r="C1133" s="1" t="s">
        <v>16</v>
      </c>
      <c r="D1133" s="1" t="s">
        <v>23</v>
      </c>
      <c r="E1133">
        <v>466</v>
      </c>
      <c r="F1133" s="1">
        <f>VLOOKUP(jablka5[[#This Row],[Nazwa]],cennik[],2,0) * jablka5[[#This Row],[sprzedaż]]</f>
        <v>1584.3999999999999</v>
      </c>
      <c r="G1133" s="1">
        <f>IF(jablka5[[#This Row],[NIP]]=D1132,jablka5[[#This Row],[sprzedaż]]+G1132,jablka5[[#This Row],[sprzedaż]])</f>
        <v>2765</v>
      </c>
      <c r="H1133" s="1">
        <f>IF(jablka5[[#This Row],[dot sprz]]&lt;15000,0,IF(jablka5[[#This Row],[dot sprz]]&lt;20000,5,10))</f>
        <v>0</v>
      </c>
      <c r="I1133" s="1">
        <f>jablka5[[#This Row],[rabat]]*jablka5[[#This Row],[sprzedaż]]/100</f>
        <v>0</v>
      </c>
    </row>
    <row r="1134" spans="1:9" x14ac:dyDescent="0.25">
      <c r="A1134" s="2">
        <v>44645</v>
      </c>
      <c r="B1134" s="1" t="s">
        <v>6</v>
      </c>
      <c r="C1134" s="1" t="s">
        <v>16</v>
      </c>
      <c r="D1134" s="1" t="s">
        <v>23</v>
      </c>
      <c r="E1134">
        <v>32</v>
      </c>
      <c r="F1134" s="1">
        <f>VLOOKUP(jablka5[[#This Row],[Nazwa]],cennik[],2,0) * jablka5[[#This Row],[sprzedaż]]</f>
        <v>108.8</v>
      </c>
      <c r="G1134" s="1">
        <f>IF(jablka5[[#This Row],[NIP]]=D1133,jablka5[[#This Row],[sprzedaż]]+G1133,jablka5[[#This Row],[sprzedaż]])</f>
        <v>2797</v>
      </c>
      <c r="H1134" s="1">
        <f>IF(jablka5[[#This Row],[dot sprz]]&lt;15000,0,IF(jablka5[[#This Row],[dot sprz]]&lt;20000,5,10))</f>
        <v>0</v>
      </c>
      <c r="I1134" s="1">
        <f>jablka5[[#This Row],[rabat]]*jablka5[[#This Row],[sprzedaż]]/100</f>
        <v>0</v>
      </c>
    </row>
    <row r="1135" spans="1:9" x14ac:dyDescent="0.25">
      <c r="A1135" s="2">
        <v>44649</v>
      </c>
      <c r="B1135" s="1" t="s">
        <v>0</v>
      </c>
      <c r="C1135" s="1" t="s">
        <v>16</v>
      </c>
      <c r="D1135" s="1" t="s">
        <v>23</v>
      </c>
      <c r="E1135">
        <v>18</v>
      </c>
      <c r="F1135" s="1">
        <f>VLOOKUP(jablka5[[#This Row],[Nazwa]],cennik[],2,0) * jablka5[[#This Row],[sprzedaż]]</f>
        <v>52.199999999999996</v>
      </c>
      <c r="G1135" s="1">
        <f>IF(jablka5[[#This Row],[NIP]]=D1134,jablka5[[#This Row],[sprzedaż]]+G1134,jablka5[[#This Row],[sprzedaż]])</f>
        <v>2815</v>
      </c>
      <c r="H1135" s="1">
        <f>IF(jablka5[[#This Row],[dot sprz]]&lt;15000,0,IF(jablka5[[#This Row],[dot sprz]]&lt;20000,5,10))</f>
        <v>0</v>
      </c>
      <c r="I1135" s="1">
        <f>jablka5[[#This Row],[rabat]]*jablka5[[#This Row],[sprzedaż]]/100</f>
        <v>0</v>
      </c>
    </row>
    <row r="1136" spans="1:9" x14ac:dyDescent="0.25">
      <c r="A1136" s="2">
        <v>44655</v>
      </c>
      <c r="B1136" s="1" t="s">
        <v>10</v>
      </c>
      <c r="C1136" s="1" t="s">
        <v>16</v>
      </c>
      <c r="D1136" s="1" t="s">
        <v>23</v>
      </c>
      <c r="E1136">
        <v>33</v>
      </c>
      <c r="F1136" s="1">
        <f>VLOOKUP(jablka5[[#This Row],[Nazwa]],cennik[],2,0) * jablka5[[#This Row],[sprzedaż]]</f>
        <v>112.2</v>
      </c>
      <c r="G1136" s="1">
        <f>IF(jablka5[[#This Row],[NIP]]=D1135,jablka5[[#This Row],[sprzedaż]]+G1135,jablka5[[#This Row],[sprzedaż]])</f>
        <v>2848</v>
      </c>
      <c r="H1136" s="1">
        <f>IF(jablka5[[#This Row],[dot sprz]]&lt;15000,0,IF(jablka5[[#This Row],[dot sprz]]&lt;20000,5,10))</f>
        <v>0</v>
      </c>
      <c r="I1136" s="1">
        <f>jablka5[[#This Row],[rabat]]*jablka5[[#This Row],[sprzedaż]]/100</f>
        <v>0</v>
      </c>
    </row>
    <row r="1137" spans="1:9" x14ac:dyDescent="0.25">
      <c r="A1137" s="2">
        <v>44656</v>
      </c>
      <c r="B1137" s="1" t="s">
        <v>7</v>
      </c>
      <c r="C1137" s="1" t="s">
        <v>16</v>
      </c>
      <c r="D1137" s="1" t="s">
        <v>23</v>
      </c>
      <c r="E1137">
        <v>400</v>
      </c>
      <c r="F1137" s="1">
        <f>VLOOKUP(jablka5[[#This Row],[Nazwa]],cennik[],2,0) * jablka5[[#This Row],[sprzedaż]]</f>
        <v>1360</v>
      </c>
      <c r="G1137" s="1">
        <f>IF(jablka5[[#This Row],[NIP]]=D1136,jablka5[[#This Row],[sprzedaż]]+G1136,jablka5[[#This Row],[sprzedaż]])</f>
        <v>3248</v>
      </c>
      <c r="H1137" s="1">
        <f>IF(jablka5[[#This Row],[dot sprz]]&lt;15000,0,IF(jablka5[[#This Row],[dot sprz]]&lt;20000,5,10))</f>
        <v>0</v>
      </c>
      <c r="I1137" s="1">
        <f>jablka5[[#This Row],[rabat]]*jablka5[[#This Row],[sprzedaż]]/100</f>
        <v>0</v>
      </c>
    </row>
    <row r="1138" spans="1:9" x14ac:dyDescent="0.25">
      <c r="A1138" s="2">
        <v>44657</v>
      </c>
      <c r="B1138" s="1" t="s">
        <v>8</v>
      </c>
      <c r="C1138" s="1" t="s">
        <v>16</v>
      </c>
      <c r="D1138" s="1" t="s">
        <v>23</v>
      </c>
      <c r="E1138">
        <v>230</v>
      </c>
      <c r="F1138" s="1">
        <f>VLOOKUP(jablka5[[#This Row],[Nazwa]],cennik[],2,0) * jablka5[[#This Row],[sprzedaż]]</f>
        <v>805</v>
      </c>
      <c r="G1138" s="1">
        <f>IF(jablka5[[#This Row],[NIP]]=D1137,jablka5[[#This Row],[sprzedaż]]+G1137,jablka5[[#This Row],[sprzedaż]])</f>
        <v>3478</v>
      </c>
      <c r="H1138" s="1">
        <f>IF(jablka5[[#This Row],[dot sprz]]&lt;15000,0,IF(jablka5[[#This Row],[dot sprz]]&lt;20000,5,10))</f>
        <v>0</v>
      </c>
      <c r="I1138" s="1">
        <f>jablka5[[#This Row],[rabat]]*jablka5[[#This Row],[sprzedaż]]/100</f>
        <v>0</v>
      </c>
    </row>
    <row r="1139" spans="1:9" x14ac:dyDescent="0.25">
      <c r="A1139" s="2">
        <v>44659</v>
      </c>
      <c r="B1139" s="1" t="s">
        <v>0</v>
      </c>
      <c r="C1139" s="1" t="s">
        <v>16</v>
      </c>
      <c r="D1139" s="1" t="s">
        <v>23</v>
      </c>
      <c r="E1139">
        <v>470</v>
      </c>
      <c r="F1139" s="1">
        <f>VLOOKUP(jablka5[[#This Row],[Nazwa]],cennik[],2,0) * jablka5[[#This Row],[sprzedaż]]</f>
        <v>1363</v>
      </c>
      <c r="G1139" s="1">
        <f>IF(jablka5[[#This Row],[NIP]]=D1138,jablka5[[#This Row],[sprzedaż]]+G1138,jablka5[[#This Row],[sprzedaż]])</f>
        <v>3948</v>
      </c>
      <c r="H1139" s="1">
        <f>IF(jablka5[[#This Row],[dot sprz]]&lt;15000,0,IF(jablka5[[#This Row],[dot sprz]]&lt;20000,5,10))</f>
        <v>0</v>
      </c>
      <c r="I1139" s="1">
        <f>jablka5[[#This Row],[rabat]]*jablka5[[#This Row],[sprzedaż]]/100</f>
        <v>0</v>
      </c>
    </row>
    <row r="1140" spans="1:9" x14ac:dyDescent="0.25">
      <c r="A1140" s="2">
        <v>44665</v>
      </c>
      <c r="B1140" s="1" t="s">
        <v>5</v>
      </c>
      <c r="C1140" s="1" t="s">
        <v>16</v>
      </c>
      <c r="D1140" s="1" t="s">
        <v>23</v>
      </c>
      <c r="E1140">
        <v>427</v>
      </c>
      <c r="F1140" s="1">
        <f>VLOOKUP(jablka5[[#This Row],[Nazwa]],cennik[],2,0) * jablka5[[#This Row],[sprzedaż]]</f>
        <v>1451.8</v>
      </c>
      <c r="G1140" s="1">
        <f>IF(jablka5[[#This Row],[NIP]]=D1139,jablka5[[#This Row],[sprzedaż]]+G1139,jablka5[[#This Row],[sprzedaż]])</f>
        <v>4375</v>
      </c>
      <c r="H1140" s="1">
        <f>IF(jablka5[[#This Row],[dot sprz]]&lt;15000,0,IF(jablka5[[#This Row],[dot sprz]]&lt;20000,5,10))</f>
        <v>0</v>
      </c>
      <c r="I1140" s="1">
        <f>jablka5[[#This Row],[rabat]]*jablka5[[#This Row],[sprzedaż]]/100</f>
        <v>0</v>
      </c>
    </row>
    <row r="1141" spans="1:9" x14ac:dyDescent="0.25">
      <c r="A1141" s="2">
        <v>44665</v>
      </c>
      <c r="B1141" s="1" t="s">
        <v>6</v>
      </c>
      <c r="C1141" s="1" t="s">
        <v>16</v>
      </c>
      <c r="D1141" s="1" t="s">
        <v>23</v>
      </c>
      <c r="E1141">
        <v>155</v>
      </c>
      <c r="F1141" s="1">
        <f>VLOOKUP(jablka5[[#This Row],[Nazwa]],cennik[],2,0) * jablka5[[#This Row],[sprzedaż]]</f>
        <v>527</v>
      </c>
      <c r="G1141" s="1">
        <f>IF(jablka5[[#This Row],[NIP]]=D1140,jablka5[[#This Row],[sprzedaż]]+G1140,jablka5[[#This Row],[sprzedaż]])</f>
        <v>4530</v>
      </c>
      <c r="H1141" s="1">
        <f>IF(jablka5[[#This Row],[dot sprz]]&lt;15000,0,IF(jablka5[[#This Row],[dot sprz]]&lt;20000,5,10))</f>
        <v>0</v>
      </c>
      <c r="I1141" s="1">
        <f>jablka5[[#This Row],[rabat]]*jablka5[[#This Row],[sprzedaż]]/100</f>
        <v>0</v>
      </c>
    </row>
    <row r="1142" spans="1:9" x14ac:dyDescent="0.25">
      <c r="A1142" s="2">
        <v>44669</v>
      </c>
      <c r="B1142" s="1" t="s">
        <v>4</v>
      </c>
      <c r="C1142" s="1" t="s">
        <v>16</v>
      </c>
      <c r="D1142" s="1" t="s">
        <v>23</v>
      </c>
      <c r="E1142">
        <v>359</v>
      </c>
      <c r="F1142" s="1">
        <f>VLOOKUP(jablka5[[#This Row],[Nazwa]],cennik[],2,0) * jablka5[[#This Row],[sprzedaż]]</f>
        <v>1220.5999999999999</v>
      </c>
      <c r="G1142" s="1">
        <f>IF(jablka5[[#This Row],[NIP]]=D1141,jablka5[[#This Row],[sprzedaż]]+G1141,jablka5[[#This Row],[sprzedaż]])</f>
        <v>4889</v>
      </c>
      <c r="H1142" s="1">
        <f>IF(jablka5[[#This Row],[dot sprz]]&lt;15000,0,IF(jablka5[[#This Row],[dot sprz]]&lt;20000,5,10))</f>
        <v>0</v>
      </c>
      <c r="I1142" s="1">
        <f>jablka5[[#This Row],[rabat]]*jablka5[[#This Row],[sprzedaż]]/100</f>
        <v>0</v>
      </c>
    </row>
    <row r="1143" spans="1:9" x14ac:dyDescent="0.25">
      <c r="A1143" s="2">
        <v>44672</v>
      </c>
      <c r="B1143" s="1" t="s">
        <v>15</v>
      </c>
      <c r="C1143" s="1" t="s">
        <v>16</v>
      </c>
      <c r="D1143" s="1" t="s">
        <v>23</v>
      </c>
      <c r="E1143">
        <v>422</v>
      </c>
      <c r="F1143" s="1">
        <f>VLOOKUP(jablka5[[#This Row],[Nazwa]],cennik[],2,0) * jablka5[[#This Row],[sprzedaż]]</f>
        <v>1012.8</v>
      </c>
      <c r="G1143" s="1">
        <f>IF(jablka5[[#This Row],[NIP]]=D1142,jablka5[[#This Row],[sprzedaż]]+G1142,jablka5[[#This Row],[sprzedaż]])</f>
        <v>5311</v>
      </c>
      <c r="H1143" s="1">
        <f>IF(jablka5[[#This Row],[dot sprz]]&lt;15000,0,IF(jablka5[[#This Row],[dot sprz]]&lt;20000,5,10))</f>
        <v>0</v>
      </c>
      <c r="I1143" s="1">
        <f>jablka5[[#This Row],[rabat]]*jablka5[[#This Row],[sprzedaż]]/100</f>
        <v>0</v>
      </c>
    </row>
    <row r="1144" spans="1:9" x14ac:dyDescent="0.25">
      <c r="A1144" s="2">
        <v>44674</v>
      </c>
      <c r="B1144" s="1" t="s">
        <v>8</v>
      </c>
      <c r="C1144" s="1" t="s">
        <v>16</v>
      </c>
      <c r="D1144" s="1" t="s">
        <v>23</v>
      </c>
      <c r="E1144">
        <v>580</v>
      </c>
      <c r="F1144" s="1">
        <f>VLOOKUP(jablka5[[#This Row],[Nazwa]],cennik[],2,0) * jablka5[[#This Row],[sprzedaż]]</f>
        <v>2030</v>
      </c>
      <c r="G1144" s="1">
        <f>IF(jablka5[[#This Row],[NIP]]=D1143,jablka5[[#This Row],[sprzedaż]]+G1143,jablka5[[#This Row],[sprzedaż]])</f>
        <v>5891</v>
      </c>
      <c r="H1144" s="1">
        <f>IF(jablka5[[#This Row],[dot sprz]]&lt;15000,0,IF(jablka5[[#This Row],[dot sprz]]&lt;20000,5,10))</f>
        <v>0</v>
      </c>
      <c r="I1144" s="1">
        <f>jablka5[[#This Row],[rabat]]*jablka5[[#This Row],[sprzedaż]]/100</f>
        <v>0</v>
      </c>
    </row>
    <row r="1145" spans="1:9" x14ac:dyDescent="0.25">
      <c r="A1145" s="2">
        <v>44678</v>
      </c>
      <c r="B1145" s="1" t="s">
        <v>10</v>
      </c>
      <c r="C1145" s="1" t="s">
        <v>16</v>
      </c>
      <c r="D1145" s="1" t="s">
        <v>23</v>
      </c>
      <c r="E1145">
        <v>177</v>
      </c>
      <c r="F1145" s="1">
        <f>VLOOKUP(jablka5[[#This Row],[Nazwa]],cennik[],2,0) * jablka5[[#This Row],[sprzedaż]]</f>
        <v>601.79999999999995</v>
      </c>
      <c r="G1145" s="1">
        <f>IF(jablka5[[#This Row],[NIP]]=D1144,jablka5[[#This Row],[sprzedaż]]+G1144,jablka5[[#This Row],[sprzedaż]])</f>
        <v>6068</v>
      </c>
      <c r="H1145" s="1">
        <f>IF(jablka5[[#This Row],[dot sprz]]&lt;15000,0,IF(jablka5[[#This Row],[dot sprz]]&lt;20000,5,10))</f>
        <v>0</v>
      </c>
      <c r="I1145" s="1">
        <f>jablka5[[#This Row],[rabat]]*jablka5[[#This Row],[sprzedaż]]/100</f>
        <v>0</v>
      </c>
    </row>
    <row r="1146" spans="1:9" x14ac:dyDescent="0.25">
      <c r="A1146" s="2">
        <v>44690</v>
      </c>
      <c r="B1146" s="1" t="s">
        <v>10</v>
      </c>
      <c r="C1146" s="1" t="s">
        <v>16</v>
      </c>
      <c r="D1146" s="1" t="s">
        <v>23</v>
      </c>
      <c r="E1146">
        <v>47</v>
      </c>
      <c r="F1146" s="1">
        <f>VLOOKUP(jablka5[[#This Row],[Nazwa]],cennik[],2,0) * jablka5[[#This Row],[sprzedaż]]</f>
        <v>159.79999999999998</v>
      </c>
      <c r="G1146" s="1">
        <f>IF(jablka5[[#This Row],[NIP]]=D1145,jablka5[[#This Row],[sprzedaż]]+G1145,jablka5[[#This Row],[sprzedaż]])</f>
        <v>6115</v>
      </c>
      <c r="H1146" s="1">
        <f>IF(jablka5[[#This Row],[dot sprz]]&lt;15000,0,IF(jablka5[[#This Row],[dot sprz]]&lt;20000,5,10))</f>
        <v>0</v>
      </c>
      <c r="I1146" s="1">
        <f>jablka5[[#This Row],[rabat]]*jablka5[[#This Row],[sprzedaż]]/100</f>
        <v>0</v>
      </c>
    </row>
    <row r="1147" spans="1:9" x14ac:dyDescent="0.25">
      <c r="A1147" s="2">
        <v>44691</v>
      </c>
      <c r="B1147" s="1" t="s">
        <v>15</v>
      </c>
      <c r="C1147" s="1" t="s">
        <v>16</v>
      </c>
      <c r="D1147" s="1" t="s">
        <v>23</v>
      </c>
      <c r="E1147">
        <v>172</v>
      </c>
      <c r="F1147" s="1">
        <f>VLOOKUP(jablka5[[#This Row],[Nazwa]],cennik[],2,0) * jablka5[[#This Row],[sprzedaż]]</f>
        <v>412.8</v>
      </c>
      <c r="G1147" s="1">
        <f>IF(jablka5[[#This Row],[NIP]]=D1146,jablka5[[#This Row],[sprzedaż]]+G1146,jablka5[[#This Row],[sprzedaż]])</f>
        <v>6287</v>
      </c>
      <c r="H1147" s="1">
        <f>IF(jablka5[[#This Row],[dot sprz]]&lt;15000,0,IF(jablka5[[#This Row],[dot sprz]]&lt;20000,5,10))</f>
        <v>0</v>
      </c>
      <c r="I1147" s="1">
        <f>jablka5[[#This Row],[rabat]]*jablka5[[#This Row],[sprzedaż]]/100</f>
        <v>0</v>
      </c>
    </row>
    <row r="1148" spans="1:9" x14ac:dyDescent="0.25">
      <c r="A1148" s="2">
        <v>44697</v>
      </c>
      <c r="B1148" s="1" t="s">
        <v>5</v>
      </c>
      <c r="C1148" s="1" t="s">
        <v>16</v>
      </c>
      <c r="D1148" s="1" t="s">
        <v>23</v>
      </c>
      <c r="E1148">
        <v>458</v>
      </c>
      <c r="F1148" s="1">
        <f>VLOOKUP(jablka5[[#This Row],[Nazwa]],cennik[],2,0) * jablka5[[#This Row],[sprzedaż]]</f>
        <v>1557.2</v>
      </c>
      <c r="G1148" s="1">
        <f>IF(jablka5[[#This Row],[NIP]]=D1147,jablka5[[#This Row],[sprzedaż]]+G1147,jablka5[[#This Row],[sprzedaż]])</f>
        <v>6745</v>
      </c>
      <c r="H1148" s="1">
        <f>IF(jablka5[[#This Row],[dot sprz]]&lt;15000,0,IF(jablka5[[#This Row],[dot sprz]]&lt;20000,5,10))</f>
        <v>0</v>
      </c>
      <c r="I1148" s="1">
        <f>jablka5[[#This Row],[rabat]]*jablka5[[#This Row],[sprzedaż]]/100</f>
        <v>0</v>
      </c>
    </row>
    <row r="1149" spans="1:9" x14ac:dyDescent="0.25">
      <c r="A1149" s="2">
        <v>44702</v>
      </c>
      <c r="B1149" s="1" t="s">
        <v>15</v>
      </c>
      <c r="C1149" s="1" t="s">
        <v>16</v>
      </c>
      <c r="D1149" s="1" t="s">
        <v>23</v>
      </c>
      <c r="E1149">
        <v>381</v>
      </c>
      <c r="F1149" s="1">
        <f>VLOOKUP(jablka5[[#This Row],[Nazwa]],cennik[],2,0) * jablka5[[#This Row],[sprzedaż]]</f>
        <v>914.4</v>
      </c>
      <c r="G1149" s="1">
        <f>IF(jablka5[[#This Row],[NIP]]=D1148,jablka5[[#This Row],[sprzedaż]]+G1148,jablka5[[#This Row],[sprzedaż]])</f>
        <v>7126</v>
      </c>
      <c r="H1149" s="1">
        <f>IF(jablka5[[#This Row],[dot sprz]]&lt;15000,0,IF(jablka5[[#This Row],[dot sprz]]&lt;20000,5,10))</f>
        <v>0</v>
      </c>
      <c r="I1149" s="1">
        <f>jablka5[[#This Row],[rabat]]*jablka5[[#This Row],[sprzedaż]]/100</f>
        <v>0</v>
      </c>
    </row>
    <row r="1150" spans="1:9" x14ac:dyDescent="0.25">
      <c r="A1150" s="2">
        <v>44716</v>
      </c>
      <c r="B1150" s="1" t="s">
        <v>12</v>
      </c>
      <c r="C1150" s="1" t="s">
        <v>68</v>
      </c>
      <c r="D1150" s="1" t="s">
        <v>23</v>
      </c>
      <c r="E1150">
        <v>300</v>
      </c>
      <c r="F1150" s="1">
        <f>VLOOKUP(jablka5[[#This Row],[Nazwa]],cennik[],2,0) * jablka5[[#This Row],[sprzedaż]]</f>
        <v>810</v>
      </c>
      <c r="G1150" s="1">
        <f>IF(jablka5[[#This Row],[NIP]]=D1149,jablka5[[#This Row],[sprzedaż]]+G1149,jablka5[[#This Row],[sprzedaż]])</f>
        <v>7426</v>
      </c>
      <c r="H1150" s="1">
        <f>IF(jablka5[[#This Row],[dot sprz]]&lt;15000,0,IF(jablka5[[#This Row],[dot sprz]]&lt;20000,5,10))</f>
        <v>0</v>
      </c>
      <c r="I1150" s="1">
        <f>jablka5[[#This Row],[rabat]]*jablka5[[#This Row],[sprzedaż]]/100</f>
        <v>0</v>
      </c>
    </row>
    <row r="1151" spans="1:9" x14ac:dyDescent="0.25">
      <c r="A1151" s="2">
        <v>44735</v>
      </c>
      <c r="B1151" s="1" t="s">
        <v>12</v>
      </c>
      <c r="C1151" s="1" t="s">
        <v>68</v>
      </c>
      <c r="D1151" s="1" t="s">
        <v>23</v>
      </c>
      <c r="E1151">
        <v>345</v>
      </c>
      <c r="F1151" s="1">
        <f>VLOOKUP(jablka5[[#This Row],[Nazwa]],cennik[],2,0) * jablka5[[#This Row],[sprzedaż]]</f>
        <v>931.50000000000011</v>
      </c>
      <c r="G1151" s="1">
        <f>IF(jablka5[[#This Row],[NIP]]=D1150,jablka5[[#This Row],[sprzedaż]]+G1150,jablka5[[#This Row],[sprzedaż]])</f>
        <v>7771</v>
      </c>
      <c r="H1151" s="1">
        <f>IF(jablka5[[#This Row],[dot sprz]]&lt;15000,0,IF(jablka5[[#This Row],[dot sprz]]&lt;20000,5,10))</f>
        <v>0</v>
      </c>
      <c r="I1151" s="1">
        <f>jablka5[[#This Row],[rabat]]*jablka5[[#This Row],[sprzedaż]]/100</f>
        <v>0</v>
      </c>
    </row>
    <row r="1152" spans="1:9" x14ac:dyDescent="0.25">
      <c r="A1152" s="2">
        <v>44749</v>
      </c>
      <c r="B1152" s="1" t="s">
        <v>14</v>
      </c>
      <c r="C1152" s="1" t="s">
        <v>67</v>
      </c>
      <c r="D1152" s="1" t="s">
        <v>23</v>
      </c>
      <c r="E1152">
        <v>182</v>
      </c>
      <c r="F1152" s="1">
        <f>VLOOKUP(jablka5[[#This Row],[Nazwa]],cennik[],2,0) * jablka5[[#This Row],[sprzedaż]]</f>
        <v>637</v>
      </c>
      <c r="G1152" s="1">
        <f>IF(jablka5[[#This Row],[NIP]]=D1151,jablka5[[#This Row],[sprzedaż]]+G1151,jablka5[[#This Row],[sprzedaż]])</f>
        <v>7953</v>
      </c>
      <c r="H1152" s="1">
        <f>IF(jablka5[[#This Row],[dot sprz]]&lt;15000,0,IF(jablka5[[#This Row],[dot sprz]]&lt;20000,5,10))</f>
        <v>0</v>
      </c>
      <c r="I1152" s="1">
        <f>jablka5[[#This Row],[rabat]]*jablka5[[#This Row],[sprzedaż]]/100</f>
        <v>0</v>
      </c>
    </row>
    <row r="1153" spans="1:9" x14ac:dyDescent="0.25">
      <c r="A1153" s="2">
        <v>44771</v>
      </c>
      <c r="B1153" s="1" t="s">
        <v>12</v>
      </c>
      <c r="C1153" s="1" t="s">
        <v>68</v>
      </c>
      <c r="D1153" s="1" t="s">
        <v>23</v>
      </c>
      <c r="E1153">
        <v>18</v>
      </c>
      <c r="F1153" s="1">
        <f>VLOOKUP(jablka5[[#This Row],[Nazwa]],cennik[],2,0) * jablka5[[#This Row],[sprzedaż]]</f>
        <v>48.6</v>
      </c>
      <c r="G1153" s="1">
        <f>IF(jablka5[[#This Row],[NIP]]=D1152,jablka5[[#This Row],[sprzedaż]]+G1152,jablka5[[#This Row],[sprzedaż]])</f>
        <v>7971</v>
      </c>
      <c r="H1153" s="1">
        <f>IF(jablka5[[#This Row],[dot sprz]]&lt;15000,0,IF(jablka5[[#This Row],[dot sprz]]&lt;20000,5,10))</f>
        <v>0</v>
      </c>
      <c r="I1153" s="1">
        <f>jablka5[[#This Row],[rabat]]*jablka5[[#This Row],[sprzedaż]]/100</f>
        <v>0</v>
      </c>
    </row>
    <row r="1154" spans="1:9" x14ac:dyDescent="0.25">
      <c r="A1154" s="2">
        <v>44781</v>
      </c>
      <c r="B1154" s="1" t="s">
        <v>13</v>
      </c>
      <c r="C1154" s="1" t="s">
        <v>68</v>
      </c>
      <c r="D1154" s="1" t="s">
        <v>23</v>
      </c>
      <c r="E1154">
        <v>173</v>
      </c>
      <c r="F1154" s="1">
        <f>VLOOKUP(jablka5[[#This Row],[Nazwa]],cennik[],2,0) * jablka5[[#This Row],[sprzedaż]]</f>
        <v>553.6</v>
      </c>
      <c r="G1154" s="1">
        <f>IF(jablka5[[#This Row],[NIP]]=D1153,jablka5[[#This Row],[sprzedaż]]+G1153,jablka5[[#This Row],[sprzedaż]])</f>
        <v>8144</v>
      </c>
      <c r="H1154" s="1">
        <f>IF(jablka5[[#This Row],[dot sprz]]&lt;15000,0,IF(jablka5[[#This Row],[dot sprz]]&lt;20000,5,10))</f>
        <v>0</v>
      </c>
      <c r="I1154" s="1">
        <f>jablka5[[#This Row],[rabat]]*jablka5[[#This Row],[sprzedaż]]/100</f>
        <v>0</v>
      </c>
    </row>
    <row r="1155" spans="1:9" x14ac:dyDescent="0.25">
      <c r="A1155" s="2">
        <v>44799</v>
      </c>
      <c r="B1155" s="1" t="s">
        <v>13</v>
      </c>
      <c r="C1155" s="1" t="s">
        <v>68</v>
      </c>
      <c r="D1155" s="1" t="s">
        <v>23</v>
      </c>
      <c r="E1155">
        <v>335</v>
      </c>
      <c r="F1155" s="1">
        <f>VLOOKUP(jablka5[[#This Row],[Nazwa]],cennik[],2,0) * jablka5[[#This Row],[sprzedaż]]</f>
        <v>1072</v>
      </c>
      <c r="G1155" s="1">
        <f>IF(jablka5[[#This Row],[NIP]]=D1154,jablka5[[#This Row],[sprzedaż]]+G1154,jablka5[[#This Row],[sprzedaż]])</f>
        <v>8479</v>
      </c>
      <c r="H1155" s="1">
        <f>IF(jablka5[[#This Row],[dot sprz]]&lt;15000,0,IF(jablka5[[#This Row],[dot sprz]]&lt;20000,5,10))</f>
        <v>0</v>
      </c>
      <c r="I1155" s="1">
        <f>jablka5[[#This Row],[rabat]]*jablka5[[#This Row],[sprzedaż]]/100</f>
        <v>0</v>
      </c>
    </row>
    <row r="1156" spans="1:9" x14ac:dyDescent="0.25">
      <c r="A1156" s="2">
        <v>44809</v>
      </c>
      <c r="B1156" s="1" t="s">
        <v>1</v>
      </c>
      <c r="C1156" s="1" t="s">
        <v>67</v>
      </c>
      <c r="D1156" s="1" t="s">
        <v>23</v>
      </c>
      <c r="E1156">
        <v>461</v>
      </c>
      <c r="F1156" s="1">
        <f>VLOOKUP(jablka5[[#This Row],[Nazwa]],cennik[],2,0) * jablka5[[#This Row],[sprzedaż]]</f>
        <v>1475.2</v>
      </c>
      <c r="G1156" s="1">
        <f>IF(jablka5[[#This Row],[NIP]]=D1155,jablka5[[#This Row],[sprzedaż]]+G1155,jablka5[[#This Row],[sprzedaż]])</f>
        <v>8940</v>
      </c>
      <c r="H1156" s="1">
        <f>IF(jablka5[[#This Row],[dot sprz]]&lt;15000,0,IF(jablka5[[#This Row],[dot sprz]]&lt;20000,5,10))</f>
        <v>0</v>
      </c>
      <c r="I1156" s="1">
        <f>jablka5[[#This Row],[rabat]]*jablka5[[#This Row],[sprzedaż]]/100</f>
        <v>0</v>
      </c>
    </row>
    <row r="1157" spans="1:9" x14ac:dyDescent="0.25">
      <c r="A1157" s="2">
        <v>44809</v>
      </c>
      <c r="B1157" s="1" t="s">
        <v>11</v>
      </c>
      <c r="C1157" s="1" t="s">
        <v>67</v>
      </c>
      <c r="D1157" s="1" t="s">
        <v>23</v>
      </c>
      <c r="E1157">
        <v>437</v>
      </c>
      <c r="F1157" s="1">
        <f>VLOOKUP(jablka5[[#This Row],[Nazwa]],cennik[],2,0) * jablka5[[#This Row],[sprzedaż]]</f>
        <v>1092.5</v>
      </c>
      <c r="G1157" s="1">
        <f>IF(jablka5[[#This Row],[NIP]]=D1156,jablka5[[#This Row],[sprzedaż]]+G1156,jablka5[[#This Row],[sprzedaż]])</f>
        <v>9377</v>
      </c>
      <c r="H1157" s="1">
        <f>IF(jablka5[[#This Row],[dot sprz]]&lt;15000,0,IF(jablka5[[#This Row],[dot sprz]]&lt;20000,5,10))</f>
        <v>0</v>
      </c>
      <c r="I1157" s="1">
        <f>jablka5[[#This Row],[rabat]]*jablka5[[#This Row],[sprzedaż]]/100</f>
        <v>0</v>
      </c>
    </row>
    <row r="1158" spans="1:9" x14ac:dyDescent="0.25">
      <c r="A1158" s="2">
        <v>44809</v>
      </c>
      <c r="B1158" s="1" t="s">
        <v>3</v>
      </c>
      <c r="C1158" s="1" t="s">
        <v>67</v>
      </c>
      <c r="D1158" s="1" t="s">
        <v>23</v>
      </c>
      <c r="E1158">
        <v>211</v>
      </c>
      <c r="F1158" s="1">
        <f>VLOOKUP(jablka5[[#This Row],[Nazwa]],cennik[],2,0) * jablka5[[#This Row],[sprzedaż]]</f>
        <v>675.2</v>
      </c>
      <c r="G1158" s="1">
        <f>IF(jablka5[[#This Row],[NIP]]=D1157,jablka5[[#This Row],[sprzedaż]]+G1157,jablka5[[#This Row],[sprzedaż]])</f>
        <v>9588</v>
      </c>
      <c r="H1158" s="1">
        <f>IF(jablka5[[#This Row],[dot sprz]]&lt;15000,0,IF(jablka5[[#This Row],[dot sprz]]&lt;20000,5,10))</f>
        <v>0</v>
      </c>
      <c r="I1158" s="1">
        <f>jablka5[[#This Row],[rabat]]*jablka5[[#This Row],[sprzedaż]]/100</f>
        <v>0</v>
      </c>
    </row>
    <row r="1159" spans="1:9" x14ac:dyDescent="0.25">
      <c r="A1159" s="2">
        <v>44819</v>
      </c>
      <c r="B1159" s="1" t="s">
        <v>9</v>
      </c>
      <c r="C1159" s="1" t="s">
        <v>67</v>
      </c>
      <c r="D1159" s="1" t="s">
        <v>23</v>
      </c>
      <c r="E1159">
        <v>345</v>
      </c>
      <c r="F1159" s="1">
        <f>VLOOKUP(jablka5[[#This Row],[Nazwa]],cennik[],2,0) * jablka5[[#This Row],[sprzedaż]]</f>
        <v>862.5</v>
      </c>
      <c r="G1159" s="1">
        <f>IF(jablka5[[#This Row],[NIP]]=D1158,jablka5[[#This Row],[sprzedaż]]+G1158,jablka5[[#This Row],[sprzedaż]])</f>
        <v>9933</v>
      </c>
      <c r="H1159" s="1">
        <f>IF(jablka5[[#This Row],[dot sprz]]&lt;15000,0,IF(jablka5[[#This Row],[dot sprz]]&lt;20000,5,10))</f>
        <v>0</v>
      </c>
      <c r="I1159" s="1">
        <f>jablka5[[#This Row],[rabat]]*jablka5[[#This Row],[sprzedaż]]/100</f>
        <v>0</v>
      </c>
    </row>
    <row r="1160" spans="1:9" x14ac:dyDescent="0.25">
      <c r="A1160" s="2">
        <v>44821</v>
      </c>
      <c r="B1160" s="1" t="s">
        <v>14</v>
      </c>
      <c r="C1160" s="1" t="s">
        <v>67</v>
      </c>
      <c r="D1160" s="1" t="s">
        <v>23</v>
      </c>
      <c r="E1160">
        <v>299</v>
      </c>
      <c r="F1160" s="1">
        <f>VLOOKUP(jablka5[[#This Row],[Nazwa]],cennik[],2,0) * jablka5[[#This Row],[sprzedaż]]</f>
        <v>1046.5</v>
      </c>
      <c r="G1160" s="1">
        <f>IF(jablka5[[#This Row],[NIP]]=D1159,jablka5[[#This Row],[sprzedaż]]+G1159,jablka5[[#This Row],[sprzedaż]])</f>
        <v>10232</v>
      </c>
      <c r="H1160" s="1">
        <f>IF(jablka5[[#This Row],[dot sprz]]&lt;15000,0,IF(jablka5[[#This Row],[dot sprz]]&lt;20000,5,10))</f>
        <v>0</v>
      </c>
      <c r="I1160" s="1">
        <f>jablka5[[#This Row],[rabat]]*jablka5[[#This Row],[sprzedaż]]/100</f>
        <v>0</v>
      </c>
    </row>
    <row r="1161" spans="1:9" x14ac:dyDescent="0.25">
      <c r="A1161" s="2">
        <v>44821</v>
      </c>
      <c r="B1161" s="1" t="s">
        <v>14</v>
      </c>
      <c r="C1161" s="1" t="s">
        <v>67</v>
      </c>
      <c r="D1161" s="1" t="s">
        <v>23</v>
      </c>
      <c r="E1161">
        <v>126</v>
      </c>
      <c r="F1161" s="1">
        <f>VLOOKUP(jablka5[[#This Row],[Nazwa]],cennik[],2,0) * jablka5[[#This Row],[sprzedaż]]</f>
        <v>441</v>
      </c>
      <c r="G1161" s="1">
        <f>IF(jablka5[[#This Row],[NIP]]=D1160,jablka5[[#This Row],[sprzedaż]]+G1160,jablka5[[#This Row],[sprzedaż]])</f>
        <v>10358</v>
      </c>
      <c r="H1161" s="1">
        <f>IF(jablka5[[#This Row],[dot sprz]]&lt;15000,0,IF(jablka5[[#This Row],[dot sprz]]&lt;20000,5,10))</f>
        <v>0</v>
      </c>
      <c r="I1161" s="1">
        <f>jablka5[[#This Row],[rabat]]*jablka5[[#This Row],[sprzedaż]]/100</f>
        <v>0</v>
      </c>
    </row>
    <row r="1162" spans="1:9" x14ac:dyDescent="0.25">
      <c r="A1162" s="2">
        <v>44823</v>
      </c>
      <c r="B1162" s="1" t="s">
        <v>14</v>
      </c>
      <c r="C1162" s="1" t="s">
        <v>67</v>
      </c>
      <c r="D1162" s="1" t="s">
        <v>23</v>
      </c>
      <c r="E1162">
        <v>303</v>
      </c>
      <c r="F1162" s="1">
        <f>VLOOKUP(jablka5[[#This Row],[Nazwa]],cennik[],2,0) * jablka5[[#This Row],[sprzedaż]]</f>
        <v>1060.5</v>
      </c>
      <c r="G1162" s="1">
        <f>IF(jablka5[[#This Row],[NIP]]=D1161,jablka5[[#This Row],[sprzedaż]]+G1161,jablka5[[#This Row],[sprzedaż]])</f>
        <v>10661</v>
      </c>
      <c r="H1162" s="1">
        <f>IF(jablka5[[#This Row],[dot sprz]]&lt;15000,0,IF(jablka5[[#This Row],[dot sprz]]&lt;20000,5,10))</f>
        <v>0</v>
      </c>
      <c r="I1162" s="1">
        <f>jablka5[[#This Row],[rabat]]*jablka5[[#This Row],[sprzedaż]]/100</f>
        <v>0</v>
      </c>
    </row>
    <row r="1163" spans="1:9" x14ac:dyDescent="0.25">
      <c r="A1163" s="2">
        <v>44828</v>
      </c>
      <c r="B1163" s="1" t="s">
        <v>1</v>
      </c>
      <c r="C1163" s="1" t="s">
        <v>67</v>
      </c>
      <c r="D1163" s="1" t="s">
        <v>23</v>
      </c>
      <c r="E1163">
        <v>485</v>
      </c>
      <c r="F1163" s="1">
        <f>VLOOKUP(jablka5[[#This Row],[Nazwa]],cennik[],2,0) * jablka5[[#This Row],[sprzedaż]]</f>
        <v>1552</v>
      </c>
      <c r="G1163" s="1">
        <f>IF(jablka5[[#This Row],[NIP]]=D1162,jablka5[[#This Row],[sprzedaż]]+G1162,jablka5[[#This Row],[sprzedaż]])</f>
        <v>11146</v>
      </c>
      <c r="H1163" s="1">
        <f>IF(jablka5[[#This Row],[dot sprz]]&lt;15000,0,IF(jablka5[[#This Row],[dot sprz]]&lt;20000,5,10))</f>
        <v>0</v>
      </c>
      <c r="I1163" s="1">
        <f>jablka5[[#This Row],[rabat]]*jablka5[[#This Row],[sprzedaż]]/100</f>
        <v>0</v>
      </c>
    </row>
    <row r="1164" spans="1:9" x14ac:dyDescent="0.25">
      <c r="A1164" s="2">
        <v>44837</v>
      </c>
      <c r="B1164" s="1" t="s">
        <v>1</v>
      </c>
      <c r="C1164" s="1" t="s">
        <v>67</v>
      </c>
      <c r="D1164" s="1" t="s">
        <v>23</v>
      </c>
      <c r="E1164">
        <v>90</v>
      </c>
      <c r="F1164" s="1">
        <f>VLOOKUP(jablka5[[#This Row],[Nazwa]],cennik[],2,0) * jablka5[[#This Row],[sprzedaż]]</f>
        <v>288</v>
      </c>
      <c r="G1164" s="1">
        <f>IF(jablka5[[#This Row],[NIP]]=D1163,jablka5[[#This Row],[sprzedaż]]+G1163,jablka5[[#This Row],[sprzedaż]])</f>
        <v>11236</v>
      </c>
      <c r="H1164" s="1">
        <f>IF(jablka5[[#This Row],[dot sprz]]&lt;15000,0,IF(jablka5[[#This Row],[dot sprz]]&lt;20000,5,10))</f>
        <v>0</v>
      </c>
      <c r="I1164" s="1">
        <f>jablka5[[#This Row],[rabat]]*jablka5[[#This Row],[sprzedaż]]/100</f>
        <v>0</v>
      </c>
    </row>
    <row r="1165" spans="1:9" x14ac:dyDescent="0.25">
      <c r="A1165" s="2">
        <v>44839</v>
      </c>
      <c r="B1165" s="1" t="s">
        <v>9</v>
      </c>
      <c r="C1165" s="1" t="s">
        <v>67</v>
      </c>
      <c r="D1165" s="1" t="s">
        <v>23</v>
      </c>
      <c r="E1165">
        <v>170</v>
      </c>
      <c r="F1165" s="1">
        <f>VLOOKUP(jablka5[[#This Row],[Nazwa]],cennik[],2,0) * jablka5[[#This Row],[sprzedaż]]</f>
        <v>425</v>
      </c>
      <c r="G1165" s="1">
        <f>IF(jablka5[[#This Row],[NIP]]=D1164,jablka5[[#This Row],[sprzedaż]]+G1164,jablka5[[#This Row],[sprzedaż]])</f>
        <v>11406</v>
      </c>
      <c r="H1165" s="1">
        <f>IF(jablka5[[#This Row],[dot sprz]]&lt;15000,0,IF(jablka5[[#This Row],[dot sprz]]&lt;20000,5,10))</f>
        <v>0</v>
      </c>
      <c r="I1165" s="1">
        <f>jablka5[[#This Row],[rabat]]*jablka5[[#This Row],[sprzedaż]]/100</f>
        <v>0</v>
      </c>
    </row>
    <row r="1166" spans="1:9" x14ac:dyDescent="0.25">
      <c r="A1166" s="2">
        <v>44842</v>
      </c>
      <c r="B1166" s="1" t="s">
        <v>9</v>
      </c>
      <c r="C1166" s="1" t="s">
        <v>67</v>
      </c>
      <c r="D1166" s="1" t="s">
        <v>23</v>
      </c>
      <c r="E1166">
        <v>466</v>
      </c>
      <c r="F1166" s="1">
        <f>VLOOKUP(jablka5[[#This Row],[Nazwa]],cennik[],2,0) * jablka5[[#This Row],[sprzedaż]]</f>
        <v>1165</v>
      </c>
      <c r="G1166" s="1">
        <f>IF(jablka5[[#This Row],[NIP]]=D1165,jablka5[[#This Row],[sprzedaż]]+G1165,jablka5[[#This Row],[sprzedaż]])</f>
        <v>11872</v>
      </c>
      <c r="H1166" s="1">
        <f>IF(jablka5[[#This Row],[dot sprz]]&lt;15000,0,IF(jablka5[[#This Row],[dot sprz]]&lt;20000,5,10))</f>
        <v>0</v>
      </c>
      <c r="I1166" s="1">
        <f>jablka5[[#This Row],[rabat]]*jablka5[[#This Row],[sprzedaż]]/100</f>
        <v>0</v>
      </c>
    </row>
    <row r="1167" spans="1:9" x14ac:dyDescent="0.25">
      <c r="A1167" s="2">
        <v>44844</v>
      </c>
      <c r="B1167" s="1" t="s">
        <v>14</v>
      </c>
      <c r="C1167" s="1" t="s">
        <v>67</v>
      </c>
      <c r="D1167" s="1" t="s">
        <v>23</v>
      </c>
      <c r="E1167">
        <v>492</v>
      </c>
      <c r="F1167" s="1">
        <f>VLOOKUP(jablka5[[#This Row],[Nazwa]],cennik[],2,0) * jablka5[[#This Row],[sprzedaż]]</f>
        <v>1722</v>
      </c>
      <c r="G1167" s="1">
        <f>IF(jablka5[[#This Row],[NIP]]=D1166,jablka5[[#This Row],[sprzedaż]]+G1166,jablka5[[#This Row],[sprzedaż]])</f>
        <v>12364</v>
      </c>
      <c r="H1167" s="1">
        <f>IF(jablka5[[#This Row],[dot sprz]]&lt;15000,0,IF(jablka5[[#This Row],[dot sprz]]&lt;20000,5,10))</f>
        <v>0</v>
      </c>
      <c r="I1167" s="1">
        <f>jablka5[[#This Row],[rabat]]*jablka5[[#This Row],[sprzedaż]]/100</f>
        <v>0</v>
      </c>
    </row>
    <row r="1168" spans="1:9" x14ac:dyDescent="0.25">
      <c r="A1168" s="2">
        <v>44849</v>
      </c>
      <c r="B1168" s="1" t="s">
        <v>9</v>
      </c>
      <c r="C1168" s="1" t="s">
        <v>67</v>
      </c>
      <c r="D1168" s="1" t="s">
        <v>23</v>
      </c>
      <c r="E1168">
        <v>346</v>
      </c>
      <c r="F1168" s="1">
        <f>VLOOKUP(jablka5[[#This Row],[Nazwa]],cennik[],2,0) * jablka5[[#This Row],[sprzedaż]]</f>
        <v>865</v>
      </c>
      <c r="G1168" s="1">
        <f>IF(jablka5[[#This Row],[NIP]]=D1167,jablka5[[#This Row],[sprzedaż]]+G1167,jablka5[[#This Row],[sprzedaż]])</f>
        <v>12710</v>
      </c>
      <c r="H1168" s="1">
        <f>IF(jablka5[[#This Row],[dot sprz]]&lt;15000,0,IF(jablka5[[#This Row],[dot sprz]]&lt;20000,5,10))</f>
        <v>0</v>
      </c>
      <c r="I1168" s="1">
        <f>jablka5[[#This Row],[rabat]]*jablka5[[#This Row],[sprzedaż]]/100</f>
        <v>0</v>
      </c>
    </row>
    <row r="1169" spans="1:9" x14ac:dyDescent="0.25">
      <c r="A1169" s="2">
        <v>44851</v>
      </c>
      <c r="B1169" s="1" t="s">
        <v>11</v>
      </c>
      <c r="C1169" s="1" t="s">
        <v>67</v>
      </c>
      <c r="D1169" s="1" t="s">
        <v>23</v>
      </c>
      <c r="E1169">
        <v>57</v>
      </c>
      <c r="F1169" s="1">
        <f>VLOOKUP(jablka5[[#This Row],[Nazwa]],cennik[],2,0) * jablka5[[#This Row],[sprzedaż]]</f>
        <v>142.5</v>
      </c>
      <c r="G1169" s="1">
        <f>IF(jablka5[[#This Row],[NIP]]=D1168,jablka5[[#This Row],[sprzedaż]]+G1168,jablka5[[#This Row],[sprzedaż]])</f>
        <v>12767</v>
      </c>
      <c r="H1169" s="1">
        <f>IF(jablka5[[#This Row],[dot sprz]]&lt;15000,0,IF(jablka5[[#This Row],[dot sprz]]&lt;20000,5,10))</f>
        <v>0</v>
      </c>
      <c r="I1169" s="1">
        <f>jablka5[[#This Row],[rabat]]*jablka5[[#This Row],[sprzedaż]]/100</f>
        <v>0</v>
      </c>
    </row>
    <row r="1170" spans="1:9" x14ac:dyDescent="0.25">
      <c r="A1170" s="2">
        <v>44858</v>
      </c>
      <c r="B1170" s="1" t="s">
        <v>14</v>
      </c>
      <c r="C1170" s="1" t="s">
        <v>67</v>
      </c>
      <c r="D1170" s="1" t="s">
        <v>23</v>
      </c>
      <c r="E1170">
        <v>478</v>
      </c>
      <c r="F1170" s="1">
        <f>VLOOKUP(jablka5[[#This Row],[Nazwa]],cennik[],2,0) * jablka5[[#This Row],[sprzedaż]]</f>
        <v>1673</v>
      </c>
      <c r="G1170" s="1">
        <f>IF(jablka5[[#This Row],[NIP]]=D1169,jablka5[[#This Row],[sprzedaż]]+G1169,jablka5[[#This Row],[sprzedaż]])</f>
        <v>13245</v>
      </c>
      <c r="H1170" s="1">
        <f>IF(jablka5[[#This Row],[dot sprz]]&lt;15000,0,IF(jablka5[[#This Row],[dot sprz]]&lt;20000,5,10))</f>
        <v>0</v>
      </c>
      <c r="I1170" s="1">
        <f>jablka5[[#This Row],[rabat]]*jablka5[[#This Row],[sprzedaż]]/100</f>
        <v>0</v>
      </c>
    </row>
    <row r="1171" spans="1:9" x14ac:dyDescent="0.25">
      <c r="A1171" s="2">
        <v>44861</v>
      </c>
      <c r="B1171" s="1" t="s">
        <v>9</v>
      </c>
      <c r="C1171" s="1" t="s">
        <v>67</v>
      </c>
      <c r="D1171" s="1" t="s">
        <v>23</v>
      </c>
      <c r="E1171">
        <v>101</v>
      </c>
      <c r="F1171" s="1">
        <f>VLOOKUP(jablka5[[#This Row],[Nazwa]],cennik[],2,0) * jablka5[[#This Row],[sprzedaż]]</f>
        <v>252.5</v>
      </c>
      <c r="G1171" s="1">
        <f>IF(jablka5[[#This Row],[NIP]]=D1170,jablka5[[#This Row],[sprzedaż]]+G1170,jablka5[[#This Row],[sprzedaż]])</f>
        <v>13346</v>
      </c>
      <c r="H1171" s="1">
        <f>IF(jablka5[[#This Row],[dot sprz]]&lt;15000,0,IF(jablka5[[#This Row],[dot sprz]]&lt;20000,5,10))</f>
        <v>0</v>
      </c>
      <c r="I1171" s="1">
        <f>jablka5[[#This Row],[rabat]]*jablka5[[#This Row],[sprzedaż]]/100</f>
        <v>0</v>
      </c>
    </row>
    <row r="1172" spans="1:9" x14ac:dyDescent="0.25">
      <c r="A1172" s="2">
        <v>44863</v>
      </c>
      <c r="B1172" s="1" t="s">
        <v>14</v>
      </c>
      <c r="C1172" s="1" t="s">
        <v>67</v>
      </c>
      <c r="D1172" s="1" t="s">
        <v>23</v>
      </c>
      <c r="E1172">
        <v>228</v>
      </c>
      <c r="F1172" s="1">
        <f>VLOOKUP(jablka5[[#This Row],[Nazwa]],cennik[],2,0) * jablka5[[#This Row],[sprzedaż]]</f>
        <v>798</v>
      </c>
      <c r="G1172" s="1">
        <f>IF(jablka5[[#This Row],[NIP]]=D1171,jablka5[[#This Row],[sprzedaż]]+G1171,jablka5[[#This Row],[sprzedaż]])</f>
        <v>13574</v>
      </c>
      <c r="H1172" s="1">
        <f>IF(jablka5[[#This Row],[dot sprz]]&lt;15000,0,IF(jablka5[[#This Row],[dot sprz]]&lt;20000,5,10))</f>
        <v>0</v>
      </c>
      <c r="I1172" s="1">
        <f>jablka5[[#This Row],[rabat]]*jablka5[[#This Row],[sprzedaż]]/100</f>
        <v>0</v>
      </c>
    </row>
    <row r="1173" spans="1:9" x14ac:dyDescent="0.25">
      <c r="A1173" s="2">
        <v>44865</v>
      </c>
      <c r="B1173" s="1" t="s">
        <v>14</v>
      </c>
      <c r="C1173" s="1" t="s">
        <v>67</v>
      </c>
      <c r="D1173" s="1" t="s">
        <v>23</v>
      </c>
      <c r="E1173">
        <v>500</v>
      </c>
      <c r="F1173" s="1">
        <f>VLOOKUP(jablka5[[#This Row],[Nazwa]],cennik[],2,0) * jablka5[[#This Row],[sprzedaż]]</f>
        <v>1750</v>
      </c>
      <c r="G1173" s="1">
        <f>IF(jablka5[[#This Row],[NIP]]=D1172,jablka5[[#This Row],[sprzedaż]]+G1172,jablka5[[#This Row],[sprzedaż]])</f>
        <v>14074</v>
      </c>
      <c r="H1173" s="1">
        <f>IF(jablka5[[#This Row],[dot sprz]]&lt;15000,0,IF(jablka5[[#This Row],[dot sprz]]&lt;20000,5,10))</f>
        <v>0</v>
      </c>
      <c r="I1173" s="1">
        <f>jablka5[[#This Row],[rabat]]*jablka5[[#This Row],[sprzedaż]]/100</f>
        <v>0</v>
      </c>
    </row>
    <row r="1174" spans="1:9" x14ac:dyDescent="0.25">
      <c r="A1174" s="2">
        <v>44869</v>
      </c>
      <c r="B1174" s="1" t="s">
        <v>9</v>
      </c>
      <c r="C1174" s="1" t="s">
        <v>67</v>
      </c>
      <c r="D1174" s="1" t="s">
        <v>23</v>
      </c>
      <c r="E1174">
        <v>393</v>
      </c>
      <c r="F1174" s="1">
        <f>VLOOKUP(jablka5[[#This Row],[Nazwa]],cennik[],2,0) * jablka5[[#This Row],[sprzedaż]]</f>
        <v>982.5</v>
      </c>
      <c r="G1174" s="1">
        <f>IF(jablka5[[#This Row],[NIP]]=D1173,jablka5[[#This Row],[sprzedaż]]+G1173,jablka5[[#This Row],[sprzedaż]])</f>
        <v>14467</v>
      </c>
      <c r="H1174" s="1">
        <f>IF(jablka5[[#This Row],[dot sprz]]&lt;15000,0,IF(jablka5[[#This Row],[dot sprz]]&lt;20000,5,10))</f>
        <v>0</v>
      </c>
      <c r="I1174" s="1">
        <f>jablka5[[#This Row],[rabat]]*jablka5[[#This Row],[sprzedaż]]/100</f>
        <v>0</v>
      </c>
    </row>
    <row r="1175" spans="1:9" x14ac:dyDescent="0.25">
      <c r="A1175" s="2">
        <v>44879</v>
      </c>
      <c r="B1175" s="1" t="s">
        <v>9</v>
      </c>
      <c r="C1175" s="1" t="s">
        <v>67</v>
      </c>
      <c r="D1175" s="1" t="s">
        <v>23</v>
      </c>
      <c r="E1175">
        <v>416</v>
      </c>
      <c r="F1175" s="1">
        <f>VLOOKUP(jablka5[[#This Row],[Nazwa]],cennik[],2,0) * jablka5[[#This Row],[sprzedaż]]</f>
        <v>1040</v>
      </c>
      <c r="G1175" s="1">
        <f>IF(jablka5[[#This Row],[NIP]]=D1174,jablka5[[#This Row],[sprzedaż]]+G1174,jablka5[[#This Row],[sprzedaż]])</f>
        <v>14883</v>
      </c>
      <c r="H1175" s="1">
        <f>IF(jablka5[[#This Row],[dot sprz]]&lt;15000,0,IF(jablka5[[#This Row],[dot sprz]]&lt;20000,5,10))</f>
        <v>0</v>
      </c>
      <c r="I1175" s="1">
        <f>jablka5[[#This Row],[rabat]]*jablka5[[#This Row],[sprzedaż]]/100</f>
        <v>0</v>
      </c>
    </row>
    <row r="1176" spans="1:9" x14ac:dyDescent="0.25">
      <c r="A1176" s="2">
        <v>44884</v>
      </c>
      <c r="B1176" s="1" t="s">
        <v>1</v>
      </c>
      <c r="C1176" s="1" t="s">
        <v>67</v>
      </c>
      <c r="D1176" s="1" t="s">
        <v>23</v>
      </c>
      <c r="E1176">
        <v>272</v>
      </c>
      <c r="F1176" s="1">
        <f>VLOOKUP(jablka5[[#This Row],[Nazwa]],cennik[],2,0) * jablka5[[#This Row],[sprzedaż]]</f>
        <v>870.40000000000009</v>
      </c>
      <c r="G1176" s="1">
        <f>IF(jablka5[[#This Row],[NIP]]=D1175,jablka5[[#This Row],[sprzedaż]]+G1175,jablka5[[#This Row],[sprzedaż]])</f>
        <v>15155</v>
      </c>
      <c r="H1176" s="1">
        <f>IF(jablka5[[#This Row],[dot sprz]]&lt;15000,0,IF(jablka5[[#This Row],[dot sprz]]&lt;20000,5,10))</f>
        <v>5</v>
      </c>
      <c r="I1176" s="1">
        <f>jablka5[[#This Row],[rabat]]*jablka5[[#This Row],[sprzedaż]]/100</f>
        <v>13.6</v>
      </c>
    </row>
    <row r="1177" spans="1:9" x14ac:dyDescent="0.25">
      <c r="A1177" s="2">
        <v>44893</v>
      </c>
      <c r="B1177" s="1" t="s">
        <v>14</v>
      </c>
      <c r="C1177" s="1" t="s">
        <v>67</v>
      </c>
      <c r="D1177" s="1" t="s">
        <v>23</v>
      </c>
      <c r="E1177">
        <v>497</v>
      </c>
      <c r="F1177" s="1">
        <f>VLOOKUP(jablka5[[#This Row],[Nazwa]],cennik[],2,0) * jablka5[[#This Row],[sprzedaż]]</f>
        <v>1739.5</v>
      </c>
      <c r="G1177" s="1">
        <f>IF(jablka5[[#This Row],[NIP]]=D1176,jablka5[[#This Row],[sprzedaż]]+G1176,jablka5[[#This Row],[sprzedaż]])</f>
        <v>15652</v>
      </c>
      <c r="H1177" s="1">
        <f>IF(jablka5[[#This Row],[dot sprz]]&lt;15000,0,IF(jablka5[[#This Row],[dot sprz]]&lt;20000,5,10))</f>
        <v>5</v>
      </c>
      <c r="I1177" s="1">
        <f>jablka5[[#This Row],[rabat]]*jablka5[[#This Row],[sprzedaż]]/100</f>
        <v>24.85</v>
      </c>
    </row>
    <row r="1178" spans="1:9" x14ac:dyDescent="0.25">
      <c r="A1178" s="2">
        <v>44893</v>
      </c>
      <c r="B1178" s="1" t="s">
        <v>14</v>
      </c>
      <c r="C1178" s="1" t="s">
        <v>67</v>
      </c>
      <c r="D1178" s="1" t="s">
        <v>23</v>
      </c>
      <c r="E1178">
        <v>393</v>
      </c>
      <c r="F1178" s="1">
        <f>VLOOKUP(jablka5[[#This Row],[Nazwa]],cennik[],2,0) * jablka5[[#This Row],[sprzedaż]]</f>
        <v>1375.5</v>
      </c>
      <c r="G1178" s="1">
        <f>IF(jablka5[[#This Row],[NIP]]=D1177,jablka5[[#This Row],[sprzedaż]]+G1177,jablka5[[#This Row],[sprzedaż]])</f>
        <v>16045</v>
      </c>
      <c r="H1178" s="1">
        <f>IF(jablka5[[#This Row],[dot sprz]]&lt;15000,0,IF(jablka5[[#This Row],[dot sprz]]&lt;20000,5,10))</f>
        <v>5</v>
      </c>
      <c r="I1178" s="1">
        <f>jablka5[[#This Row],[rabat]]*jablka5[[#This Row],[sprzedaż]]/100</f>
        <v>19.649999999999999</v>
      </c>
    </row>
    <row r="1179" spans="1:9" x14ac:dyDescent="0.25">
      <c r="A1179" s="2">
        <v>44897</v>
      </c>
      <c r="B1179" s="1" t="s">
        <v>2</v>
      </c>
      <c r="C1179" s="1" t="s">
        <v>16</v>
      </c>
      <c r="D1179" s="1" t="s">
        <v>23</v>
      </c>
      <c r="E1179">
        <v>277</v>
      </c>
      <c r="F1179" s="1">
        <f>VLOOKUP(jablka5[[#This Row],[Nazwa]],cennik[],2,0) * jablka5[[#This Row],[sprzedaż]]</f>
        <v>886.40000000000009</v>
      </c>
      <c r="G1179" s="1">
        <f>IF(jablka5[[#This Row],[NIP]]=D1178,jablka5[[#This Row],[sprzedaż]]+G1178,jablka5[[#This Row],[sprzedaż]])</f>
        <v>16322</v>
      </c>
      <c r="H1179" s="1">
        <f>IF(jablka5[[#This Row],[dot sprz]]&lt;15000,0,IF(jablka5[[#This Row],[dot sprz]]&lt;20000,5,10))</f>
        <v>5</v>
      </c>
      <c r="I1179" s="1">
        <f>jablka5[[#This Row],[rabat]]*jablka5[[#This Row],[sprzedaż]]/100</f>
        <v>13.85</v>
      </c>
    </row>
    <row r="1180" spans="1:9" x14ac:dyDescent="0.25">
      <c r="A1180" s="2">
        <v>44901</v>
      </c>
      <c r="B1180" s="1" t="s">
        <v>0</v>
      </c>
      <c r="C1180" s="1" t="s">
        <v>16</v>
      </c>
      <c r="D1180" s="1" t="s">
        <v>23</v>
      </c>
      <c r="E1180">
        <v>263</v>
      </c>
      <c r="F1180" s="1">
        <f>VLOOKUP(jablka5[[#This Row],[Nazwa]],cennik[],2,0) * jablka5[[#This Row],[sprzedaż]]</f>
        <v>762.69999999999993</v>
      </c>
      <c r="G1180" s="1">
        <f>IF(jablka5[[#This Row],[NIP]]=D1179,jablka5[[#This Row],[sprzedaż]]+G1179,jablka5[[#This Row],[sprzedaż]])</f>
        <v>16585</v>
      </c>
      <c r="H1180" s="1">
        <f>IF(jablka5[[#This Row],[dot sprz]]&lt;15000,0,IF(jablka5[[#This Row],[dot sprz]]&lt;20000,5,10))</f>
        <v>5</v>
      </c>
      <c r="I1180" s="1">
        <f>jablka5[[#This Row],[rabat]]*jablka5[[#This Row],[sprzedaż]]/100</f>
        <v>13.15</v>
      </c>
    </row>
    <row r="1181" spans="1:9" x14ac:dyDescent="0.25">
      <c r="A1181" s="2">
        <v>44907</v>
      </c>
      <c r="B1181" s="1" t="s">
        <v>15</v>
      </c>
      <c r="C1181" s="1" t="s">
        <v>16</v>
      </c>
      <c r="D1181" s="1" t="s">
        <v>23</v>
      </c>
      <c r="E1181">
        <v>464</v>
      </c>
      <c r="F1181" s="1">
        <f>VLOOKUP(jablka5[[#This Row],[Nazwa]],cennik[],2,0) * jablka5[[#This Row],[sprzedaż]]</f>
        <v>1113.5999999999999</v>
      </c>
      <c r="G1181" s="1">
        <f>IF(jablka5[[#This Row],[NIP]]=D1180,jablka5[[#This Row],[sprzedaż]]+G1180,jablka5[[#This Row],[sprzedaż]])</f>
        <v>17049</v>
      </c>
      <c r="H1181" s="1">
        <f>IF(jablka5[[#This Row],[dot sprz]]&lt;15000,0,IF(jablka5[[#This Row],[dot sprz]]&lt;20000,5,10))</f>
        <v>5</v>
      </c>
      <c r="I1181" s="1">
        <f>jablka5[[#This Row],[rabat]]*jablka5[[#This Row],[sprzedaż]]/100</f>
        <v>23.2</v>
      </c>
    </row>
    <row r="1182" spans="1:9" x14ac:dyDescent="0.25">
      <c r="A1182" s="2">
        <v>44910</v>
      </c>
      <c r="B1182" s="1" t="s">
        <v>15</v>
      </c>
      <c r="C1182" s="1" t="s">
        <v>16</v>
      </c>
      <c r="D1182" s="1" t="s">
        <v>23</v>
      </c>
      <c r="E1182">
        <v>578</v>
      </c>
      <c r="F1182" s="1">
        <f>VLOOKUP(jablka5[[#This Row],[Nazwa]],cennik[],2,0) * jablka5[[#This Row],[sprzedaż]]</f>
        <v>1387.2</v>
      </c>
      <c r="G1182" s="1">
        <f>IF(jablka5[[#This Row],[NIP]]=D1181,jablka5[[#This Row],[sprzedaż]]+G1181,jablka5[[#This Row],[sprzedaż]])</f>
        <v>17627</v>
      </c>
      <c r="H1182" s="1">
        <f>IF(jablka5[[#This Row],[dot sprz]]&lt;15000,0,IF(jablka5[[#This Row],[dot sprz]]&lt;20000,5,10))</f>
        <v>5</v>
      </c>
      <c r="I1182" s="1">
        <f>jablka5[[#This Row],[rabat]]*jablka5[[#This Row],[sprzedaż]]/100</f>
        <v>28.9</v>
      </c>
    </row>
    <row r="1183" spans="1:9" x14ac:dyDescent="0.25">
      <c r="A1183" s="2">
        <v>44911</v>
      </c>
      <c r="B1183" s="1" t="s">
        <v>15</v>
      </c>
      <c r="C1183" s="1" t="s">
        <v>16</v>
      </c>
      <c r="D1183" s="1" t="s">
        <v>23</v>
      </c>
      <c r="E1183">
        <v>417</v>
      </c>
      <c r="F1183" s="1">
        <f>VLOOKUP(jablka5[[#This Row],[Nazwa]],cennik[],2,0) * jablka5[[#This Row],[sprzedaż]]</f>
        <v>1000.8</v>
      </c>
      <c r="G1183" s="1">
        <f>IF(jablka5[[#This Row],[NIP]]=D1182,jablka5[[#This Row],[sprzedaż]]+G1182,jablka5[[#This Row],[sprzedaż]])</f>
        <v>18044</v>
      </c>
      <c r="H1183" s="1">
        <f>IF(jablka5[[#This Row],[dot sprz]]&lt;15000,0,IF(jablka5[[#This Row],[dot sprz]]&lt;20000,5,10))</f>
        <v>5</v>
      </c>
      <c r="I1183" s="1">
        <f>jablka5[[#This Row],[rabat]]*jablka5[[#This Row],[sprzedaż]]/100</f>
        <v>20.85</v>
      </c>
    </row>
    <row r="1184" spans="1:9" x14ac:dyDescent="0.25">
      <c r="A1184" s="2">
        <v>44914</v>
      </c>
      <c r="B1184" s="1" t="s">
        <v>0</v>
      </c>
      <c r="C1184" s="1" t="s">
        <v>16</v>
      </c>
      <c r="D1184" s="1" t="s">
        <v>23</v>
      </c>
      <c r="E1184">
        <v>170</v>
      </c>
      <c r="F1184" s="1">
        <f>VLOOKUP(jablka5[[#This Row],[Nazwa]],cennik[],2,0) * jablka5[[#This Row],[sprzedaż]]</f>
        <v>493</v>
      </c>
      <c r="G1184" s="1">
        <f>IF(jablka5[[#This Row],[NIP]]=D1183,jablka5[[#This Row],[sprzedaż]]+G1183,jablka5[[#This Row],[sprzedaż]])</f>
        <v>18214</v>
      </c>
      <c r="H1184" s="1">
        <f>IF(jablka5[[#This Row],[dot sprz]]&lt;15000,0,IF(jablka5[[#This Row],[dot sprz]]&lt;20000,5,10))</f>
        <v>5</v>
      </c>
      <c r="I1184" s="1">
        <f>jablka5[[#This Row],[rabat]]*jablka5[[#This Row],[sprzedaż]]/100</f>
        <v>8.5</v>
      </c>
    </row>
    <row r="1185" spans="1:9" x14ac:dyDescent="0.25">
      <c r="A1185" s="2">
        <v>44926</v>
      </c>
      <c r="B1185" s="1" t="s">
        <v>2</v>
      </c>
      <c r="C1185" s="1" t="s">
        <v>16</v>
      </c>
      <c r="D1185" s="1" t="s">
        <v>23</v>
      </c>
      <c r="E1185">
        <v>79</v>
      </c>
      <c r="F1185" s="1">
        <f>VLOOKUP(jablka5[[#This Row],[Nazwa]],cennik[],2,0) * jablka5[[#This Row],[sprzedaż]]</f>
        <v>252.8</v>
      </c>
      <c r="G1185" s="1">
        <f>IF(jablka5[[#This Row],[NIP]]=D1184,jablka5[[#This Row],[sprzedaż]]+G1184,jablka5[[#This Row],[sprzedaż]])</f>
        <v>18293</v>
      </c>
      <c r="H1185" s="1">
        <f>IF(jablka5[[#This Row],[dot sprz]]&lt;15000,0,IF(jablka5[[#This Row],[dot sprz]]&lt;20000,5,10))</f>
        <v>5</v>
      </c>
      <c r="I1185" s="1">
        <f>jablka5[[#This Row],[rabat]]*jablka5[[#This Row],[sprzedaż]]/100</f>
        <v>3.95</v>
      </c>
    </row>
    <row r="1186" spans="1:9" x14ac:dyDescent="0.25">
      <c r="A1186" s="2">
        <v>44569</v>
      </c>
      <c r="B1186" s="1" t="s">
        <v>2</v>
      </c>
      <c r="C1186" s="1" t="s">
        <v>16</v>
      </c>
      <c r="D1186" s="1" t="s">
        <v>47</v>
      </c>
      <c r="E1186">
        <v>288</v>
      </c>
      <c r="F1186" s="1">
        <f>VLOOKUP(jablka5[[#This Row],[Nazwa]],cennik[],2,0) * jablka5[[#This Row],[sprzedaż]]</f>
        <v>921.6</v>
      </c>
      <c r="G1186" s="1">
        <f>IF(jablka5[[#This Row],[NIP]]=D1185,jablka5[[#This Row],[sprzedaż]]+G1185,jablka5[[#This Row],[sprzedaż]])</f>
        <v>288</v>
      </c>
      <c r="H1186" s="1">
        <f>IF(jablka5[[#This Row],[dot sprz]]&lt;15000,0,IF(jablka5[[#This Row],[dot sprz]]&lt;20000,5,10))</f>
        <v>0</v>
      </c>
      <c r="I1186" s="1">
        <f>jablka5[[#This Row],[rabat]]*jablka5[[#This Row],[sprzedaż]]/100</f>
        <v>0</v>
      </c>
    </row>
    <row r="1187" spans="1:9" x14ac:dyDescent="0.25">
      <c r="A1187" s="2">
        <v>44575</v>
      </c>
      <c r="B1187" s="1" t="s">
        <v>5</v>
      </c>
      <c r="C1187" s="1" t="s">
        <v>16</v>
      </c>
      <c r="D1187" s="1" t="s">
        <v>47</v>
      </c>
      <c r="E1187">
        <v>47</v>
      </c>
      <c r="F1187" s="1">
        <f>VLOOKUP(jablka5[[#This Row],[Nazwa]],cennik[],2,0) * jablka5[[#This Row],[sprzedaż]]</f>
        <v>159.79999999999998</v>
      </c>
      <c r="G1187" s="1">
        <f>IF(jablka5[[#This Row],[NIP]]=D1186,jablka5[[#This Row],[sprzedaż]]+G1186,jablka5[[#This Row],[sprzedaż]])</f>
        <v>335</v>
      </c>
      <c r="H1187" s="1">
        <f>IF(jablka5[[#This Row],[dot sprz]]&lt;15000,0,IF(jablka5[[#This Row],[dot sprz]]&lt;20000,5,10))</f>
        <v>0</v>
      </c>
      <c r="I1187" s="1">
        <f>jablka5[[#This Row],[rabat]]*jablka5[[#This Row],[sprzedaż]]/100</f>
        <v>0</v>
      </c>
    </row>
    <row r="1188" spans="1:9" x14ac:dyDescent="0.25">
      <c r="A1188" s="2">
        <v>44578</v>
      </c>
      <c r="B1188" s="1" t="s">
        <v>4</v>
      </c>
      <c r="C1188" s="1" t="s">
        <v>16</v>
      </c>
      <c r="D1188" s="1" t="s">
        <v>47</v>
      </c>
      <c r="E1188">
        <v>583</v>
      </c>
      <c r="F1188" s="1">
        <f>VLOOKUP(jablka5[[#This Row],[Nazwa]],cennik[],2,0) * jablka5[[#This Row],[sprzedaż]]</f>
        <v>1982.2</v>
      </c>
      <c r="G1188" s="1">
        <f>IF(jablka5[[#This Row],[NIP]]=D1187,jablka5[[#This Row],[sprzedaż]]+G1187,jablka5[[#This Row],[sprzedaż]])</f>
        <v>918</v>
      </c>
      <c r="H1188" s="1">
        <f>IF(jablka5[[#This Row],[dot sprz]]&lt;15000,0,IF(jablka5[[#This Row],[dot sprz]]&lt;20000,5,10))</f>
        <v>0</v>
      </c>
      <c r="I1188" s="1">
        <f>jablka5[[#This Row],[rabat]]*jablka5[[#This Row],[sprzedaż]]/100</f>
        <v>0</v>
      </c>
    </row>
    <row r="1189" spans="1:9" x14ac:dyDescent="0.25">
      <c r="A1189" s="2">
        <v>44578</v>
      </c>
      <c r="B1189" s="1" t="s">
        <v>7</v>
      </c>
      <c r="C1189" s="1" t="s">
        <v>16</v>
      </c>
      <c r="D1189" s="1" t="s">
        <v>47</v>
      </c>
      <c r="E1189">
        <v>520</v>
      </c>
      <c r="F1189" s="1">
        <f>VLOOKUP(jablka5[[#This Row],[Nazwa]],cennik[],2,0) * jablka5[[#This Row],[sprzedaż]]</f>
        <v>1768</v>
      </c>
      <c r="G1189" s="1">
        <f>IF(jablka5[[#This Row],[NIP]]=D1188,jablka5[[#This Row],[sprzedaż]]+G1188,jablka5[[#This Row],[sprzedaż]])</f>
        <v>1438</v>
      </c>
      <c r="H1189" s="1">
        <f>IF(jablka5[[#This Row],[dot sprz]]&lt;15000,0,IF(jablka5[[#This Row],[dot sprz]]&lt;20000,5,10))</f>
        <v>0</v>
      </c>
      <c r="I1189" s="1">
        <f>jablka5[[#This Row],[rabat]]*jablka5[[#This Row],[sprzedaż]]/100</f>
        <v>0</v>
      </c>
    </row>
    <row r="1190" spans="1:9" x14ac:dyDescent="0.25">
      <c r="A1190" s="2">
        <v>44585</v>
      </c>
      <c r="B1190" s="1" t="s">
        <v>7</v>
      </c>
      <c r="C1190" s="1" t="s">
        <v>16</v>
      </c>
      <c r="D1190" s="1" t="s">
        <v>47</v>
      </c>
      <c r="E1190">
        <v>461</v>
      </c>
      <c r="F1190" s="1">
        <f>VLOOKUP(jablka5[[#This Row],[Nazwa]],cennik[],2,0) * jablka5[[#This Row],[sprzedaż]]</f>
        <v>1567.3999999999999</v>
      </c>
      <c r="G1190" s="1">
        <f>IF(jablka5[[#This Row],[NIP]]=D1189,jablka5[[#This Row],[sprzedaż]]+G1189,jablka5[[#This Row],[sprzedaż]])</f>
        <v>1899</v>
      </c>
      <c r="H1190" s="1">
        <f>IF(jablka5[[#This Row],[dot sprz]]&lt;15000,0,IF(jablka5[[#This Row],[dot sprz]]&lt;20000,5,10))</f>
        <v>0</v>
      </c>
      <c r="I1190" s="1">
        <f>jablka5[[#This Row],[rabat]]*jablka5[[#This Row],[sprzedaż]]/100</f>
        <v>0</v>
      </c>
    </row>
    <row r="1191" spans="1:9" x14ac:dyDescent="0.25">
      <c r="A1191" s="2">
        <v>44596</v>
      </c>
      <c r="B1191" s="1" t="s">
        <v>10</v>
      </c>
      <c r="C1191" s="1" t="s">
        <v>16</v>
      </c>
      <c r="D1191" s="1" t="s">
        <v>47</v>
      </c>
      <c r="E1191">
        <v>366</v>
      </c>
      <c r="F1191" s="1">
        <f>VLOOKUP(jablka5[[#This Row],[Nazwa]],cennik[],2,0) * jablka5[[#This Row],[sprzedaż]]</f>
        <v>1244.3999999999999</v>
      </c>
      <c r="G1191" s="1">
        <f>IF(jablka5[[#This Row],[NIP]]=D1190,jablka5[[#This Row],[sprzedaż]]+G1190,jablka5[[#This Row],[sprzedaż]])</f>
        <v>2265</v>
      </c>
      <c r="H1191" s="1">
        <f>IF(jablka5[[#This Row],[dot sprz]]&lt;15000,0,IF(jablka5[[#This Row],[dot sprz]]&lt;20000,5,10))</f>
        <v>0</v>
      </c>
      <c r="I1191" s="1">
        <f>jablka5[[#This Row],[rabat]]*jablka5[[#This Row],[sprzedaż]]/100</f>
        <v>0</v>
      </c>
    </row>
    <row r="1192" spans="1:9" x14ac:dyDescent="0.25">
      <c r="A1192" s="2">
        <v>44597</v>
      </c>
      <c r="B1192" s="1" t="s">
        <v>0</v>
      </c>
      <c r="C1192" s="1" t="s">
        <v>16</v>
      </c>
      <c r="D1192" s="1" t="s">
        <v>47</v>
      </c>
      <c r="E1192">
        <v>96</v>
      </c>
      <c r="F1192" s="1">
        <f>VLOOKUP(jablka5[[#This Row],[Nazwa]],cennik[],2,0) * jablka5[[#This Row],[sprzedaż]]</f>
        <v>278.39999999999998</v>
      </c>
      <c r="G1192" s="1">
        <f>IF(jablka5[[#This Row],[NIP]]=D1191,jablka5[[#This Row],[sprzedaż]]+G1191,jablka5[[#This Row],[sprzedaż]])</f>
        <v>2361</v>
      </c>
      <c r="H1192" s="1">
        <f>IF(jablka5[[#This Row],[dot sprz]]&lt;15000,0,IF(jablka5[[#This Row],[dot sprz]]&lt;20000,5,10))</f>
        <v>0</v>
      </c>
      <c r="I1192" s="1">
        <f>jablka5[[#This Row],[rabat]]*jablka5[[#This Row],[sprzedaż]]/100</f>
        <v>0</v>
      </c>
    </row>
    <row r="1193" spans="1:9" x14ac:dyDescent="0.25">
      <c r="A1193" s="2">
        <v>44603</v>
      </c>
      <c r="B1193" s="1" t="s">
        <v>7</v>
      </c>
      <c r="C1193" s="1" t="s">
        <v>16</v>
      </c>
      <c r="D1193" s="1" t="s">
        <v>47</v>
      </c>
      <c r="E1193">
        <v>375</v>
      </c>
      <c r="F1193" s="1">
        <f>VLOOKUP(jablka5[[#This Row],[Nazwa]],cennik[],2,0) * jablka5[[#This Row],[sprzedaż]]</f>
        <v>1275</v>
      </c>
      <c r="G1193" s="1">
        <f>IF(jablka5[[#This Row],[NIP]]=D1192,jablka5[[#This Row],[sprzedaż]]+G1192,jablka5[[#This Row],[sprzedaż]])</f>
        <v>2736</v>
      </c>
      <c r="H1193" s="1">
        <f>IF(jablka5[[#This Row],[dot sprz]]&lt;15000,0,IF(jablka5[[#This Row],[dot sprz]]&lt;20000,5,10))</f>
        <v>0</v>
      </c>
      <c r="I1193" s="1">
        <f>jablka5[[#This Row],[rabat]]*jablka5[[#This Row],[sprzedaż]]/100</f>
        <v>0</v>
      </c>
    </row>
    <row r="1194" spans="1:9" x14ac:dyDescent="0.25">
      <c r="A1194" s="2">
        <v>44606</v>
      </c>
      <c r="B1194" s="1" t="s">
        <v>8</v>
      </c>
      <c r="C1194" s="1" t="s">
        <v>16</v>
      </c>
      <c r="D1194" s="1" t="s">
        <v>47</v>
      </c>
      <c r="E1194">
        <v>293</v>
      </c>
      <c r="F1194" s="1">
        <f>VLOOKUP(jablka5[[#This Row],[Nazwa]],cennik[],2,0) * jablka5[[#This Row],[sprzedaż]]</f>
        <v>1025.5</v>
      </c>
      <c r="G1194" s="1">
        <f>IF(jablka5[[#This Row],[NIP]]=D1193,jablka5[[#This Row],[sprzedaż]]+G1193,jablka5[[#This Row],[sprzedaż]])</f>
        <v>3029</v>
      </c>
      <c r="H1194" s="1">
        <f>IF(jablka5[[#This Row],[dot sprz]]&lt;15000,0,IF(jablka5[[#This Row],[dot sprz]]&lt;20000,5,10))</f>
        <v>0</v>
      </c>
      <c r="I1194" s="1">
        <f>jablka5[[#This Row],[rabat]]*jablka5[[#This Row],[sprzedaż]]/100</f>
        <v>0</v>
      </c>
    </row>
    <row r="1195" spans="1:9" x14ac:dyDescent="0.25">
      <c r="A1195" s="2">
        <v>44616</v>
      </c>
      <c r="B1195" s="1" t="s">
        <v>8</v>
      </c>
      <c r="C1195" s="1" t="s">
        <v>16</v>
      </c>
      <c r="D1195" s="1" t="s">
        <v>47</v>
      </c>
      <c r="E1195">
        <v>578</v>
      </c>
      <c r="F1195" s="1">
        <f>VLOOKUP(jablka5[[#This Row],[Nazwa]],cennik[],2,0) * jablka5[[#This Row],[sprzedaż]]</f>
        <v>2023</v>
      </c>
      <c r="G1195" s="1">
        <f>IF(jablka5[[#This Row],[NIP]]=D1194,jablka5[[#This Row],[sprzedaż]]+G1194,jablka5[[#This Row],[sprzedaż]])</f>
        <v>3607</v>
      </c>
      <c r="H1195" s="1">
        <f>IF(jablka5[[#This Row],[dot sprz]]&lt;15000,0,IF(jablka5[[#This Row],[dot sprz]]&lt;20000,5,10))</f>
        <v>0</v>
      </c>
      <c r="I1195" s="1">
        <f>jablka5[[#This Row],[rabat]]*jablka5[[#This Row],[sprzedaż]]/100</f>
        <v>0</v>
      </c>
    </row>
    <row r="1196" spans="1:9" x14ac:dyDescent="0.25">
      <c r="A1196" s="2">
        <v>44632</v>
      </c>
      <c r="B1196" s="1" t="s">
        <v>5</v>
      </c>
      <c r="C1196" s="1" t="s">
        <v>16</v>
      </c>
      <c r="D1196" s="1" t="s">
        <v>47</v>
      </c>
      <c r="E1196">
        <v>397</v>
      </c>
      <c r="F1196" s="1">
        <f>VLOOKUP(jablka5[[#This Row],[Nazwa]],cennik[],2,0) * jablka5[[#This Row],[sprzedaż]]</f>
        <v>1349.8</v>
      </c>
      <c r="G1196" s="1">
        <f>IF(jablka5[[#This Row],[NIP]]=D1195,jablka5[[#This Row],[sprzedaż]]+G1195,jablka5[[#This Row],[sprzedaż]])</f>
        <v>4004</v>
      </c>
      <c r="H1196" s="1">
        <f>IF(jablka5[[#This Row],[dot sprz]]&lt;15000,0,IF(jablka5[[#This Row],[dot sprz]]&lt;20000,5,10))</f>
        <v>0</v>
      </c>
      <c r="I1196" s="1">
        <f>jablka5[[#This Row],[rabat]]*jablka5[[#This Row],[sprzedaż]]/100</f>
        <v>0</v>
      </c>
    </row>
    <row r="1197" spans="1:9" x14ac:dyDescent="0.25">
      <c r="A1197" s="2">
        <v>44658</v>
      </c>
      <c r="B1197" s="1" t="s">
        <v>10</v>
      </c>
      <c r="C1197" s="1" t="s">
        <v>16</v>
      </c>
      <c r="D1197" s="1" t="s">
        <v>47</v>
      </c>
      <c r="E1197">
        <v>395</v>
      </c>
      <c r="F1197" s="1">
        <f>VLOOKUP(jablka5[[#This Row],[Nazwa]],cennik[],2,0) * jablka5[[#This Row],[sprzedaż]]</f>
        <v>1343</v>
      </c>
      <c r="G1197" s="1">
        <f>IF(jablka5[[#This Row],[NIP]]=D1196,jablka5[[#This Row],[sprzedaż]]+G1196,jablka5[[#This Row],[sprzedaż]])</f>
        <v>4399</v>
      </c>
      <c r="H1197" s="1">
        <f>IF(jablka5[[#This Row],[dot sprz]]&lt;15000,0,IF(jablka5[[#This Row],[dot sprz]]&lt;20000,5,10))</f>
        <v>0</v>
      </c>
      <c r="I1197" s="1">
        <f>jablka5[[#This Row],[rabat]]*jablka5[[#This Row],[sprzedaż]]/100</f>
        <v>0</v>
      </c>
    </row>
    <row r="1198" spans="1:9" x14ac:dyDescent="0.25">
      <c r="A1198" s="2">
        <v>44669</v>
      </c>
      <c r="B1198" s="1" t="s">
        <v>2</v>
      </c>
      <c r="C1198" s="1" t="s">
        <v>16</v>
      </c>
      <c r="D1198" s="1" t="s">
        <v>47</v>
      </c>
      <c r="E1198">
        <v>271</v>
      </c>
      <c r="F1198" s="1">
        <f>VLOOKUP(jablka5[[#This Row],[Nazwa]],cennik[],2,0) * jablka5[[#This Row],[sprzedaż]]</f>
        <v>867.2</v>
      </c>
      <c r="G1198" s="1">
        <f>IF(jablka5[[#This Row],[NIP]]=D1197,jablka5[[#This Row],[sprzedaż]]+G1197,jablka5[[#This Row],[sprzedaż]])</f>
        <v>4670</v>
      </c>
      <c r="H1198" s="1">
        <f>IF(jablka5[[#This Row],[dot sprz]]&lt;15000,0,IF(jablka5[[#This Row],[dot sprz]]&lt;20000,5,10))</f>
        <v>0</v>
      </c>
      <c r="I1198" s="1">
        <f>jablka5[[#This Row],[rabat]]*jablka5[[#This Row],[sprzedaż]]/100</f>
        <v>0</v>
      </c>
    </row>
    <row r="1199" spans="1:9" x14ac:dyDescent="0.25">
      <c r="A1199" s="2">
        <v>44670</v>
      </c>
      <c r="B1199" s="1" t="s">
        <v>10</v>
      </c>
      <c r="C1199" s="1" t="s">
        <v>16</v>
      </c>
      <c r="D1199" s="1" t="s">
        <v>47</v>
      </c>
      <c r="E1199">
        <v>56</v>
      </c>
      <c r="F1199" s="1">
        <f>VLOOKUP(jablka5[[#This Row],[Nazwa]],cennik[],2,0) * jablka5[[#This Row],[sprzedaż]]</f>
        <v>190.4</v>
      </c>
      <c r="G1199" s="1">
        <f>IF(jablka5[[#This Row],[NIP]]=D1198,jablka5[[#This Row],[sprzedaż]]+G1198,jablka5[[#This Row],[sprzedaż]])</f>
        <v>4726</v>
      </c>
      <c r="H1199" s="1">
        <f>IF(jablka5[[#This Row],[dot sprz]]&lt;15000,0,IF(jablka5[[#This Row],[dot sprz]]&lt;20000,5,10))</f>
        <v>0</v>
      </c>
      <c r="I1199" s="1">
        <f>jablka5[[#This Row],[rabat]]*jablka5[[#This Row],[sprzedaż]]/100</f>
        <v>0</v>
      </c>
    </row>
    <row r="1200" spans="1:9" x14ac:dyDescent="0.25">
      <c r="A1200" s="2">
        <v>44691</v>
      </c>
      <c r="B1200" s="1" t="s">
        <v>4</v>
      </c>
      <c r="C1200" s="1" t="s">
        <v>16</v>
      </c>
      <c r="D1200" s="1" t="s">
        <v>47</v>
      </c>
      <c r="E1200">
        <v>329</v>
      </c>
      <c r="F1200" s="1">
        <f>VLOOKUP(jablka5[[#This Row],[Nazwa]],cennik[],2,0) * jablka5[[#This Row],[sprzedaż]]</f>
        <v>1118.5999999999999</v>
      </c>
      <c r="G1200" s="1">
        <f>IF(jablka5[[#This Row],[NIP]]=D1199,jablka5[[#This Row],[sprzedaż]]+G1199,jablka5[[#This Row],[sprzedaż]])</f>
        <v>5055</v>
      </c>
      <c r="H1200" s="1">
        <f>IF(jablka5[[#This Row],[dot sprz]]&lt;15000,0,IF(jablka5[[#This Row],[dot sprz]]&lt;20000,5,10))</f>
        <v>0</v>
      </c>
      <c r="I1200" s="1">
        <f>jablka5[[#This Row],[rabat]]*jablka5[[#This Row],[sprzedaż]]/100</f>
        <v>0</v>
      </c>
    </row>
    <row r="1201" spans="1:9" x14ac:dyDescent="0.25">
      <c r="A1201" s="2">
        <v>44697</v>
      </c>
      <c r="B1201" s="1" t="s">
        <v>4</v>
      </c>
      <c r="C1201" s="1" t="s">
        <v>16</v>
      </c>
      <c r="D1201" s="1" t="s">
        <v>47</v>
      </c>
      <c r="E1201">
        <v>770</v>
      </c>
      <c r="F1201" s="1">
        <f>VLOOKUP(jablka5[[#This Row],[Nazwa]],cennik[],2,0) * jablka5[[#This Row],[sprzedaż]]</f>
        <v>2618</v>
      </c>
      <c r="G1201" s="1">
        <f>IF(jablka5[[#This Row],[NIP]]=D1200,jablka5[[#This Row],[sprzedaż]]+G1200,jablka5[[#This Row],[sprzedaż]])</f>
        <v>5825</v>
      </c>
      <c r="H1201" s="1">
        <f>IF(jablka5[[#This Row],[dot sprz]]&lt;15000,0,IF(jablka5[[#This Row],[dot sprz]]&lt;20000,5,10))</f>
        <v>0</v>
      </c>
      <c r="I1201" s="1">
        <f>jablka5[[#This Row],[rabat]]*jablka5[[#This Row],[sprzedaż]]/100</f>
        <v>0</v>
      </c>
    </row>
    <row r="1202" spans="1:9" x14ac:dyDescent="0.25">
      <c r="A1202" s="2">
        <v>44708</v>
      </c>
      <c r="B1202" s="1" t="s">
        <v>0</v>
      </c>
      <c r="C1202" s="1" t="s">
        <v>16</v>
      </c>
      <c r="D1202" s="1" t="s">
        <v>47</v>
      </c>
      <c r="E1202">
        <v>452</v>
      </c>
      <c r="F1202" s="1">
        <f>VLOOKUP(jablka5[[#This Row],[Nazwa]],cennik[],2,0) * jablka5[[#This Row],[sprzedaż]]</f>
        <v>1310.8</v>
      </c>
      <c r="G1202" s="1">
        <f>IF(jablka5[[#This Row],[NIP]]=D1201,jablka5[[#This Row],[sprzedaż]]+G1201,jablka5[[#This Row],[sprzedaż]])</f>
        <v>6277</v>
      </c>
      <c r="H1202" s="1">
        <f>IF(jablka5[[#This Row],[dot sprz]]&lt;15000,0,IF(jablka5[[#This Row],[dot sprz]]&lt;20000,5,10))</f>
        <v>0</v>
      </c>
      <c r="I1202" s="1">
        <f>jablka5[[#This Row],[rabat]]*jablka5[[#This Row],[sprzedaż]]/100</f>
        <v>0</v>
      </c>
    </row>
    <row r="1203" spans="1:9" x14ac:dyDescent="0.25">
      <c r="A1203" s="2">
        <v>44709</v>
      </c>
      <c r="B1203" s="1" t="s">
        <v>8</v>
      </c>
      <c r="C1203" s="1" t="s">
        <v>16</v>
      </c>
      <c r="D1203" s="1" t="s">
        <v>47</v>
      </c>
      <c r="E1203">
        <v>636</v>
      </c>
      <c r="F1203" s="1">
        <f>VLOOKUP(jablka5[[#This Row],[Nazwa]],cennik[],2,0) * jablka5[[#This Row],[sprzedaż]]</f>
        <v>2226</v>
      </c>
      <c r="G1203" s="1">
        <f>IF(jablka5[[#This Row],[NIP]]=D1202,jablka5[[#This Row],[sprzedaż]]+G1202,jablka5[[#This Row],[sprzedaż]])</f>
        <v>6913</v>
      </c>
      <c r="H1203" s="1">
        <f>IF(jablka5[[#This Row],[dot sprz]]&lt;15000,0,IF(jablka5[[#This Row],[dot sprz]]&lt;20000,5,10))</f>
        <v>0</v>
      </c>
      <c r="I1203" s="1">
        <f>jablka5[[#This Row],[rabat]]*jablka5[[#This Row],[sprzedaż]]/100</f>
        <v>0</v>
      </c>
    </row>
    <row r="1204" spans="1:9" x14ac:dyDescent="0.25">
      <c r="A1204" s="2">
        <v>44709</v>
      </c>
      <c r="B1204" s="1" t="s">
        <v>2</v>
      </c>
      <c r="C1204" s="1" t="s">
        <v>16</v>
      </c>
      <c r="D1204" s="1" t="s">
        <v>47</v>
      </c>
      <c r="E1204">
        <v>18</v>
      </c>
      <c r="F1204" s="1">
        <f>VLOOKUP(jablka5[[#This Row],[Nazwa]],cennik[],2,0) * jablka5[[#This Row],[sprzedaż]]</f>
        <v>57.6</v>
      </c>
      <c r="G1204" s="1">
        <f>IF(jablka5[[#This Row],[NIP]]=D1203,jablka5[[#This Row],[sprzedaż]]+G1203,jablka5[[#This Row],[sprzedaż]])</f>
        <v>6931</v>
      </c>
      <c r="H1204" s="1">
        <f>IF(jablka5[[#This Row],[dot sprz]]&lt;15000,0,IF(jablka5[[#This Row],[dot sprz]]&lt;20000,5,10))</f>
        <v>0</v>
      </c>
      <c r="I1204" s="1">
        <f>jablka5[[#This Row],[rabat]]*jablka5[[#This Row],[sprzedaż]]/100</f>
        <v>0</v>
      </c>
    </row>
    <row r="1205" spans="1:9" x14ac:dyDescent="0.25">
      <c r="A1205" s="2">
        <v>44711</v>
      </c>
      <c r="B1205" s="1" t="s">
        <v>5</v>
      </c>
      <c r="C1205" s="1" t="s">
        <v>16</v>
      </c>
      <c r="D1205" s="1" t="s">
        <v>47</v>
      </c>
      <c r="E1205">
        <v>463</v>
      </c>
      <c r="F1205" s="1">
        <f>VLOOKUP(jablka5[[#This Row],[Nazwa]],cennik[],2,0) * jablka5[[#This Row],[sprzedaż]]</f>
        <v>1574.2</v>
      </c>
      <c r="G1205" s="1">
        <f>IF(jablka5[[#This Row],[NIP]]=D1204,jablka5[[#This Row],[sprzedaż]]+G1204,jablka5[[#This Row],[sprzedaż]])</f>
        <v>7394</v>
      </c>
      <c r="H1205" s="1">
        <f>IF(jablka5[[#This Row],[dot sprz]]&lt;15000,0,IF(jablka5[[#This Row],[dot sprz]]&lt;20000,5,10))</f>
        <v>0</v>
      </c>
      <c r="I1205" s="1">
        <f>jablka5[[#This Row],[rabat]]*jablka5[[#This Row],[sprzedaż]]/100</f>
        <v>0</v>
      </c>
    </row>
    <row r="1206" spans="1:9" x14ac:dyDescent="0.25">
      <c r="A1206" s="2">
        <v>44711</v>
      </c>
      <c r="B1206" s="1" t="s">
        <v>15</v>
      </c>
      <c r="C1206" s="1" t="s">
        <v>16</v>
      </c>
      <c r="D1206" s="1" t="s">
        <v>47</v>
      </c>
      <c r="E1206">
        <v>234</v>
      </c>
      <c r="F1206" s="1">
        <f>VLOOKUP(jablka5[[#This Row],[Nazwa]],cennik[],2,0) * jablka5[[#This Row],[sprzedaż]]</f>
        <v>561.6</v>
      </c>
      <c r="G1206" s="1">
        <f>IF(jablka5[[#This Row],[NIP]]=D1205,jablka5[[#This Row],[sprzedaż]]+G1205,jablka5[[#This Row],[sprzedaż]])</f>
        <v>7628</v>
      </c>
      <c r="H1206" s="1">
        <f>IF(jablka5[[#This Row],[dot sprz]]&lt;15000,0,IF(jablka5[[#This Row],[dot sprz]]&lt;20000,5,10))</f>
        <v>0</v>
      </c>
      <c r="I1206" s="1">
        <f>jablka5[[#This Row],[rabat]]*jablka5[[#This Row],[sprzedaż]]/100</f>
        <v>0</v>
      </c>
    </row>
    <row r="1207" spans="1:9" x14ac:dyDescent="0.25">
      <c r="A1207" s="2">
        <v>44720</v>
      </c>
      <c r="B1207" s="1" t="s">
        <v>14</v>
      </c>
      <c r="C1207" s="1" t="s">
        <v>67</v>
      </c>
      <c r="D1207" s="1" t="s">
        <v>47</v>
      </c>
      <c r="E1207">
        <v>97</v>
      </c>
      <c r="F1207" s="1">
        <f>VLOOKUP(jablka5[[#This Row],[Nazwa]],cennik[],2,0) * jablka5[[#This Row],[sprzedaż]]</f>
        <v>339.5</v>
      </c>
      <c r="G1207" s="1">
        <f>IF(jablka5[[#This Row],[NIP]]=D1206,jablka5[[#This Row],[sprzedaż]]+G1206,jablka5[[#This Row],[sprzedaż]])</f>
        <v>7725</v>
      </c>
      <c r="H1207" s="1">
        <f>IF(jablka5[[#This Row],[dot sprz]]&lt;15000,0,IF(jablka5[[#This Row],[dot sprz]]&lt;20000,5,10))</f>
        <v>0</v>
      </c>
      <c r="I1207" s="1">
        <f>jablka5[[#This Row],[rabat]]*jablka5[[#This Row],[sprzedaż]]/100</f>
        <v>0</v>
      </c>
    </row>
    <row r="1208" spans="1:9" x14ac:dyDescent="0.25">
      <c r="A1208" s="2">
        <v>44736</v>
      </c>
      <c r="B1208" s="1" t="s">
        <v>14</v>
      </c>
      <c r="C1208" s="1" t="s">
        <v>67</v>
      </c>
      <c r="D1208" s="1" t="s">
        <v>47</v>
      </c>
      <c r="E1208">
        <v>485</v>
      </c>
      <c r="F1208" s="1">
        <f>VLOOKUP(jablka5[[#This Row],[Nazwa]],cennik[],2,0) * jablka5[[#This Row],[sprzedaż]]</f>
        <v>1697.5</v>
      </c>
      <c r="G1208" s="1">
        <f>IF(jablka5[[#This Row],[NIP]]=D1207,jablka5[[#This Row],[sprzedaż]]+G1207,jablka5[[#This Row],[sprzedaż]])</f>
        <v>8210</v>
      </c>
      <c r="H1208" s="1">
        <f>IF(jablka5[[#This Row],[dot sprz]]&lt;15000,0,IF(jablka5[[#This Row],[dot sprz]]&lt;20000,5,10))</f>
        <v>0</v>
      </c>
      <c r="I1208" s="1">
        <f>jablka5[[#This Row],[rabat]]*jablka5[[#This Row],[sprzedaż]]/100</f>
        <v>0</v>
      </c>
    </row>
    <row r="1209" spans="1:9" x14ac:dyDescent="0.25">
      <c r="A1209" s="2">
        <v>44740</v>
      </c>
      <c r="B1209" s="1" t="s">
        <v>14</v>
      </c>
      <c r="C1209" s="1" t="s">
        <v>67</v>
      </c>
      <c r="D1209" s="1" t="s">
        <v>47</v>
      </c>
      <c r="E1209">
        <v>208</v>
      </c>
      <c r="F1209" s="1">
        <f>VLOOKUP(jablka5[[#This Row],[Nazwa]],cennik[],2,0) * jablka5[[#This Row],[sprzedaż]]</f>
        <v>728</v>
      </c>
      <c r="G1209" s="1">
        <f>IF(jablka5[[#This Row],[NIP]]=D1208,jablka5[[#This Row],[sprzedaż]]+G1208,jablka5[[#This Row],[sprzedaż]])</f>
        <v>8418</v>
      </c>
      <c r="H1209" s="1">
        <f>IF(jablka5[[#This Row],[dot sprz]]&lt;15000,0,IF(jablka5[[#This Row],[dot sprz]]&lt;20000,5,10))</f>
        <v>0</v>
      </c>
      <c r="I1209" s="1">
        <f>jablka5[[#This Row],[rabat]]*jablka5[[#This Row],[sprzedaż]]/100</f>
        <v>0</v>
      </c>
    </row>
    <row r="1210" spans="1:9" x14ac:dyDescent="0.25">
      <c r="A1210" s="2">
        <v>44744</v>
      </c>
      <c r="B1210" s="1" t="s">
        <v>12</v>
      </c>
      <c r="C1210" s="1" t="s">
        <v>68</v>
      </c>
      <c r="D1210" s="1" t="s">
        <v>47</v>
      </c>
      <c r="E1210">
        <v>105</v>
      </c>
      <c r="F1210" s="1">
        <f>VLOOKUP(jablka5[[#This Row],[Nazwa]],cennik[],2,0) * jablka5[[#This Row],[sprzedaż]]</f>
        <v>283.5</v>
      </c>
      <c r="G1210" s="1">
        <f>IF(jablka5[[#This Row],[NIP]]=D1209,jablka5[[#This Row],[sprzedaż]]+G1209,jablka5[[#This Row],[sprzedaż]])</f>
        <v>8523</v>
      </c>
      <c r="H1210" s="1">
        <f>IF(jablka5[[#This Row],[dot sprz]]&lt;15000,0,IF(jablka5[[#This Row],[dot sprz]]&lt;20000,5,10))</f>
        <v>0</v>
      </c>
      <c r="I1210" s="1">
        <f>jablka5[[#This Row],[rabat]]*jablka5[[#This Row],[sprzedaż]]/100</f>
        <v>0</v>
      </c>
    </row>
    <row r="1211" spans="1:9" x14ac:dyDescent="0.25">
      <c r="A1211" s="2">
        <v>44755</v>
      </c>
      <c r="B1211" s="1" t="s">
        <v>14</v>
      </c>
      <c r="C1211" s="1" t="s">
        <v>67</v>
      </c>
      <c r="D1211" s="1" t="s">
        <v>47</v>
      </c>
      <c r="E1211">
        <v>396</v>
      </c>
      <c r="F1211" s="1">
        <f>VLOOKUP(jablka5[[#This Row],[Nazwa]],cennik[],2,0) * jablka5[[#This Row],[sprzedaż]]</f>
        <v>1386</v>
      </c>
      <c r="G1211" s="1">
        <f>IF(jablka5[[#This Row],[NIP]]=D1210,jablka5[[#This Row],[sprzedaż]]+G1210,jablka5[[#This Row],[sprzedaż]])</f>
        <v>8919</v>
      </c>
      <c r="H1211" s="1">
        <f>IF(jablka5[[#This Row],[dot sprz]]&lt;15000,0,IF(jablka5[[#This Row],[dot sprz]]&lt;20000,5,10))</f>
        <v>0</v>
      </c>
      <c r="I1211" s="1">
        <f>jablka5[[#This Row],[rabat]]*jablka5[[#This Row],[sprzedaż]]/100</f>
        <v>0</v>
      </c>
    </row>
    <row r="1212" spans="1:9" x14ac:dyDescent="0.25">
      <c r="A1212" s="2">
        <v>44758</v>
      </c>
      <c r="B1212" s="1" t="s">
        <v>13</v>
      </c>
      <c r="C1212" s="1" t="s">
        <v>68</v>
      </c>
      <c r="D1212" s="1" t="s">
        <v>47</v>
      </c>
      <c r="E1212">
        <v>296</v>
      </c>
      <c r="F1212" s="1">
        <f>VLOOKUP(jablka5[[#This Row],[Nazwa]],cennik[],2,0) * jablka5[[#This Row],[sprzedaż]]</f>
        <v>947.2</v>
      </c>
      <c r="G1212" s="1">
        <f>IF(jablka5[[#This Row],[NIP]]=D1211,jablka5[[#This Row],[sprzedaż]]+G1211,jablka5[[#This Row],[sprzedaż]])</f>
        <v>9215</v>
      </c>
      <c r="H1212" s="1">
        <f>IF(jablka5[[#This Row],[dot sprz]]&lt;15000,0,IF(jablka5[[#This Row],[dot sprz]]&lt;20000,5,10))</f>
        <v>0</v>
      </c>
      <c r="I1212" s="1">
        <f>jablka5[[#This Row],[rabat]]*jablka5[[#This Row],[sprzedaż]]/100</f>
        <v>0</v>
      </c>
    </row>
    <row r="1213" spans="1:9" x14ac:dyDescent="0.25">
      <c r="A1213" s="2">
        <v>44769</v>
      </c>
      <c r="B1213" s="1" t="s">
        <v>12</v>
      </c>
      <c r="C1213" s="1" t="s">
        <v>68</v>
      </c>
      <c r="D1213" s="1" t="s">
        <v>47</v>
      </c>
      <c r="E1213">
        <v>435</v>
      </c>
      <c r="F1213" s="1">
        <f>VLOOKUP(jablka5[[#This Row],[Nazwa]],cennik[],2,0) * jablka5[[#This Row],[sprzedaż]]</f>
        <v>1174.5</v>
      </c>
      <c r="G1213" s="1">
        <f>IF(jablka5[[#This Row],[NIP]]=D1212,jablka5[[#This Row],[sprzedaż]]+G1212,jablka5[[#This Row],[sprzedaż]])</f>
        <v>9650</v>
      </c>
      <c r="H1213" s="1">
        <f>IF(jablka5[[#This Row],[dot sprz]]&lt;15000,0,IF(jablka5[[#This Row],[dot sprz]]&lt;20000,5,10))</f>
        <v>0</v>
      </c>
      <c r="I1213" s="1">
        <f>jablka5[[#This Row],[rabat]]*jablka5[[#This Row],[sprzedaż]]/100</f>
        <v>0</v>
      </c>
    </row>
    <row r="1214" spans="1:9" x14ac:dyDescent="0.25">
      <c r="A1214" s="2">
        <v>44772</v>
      </c>
      <c r="B1214" s="1" t="s">
        <v>12</v>
      </c>
      <c r="C1214" s="1" t="s">
        <v>68</v>
      </c>
      <c r="D1214" s="1" t="s">
        <v>47</v>
      </c>
      <c r="E1214">
        <v>441</v>
      </c>
      <c r="F1214" s="1">
        <f>VLOOKUP(jablka5[[#This Row],[Nazwa]],cennik[],2,0) * jablka5[[#This Row],[sprzedaż]]</f>
        <v>1190.7</v>
      </c>
      <c r="G1214" s="1">
        <f>IF(jablka5[[#This Row],[NIP]]=D1213,jablka5[[#This Row],[sprzedaż]]+G1213,jablka5[[#This Row],[sprzedaż]])</f>
        <v>10091</v>
      </c>
      <c r="H1214" s="1">
        <f>IF(jablka5[[#This Row],[dot sprz]]&lt;15000,0,IF(jablka5[[#This Row],[dot sprz]]&lt;20000,5,10))</f>
        <v>0</v>
      </c>
      <c r="I1214" s="1">
        <f>jablka5[[#This Row],[rabat]]*jablka5[[#This Row],[sprzedaż]]/100</f>
        <v>0</v>
      </c>
    </row>
    <row r="1215" spans="1:9" x14ac:dyDescent="0.25">
      <c r="A1215" s="2">
        <v>44772</v>
      </c>
      <c r="B1215" s="1" t="s">
        <v>13</v>
      </c>
      <c r="C1215" s="1" t="s">
        <v>68</v>
      </c>
      <c r="D1215" s="1" t="s">
        <v>47</v>
      </c>
      <c r="E1215">
        <v>22</v>
      </c>
      <c r="F1215" s="1">
        <f>VLOOKUP(jablka5[[#This Row],[Nazwa]],cennik[],2,0) * jablka5[[#This Row],[sprzedaż]]</f>
        <v>70.400000000000006</v>
      </c>
      <c r="G1215" s="1">
        <f>IF(jablka5[[#This Row],[NIP]]=D1214,jablka5[[#This Row],[sprzedaż]]+G1214,jablka5[[#This Row],[sprzedaż]])</f>
        <v>10113</v>
      </c>
      <c r="H1215" s="1">
        <f>IF(jablka5[[#This Row],[dot sprz]]&lt;15000,0,IF(jablka5[[#This Row],[dot sprz]]&lt;20000,5,10))</f>
        <v>0</v>
      </c>
      <c r="I1215" s="1">
        <f>jablka5[[#This Row],[rabat]]*jablka5[[#This Row],[sprzedaż]]/100</f>
        <v>0</v>
      </c>
    </row>
    <row r="1216" spans="1:9" x14ac:dyDescent="0.25">
      <c r="A1216" s="2">
        <v>44779</v>
      </c>
      <c r="B1216" s="1" t="s">
        <v>14</v>
      </c>
      <c r="C1216" s="1" t="s">
        <v>67</v>
      </c>
      <c r="D1216" s="1" t="s">
        <v>47</v>
      </c>
      <c r="E1216">
        <v>259</v>
      </c>
      <c r="F1216" s="1">
        <f>VLOOKUP(jablka5[[#This Row],[Nazwa]],cennik[],2,0) * jablka5[[#This Row],[sprzedaż]]</f>
        <v>906.5</v>
      </c>
      <c r="G1216" s="1">
        <f>IF(jablka5[[#This Row],[NIP]]=D1215,jablka5[[#This Row],[sprzedaż]]+G1215,jablka5[[#This Row],[sprzedaż]])</f>
        <v>10372</v>
      </c>
      <c r="H1216" s="1">
        <f>IF(jablka5[[#This Row],[dot sprz]]&lt;15000,0,IF(jablka5[[#This Row],[dot sprz]]&lt;20000,5,10))</f>
        <v>0</v>
      </c>
      <c r="I1216" s="1">
        <f>jablka5[[#This Row],[rabat]]*jablka5[[#This Row],[sprzedaż]]/100</f>
        <v>0</v>
      </c>
    </row>
    <row r="1217" spans="1:9" x14ac:dyDescent="0.25">
      <c r="A1217" s="2">
        <v>44783</v>
      </c>
      <c r="B1217" s="1" t="s">
        <v>14</v>
      </c>
      <c r="C1217" s="1" t="s">
        <v>67</v>
      </c>
      <c r="D1217" s="1" t="s">
        <v>47</v>
      </c>
      <c r="E1217">
        <v>291</v>
      </c>
      <c r="F1217" s="1">
        <f>VLOOKUP(jablka5[[#This Row],[Nazwa]],cennik[],2,0) * jablka5[[#This Row],[sprzedaż]]</f>
        <v>1018.5</v>
      </c>
      <c r="G1217" s="1">
        <f>IF(jablka5[[#This Row],[NIP]]=D1216,jablka5[[#This Row],[sprzedaż]]+G1216,jablka5[[#This Row],[sprzedaż]])</f>
        <v>10663</v>
      </c>
      <c r="H1217" s="1">
        <f>IF(jablka5[[#This Row],[dot sprz]]&lt;15000,0,IF(jablka5[[#This Row],[dot sprz]]&lt;20000,5,10))</f>
        <v>0</v>
      </c>
      <c r="I1217" s="1">
        <f>jablka5[[#This Row],[rabat]]*jablka5[[#This Row],[sprzedaż]]/100</f>
        <v>0</v>
      </c>
    </row>
    <row r="1218" spans="1:9" x14ac:dyDescent="0.25">
      <c r="A1218" s="2">
        <v>44795</v>
      </c>
      <c r="B1218" s="1" t="s">
        <v>13</v>
      </c>
      <c r="C1218" s="1" t="s">
        <v>68</v>
      </c>
      <c r="D1218" s="1" t="s">
        <v>47</v>
      </c>
      <c r="E1218">
        <v>330</v>
      </c>
      <c r="F1218" s="1">
        <f>VLOOKUP(jablka5[[#This Row],[Nazwa]],cennik[],2,0) * jablka5[[#This Row],[sprzedaż]]</f>
        <v>1056</v>
      </c>
      <c r="G1218" s="1">
        <f>IF(jablka5[[#This Row],[NIP]]=D1217,jablka5[[#This Row],[sprzedaż]]+G1217,jablka5[[#This Row],[sprzedaż]])</f>
        <v>10993</v>
      </c>
      <c r="H1218" s="1">
        <f>IF(jablka5[[#This Row],[dot sprz]]&lt;15000,0,IF(jablka5[[#This Row],[dot sprz]]&lt;20000,5,10))</f>
        <v>0</v>
      </c>
      <c r="I1218" s="1">
        <f>jablka5[[#This Row],[rabat]]*jablka5[[#This Row],[sprzedaż]]/100</f>
        <v>0</v>
      </c>
    </row>
    <row r="1219" spans="1:9" x14ac:dyDescent="0.25">
      <c r="A1219" s="2">
        <v>44797</v>
      </c>
      <c r="B1219" s="1" t="s">
        <v>12</v>
      </c>
      <c r="C1219" s="1" t="s">
        <v>68</v>
      </c>
      <c r="D1219" s="1" t="s">
        <v>47</v>
      </c>
      <c r="E1219">
        <v>445</v>
      </c>
      <c r="F1219" s="1">
        <f>VLOOKUP(jablka5[[#This Row],[Nazwa]],cennik[],2,0) * jablka5[[#This Row],[sprzedaż]]</f>
        <v>1201.5</v>
      </c>
      <c r="G1219" s="1">
        <f>IF(jablka5[[#This Row],[NIP]]=D1218,jablka5[[#This Row],[sprzedaż]]+G1218,jablka5[[#This Row],[sprzedaż]])</f>
        <v>11438</v>
      </c>
      <c r="H1219" s="1">
        <f>IF(jablka5[[#This Row],[dot sprz]]&lt;15000,0,IF(jablka5[[#This Row],[dot sprz]]&lt;20000,5,10))</f>
        <v>0</v>
      </c>
      <c r="I1219" s="1">
        <f>jablka5[[#This Row],[rabat]]*jablka5[[#This Row],[sprzedaż]]/100</f>
        <v>0</v>
      </c>
    </row>
    <row r="1220" spans="1:9" x14ac:dyDescent="0.25">
      <c r="A1220" s="2">
        <v>44804</v>
      </c>
      <c r="B1220" s="1" t="s">
        <v>12</v>
      </c>
      <c r="C1220" s="1" t="s">
        <v>68</v>
      </c>
      <c r="D1220" s="1" t="s">
        <v>47</v>
      </c>
      <c r="E1220">
        <v>210</v>
      </c>
      <c r="F1220" s="1">
        <f>VLOOKUP(jablka5[[#This Row],[Nazwa]],cennik[],2,0) * jablka5[[#This Row],[sprzedaż]]</f>
        <v>567</v>
      </c>
      <c r="G1220" s="1">
        <f>IF(jablka5[[#This Row],[NIP]]=D1219,jablka5[[#This Row],[sprzedaż]]+G1219,jablka5[[#This Row],[sprzedaż]])</f>
        <v>11648</v>
      </c>
      <c r="H1220" s="1">
        <f>IF(jablka5[[#This Row],[dot sprz]]&lt;15000,0,IF(jablka5[[#This Row],[dot sprz]]&lt;20000,5,10))</f>
        <v>0</v>
      </c>
      <c r="I1220" s="1">
        <f>jablka5[[#This Row],[rabat]]*jablka5[[#This Row],[sprzedaż]]/100</f>
        <v>0</v>
      </c>
    </row>
    <row r="1221" spans="1:9" x14ac:dyDescent="0.25">
      <c r="A1221" s="2">
        <v>44825</v>
      </c>
      <c r="B1221" s="1" t="s">
        <v>1</v>
      </c>
      <c r="C1221" s="1" t="s">
        <v>67</v>
      </c>
      <c r="D1221" s="1" t="s">
        <v>47</v>
      </c>
      <c r="E1221">
        <v>215</v>
      </c>
      <c r="F1221" s="1">
        <f>VLOOKUP(jablka5[[#This Row],[Nazwa]],cennik[],2,0) * jablka5[[#This Row],[sprzedaż]]</f>
        <v>688</v>
      </c>
      <c r="G1221" s="1">
        <f>IF(jablka5[[#This Row],[NIP]]=D1220,jablka5[[#This Row],[sprzedaż]]+G1220,jablka5[[#This Row],[sprzedaż]])</f>
        <v>11863</v>
      </c>
      <c r="H1221" s="1">
        <f>IF(jablka5[[#This Row],[dot sprz]]&lt;15000,0,IF(jablka5[[#This Row],[dot sprz]]&lt;20000,5,10))</f>
        <v>0</v>
      </c>
      <c r="I1221" s="1">
        <f>jablka5[[#This Row],[rabat]]*jablka5[[#This Row],[sprzedaż]]/100</f>
        <v>0</v>
      </c>
    </row>
    <row r="1222" spans="1:9" x14ac:dyDescent="0.25">
      <c r="A1222" s="2">
        <v>44826</v>
      </c>
      <c r="B1222" s="1" t="s">
        <v>11</v>
      </c>
      <c r="C1222" s="1" t="s">
        <v>67</v>
      </c>
      <c r="D1222" s="1" t="s">
        <v>47</v>
      </c>
      <c r="E1222">
        <v>449</v>
      </c>
      <c r="F1222" s="1">
        <f>VLOOKUP(jablka5[[#This Row],[Nazwa]],cennik[],2,0) * jablka5[[#This Row],[sprzedaż]]</f>
        <v>1122.5</v>
      </c>
      <c r="G1222" s="1">
        <f>IF(jablka5[[#This Row],[NIP]]=D1221,jablka5[[#This Row],[sprzedaż]]+G1221,jablka5[[#This Row],[sprzedaż]])</f>
        <v>12312</v>
      </c>
      <c r="H1222" s="1">
        <f>IF(jablka5[[#This Row],[dot sprz]]&lt;15000,0,IF(jablka5[[#This Row],[dot sprz]]&lt;20000,5,10))</f>
        <v>0</v>
      </c>
      <c r="I1222" s="1">
        <f>jablka5[[#This Row],[rabat]]*jablka5[[#This Row],[sprzedaż]]/100</f>
        <v>0</v>
      </c>
    </row>
    <row r="1223" spans="1:9" x14ac:dyDescent="0.25">
      <c r="A1223" s="2">
        <v>44837</v>
      </c>
      <c r="B1223" s="1" t="s">
        <v>14</v>
      </c>
      <c r="C1223" s="1" t="s">
        <v>67</v>
      </c>
      <c r="D1223" s="1" t="s">
        <v>47</v>
      </c>
      <c r="E1223">
        <v>423</v>
      </c>
      <c r="F1223" s="1">
        <f>VLOOKUP(jablka5[[#This Row],[Nazwa]],cennik[],2,0) * jablka5[[#This Row],[sprzedaż]]</f>
        <v>1480.5</v>
      </c>
      <c r="G1223" s="1">
        <f>IF(jablka5[[#This Row],[NIP]]=D1222,jablka5[[#This Row],[sprzedaż]]+G1222,jablka5[[#This Row],[sprzedaż]])</f>
        <v>12735</v>
      </c>
      <c r="H1223" s="1">
        <f>IF(jablka5[[#This Row],[dot sprz]]&lt;15000,0,IF(jablka5[[#This Row],[dot sprz]]&lt;20000,5,10))</f>
        <v>0</v>
      </c>
      <c r="I1223" s="1">
        <f>jablka5[[#This Row],[rabat]]*jablka5[[#This Row],[sprzedaż]]/100</f>
        <v>0</v>
      </c>
    </row>
    <row r="1224" spans="1:9" x14ac:dyDescent="0.25">
      <c r="A1224" s="2">
        <v>44851</v>
      </c>
      <c r="B1224" s="1" t="s">
        <v>11</v>
      </c>
      <c r="C1224" s="1" t="s">
        <v>67</v>
      </c>
      <c r="D1224" s="1" t="s">
        <v>47</v>
      </c>
      <c r="E1224">
        <v>373</v>
      </c>
      <c r="F1224" s="1">
        <f>VLOOKUP(jablka5[[#This Row],[Nazwa]],cennik[],2,0) * jablka5[[#This Row],[sprzedaż]]</f>
        <v>932.5</v>
      </c>
      <c r="G1224" s="1">
        <f>IF(jablka5[[#This Row],[NIP]]=D1223,jablka5[[#This Row],[sprzedaż]]+G1223,jablka5[[#This Row],[sprzedaż]])</f>
        <v>13108</v>
      </c>
      <c r="H1224" s="1">
        <f>IF(jablka5[[#This Row],[dot sprz]]&lt;15000,0,IF(jablka5[[#This Row],[dot sprz]]&lt;20000,5,10))</f>
        <v>0</v>
      </c>
      <c r="I1224" s="1">
        <f>jablka5[[#This Row],[rabat]]*jablka5[[#This Row],[sprzedaż]]/100</f>
        <v>0</v>
      </c>
    </row>
    <row r="1225" spans="1:9" x14ac:dyDescent="0.25">
      <c r="A1225" s="2">
        <v>44853</v>
      </c>
      <c r="B1225" s="1" t="s">
        <v>1</v>
      </c>
      <c r="C1225" s="1" t="s">
        <v>67</v>
      </c>
      <c r="D1225" s="1" t="s">
        <v>47</v>
      </c>
      <c r="E1225">
        <v>26</v>
      </c>
      <c r="F1225" s="1">
        <f>VLOOKUP(jablka5[[#This Row],[Nazwa]],cennik[],2,0) * jablka5[[#This Row],[sprzedaż]]</f>
        <v>83.2</v>
      </c>
      <c r="G1225" s="1">
        <f>IF(jablka5[[#This Row],[NIP]]=D1224,jablka5[[#This Row],[sprzedaż]]+G1224,jablka5[[#This Row],[sprzedaż]])</f>
        <v>13134</v>
      </c>
      <c r="H1225" s="1">
        <f>IF(jablka5[[#This Row],[dot sprz]]&lt;15000,0,IF(jablka5[[#This Row],[dot sprz]]&lt;20000,5,10))</f>
        <v>0</v>
      </c>
      <c r="I1225" s="1">
        <f>jablka5[[#This Row],[rabat]]*jablka5[[#This Row],[sprzedaż]]/100</f>
        <v>0</v>
      </c>
    </row>
    <row r="1226" spans="1:9" x14ac:dyDescent="0.25">
      <c r="A1226" s="2">
        <v>44853</v>
      </c>
      <c r="B1226" s="1" t="s">
        <v>1</v>
      </c>
      <c r="C1226" s="1" t="s">
        <v>67</v>
      </c>
      <c r="D1226" s="1" t="s">
        <v>47</v>
      </c>
      <c r="E1226">
        <v>347</v>
      </c>
      <c r="F1226" s="1">
        <f>VLOOKUP(jablka5[[#This Row],[Nazwa]],cennik[],2,0) * jablka5[[#This Row],[sprzedaż]]</f>
        <v>1110.4000000000001</v>
      </c>
      <c r="G1226" s="1">
        <f>IF(jablka5[[#This Row],[NIP]]=D1225,jablka5[[#This Row],[sprzedaż]]+G1225,jablka5[[#This Row],[sprzedaż]])</f>
        <v>13481</v>
      </c>
      <c r="H1226" s="1">
        <f>IF(jablka5[[#This Row],[dot sprz]]&lt;15000,0,IF(jablka5[[#This Row],[dot sprz]]&lt;20000,5,10))</f>
        <v>0</v>
      </c>
      <c r="I1226" s="1">
        <f>jablka5[[#This Row],[rabat]]*jablka5[[#This Row],[sprzedaż]]/100</f>
        <v>0</v>
      </c>
    </row>
    <row r="1227" spans="1:9" x14ac:dyDescent="0.25">
      <c r="A1227" s="2">
        <v>44860</v>
      </c>
      <c r="B1227" s="1" t="s">
        <v>9</v>
      </c>
      <c r="C1227" s="1" t="s">
        <v>67</v>
      </c>
      <c r="D1227" s="1" t="s">
        <v>47</v>
      </c>
      <c r="E1227">
        <v>192</v>
      </c>
      <c r="F1227" s="1">
        <f>VLOOKUP(jablka5[[#This Row],[Nazwa]],cennik[],2,0) * jablka5[[#This Row],[sprzedaż]]</f>
        <v>480</v>
      </c>
      <c r="G1227" s="1">
        <f>IF(jablka5[[#This Row],[NIP]]=D1226,jablka5[[#This Row],[sprzedaż]]+G1226,jablka5[[#This Row],[sprzedaż]])</f>
        <v>13673</v>
      </c>
      <c r="H1227" s="1">
        <f>IF(jablka5[[#This Row],[dot sprz]]&lt;15000,0,IF(jablka5[[#This Row],[dot sprz]]&lt;20000,5,10))</f>
        <v>0</v>
      </c>
      <c r="I1227" s="1">
        <f>jablka5[[#This Row],[rabat]]*jablka5[[#This Row],[sprzedaż]]/100</f>
        <v>0</v>
      </c>
    </row>
    <row r="1228" spans="1:9" x14ac:dyDescent="0.25">
      <c r="A1228" s="2">
        <v>44869</v>
      </c>
      <c r="B1228" s="1" t="s">
        <v>11</v>
      </c>
      <c r="C1228" s="1" t="s">
        <v>67</v>
      </c>
      <c r="D1228" s="1" t="s">
        <v>47</v>
      </c>
      <c r="E1228">
        <v>426</v>
      </c>
      <c r="F1228" s="1">
        <f>VLOOKUP(jablka5[[#This Row],[Nazwa]],cennik[],2,0) * jablka5[[#This Row],[sprzedaż]]</f>
        <v>1065</v>
      </c>
      <c r="G1228" s="1">
        <f>IF(jablka5[[#This Row],[NIP]]=D1227,jablka5[[#This Row],[sprzedaż]]+G1227,jablka5[[#This Row],[sprzedaż]])</f>
        <v>14099</v>
      </c>
      <c r="H1228" s="1">
        <f>IF(jablka5[[#This Row],[dot sprz]]&lt;15000,0,IF(jablka5[[#This Row],[dot sprz]]&lt;20000,5,10))</f>
        <v>0</v>
      </c>
      <c r="I1228" s="1">
        <f>jablka5[[#This Row],[rabat]]*jablka5[[#This Row],[sprzedaż]]/100</f>
        <v>0</v>
      </c>
    </row>
    <row r="1229" spans="1:9" x14ac:dyDescent="0.25">
      <c r="A1229" s="2">
        <v>44884</v>
      </c>
      <c r="B1229" s="1" t="s">
        <v>11</v>
      </c>
      <c r="C1229" s="1" t="s">
        <v>67</v>
      </c>
      <c r="D1229" s="1" t="s">
        <v>47</v>
      </c>
      <c r="E1229">
        <v>340</v>
      </c>
      <c r="F1229" s="1">
        <f>VLOOKUP(jablka5[[#This Row],[Nazwa]],cennik[],2,0) * jablka5[[#This Row],[sprzedaż]]</f>
        <v>850</v>
      </c>
      <c r="G1229" s="1">
        <f>IF(jablka5[[#This Row],[NIP]]=D1228,jablka5[[#This Row],[sprzedaż]]+G1228,jablka5[[#This Row],[sprzedaż]])</f>
        <v>14439</v>
      </c>
      <c r="H1229" s="1">
        <f>IF(jablka5[[#This Row],[dot sprz]]&lt;15000,0,IF(jablka5[[#This Row],[dot sprz]]&lt;20000,5,10))</f>
        <v>0</v>
      </c>
      <c r="I1229" s="1">
        <f>jablka5[[#This Row],[rabat]]*jablka5[[#This Row],[sprzedaż]]/100</f>
        <v>0</v>
      </c>
    </row>
    <row r="1230" spans="1:9" x14ac:dyDescent="0.25">
      <c r="A1230" s="2">
        <v>44893</v>
      </c>
      <c r="B1230" s="1" t="s">
        <v>3</v>
      </c>
      <c r="C1230" s="1" t="s">
        <v>67</v>
      </c>
      <c r="D1230" s="1" t="s">
        <v>47</v>
      </c>
      <c r="E1230">
        <v>362</v>
      </c>
      <c r="F1230" s="1">
        <f>VLOOKUP(jablka5[[#This Row],[Nazwa]],cennik[],2,0) * jablka5[[#This Row],[sprzedaż]]</f>
        <v>1158.4000000000001</v>
      </c>
      <c r="G1230" s="1">
        <f>IF(jablka5[[#This Row],[NIP]]=D1229,jablka5[[#This Row],[sprzedaż]]+G1229,jablka5[[#This Row],[sprzedaż]])</f>
        <v>14801</v>
      </c>
      <c r="H1230" s="1">
        <f>IF(jablka5[[#This Row],[dot sprz]]&lt;15000,0,IF(jablka5[[#This Row],[dot sprz]]&lt;20000,5,10))</f>
        <v>0</v>
      </c>
      <c r="I1230" s="1">
        <f>jablka5[[#This Row],[rabat]]*jablka5[[#This Row],[sprzedaż]]/100</f>
        <v>0</v>
      </c>
    </row>
    <row r="1231" spans="1:9" x14ac:dyDescent="0.25">
      <c r="A1231" s="2">
        <v>44897</v>
      </c>
      <c r="B1231" s="1" t="s">
        <v>8</v>
      </c>
      <c r="C1231" s="1" t="s">
        <v>16</v>
      </c>
      <c r="D1231" s="1" t="s">
        <v>47</v>
      </c>
      <c r="E1231">
        <v>418</v>
      </c>
      <c r="F1231" s="1">
        <f>VLOOKUP(jablka5[[#This Row],[Nazwa]],cennik[],2,0) * jablka5[[#This Row],[sprzedaż]]</f>
        <v>1463</v>
      </c>
      <c r="G1231" s="1">
        <f>IF(jablka5[[#This Row],[NIP]]=D1230,jablka5[[#This Row],[sprzedaż]]+G1230,jablka5[[#This Row],[sprzedaż]])</f>
        <v>15219</v>
      </c>
      <c r="H1231" s="1">
        <f>IF(jablka5[[#This Row],[dot sprz]]&lt;15000,0,IF(jablka5[[#This Row],[dot sprz]]&lt;20000,5,10))</f>
        <v>5</v>
      </c>
      <c r="I1231" s="1">
        <f>jablka5[[#This Row],[rabat]]*jablka5[[#This Row],[sprzedaż]]/100</f>
        <v>20.9</v>
      </c>
    </row>
    <row r="1232" spans="1:9" x14ac:dyDescent="0.25">
      <c r="A1232" s="2">
        <v>44904</v>
      </c>
      <c r="B1232" s="1" t="s">
        <v>0</v>
      </c>
      <c r="C1232" s="1" t="s">
        <v>16</v>
      </c>
      <c r="D1232" s="1" t="s">
        <v>47</v>
      </c>
      <c r="E1232">
        <v>462</v>
      </c>
      <c r="F1232" s="1">
        <f>VLOOKUP(jablka5[[#This Row],[Nazwa]],cennik[],2,0) * jablka5[[#This Row],[sprzedaż]]</f>
        <v>1339.8</v>
      </c>
      <c r="G1232" s="1">
        <f>IF(jablka5[[#This Row],[NIP]]=D1231,jablka5[[#This Row],[sprzedaż]]+G1231,jablka5[[#This Row],[sprzedaż]])</f>
        <v>15681</v>
      </c>
      <c r="H1232" s="1">
        <f>IF(jablka5[[#This Row],[dot sprz]]&lt;15000,0,IF(jablka5[[#This Row],[dot sprz]]&lt;20000,5,10))</f>
        <v>5</v>
      </c>
      <c r="I1232" s="1">
        <f>jablka5[[#This Row],[rabat]]*jablka5[[#This Row],[sprzedaż]]/100</f>
        <v>23.1</v>
      </c>
    </row>
    <row r="1233" spans="1:9" x14ac:dyDescent="0.25">
      <c r="A1233" s="2">
        <v>44908</v>
      </c>
      <c r="B1233" s="1" t="s">
        <v>8</v>
      </c>
      <c r="C1233" s="1" t="s">
        <v>16</v>
      </c>
      <c r="D1233" s="1" t="s">
        <v>47</v>
      </c>
      <c r="E1233">
        <v>389</v>
      </c>
      <c r="F1233" s="1">
        <f>VLOOKUP(jablka5[[#This Row],[Nazwa]],cennik[],2,0) * jablka5[[#This Row],[sprzedaż]]</f>
        <v>1361.5</v>
      </c>
      <c r="G1233" s="1">
        <f>IF(jablka5[[#This Row],[NIP]]=D1232,jablka5[[#This Row],[sprzedaż]]+G1232,jablka5[[#This Row],[sprzedaż]])</f>
        <v>16070</v>
      </c>
      <c r="H1233" s="1">
        <f>IF(jablka5[[#This Row],[dot sprz]]&lt;15000,0,IF(jablka5[[#This Row],[dot sprz]]&lt;20000,5,10))</f>
        <v>5</v>
      </c>
      <c r="I1233" s="1">
        <f>jablka5[[#This Row],[rabat]]*jablka5[[#This Row],[sprzedaż]]/100</f>
        <v>19.45</v>
      </c>
    </row>
    <row r="1234" spans="1:9" x14ac:dyDescent="0.25">
      <c r="A1234" s="2">
        <v>44908</v>
      </c>
      <c r="B1234" s="1" t="s">
        <v>4</v>
      </c>
      <c r="C1234" s="1" t="s">
        <v>16</v>
      </c>
      <c r="D1234" s="1" t="s">
        <v>47</v>
      </c>
      <c r="E1234">
        <v>477</v>
      </c>
      <c r="F1234" s="1">
        <f>VLOOKUP(jablka5[[#This Row],[Nazwa]],cennik[],2,0) * jablka5[[#This Row],[sprzedaż]]</f>
        <v>1621.8</v>
      </c>
      <c r="G1234" s="1">
        <f>IF(jablka5[[#This Row],[NIP]]=D1233,jablka5[[#This Row],[sprzedaż]]+G1233,jablka5[[#This Row],[sprzedaż]])</f>
        <v>16547</v>
      </c>
      <c r="H1234" s="1">
        <f>IF(jablka5[[#This Row],[dot sprz]]&lt;15000,0,IF(jablka5[[#This Row],[dot sprz]]&lt;20000,5,10))</f>
        <v>5</v>
      </c>
      <c r="I1234" s="1">
        <f>jablka5[[#This Row],[rabat]]*jablka5[[#This Row],[sprzedaż]]/100</f>
        <v>23.85</v>
      </c>
    </row>
    <row r="1235" spans="1:9" x14ac:dyDescent="0.25">
      <c r="A1235" s="2">
        <v>44911</v>
      </c>
      <c r="B1235" s="1" t="s">
        <v>2</v>
      </c>
      <c r="C1235" s="1" t="s">
        <v>16</v>
      </c>
      <c r="D1235" s="1" t="s">
        <v>47</v>
      </c>
      <c r="E1235">
        <v>25</v>
      </c>
      <c r="F1235" s="1">
        <f>VLOOKUP(jablka5[[#This Row],[Nazwa]],cennik[],2,0) * jablka5[[#This Row],[sprzedaż]]</f>
        <v>80</v>
      </c>
      <c r="G1235" s="1">
        <f>IF(jablka5[[#This Row],[NIP]]=D1234,jablka5[[#This Row],[sprzedaż]]+G1234,jablka5[[#This Row],[sprzedaż]])</f>
        <v>16572</v>
      </c>
      <c r="H1235" s="1">
        <f>IF(jablka5[[#This Row],[dot sprz]]&lt;15000,0,IF(jablka5[[#This Row],[dot sprz]]&lt;20000,5,10))</f>
        <v>5</v>
      </c>
      <c r="I1235" s="1">
        <f>jablka5[[#This Row],[rabat]]*jablka5[[#This Row],[sprzedaż]]/100</f>
        <v>1.25</v>
      </c>
    </row>
    <row r="1236" spans="1:9" x14ac:dyDescent="0.25">
      <c r="A1236" s="2">
        <v>44916</v>
      </c>
      <c r="B1236" s="1" t="s">
        <v>8</v>
      </c>
      <c r="C1236" s="1" t="s">
        <v>16</v>
      </c>
      <c r="D1236" s="1" t="s">
        <v>47</v>
      </c>
      <c r="E1236">
        <v>320</v>
      </c>
      <c r="F1236" s="1">
        <f>VLOOKUP(jablka5[[#This Row],[Nazwa]],cennik[],2,0) * jablka5[[#This Row],[sprzedaż]]</f>
        <v>1120</v>
      </c>
      <c r="G1236" s="1">
        <f>IF(jablka5[[#This Row],[NIP]]=D1235,jablka5[[#This Row],[sprzedaż]]+G1235,jablka5[[#This Row],[sprzedaż]])</f>
        <v>16892</v>
      </c>
      <c r="H1236" s="1">
        <f>IF(jablka5[[#This Row],[dot sprz]]&lt;15000,0,IF(jablka5[[#This Row],[dot sprz]]&lt;20000,5,10))</f>
        <v>5</v>
      </c>
      <c r="I1236" s="1">
        <f>jablka5[[#This Row],[rabat]]*jablka5[[#This Row],[sprzedaż]]/100</f>
        <v>16</v>
      </c>
    </row>
    <row r="1237" spans="1:9" x14ac:dyDescent="0.25">
      <c r="A1237" s="2">
        <v>44924</v>
      </c>
      <c r="B1237" s="1" t="s">
        <v>8</v>
      </c>
      <c r="C1237" s="1" t="s">
        <v>16</v>
      </c>
      <c r="D1237" s="1" t="s">
        <v>47</v>
      </c>
      <c r="E1237">
        <v>509</v>
      </c>
      <c r="F1237" s="1">
        <f>VLOOKUP(jablka5[[#This Row],[Nazwa]],cennik[],2,0) * jablka5[[#This Row],[sprzedaż]]</f>
        <v>1781.5</v>
      </c>
      <c r="G1237" s="1">
        <f>IF(jablka5[[#This Row],[NIP]]=D1236,jablka5[[#This Row],[sprzedaż]]+G1236,jablka5[[#This Row],[sprzedaż]])</f>
        <v>17401</v>
      </c>
      <c r="H1237" s="1">
        <f>IF(jablka5[[#This Row],[dot sprz]]&lt;15000,0,IF(jablka5[[#This Row],[dot sprz]]&lt;20000,5,10))</f>
        <v>5</v>
      </c>
      <c r="I1237" s="1">
        <f>jablka5[[#This Row],[rabat]]*jablka5[[#This Row],[sprzedaż]]/100</f>
        <v>25.45</v>
      </c>
    </row>
    <row r="1238" spans="1:9" x14ac:dyDescent="0.25">
      <c r="A1238" s="2">
        <v>44575</v>
      </c>
      <c r="B1238" s="1" t="s">
        <v>0</v>
      </c>
      <c r="C1238" s="1" t="s">
        <v>16</v>
      </c>
      <c r="D1238" s="1" t="s">
        <v>60</v>
      </c>
      <c r="E1238">
        <v>368</v>
      </c>
      <c r="F1238" s="1">
        <f>VLOOKUP(jablka5[[#This Row],[Nazwa]],cennik[],2,0) * jablka5[[#This Row],[sprzedaż]]</f>
        <v>1067.2</v>
      </c>
      <c r="G1238" s="1">
        <f>IF(jablka5[[#This Row],[NIP]]=D1237,jablka5[[#This Row],[sprzedaż]]+G1237,jablka5[[#This Row],[sprzedaż]])</f>
        <v>368</v>
      </c>
      <c r="H1238" s="1">
        <f>IF(jablka5[[#This Row],[dot sprz]]&lt;15000,0,IF(jablka5[[#This Row],[dot sprz]]&lt;20000,5,10))</f>
        <v>0</v>
      </c>
      <c r="I1238" s="1">
        <f>jablka5[[#This Row],[rabat]]*jablka5[[#This Row],[sprzedaż]]/100</f>
        <v>0</v>
      </c>
    </row>
    <row r="1239" spans="1:9" x14ac:dyDescent="0.25">
      <c r="A1239" s="2">
        <v>44590</v>
      </c>
      <c r="B1239" s="1" t="s">
        <v>0</v>
      </c>
      <c r="C1239" s="1" t="s">
        <v>16</v>
      </c>
      <c r="D1239" s="1" t="s">
        <v>60</v>
      </c>
      <c r="E1239">
        <v>299</v>
      </c>
      <c r="F1239" s="1">
        <f>VLOOKUP(jablka5[[#This Row],[Nazwa]],cennik[],2,0) * jablka5[[#This Row],[sprzedaż]]</f>
        <v>867.1</v>
      </c>
      <c r="G1239" s="1">
        <f>IF(jablka5[[#This Row],[NIP]]=D1238,jablka5[[#This Row],[sprzedaż]]+G1238,jablka5[[#This Row],[sprzedaż]])</f>
        <v>667</v>
      </c>
      <c r="H1239" s="1">
        <f>IF(jablka5[[#This Row],[dot sprz]]&lt;15000,0,IF(jablka5[[#This Row],[dot sprz]]&lt;20000,5,10))</f>
        <v>0</v>
      </c>
      <c r="I1239" s="1">
        <f>jablka5[[#This Row],[rabat]]*jablka5[[#This Row],[sprzedaż]]/100</f>
        <v>0</v>
      </c>
    </row>
    <row r="1240" spans="1:9" x14ac:dyDescent="0.25">
      <c r="A1240" s="2">
        <v>44592</v>
      </c>
      <c r="B1240" s="1" t="s">
        <v>15</v>
      </c>
      <c r="C1240" s="1" t="s">
        <v>16</v>
      </c>
      <c r="D1240" s="1" t="s">
        <v>60</v>
      </c>
      <c r="E1240">
        <v>197</v>
      </c>
      <c r="F1240" s="1">
        <f>VLOOKUP(jablka5[[#This Row],[Nazwa]],cennik[],2,0) * jablka5[[#This Row],[sprzedaż]]</f>
        <v>472.79999999999995</v>
      </c>
      <c r="G1240" s="1">
        <f>IF(jablka5[[#This Row],[NIP]]=D1239,jablka5[[#This Row],[sprzedaż]]+G1239,jablka5[[#This Row],[sprzedaż]])</f>
        <v>864</v>
      </c>
      <c r="H1240" s="1">
        <f>IF(jablka5[[#This Row],[dot sprz]]&lt;15000,0,IF(jablka5[[#This Row],[dot sprz]]&lt;20000,5,10))</f>
        <v>0</v>
      </c>
      <c r="I1240" s="1">
        <f>jablka5[[#This Row],[rabat]]*jablka5[[#This Row],[sprzedaż]]/100</f>
        <v>0</v>
      </c>
    </row>
    <row r="1241" spans="1:9" x14ac:dyDescent="0.25">
      <c r="A1241" s="2">
        <v>44607</v>
      </c>
      <c r="B1241" s="1" t="s">
        <v>2</v>
      </c>
      <c r="C1241" s="1" t="s">
        <v>16</v>
      </c>
      <c r="D1241" s="1" t="s">
        <v>60</v>
      </c>
      <c r="E1241">
        <v>294</v>
      </c>
      <c r="F1241" s="1">
        <f>VLOOKUP(jablka5[[#This Row],[Nazwa]],cennik[],2,0) * jablka5[[#This Row],[sprzedaż]]</f>
        <v>940.80000000000007</v>
      </c>
      <c r="G1241" s="1">
        <f>IF(jablka5[[#This Row],[NIP]]=D1240,jablka5[[#This Row],[sprzedaż]]+G1240,jablka5[[#This Row],[sprzedaż]])</f>
        <v>1158</v>
      </c>
      <c r="H1241" s="1">
        <f>IF(jablka5[[#This Row],[dot sprz]]&lt;15000,0,IF(jablka5[[#This Row],[dot sprz]]&lt;20000,5,10))</f>
        <v>0</v>
      </c>
      <c r="I1241" s="1">
        <f>jablka5[[#This Row],[rabat]]*jablka5[[#This Row],[sprzedaż]]/100</f>
        <v>0</v>
      </c>
    </row>
    <row r="1242" spans="1:9" x14ac:dyDescent="0.25">
      <c r="A1242" s="2">
        <v>44608</v>
      </c>
      <c r="B1242" s="1" t="s">
        <v>0</v>
      </c>
      <c r="C1242" s="1" t="s">
        <v>16</v>
      </c>
      <c r="D1242" s="1" t="s">
        <v>60</v>
      </c>
      <c r="E1242">
        <v>25</v>
      </c>
      <c r="F1242" s="1">
        <f>VLOOKUP(jablka5[[#This Row],[Nazwa]],cennik[],2,0) * jablka5[[#This Row],[sprzedaż]]</f>
        <v>72.5</v>
      </c>
      <c r="G1242" s="1">
        <f>IF(jablka5[[#This Row],[NIP]]=D1241,jablka5[[#This Row],[sprzedaż]]+G1241,jablka5[[#This Row],[sprzedaż]])</f>
        <v>1183</v>
      </c>
      <c r="H1242" s="1">
        <f>IF(jablka5[[#This Row],[dot sprz]]&lt;15000,0,IF(jablka5[[#This Row],[dot sprz]]&lt;20000,5,10))</f>
        <v>0</v>
      </c>
      <c r="I1242" s="1">
        <f>jablka5[[#This Row],[rabat]]*jablka5[[#This Row],[sprzedaż]]/100</f>
        <v>0</v>
      </c>
    </row>
    <row r="1243" spans="1:9" x14ac:dyDescent="0.25">
      <c r="A1243" s="2">
        <v>44611</v>
      </c>
      <c r="B1243" s="1" t="s">
        <v>2</v>
      </c>
      <c r="C1243" s="1" t="s">
        <v>16</v>
      </c>
      <c r="D1243" s="1" t="s">
        <v>60</v>
      </c>
      <c r="E1243">
        <v>398</v>
      </c>
      <c r="F1243" s="1">
        <f>VLOOKUP(jablka5[[#This Row],[Nazwa]],cennik[],2,0) * jablka5[[#This Row],[sprzedaż]]</f>
        <v>1273.6000000000001</v>
      </c>
      <c r="G1243" s="1">
        <f>IF(jablka5[[#This Row],[NIP]]=D1242,jablka5[[#This Row],[sprzedaż]]+G1242,jablka5[[#This Row],[sprzedaż]])</f>
        <v>1581</v>
      </c>
      <c r="H1243" s="1">
        <f>IF(jablka5[[#This Row],[dot sprz]]&lt;15000,0,IF(jablka5[[#This Row],[dot sprz]]&lt;20000,5,10))</f>
        <v>0</v>
      </c>
      <c r="I1243" s="1">
        <f>jablka5[[#This Row],[rabat]]*jablka5[[#This Row],[sprzedaż]]/100</f>
        <v>0</v>
      </c>
    </row>
    <row r="1244" spans="1:9" x14ac:dyDescent="0.25">
      <c r="A1244" s="2">
        <v>44621</v>
      </c>
      <c r="B1244" s="1" t="s">
        <v>15</v>
      </c>
      <c r="C1244" s="1" t="s">
        <v>16</v>
      </c>
      <c r="D1244" s="1" t="s">
        <v>60</v>
      </c>
      <c r="E1244">
        <v>321</v>
      </c>
      <c r="F1244" s="1">
        <f>VLOOKUP(jablka5[[#This Row],[Nazwa]],cennik[],2,0) * jablka5[[#This Row],[sprzedaż]]</f>
        <v>770.4</v>
      </c>
      <c r="G1244" s="1">
        <f>IF(jablka5[[#This Row],[NIP]]=D1243,jablka5[[#This Row],[sprzedaż]]+G1243,jablka5[[#This Row],[sprzedaż]])</f>
        <v>1902</v>
      </c>
      <c r="H1244" s="1">
        <f>IF(jablka5[[#This Row],[dot sprz]]&lt;15000,0,IF(jablka5[[#This Row],[dot sprz]]&lt;20000,5,10))</f>
        <v>0</v>
      </c>
      <c r="I1244" s="1">
        <f>jablka5[[#This Row],[rabat]]*jablka5[[#This Row],[sprzedaż]]/100</f>
        <v>0</v>
      </c>
    </row>
    <row r="1245" spans="1:9" x14ac:dyDescent="0.25">
      <c r="A1245" s="2">
        <v>44624</v>
      </c>
      <c r="B1245" s="1" t="s">
        <v>15</v>
      </c>
      <c r="C1245" s="1" t="s">
        <v>16</v>
      </c>
      <c r="D1245" s="1" t="s">
        <v>60</v>
      </c>
      <c r="E1245">
        <v>563</v>
      </c>
      <c r="F1245" s="1">
        <f>VLOOKUP(jablka5[[#This Row],[Nazwa]],cennik[],2,0) * jablka5[[#This Row],[sprzedaż]]</f>
        <v>1351.2</v>
      </c>
      <c r="G1245" s="1">
        <f>IF(jablka5[[#This Row],[NIP]]=D1244,jablka5[[#This Row],[sprzedaż]]+G1244,jablka5[[#This Row],[sprzedaż]])</f>
        <v>2465</v>
      </c>
      <c r="H1245" s="1">
        <f>IF(jablka5[[#This Row],[dot sprz]]&lt;15000,0,IF(jablka5[[#This Row],[dot sprz]]&lt;20000,5,10))</f>
        <v>0</v>
      </c>
      <c r="I1245" s="1">
        <f>jablka5[[#This Row],[rabat]]*jablka5[[#This Row],[sprzedaż]]/100</f>
        <v>0</v>
      </c>
    </row>
    <row r="1246" spans="1:9" x14ac:dyDescent="0.25">
      <c r="A1246" s="2">
        <v>44632</v>
      </c>
      <c r="B1246" s="1" t="s">
        <v>8</v>
      </c>
      <c r="C1246" s="1" t="s">
        <v>16</v>
      </c>
      <c r="D1246" s="1" t="s">
        <v>60</v>
      </c>
      <c r="E1246">
        <v>324</v>
      </c>
      <c r="F1246" s="1">
        <f>VLOOKUP(jablka5[[#This Row],[Nazwa]],cennik[],2,0) * jablka5[[#This Row],[sprzedaż]]</f>
        <v>1134</v>
      </c>
      <c r="G1246" s="1">
        <f>IF(jablka5[[#This Row],[NIP]]=D1245,jablka5[[#This Row],[sprzedaż]]+G1245,jablka5[[#This Row],[sprzedaż]])</f>
        <v>2789</v>
      </c>
      <c r="H1246" s="1">
        <f>IF(jablka5[[#This Row],[dot sprz]]&lt;15000,0,IF(jablka5[[#This Row],[dot sprz]]&lt;20000,5,10))</f>
        <v>0</v>
      </c>
      <c r="I1246" s="1">
        <f>jablka5[[#This Row],[rabat]]*jablka5[[#This Row],[sprzedaż]]/100</f>
        <v>0</v>
      </c>
    </row>
    <row r="1247" spans="1:9" x14ac:dyDescent="0.25">
      <c r="A1247" s="2">
        <v>44635</v>
      </c>
      <c r="B1247" s="1" t="s">
        <v>7</v>
      </c>
      <c r="C1247" s="1" t="s">
        <v>16</v>
      </c>
      <c r="D1247" s="1" t="s">
        <v>60</v>
      </c>
      <c r="E1247">
        <v>408</v>
      </c>
      <c r="F1247" s="1">
        <f>VLOOKUP(jablka5[[#This Row],[Nazwa]],cennik[],2,0) * jablka5[[#This Row],[sprzedaż]]</f>
        <v>1387.2</v>
      </c>
      <c r="G1247" s="1">
        <f>IF(jablka5[[#This Row],[NIP]]=D1246,jablka5[[#This Row],[sprzedaż]]+G1246,jablka5[[#This Row],[sprzedaż]])</f>
        <v>3197</v>
      </c>
      <c r="H1247" s="1">
        <f>IF(jablka5[[#This Row],[dot sprz]]&lt;15000,0,IF(jablka5[[#This Row],[dot sprz]]&lt;20000,5,10))</f>
        <v>0</v>
      </c>
      <c r="I1247" s="1">
        <f>jablka5[[#This Row],[rabat]]*jablka5[[#This Row],[sprzedaż]]/100</f>
        <v>0</v>
      </c>
    </row>
    <row r="1248" spans="1:9" x14ac:dyDescent="0.25">
      <c r="A1248" s="2">
        <v>44637</v>
      </c>
      <c r="B1248" s="1" t="s">
        <v>4</v>
      </c>
      <c r="C1248" s="1" t="s">
        <v>16</v>
      </c>
      <c r="D1248" s="1" t="s">
        <v>60</v>
      </c>
      <c r="E1248">
        <v>709</v>
      </c>
      <c r="F1248" s="1">
        <f>VLOOKUP(jablka5[[#This Row],[Nazwa]],cennik[],2,0) * jablka5[[#This Row],[sprzedaż]]</f>
        <v>2410.6</v>
      </c>
      <c r="G1248" s="1">
        <f>IF(jablka5[[#This Row],[NIP]]=D1247,jablka5[[#This Row],[sprzedaż]]+G1247,jablka5[[#This Row],[sprzedaż]])</f>
        <v>3906</v>
      </c>
      <c r="H1248" s="1">
        <f>IF(jablka5[[#This Row],[dot sprz]]&lt;15000,0,IF(jablka5[[#This Row],[dot sprz]]&lt;20000,5,10))</f>
        <v>0</v>
      </c>
      <c r="I1248" s="1">
        <f>jablka5[[#This Row],[rabat]]*jablka5[[#This Row],[sprzedaż]]/100</f>
        <v>0</v>
      </c>
    </row>
    <row r="1249" spans="1:9" x14ac:dyDescent="0.25">
      <c r="A1249" s="2">
        <v>44646</v>
      </c>
      <c r="B1249" s="1" t="s">
        <v>5</v>
      </c>
      <c r="C1249" s="1" t="s">
        <v>16</v>
      </c>
      <c r="D1249" s="1" t="s">
        <v>60</v>
      </c>
      <c r="E1249">
        <v>106</v>
      </c>
      <c r="F1249" s="1">
        <f>VLOOKUP(jablka5[[#This Row],[Nazwa]],cennik[],2,0) * jablka5[[#This Row],[sprzedaż]]</f>
        <v>360.4</v>
      </c>
      <c r="G1249" s="1">
        <f>IF(jablka5[[#This Row],[NIP]]=D1248,jablka5[[#This Row],[sprzedaż]]+G1248,jablka5[[#This Row],[sprzedaż]])</f>
        <v>4012</v>
      </c>
      <c r="H1249" s="1">
        <f>IF(jablka5[[#This Row],[dot sprz]]&lt;15000,0,IF(jablka5[[#This Row],[dot sprz]]&lt;20000,5,10))</f>
        <v>0</v>
      </c>
      <c r="I1249" s="1">
        <f>jablka5[[#This Row],[rabat]]*jablka5[[#This Row],[sprzedaż]]/100</f>
        <v>0</v>
      </c>
    </row>
    <row r="1250" spans="1:9" x14ac:dyDescent="0.25">
      <c r="A1250" s="2">
        <v>44649</v>
      </c>
      <c r="B1250" s="1" t="s">
        <v>4</v>
      </c>
      <c r="C1250" s="1" t="s">
        <v>16</v>
      </c>
      <c r="D1250" s="1" t="s">
        <v>60</v>
      </c>
      <c r="E1250">
        <v>722</v>
      </c>
      <c r="F1250" s="1">
        <f>VLOOKUP(jablka5[[#This Row],[Nazwa]],cennik[],2,0) * jablka5[[#This Row],[sprzedaż]]</f>
        <v>2454.7999999999997</v>
      </c>
      <c r="G1250" s="1">
        <f>IF(jablka5[[#This Row],[NIP]]=D1249,jablka5[[#This Row],[sprzedaż]]+G1249,jablka5[[#This Row],[sprzedaż]])</f>
        <v>4734</v>
      </c>
      <c r="H1250" s="1">
        <f>IF(jablka5[[#This Row],[dot sprz]]&lt;15000,0,IF(jablka5[[#This Row],[dot sprz]]&lt;20000,5,10))</f>
        <v>0</v>
      </c>
      <c r="I1250" s="1">
        <f>jablka5[[#This Row],[rabat]]*jablka5[[#This Row],[sprzedaż]]/100</f>
        <v>0</v>
      </c>
    </row>
    <row r="1251" spans="1:9" x14ac:dyDescent="0.25">
      <c r="A1251" s="2">
        <v>44652</v>
      </c>
      <c r="B1251" s="1" t="s">
        <v>5</v>
      </c>
      <c r="C1251" s="1" t="s">
        <v>16</v>
      </c>
      <c r="D1251" s="1" t="s">
        <v>60</v>
      </c>
      <c r="E1251">
        <v>129</v>
      </c>
      <c r="F1251" s="1">
        <f>VLOOKUP(jablka5[[#This Row],[Nazwa]],cennik[],2,0) * jablka5[[#This Row],[sprzedaż]]</f>
        <v>438.59999999999997</v>
      </c>
      <c r="G1251" s="1">
        <f>IF(jablka5[[#This Row],[NIP]]=D1250,jablka5[[#This Row],[sprzedaż]]+G1250,jablka5[[#This Row],[sprzedaż]])</f>
        <v>4863</v>
      </c>
      <c r="H1251" s="1">
        <f>IF(jablka5[[#This Row],[dot sprz]]&lt;15000,0,IF(jablka5[[#This Row],[dot sprz]]&lt;20000,5,10))</f>
        <v>0</v>
      </c>
      <c r="I1251" s="1">
        <f>jablka5[[#This Row],[rabat]]*jablka5[[#This Row],[sprzedaż]]/100</f>
        <v>0</v>
      </c>
    </row>
    <row r="1252" spans="1:9" x14ac:dyDescent="0.25">
      <c r="A1252" s="2">
        <v>44655</v>
      </c>
      <c r="B1252" s="1" t="s">
        <v>5</v>
      </c>
      <c r="C1252" s="1" t="s">
        <v>16</v>
      </c>
      <c r="D1252" s="1" t="s">
        <v>60</v>
      </c>
      <c r="E1252">
        <v>60</v>
      </c>
      <c r="F1252" s="1">
        <f>VLOOKUP(jablka5[[#This Row],[Nazwa]],cennik[],2,0) * jablka5[[#This Row],[sprzedaż]]</f>
        <v>204</v>
      </c>
      <c r="G1252" s="1">
        <f>IF(jablka5[[#This Row],[NIP]]=D1251,jablka5[[#This Row],[sprzedaż]]+G1251,jablka5[[#This Row],[sprzedaż]])</f>
        <v>4923</v>
      </c>
      <c r="H1252" s="1">
        <f>IF(jablka5[[#This Row],[dot sprz]]&lt;15000,0,IF(jablka5[[#This Row],[dot sprz]]&lt;20000,5,10))</f>
        <v>0</v>
      </c>
      <c r="I1252" s="1">
        <f>jablka5[[#This Row],[rabat]]*jablka5[[#This Row],[sprzedaż]]/100</f>
        <v>0</v>
      </c>
    </row>
    <row r="1253" spans="1:9" x14ac:dyDescent="0.25">
      <c r="A1253" s="2">
        <v>44658</v>
      </c>
      <c r="B1253" s="1" t="s">
        <v>7</v>
      </c>
      <c r="C1253" s="1" t="s">
        <v>16</v>
      </c>
      <c r="D1253" s="1" t="s">
        <v>60</v>
      </c>
      <c r="E1253">
        <v>688</v>
      </c>
      <c r="F1253" s="1">
        <f>VLOOKUP(jablka5[[#This Row],[Nazwa]],cennik[],2,0) * jablka5[[#This Row],[sprzedaż]]</f>
        <v>2339.1999999999998</v>
      </c>
      <c r="G1253" s="1">
        <f>IF(jablka5[[#This Row],[NIP]]=D1252,jablka5[[#This Row],[sprzedaż]]+G1252,jablka5[[#This Row],[sprzedaż]])</f>
        <v>5611</v>
      </c>
      <c r="H1253" s="1">
        <f>IF(jablka5[[#This Row],[dot sprz]]&lt;15000,0,IF(jablka5[[#This Row],[dot sprz]]&lt;20000,5,10))</f>
        <v>0</v>
      </c>
      <c r="I1253" s="1">
        <f>jablka5[[#This Row],[rabat]]*jablka5[[#This Row],[sprzedaż]]/100</f>
        <v>0</v>
      </c>
    </row>
    <row r="1254" spans="1:9" x14ac:dyDescent="0.25">
      <c r="A1254" s="2">
        <v>44667</v>
      </c>
      <c r="B1254" s="1" t="s">
        <v>2</v>
      </c>
      <c r="C1254" s="1" t="s">
        <v>16</v>
      </c>
      <c r="D1254" s="1" t="s">
        <v>60</v>
      </c>
      <c r="E1254">
        <v>79</v>
      </c>
      <c r="F1254" s="1">
        <f>VLOOKUP(jablka5[[#This Row],[Nazwa]],cennik[],2,0) * jablka5[[#This Row],[sprzedaż]]</f>
        <v>252.8</v>
      </c>
      <c r="G1254" s="1">
        <f>IF(jablka5[[#This Row],[NIP]]=D1253,jablka5[[#This Row],[sprzedaż]]+G1253,jablka5[[#This Row],[sprzedaż]])</f>
        <v>5690</v>
      </c>
      <c r="H1254" s="1">
        <f>IF(jablka5[[#This Row],[dot sprz]]&lt;15000,0,IF(jablka5[[#This Row],[dot sprz]]&lt;20000,5,10))</f>
        <v>0</v>
      </c>
      <c r="I1254" s="1">
        <f>jablka5[[#This Row],[rabat]]*jablka5[[#This Row],[sprzedaż]]/100</f>
        <v>0</v>
      </c>
    </row>
    <row r="1255" spans="1:9" x14ac:dyDescent="0.25">
      <c r="A1255" s="2">
        <v>44667</v>
      </c>
      <c r="B1255" s="1" t="s">
        <v>5</v>
      </c>
      <c r="C1255" s="1" t="s">
        <v>16</v>
      </c>
      <c r="D1255" s="1" t="s">
        <v>60</v>
      </c>
      <c r="E1255">
        <v>77</v>
      </c>
      <c r="F1255" s="1">
        <f>VLOOKUP(jablka5[[#This Row],[Nazwa]],cennik[],2,0) * jablka5[[#This Row],[sprzedaż]]</f>
        <v>261.8</v>
      </c>
      <c r="G1255" s="1">
        <f>IF(jablka5[[#This Row],[NIP]]=D1254,jablka5[[#This Row],[sprzedaż]]+G1254,jablka5[[#This Row],[sprzedaż]])</f>
        <v>5767</v>
      </c>
      <c r="H1255" s="1">
        <f>IF(jablka5[[#This Row],[dot sprz]]&lt;15000,0,IF(jablka5[[#This Row],[dot sprz]]&lt;20000,5,10))</f>
        <v>0</v>
      </c>
      <c r="I1255" s="1">
        <f>jablka5[[#This Row],[rabat]]*jablka5[[#This Row],[sprzedaż]]/100</f>
        <v>0</v>
      </c>
    </row>
    <row r="1256" spans="1:9" x14ac:dyDescent="0.25">
      <c r="A1256" s="2">
        <v>44670</v>
      </c>
      <c r="B1256" s="1" t="s">
        <v>0</v>
      </c>
      <c r="C1256" s="1" t="s">
        <v>16</v>
      </c>
      <c r="D1256" s="1" t="s">
        <v>60</v>
      </c>
      <c r="E1256">
        <v>288</v>
      </c>
      <c r="F1256" s="1">
        <f>VLOOKUP(jablka5[[#This Row],[Nazwa]],cennik[],2,0) * jablka5[[#This Row],[sprzedaż]]</f>
        <v>835.19999999999993</v>
      </c>
      <c r="G1256" s="1">
        <f>IF(jablka5[[#This Row],[NIP]]=D1255,jablka5[[#This Row],[sprzedaż]]+G1255,jablka5[[#This Row],[sprzedaż]])</f>
        <v>6055</v>
      </c>
      <c r="H1256" s="1">
        <f>IF(jablka5[[#This Row],[dot sprz]]&lt;15000,0,IF(jablka5[[#This Row],[dot sprz]]&lt;20000,5,10))</f>
        <v>0</v>
      </c>
      <c r="I1256" s="1">
        <f>jablka5[[#This Row],[rabat]]*jablka5[[#This Row],[sprzedaż]]/100</f>
        <v>0</v>
      </c>
    </row>
    <row r="1257" spans="1:9" x14ac:dyDescent="0.25">
      <c r="A1257" s="2">
        <v>44679</v>
      </c>
      <c r="B1257" s="1" t="s">
        <v>6</v>
      </c>
      <c r="C1257" s="1" t="s">
        <v>16</v>
      </c>
      <c r="D1257" s="1" t="s">
        <v>60</v>
      </c>
      <c r="E1257">
        <v>411</v>
      </c>
      <c r="F1257" s="1">
        <f>VLOOKUP(jablka5[[#This Row],[Nazwa]],cennik[],2,0) * jablka5[[#This Row],[sprzedaż]]</f>
        <v>1397.3999999999999</v>
      </c>
      <c r="G1257" s="1">
        <f>IF(jablka5[[#This Row],[NIP]]=D1256,jablka5[[#This Row],[sprzedaż]]+G1256,jablka5[[#This Row],[sprzedaż]])</f>
        <v>6466</v>
      </c>
      <c r="H1257" s="1">
        <f>IF(jablka5[[#This Row],[dot sprz]]&lt;15000,0,IF(jablka5[[#This Row],[dot sprz]]&lt;20000,5,10))</f>
        <v>0</v>
      </c>
      <c r="I1257" s="1">
        <f>jablka5[[#This Row],[rabat]]*jablka5[[#This Row],[sprzedaż]]/100</f>
        <v>0</v>
      </c>
    </row>
    <row r="1258" spans="1:9" x14ac:dyDescent="0.25">
      <c r="A1258" s="2">
        <v>44683</v>
      </c>
      <c r="B1258" s="1" t="s">
        <v>4</v>
      </c>
      <c r="C1258" s="1" t="s">
        <v>16</v>
      </c>
      <c r="D1258" s="1" t="s">
        <v>60</v>
      </c>
      <c r="E1258">
        <v>797</v>
      </c>
      <c r="F1258" s="1">
        <f>VLOOKUP(jablka5[[#This Row],[Nazwa]],cennik[],2,0) * jablka5[[#This Row],[sprzedaż]]</f>
        <v>2709.7999999999997</v>
      </c>
      <c r="G1258" s="1">
        <f>IF(jablka5[[#This Row],[NIP]]=D1257,jablka5[[#This Row],[sprzedaż]]+G1257,jablka5[[#This Row],[sprzedaż]])</f>
        <v>7263</v>
      </c>
      <c r="H1258" s="1">
        <f>IF(jablka5[[#This Row],[dot sprz]]&lt;15000,0,IF(jablka5[[#This Row],[dot sprz]]&lt;20000,5,10))</f>
        <v>0</v>
      </c>
      <c r="I1258" s="1">
        <f>jablka5[[#This Row],[rabat]]*jablka5[[#This Row],[sprzedaż]]/100</f>
        <v>0</v>
      </c>
    </row>
    <row r="1259" spans="1:9" x14ac:dyDescent="0.25">
      <c r="A1259" s="2">
        <v>44684</v>
      </c>
      <c r="B1259" s="1" t="s">
        <v>4</v>
      </c>
      <c r="C1259" s="1" t="s">
        <v>16</v>
      </c>
      <c r="D1259" s="1" t="s">
        <v>60</v>
      </c>
      <c r="E1259">
        <v>513</v>
      </c>
      <c r="F1259" s="1">
        <f>VLOOKUP(jablka5[[#This Row],[Nazwa]],cennik[],2,0) * jablka5[[#This Row],[sprzedaż]]</f>
        <v>1744.2</v>
      </c>
      <c r="G1259" s="1">
        <f>IF(jablka5[[#This Row],[NIP]]=D1258,jablka5[[#This Row],[sprzedaż]]+G1258,jablka5[[#This Row],[sprzedaż]])</f>
        <v>7776</v>
      </c>
      <c r="H1259" s="1">
        <f>IF(jablka5[[#This Row],[dot sprz]]&lt;15000,0,IF(jablka5[[#This Row],[dot sprz]]&lt;20000,5,10))</f>
        <v>0</v>
      </c>
      <c r="I1259" s="1">
        <f>jablka5[[#This Row],[rabat]]*jablka5[[#This Row],[sprzedaż]]/100</f>
        <v>0</v>
      </c>
    </row>
    <row r="1260" spans="1:9" x14ac:dyDescent="0.25">
      <c r="A1260" s="2">
        <v>44699</v>
      </c>
      <c r="B1260" s="1" t="s">
        <v>4</v>
      </c>
      <c r="C1260" s="1" t="s">
        <v>16</v>
      </c>
      <c r="D1260" s="1" t="s">
        <v>60</v>
      </c>
      <c r="E1260">
        <v>697</v>
      </c>
      <c r="F1260" s="1">
        <f>VLOOKUP(jablka5[[#This Row],[Nazwa]],cennik[],2,0) * jablka5[[#This Row],[sprzedaż]]</f>
        <v>2369.7999999999997</v>
      </c>
      <c r="G1260" s="1">
        <f>IF(jablka5[[#This Row],[NIP]]=D1259,jablka5[[#This Row],[sprzedaż]]+G1259,jablka5[[#This Row],[sprzedaż]])</f>
        <v>8473</v>
      </c>
      <c r="H1260" s="1">
        <f>IF(jablka5[[#This Row],[dot sprz]]&lt;15000,0,IF(jablka5[[#This Row],[dot sprz]]&lt;20000,5,10))</f>
        <v>0</v>
      </c>
      <c r="I1260" s="1">
        <f>jablka5[[#This Row],[rabat]]*jablka5[[#This Row],[sprzedaż]]/100</f>
        <v>0</v>
      </c>
    </row>
    <row r="1261" spans="1:9" x14ac:dyDescent="0.25">
      <c r="A1261" s="2">
        <v>44716</v>
      </c>
      <c r="B1261" s="1" t="s">
        <v>12</v>
      </c>
      <c r="C1261" s="1" t="s">
        <v>68</v>
      </c>
      <c r="D1261" s="1" t="s">
        <v>60</v>
      </c>
      <c r="E1261">
        <v>235</v>
      </c>
      <c r="F1261" s="1">
        <f>VLOOKUP(jablka5[[#This Row],[Nazwa]],cennik[],2,0) * jablka5[[#This Row],[sprzedaż]]</f>
        <v>634.5</v>
      </c>
      <c r="G1261" s="1">
        <f>IF(jablka5[[#This Row],[NIP]]=D1260,jablka5[[#This Row],[sprzedaż]]+G1260,jablka5[[#This Row],[sprzedaż]])</f>
        <v>8708</v>
      </c>
      <c r="H1261" s="1">
        <f>IF(jablka5[[#This Row],[dot sprz]]&lt;15000,0,IF(jablka5[[#This Row],[dot sprz]]&lt;20000,5,10))</f>
        <v>0</v>
      </c>
      <c r="I1261" s="1">
        <f>jablka5[[#This Row],[rabat]]*jablka5[[#This Row],[sprzedaż]]/100</f>
        <v>0</v>
      </c>
    </row>
    <row r="1262" spans="1:9" x14ac:dyDescent="0.25">
      <c r="A1262" s="2">
        <v>44722</v>
      </c>
      <c r="B1262" s="1" t="s">
        <v>12</v>
      </c>
      <c r="C1262" s="1" t="s">
        <v>68</v>
      </c>
      <c r="D1262" s="1" t="s">
        <v>60</v>
      </c>
      <c r="E1262">
        <v>321</v>
      </c>
      <c r="F1262" s="1">
        <f>VLOOKUP(jablka5[[#This Row],[Nazwa]],cennik[],2,0) * jablka5[[#This Row],[sprzedaż]]</f>
        <v>866.7</v>
      </c>
      <c r="G1262" s="1">
        <f>IF(jablka5[[#This Row],[NIP]]=D1261,jablka5[[#This Row],[sprzedaż]]+G1261,jablka5[[#This Row],[sprzedaż]])</f>
        <v>9029</v>
      </c>
      <c r="H1262" s="1">
        <f>IF(jablka5[[#This Row],[dot sprz]]&lt;15000,0,IF(jablka5[[#This Row],[dot sprz]]&lt;20000,5,10))</f>
        <v>0</v>
      </c>
      <c r="I1262" s="1">
        <f>jablka5[[#This Row],[rabat]]*jablka5[[#This Row],[sprzedaż]]/100</f>
        <v>0</v>
      </c>
    </row>
    <row r="1263" spans="1:9" x14ac:dyDescent="0.25">
      <c r="A1263" s="2">
        <v>44722</v>
      </c>
      <c r="B1263" s="1" t="s">
        <v>13</v>
      </c>
      <c r="C1263" s="1" t="s">
        <v>68</v>
      </c>
      <c r="D1263" s="1" t="s">
        <v>60</v>
      </c>
      <c r="E1263">
        <v>437</v>
      </c>
      <c r="F1263" s="1">
        <f>VLOOKUP(jablka5[[#This Row],[Nazwa]],cennik[],2,0) * jablka5[[#This Row],[sprzedaż]]</f>
        <v>1398.4</v>
      </c>
      <c r="G1263" s="1">
        <f>IF(jablka5[[#This Row],[NIP]]=D1262,jablka5[[#This Row],[sprzedaż]]+G1262,jablka5[[#This Row],[sprzedaż]])</f>
        <v>9466</v>
      </c>
      <c r="H1263" s="1">
        <f>IF(jablka5[[#This Row],[dot sprz]]&lt;15000,0,IF(jablka5[[#This Row],[dot sprz]]&lt;20000,5,10))</f>
        <v>0</v>
      </c>
      <c r="I1263" s="1">
        <f>jablka5[[#This Row],[rabat]]*jablka5[[#This Row],[sprzedaż]]/100</f>
        <v>0</v>
      </c>
    </row>
    <row r="1264" spans="1:9" x14ac:dyDescent="0.25">
      <c r="A1264" s="2">
        <v>44725</v>
      </c>
      <c r="B1264" s="1" t="s">
        <v>12</v>
      </c>
      <c r="C1264" s="1" t="s">
        <v>68</v>
      </c>
      <c r="D1264" s="1" t="s">
        <v>60</v>
      </c>
      <c r="E1264">
        <v>140</v>
      </c>
      <c r="F1264" s="1">
        <f>VLOOKUP(jablka5[[#This Row],[Nazwa]],cennik[],2,0) * jablka5[[#This Row],[sprzedaż]]</f>
        <v>378</v>
      </c>
      <c r="G1264" s="1">
        <f>IF(jablka5[[#This Row],[NIP]]=D1263,jablka5[[#This Row],[sprzedaż]]+G1263,jablka5[[#This Row],[sprzedaż]])</f>
        <v>9606</v>
      </c>
      <c r="H1264" s="1">
        <f>IF(jablka5[[#This Row],[dot sprz]]&lt;15000,0,IF(jablka5[[#This Row],[dot sprz]]&lt;20000,5,10))</f>
        <v>0</v>
      </c>
      <c r="I1264" s="1">
        <f>jablka5[[#This Row],[rabat]]*jablka5[[#This Row],[sprzedaż]]/100</f>
        <v>0</v>
      </c>
    </row>
    <row r="1265" spans="1:9" x14ac:dyDescent="0.25">
      <c r="A1265" s="2">
        <v>44730</v>
      </c>
      <c r="B1265" s="1" t="s">
        <v>13</v>
      </c>
      <c r="C1265" s="1" t="s">
        <v>68</v>
      </c>
      <c r="D1265" s="1" t="s">
        <v>60</v>
      </c>
      <c r="E1265">
        <v>256</v>
      </c>
      <c r="F1265" s="1">
        <f>VLOOKUP(jablka5[[#This Row],[Nazwa]],cennik[],2,0) * jablka5[[#This Row],[sprzedaż]]</f>
        <v>819.2</v>
      </c>
      <c r="G1265" s="1">
        <f>IF(jablka5[[#This Row],[NIP]]=D1264,jablka5[[#This Row],[sprzedaż]]+G1264,jablka5[[#This Row],[sprzedaż]])</f>
        <v>9862</v>
      </c>
      <c r="H1265" s="1">
        <f>IF(jablka5[[#This Row],[dot sprz]]&lt;15000,0,IF(jablka5[[#This Row],[dot sprz]]&lt;20000,5,10))</f>
        <v>0</v>
      </c>
      <c r="I1265" s="1">
        <f>jablka5[[#This Row],[rabat]]*jablka5[[#This Row],[sprzedaż]]/100</f>
        <v>0</v>
      </c>
    </row>
    <row r="1266" spans="1:9" x14ac:dyDescent="0.25">
      <c r="A1266" s="2">
        <v>44737</v>
      </c>
      <c r="B1266" s="1" t="s">
        <v>14</v>
      </c>
      <c r="C1266" s="1" t="s">
        <v>67</v>
      </c>
      <c r="D1266" s="1" t="s">
        <v>60</v>
      </c>
      <c r="E1266">
        <v>52</v>
      </c>
      <c r="F1266" s="1">
        <f>VLOOKUP(jablka5[[#This Row],[Nazwa]],cennik[],2,0) * jablka5[[#This Row],[sprzedaż]]</f>
        <v>182</v>
      </c>
      <c r="G1266" s="1">
        <f>IF(jablka5[[#This Row],[NIP]]=D1265,jablka5[[#This Row],[sprzedaż]]+G1265,jablka5[[#This Row],[sprzedaż]])</f>
        <v>9914</v>
      </c>
      <c r="H1266" s="1">
        <f>IF(jablka5[[#This Row],[dot sprz]]&lt;15000,0,IF(jablka5[[#This Row],[dot sprz]]&lt;20000,5,10))</f>
        <v>0</v>
      </c>
      <c r="I1266" s="1">
        <f>jablka5[[#This Row],[rabat]]*jablka5[[#This Row],[sprzedaż]]/100</f>
        <v>0</v>
      </c>
    </row>
    <row r="1267" spans="1:9" x14ac:dyDescent="0.25">
      <c r="A1267" s="2">
        <v>44753</v>
      </c>
      <c r="B1267" s="1" t="s">
        <v>13</v>
      </c>
      <c r="C1267" s="1" t="s">
        <v>68</v>
      </c>
      <c r="D1267" s="1" t="s">
        <v>60</v>
      </c>
      <c r="E1267">
        <v>353</v>
      </c>
      <c r="F1267" s="1">
        <f>VLOOKUP(jablka5[[#This Row],[Nazwa]],cennik[],2,0) * jablka5[[#This Row],[sprzedaż]]</f>
        <v>1129.6000000000001</v>
      </c>
      <c r="G1267" s="1">
        <f>IF(jablka5[[#This Row],[NIP]]=D1266,jablka5[[#This Row],[sprzedaż]]+G1266,jablka5[[#This Row],[sprzedaż]])</f>
        <v>10267</v>
      </c>
      <c r="H1267" s="1">
        <f>IF(jablka5[[#This Row],[dot sprz]]&lt;15000,0,IF(jablka5[[#This Row],[dot sprz]]&lt;20000,5,10))</f>
        <v>0</v>
      </c>
      <c r="I1267" s="1">
        <f>jablka5[[#This Row],[rabat]]*jablka5[[#This Row],[sprzedaż]]/100</f>
        <v>0</v>
      </c>
    </row>
    <row r="1268" spans="1:9" x14ac:dyDescent="0.25">
      <c r="A1268" s="2">
        <v>44758</v>
      </c>
      <c r="B1268" s="1" t="s">
        <v>13</v>
      </c>
      <c r="C1268" s="1" t="s">
        <v>68</v>
      </c>
      <c r="D1268" s="1" t="s">
        <v>60</v>
      </c>
      <c r="E1268">
        <v>30</v>
      </c>
      <c r="F1268" s="1">
        <f>VLOOKUP(jablka5[[#This Row],[Nazwa]],cennik[],2,0) * jablka5[[#This Row],[sprzedaż]]</f>
        <v>96</v>
      </c>
      <c r="G1268" s="1">
        <f>IF(jablka5[[#This Row],[NIP]]=D1267,jablka5[[#This Row],[sprzedaż]]+G1267,jablka5[[#This Row],[sprzedaż]])</f>
        <v>10297</v>
      </c>
      <c r="H1268" s="1">
        <f>IF(jablka5[[#This Row],[dot sprz]]&lt;15000,0,IF(jablka5[[#This Row],[dot sprz]]&lt;20000,5,10))</f>
        <v>0</v>
      </c>
      <c r="I1268" s="1">
        <f>jablka5[[#This Row],[rabat]]*jablka5[[#This Row],[sprzedaż]]/100</f>
        <v>0</v>
      </c>
    </row>
    <row r="1269" spans="1:9" x14ac:dyDescent="0.25">
      <c r="A1269" s="2">
        <v>44762</v>
      </c>
      <c r="B1269" s="1" t="s">
        <v>13</v>
      </c>
      <c r="C1269" s="1" t="s">
        <v>68</v>
      </c>
      <c r="D1269" s="1" t="s">
        <v>60</v>
      </c>
      <c r="E1269">
        <v>498</v>
      </c>
      <c r="F1269" s="1">
        <f>VLOOKUP(jablka5[[#This Row],[Nazwa]],cennik[],2,0) * jablka5[[#This Row],[sprzedaż]]</f>
        <v>1593.6000000000001</v>
      </c>
      <c r="G1269" s="1">
        <f>IF(jablka5[[#This Row],[NIP]]=D1268,jablka5[[#This Row],[sprzedaż]]+G1268,jablka5[[#This Row],[sprzedaż]])</f>
        <v>10795</v>
      </c>
      <c r="H1269" s="1">
        <f>IF(jablka5[[#This Row],[dot sprz]]&lt;15000,0,IF(jablka5[[#This Row],[dot sprz]]&lt;20000,5,10))</f>
        <v>0</v>
      </c>
      <c r="I1269" s="1">
        <f>jablka5[[#This Row],[rabat]]*jablka5[[#This Row],[sprzedaż]]/100</f>
        <v>0</v>
      </c>
    </row>
    <row r="1270" spans="1:9" x14ac:dyDescent="0.25">
      <c r="A1270" s="2">
        <v>44769</v>
      </c>
      <c r="B1270" s="1" t="s">
        <v>12</v>
      </c>
      <c r="C1270" s="1" t="s">
        <v>68</v>
      </c>
      <c r="D1270" s="1" t="s">
        <v>60</v>
      </c>
      <c r="E1270">
        <v>97</v>
      </c>
      <c r="F1270" s="1">
        <f>VLOOKUP(jablka5[[#This Row],[Nazwa]],cennik[],2,0) * jablka5[[#This Row],[sprzedaż]]</f>
        <v>261.90000000000003</v>
      </c>
      <c r="G1270" s="1">
        <f>IF(jablka5[[#This Row],[NIP]]=D1269,jablka5[[#This Row],[sprzedaż]]+G1269,jablka5[[#This Row],[sprzedaż]])</f>
        <v>10892</v>
      </c>
      <c r="H1270" s="1">
        <f>IF(jablka5[[#This Row],[dot sprz]]&lt;15000,0,IF(jablka5[[#This Row],[dot sprz]]&lt;20000,5,10))</f>
        <v>0</v>
      </c>
      <c r="I1270" s="1">
        <f>jablka5[[#This Row],[rabat]]*jablka5[[#This Row],[sprzedaż]]/100</f>
        <v>0</v>
      </c>
    </row>
    <row r="1271" spans="1:9" x14ac:dyDescent="0.25">
      <c r="A1271" s="2">
        <v>44791</v>
      </c>
      <c r="B1271" s="1" t="s">
        <v>13</v>
      </c>
      <c r="C1271" s="1" t="s">
        <v>68</v>
      </c>
      <c r="D1271" s="1" t="s">
        <v>60</v>
      </c>
      <c r="E1271">
        <v>335</v>
      </c>
      <c r="F1271" s="1">
        <f>VLOOKUP(jablka5[[#This Row],[Nazwa]],cennik[],2,0) * jablka5[[#This Row],[sprzedaż]]</f>
        <v>1072</v>
      </c>
      <c r="G1271" s="1">
        <f>IF(jablka5[[#This Row],[NIP]]=D1270,jablka5[[#This Row],[sprzedaż]]+G1270,jablka5[[#This Row],[sprzedaż]])</f>
        <v>11227</v>
      </c>
      <c r="H1271" s="1">
        <f>IF(jablka5[[#This Row],[dot sprz]]&lt;15000,0,IF(jablka5[[#This Row],[dot sprz]]&lt;20000,5,10))</f>
        <v>0</v>
      </c>
      <c r="I1271" s="1">
        <f>jablka5[[#This Row],[rabat]]*jablka5[[#This Row],[sprzedaż]]/100</f>
        <v>0</v>
      </c>
    </row>
    <row r="1272" spans="1:9" x14ac:dyDescent="0.25">
      <c r="A1272" s="2">
        <v>44802</v>
      </c>
      <c r="B1272" s="1" t="s">
        <v>13</v>
      </c>
      <c r="C1272" s="1" t="s">
        <v>68</v>
      </c>
      <c r="D1272" s="1" t="s">
        <v>60</v>
      </c>
      <c r="E1272">
        <v>350</v>
      </c>
      <c r="F1272" s="1">
        <f>VLOOKUP(jablka5[[#This Row],[Nazwa]],cennik[],2,0) * jablka5[[#This Row],[sprzedaż]]</f>
        <v>1120</v>
      </c>
      <c r="G1272" s="1">
        <f>IF(jablka5[[#This Row],[NIP]]=D1271,jablka5[[#This Row],[sprzedaż]]+G1271,jablka5[[#This Row],[sprzedaż]])</f>
        <v>11577</v>
      </c>
      <c r="H1272" s="1">
        <f>IF(jablka5[[#This Row],[dot sprz]]&lt;15000,0,IF(jablka5[[#This Row],[dot sprz]]&lt;20000,5,10))</f>
        <v>0</v>
      </c>
      <c r="I1272" s="1">
        <f>jablka5[[#This Row],[rabat]]*jablka5[[#This Row],[sprzedaż]]/100</f>
        <v>0</v>
      </c>
    </row>
    <row r="1273" spans="1:9" x14ac:dyDescent="0.25">
      <c r="A1273" s="2">
        <v>44803</v>
      </c>
      <c r="B1273" s="1" t="s">
        <v>14</v>
      </c>
      <c r="C1273" s="1" t="s">
        <v>67</v>
      </c>
      <c r="D1273" s="1" t="s">
        <v>60</v>
      </c>
      <c r="E1273">
        <v>180</v>
      </c>
      <c r="F1273" s="1">
        <f>VLOOKUP(jablka5[[#This Row],[Nazwa]],cennik[],2,0) * jablka5[[#This Row],[sprzedaż]]</f>
        <v>630</v>
      </c>
      <c r="G1273" s="1">
        <f>IF(jablka5[[#This Row],[NIP]]=D1272,jablka5[[#This Row],[sprzedaż]]+G1272,jablka5[[#This Row],[sprzedaż]])</f>
        <v>11757</v>
      </c>
      <c r="H1273" s="1">
        <f>IF(jablka5[[#This Row],[dot sprz]]&lt;15000,0,IF(jablka5[[#This Row],[dot sprz]]&lt;20000,5,10))</f>
        <v>0</v>
      </c>
      <c r="I1273" s="1">
        <f>jablka5[[#This Row],[rabat]]*jablka5[[#This Row],[sprzedaż]]/100</f>
        <v>0</v>
      </c>
    </row>
    <row r="1274" spans="1:9" x14ac:dyDescent="0.25">
      <c r="A1274" s="2">
        <v>44805</v>
      </c>
      <c r="B1274" s="1" t="s">
        <v>3</v>
      </c>
      <c r="C1274" s="1" t="s">
        <v>67</v>
      </c>
      <c r="D1274" s="1" t="s">
        <v>60</v>
      </c>
      <c r="E1274">
        <v>301</v>
      </c>
      <c r="F1274" s="1">
        <f>VLOOKUP(jablka5[[#This Row],[Nazwa]],cennik[],2,0) * jablka5[[#This Row],[sprzedaż]]</f>
        <v>963.2</v>
      </c>
      <c r="G1274" s="1">
        <f>IF(jablka5[[#This Row],[NIP]]=D1273,jablka5[[#This Row],[sprzedaż]]+G1273,jablka5[[#This Row],[sprzedaż]])</f>
        <v>12058</v>
      </c>
      <c r="H1274" s="1">
        <f>IF(jablka5[[#This Row],[dot sprz]]&lt;15000,0,IF(jablka5[[#This Row],[dot sprz]]&lt;20000,5,10))</f>
        <v>0</v>
      </c>
      <c r="I1274" s="1">
        <f>jablka5[[#This Row],[rabat]]*jablka5[[#This Row],[sprzedaż]]/100</f>
        <v>0</v>
      </c>
    </row>
    <row r="1275" spans="1:9" x14ac:dyDescent="0.25">
      <c r="A1275" s="2">
        <v>44805</v>
      </c>
      <c r="B1275" s="1" t="s">
        <v>14</v>
      </c>
      <c r="C1275" s="1" t="s">
        <v>67</v>
      </c>
      <c r="D1275" s="1" t="s">
        <v>60</v>
      </c>
      <c r="E1275">
        <v>328</v>
      </c>
      <c r="F1275" s="1">
        <f>VLOOKUP(jablka5[[#This Row],[Nazwa]],cennik[],2,0) * jablka5[[#This Row],[sprzedaż]]</f>
        <v>1148</v>
      </c>
      <c r="G1275" s="1">
        <f>IF(jablka5[[#This Row],[NIP]]=D1274,jablka5[[#This Row],[sprzedaż]]+G1274,jablka5[[#This Row],[sprzedaż]])</f>
        <v>12386</v>
      </c>
      <c r="H1275" s="1">
        <f>IF(jablka5[[#This Row],[dot sprz]]&lt;15000,0,IF(jablka5[[#This Row],[dot sprz]]&lt;20000,5,10))</f>
        <v>0</v>
      </c>
      <c r="I1275" s="1">
        <f>jablka5[[#This Row],[rabat]]*jablka5[[#This Row],[sprzedaż]]/100</f>
        <v>0</v>
      </c>
    </row>
    <row r="1276" spans="1:9" x14ac:dyDescent="0.25">
      <c r="A1276" s="2">
        <v>44816</v>
      </c>
      <c r="B1276" s="1" t="s">
        <v>3</v>
      </c>
      <c r="C1276" s="1" t="s">
        <v>67</v>
      </c>
      <c r="D1276" s="1" t="s">
        <v>60</v>
      </c>
      <c r="E1276">
        <v>80</v>
      </c>
      <c r="F1276" s="1">
        <f>VLOOKUP(jablka5[[#This Row],[Nazwa]],cennik[],2,0) * jablka5[[#This Row],[sprzedaż]]</f>
        <v>256</v>
      </c>
      <c r="G1276" s="1">
        <f>IF(jablka5[[#This Row],[NIP]]=D1275,jablka5[[#This Row],[sprzedaż]]+G1275,jablka5[[#This Row],[sprzedaż]])</f>
        <v>12466</v>
      </c>
      <c r="H1276" s="1">
        <f>IF(jablka5[[#This Row],[dot sprz]]&lt;15000,0,IF(jablka5[[#This Row],[dot sprz]]&lt;20000,5,10))</f>
        <v>0</v>
      </c>
      <c r="I1276" s="1">
        <f>jablka5[[#This Row],[rabat]]*jablka5[[#This Row],[sprzedaż]]/100</f>
        <v>0</v>
      </c>
    </row>
    <row r="1277" spans="1:9" x14ac:dyDescent="0.25">
      <c r="A1277" s="2">
        <v>44823</v>
      </c>
      <c r="B1277" s="1" t="s">
        <v>3</v>
      </c>
      <c r="C1277" s="1" t="s">
        <v>67</v>
      </c>
      <c r="D1277" s="1" t="s">
        <v>60</v>
      </c>
      <c r="E1277">
        <v>62</v>
      </c>
      <c r="F1277" s="1">
        <f>VLOOKUP(jablka5[[#This Row],[Nazwa]],cennik[],2,0) * jablka5[[#This Row],[sprzedaż]]</f>
        <v>198.4</v>
      </c>
      <c r="G1277" s="1">
        <f>IF(jablka5[[#This Row],[NIP]]=D1276,jablka5[[#This Row],[sprzedaż]]+G1276,jablka5[[#This Row],[sprzedaż]])</f>
        <v>12528</v>
      </c>
      <c r="H1277" s="1">
        <f>IF(jablka5[[#This Row],[dot sprz]]&lt;15000,0,IF(jablka5[[#This Row],[dot sprz]]&lt;20000,5,10))</f>
        <v>0</v>
      </c>
      <c r="I1277" s="1">
        <f>jablka5[[#This Row],[rabat]]*jablka5[[#This Row],[sprzedaż]]/100</f>
        <v>0</v>
      </c>
    </row>
    <row r="1278" spans="1:9" x14ac:dyDescent="0.25">
      <c r="A1278" s="2">
        <v>44825</v>
      </c>
      <c r="B1278" s="1" t="s">
        <v>14</v>
      </c>
      <c r="C1278" s="1" t="s">
        <v>67</v>
      </c>
      <c r="D1278" s="1" t="s">
        <v>60</v>
      </c>
      <c r="E1278">
        <v>236</v>
      </c>
      <c r="F1278" s="1">
        <f>VLOOKUP(jablka5[[#This Row],[Nazwa]],cennik[],2,0) * jablka5[[#This Row],[sprzedaż]]</f>
        <v>826</v>
      </c>
      <c r="G1278" s="1">
        <f>IF(jablka5[[#This Row],[NIP]]=D1277,jablka5[[#This Row],[sprzedaż]]+G1277,jablka5[[#This Row],[sprzedaż]])</f>
        <v>12764</v>
      </c>
      <c r="H1278" s="1">
        <f>IF(jablka5[[#This Row],[dot sprz]]&lt;15000,0,IF(jablka5[[#This Row],[dot sprz]]&lt;20000,5,10))</f>
        <v>0</v>
      </c>
      <c r="I1278" s="1">
        <f>jablka5[[#This Row],[rabat]]*jablka5[[#This Row],[sprzedaż]]/100</f>
        <v>0</v>
      </c>
    </row>
    <row r="1279" spans="1:9" x14ac:dyDescent="0.25">
      <c r="A1279" s="2">
        <v>44826</v>
      </c>
      <c r="B1279" s="1" t="s">
        <v>3</v>
      </c>
      <c r="C1279" s="1" t="s">
        <v>67</v>
      </c>
      <c r="D1279" s="1" t="s">
        <v>60</v>
      </c>
      <c r="E1279">
        <v>24</v>
      </c>
      <c r="F1279" s="1">
        <f>VLOOKUP(jablka5[[#This Row],[Nazwa]],cennik[],2,0) * jablka5[[#This Row],[sprzedaż]]</f>
        <v>76.800000000000011</v>
      </c>
      <c r="G1279" s="1">
        <f>IF(jablka5[[#This Row],[NIP]]=D1278,jablka5[[#This Row],[sprzedaż]]+G1278,jablka5[[#This Row],[sprzedaż]])</f>
        <v>12788</v>
      </c>
      <c r="H1279" s="1">
        <f>IF(jablka5[[#This Row],[dot sprz]]&lt;15000,0,IF(jablka5[[#This Row],[dot sprz]]&lt;20000,5,10))</f>
        <v>0</v>
      </c>
      <c r="I1279" s="1">
        <f>jablka5[[#This Row],[rabat]]*jablka5[[#This Row],[sprzedaż]]/100</f>
        <v>0</v>
      </c>
    </row>
    <row r="1280" spans="1:9" x14ac:dyDescent="0.25">
      <c r="A1280" s="2">
        <v>44827</v>
      </c>
      <c r="B1280" s="1" t="s">
        <v>9</v>
      </c>
      <c r="C1280" s="1" t="s">
        <v>67</v>
      </c>
      <c r="D1280" s="1" t="s">
        <v>60</v>
      </c>
      <c r="E1280">
        <v>294</v>
      </c>
      <c r="F1280" s="1">
        <f>VLOOKUP(jablka5[[#This Row],[Nazwa]],cennik[],2,0) * jablka5[[#This Row],[sprzedaż]]</f>
        <v>735</v>
      </c>
      <c r="G1280" s="1">
        <f>IF(jablka5[[#This Row],[NIP]]=D1279,jablka5[[#This Row],[sprzedaż]]+G1279,jablka5[[#This Row],[sprzedaż]])</f>
        <v>13082</v>
      </c>
      <c r="H1280" s="1">
        <f>IF(jablka5[[#This Row],[dot sprz]]&lt;15000,0,IF(jablka5[[#This Row],[dot sprz]]&lt;20000,5,10))</f>
        <v>0</v>
      </c>
      <c r="I1280" s="1">
        <f>jablka5[[#This Row],[rabat]]*jablka5[[#This Row],[sprzedaż]]/100</f>
        <v>0</v>
      </c>
    </row>
    <row r="1281" spans="1:9" x14ac:dyDescent="0.25">
      <c r="A1281" s="2">
        <v>44865</v>
      </c>
      <c r="B1281" s="1" t="s">
        <v>1</v>
      </c>
      <c r="C1281" s="1" t="s">
        <v>67</v>
      </c>
      <c r="D1281" s="1" t="s">
        <v>60</v>
      </c>
      <c r="E1281">
        <v>370</v>
      </c>
      <c r="F1281" s="1">
        <f>VLOOKUP(jablka5[[#This Row],[Nazwa]],cennik[],2,0) * jablka5[[#This Row],[sprzedaż]]</f>
        <v>1184</v>
      </c>
      <c r="G1281" s="1">
        <f>IF(jablka5[[#This Row],[NIP]]=D1280,jablka5[[#This Row],[sprzedaż]]+G1280,jablka5[[#This Row],[sprzedaż]])</f>
        <v>13452</v>
      </c>
      <c r="H1281" s="1">
        <f>IF(jablka5[[#This Row],[dot sprz]]&lt;15000,0,IF(jablka5[[#This Row],[dot sprz]]&lt;20000,5,10))</f>
        <v>0</v>
      </c>
      <c r="I1281" s="1">
        <f>jablka5[[#This Row],[rabat]]*jablka5[[#This Row],[sprzedaż]]/100</f>
        <v>0</v>
      </c>
    </row>
    <row r="1282" spans="1:9" x14ac:dyDescent="0.25">
      <c r="A1282" s="2">
        <v>44890</v>
      </c>
      <c r="B1282" s="1" t="s">
        <v>3</v>
      </c>
      <c r="C1282" s="1" t="s">
        <v>67</v>
      </c>
      <c r="D1282" s="1" t="s">
        <v>60</v>
      </c>
      <c r="E1282">
        <v>369</v>
      </c>
      <c r="F1282" s="1">
        <f>VLOOKUP(jablka5[[#This Row],[Nazwa]],cennik[],2,0) * jablka5[[#This Row],[sprzedaż]]</f>
        <v>1180.8</v>
      </c>
      <c r="G1282" s="1">
        <f>IF(jablka5[[#This Row],[NIP]]=D1281,jablka5[[#This Row],[sprzedaż]]+G1281,jablka5[[#This Row],[sprzedaż]])</f>
        <v>13821</v>
      </c>
      <c r="H1282" s="1">
        <f>IF(jablka5[[#This Row],[dot sprz]]&lt;15000,0,IF(jablka5[[#This Row],[dot sprz]]&lt;20000,5,10))</f>
        <v>0</v>
      </c>
      <c r="I1282" s="1">
        <f>jablka5[[#This Row],[rabat]]*jablka5[[#This Row],[sprzedaż]]/100</f>
        <v>0</v>
      </c>
    </row>
    <row r="1283" spans="1:9" x14ac:dyDescent="0.25">
      <c r="A1283" s="2">
        <v>44902</v>
      </c>
      <c r="B1283" s="1" t="s">
        <v>5</v>
      </c>
      <c r="C1283" s="1" t="s">
        <v>16</v>
      </c>
      <c r="D1283" s="1" t="s">
        <v>60</v>
      </c>
      <c r="E1283">
        <v>402</v>
      </c>
      <c r="F1283" s="1">
        <f>VLOOKUP(jablka5[[#This Row],[Nazwa]],cennik[],2,0) * jablka5[[#This Row],[sprzedaż]]</f>
        <v>1366.8</v>
      </c>
      <c r="G1283" s="1">
        <f>IF(jablka5[[#This Row],[NIP]]=D1282,jablka5[[#This Row],[sprzedaż]]+G1282,jablka5[[#This Row],[sprzedaż]])</f>
        <v>14223</v>
      </c>
      <c r="H1283" s="1">
        <f>IF(jablka5[[#This Row],[dot sprz]]&lt;15000,0,IF(jablka5[[#This Row],[dot sprz]]&lt;20000,5,10))</f>
        <v>0</v>
      </c>
      <c r="I1283" s="1">
        <f>jablka5[[#This Row],[rabat]]*jablka5[[#This Row],[sprzedaż]]/100</f>
        <v>0</v>
      </c>
    </row>
    <row r="1284" spans="1:9" x14ac:dyDescent="0.25">
      <c r="A1284" s="2">
        <v>44905</v>
      </c>
      <c r="B1284" s="1" t="s">
        <v>4</v>
      </c>
      <c r="C1284" s="1" t="s">
        <v>16</v>
      </c>
      <c r="D1284" s="1" t="s">
        <v>60</v>
      </c>
      <c r="E1284">
        <v>465</v>
      </c>
      <c r="F1284" s="1">
        <f>VLOOKUP(jablka5[[#This Row],[Nazwa]],cennik[],2,0) * jablka5[[#This Row],[sprzedaż]]</f>
        <v>1581</v>
      </c>
      <c r="G1284" s="1">
        <f>IF(jablka5[[#This Row],[NIP]]=D1283,jablka5[[#This Row],[sprzedaż]]+G1283,jablka5[[#This Row],[sprzedaż]])</f>
        <v>14688</v>
      </c>
      <c r="H1284" s="1">
        <f>IF(jablka5[[#This Row],[dot sprz]]&lt;15000,0,IF(jablka5[[#This Row],[dot sprz]]&lt;20000,5,10))</f>
        <v>0</v>
      </c>
      <c r="I1284" s="1">
        <f>jablka5[[#This Row],[rabat]]*jablka5[[#This Row],[sprzedaż]]/100</f>
        <v>0</v>
      </c>
    </row>
    <row r="1285" spans="1:9" x14ac:dyDescent="0.25">
      <c r="A1285" s="2">
        <v>44905</v>
      </c>
      <c r="B1285" s="1" t="s">
        <v>15</v>
      </c>
      <c r="C1285" s="1" t="s">
        <v>16</v>
      </c>
      <c r="D1285" s="1" t="s">
        <v>60</v>
      </c>
      <c r="E1285">
        <v>585</v>
      </c>
      <c r="F1285" s="1">
        <f>VLOOKUP(jablka5[[#This Row],[Nazwa]],cennik[],2,0) * jablka5[[#This Row],[sprzedaż]]</f>
        <v>1404</v>
      </c>
      <c r="G1285" s="1">
        <f>IF(jablka5[[#This Row],[NIP]]=D1284,jablka5[[#This Row],[sprzedaż]]+G1284,jablka5[[#This Row],[sprzedaż]])</f>
        <v>15273</v>
      </c>
      <c r="H1285" s="1">
        <f>IF(jablka5[[#This Row],[dot sprz]]&lt;15000,0,IF(jablka5[[#This Row],[dot sprz]]&lt;20000,5,10))</f>
        <v>5</v>
      </c>
      <c r="I1285" s="1">
        <f>jablka5[[#This Row],[rabat]]*jablka5[[#This Row],[sprzedaż]]/100</f>
        <v>29.25</v>
      </c>
    </row>
    <row r="1286" spans="1:9" x14ac:dyDescent="0.25">
      <c r="A1286" s="2">
        <v>44907</v>
      </c>
      <c r="B1286" s="1" t="s">
        <v>6</v>
      </c>
      <c r="C1286" s="1" t="s">
        <v>16</v>
      </c>
      <c r="D1286" s="1" t="s">
        <v>60</v>
      </c>
      <c r="E1286">
        <v>70</v>
      </c>
      <c r="F1286" s="1">
        <f>VLOOKUP(jablka5[[#This Row],[Nazwa]],cennik[],2,0) * jablka5[[#This Row],[sprzedaż]]</f>
        <v>238</v>
      </c>
      <c r="G1286" s="1">
        <f>IF(jablka5[[#This Row],[NIP]]=D1285,jablka5[[#This Row],[sprzedaż]]+G1285,jablka5[[#This Row],[sprzedaż]])</f>
        <v>15343</v>
      </c>
      <c r="H1286" s="1">
        <f>IF(jablka5[[#This Row],[dot sprz]]&lt;15000,0,IF(jablka5[[#This Row],[dot sprz]]&lt;20000,5,10))</f>
        <v>5</v>
      </c>
      <c r="I1286" s="1">
        <f>jablka5[[#This Row],[rabat]]*jablka5[[#This Row],[sprzedaż]]/100</f>
        <v>3.5</v>
      </c>
    </row>
    <row r="1287" spans="1:9" x14ac:dyDescent="0.25">
      <c r="A1287" s="2">
        <v>44910</v>
      </c>
      <c r="B1287" s="1" t="s">
        <v>6</v>
      </c>
      <c r="C1287" s="1" t="s">
        <v>16</v>
      </c>
      <c r="D1287" s="1" t="s">
        <v>60</v>
      </c>
      <c r="E1287">
        <v>223</v>
      </c>
      <c r="F1287" s="1">
        <f>VLOOKUP(jablka5[[#This Row],[Nazwa]],cennik[],2,0) * jablka5[[#This Row],[sprzedaż]]</f>
        <v>758.19999999999993</v>
      </c>
      <c r="G1287" s="1">
        <f>IF(jablka5[[#This Row],[NIP]]=D1286,jablka5[[#This Row],[sprzedaż]]+G1286,jablka5[[#This Row],[sprzedaż]])</f>
        <v>15566</v>
      </c>
      <c r="H1287" s="1">
        <f>IF(jablka5[[#This Row],[dot sprz]]&lt;15000,0,IF(jablka5[[#This Row],[dot sprz]]&lt;20000,5,10))</f>
        <v>5</v>
      </c>
      <c r="I1287" s="1">
        <f>jablka5[[#This Row],[rabat]]*jablka5[[#This Row],[sprzedaż]]/100</f>
        <v>11.15</v>
      </c>
    </row>
    <row r="1288" spans="1:9" x14ac:dyDescent="0.25">
      <c r="A1288" s="2">
        <v>44572</v>
      </c>
      <c r="B1288" s="1" t="s">
        <v>5</v>
      </c>
      <c r="C1288" s="1" t="s">
        <v>16</v>
      </c>
      <c r="D1288" s="1" t="s">
        <v>55</v>
      </c>
      <c r="E1288">
        <v>13</v>
      </c>
      <c r="F1288" s="1">
        <f>VLOOKUP(jablka5[[#This Row],[Nazwa]],cennik[],2,0) * jablka5[[#This Row],[sprzedaż]]</f>
        <v>44.199999999999996</v>
      </c>
      <c r="G1288" s="1">
        <f>IF(jablka5[[#This Row],[NIP]]=D1287,jablka5[[#This Row],[sprzedaż]]+G1287,jablka5[[#This Row],[sprzedaż]])</f>
        <v>13</v>
      </c>
      <c r="H1288" s="1">
        <f>IF(jablka5[[#This Row],[dot sprz]]&lt;15000,0,IF(jablka5[[#This Row],[dot sprz]]&lt;20000,5,10))</f>
        <v>0</v>
      </c>
      <c r="I1288" s="1">
        <f>jablka5[[#This Row],[rabat]]*jablka5[[#This Row],[sprzedaż]]/100</f>
        <v>0</v>
      </c>
    </row>
    <row r="1289" spans="1:9" x14ac:dyDescent="0.25">
      <c r="A1289" s="2">
        <v>44580</v>
      </c>
      <c r="B1289" s="1" t="s">
        <v>7</v>
      </c>
      <c r="C1289" s="1" t="s">
        <v>16</v>
      </c>
      <c r="D1289" s="1" t="s">
        <v>55</v>
      </c>
      <c r="E1289">
        <v>241</v>
      </c>
      <c r="F1289" s="1">
        <f>VLOOKUP(jablka5[[#This Row],[Nazwa]],cennik[],2,0) * jablka5[[#This Row],[sprzedaż]]</f>
        <v>819.4</v>
      </c>
      <c r="G1289" s="1">
        <f>IF(jablka5[[#This Row],[NIP]]=D1288,jablka5[[#This Row],[sprzedaż]]+G1288,jablka5[[#This Row],[sprzedaż]])</f>
        <v>254</v>
      </c>
      <c r="H1289" s="1">
        <f>IF(jablka5[[#This Row],[dot sprz]]&lt;15000,0,IF(jablka5[[#This Row],[dot sprz]]&lt;20000,5,10))</f>
        <v>0</v>
      </c>
      <c r="I1289" s="1">
        <f>jablka5[[#This Row],[rabat]]*jablka5[[#This Row],[sprzedaż]]/100</f>
        <v>0</v>
      </c>
    </row>
    <row r="1290" spans="1:9" x14ac:dyDescent="0.25">
      <c r="A1290" s="2">
        <v>44585</v>
      </c>
      <c r="B1290" s="1" t="s">
        <v>6</v>
      </c>
      <c r="C1290" s="1" t="s">
        <v>16</v>
      </c>
      <c r="D1290" s="1" t="s">
        <v>55</v>
      </c>
      <c r="E1290">
        <v>113</v>
      </c>
      <c r="F1290" s="1">
        <f>VLOOKUP(jablka5[[#This Row],[Nazwa]],cennik[],2,0) * jablka5[[#This Row],[sprzedaż]]</f>
        <v>384.2</v>
      </c>
      <c r="G1290" s="1">
        <f>IF(jablka5[[#This Row],[NIP]]=D1289,jablka5[[#This Row],[sprzedaż]]+G1289,jablka5[[#This Row],[sprzedaż]])</f>
        <v>367</v>
      </c>
      <c r="H1290" s="1">
        <f>IF(jablka5[[#This Row],[dot sprz]]&lt;15000,0,IF(jablka5[[#This Row],[dot sprz]]&lt;20000,5,10))</f>
        <v>0</v>
      </c>
      <c r="I1290" s="1">
        <f>jablka5[[#This Row],[rabat]]*jablka5[[#This Row],[sprzedaż]]/100</f>
        <v>0</v>
      </c>
    </row>
    <row r="1291" spans="1:9" x14ac:dyDescent="0.25">
      <c r="A1291" s="2">
        <v>44592</v>
      </c>
      <c r="B1291" s="1" t="s">
        <v>7</v>
      </c>
      <c r="C1291" s="1" t="s">
        <v>16</v>
      </c>
      <c r="D1291" s="1" t="s">
        <v>55</v>
      </c>
      <c r="E1291">
        <v>317</v>
      </c>
      <c r="F1291" s="1">
        <f>VLOOKUP(jablka5[[#This Row],[Nazwa]],cennik[],2,0) * jablka5[[#This Row],[sprzedaż]]</f>
        <v>1077.8</v>
      </c>
      <c r="G1291" s="1">
        <f>IF(jablka5[[#This Row],[NIP]]=D1290,jablka5[[#This Row],[sprzedaż]]+G1290,jablka5[[#This Row],[sprzedaż]])</f>
        <v>684</v>
      </c>
      <c r="H1291" s="1">
        <f>IF(jablka5[[#This Row],[dot sprz]]&lt;15000,0,IF(jablka5[[#This Row],[dot sprz]]&lt;20000,5,10))</f>
        <v>0</v>
      </c>
      <c r="I1291" s="1">
        <f>jablka5[[#This Row],[rabat]]*jablka5[[#This Row],[sprzedaż]]/100</f>
        <v>0</v>
      </c>
    </row>
    <row r="1292" spans="1:9" x14ac:dyDescent="0.25">
      <c r="A1292" s="2">
        <v>44594</v>
      </c>
      <c r="B1292" s="1" t="s">
        <v>5</v>
      </c>
      <c r="C1292" s="1" t="s">
        <v>16</v>
      </c>
      <c r="D1292" s="1" t="s">
        <v>55</v>
      </c>
      <c r="E1292">
        <v>19</v>
      </c>
      <c r="F1292" s="1">
        <f>VLOOKUP(jablka5[[#This Row],[Nazwa]],cennik[],2,0) * jablka5[[#This Row],[sprzedaż]]</f>
        <v>64.599999999999994</v>
      </c>
      <c r="G1292" s="1">
        <f>IF(jablka5[[#This Row],[NIP]]=D1291,jablka5[[#This Row],[sprzedaż]]+G1291,jablka5[[#This Row],[sprzedaż]])</f>
        <v>703</v>
      </c>
      <c r="H1292" s="1">
        <f>IF(jablka5[[#This Row],[dot sprz]]&lt;15000,0,IF(jablka5[[#This Row],[dot sprz]]&lt;20000,5,10))</f>
        <v>0</v>
      </c>
      <c r="I1292" s="1">
        <f>jablka5[[#This Row],[rabat]]*jablka5[[#This Row],[sprzedaż]]/100</f>
        <v>0</v>
      </c>
    </row>
    <row r="1293" spans="1:9" x14ac:dyDescent="0.25">
      <c r="A1293" s="2">
        <v>44599</v>
      </c>
      <c r="B1293" s="1" t="s">
        <v>7</v>
      </c>
      <c r="C1293" s="1" t="s">
        <v>16</v>
      </c>
      <c r="D1293" s="1" t="s">
        <v>55</v>
      </c>
      <c r="E1293">
        <v>578</v>
      </c>
      <c r="F1293" s="1">
        <f>VLOOKUP(jablka5[[#This Row],[Nazwa]],cennik[],2,0) * jablka5[[#This Row],[sprzedaż]]</f>
        <v>1965.2</v>
      </c>
      <c r="G1293" s="1">
        <f>IF(jablka5[[#This Row],[NIP]]=D1292,jablka5[[#This Row],[sprzedaż]]+G1292,jablka5[[#This Row],[sprzedaż]])</f>
        <v>1281</v>
      </c>
      <c r="H1293" s="1">
        <f>IF(jablka5[[#This Row],[dot sprz]]&lt;15000,0,IF(jablka5[[#This Row],[dot sprz]]&lt;20000,5,10))</f>
        <v>0</v>
      </c>
      <c r="I1293" s="1">
        <f>jablka5[[#This Row],[rabat]]*jablka5[[#This Row],[sprzedaż]]/100</f>
        <v>0</v>
      </c>
    </row>
    <row r="1294" spans="1:9" x14ac:dyDescent="0.25">
      <c r="A1294" s="2">
        <v>44610</v>
      </c>
      <c r="B1294" s="1" t="s">
        <v>10</v>
      </c>
      <c r="C1294" s="1" t="s">
        <v>16</v>
      </c>
      <c r="D1294" s="1" t="s">
        <v>55</v>
      </c>
      <c r="E1294">
        <v>243</v>
      </c>
      <c r="F1294" s="1">
        <f>VLOOKUP(jablka5[[#This Row],[Nazwa]],cennik[],2,0) * jablka5[[#This Row],[sprzedaż]]</f>
        <v>826.19999999999993</v>
      </c>
      <c r="G1294" s="1">
        <f>IF(jablka5[[#This Row],[NIP]]=D1293,jablka5[[#This Row],[sprzedaż]]+G1293,jablka5[[#This Row],[sprzedaż]])</f>
        <v>1524</v>
      </c>
      <c r="H1294" s="1">
        <f>IF(jablka5[[#This Row],[dot sprz]]&lt;15000,0,IF(jablka5[[#This Row],[dot sprz]]&lt;20000,5,10))</f>
        <v>0</v>
      </c>
      <c r="I1294" s="1">
        <f>jablka5[[#This Row],[rabat]]*jablka5[[#This Row],[sprzedaż]]/100</f>
        <v>0</v>
      </c>
    </row>
    <row r="1295" spans="1:9" x14ac:dyDescent="0.25">
      <c r="A1295" s="2">
        <v>44611</v>
      </c>
      <c r="B1295" s="1" t="s">
        <v>8</v>
      </c>
      <c r="C1295" s="1" t="s">
        <v>16</v>
      </c>
      <c r="D1295" s="1" t="s">
        <v>55</v>
      </c>
      <c r="E1295">
        <v>682</v>
      </c>
      <c r="F1295" s="1">
        <f>VLOOKUP(jablka5[[#This Row],[Nazwa]],cennik[],2,0) * jablka5[[#This Row],[sprzedaż]]</f>
        <v>2387</v>
      </c>
      <c r="G1295" s="1">
        <f>IF(jablka5[[#This Row],[NIP]]=D1294,jablka5[[#This Row],[sprzedaż]]+G1294,jablka5[[#This Row],[sprzedaż]])</f>
        <v>2206</v>
      </c>
      <c r="H1295" s="1">
        <f>IF(jablka5[[#This Row],[dot sprz]]&lt;15000,0,IF(jablka5[[#This Row],[dot sprz]]&lt;20000,5,10))</f>
        <v>0</v>
      </c>
      <c r="I1295" s="1">
        <f>jablka5[[#This Row],[rabat]]*jablka5[[#This Row],[sprzedaż]]/100</f>
        <v>0</v>
      </c>
    </row>
    <row r="1296" spans="1:9" x14ac:dyDescent="0.25">
      <c r="A1296" s="2">
        <v>44623</v>
      </c>
      <c r="B1296" s="1" t="s">
        <v>0</v>
      </c>
      <c r="C1296" s="1" t="s">
        <v>16</v>
      </c>
      <c r="D1296" s="1" t="s">
        <v>55</v>
      </c>
      <c r="E1296">
        <v>426</v>
      </c>
      <c r="F1296" s="1">
        <f>VLOOKUP(jablka5[[#This Row],[Nazwa]],cennik[],2,0) * jablka5[[#This Row],[sprzedaż]]</f>
        <v>1235.3999999999999</v>
      </c>
      <c r="G1296" s="1">
        <f>IF(jablka5[[#This Row],[NIP]]=D1295,jablka5[[#This Row],[sprzedaż]]+G1295,jablka5[[#This Row],[sprzedaż]])</f>
        <v>2632</v>
      </c>
      <c r="H1296" s="1">
        <f>IF(jablka5[[#This Row],[dot sprz]]&lt;15000,0,IF(jablka5[[#This Row],[dot sprz]]&lt;20000,5,10))</f>
        <v>0</v>
      </c>
      <c r="I1296" s="1">
        <f>jablka5[[#This Row],[rabat]]*jablka5[[#This Row],[sprzedaż]]/100</f>
        <v>0</v>
      </c>
    </row>
    <row r="1297" spans="1:9" x14ac:dyDescent="0.25">
      <c r="A1297" s="2">
        <v>44623</v>
      </c>
      <c r="B1297" s="1" t="s">
        <v>10</v>
      </c>
      <c r="C1297" s="1" t="s">
        <v>16</v>
      </c>
      <c r="D1297" s="1" t="s">
        <v>55</v>
      </c>
      <c r="E1297">
        <v>80</v>
      </c>
      <c r="F1297" s="1">
        <f>VLOOKUP(jablka5[[#This Row],[Nazwa]],cennik[],2,0) * jablka5[[#This Row],[sprzedaż]]</f>
        <v>272</v>
      </c>
      <c r="G1297" s="1">
        <f>IF(jablka5[[#This Row],[NIP]]=D1296,jablka5[[#This Row],[sprzedaż]]+G1296,jablka5[[#This Row],[sprzedaż]])</f>
        <v>2712</v>
      </c>
      <c r="H1297" s="1">
        <f>IF(jablka5[[#This Row],[dot sprz]]&lt;15000,0,IF(jablka5[[#This Row],[dot sprz]]&lt;20000,5,10))</f>
        <v>0</v>
      </c>
      <c r="I1297" s="1">
        <f>jablka5[[#This Row],[rabat]]*jablka5[[#This Row],[sprzedaż]]/100</f>
        <v>0</v>
      </c>
    </row>
    <row r="1298" spans="1:9" x14ac:dyDescent="0.25">
      <c r="A1298" s="2">
        <v>44631</v>
      </c>
      <c r="B1298" s="1" t="s">
        <v>7</v>
      </c>
      <c r="C1298" s="1" t="s">
        <v>16</v>
      </c>
      <c r="D1298" s="1" t="s">
        <v>55</v>
      </c>
      <c r="E1298">
        <v>482</v>
      </c>
      <c r="F1298" s="1">
        <f>VLOOKUP(jablka5[[#This Row],[Nazwa]],cennik[],2,0) * jablka5[[#This Row],[sprzedaż]]</f>
        <v>1638.8</v>
      </c>
      <c r="G1298" s="1">
        <f>IF(jablka5[[#This Row],[NIP]]=D1297,jablka5[[#This Row],[sprzedaż]]+G1297,jablka5[[#This Row],[sprzedaż]])</f>
        <v>3194</v>
      </c>
      <c r="H1298" s="1">
        <f>IF(jablka5[[#This Row],[dot sprz]]&lt;15000,0,IF(jablka5[[#This Row],[dot sprz]]&lt;20000,5,10))</f>
        <v>0</v>
      </c>
      <c r="I1298" s="1">
        <f>jablka5[[#This Row],[rabat]]*jablka5[[#This Row],[sprzedaż]]/100</f>
        <v>0</v>
      </c>
    </row>
    <row r="1299" spans="1:9" x14ac:dyDescent="0.25">
      <c r="A1299" s="2">
        <v>44634</v>
      </c>
      <c r="B1299" s="1" t="s">
        <v>4</v>
      </c>
      <c r="C1299" s="1" t="s">
        <v>16</v>
      </c>
      <c r="D1299" s="1" t="s">
        <v>55</v>
      </c>
      <c r="E1299">
        <v>661</v>
      </c>
      <c r="F1299" s="1">
        <f>VLOOKUP(jablka5[[#This Row],[Nazwa]],cennik[],2,0) * jablka5[[#This Row],[sprzedaż]]</f>
        <v>2247.4</v>
      </c>
      <c r="G1299" s="1">
        <f>IF(jablka5[[#This Row],[NIP]]=D1298,jablka5[[#This Row],[sprzedaż]]+G1298,jablka5[[#This Row],[sprzedaż]])</f>
        <v>3855</v>
      </c>
      <c r="H1299" s="1">
        <f>IF(jablka5[[#This Row],[dot sprz]]&lt;15000,0,IF(jablka5[[#This Row],[dot sprz]]&lt;20000,5,10))</f>
        <v>0</v>
      </c>
      <c r="I1299" s="1">
        <f>jablka5[[#This Row],[rabat]]*jablka5[[#This Row],[sprzedaż]]/100</f>
        <v>0</v>
      </c>
    </row>
    <row r="1300" spans="1:9" x14ac:dyDescent="0.25">
      <c r="A1300" s="2">
        <v>44635</v>
      </c>
      <c r="B1300" s="1" t="s">
        <v>5</v>
      </c>
      <c r="C1300" s="1" t="s">
        <v>16</v>
      </c>
      <c r="D1300" s="1" t="s">
        <v>55</v>
      </c>
      <c r="E1300">
        <v>393</v>
      </c>
      <c r="F1300" s="1">
        <f>VLOOKUP(jablka5[[#This Row],[Nazwa]],cennik[],2,0) * jablka5[[#This Row],[sprzedaż]]</f>
        <v>1336.2</v>
      </c>
      <c r="G1300" s="1">
        <f>IF(jablka5[[#This Row],[NIP]]=D1299,jablka5[[#This Row],[sprzedaż]]+G1299,jablka5[[#This Row],[sprzedaż]])</f>
        <v>4248</v>
      </c>
      <c r="H1300" s="1">
        <f>IF(jablka5[[#This Row],[dot sprz]]&lt;15000,0,IF(jablka5[[#This Row],[dot sprz]]&lt;20000,5,10))</f>
        <v>0</v>
      </c>
      <c r="I1300" s="1">
        <f>jablka5[[#This Row],[rabat]]*jablka5[[#This Row],[sprzedaż]]/100</f>
        <v>0</v>
      </c>
    </row>
    <row r="1301" spans="1:9" x14ac:dyDescent="0.25">
      <c r="A1301" s="2">
        <v>44649</v>
      </c>
      <c r="B1301" s="1" t="s">
        <v>4</v>
      </c>
      <c r="C1301" s="1" t="s">
        <v>16</v>
      </c>
      <c r="D1301" s="1" t="s">
        <v>55</v>
      </c>
      <c r="E1301">
        <v>535</v>
      </c>
      <c r="F1301" s="1">
        <f>VLOOKUP(jablka5[[#This Row],[Nazwa]],cennik[],2,0) * jablka5[[#This Row],[sprzedaż]]</f>
        <v>1819</v>
      </c>
      <c r="G1301" s="1">
        <f>IF(jablka5[[#This Row],[NIP]]=D1300,jablka5[[#This Row],[sprzedaż]]+G1300,jablka5[[#This Row],[sprzedaż]])</f>
        <v>4783</v>
      </c>
      <c r="H1301" s="1">
        <f>IF(jablka5[[#This Row],[dot sprz]]&lt;15000,0,IF(jablka5[[#This Row],[dot sprz]]&lt;20000,5,10))</f>
        <v>0</v>
      </c>
      <c r="I1301" s="1">
        <f>jablka5[[#This Row],[rabat]]*jablka5[[#This Row],[sprzedaż]]/100</f>
        <v>0</v>
      </c>
    </row>
    <row r="1302" spans="1:9" x14ac:dyDescent="0.25">
      <c r="A1302" s="2">
        <v>44659</v>
      </c>
      <c r="B1302" s="1" t="s">
        <v>6</v>
      </c>
      <c r="C1302" s="1" t="s">
        <v>16</v>
      </c>
      <c r="D1302" s="1" t="s">
        <v>55</v>
      </c>
      <c r="E1302">
        <v>101</v>
      </c>
      <c r="F1302" s="1">
        <f>VLOOKUP(jablka5[[#This Row],[Nazwa]],cennik[],2,0) * jablka5[[#This Row],[sprzedaż]]</f>
        <v>343.4</v>
      </c>
      <c r="G1302" s="1">
        <f>IF(jablka5[[#This Row],[NIP]]=D1301,jablka5[[#This Row],[sprzedaż]]+G1301,jablka5[[#This Row],[sprzedaż]])</f>
        <v>4884</v>
      </c>
      <c r="H1302" s="1">
        <f>IF(jablka5[[#This Row],[dot sprz]]&lt;15000,0,IF(jablka5[[#This Row],[dot sprz]]&lt;20000,5,10))</f>
        <v>0</v>
      </c>
      <c r="I1302" s="1">
        <f>jablka5[[#This Row],[rabat]]*jablka5[[#This Row],[sprzedaż]]/100</f>
        <v>0</v>
      </c>
    </row>
    <row r="1303" spans="1:9" x14ac:dyDescent="0.25">
      <c r="A1303" s="2">
        <v>44698</v>
      </c>
      <c r="B1303" s="1" t="s">
        <v>5</v>
      </c>
      <c r="C1303" s="1" t="s">
        <v>16</v>
      </c>
      <c r="D1303" s="1" t="s">
        <v>55</v>
      </c>
      <c r="E1303">
        <v>43</v>
      </c>
      <c r="F1303" s="1">
        <f>VLOOKUP(jablka5[[#This Row],[Nazwa]],cennik[],2,0) * jablka5[[#This Row],[sprzedaż]]</f>
        <v>146.19999999999999</v>
      </c>
      <c r="G1303" s="1">
        <f>IF(jablka5[[#This Row],[NIP]]=D1302,jablka5[[#This Row],[sprzedaż]]+G1302,jablka5[[#This Row],[sprzedaż]])</f>
        <v>4927</v>
      </c>
      <c r="H1303" s="1">
        <f>IF(jablka5[[#This Row],[dot sprz]]&lt;15000,0,IF(jablka5[[#This Row],[dot sprz]]&lt;20000,5,10))</f>
        <v>0</v>
      </c>
      <c r="I1303" s="1">
        <f>jablka5[[#This Row],[rabat]]*jablka5[[#This Row],[sprzedaż]]/100</f>
        <v>0</v>
      </c>
    </row>
    <row r="1304" spans="1:9" x14ac:dyDescent="0.25">
      <c r="A1304" s="2">
        <v>44700</v>
      </c>
      <c r="B1304" s="1" t="s">
        <v>15</v>
      </c>
      <c r="C1304" s="1" t="s">
        <v>16</v>
      </c>
      <c r="D1304" s="1" t="s">
        <v>55</v>
      </c>
      <c r="E1304">
        <v>562</v>
      </c>
      <c r="F1304" s="1">
        <f>VLOOKUP(jablka5[[#This Row],[Nazwa]],cennik[],2,0) * jablka5[[#This Row],[sprzedaż]]</f>
        <v>1348.8</v>
      </c>
      <c r="G1304" s="1">
        <f>IF(jablka5[[#This Row],[NIP]]=D1303,jablka5[[#This Row],[sprzedaż]]+G1303,jablka5[[#This Row],[sprzedaż]])</f>
        <v>5489</v>
      </c>
      <c r="H1304" s="1">
        <f>IF(jablka5[[#This Row],[dot sprz]]&lt;15000,0,IF(jablka5[[#This Row],[dot sprz]]&lt;20000,5,10))</f>
        <v>0</v>
      </c>
      <c r="I1304" s="1">
        <f>jablka5[[#This Row],[rabat]]*jablka5[[#This Row],[sprzedaż]]/100</f>
        <v>0</v>
      </c>
    </row>
    <row r="1305" spans="1:9" x14ac:dyDescent="0.25">
      <c r="A1305" s="2">
        <v>44712</v>
      </c>
      <c r="B1305" s="1" t="s">
        <v>2</v>
      </c>
      <c r="C1305" s="1" t="s">
        <v>16</v>
      </c>
      <c r="D1305" s="1" t="s">
        <v>55</v>
      </c>
      <c r="E1305">
        <v>49</v>
      </c>
      <c r="F1305" s="1">
        <f>VLOOKUP(jablka5[[#This Row],[Nazwa]],cennik[],2,0) * jablka5[[#This Row],[sprzedaż]]</f>
        <v>156.80000000000001</v>
      </c>
      <c r="G1305" s="1">
        <f>IF(jablka5[[#This Row],[NIP]]=D1304,jablka5[[#This Row],[sprzedaż]]+G1304,jablka5[[#This Row],[sprzedaż]])</f>
        <v>5538</v>
      </c>
      <c r="H1305" s="1">
        <f>IF(jablka5[[#This Row],[dot sprz]]&lt;15000,0,IF(jablka5[[#This Row],[dot sprz]]&lt;20000,5,10))</f>
        <v>0</v>
      </c>
      <c r="I1305" s="1">
        <f>jablka5[[#This Row],[rabat]]*jablka5[[#This Row],[sprzedaż]]/100</f>
        <v>0</v>
      </c>
    </row>
    <row r="1306" spans="1:9" x14ac:dyDescent="0.25">
      <c r="A1306" s="2">
        <v>44725</v>
      </c>
      <c r="B1306" s="1" t="s">
        <v>13</v>
      </c>
      <c r="C1306" s="1" t="s">
        <v>68</v>
      </c>
      <c r="D1306" s="1" t="s">
        <v>55</v>
      </c>
      <c r="E1306">
        <v>27</v>
      </c>
      <c r="F1306" s="1">
        <f>VLOOKUP(jablka5[[#This Row],[Nazwa]],cennik[],2,0) * jablka5[[#This Row],[sprzedaż]]</f>
        <v>86.4</v>
      </c>
      <c r="G1306" s="1">
        <f>IF(jablka5[[#This Row],[NIP]]=D1305,jablka5[[#This Row],[sprzedaż]]+G1305,jablka5[[#This Row],[sprzedaż]])</f>
        <v>5565</v>
      </c>
      <c r="H1306" s="1">
        <f>IF(jablka5[[#This Row],[dot sprz]]&lt;15000,0,IF(jablka5[[#This Row],[dot sprz]]&lt;20000,5,10))</f>
        <v>0</v>
      </c>
      <c r="I1306" s="1">
        <f>jablka5[[#This Row],[rabat]]*jablka5[[#This Row],[sprzedaż]]/100</f>
        <v>0</v>
      </c>
    </row>
    <row r="1307" spans="1:9" x14ac:dyDescent="0.25">
      <c r="A1307" s="2">
        <v>44727</v>
      </c>
      <c r="B1307" s="1" t="s">
        <v>14</v>
      </c>
      <c r="C1307" s="1" t="s">
        <v>67</v>
      </c>
      <c r="D1307" s="1" t="s">
        <v>55</v>
      </c>
      <c r="E1307">
        <v>69</v>
      </c>
      <c r="F1307" s="1">
        <f>VLOOKUP(jablka5[[#This Row],[Nazwa]],cennik[],2,0) * jablka5[[#This Row],[sprzedaż]]</f>
        <v>241.5</v>
      </c>
      <c r="G1307" s="1">
        <f>IF(jablka5[[#This Row],[NIP]]=D1306,jablka5[[#This Row],[sprzedaż]]+G1306,jablka5[[#This Row],[sprzedaż]])</f>
        <v>5634</v>
      </c>
      <c r="H1307" s="1">
        <f>IF(jablka5[[#This Row],[dot sprz]]&lt;15000,0,IF(jablka5[[#This Row],[dot sprz]]&lt;20000,5,10))</f>
        <v>0</v>
      </c>
      <c r="I1307" s="1">
        <f>jablka5[[#This Row],[rabat]]*jablka5[[#This Row],[sprzedaż]]/100</f>
        <v>0</v>
      </c>
    </row>
    <row r="1308" spans="1:9" x14ac:dyDescent="0.25">
      <c r="A1308" s="2">
        <v>44729</v>
      </c>
      <c r="B1308" s="1" t="s">
        <v>13</v>
      </c>
      <c r="C1308" s="1" t="s">
        <v>68</v>
      </c>
      <c r="D1308" s="1" t="s">
        <v>55</v>
      </c>
      <c r="E1308">
        <v>160</v>
      </c>
      <c r="F1308" s="1">
        <f>VLOOKUP(jablka5[[#This Row],[Nazwa]],cennik[],2,0) * jablka5[[#This Row],[sprzedaż]]</f>
        <v>512</v>
      </c>
      <c r="G1308" s="1">
        <f>IF(jablka5[[#This Row],[NIP]]=D1307,jablka5[[#This Row],[sprzedaż]]+G1307,jablka5[[#This Row],[sprzedaż]])</f>
        <v>5794</v>
      </c>
      <c r="H1308" s="1">
        <f>IF(jablka5[[#This Row],[dot sprz]]&lt;15000,0,IF(jablka5[[#This Row],[dot sprz]]&lt;20000,5,10))</f>
        <v>0</v>
      </c>
      <c r="I1308" s="1">
        <f>jablka5[[#This Row],[rabat]]*jablka5[[#This Row],[sprzedaż]]/100</f>
        <v>0</v>
      </c>
    </row>
    <row r="1309" spans="1:9" x14ac:dyDescent="0.25">
      <c r="A1309" s="2">
        <v>44749</v>
      </c>
      <c r="B1309" s="1" t="s">
        <v>12</v>
      </c>
      <c r="C1309" s="1" t="s">
        <v>68</v>
      </c>
      <c r="D1309" s="1" t="s">
        <v>55</v>
      </c>
      <c r="E1309">
        <v>213</v>
      </c>
      <c r="F1309" s="1">
        <f>VLOOKUP(jablka5[[#This Row],[Nazwa]],cennik[],2,0) * jablka5[[#This Row],[sprzedaż]]</f>
        <v>575.1</v>
      </c>
      <c r="G1309" s="1">
        <f>IF(jablka5[[#This Row],[NIP]]=D1308,jablka5[[#This Row],[sprzedaż]]+G1308,jablka5[[#This Row],[sprzedaż]])</f>
        <v>6007</v>
      </c>
      <c r="H1309" s="1">
        <f>IF(jablka5[[#This Row],[dot sprz]]&lt;15000,0,IF(jablka5[[#This Row],[dot sprz]]&lt;20000,5,10))</f>
        <v>0</v>
      </c>
      <c r="I1309" s="1">
        <f>jablka5[[#This Row],[rabat]]*jablka5[[#This Row],[sprzedaż]]/100</f>
        <v>0</v>
      </c>
    </row>
    <row r="1310" spans="1:9" x14ac:dyDescent="0.25">
      <c r="A1310" s="2">
        <v>44750</v>
      </c>
      <c r="B1310" s="1" t="s">
        <v>12</v>
      </c>
      <c r="C1310" s="1" t="s">
        <v>68</v>
      </c>
      <c r="D1310" s="1" t="s">
        <v>55</v>
      </c>
      <c r="E1310">
        <v>441</v>
      </c>
      <c r="F1310" s="1">
        <f>VLOOKUP(jablka5[[#This Row],[Nazwa]],cennik[],2,0) * jablka5[[#This Row],[sprzedaż]]</f>
        <v>1190.7</v>
      </c>
      <c r="G1310" s="1">
        <f>IF(jablka5[[#This Row],[NIP]]=D1309,jablka5[[#This Row],[sprzedaż]]+G1309,jablka5[[#This Row],[sprzedaż]])</f>
        <v>6448</v>
      </c>
      <c r="H1310" s="1">
        <f>IF(jablka5[[#This Row],[dot sprz]]&lt;15000,0,IF(jablka5[[#This Row],[dot sprz]]&lt;20000,5,10))</f>
        <v>0</v>
      </c>
      <c r="I1310" s="1">
        <f>jablka5[[#This Row],[rabat]]*jablka5[[#This Row],[sprzedaż]]/100</f>
        <v>0</v>
      </c>
    </row>
    <row r="1311" spans="1:9" x14ac:dyDescent="0.25">
      <c r="A1311" s="2">
        <v>44753</v>
      </c>
      <c r="B1311" s="1" t="s">
        <v>13</v>
      </c>
      <c r="C1311" s="1" t="s">
        <v>68</v>
      </c>
      <c r="D1311" s="1" t="s">
        <v>55</v>
      </c>
      <c r="E1311">
        <v>149</v>
      </c>
      <c r="F1311" s="1">
        <f>VLOOKUP(jablka5[[#This Row],[Nazwa]],cennik[],2,0) * jablka5[[#This Row],[sprzedaż]]</f>
        <v>476.8</v>
      </c>
      <c r="G1311" s="1">
        <f>IF(jablka5[[#This Row],[NIP]]=D1310,jablka5[[#This Row],[sprzedaż]]+G1310,jablka5[[#This Row],[sprzedaż]])</f>
        <v>6597</v>
      </c>
      <c r="H1311" s="1">
        <f>IF(jablka5[[#This Row],[dot sprz]]&lt;15000,0,IF(jablka5[[#This Row],[dot sprz]]&lt;20000,5,10))</f>
        <v>0</v>
      </c>
      <c r="I1311" s="1">
        <f>jablka5[[#This Row],[rabat]]*jablka5[[#This Row],[sprzedaż]]/100</f>
        <v>0</v>
      </c>
    </row>
    <row r="1312" spans="1:9" x14ac:dyDescent="0.25">
      <c r="A1312" s="2">
        <v>44760</v>
      </c>
      <c r="B1312" s="1" t="s">
        <v>12</v>
      </c>
      <c r="C1312" s="1" t="s">
        <v>68</v>
      </c>
      <c r="D1312" s="1" t="s">
        <v>55</v>
      </c>
      <c r="E1312">
        <v>316</v>
      </c>
      <c r="F1312" s="1">
        <f>VLOOKUP(jablka5[[#This Row],[Nazwa]],cennik[],2,0) * jablka5[[#This Row],[sprzedaż]]</f>
        <v>853.2</v>
      </c>
      <c r="G1312" s="1">
        <f>IF(jablka5[[#This Row],[NIP]]=D1311,jablka5[[#This Row],[sprzedaż]]+G1311,jablka5[[#This Row],[sprzedaż]])</f>
        <v>6913</v>
      </c>
      <c r="H1312" s="1">
        <f>IF(jablka5[[#This Row],[dot sprz]]&lt;15000,0,IF(jablka5[[#This Row],[dot sprz]]&lt;20000,5,10))</f>
        <v>0</v>
      </c>
      <c r="I1312" s="1">
        <f>jablka5[[#This Row],[rabat]]*jablka5[[#This Row],[sprzedaż]]/100</f>
        <v>0</v>
      </c>
    </row>
    <row r="1313" spans="1:9" x14ac:dyDescent="0.25">
      <c r="A1313" s="2">
        <v>44767</v>
      </c>
      <c r="B1313" s="1" t="s">
        <v>12</v>
      </c>
      <c r="C1313" s="1" t="s">
        <v>68</v>
      </c>
      <c r="D1313" s="1" t="s">
        <v>55</v>
      </c>
      <c r="E1313">
        <v>54</v>
      </c>
      <c r="F1313" s="1">
        <f>VLOOKUP(jablka5[[#This Row],[Nazwa]],cennik[],2,0) * jablka5[[#This Row],[sprzedaż]]</f>
        <v>145.80000000000001</v>
      </c>
      <c r="G1313" s="1">
        <f>IF(jablka5[[#This Row],[NIP]]=D1312,jablka5[[#This Row],[sprzedaż]]+G1312,jablka5[[#This Row],[sprzedaż]])</f>
        <v>6967</v>
      </c>
      <c r="H1313" s="1">
        <f>IF(jablka5[[#This Row],[dot sprz]]&lt;15000,0,IF(jablka5[[#This Row],[dot sprz]]&lt;20000,5,10))</f>
        <v>0</v>
      </c>
      <c r="I1313" s="1">
        <f>jablka5[[#This Row],[rabat]]*jablka5[[#This Row],[sprzedaż]]/100</f>
        <v>0</v>
      </c>
    </row>
    <row r="1314" spans="1:9" x14ac:dyDescent="0.25">
      <c r="A1314" s="2">
        <v>44777</v>
      </c>
      <c r="B1314" s="1" t="s">
        <v>13</v>
      </c>
      <c r="C1314" s="1" t="s">
        <v>68</v>
      </c>
      <c r="D1314" s="1" t="s">
        <v>55</v>
      </c>
      <c r="E1314">
        <v>14</v>
      </c>
      <c r="F1314" s="1">
        <f>VLOOKUP(jablka5[[#This Row],[Nazwa]],cennik[],2,0) * jablka5[[#This Row],[sprzedaż]]</f>
        <v>44.800000000000004</v>
      </c>
      <c r="G1314" s="1">
        <f>IF(jablka5[[#This Row],[NIP]]=D1313,jablka5[[#This Row],[sprzedaż]]+G1313,jablka5[[#This Row],[sprzedaż]])</f>
        <v>6981</v>
      </c>
      <c r="H1314" s="1">
        <f>IF(jablka5[[#This Row],[dot sprz]]&lt;15000,0,IF(jablka5[[#This Row],[dot sprz]]&lt;20000,5,10))</f>
        <v>0</v>
      </c>
      <c r="I1314" s="1">
        <f>jablka5[[#This Row],[rabat]]*jablka5[[#This Row],[sprzedaż]]/100</f>
        <v>0</v>
      </c>
    </row>
    <row r="1315" spans="1:9" x14ac:dyDescent="0.25">
      <c r="A1315" s="2">
        <v>44778</v>
      </c>
      <c r="B1315" s="1" t="s">
        <v>13</v>
      </c>
      <c r="C1315" s="1" t="s">
        <v>68</v>
      </c>
      <c r="D1315" s="1" t="s">
        <v>55</v>
      </c>
      <c r="E1315">
        <v>54</v>
      </c>
      <c r="F1315" s="1">
        <f>VLOOKUP(jablka5[[#This Row],[Nazwa]],cennik[],2,0) * jablka5[[#This Row],[sprzedaż]]</f>
        <v>172.8</v>
      </c>
      <c r="G1315" s="1">
        <f>IF(jablka5[[#This Row],[NIP]]=D1314,jablka5[[#This Row],[sprzedaż]]+G1314,jablka5[[#This Row],[sprzedaż]])</f>
        <v>7035</v>
      </c>
      <c r="H1315" s="1">
        <f>IF(jablka5[[#This Row],[dot sprz]]&lt;15000,0,IF(jablka5[[#This Row],[dot sprz]]&lt;20000,5,10))</f>
        <v>0</v>
      </c>
      <c r="I1315" s="1">
        <f>jablka5[[#This Row],[rabat]]*jablka5[[#This Row],[sprzedaż]]/100</f>
        <v>0</v>
      </c>
    </row>
    <row r="1316" spans="1:9" x14ac:dyDescent="0.25">
      <c r="A1316" s="2">
        <v>44784</v>
      </c>
      <c r="B1316" s="1" t="s">
        <v>12</v>
      </c>
      <c r="C1316" s="1" t="s">
        <v>68</v>
      </c>
      <c r="D1316" s="1" t="s">
        <v>55</v>
      </c>
      <c r="E1316">
        <v>102</v>
      </c>
      <c r="F1316" s="1">
        <f>VLOOKUP(jablka5[[#This Row],[Nazwa]],cennik[],2,0) * jablka5[[#This Row],[sprzedaż]]</f>
        <v>275.40000000000003</v>
      </c>
      <c r="G1316" s="1">
        <f>IF(jablka5[[#This Row],[NIP]]=D1315,jablka5[[#This Row],[sprzedaż]]+G1315,jablka5[[#This Row],[sprzedaż]])</f>
        <v>7137</v>
      </c>
      <c r="H1316" s="1">
        <f>IF(jablka5[[#This Row],[dot sprz]]&lt;15000,0,IF(jablka5[[#This Row],[dot sprz]]&lt;20000,5,10))</f>
        <v>0</v>
      </c>
      <c r="I1316" s="1">
        <f>jablka5[[#This Row],[rabat]]*jablka5[[#This Row],[sprzedaż]]/100</f>
        <v>0</v>
      </c>
    </row>
    <row r="1317" spans="1:9" x14ac:dyDescent="0.25">
      <c r="A1317" s="2">
        <v>44790</v>
      </c>
      <c r="B1317" s="1" t="s">
        <v>13</v>
      </c>
      <c r="C1317" s="1" t="s">
        <v>68</v>
      </c>
      <c r="D1317" s="1" t="s">
        <v>55</v>
      </c>
      <c r="E1317">
        <v>30</v>
      </c>
      <c r="F1317" s="1">
        <f>VLOOKUP(jablka5[[#This Row],[Nazwa]],cennik[],2,0) * jablka5[[#This Row],[sprzedaż]]</f>
        <v>96</v>
      </c>
      <c r="G1317" s="1">
        <f>IF(jablka5[[#This Row],[NIP]]=D1316,jablka5[[#This Row],[sprzedaż]]+G1316,jablka5[[#This Row],[sprzedaż]])</f>
        <v>7167</v>
      </c>
      <c r="H1317" s="1">
        <f>IF(jablka5[[#This Row],[dot sprz]]&lt;15000,0,IF(jablka5[[#This Row],[dot sprz]]&lt;20000,5,10))</f>
        <v>0</v>
      </c>
      <c r="I1317" s="1">
        <f>jablka5[[#This Row],[rabat]]*jablka5[[#This Row],[sprzedaż]]/100</f>
        <v>0</v>
      </c>
    </row>
    <row r="1318" spans="1:9" x14ac:dyDescent="0.25">
      <c r="A1318" s="2">
        <v>44803</v>
      </c>
      <c r="B1318" s="1" t="s">
        <v>12</v>
      </c>
      <c r="C1318" s="1" t="s">
        <v>68</v>
      </c>
      <c r="D1318" s="1" t="s">
        <v>55</v>
      </c>
      <c r="E1318">
        <v>74</v>
      </c>
      <c r="F1318" s="1">
        <f>VLOOKUP(jablka5[[#This Row],[Nazwa]],cennik[],2,0) * jablka5[[#This Row],[sprzedaż]]</f>
        <v>199.8</v>
      </c>
      <c r="G1318" s="1">
        <f>IF(jablka5[[#This Row],[NIP]]=D1317,jablka5[[#This Row],[sprzedaż]]+G1317,jablka5[[#This Row],[sprzedaż]])</f>
        <v>7241</v>
      </c>
      <c r="H1318" s="1">
        <f>IF(jablka5[[#This Row],[dot sprz]]&lt;15000,0,IF(jablka5[[#This Row],[dot sprz]]&lt;20000,5,10))</f>
        <v>0</v>
      </c>
      <c r="I1318" s="1">
        <f>jablka5[[#This Row],[rabat]]*jablka5[[#This Row],[sprzedaż]]/100</f>
        <v>0</v>
      </c>
    </row>
    <row r="1319" spans="1:9" x14ac:dyDescent="0.25">
      <c r="A1319" s="2">
        <v>44812</v>
      </c>
      <c r="B1319" s="1" t="s">
        <v>3</v>
      </c>
      <c r="C1319" s="1" t="s">
        <v>67</v>
      </c>
      <c r="D1319" s="1" t="s">
        <v>55</v>
      </c>
      <c r="E1319">
        <v>346</v>
      </c>
      <c r="F1319" s="1">
        <f>VLOOKUP(jablka5[[#This Row],[Nazwa]],cennik[],2,0) * jablka5[[#This Row],[sprzedaż]]</f>
        <v>1107.2</v>
      </c>
      <c r="G1319" s="1">
        <f>IF(jablka5[[#This Row],[NIP]]=D1318,jablka5[[#This Row],[sprzedaż]]+G1318,jablka5[[#This Row],[sprzedaż]])</f>
        <v>7587</v>
      </c>
      <c r="H1319" s="1">
        <f>IF(jablka5[[#This Row],[dot sprz]]&lt;15000,0,IF(jablka5[[#This Row],[dot sprz]]&lt;20000,5,10))</f>
        <v>0</v>
      </c>
      <c r="I1319" s="1">
        <f>jablka5[[#This Row],[rabat]]*jablka5[[#This Row],[sprzedaż]]/100</f>
        <v>0</v>
      </c>
    </row>
    <row r="1320" spans="1:9" x14ac:dyDescent="0.25">
      <c r="A1320" s="2">
        <v>44817</v>
      </c>
      <c r="B1320" s="1" t="s">
        <v>14</v>
      </c>
      <c r="C1320" s="1" t="s">
        <v>67</v>
      </c>
      <c r="D1320" s="1" t="s">
        <v>55</v>
      </c>
      <c r="E1320">
        <v>401</v>
      </c>
      <c r="F1320" s="1">
        <f>VLOOKUP(jablka5[[#This Row],[Nazwa]],cennik[],2,0) * jablka5[[#This Row],[sprzedaż]]</f>
        <v>1403.5</v>
      </c>
      <c r="G1320" s="1">
        <f>IF(jablka5[[#This Row],[NIP]]=D1319,jablka5[[#This Row],[sprzedaż]]+G1319,jablka5[[#This Row],[sprzedaż]])</f>
        <v>7988</v>
      </c>
      <c r="H1320" s="1">
        <f>IF(jablka5[[#This Row],[dot sprz]]&lt;15000,0,IF(jablka5[[#This Row],[dot sprz]]&lt;20000,5,10))</f>
        <v>0</v>
      </c>
      <c r="I1320" s="1">
        <f>jablka5[[#This Row],[rabat]]*jablka5[[#This Row],[sprzedaż]]/100</f>
        <v>0</v>
      </c>
    </row>
    <row r="1321" spans="1:9" x14ac:dyDescent="0.25">
      <c r="A1321" s="2">
        <v>44820</v>
      </c>
      <c r="B1321" s="1" t="s">
        <v>1</v>
      </c>
      <c r="C1321" s="1" t="s">
        <v>67</v>
      </c>
      <c r="D1321" s="1" t="s">
        <v>55</v>
      </c>
      <c r="E1321">
        <v>475</v>
      </c>
      <c r="F1321" s="1">
        <f>VLOOKUP(jablka5[[#This Row],[Nazwa]],cennik[],2,0) * jablka5[[#This Row],[sprzedaż]]</f>
        <v>1520</v>
      </c>
      <c r="G1321" s="1">
        <f>IF(jablka5[[#This Row],[NIP]]=D1320,jablka5[[#This Row],[sprzedaż]]+G1320,jablka5[[#This Row],[sprzedaż]])</f>
        <v>8463</v>
      </c>
      <c r="H1321" s="1">
        <f>IF(jablka5[[#This Row],[dot sprz]]&lt;15000,0,IF(jablka5[[#This Row],[dot sprz]]&lt;20000,5,10))</f>
        <v>0</v>
      </c>
      <c r="I1321" s="1">
        <f>jablka5[[#This Row],[rabat]]*jablka5[[#This Row],[sprzedaż]]/100</f>
        <v>0</v>
      </c>
    </row>
    <row r="1322" spans="1:9" x14ac:dyDescent="0.25">
      <c r="A1322" s="2">
        <v>44821</v>
      </c>
      <c r="B1322" s="1" t="s">
        <v>11</v>
      </c>
      <c r="C1322" s="1" t="s">
        <v>67</v>
      </c>
      <c r="D1322" s="1" t="s">
        <v>55</v>
      </c>
      <c r="E1322">
        <v>129</v>
      </c>
      <c r="F1322" s="1">
        <f>VLOOKUP(jablka5[[#This Row],[Nazwa]],cennik[],2,0) * jablka5[[#This Row],[sprzedaż]]</f>
        <v>322.5</v>
      </c>
      <c r="G1322" s="1">
        <f>IF(jablka5[[#This Row],[NIP]]=D1321,jablka5[[#This Row],[sprzedaż]]+G1321,jablka5[[#This Row],[sprzedaż]])</f>
        <v>8592</v>
      </c>
      <c r="H1322" s="1">
        <f>IF(jablka5[[#This Row],[dot sprz]]&lt;15000,0,IF(jablka5[[#This Row],[dot sprz]]&lt;20000,5,10))</f>
        <v>0</v>
      </c>
      <c r="I1322" s="1">
        <f>jablka5[[#This Row],[rabat]]*jablka5[[#This Row],[sprzedaż]]/100</f>
        <v>0</v>
      </c>
    </row>
    <row r="1323" spans="1:9" x14ac:dyDescent="0.25">
      <c r="A1323" s="2">
        <v>44825</v>
      </c>
      <c r="B1323" s="1" t="s">
        <v>9</v>
      </c>
      <c r="C1323" s="1" t="s">
        <v>67</v>
      </c>
      <c r="D1323" s="1" t="s">
        <v>55</v>
      </c>
      <c r="E1323">
        <v>107</v>
      </c>
      <c r="F1323" s="1">
        <f>VLOOKUP(jablka5[[#This Row],[Nazwa]],cennik[],2,0) * jablka5[[#This Row],[sprzedaż]]</f>
        <v>267.5</v>
      </c>
      <c r="G1323" s="1">
        <f>IF(jablka5[[#This Row],[NIP]]=D1322,jablka5[[#This Row],[sprzedaż]]+G1322,jablka5[[#This Row],[sprzedaż]])</f>
        <v>8699</v>
      </c>
      <c r="H1323" s="1">
        <f>IF(jablka5[[#This Row],[dot sprz]]&lt;15000,0,IF(jablka5[[#This Row],[dot sprz]]&lt;20000,5,10))</f>
        <v>0</v>
      </c>
      <c r="I1323" s="1">
        <f>jablka5[[#This Row],[rabat]]*jablka5[[#This Row],[sprzedaż]]/100</f>
        <v>0</v>
      </c>
    </row>
    <row r="1324" spans="1:9" x14ac:dyDescent="0.25">
      <c r="A1324" s="2">
        <v>44831</v>
      </c>
      <c r="B1324" s="1" t="s">
        <v>1</v>
      </c>
      <c r="C1324" s="1" t="s">
        <v>67</v>
      </c>
      <c r="D1324" s="1" t="s">
        <v>55</v>
      </c>
      <c r="E1324">
        <v>88</v>
      </c>
      <c r="F1324" s="1">
        <f>VLOOKUP(jablka5[[#This Row],[Nazwa]],cennik[],2,0) * jablka5[[#This Row],[sprzedaż]]</f>
        <v>281.60000000000002</v>
      </c>
      <c r="G1324" s="1">
        <f>IF(jablka5[[#This Row],[NIP]]=D1323,jablka5[[#This Row],[sprzedaż]]+G1323,jablka5[[#This Row],[sprzedaż]])</f>
        <v>8787</v>
      </c>
      <c r="H1324" s="1">
        <f>IF(jablka5[[#This Row],[dot sprz]]&lt;15000,0,IF(jablka5[[#This Row],[dot sprz]]&lt;20000,5,10))</f>
        <v>0</v>
      </c>
      <c r="I1324" s="1">
        <f>jablka5[[#This Row],[rabat]]*jablka5[[#This Row],[sprzedaż]]/100</f>
        <v>0</v>
      </c>
    </row>
    <row r="1325" spans="1:9" x14ac:dyDescent="0.25">
      <c r="A1325" s="2">
        <v>44835</v>
      </c>
      <c r="B1325" s="1" t="s">
        <v>14</v>
      </c>
      <c r="C1325" s="1" t="s">
        <v>67</v>
      </c>
      <c r="D1325" s="1" t="s">
        <v>55</v>
      </c>
      <c r="E1325">
        <v>174</v>
      </c>
      <c r="F1325" s="1">
        <f>VLOOKUP(jablka5[[#This Row],[Nazwa]],cennik[],2,0) * jablka5[[#This Row],[sprzedaż]]</f>
        <v>609</v>
      </c>
      <c r="G1325" s="1">
        <f>IF(jablka5[[#This Row],[NIP]]=D1324,jablka5[[#This Row],[sprzedaż]]+G1324,jablka5[[#This Row],[sprzedaż]])</f>
        <v>8961</v>
      </c>
      <c r="H1325" s="1">
        <f>IF(jablka5[[#This Row],[dot sprz]]&lt;15000,0,IF(jablka5[[#This Row],[dot sprz]]&lt;20000,5,10))</f>
        <v>0</v>
      </c>
      <c r="I1325" s="1">
        <f>jablka5[[#This Row],[rabat]]*jablka5[[#This Row],[sprzedaż]]/100</f>
        <v>0</v>
      </c>
    </row>
    <row r="1326" spans="1:9" x14ac:dyDescent="0.25">
      <c r="A1326" s="2">
        <v>44865</v>
      </c>
      <c r="B1326" s="1" t="s">
        <v>9</v>
      </c>
      <c r="C1326" s="1" t="s">
        <v>67</v>
      </c>
      <c r="D1326" s="1" t="s">
        <v>55</v>
      </c>
      <c r="E1326">
        <v>98</v>
      </c>
      <c r="F1326" s="1">
        <f>VLOOKUP(jablka5[[#This Row],[Nazwa]],cennik[],2,0) * jablka5[[#This Row],[sprzedaż]]</f>
        <v>245</v>
      </c>
      <c r="G1326" s="1">
        <f>IF(jablka5[[#This Row],[NIP]]=D1325,jablka5[[#This Row],[sprzedaż]]+G1325,jablka5[[#This Row],[sprzedaż]])</f>
        <v>9059</v>
      </c>
      <c r="H1326" s="1">
        <f>IF(jablka5[[#This Row],[dot sprz]]&lt;15000,0,IF(jablka5[[#This Row],[dot sprz]]&lt;20000,5,10))</f>
        <v>0</v>
      </c>
      <c r="I1326" s="1">
        <f>jablka5[[#This Row],[rabat]]*jablka5[[#This Row],[sprzedaż]]/100</f>
        <v>0</v>
      </c>
    </row>
    <row r="1327" spans="1:9" x14ac:dyDescent="0.25">
      <c r="A1327" s="2">
        <v>44866</v>
      </c>
      <c r="B1327" s="1" t="s">
        <v>11</v>
      </c>
      <c r="C1327" s="1" t="s">
        <v>67</v>
      </c>
      <c r="D1327" s="1" t="s">
        <v>55</v>
      </c>
      <c r="E1327">
        <v>424</v>
      </c>
      <c r="F1327" s="1">
        <f>VLOOKUP(jablka5[[#This Row],[Nazwa]],cennik[],2,0) * jablka5[[#This Row],[sprzedaż]]</f>
        <v>1060</v>
      </c>
      <c r="G1327" s="1">
        <f>IF(jablka5[[#This Row],[NIP]]=D1326,jablka5[[#This Row],[sprzedaż]]+G1326,jablka5[[#This Row],[sprzedaż]])</f>
        <v>9483</v>
      </c>
      <c r="H1327" s="1">
        <f>IF(jablka5[[#This Row],[dot sprz]]&lt;15000,0,IF(jablka5[[#This Row],[dot sprz]]&lt;20000,5,10))</f>
        <v>0</v>
      </c>
      <c r="I1327" s="1">
        <f>jablka5[[#This Row],[rabat]]*jablka5[[#This Row],[sprzedaż]]/100</f>
        <v>0</v>
      </c>
    </row>
    <row r="1328" spans="1:9" x14ac:dyDescent="0.25">
      <c r="A1328" s="2">
        <v>44868</v>
      </c>
      <c r="B1328" s="1" t="s">
        <v>14</v>
      </c>
      <c r="C1328" s="1" t="s">
        <v>67</v>
      </c>
      <c r="D1328" s="1" t="s">
        <v>55</v>
      </c>
      <c r="E1328">
        <v>169</v>
      </c>
      <c r="F1328" s="1">
        <f>VLOOKUP(jablka5[[#This Row],[Nazwa]],cennik[],2,0) * jablka5[[#This Row],[sprzedaż]]</f>
        <v>591.5</v>
      </c>
      <c r="G1328" s="1">
        <f>IF(jablka5[[#This Row],[NIP]]=D1327,jablka5[[#This Row],[sprzedaż]]+G1327,jablka5[[#This Row],[sprzedaż]])</f>
        <v>9652</v>
      </c>
      <c r="H1328" s="1">
        <f>IF(jablka5[[#This Row],[dot sprz]]&lt;15000,0,IF(jablka5[[#This Row],[dot sprz]]&lt;20000,5,10))</f>
        <v>0</v>
      </c>
      <c r="I1328" s="1">
        <f>jablka5[[#This Row],[rabat]]*jablka5[[#This Row],[sprzedaż]]/100</f>
        <v>0</v>
      </c>
    </row>
    <row r="1329" spans="1:9" x14ac:dyDescent="0.25">
      <c r="A1329" s="2">
        <v>44883</v>
      </c>
      <c r="B1329" s="1" t="s">
        <v>1</v>
      </c>
      <c r="C1329" s="1" t="s">
        <v>67</v>
      </c>
      <c r="D1329" s="1" t="s">
        <v>55</v>
      </c>
      <c r="E1329">
        <v>325</v>
      </c>
      <c r="F1329" s="1">
        <f>VLOOKUP(jablka5[[#This Row],[Nazwa]],cennik[],2,0) * jablka5[[#This Row],[sprzedaż]]</f>
        <v>1040</v>
      </c>
      <c r="G1329" s="1">
        <f>IF(jablka5[[#This Row],[NIP]]=D1328,jablka5[[#This Row],[sprzedaż]]+G1328,jablka5[[#This Row],[sprzedaż]])</f>
        <v>9977</v>
      </c>
      <c r="H1329" s="1">
        <f>IF(jablka5[[#This Row],[dot sprz]]&lt;15000,0,IF(jablka5[[#This Row],[dot sprz]]&lt;20000,5,10))</f>
        <v>0</v>
      </c>
      <c r="I1329" s="1">
        <f>jablka5[[#This Row],[rabat]]*jablka5[[#This Row],[sprzedaż]]/100</f>
        <v>0</v>
      </c>
    </row>
    <row r="1330" spans="1:9" x14ac:dyDescent="0.25">
      <c r="A1330" s="2">
        <v>44886</v>
      </c>
      <c r="B1330" s="1" t="s">
        <v>14</v>
      </c>
      <c r="C1330" s="1" t="s">
        <v>67</v>
      </c>
      <c r="D1330" s="1" t="s">
        <v>55</v>
      </c>
      <c r="E1330">
        <v>424</v>
      </c>
      <c r="F1330" s="1">
        <f>VLOOKUP(jablka5[[#This Row],[Nazwa]],cennik[],2,0) * jablka5[[#This Row],[sprzedaż]]</f>
        <v>1484</v>
      </c>
      <c r="G1330" s="1">
        <f>IF(jablka5[[#This Row],[NIP]]=D1329,jablka5[[#This Row],[sprzedaż]]+G1329,jablka5[[#This Row],[sprzedaż]])</f>
        <v>10401</v>
      </c>
      <c r="H1330" s="1">
        <f>IF(jablka5[[#This Row],[dot sprz]]&lt;15000,0,IF(jablka5[[#This Row],[dot sprz]]&lt;20000,5,10))</f>
        <v>0</v>
      </c>
      <c r="I1330" s="1">
        <f>jablka5[[#This Row],[rabat]]*jablka5[[#This Row],[sprzedaż]]/100</f>
        <v>0</v>
      </c>
    </row>
    <row r="1331" spans="1:9" x14ac:dyDescent="0.25">
      <c r="A1331" s="2">
        <v>44893</v>
      </c>
      <c r="B1331" s="1" t="s">
        <v>11</v>
      </c>
      <c r="C1331" s="1" t="s">
        <v>67</v>
      </c>
      <c r="D1331" s="1" t="s">
        <v>55</v>
      </c>
      <c r="E1331">
        <v>476</v>
      </c>
      <c r="F1331" s="1">
        <f>VLOOKUP(jablka5[[#This Row],[Nazwa]],cennik[],2,0) * jablka5[[#This Row],[sprzedaż]]</f>
        <v>1190</v>
      </c>
      <c r="G1331" s="1">
        <f>IF(jablka5[[#This Row],[NIP]]=D1330,jablka5[[#This Row],[sprzedaż]]+G1330,jablka5[[#This Row],[sprzedaż]])</f>
        <v>10877</v>
      </c>
      <c r="H1331" s="1">
        <f>IF(jablka5[[#This Row],[dot sprz]]&lt;15000,0,IF(jablka5[[#This Row],[dot sprz]]&lt;20000,5,10))</f>
        <v>0</v>
      </c>
      <c r="I1331" s="1">
        <f>jablka5[[#This Row],[rabat]]*jablka5[[#This Row],[sprzedaż]]/100</f>
        <v>0</v>
      </c>
    </row>
    <row r="1332" spans="1:9" x14ac:dyDescent="0.25">
      <c r="A1332" s="2">
        <v>44893</v>
      </c>
      <c r="B1332" s="1" t="s">
        <v>1</v>
      </c>
      <c r="C1332" s="1" t="s">
        <v>67</v>
      </c>
      <c r="D1332" s="1" t="s">
        <v>55</v>
      </c>
      <c r="E1332">
        <v>374</v>
      </c>
      <c r="F1332" s="1">
        <f>VLOOKUP(jablka5[[#This Row],[Nazwa]],cennik[],2,0) * jablka5[[#This Row],[sprzedaż]]</f>
        <v>1196.8</v>
      </c>
      <c r="G1332" s="1">
        <f>IF(jablka5[[#This Row],[NIP]]=D1331,jablka5[[#This Row],[sprzedaż]]+G1331,jablka5[[#This Row],[sprzedaż]])</f>
        <v>11251</v>
      </c>
      <c r="H1332" s="1">
        <f>IF(jablka5[[#This Row],[dot sprz]]&lt;15000,0,IF(jablka5[[#This Row],[dot sprz]]&lt;20000,5,10))</f>
        <v>0</v>
      </c>
      <c r="I1332" s="1">
        <f>jablka5[[#This Row],[rabat]]*jablka5[[#This Row],[sprzedaż]]/100</f>
        <v>0</v>
      </c>
    </row>
    <row r="1333" spans="1:9" x14ac:dyDescent="0.25">
      <c r="A1333" s="2">
        <v>44894</v>
      </c>
      <c r="B1333" s="1" t="s">
        <v>1</v>
      </c>
      <c r="C1333" s="1" t="s">
        <v>67</v>
      </c>
      <c r="D1333" s="1" t="s">
        <v>55</v>
      </c>
      <c r="E1333">
        <v>271</v>
      </c>
      <c r="F1333" s="1">
        <f>VLOOKUP(jablka5[[#This Row],[Nazwa]],cennik[],2,0) * jablka5[[#This Row],[sprzedaż]]</f>
        <v>867.2</v>
      </c>
      <c r="G1333" s="1">
        <f>IF(jablka5[[#This Row],[NIP]]=D1332,jablka5[[#This Row],[sprzedaż]]+G1332,jablka5[[#This Row],[sprzedaż]])</f>
        <v>11522</v>
      </c>
      <c r="H1333" s="1">
        <f>IF(jablka5[[#This Row],[dot sprz]]&lt;15000,0,IF(jablka5[[#This Row],[dot sprz]]&lt;20000,5,10))</f>
        <v>0</v>
      </c>
      <c r="I1333" s="1">
        <f>jablka5[[#This Row],[rabat]]*jablka5[[#This Row],[sprzedaż]]/100</f>
        <v>0</v>
      </c>
    </row>
    <row r="1334" spans="1:9" x14ac:dyDescent="0.25">
      <c r="A1334" s="2">
        <v>44896</v>
      </c>
      <c r="B1334" s="1" t="s">
        <v>10</v>
      </c>
      <c r="C1334" s="1" t="s">
        <v>16</v>
      </c>
      <c r="D1334" s="1" t="s">
        <v>55</v>
      </c>
      <c r="E1334">
        <v>446</v>
      </c>
      <c r="F1334" s="1">
        <f>VLOOKUP(jablka5[[#This Row],[Nazwa]],cennik[],2,0) * jablka5[[#This Row],[sprzedaż]]</f>
        <v>1516.3999999999999</v>
      </c>
      <c r="G1334" s="1">
        <f>IF(jablka5[[#This Row],[NIP]]=D1333,jablka5[[#This Row],[sprzedaż]]+G1333,jablka5[[#This Row],[sprzedaż]])</f>
        <v>11968</v>
      </c>
      <c r="H1334" s="1">
        <f>IF(jablka5[[#This Row],[dot sprz]]&lt;15000,0,IF(jablka5[[#This Row],[dot sprz]]&lt;20000,5,10))</f>
        <v>0</v>
      </c>
      <c r="I1334" s="1">
        <f>jablka5[[#This Row],[rabat]]*jablka5[[#This Row],[sprzedaż]]/100</f>
        <v>0</v>
      </c>
    </row>
    <row r="1335" spans="1:9" x14ac:dyDescent="0.25">
      <c r="A1335" s="2">
        <v>44900</v>
      </c>
      <c r="B1335" s="1" t="s">
        <v>10</v>
      </c>
      <c r="C1335" s="1" t="s">
        <v>16</v>
      </c>
      <c r="D1335" s="1" t="s">
        <v>55</v>
      </c>
      <c r="E1335">
        <v>79</v>
      </c>
      <c r="F1335" s="1">
        <f>VLOOKUP(jablka5[[#This Row],[Nazwa]],cennik[],2,0) * jablka5[[#This Row],[sprzedaż]]</f>
        <v>268.59999999999997</v>
      </c>
      <c r="G1335" s="1">
        <f>IF(jablka5[[#This Row],[NIP]]=D1334,jablka5[[#This Row],[sprzedaż]]+G1334,jablka5[[#This Row],[sprzedaż]])</f>
        <v>12047</v>
      </c>
      <c r="H1335" s="1">
        <f>IF(jablka5[[#This Row],[dot sprz]]&lt;15000,0,IF(jablka5[[#This Row],[dot sprz]]&lt;20000,5,10))</f>
        <v>0</v>
      </c>
      <c r="I1335" s="1">
        <f>jablka5[[#This Row],[rabat]]*jablka5[[#This Row],[sprzedaż]]/100</f>
        <v>0</v>
      </c>
    </row>
    <row r="1336" spans="1:9" x14ac:dyDescent="0.25">
      <c r="A1336" s="2">
        <v>44910</v>
      </c>
      <c r="B1336" s="1" t="s">
        <v>10</v>
      </c>
      <c r="C1336" s="1" t="s">
        <v>16</v>
      </c>
      <c r="D1336" s="1" t="s">
        <v>55</v>
      </c>
      <c r="E1336">
        <v>335</v>
      </c>
      <c r="F1336" s="1">
        <f>VLOOKUP(jablka5[[#This Row],[Nazwa]],cennik[],2,0) * jablka5[[#This Row],[sprzedaż]]</f>
        <v>1139</v>
      </c>
      <c r="G1336" s="1">
        <f>IF(jablka5[[#This Row],[NIP]]=D1335,jablka5[[#This Row],[sprzedaż]]+G1335,jablka5[[#This Row],[sprzedaż]])</f>
        <v>12382</v>
      </c>
      <c r="H1336" s="1">
        <f>IF(jablka5[[#This Row],[dot sprz]]&lt;15000,0,IF(jablka5[[#This Row],[dot sprz]]&lt;20000,5,10))</f>
        <v>0</v>
      </c>
      <c r="I1336" s="1">
        <f>jablka5[[#This Row],[rabat]]*jablka5[[#This Row],[sprzedaż]]/100</f>
        <v>0</v>
      </c>
    </row>
    <row r="1337" spans="1:9" x14ac:dyDescent="0.25">
      <c r="A1337" s="2">
        <v>44911</v>
      </c>
      <c r="B1337" s="1" t="s">
        <v>4</v>
      </c>
      <c r="C1337" s="1" t="s">
        <v>16</v>
      </c>
      <c r="D1337" s="1" t="s">
        <v>55</v>
      </c>
      <c r="E1337">
        <v>645</v>
      </c>
      <c r="F1337" s="1">
        <f>VLOOKUP(jablka5[[#This Row],[Nazwa]],cennik[],2,0) * jablka5[[#This Row],[sprzedaż]]</f>
        <v>2193</v>
      </c>
      <c r="G1337" s="1">
        <f>IF(jablka5[[#This Row],[NIP]]=D1336,jablka5[[#This Row],[sprzedaż]]+G1336,jablka5[[#This Row],[sprzedaż]])</f>
        <v>13027</v>
      </c>
      <c r="H1337" s="1">
        <f>IF(jablka5[[#This Row],[dot sprz]]&lt;15000,0,IF(jablka5[[#This Row],[dot sprz]]&lt;20000,5,10))</f>
        <v>0</v>
      </c>
      <c r="I1337" s="1">
        <f>jablka5[[#This Row],[rabat]]*jablka5[[#This Row],[sprzedaż]]/100</f>
        <v>0</v>
      </c>
    </row>
    <row r="1338" spans="1:9" x14ac:dyDescent="0.25">
      <c r="A1338" s="2">
        <v>44921</v>
      </c>
      <c r="B1338" s="1" t="s">
        <v>6</v>
      </c>
      <c r="C1338" s="1" t="s">
        <v>16</v>
      </c>
      <c r="D1338" s="1" t="s">
        <v>55</v>
      </c>
      <c r="E1338">
        <v>75</v>
      </c>
      <c r="F1338" s="1">
        <f>VLOOKUP(jablka5[[#This Row],[Nazwa]],cennik[],2,0) * jablka5[[#This Row],[sprzedaż]]</f>
        <v>255</v>
      </c>
      <c r="G1338" s="1">
        <f>IF(jablka5[[#This Row],[NIP]]=D1337,jablka5[[#This Row],[sprzedaż]]+G1337,jablka5[[#This Row],[sprzedaż]])</f>
        <v>13102</v>
      </c>
      <c r="H1338" s="1">
        <f>IF(jablka5[[#This Row],[dot sprz]]&lt;15000,0,IF(jablka5[[#This Row],[dot sprz]]&lt;20000,5,10))</f>
        <v>0</v>
      </c>
      <c r="I1338" s="1">
        <f>jablka5[[#This Row],[rabat]]*jablka5[[#This Row],[sprzedaż]]/100</f>
        <v>0</v>
      </c>
    </row>
    <row r="1339" spans="1:9" x14ac:dyDescent="0.25">
      <c r="A1339" s="2">
        <v>44564</v>
      </c>
      <c r="B1339" s="1" t="s">
        <v>7</v>
      </c>
      <c r="C1339" s="1" t="s">
        <v>16</v>
      </c>
      <c r="D1339" s="1" t="s">
        <v>17</v>
      </c>
      <c r="E1339">
        <v>470</v>
      </c>
      <c r="F1339" s="1">
        <f>VLOOKUP(jablka5[[#This Row],[Nazwa]],cennik[],2,0) * jablka5[[#This Row],[sprzedaż]]</f>
        <v>1598</v>
      </c>
      <c r="G1339" s="1">
        <f>IF(jablka5[[#This Row],[NIP]]=D1338,jablka5[[#This Row],[sprzedaż]]+G1338,jablka5[[#This Row],[sprzedaż]])</f>
        <v>470</v>
      </c>
      <c r="H1339" s="1">
        <f>IF(jablka5[[#This Row],[dot sprz]]&lt;15000,0,IF(jablka5[[#This Row],[dot sprz]]&lt;20000,5,10))</f>
        <v>0</v>
      </c>
      <c r="I1339" s="1">
        <f>jablka5[[#This Row],[rabat]]*jablka5[[#This Row],[sprzedaż]]/100</f>
        <v>0</v>
      </c>
    </row>
    <row r="1340" spans="1:9" x14ac:dyDescent="0.25">
      <c r="A1340" s="2">
        <v>44578</v>
      </c>
      <c r="B1340" s="1" t="s">
        <v>7</v>
      </c>
      <c r="C1340" s="1" t="s">
        <v>16</v>
      </c>
      <c r="D1340" s="1" t="s">
        <v>17</v>
      </c>
      <c r="E1340">
        <v>430</v>
      </c>
      <c r="F1340" s="1">
        <f>VLOOKUP(jablka5[[#This Row],[Nazwa]],cennik[],2,0) * jablka5[[#This Row],[sprzedaż]]</f>
        <v>1462</v>
      </c>
      <c r="G1340" s="1">
        <f>IF(jablka5[[#This Row],[NIP]]=D1339,jablka5[[#This Row],[sprzedaż]]+G1339,jablka5[[#This Row],[sprzedaż]])</f>
        <v>900</v>
      </c>
      <c r="H1340" s="1">
        <f>IF(jablka5[[#This Row],[dot sprz]]&lt;15000,0,IF(jablka5[[#This Row],[dot sprz]]&lt;20000,5,10))</f>
        <v>0</v>
      </c>
      <c r="I1340" s="1">
        <f>jablka5[[#This Row],[rabat]]*jablka5[[#This Row],[sprzedaż]]/100</f>
        <v>0</v>
      </c>
    </row>
    <row r="1341" spans="1:9" x14ac:dyDescent="0.25">
      <c r="A1341" s="2">
        <v>44592</v>
      </c>
      <c r="B1341" s="1" t="s">
        <v>15</v>
      </c>
      <c r="C1341" s="1" t="s">
        <v>16</v>
      </c>
      <c r="D1341" s="1" t="s">
        <v>17</v>
      </c>
      <c r="E1341">
        <v>321</v>
      </c>
      <c r="F1341" s="1">
        <f>VLOOKUP(jablka5[[#This Row],[Nazwa]],cennik[],2,0) * jablka5[[#This Row],[sprzedaż]]</f>
        <v>770.4</v>
      </c>
      <c r="G1341" s="1">
        <f>IF(jablka5[[#This Row],[NIP]]=D1340,jablka5[[#This Row],[sprzedaż]]+G1340,jablka5[[#This Row],[sprzedaż]])</f>
        <v>1221</v>
      </c>
      <c r="H1341" s="1">
        <f>IF(jablka5[[#This Row],[dot sprz]]&lt;15000,0,IF(jablka5[[#This Row],[dot sprz]]&lt;20000,5,10))</f>
        <v>0</v>
      </c>
      <c r="I1341" s="1">
        <f>jablka5[[#This Row],[rabat]]*jablka5[[#This Row],[sprzedaż]]/100</f>
        <v>0</v>
      </c>
    </row>
    <row r="1342" spans="1:9" x14ac:dyDescent="0.25">
      <c r="A1342" s="2">
        <v>44593</v>
      </c>
      <c r="B1342" s="1" t="s">
        <v>10</v>
      </c>
      <c r="C1342" s="1" t="s">
        <v>16</v>
      </c>
      <c r="D1342" s="1" t="s">
        <v>17</v>
      </c>
      <c r="E1342">
        <v>310</v>
      </c>
      <c r="F1342" s="1">
        <f>VLOOKUP(jablka5[[#This Row],[Nazwa]],cennik[],2,0) * jablka5[[#This Row],[sprzedaż]]</f>
        <v>1054</v>
      </c>
      <c r="G1342" s="1">
        <f>IF(jablka5[[#This Row],[NIP]]=D1341,jablka5[[#This Row],[sprzedaż]]+G1341,jablka5[[#This Row],[sprzedaż]])</f>
        <v>1531</v>
      </c>
      <c r="H1342" s="1">
        <f>IF(jablka5[[#This Row],[dot sprz]]&lt;15000,0,IF(jablka5[[#This Row],[dot sprz]]&lt;20000,5,10))</f>
        <v>0</v>
      </c>
      <c r="I1342" s="1">
        <f>jablka5[[#This Row],[rabat]]*jablka5[[#This Row],[sprzedaż]]/100</f>
        <v>0</v>
      </c>
    </row>
    <row r="1343" spans="1:9" x14ac:dyDescent="0.25">
      <c r="A1343" s="2">
        <v>44594</v>
      </c>
      <c r="B1343" s="1" t="s">
        <v>15</v>
      </c>
      <c r="C1343" s="1" t="s">
        <v>16</v>
      </c>
      <c r="D1343" s="1" t="s">
        <v>17</v>
      </c>
      <c r="E1343">
        <v>559</v>
      </c>
      <c r="F1343" s="1">
        <f>VLOOKUP(jablka5[[#This Row],[Nazwa]],cennik[],2,0) * jablka5[[#This Row],[sprzedaż]]</f>
        <v>1341.6</v>
      </c>
      <c r="G1343" s="1">
        <f>IF(jablka5[[#This Row],[NIP]]=D1342,jablka5[[#This Row],[sprzedaż]]+G1342,jablka5[[#This Row],[sprzedaż]])</f>
        <v>2090</v>
      </c>
      <c r="H1343" s="1">
        <f>IF(jablka5[[#This Row],[dot sprz]]&lt;15000,0,IF(jablka5[[#This Row],[dot sprz]]&lt;20000,5,10))</f>
        <v>0</v>
      </c>
      <c r="I1343" s="1">
        <f>jablka5[[#This Row],[rabat]]*jablka5[[#This Row],[sprzedaż]]/100</f>
        <v>0</v>
      </c>
    </row>
    <row r="1344" spans="1:9" x14ac:dyDescent="0.25">
      <c r="A1344" s="2">
        <v>44597</v>
      </c>
      <c r="B1344" s="1" t="s">
        <v>10</v>
      </c>
      <c r="C1344" s="1" t="s">
        <v>16</v>
      </c>
      <c r="D1344" s="1" t="s">
        <v>17</v>
      </c>
      <c r="E1344">
        <v>388</v>
      </c>
      <c r="F1344" s="1">
        <f>VLOOKUP(jablka5[[#This Row],[Nazwa]],cennik[],2,0) * jablka5[[#This Row],[sprzedaż]]</f>
        <v>1319.2</v>
      </c>
      <c r="G1344" s="1">
        <f>IF(jablka5[[#This Row],[NIP]]=D1343,jablka5[[#This Row],[sprzedaż]]+G1343,jablka5[[#This Row],[sprzedaż]])</f>
        <v>2478</v>
      </c>
      <c r="H1344" s="1">
        <f>IF(jablka5[[#This Row],[dot sprz]]&lt;15000,0,IF(jablka5[[#This Row],[dot sprz]]&lt;20000,5,10))</f>
        <v>0</v>
      </c>
      <c r="I1344" s="1">
        <f>jablka5[[#This Row],[rabat]]*jablka5[[#This Row],[sprzedaż]]/100</f>
        <v>0</v>
      </c>
    </row>
    <row r="1345" spans="1:9" x14ac:dyDescent="0.25">
      <c r="A1345" s="2">
        <v>44616</v>
      </c>
      <c r="B1345" s="1" t="s">
        <v>10</v>
      </c>
      <c r="C1345" s="1" t="s">
        <v>16</v>
      </c>
      <c r="D1345" s="1" t="s">
        <v>17</v>
      </c>
      <c r="E1345">
        <v>418</v>
      </c>
      <c r="F1345" s="1">
        <f>VLOOKUP(jablka5[[#This Row],[Nazwa]],cennik[],2,0) * jablka5[[#This Row],[sprzedaż]]</f>
        <v>1421.2</v>
      </c>
      <c r="G1345" s="1">
        <f>IF(jablka5[[#This Row],[NIP]]=D1344,jablka5[[#This Row],[sprzedaż]]+G1344,jablka5[[#This Row],[sprzedaż]])</f>
        <v>2896</v>
      </c>
      <c r="H1345" s="1">
        <f>IF(jablka5[[#This Row],[dot sprz]]&lt;15000,0,IF(jablka5[[#This Row],[dot sprz]]&lt;20000,5,10))</f>
        <v>0</v>
      </c>
      <c r="I1345" s="1">
        <f>jablka5[[#This Row],[rabat]]*jablka5[[#This Row],[sprzedaż]]/100</f>
        <v>0</v>
      </c>
    </row>
    <row r="1346" spans="1:9" x14ac:dyDescent="0.25">
      <c r="A1346" s="2">
        <v>44617</v>
      </c>
      <c r="B1346" s="1" t="s">
        <v>0</v>
      </c>
      <c r="C1346" s="1" t="s">
        <v>16</v>
      </c>
      <c r="D1346" s="1" t="s">
        <v>17</v>
      </c>
      <c r="E1346">
        <v>133</v>
      </c>
      <c r="F1346" s="1">
        <f>VLOOKUP(jablka5[[#This Row],[Nazwa]],cennik[],2,0) * jablka5[[#This Row],[sprzedaż]]</f>
        <v>385.7</v>
      </c>
      <c r="G1346" s="1">
        <f>IF(jablka5[[#This Row],[NIP]]=D1345,jablka5[[#This Row],[sprzedaż]]+G1345,jablka5[[#This Row],[sprzedaż]])</f>
        <v>3029</v>
      </c>
      <c r="H1346" s="1">
        <f>IF(jablka5[[#This Row],[dot sprz]]&lt;15000,0,IF(jablka5[[#This Row],[dot sprz]]&lt;20000,5,10))</f>
        <v>0</v>
      </c>
      <c r="I1346" s="1">
        <f>jablka5[[#This Row],[rabat]]*jablka5[[#This Row],[sprzedaż]]/100</f>
        <v>0</v>
      </c>
    </row>
    <row r="1347" spans="1:9" x14ac:dyDescent="0.25">
      <c r="A1347" s="2">
        <v>44621</v>
      </c>
      <c r="B1347" s="1" t="s">
        <v>6</v>
      </c>
      <c r="C1347" s="1" t="s">
        <v>16</v>
      </c>
      <c r="D1347" s="1" t="s">
        <v>17</v>
      </c>
      <c r="E1347">
        <v>100</v>
      </c>
      <c r="F1347" s="1">
        <f>VLOOKUP(jablka5[[#This Row],[Nazwa]],cennik[],2,0) * jablka5[[#This Row],[sprzedaż]]</f>
        <v>340</v>
      </c>
      <c r="G1347" s="1">
        <f>IF(jablka5[[#This Row],[NIP]]=D1346,jablka5[[#This Row],[sprzedaż]]+G1346,jablka5[[#This Row],[sprzedaż]])</f>
        <v>3129</v>
      </c>
      <c r="H1347" s="1">
        <f>IF(jablka5[[#This Row],[dot sprz]]&lt;15000,0,IF(jablka5[[#This Row],[dot sprz]]&lt;20000,5,10))</f>
        <v>0</v>
      </c>
      <c r="I1347" s="1">
        <f>jablka5[[#This Row],[rabat]]*jablka5[[#This Row],[sprzedaż]]/100</f>
        <v>0</v>
      </c>
    </row>
    <row r="1348" spans="1:9" x14ac:dyDescent="0.25">
      <c r="A1348" s="2">
        <v>44623</v>
      </c>
      <c r="B1348" s="1" t="s">
        <v>0</v>
      </c>
      <c r="C1348" s="1" t="s">
        <v>16</v>
      </c>
      <c r="D1348" s="1" t="s">
        <v>17</v>
      </c>
      <c r="E1348">
        <v>488</v>
      </c>
      <c r="F1348" s="1">
        <f>VLOOKUP(jablka5[[#This Row],[Nazwa]],cennik[],2,0) * jablka5[[#This Row],[sprzedaż]]</f>
        <v>1415.2</v>
      </c>
      <c r="G1348" s="1">
        <f>IF(jablka5[[#This Row],[NIP]]=D1347,jablka5[[#This Row],[sprzedaż]]+G1347,jablka5[[#This Row],[sprzedaż]])</f>
        <v>3617</v>
      </c>
      <c r="H1348" s="1">
        <f>IF(jablka5[[#This Row],[dot sprz]]&lt;15000,0,IF(jablka5[[#This Row],[dot sprz]]&lt;20000,5,10))</f>
        <v>0</v>
      </c>
      <c r="I1348" s="1">
        <f>jablka5[[#This Row],[rabat]]*jablka5[[#This Row],[sprzedaż]]/100</f>
        <v>0</v>
      </c>
    </row>
    <row r="1349" spans="1:9" x14ac:dyDescent="0.25">
      <c r="A1349" s="2">
        <v>44627</v>
      </c>
      <c r="B1349" s="1" t="s">
        <v>2</v>
      </c>
      <c r="C1349" s="1" t="s">
        <v>16</v>
      </c>
      <c r="D1349" s="1" t="s">
        <v>17</v>
      </c>
      <c r="E1349">
        <v>85</v>
      </c>
      <c r="F1349" s="1">
        <f>VLOOKUP(jablka5[[#This Row],[Nazwa]],cennik[],2,0) * jablka5[[#This Row],[sprzedaż]]</f>
        <v>272</v>
      </c>
      <c r="G1349" s="1">
        <f>IF(jablka5[[#This Row],[NIP]]=D1348,jablka5[[#This Row],[sprzedaż]]+G1348,jablka5[[#This Row],[sprzedaż]])</f>
        <v>3702</v>
      </c>
      <c r="H1349" s="1">
        <f>IF(jablka5[[#This Row],[dot sprz]]&lt;15000,0,IF(jablka5[[#This Row],[dot sprz]]&lt;20000,5,10))</f>
        <v>0</v>
      </c>
      <c r="I1349" s="1">
        <f>jablka5[[#This Row],[rabat]]*jablka5[[#This Row],[sprzedaż]]/100</f>
        <v>0</v>
      </c>
    </row>
    <row r="1350" spans="1:9" x14ac:dyDescent="0.25">
      <c r="A1350" s="2">
        <v>44628</v>
      </c>
      <c r="B1350" s="1" t="s">
        <v>15</v>
      </c>
      <c r="C1350" s="1" t="s">
        <v>16</v>
      </c>
      <c r="D1350" s="1" t="s">
        <v>17</v>
      </c>
      <c r="E1350">
        <v>129</v>
      </c>
      <c r="F1350" s="1">
        <f>VLOOKUP(jablka5[[#This Row],[Nazwa]],cennik[],2,0) * jablka5[[#This Row],[sprzedaż]]</f>
        <v>309.59999999999997</v>
      </c>
      <c r="G1350" s="1">
        <f>IF(jablka5[[#This Row],[NIP]]=D1349,jablka5[[#This Row],[sprzedaż]]+G1349,jablka5[[#This Row],[sprzedaż]])</f>
        <v>3831</v>
      </c>
      <c r="H1350" s="1">
        <f>IF(jablka5[[#This Row],[dot sprz]]&lt;15000,0,IF(jablka5[[#This Row],[dot sprz]]&lt;20000,5,10))</f>
        <v>0</v>
      </c>
      <c r="I1350" s="1">
        <f>jablka5[[#This Row],[rabat]]*jablka5[[#This Row],[sprzedaż]]/100</f>
        <v>0</v>
      </c>
    </row>
    <row r="1351" spans="1:9" x14ac:dyDescent="0.25">
      <c r="A1351" s="2">
        <v>44634</v>
      </c>
      <c r="B1351" s="1" t="s">
        <v>4</v>
      </c>
      <c r="C1351" s="1" t="s">
        <v>16</v>
      </c>
      <c r="D1351" s="1" t="s">
        <v>17</v>
      </c>
      <c r="E1351">
        <v>506</v>
      </c>
      <c r="F1351" s="1">
        <f>VLOOKUP(jablka5[[#This Row],[Nazwa]],cennik[],2,0) * jablka5[[#This Row],[sprzedaż]]</f>
        <v>1720.3999999999999</v>
      </c>
      <c r="G1351" s="1">
        <f>IF(jablka5[[#This Row],[NIP]]=D1350,jablka5[[#This Row],[sprzedaż]]+G1350,jablka5[[#This Row],[sprzedaż]])</f>
        <v>4337</v>
      </c>
      <c r="H1351" s="1">
        <f>IF(jablka5[[#This Row],[dot sprz]]&lt;15000,0,IF(jablka5[[#This Row],[dot sprz]]&lt;20000,5,10))</f>
        <v>0</v>
      </c>
      <c r="I1351" s="1">
        <f>jablka5[[#This Row],[rabat]]*jablka5[[#This Row],[sprzedaż]]/100</f>
        <v>0</v>
      </c>
    </row>
    <row r="1352" spans="1:9" x14ac:dyDescent="0.25">
      <c r="A1352" s="2">
        <v>44637</v>
      </c>
      <c r="B1352" s="1" t="s">
        <v>4</v>
      </c>
      <c r="C1352" s="1" t="s">
        <v>16</v>
      </c>
      <c r="D1352" s="1" t="s">
        <v>17</v>
      </c>
      <c r="E1352">
        <v>327</v>
      </c>
      <c r="F1352" s="1">
        <f>VLOOKUP(jablka5[[#This Row],[Nazwa]],cennik[],2,0) * jablka5[[#This Row],[sprzedaż]]</f>
        <v>1111.8</v>
      </c>
      <c r="G1352" s="1">
        <f>IF(jablka5[[#This Row],[NIP]]=D1351,jablka5[[#This Row],[sprzedaż]]+G1351,jablka5[[#This Row],[sprzedaż]])</f>
        <v>4664</v>
      </c>
      <c r="H1352" s="1">
        <f>IF(jablka5[[#This Row],[dot sprz]]&lt;15000,0,IF(jablka5[[#This Row],[dot sprz]]&lt;20000,5,10))</f>
        <v>0</v>
      </c>
      <c r="I1352" s="1">
        <f>jablka5[[#This Row],[rabat]]*jablka5[[#This Row],[sprzedaż]]/100</f>
        <v>0</v>
      </c>
    </row>
    <row r="1353" spans="1:9" x14ac:dyDescent="0.25">
      <c r="A1353" s="2">
        <v>44656</v>
      </c>
      <c r="B1353" s="1" t="s">
        <v>10</v>
      </c>
      <c r="C1353" s="1" t="s">
        <v>16</v>
      </c>
      <c r="D1353" s="1" t="s">
        <v>17</v>
      </c>
      <c r="E1353">
        <v>374</v>
      </c>
      <c r="F1353" s="1">
        <f>VLOOKUP(jablka5[[#This Row],[Nazwa]],cennik[],2,0) * jablka5[[#This Row],[sprzedaż]]</f>
        <v>1271.5999999999999</v>
      </c>
      <c r="G1353" s="1">
        <f>IF(jablka5[[#This Row],[NIP]]=D1352,jablka5[[#This Row],[sprzedaż]]+G1352,jablka5[[#This Row],[sprzedaż]])</f>
        <v>5038</v>
      </c>
      <c r="H1353" s="1">
        <f>IF(jablka5[[#This Row],[dot sprz]]&lt;15000,0,IF(jablka5[[#This Row],[dot sprz]]&lt;20000,5,10))</f>
        <v>0</v>
      </c>
      <c r="I1353" s="1">
        <f>jablka5[[#This Row],[rabat]]*jablka5[[#This Row],[sprzedaż]]/100</f>
        <v>0</v>
      </c>
    </row>
    <row r="1354" spans="1:9" x14ac:dyDescent="0.25">
      <c r="A1354" s="2">
        <v>44679</v>
      </c>
      <c r="B1354" s="1" t="s">
        <v>2</v>
      </c>
      <c r="C1354" s="1" t="s">
        <v>16</v>
      </c>
      <c r="D1354" s="1" t="s">
        <v>17</v>
      </c>
      <c r="E1354">
        <v>122</v>
      </c>
      <c r="F1354" s="1">
        <f>VLOOKUP(jablka5[[#This Row],[Nazwa]],cennik[],2,0) * jablka5[[#This Row],[sprzedaż]]</f>
        <v>390.40000000000003</v>
      </c>
      <c r="G1354" s="1">
        <f>IF(jablka5[[#This Row],[NIP]]=D1353,jablka5[[#This Row],[sprzedaż]]+G1353,jablka5[[#This Row],[sprzedaż]])</f>
        <v>5160</v>
      </c>
      <c r="H1354" s="1">
        <f>IF(jablka5[[#This Row],[dot sprz]]&lt;15000,0,IF(jablka5[[#This Row],[dot sprz]]&lt;20000,5,10))</f>
        <v>0</v>
      </c>
      <c r="I1354" s="1">
        <f>jablka5[[#This Row],[rabat]]*jablka5[[#This Row],[sprzedaż]]/100</f>
        <v>0</v>
      </c>
    </row>
    <row r="1355" spans="1:9" x14ac:dyDescent="0.25">
      <c r="A1355" s="2">
        <v>44681</v>
      </c>
      <c r="B1355" s="1" t="s">
        <v>0</v>
      </c>
      <c r="C1355" s="1" t="s">
        <v>16</v>
      </c>
      <c r="D1355" s="1" t="s">
        <v>17</v>
      </c>
      <c r="E1355">
        <v>255</v>
      </c>
      <c r="F1355" s="1">
        <f>VLOOKUP(jablka5[[#This Row],[Nazwa]],cennik[],2,0) * jablka5[[#This Row],[sprzedaż]]</f>
        <v>739.5</v>
      </c>
      <c r="G1355" s="1">
        <f>IF(jablka5[[#This Row],[NIP]]=D1354,jablka5[[#This Row],[sprzedaż]]+G1354,jablka5[[#This Row],[sprzedaż]])</f>
        <v>5415</v>
      </c>
      <c r="H1355" s="1">
        <f>IF(jablka5[[#This Row],[dot sprz]]&lt;15000,0,IF(jablka5[[#This Row],[dot sprz]]&lt;20000,5,10))</f>
        <v>0</v>
      </c>
      <c r="I1355" s="1">
        <f>jablka5[[#This Row],[rabat]]*jablka5[[#This Row],[sprzedaż]]/100</f>
        <v>0</v>
      </c>
    </row>
    <row r="1356" spans="1:9" x14ac:dyDescent="0.25">
      <c r="A1356" s="2">
        <v>44683</v>
      </c>
      <c r="B1356" s="1" t="s">
        <v>15</v>
      </c>
      <c r="C1356" s="1" t="s">
        <v>16</v>
      </c>
      <c r="D1356" s="1" t="s">
        <v>17</v>
      </c>
      <c r="E1356">
        <v>463</v>
      </c>
      <c r="F1356" s="1">
        <f>VLOOKUP(jablka5[[#This Row],[Nazwa]],cennik[],2,0) * jablka5[[#This Row],[sprzedaż]]</f>
        <v>1111.2</v>
      </c>
      <c r="G1356" s="1">
        <f>IF(jablka5[[#This Row],[NIP]]=D1355,jablka5[[#This Row],[sprzedaż]]+G1355,jablka5[[#This Row],[sprzedaż]])</f>
        <v>5878</v>
      </c>
      <c r="H1356" s="1">
        <f>IF(jablka5[[#This Row],[dot sprz]]&lt;15000,0,IF(jablka5[[#This Row],[dot sprz]]&lt;20000,5,10))</f>
        <v>0</v>
      </c>
      <c r="I1356" s="1">
        <f>jablka5[[#This Row],[rabat]]*jablka5[[#This Row],[sprzedaż]]/100</f>
        <v>0</v>
      </c>
    </row>
    <row r="1357" spans="1:9" x14ac:dyDescent="0.25">
      <c r="A1357" s="2">
        <v>44684</v>
      </c>
      <c r="B1357" s="1" t="s">
        <v>2</v>
      </c>
      <c r="C1357" s="1" t="s">
        <v>16</v>
      </c>
      <c r="D1357" s="1" t="s">
        <v>17</v>
      </c>
      <c r="E1357">
        <v>266</v>
      </c>
      <c r="F1357" s="1">
        <f>VLOOKUP(jablka5[[#This Row],[Nazwa]],cennik[],2,0) * jablka5[[#This Row],[sprzedaż]]</f>
        <v>851.2</v>
      </c>
      <c r="G1357" s="1">
        <f>IF(jablka5[[#This Row],[NIP]]=D1356,jablka5[[#This Row],[sprzedaż]]+G1356,jablka5[[#This Row],[sprzedaż]])</f>
        <v>6144</v>
      </c>
      <c r="H1357" s="1">
        <f>IF(jablka5[[#This Row],[dot sprz]]&lt;15000,0,IF(jablka5[[#This Row],[dot sprz]]&lt;20000,5,10))</f>
        <v>0</v>
      </c>
      <c r="I1357" s="1">
        <f>jablka5[[#This Row],[rabat]]*jablka5[[#This Row],[sprzedaż]]/100</f>
        <v>0</v>
      </c>
    </row>
    <row r="1358" spans="1:9" x14ac:dyDescent="0.25">
      <c r="A1358" s="2">
        <v>44690</v>
      </c>
      <c r="B1358" s="1" t="s">
        <v>6</v>
      </c>
      <c r="C1358" s="1" t="s">
        <v>16</v>
      </c>
      <c r="D1358" s="1" t="s">
        <v>17</v>
      </c>
      <c r="E1358">
        <v>80</v>
      </c>
      <c r="F1358" s="1">
        <f>VLOOKUP(jablka5[[#This Row],[Nazwa]],cennik[],2,0) * jablka5[[#This Row],[sprzedaż]]</f>
        <v>272</v>
      </c>
      <c r="G1358" s="1">
        <f>IF(jablka5[[#This Row],[NIP]]=D1357,jablka5[[#This Row],[sprzedaż]]+G1357,jablka5[[#This Row],[sprzedaż]])</f>
        <v>6224</v>
      </c>
      <c r="H1358" s="1">
        <f>IF(jablka5[[#This Row],[dot sprz]]&lt;15000,0,IF(jablka5[[#This Row],[dot sprz]]&lt;20000,5,10))</f>
        <v>0</v>
      </c>
      <c r="I1358" s="1">
        <f>jablka5[[#This Row],[rabat]]*jablka5[[#This Row],[sprzedaż]]/100</f>
        <v>0</v>
      </c>
    </row>
    <row r="1359" spans="1:9" x14ac:dyDescent="0.25">
      <c r="A1359" s="2">
        <v>44692</v>
      </c>
      <c r="B1359" s="1" t="s">
        <v>7</v>
      </c>
      <c r="C1359" s="1" t="s">
        <v>16</v>
      </c>
      <c r="D1359" s="1" t="s">
        <v>17</v>
      </c>
      <c r="E1359">
        <v>402</v>
      </c>
      <c r="F1359" s="1">
        <f>VLOOKUP(jablka5[[#This Row],[Nazwa]],cennik[],2,0) * jablka5[[#This Row],[sprzedaż]]</f>
        <v>1366.8</v>
      </c>
      <c r="G1359" s="1">
        <f>IF(jablka5[[#This Row],[NIP]]=D1358,jablka5[[#This Row],[sprzedaż]]+G1358,jablka5[[#This Row],[sprzedaż]])</f>
        <v>6626</v>
      </c>
      <c r="H1359" s="1">
        <f>IF(jablka5[[#This Row],[dot sprz]]&lt;15000,0,IF(jablka5[[#This Row],[dot sprz]]&lt;20000,5,10))</f>
        <v>0</v>
      </c>
      <c r="I1359" s="1">
        <f>jablka5[[#This Row],[rabat]]*jablka5[[#This Row],[sprzedaż]]/100</f>
        <v>0</v>
      </c>
    </row>
    <row r="1360" spans="1:9" x14ac:dyDescent="0.25">
      <c r="A1360" s="2">
        <v>44692</v>
      </c>
      <c r="B1360" s="1" t="s">
        <v>10</v>
      </c>
      <c r="C1360" s="1" t="s">
        <v>16</v>
      </c>
      <c r="D1360" s="1" t="s">
        <v>17</v>
      </c>
      <c r="E1360">
        <v>393</v>
      </c>
      <c r="F1360" s="1">
        <f>VLOOKUP(jablka5[[#This Row],[Nazwa]],cennik[],2,0) * jablka5[[#This Row],[sprzedaż]]</f>
        <v>1336.2</v>
      </c>
      <c r="G1360" s="1">
        <f>IF(jablka5[[#This Row],[NIP]]=D1359,jablka5[[#This Row],[sprzedaż]]+G1359,jablka5[[#This Row],[sprzedaż]])</f>
        <v>7019</v>
      </c>
      <c r="H1360" s="1">
        <f>IF(jablka5[[#This Row],[dot sprz]]&lt;15000,0,IF(jablka5[[#This Row],[dot sprz]]&lt;20000,5,10))</f>
        <v>0</v>
      </c>
      <c r="I1360" s="1">
        <f>jablka5[[#This Row],[rabat]]*jablka5[[#This Row],[sprzedaż]]/100</f>
        <v>0</v>
      </c>
    </row>
    <row r="1361" spans="1:9" x14ac:dyDescent="0.25">
      <c r="A1361" s="2">
        <v>44708</v>
      </c>
      <c r="B1361" s="1" t="s">
        <v>6</v>
      </c>
      <c r="C1361" s="1" t="s">
        <v>16</v>
      </c>
      <c r="D1361" s="1" t="s">
        <v>17</v>
      </c>
      <c r="E1361">
        <v>433</v>
      </c>
      <c r="F1361" s="1">
        <f>VLOOKUP(jablka5[[#This Row],[Nazwa]],cennik[],2,0) * jablka5[[#This Row],[sprzedaż]]</f>
        <v>1472.2</v>
      </c>
      <c r="G1361" s="1">
        <f>IF(jablka5[[#This Row],[NIP]]=D1360,jablka5[[#This Row],[sprzedaż]]+G1360,jablka5[[#This Row],[sprzedaż]])</f>
        <v>7452</v>
      </c>
      <c r="H1361" s="1">
        <f>IF(jablka5[[#This Row],[dot sprz]]&lt;15000,0,IF(jablka5[[#This Row],[dot sprz]]&lt;20000,5,10))</f>
        <v>0</v>
      </c>
      <c r="I1361" s="1">
        <f>jablka5[[#This Row],[rabat]]*jablka5[[#This Row],[sprzedaż]]/100</f>
        <v>0</v>
      </c>
    </row>
    <row r="1362" spans="1:9" x14ac:dyDescent="0.25">
      <c r="A1362" s="2">
        <v>44711</v>
      </c>
      <c r="B1362" s="1" t="s">
        <v>6</v>
      </c>
      <c r="C1362" s="1" t="s">
        <v>16</v>
      </c>
      <c r="D1362" s="1" t="s">
        <v>17</v>
      </c>
      <c r="E1362">
        <v>294</v>
      </c>
      <c r="F1362" s="1">
        <f>VLOOKUP(jablka5[[#This Row],[Nazwa]],cennik[],2,0) * jablka5[[#This Row],[sprzedaż]]</f>
        <v>999.6</v>
      </c>
      <c r="G1362" s="1">
        <f>IF(jablka5[[#This Row],[NIP]]=D1361,jablka5[[#This Row],[sprzedaż]]+G1361,jablka5[[#This Row],[sprzedaż]])</f>
        <v>7746</v>
      </c>
      <c r="H1362" s="1">
        <f>IF(jablka5[[#This Row],[dot sprz]]&lt;15000,0,IF(jablka5[[#This Row],[dot sprz]]&lt;20000,5,10))</f>
        <v>0</v>
      </c>
      <c r="I1362" s="1">
        <f>jablka5[[#This Row],[rabat]]*jablka5[[#This Row],[sprzedaż]]/100</f>
        <v>0</v>
      </c>
    </row>
    <row r="1363" spans="1:9" x14ac:dyDescent="0.25">
      <c r="A1363" s="2">
        <v>44713</v>
      </c>
      <c r="B1363" s="1" t="s">
        <v>14</v>
      </c>
      <c r="C1363" s="1" t="s">
        <v>67</v>
      </c>
      <c r="D1363" s="1" t="s">
        <v>17</v>
      </c>
      <c r="E1363">
        <v>342</v>
      </c>
      <c r="F1363" s="1">
        <f>VLOOKUP(jablka5[[#This Row],[Nazwa]],cennik[],2,0) * jablka5[[#This Row],[sprzedaż]]</f>
        <v>1197</v>
      </c>
      <c r="G1363" s="1">
        <f>IF(jablka5[[#This Row],[NIP]]=D1362,jablka5[[#This Row],[sprzedaż]]+G1362,jablka5[[#This Row],[sprzedaż]])</f>
        <v>8088</v>
      </c>
      <c r="H1363" s="1">
        <f>IF(jablka5[[#This Row],[dot sprz]]&lt;15000,0,IF(jablka5[[#This Row],[dot sprz]]&lt;20000,5,10))</f>
        <v>0</v>
      </c>
      <c r="I1363" s="1">
        <f>jablka5[[#This Row],[rabat]]*jablka5[[#This Row],[sprzedaż]]/100</f>
        <v>0</v>
      </c>
    </row>
    <row r="1364" spans="1:9" x14ac:dyDescent="0.25">
      <c r="A1364" s="2">
        <v>44718</v>
      </c>
      <c r="B1364" s="1" t="s">
        <v>12</v>
      </c>
      <c r="C1364" s="1" t="s">
        <v>68</v>
      </c>
      <c r="D1364" s="1" t="s">
        <v>17</v>
      </c>
      <c r="E1364">
        <v>245</v>
      </c>
      <c r="F1364" s="1">
        <f>VLOOKUP(jablka5[[#This Row],[Nazwa]],cennik[],2,0) * jablka5[[#This Row],[sprzedaż]]</f>
        <v>661.5</v>
      </c>
      <c r="G1364" s="1">
        <f>IF(jablka5[[#This Row],[NIP]]=D1363,jablka5[[#This Row],[sprzedaż]]+G1363,jablka5[[#This Row],[sprzedaż]])</f>
        <v>8333</v>
      </c>
      <c r="H1364" s="1">
        <f>IF(jablka5[[#This Row],[dot sprz]]&lt;15000,0,IF(jablka5[[#This Row],[dot sprz]]&lt;20000,5,10))</f>
        <v>0</v>
      </c>
      <c r="I1364" s="1">
        <f>jablka5[[#This Row],[rabat]]*jablka5[[#This Row],[sprzedaż]]/100</f>
        <v>0</v>
      </c>
    </row>
    <row r="1365" spans="1:9" x14ac:dyDescent="0.25">
      <c r="A1365" s="2">
        <v>44727</v>
      </c>
      <c r="B1365" s="1" t="s">
        <v>14</v>
      </c>
      <c r="C1365" s="1" t="s">
        <v>67</v>
      </c>
      <c r="D1365" s="1" t="s">
        <v>17</v>
      </c>
      <c r="E1365">
        <v>59</v>
      </c>
      <c r="F1365" s="1">
        <f>VLOOKUP(jablka5[[#This Row],[Nazwa]],cennik[],2,0) * jablka5[[#This Row],[sprzedaż]]</f>
        <v>206.5</v>
      </c>
      <c r="G1365" s="1">
        <f>IF(jablka5[[#This Row],[NIP]]=D1364,jablka5[[#This Row],[sprzedaż]]+G1364,jablka5[[#This Row],[sprzedaż]])</f>
        <v>8392</v>
      </c>
      <c r="H1365" s="1">
        <f>IF(jablka5[[#This Row],[dot sprz]]&lt;15000,0,IF(jablka5[[#This Row],[dot sprz]]&lt;20000,5,10))</f>
        <v>0</v>
      </c>
      <c r="I1365" s="1">
        <f>jablka5[[#This Row],[rabat]]*jablka5[[#This Row],[sprzedaż]]/100</f>
        <v>0</v>
      </c>
    </row>
    <row r="1366" spans="1:9" x14ac:dyDescent="0.25">
      <c r="A1366" s="2">
        <v>44741</v>
      </c>
      <c r="B1366" s="1" t="s">
        <v>13</v>
      </c>
      <c r="C1366" s="1" t="s">
        <v>68</v>
      </c>
      <c r="D1366" s="1" t="s">
        <v>17</v>
      </c>
      <c r="E1366">
        <v>210</v>
      </c>
      <c r="F1366" s="1">
        <f>VLOOKUP(jablka5[[#This Row],[Nazwa]],cennik[],2,0) * jablka5[[#This Row],[sprzedaż]]</f>
        <v>672</v>
      </c>
      <c r="G1366" s="1">
        <f>IF(jablka5[[#This Row],[NIP]]=D1365,jablka5[[#This Row],[sprzedaż]]+G1365,jablka5[[#This Row],[sprzedaż]])</f>
        <v>8602</v>
      </c>
      <c r="H1366" s="1">
        <f>IF(jablka5[[#This Row],[dot sprz]]&lt;15000,0,IF(jablka5[[#This Row],[dot sprz]]&lt;20000,5,10))</f>
        <v>0</v>
      </c>
      <c r="I1366" s="1">
        <f>jablka5[[#This Row],[rabat]]*jablka5[[#This Row],[sprzedaż]]/100</f>
        <v>0</v>
      </c>
    </row>
    <row r="1367" spans="1:9" x14ac:dyDescent="0.25">
      <c r="A1367" s="2">
        <v>44747</v>
      </c>
      <c r="B1367" s="1" t="s">
        <v>13</v>
      </c>
      <c r="C1367" s="1" t="s">
        <v>68</v>
      </c>
      <c r="D1367" s="1" t="s">
        <v>17</v>
      </c>
      <c r="E1367">
        <v>103</v>
      </c>
      <c r="F1367" s="1">
        <f>VLOOKUP(jablka5[[#This Row],[Nazwa]],cennik[],2,0) * jablka5[[#This Row],[sprzedaż]]</f>
        <v>329.6</v>
      </c>
      <c r="G1367" s="1">
        <f>IF(jablka5[[#This Row],[NIP]]=D1366,jablka5[[#This Row],[sprzedaż]]+G1366,jablka5[[#This Row],[sprzedaż]])</f>
        <v>8705</v>
      </c>
      <c r="H1367" s="1">
        <f>IF(jablka5[[#This Row],[dot sprz]]&lt;15000,0,IF(jablka5[[#This Row],[dot sprz]]&lt;20000,5,10))</f>
        <v>0</v>
      </c>
      <c r="I1367" s="1">
        <f>jablka5[[#This Row],[rabat]]*jablka5[[#This Row],[sprzedaż]]/100</f>
        <v>0</v>
      </c>
    </row>
    <row r="1368" spans="1:9" x14ac:dyDescent="0.25">
      <c r="A1368" s="2">
        <v>44753</v>
      </c>
      <c r="B1368" s="1" t="s">
        <v>14</v>
      </c>
      <c r="C1368" s="1" t="s">
        <v>67</v>
      </c>
      <c r="D1368" s="1" t="s">
        <v>17</v>
      </c>
      <c r="E1368">
        <v>147</v>
      </c>
      <c r="F1368" s="1">
        <f>VLOOKUP(jablka5[[#This Row],[Nazwa]],cennik[],2,0) * jablka5[[#This Row],[sprzedaż]]</f>
        <v>514.5</v>
      </c>
      <c r="G1368" s="1">
        <f>IF(jablka5[[#This Row],[NIP]]=D1367,jablka5[[#This Row],[sprzedaż]]+G1367,jablka5[[#This Row],[sprzedaż]])</f>
        <v>8852</v>
      </c>
      <c r="H1368" s="1">
        <f>IF(jablka5[[#This Row],[dot sprz]]&lt;15000,0,IF(jablka5[[#This Row],[dot sprz]]&lt;20000,5,10))</f>
        <v>0</v>
      </c>
      <c r="I1368" s="1">
        <f>jablka5[[#This Row],[rabat]]*jablka5[[#This Row],[sprzedaż]]/100</f>
        <v>0</v>
      </c>
    </row>
    <row r="1369" spans="1:9" x14ac:dyDescent="0.25">
      <c r="A1369" s="2">
        <v>44760</v>
      </c>
      <c r="B1369" s="1" t="s">
        <v>14</v>
      </c>
      <c r="C1369" s="1" t="s">
        <v>67</v>
      </c>
      <c r="D1369" s="1" t="s">
        <v>17</v>
      </c>
      <c r="E1369">
        <v>99</v>
      </c>
      <c r="F1369" s="1">
        <f>VLOOKUP(jablka5[[#This Row],[Nazwa]],cennik[],2,0) * jablka5[[#This Row],[sprzedaż]]</f>
        <v>346.5</v>
      </c>
      <c r="G1369" s="1">
        <f>IF(jablka5[[#This Row],[NIP]]=D1368,jablka5[[#This Row],[sprzedaż]]+G1368,jablka5[[#This Row],[sprzedaż]])</f>
        <v>8951</v>
      </c>
      <c r="H1369" s="1">
        <f>IF(jablka5[[#This Row],[dot sprz]]&lt;15000,0,IF(jablka5[[#This Row],[dot sprz]]&lt;20000,5,10))</f>
        <v>0</v>
      </c>
      <c r="I1369" s="1">
        <f>jablka5[[#This Row],[rabat]]*jablka5[[#This Row],[sprzedaż]]/100</f>
        <v>0</v>
      </c>
    </row>
    <row r="1370" spans="1:9" x14ac:dyDescent="0.25">
      <c r="A1370" s="2">
        <v>44767</v>
      </c>
      <c r="B1370" s="1" t="s">
        <v>12</v>
      </c>
      <c r="C1370" s="1" t="s">
        <v>68</v>
      </c>
      <c r="D1370" s="1" t="s">
        <v>17</v>
      </c>
      <c r="E1370">
        <v>180</v>
      </c>
      <c r="F1370" s="1">
        <f>VLOOKUP(jablka5[[#This Row],[Nazwa]],cennik[],2,0) * jablka5[[#This Row],[sprzedaż]]</f>
        <v>486.00000000000006</v>
      </c>
      <c r="G1370" s="1">
        <f>IF(jablka5[[#This Row],[NIP]]=D1369,jablka5[[#This Row],[sprzedaż]]+G1369,jablka5[[#This Row],[sprzedaż]])</f>
        <v>9131</v>
      </c>
      <c r="H1370" s="1">
        <f>IF(jablka5[[#This Row],[dot sprz]]&lt;15000,0,IF(jablka5[[#This Row],[dot sprz]]&lt;20000,5,10))</f>
        <v>0</v>
      </c>
      <c r="I1370" s="1">
        <f>jablka5[[#This Row],[rabat]]*jablka5[[#This Row],[sprzedaż]]/100</f>
        <v>0</v>
      </c>
    </row>
    <row r="1371" spans="1:9" x14ac:dyDescent="0.25">
      <c r="A1371" s="2">
        <v>44770</v>
      </c>
      <c r="B1371" s="1" t="s">
        <v>12</v>
      </c>
      <c r="C1371" s="1" t="s">
        <v>68</v>
      </c>
      <c r="D1371" s="1" t="s">
        <v>17</v>
      </c>
      <c r="E1371">
        <v>183</v>
      </c>
      <c r="F1371" s="1">
        <f>VLOOKUP(jablka5[[#This Row],[Nazwa]],cennik[],2,0) * jablka5[[#This Row],[sprzedaż]]</f>
        <v>494.1</v>
      </c>
      <c r="G1371" s="1">
        <f>IF(jablka5[[#This Row],[NIP]]=D1370,jablka5[[#This Row],[sprzedaż]]+G1370,jablka5[[#This Row],[sprzedaż]])</f>
        <v>9314</v>
      </c>
      <c r="H1371" s="1">
        <f>IF(jablka5[[#This Row],[dot sprz]]&lt;15000,0,IF(jablka5[[#This Row],[dot sprz]]&lt;20000,5,10))</f>
        <v>0</v>
      </c>
      <c r="I1371" s="1">
        <f>jablka5[[#This Row],[rabat]]*jablka5[[#This Row],[sprzedaż]]/100</f>
        <v>0</v>
      </c>
    </row>
    <row r="1372" spans="1:9" x14ac:dyDescent="0.25">
      <c r="A1372" s="2">
        <v>44781</v>
      </c>
      <c r="B1372" s="1" t="s">
        <v>13</v>
      </c>
      <c r="C1372" s="1" t="s">
        <v>68</v>
      </c>
      <c r="D1372" s="1" t="s">
        <v>17</v>
      </c>
      <c r="E1372">
        <v>373</v>
      </c>
      <c r="F1372" s="1">
        <f>VLOOKUP(jablka5[[#This Row],[Nazwa]],cennik[],2,0) * jablka5[[#This Row],[sprzedaż]]</f>
        <v>1193.6000000000001</v>
      </c>
      <c r="G1372" s="1">
        <f>IF(jablka5[[#This Row],[NIP]]=D1371,jablka5[[#This Row],[sprzedaż]]+G1371,jablka5[[#This Row],[sprzedaż]])</f>
        <v>9687</v>
      </c>
      <c r="H1372" s="1">
        <f>IF(jablka5[[#This Row],[dot sprz]]&lt;15000,0,IF(jablka5[[#This Row],[dot sprz]]&lt;20000,5,10))</f>
        <v>0</v>
      </c>
      <c r="I1372" s="1">
        <f>jablka5[[#This Row],[rabat]]*jablka5[[#This Row],[sprzedaż]]/100</f>
        <v>0</v>
      </c>
    </row>
    <row r="1373" spans="1:9" x14ac:dyDescent="0.25">
      <c r="A1373" s="2">
        <v>44781</v>
      </c>
      <c r="B1373" s="1" t="s">
        <v>13</v>
      </c>
      <c r="C1373" s="1" t="s">
        <v>68</v>
      </c>
      <c r="D1373" s="1" t="s">
        <v>17</v>
      </c>
      <c r="E1373">
        <v>52</v>
      </c>
      <c r="F1373" s="1">
        <f>VLOOKUP(jablka5[[#This Row],[Nazwa]],cennik[],2,0) * jablka5[[#This Row],[sprzedaż]]</f>
        <v>166.4</v>
      </c>
      <c r="G1373" s="1">
        <f>IF(jablka5[[#This Row],[NIP]]=D1372,jablka5[[#This Row],[sprzedaż]]+G1372,jablka5[[#This Row],[sprzedaż]])</f>
        <v>9739</v>
      </c>
      <c r="H1373" s="1">
        <f>IF(jablka5[[#This Row],[dot sprz]]&lt;15000,0,IF(jablka5[[#This Row],[dot sprz]]&lt;20000,5,10))</f>
        <v>0</v>
      </c>
      <c r="I1373" s="1">
        <f>jablka5[[#This Row],[rabat]]*jablka5[[#This Row],[sprzedaż]]/100</f>
        <v>0</v>
      </c>
    </row>
    <row r="1374" spans="1:9" x14ac:dyDescent="0.25">
      <c r="A1374" s="2">
        <v>44788</v>
      </c>
      <c r="B1374" s="1" t="s">
        <v>13</v>
      </c>
      <c r="C1374" s="1" t="s">
        <v>68</v>
      </c>
      <c r="D1374" s="1" t="s">
        <v>17</v>
      </c>
      <c r="E1374">
        <v>465</v>
      </c>
      <c r="F1374" s="1">
        <f>VLOOKUP(jablka5[[#This Row],[Nazwa]],cennik[],2,0) * jablka5[[#This Row],[sprzedaż]]</f>
        <v>1488</v>
      </c>
      <c r="G1374" s="1">
        <f>IF(jablka5[[#This Row],[NIP]]=D1373,jablka5[[#This Row],[sprzedaż]]+G1373,jablka5[[#This Row],[sprzedaż]])</f>
        <v>10204</v>
      </c>
      <c r="H1374" s="1">
        <f>IF(jablka5[[#This Row],[dot sprz]]&lt;15000,0,IF(jablka5[[#This Row],[dot sprz]]&lt;20000,5,10))</f>
        <v>0</v>
      </c>
      <c r="I1374" s="1">
        <f>jablka5[[#This Row],[rabat]]*jablka5[[#This Row],[sprzedaż]]/100</f>
        <v>0</v>
      </c>
    </row>
    <row r="1375" spans="1:9" x14ac:dyDescent="0.25">
      <c r="A1375" s="2">
        <v>44790</v>
      </c>
      <c r="B1375" s="1" t="s">
        <v>13</v>
      </c>
      <c r="C1375" s="1" t="s">
        <v>68</v>
      </c>
      <c r="D1375" s="1" t="s">
        <v>17</v>
      </c>
      <c r="E1375">
        <v>274</v>
      </c>
      <c r="F1375" s="1">
        <f>VLOOKUP(jablka5[[#This Row],[Nazwa]],cennik[],2,0) * jablka5[[#This Row],[sprzedaż]]</f>
        <v>876.80000000000007</v>
      </c>
      <c r="G1375" s="1">
        <f>IF(jablka5[[#This Row],[NIP]]=D1374,jablka5[[#This Row],[sprzedaż]]+G1374,jablka5[[#This Row],[sprzedaż]])</f>
        <v>10478</v>
      </c>
      <c r="H1375" s="1">
        <f>IF(jablka5[[#This Row],[dot sprz]]&lt;15000,0,IF(jablka5[[#This Row],[dot sprz]]&lt;20000,5,10))</f>
        <v>0</v>
      </c>
      <c r="I1375" s="1">
        <f>jablka5[[#This Row],[rabat]]*jablka5[[#This Row],[sprzedaż]]/100</f>
        <v>0</v>
      </c>
    </row>
    <row r="1376" spans="1:9" x14ac:dyDescent="0.25">
      <c r="A1376" s="2">
        <v>44791</v>
      </c>
      <c r="B1376" s="1" t="s">
        <v>14</v>
      </c>
      <c r="C1376" s="1" t="s">
        <v>67</v>
      </c>
      <c r="D1376" s="1" t="s">
        <v>17</v>
      </c>
      <c r="E1376">
        <v>100</v>
      </c>
      <c r="F1376" s="1">
        <f>VLOOKUP(jablka5[[#This Row],[Nazwa]],cennik[],2,0) * jablka5[[#This Row],[sprzedaż]]</f>
        <v>350</v>
      </c>
      <c r="G1376" s="1">
        <f>IF(jablka5[[#This Row],[NIP]]=D1375,jablka5[[#This Row],[sprzedaż]]+G1375,jablka5[[#This Row],[sprzedaż]])</f>
        <v>10578</v>
      </c>
      <c r="H1376" s="1">
        <f>IF(jablka5[[#This Row],[dot sprz]]&lt;15000,0,IF(jablka5[[#This Row],[dot sprz]]&lt;20000,5,10))</f>
        <v>0</v>
      </c>
      <c r="I1376" s="1">
        <f>jablka5[[#This Row],[rabat]]*jablka5[[#This Row],[sprzedaż]]/100</f>
        <v>0</v>
      </c>
    </row>
    <row r="1377" spans="1:9" x14ac:dyDescent="0.25">
      <c r="A1377" s="2">
        <v>44792</v>
      </c>
      <c r="B1377" s="1" t="s">
        <v>13</v>
      </c>
      <c r="C1377" s="1" t="s">
        <v>68</v>
      </c>
      <c r="D1377" s="1" t="s">
        <v>17</v>
      </c>
      <c r="E1377">
        <v>490</v>
      </c>
      <c r="F1377" s="1">
        <f>VLOOKUP(jablka5[[#This Row],[Nazwa]],cennik[],2,0) * jablka5[[#This Row],[sprzedaż]]</f>
        <v>1568</v>
      </c>
      <c r="G1377" s="1">
        <f>IF(jablka5[[#This Row],[NIP]]=D1376,jablka5[[#This Row],[sprzedaż]]+G1376,jablka5[[#This Row],[sprzedaż]])</f>
        <v>11068</v>
      </c>
      <c r="H1377" s="1">
        <f>IF(jablka5[[#This Row],[dot sprz]]&lt;15000,0,IF(jablka5[[#This Row],[dot sprz]]&lt;20000,5,10))</f>
        <v>0</v>
      </c>
      <c r="I1377" s="1">
        <f>jablka5[[#This Row],[rabat]]*jablka5[[#This Row],[sprzedaż]]/100</f>
        <v>0</v>
      </c>
    </row>
    <row r="1378" spans="1:9" x14ac:dyDescent="0.25">
      <c r="A1378" s="2">
        <v>44799</v>
      </c>
      <c r="B1378" s="1" t="s">
        <v>12</v>
      </c>
      <c r="C1378" s="1" t="s">
        <v>68</v>
      </c>
      <c r="D1378" s="1" t="s">
        <v>17</v>
      </c>
      <c r="E1378">
        <v>191</v>
      </c>
      <c r="F1378" s="1">
        <f>VLOOKUP(jablka5[[#This Row],[Nazwa]],cennik[],2,0) * jablka5[[#This Row],[sprzedaż]]</f>
        <v>515.70000000000005</v>
      </c>
      <c r="G1378" s="1">
        <f>IF(jablka5[[#This Row],[NIP]]=D1377,jablka5[[#This Row],[sprzedaż]]+G1377,jablka5[[#This Row],[sprzedaż]])</f>
        <v>11259</v>
      </c>
      <c r="H1378" s="1">
        <f>IF(jablka5[[#This Row],[dot sprz]]&lt;15000,0,IF(jablka5[[#This Row],[dot sprz]]&lt;20000,5,10))</f>
        <v>0</v>
      </c>
      <c r="I1378" s="1">
        <f>jablka5[[#This Row],[rabat]]*jablka5[[#This Row],[sprzedaż]]/100</f>
        <v>0</v>
      </c>
    </row>
    <row r="1379" spans="1:9" x14ac:dyDescent="0.25">
      <c r="A1379" s="2">
        <v>44805</v>
      </c>
      <c r="B1379" s="1" t="s">
        <v>14</v>
      </c>
      <c r="C1379" s="1" t="s">
        <v>67</v>
      </c>
      <c r="D1379" s="1" t="s">
        <v>17</v>
      </c>
      <c r="E1379">
        <v>332</v>
      </c>
      <c r="F1379" s="1">
        <f>VLOOKUP(jablka5[[#This Row],[Nazwa]],cennik[],2,0) * jablka5[[#This Row],[sprzedaż]]</f>
        <v>1162</v>
      </c>
      <c r="G1379" s="1">
        <f>IF(jablka5[[#This Row],[NIP]]=D1378,jablka5[[#This Row],[sprzedaż]]+G1378,jablka5[[#This Row],[sprzedaż]])</f>
        <v>11591</v>
      </c>
      <c r="H1379" s="1">
        <f>IF(jablka5[[#This Row],[dot sprz]]&lt;15000,0,IF(jablka5[[#This Row],[dot sprz]]&lt;20000,5,10))</f>
        <v>0</v>
      </c>
      <c r="I1379" s="1">
        <f>jablka5[[#This Row],[rabat]]*jablka5[[#This Row],[sprzedaż]]/100</f>
        <v>0</v>
      </c>
    </row>
    <row r="1380" spans="1:9" x14ac:dyDescent="0.25">
      <c r="A1380" s="2">
        <v>44817</v>
      </c>
      <c r="B1380" s="1" t="s">
        <v>14</v>
      </c>
      <c r="C1380" s="1" t="s">
        <v>67</v>
      </c>
      <c r="D1380" s="1" t="s">
        <v>17</v>
      </c>
      <c r="E1380">
        <v>404</v>
      </c>
      <c r="F1380" s="1">
        <f>VLOOKUP(jablka5[[#This Row],[Nazwa]],cennik[],2,0) * jablka5[[#This Row],[sprzedaż]]</f>
        <v>1414</v>
      </c>
      <c r="G1380" s="1">
        <f>IF(jablka5[[#This Row],[NIP]]=D1379,jablka5[[#This Row],[sprzedaż]]+G1379,jablka5[[#This Row],[sprzedaż]])</f>
        <v>11995</v>
      </c>
      <c r="H1380" s="1">
        <f>IF(jablka5[[#This Row],[dot sprz]]&lt;15000,0,IF(jablka5[[#This Row],[dot sprz]]&lt;20000,5,10))</f>
        <v>0</v>
      </c>
      <c r="I1380" s="1">
        <f>jablka5[[#This Row],[rabat]]*jablka5[[#This Row],[sprzedaż]]/100</f>
        <v>0</v>
      </c>
    </row>
    <row r="1381" spans="1:9" x14ac:dyDescent="0.25">
      <c r="A1381" s="2">
        <v>44826</v>
      </c>
      <c r="B1381" s="1" t="s">
        <v>1</v>
      </c>
      <c r="C1381" s="1" t="s">
        <v>67</v>
      </c>
      <c r="D1381" s="1" t="s">
        <v>17</v>
      </c>
      <c r="E1381">
        <v>156</v>
      </c>
      <c r="F1381" s="1">
        <f>VLOOKUP(jablka5[[#This Row],[Nazwa]],cennik[],2,0) * jablka5[[#This Row],[sprzedaż]]</f>
        <v>499.20000000000005</v>
      </c>
      <c r="G1381" s="1">
        <f>IF(jablka5[[#This Row],[NIP]]=D1380,jablka5[[#This Row],[sprzedaż]]+G1380,jablka5[[#This Row],[sprzedaż]])</f>
        <v>12151</v>
      </c>
      <c r="H1381" s="1">
        <f>IF(jablka5[[#This Row],[dot sprz]]&lt;15000,0,IF(jablka5[[#This Row],[dot sprz]]&lt;20000,5,10))</f>
        <v>0</v>
      </c>
      <c r="I1381" s="1">
        <f>jablka5[[#This Row],[rabat]]*jablka5[[#This Row],[sprzedaż]]/100</f>
        <v>0</v>
      </c>
    </row>
    <row r="1382" spans="1:9" x14ac:dyDescent="0.25">
      <c r="A1382" s="2">
        <v>44861</v>
      </c>
      <c r="B1382" s="1" t="s">
        <v>14</v>
      </c>
      <c r="C1382" s="1" t="s">
        <v>67</v>
      </c>
      <c r="D1382" s="1" t="s">
        <v>17</v>
      </c>
      <c r="E1382">
        <v>164</v>
      </c>
      <c r="F1382" s="1">
        <f>VLOOKUP(jablka5[[#This Row],[Nazwa]],cennik[],2,0) * jablka5[[#This Row],[sprzedaż]]</f>
        <v>574</v>
      </c>
      <c r="G1382" s="1">
        <f>IF(jablka5[[#This Row],[NIP]]=D1381,jablka5[[#This Row],[sprzedaż]]+G1381,jablka5[[#This Row],[sprzedaż]])</f>
        <v>12315</v>
      </c>
      <c r="H1382" s="1">
        <f>IF(jablka5[[#This Row],[dot sprz]]&lt;15000,0,IF(jablka5[[#This Row],[dot sprz]]&lt;20000,5,10))</f>
        <v>0</v>
      </c>
      <c r="I1382" s="1">
        <f>jablka5[[#This Row],[rabat]]*jablka5[[#This Row],[sprzedaż]]/100</f>
        <v>0</v>
      </c>
    </row>
    <row r="1383" spans="1:9" x14ac:dyDescent="0.25">
      <c r="A1383" s="2">
        <v>44865</v>
      </c>
      <c r="B1383" s="1" t="s">
        <v>11</v>
      </c>
      <c r="C1383" s="1" t="s">
        <v>67</v>
      </c>
      <c r="D1383" s="1" t="s">
        <v>17</v>
      </c>
      <c r="E1383">
        <v>415</v>
      </c>
      <c r="F1383" s="1">
        <f>VLOOKUP(jablka5[[#This Row],[Nazwa]],cennik[],2,0) * jablka5[[#This Row],[sprzedaż]]</f>
        <v>1037.5</v>
      </c>
      <c r="G1383" s="1">
        <f>IF(jablka5[[#This Row],[NIP]]=D1382,jablka5[[#This Row],[sprzedaż]]+G1382,jablka5[[#This Row],[sprzedaż]])</f>
        <v>12730</v>
      </c>
      <c r="H1383" s="1">
        <f>IF(jablka5[[#This Row],[dot sprz]]&lt;15000,0,IF(jablka5[[#This Row],[dot sprz]]&lt;20000,5,10))</f>
        <v>0</v>
      </c>
      <c r="I1383" s="1">
        <f>jablka5[[#This Row],[rabat]]*jablka5[[#This Row],[sprzedaż]]/100</f>
        <v>0</v>
      </c>
    </row>
    <row r="1384" spans="1:9" x14ac:dyDescent="0.25">
      <c r="A1384" s="2">
        <v>44872</v>
      </c>
      <c r="B1384" s="1" t="s">
        <v>1</v>
      </c>
      <c r="C1384" s="1" t="s">
        <v>67</v>
      </c>
      <c r="D1384" s="1" t="s">
        <v>17</v>
      </c>
      <c r="E1384">
        <v>178</v>
      </c>
      <c r="F1384" s="1">
        <f>VLOOKUP(jablka5[[#This Row],[Nazwa]],cennik[],2,0) * jablka5[[#This Row],[sprzedaż]]</f>
        <v>569.6</v>
      </c>
      <c r="G1384" s="1">
        <f>IF(jablka5[[#This Row],[NIP]]=D1383,jablka5[[#This Row],[sprzedaż]]+G1383,jablka5[[#This Row],[sprzedaż]])</f>
        <v>12908</v>
      </c>
      <c r="H1384" s="1">
        <f>IF(jablka5[[#This Row],[dot sprz]]&lt;15000,0,IF(jablka5[[#This Row],[dot sprz]]&lt;20000,5,10))</f>
        <v>0</v>
      </c>
      <c r="I1384" s="1">
        <f>jablka5[[#This Row],[rabat]]*jablka5[[#This Row],[sprzedaż]]/100</f>
        <v>0</v>
      </c>
    </row>
    <row r="1385" spans="1:9" x14ac:dyDescent="0.25">
      <c r="A1385" s="2">
        <v>44873</v>
      </c>
      <c r="B1385" s="1" t="s">
        <v>3</v>
      </c>
      <c r="C1385" s="1" t="s">
        <v>67</v>
      </c>
      <c r="D1385" s="1" t="s">
        <v>17</v>
      </c>
      <c r="E1385">
        <v>351</v>
      </c>
      <c r="F1385" s="1">
        <f>VLOOKUP(jablka5[[#This Row],[Nazwa]],cennik[],2,0) * jablka5[[#This Row],[sprzedaż]]</f>
        <v>1123.2</v>
      </c>
      <c r="G1385" s="1">
        <f>IF(jablka5[[#This Row],[NIP]]=D1384,jablka5[[#This Row],[sprzedaż]]+G1384,jablka5[[#This Row],[sprzedaż]])</f>
        <v>13259</v>
      </c>
      <c r="H1385" s="1">
        <f>IF(jablka5[[#This Row],[dot sprz]]&lt;15000,0,IF(jablka5[[#This Row],[dot sprz]]&lt;20000,5,10))</f>
        <v>0</v>
      </c>
      <c r="I1385" s="1">
        <f>jablka5[[#This Row],[rabat]]*jablka5[[#This Row],[sprzedaż]]/100</f>
        <v>0</v>
      </c>
    </row>
    <row r="1386" spans="1:9" x14ac:dyDescent="0.25">
      <c r="A1386" s="2">
        <v>44876</v>
      </c>
      <c r="B1386" s="1" t="s">
        <v>9</v>
      </c>
      <c r="C1386" s="1" t="s">
        <v>67</v>
      </c>
      <c r="D1386" s="1" t="s">
        <v>17</v>
      </c>
      <c r="E1386">
        <v>415</v>
      </c>
      <c r="F1386" s="1">
        <f>VLOOKUP(jablka5[[#This Row],[Nazwa]],cennik[],2,0) * jablka5[[#This Row],[sprzedaż]]</f>
        <v>1037.5</v>
      </c>
      <c r="G1386" s="1">
        <f>IF(jablka5[[#This Row],[NIP]]=D1385,jablka5[[#This Row],[sprzedaż]]+G1385,jablka5[[#This Row],[sprzedaż]])</f>
        <v>13674</v>
      </c>
      <c r="H1386" s="1">
        <f>IF(jablka5[[#This Row],[dot sprz]]&lt;15000,0,IF(jablka5[[#This Row],[dot sprz]]&lt;20000,5,10))</f>
        <v>0</v>
      </c>
      <c r="I1386" s="1">
        <f>jablka5[[#This Row],[rabat]]*jablka5[[#This Row],[sprzedaż]]/100</f>
        <v>0</v>
      </c>
    </row>
    <row r="1387" spans="1:9" x14ac:dyDescent="0.25">
      <c r="A1387" s="2">
        <v>44879</v>
      </c>
      <c r="B1387" s="1" t="s">
        <v>14</v>
      </c>
      <c r="C1387" s="1" t="s">
        <v>67</v>
      </c>
      <c r="D1387" s="1" t="s">
        <v>17</v>
      </c>
      <c r="E1387">
        <v>65</v>
      </c>
      <c r="F1387" s="1">
        <f>VLOOKUP(jablka5[[#This Row],[Nazwa]],cennik[],2,0) * jablka5[[#This Row],[sprzedaż]]</f>
        <v>227.5</v>
      </c>
      <c r="G1387" s="1">
        <f>IF(jablka5[[#This Row],[NIP]]=D1386,jablka5[[#This Row],[sprzedaż]]+G1386,jablka5[[#This Row],[sprzedaż]])</f>
        <v>13739</v>
      </c>
      <c r="H1387" s="1">
        <f>IF(jablka5[[#This Row],[dot sprz]]&lt;15000,0,IF(jablka5[[#This Row],[dot sprz]]&lt;20000,5,10))</f>
        <v>0</v>
      </c>
      <c r="I1387" s="1">
        <f>jablka5[[#This Row],[rabat]]*jablka5[[#This Row],[sprzedaż]]/100</f>
        <v>0</v>
      </c>
    </row>
    <row r="1388" spans="1:9" x14ac:dyDescent="0.25">
      <c r="A1388" s="2">
        <v>44881</v>
      </c>
      <c r="B1388" s="1" t="s">
        <v>14</v>
      </c>
      <c r="C1388" s="1" t="s">
        <v>67</v>
      </c>
      <c r="D1388" s="1" t="s">
        <v>17</v>
      </c>
      <c r="E1388">
        <v>376</v>
      </c>
      <c r="F1388" s="1">
        <f>VLOOKUP(jablka5[[#This Row],[Nazwa]],cennik[],2,0) * jablka5[[#This Row],[sprzedaż]]</f>
        <v>1316</v>
      </c>
      <c r="G1388" s="1">
        <f>IF(jablka5[[#This Row],[NIP]]=D1387,jablka5[[#This Row],[sprzedaż]]+G1387,jablka5[[#This Row],[sprzedaż]])</f>
        <v>14115</v>
      </c>
      <c r="H1388" s="1">
        <f>IF(jablka5[[#This Row],[dot sprz]]&lt;15000,0,IF(jablka5[[#This Row],[dot sprz]]&lt;20000,5,10))</f>
        <v>0</v>
      </c>
      <c r="I1388" s="1">
        <f>jablka5[[#This Row],[rabat]]*jablka5[[#This Row],[sprzedaż]]/100</f>
        <v>0</v>
      </c>
    </row>
    <row r="1389" spans="1:9" x14ac:dyDescent="0.25">
      <c r="A1389" s="2">
        <v>44905</v>
      </c>
      <c r="B1389" s="1" t="s">
        <v>10</v>
      </c>
      <c r="C1389" s="1" t="s">
        <v>16</v>
      </c>
      <c r="D1389" s="1" t="s">
        <v>17</v>
      </c>
      <c r="E1389">
        <v>489</v>
      </c>
      <c r="F1389" s="1">
        <f>VLOOKUP(jablka5[[#This Row],[Nazwa]],cennik[],2,0) * jablka5[[#This Row],[sprzedaż]]</f>
        <v>1662.6</v>
      </c>
      <c r="G1389" s="1">
        <f>IF(jablka5[[#This Row],[NIP]]=D1388,jablka5[[#This Row],[sprzedaż]]+G1388,jablka5[[#This Row],[sprzedaż]])</f>
        <v>14604</v>
      </c>
      <c r="H1389" s="1">
        <f>IF(jablka5[[#This Row],[dot sprz]]&lt;15000,0,IF(jablka5[[#This Row],[dot sprz]]&lt;20000,5,10))</f>
        <v>0</v>
      </c>
      <c r="I1389" s="1">
        <f>jablka5[[#This Row],[rabat]]*jablka5[[#This Row],[sprzedaż]]/100</f>
        <v>0</v>
      </c>
    </row>
    <row r="1390" spans="1:9" x14ac:dyDescent="0.25">
      <c r="A1390" s="2">
        <v>44907</v>
      </c>
      <c r="B1390" s="1" t="s">
        <v>7</v>
      </c>
      <c r="C1390" s="1" t="s">
        <v>16</v>
      </c>
      <c r="D1390" s="1" t="s">
        <v>17</v>
      </c>
      <c r="E1390">
        <v>224</v>
      </c>
      <c r="F1390" s="1">
        <f>VLOOKUP(jablka5[[#This Row],[Nazwa]],cennik[],2,0) * jablka5[[#This Row],[sprzedaż]]</f>
        <v>761.6</v>
      </c>
      <c r="G1390" s="1">
        <f>IF(jablka5[[#This Row],[NIP]]=D1389,jablka5[[#This Row],[sprzedaż]]+G1389,jablka5[[#This Row],[sprzedaż]])</f>
        <v>14828</v>
      </c>
      <c r="H1390" s="1">
        <f>IF(jablka5[[#This Row],[dot sprz]]&lt;15000,0,IF(jablka5[[#This Row],[dot sprz]]&lt;20000,5,10))</f>
        <v>0</v>
      </c>
      <c r="I1390" s="1">
        <f>jablka5[[#This Row],[rabat]]*jablka5[[#This Row],[sprzedaż]]/100</f>
        <v>0</v>
      </c>
    </row>
    <row r="1391" spans="1:9" x14ac:dyDescent="0.25">
      <c r="A1391" s="2">
        <v>44909</v>
      </c>
      <c r="B1391" s="1" t="s">
        <v>2</v>
      </c>
      <c r="C1391" s="1" t="s">
        <v>16</v>
      </c>
      <c r="D1391" s="1" t="s">
        <v>17</v>
      </c>
      <c r="E1391">
        <v>346</v>
      </c>
      <c r="F1391" s="1">
        <f>VLOOKUP(jablka5[[#This Row],[Nazwa]],cennik[],2,0) * jablka5[[#This Row],[sprzedaż]]</f>
        <v>1107.2</v>
      </c>
      <c r="G1391" s="1">
        <f>IF(jablka5[[#This Row],[NIP]]=D1390,jablka5[[#This Row],[sprzedaż]]+G1390,jablka5[[#This Row],[sprzedaż]])</f>
        <v>15174</v>
      </c>
      <c r="H1391" s="1">
        <f>IF(jablka5[[#This Row],[dot sprz]]&lt;15000,0,IF(jablka5[[#This Row],[dot sprz]]&lt;20000,5,10))</f>
        <v>5</v>
      </c>
      <c r="I1391" s="1">
        <f>jablka5[[#This Row],[rabat]]*jablka5[[#This Row],[sprzedaż]]/100</f>
        <v>17.3</v>
      </c>
    </row>
    <row r="1392" spans="1:9" x14ac:dyDescent="0.25">
      <c r="A1392" s="2">
        <v>44575</v>
      </c>
      <c r="B1392" s="1" t="s">
        <v>15</v>
      </c>
      <c r="C1392" s="1" t="s">
        <v>16</v>
      </c>
      <c r="D1392" s="1" t="s">
        <v>59</v>
      </c>
      <c r="E1392">
        <v>364</v>
      </c>
      <c r="F1392" s="1">
        <f>VLOOKUP(jablka5[[#This Row],[Nazwa]],cennik[],2,0) * jablka5[[#This Row],[sprzedaż]]</f>
        <v>873.6</v>
      </c>
      <c r="G1392" s="1">
        <f>IF(jablka5[[#This Row],[NIP]]=D1391,jablka5[[#This Row],[sprzedaż]]+G1391,jablka5[[#This Row],[sprzedaż]])</f>
        <v>364</v>
      </c>
      <c r="H1392" s="1">
        <f>IF(jablka5[[#This Row],[dot sprz]]&lt;15000,0,IF(jablka5[[#This Row],[dot sprz]]&lt;20000,5,10))</f>
        <v>0</v>
      </c>
      <c r="I1392" s="1">
        <f>jablka5[[#This Row],[rabat]]*jablka5[[#This Row],[sprzedaż]]/100</f>
        <v>0</v>
      </c>
    </row>
    <row r="1393" spans="1:9" x14ac:dyDescent="0.25">
      <c r="A1393" s="2">
        <v>44580</v>
      </c>
      <c r="B1393" s="1" t="s">
        <v>4</v>
      </c>
      <c r="C1393" s="1" t="s">
        <v>16</v>
      </c>
      <c r="D1393" s="1" t="s">
        <v>59</v>
      </c>
      <c r="E1393">
        <v>717</v>
      </c>
      <c r="F1393" s="1">
        <f>VLOOKUP(jablka5[[#This Row],[Nazwa]],cennik[],2,0) * jablka5[[#This Row],[sprzedaż]]</f>
        <v>2437.7999999999997</v>
      </c>
      <c r="G1393" s="1">
        <f>IF(jablka5[[#This Row],[NIP]]=D1392,jablka5[[#This Row],[sprzedaż]]+G1392,jablka5[[#This Row],[sprzedaż]])</f>
        <v>1081</v>
      </c>
      <c r="H1393" s="1">
        <f>IF(jablka5[[#This Row],[dot sprz]]&lt;15000,0,IF(jablka5[[#This Row],[dot sprz]]&lt;20000,5,10))</f>
        <v>0</v>
      </c>
      <c r="I1393" s="1">
        <f>jablka5[[#This Row],[rabat]]*jablka5[[#This Row],[sprzedaż]]/100</f>
        <v>0</v>
      </c>
    </row>
    <row r="1394" spans="1:9" x14ac:dyDescent="0.25">
      <c r="A1394" s="2">
        <v>44593</v>
      </c>
      <c r="B1394" s="1" t="s">
        <v>4</v>
      </c>
      <c r="C1394" s="1" t="s">
        <v>16</v>
      </c>
      <c r="D1394" s="1" t="s">
        <v>59</v>
      </c>
      <c r="E1394">
        <v>508</v>
      </c>
      <c r="F1394" s="1">
        <f>VLOOKUP(jablka5[[#This Row],[Nazwa]],cennik[],2,0) * jablka5[[#This Row],[sprzedaż]]</f>
        <v>1727.2</v>
      </c>
      <c r="G1394" s="1">
        <f>IF(jablka5[[#This Row],[NIP]]=D1393,jablka5[[#This Row],[sprzedaż]]+G1393,jablka5[[#This Row],[sprzedaż]])</f>
        <v>1589</v>
      </c>
      <c r="H1394" s="1">
        <f>IF(jablka5[[#This Row],[dot sprz]]&lt;15000,0,IF(jablka5[[#This Row],[dot sprz]]&lt;20000,5,10))</f>
        <v>0</v>
      </c>
      <c r="I1394" s="1">
        <f>jablka5[[#This Row],[rabat]]*jablka5[[#This Row],[sprzedaż]]/100</f>
        <v>0</v>
      </c>
    </row>
    <row r="1395" spans="1:9" x14ac:dyDescent="0.25">
      <c r="A1395" s="2">
        <v>44599</v>
      </c>
      <c r="B1395" s="1" t="s">
        <v>4</v>
      </c>
      <c r="C1395" s="1" t="s">
        <v>16</v>
      </c>
      <c r="D1395" s="1" t="s">
        <v>59</v>
      </c>
      <c r="E1395">
        <v>317</v>
      </c>
      <c r="F1395" s="1">
        <f>VLOOKUP(jablka5[[#This Row],[Nazwa]],cennik[],2,0) * jablka5[[#This Row],[sprzedaż]]</f>
        <v>1077.8</v>
      </c>
      <c r="G1395" s="1">
        <f>IF(jablka5[[#This Row],[NIP]]=D1394,jablka5[[#This Row],[sprzedaż]]+G1394,jablka5[[#This Row],[sprzedaż]])</f>
        <v>1906</v>
      </c>
      <c r="H1395" s="1">
        <f>IF(jablka5[[#This Row],[dot sprz]]&lt;15000,0,IF(jablka5[[#This Row],[dot sprz]]&lt;20000,5,10))</f>
        <v>0</v>
      </c>
      <c r="I1395" s="1">
        <f>jablka5[[#This Row],[rabat]]*jablka5[[#This Row],[sprzedaż]]/100</f>
        <v>0</v>
      </c>
    </row>
    <row r="1396" spans="1:9" x14ac:dyDescent="0.25">
      <c r="A1396" s="2">
        <v>44600</v>
      </c>
      <c r="B1396" s="1" t="s">
        <v>7</v>
      </c>
      <c r="C1396" s="1" t="s">
        <v>16</v>
      </c>
      <c r="D1396" s="1" t="s">
        <v>59</v>
      </c>
      <c r="E1396">
        <v>409</v>
      </c>
      <c r="F1396" s="1">
        <f>VLOOKUP(jablka5[[#This Row],[Nazwa]],cennik[],2,0) * jablka5[[#This Row],[sprzedaż]]</f>
        <v>1390.6</v>
      </c>
      <c r="G1396" s="1">
        <f>IF(jablka5[[#This Row],[NIP]]=D1395,jablka5[[#This Row],[sprzedaż]]+G1395,jablka5[[#This Row],[sprzedaż]])</f>
        <v>2315</v>
      </c>
      <c r="H1396" s="1">
        <f>IF(jablka5[[#This Row],[dot sprz]]&lt;15000,0,IF(jablka5[[#This Row],[dot sprz]]&lt;20000,5,10))</f>
        <v>0</v>
      </c>
      <c r="I1396" s="1">
        <f>jablka5[[#This Row],[rabat]]*jablka5[[#This Row],[sprzedaż]]/100</f>
        <v>0</v>
      </c>
    </row>
    <row r="1397" spans="1:9" x14ac:dyDescent="0.25">
      <c r="A1397" s="2">
        <v>44606</v>
      </c>
      <c r="B1397" s="1" t="s">
        <v>0</v>
      </c>
      <c r="C1397" s="1" t="s">
        <v>16</v>
      </c>
      <c r="D1397" s="1" t="s">
        <v>59</v>
      </c>
      <c r="E1397">
        <v>16</v>
      </c>
      <c r="F1397" s="1">
        <f>VLOOKUP(jablka5[[#This Row],[Nazwa]],cennik[],2,0) * jablka5[[#This Row],[sprzedaż]]</f>
        <v>46.4</v>
      </c>
      <c r="G1397" s="1">
        <f>IF(jablka5[[#This Row],[NIP]]=D1396,jablka5[[#This Row],[sprzedaż]]+G1396,jablka5[[#This Row],[sprzedaż]])</f>
        <v>2331</v>
      </c>
      <c r="H1397" s="1">
        <f>IF(jablka5[[#This Row],[dot sprz]]&lt;15000,0,IF(jablka5[[#This Row],[dot sprz]]&lt;20000,5,10))</f>
        <v>0</v>
      </c>
      <c r="I1397" s="1">
        <f>jablka5[[#This Row],[rabat]]*jablka5[[#This Row],[sprzedaż]]/100</f>
        <v>0</v>
      </c>
    </row>
    <row r="1398" spans="1:9" x14ac:dyDescent="0.25">
      <c r="A1398" s="2">
        <v>44609</v>
      </c>
      <c r="B1398" s="1" t="s">
        <v>2</v>
      </c>
      <c r="C1398" s="1" t="s">
        <v>16</v>
      </c>
      <c r="D1398" s="1" t="s">
        <v>59</v>
      </c>
      <c r="E1398">
        <v>477</v>
      </c>
      <c r="F1398" s="1">
        <f>VLOOKUP(jablka5[[#This Row],[Nazwa]],cennik[],2,0) * jablka5[[#This Row],[sprzedaż]]</f>
        <v>1526.4</v>
      </c>
      <c r="G1398" s="1">
        <f>IF(jablka5[[#This Row],[NIP]]=D1397,jablka5[[#This Row],[sprzedaż]]+G1397,jablka5[[#This Row],[sprzedaż]])</f>
        <v>2808</v>
      </c>
      <c r="H1398" s="1">
        <f>IF(jablka5[[#This Row],[dot sprz]]&lt;15000,0,IF(jablka5[[#This Row],[dot sprz]]&lt;20000,5,10))</f>
        <v>0</v>
      </c>
      <c r="I1398" s="1">
        <f>jablka5[[#This Row],[rabat]]*jablka5[[#This Row],[sprzedaż]]/100</f>
        <v>0</v>
      </c>
    </row>
    <row r="1399" spans="1:9" x14ac:dyDescent="0.25">
      <c r="A1399" s="2">
        <v>44636</v>
      </c>
      <c r="B1399" s="1" t="s">
        <v>7</v>
      </c>
      <c r="C1399" s="1" t="s">
        <v>16</v>
      </c>
      <c r="D1399" s="1" t="s">
        <v>59</v>
      </c>
      <c r="E1399">
        <v>512</v>
      </c>
      <c r="F1399" s="1">
        <f>VLOOKUP(jablka5[[#This Row],[Nazwa]],cennik[],2,0) * jablka5[[#This Row],[sprzedaż]]</f>
        <v>1740.8</v>
      </c>
      <c r="G1399" s="1">
        <f>IF(jablka5[[#This Row],[NIP]]=D1398,jablka5[[#This Row],[sprzedaż]]+G1398,jablka5[[#This Row],[sprzedaż]])</f>
        <v>3320</v>
      </c>
      <c r="H1399" s="1">
        <f>IF(jablka5[[#This Row],[dot sprz]]&lt;15000,0,IF(jablka5[[#This Row],[dot sprz]]&lt;20000,5,10))</f>
        <v>0</v>
      </c>
      <c r="I1399" s="1">
        <f>jablka5[[#This Row],[rabat]]*jablka5[[#This Row],[sprzedaż]]/100</f>
        <v>0</v>
      </c>
    </row>
    <row r="1400" spans="1:9" x14ac:dyDescent="0.25">
      <c r="A1400" s="2">
        <v>44641</v>
      </c>
      <c r="B1400" s="1" t="s">
        <v>0</v>
      </c>
      <c r="C1400" s="1" t="s">
        <v>16</v>
      </c>
      <c r="D1400" s="1" t="s">
        <v>59</v>
      </c>
      <c r="E1400">
        <v>299</v>
      </c>
      <c r="F1400" s="1">
        <f>VLOOKUP(jablka5[[#This Row],[Nazwa]],cennik[],2,0) * jablka5[[#This Row],[sprzedaż]]</f>
        <v>867.1</v>
      </c>
      <c r="G1400" s="1">
        <f>IF(jablka5[[#This Row],[NIP]]=D1399,jablka5[[#This Row],[sprzedaż]]+G1399,jablka5[[#This Row],[sprzedaż]])</f>
        <v>3619</v>
      </c>
      <c r="H1400" s="1">
        <f>IF(jablka5[[#This Row],[dot sprz]]&lt;15000,0,IF(jablka5[[#This Row],[dot sprz]]&lt;20000,5,10))</f>
        <v>0</v>
      </c>
      <c r="I1400" s="1">
        <f>jablka5[[#This Row],[rabat]]*jablka5[[#This Row],[sprzedaż]]/100</f>
        <v>0</v>
      </c>
    </row>
    <row r="1401" spans="1:9" x14ac:dyDescent="0.25">
      <c r="A1401" s="2">
        <v>44662</v>
      </c>
      <c r="B1401" s="1" t="s">
        <v>0</v>
      </c>
      <c r="C1401" s="1" t="s">
        <v>16</v>
      </c>
      <c r="D1401" s="1" t="s">
        <v>59</v>
      </c>
      <c r="E1401">
        <v>307</v>
      </c>
      <c r="F1401" s="1">
        <f>VLOOKUP(jablka5[[#This Row],[Nazwa]],cennik[],2,0) * jablka5[[#This Row],[sprzedaż]]</f>
        <v>890.3</v>
      </c>
      <c r="G1401" s="1">
        <f>IF(jablka5[[#This Row],[NIP]]=D1400,jablka5[[#This Row],[sprzedaż]]+G1400,jablka5[[#This Row],[sprzedaż]])</f>
        <v>3926</v>
      </c>
      <c r="H1401" s="1">
        <f>IF(jablka5[[#This Row],[dot sprz]]&lt;15000,0,IF(jablka5[[#This Row],[dot sprz]]&lt;20000,5,10))</f>
        <v>0</v>
      </c>
      <c r="I1401" s="1">
        <f>jablka5[[#This Row],[rabat]]*jablka5[[#This Row],[sprzedaż]]/100</f>
        <v>0</v>
      </c>
    </row>
    <row r="1402" spans="1:9" x14ac:dyDescent="0.25">
      <c r="A1402" s="2">
        <v>44666</v>
      </c>
      <c r="B1402" s="1" t="s">
        <v>5</v>
      </c>
      <c r="C1402" s="1" t="s">
        <v>16</v>
      </c>
      <c r="D1402" s="1" t="s">
        <v>59</v>
      </c>
      <c r="E1402">
        <v>133</v>
      </c>
      <c r="F1402" s="1">
        <f>VLOOKUP(jablka5[[#This Row],[Nazwa]],cennik[],2,0) * jablka5[[#This Row],[sprzedaż]]</f>
        <v>452.2</v>
      </c>
      <c r="G1402" s="1">
        <f>IF(jablka5[[#This Row],[NIP]]=D1401,jablka5[[#This Row],[sprzedaż]]+G1401,jablka5[[#This Row],[sprzedaż]])</f>
        <v>4059</v>
      </c>
      <c r="H1402" s="1">
        <f>IF(jablka5[[#This Row],[dot sprz]]&lt;15000,0,IF(jablka5[[#This Row],[dot sprz]]&lt;20000,5,10))</f>
        <v>0</v>
      </c>
      <c r="I1402" s="1">
        <f>jablka5[[#This Row],[rabat]]*jablka5[[#This Row],[sprzedaż]]/100</f>
        <v>0</v>
      </c>
    </row>
    <row r="1403" spans="1:9" x14ac:dyDescent="0.25">
      <c r="A1403" s="2">
        <v>44695</v>
      </c>
      <c r="B1403" s="1" t="s">
        <v>15</v>
      </c>
      <c r="C1403" s="1" t="s">
        <v>16</v>
      </c>
      <c r="D1403" s="1" t="s">
        <v>59</v>
      </c>
      <c r="E1403">
        <v>323</v>
      </c>
      <c r="F1403" s="1">
        <f>VLOOKUP(jablka5[[#This Row],[Nazwa]],cennik[],2,0) * jablka5[[#This Row],[sprzedaż]]</f>
        <v>775.19999999999993</v>
      </c>
      <c r="G1403" s="1">
        <f>IF(jablka5[[#This Row],[NIP]]=D1402,jablka5[[#This Row],[sprzedaż]]+G1402,jablka5[[#This Row],[sprzedaż]])</f>
        <v>4382</v>
      </c>
      <c r="H1403" s="1">
        <f>IF(jablka5[[#This Row],[dot sprz]]&lt;15000,0,IF(jablka5[[#This Row],[dot sprz]]&lt;20000,5,10))</f>
        <v>0</v>
      </c>
      <c r="I1403" s="1">
        <f>jablka5[[#This Row],[rabat]]*jablka5[[#This Row],[sprzedaż]]/100</f>
        <v>0</v>
      </c>
    </row>
    <row r="1404" spans="1:9" x14ac:dyDescent="0.25">
      <c r="A1404" s="2">
        <v>44697</v>
      </c>
      <c r="B1404" s="1" t="s">
        <v>5</v>
      </c>
      <c r="C1404" s="1" t="s">
        <v>16</v>
      </c>
      <c r="D1404" s="1" t="s">
        <v>59</v>
      </c>
      <c r="E1404">
        <v>74</v>
      </c>
      <c r="F1404" s="1">
        <f>VLOOKUP(jablka5[[#This Row],[Nazwa]],cennik[],2,0) * jablka5[[#This Row],[sprzedaż]]</f>
        <v>251.6</v>
      </c>
      <c r="G1404" s="1">
        <f>IF(jablka5[[#This Row],[NIP]]=D1403,jablka5[[#This Row],[sprzedaż]]+G1403,jablka5[[#This Row],[sprzedaż]])</f>
        <v>4456</v>
      </c>
      <c r="H1404" s="1">
        <f>IF(jablka5[[#This Row],[dot sprz]]&lt;15000,0,IF(jablka5[[#This Row],[dot sprz]]&lt;20000,5,10))</f>
        <v>0</v>
      </c>
      <c r="I1404" s="1">
        <f>jablka5[[#This Row],[rabat]]*jablka5[[#This Row],[sprzedaż]]/100</f>
        <v>0</v>
      </c>
    </row>
    <row r="1405" spans="1:9" x14ac:dyDescent="0.25">
      <c r="A1405" s="2">
        <v>44702</v>
      </c>
      <c r="B1405" s="1" t="s">
        <v>4</v>
      </c>
      <c r="C1405" s="1" t="s">
        <v>16</v>
      </c>
      <c r="D1405" s="1" t="s">
        <v>59</v>
      </c>
      <c r="E1405">
        <v>417</v>
      </c>
      <c r="F1405" s="1">
        <f>VLOOKUP(jablka5[[#This Row],[Nazwa]],cennik[],2,0) * jablka5[[#This Row],[sprzedaż]]</f>
        <v>1417.8</v>
      </c>
      <c r="G1405" s="1">
        <f>IF(jablka5[[#This Row],[NIP]]=D1404,jablka5[[#This Row],[sprzedaż]]+G1404,jablka5[[#This Row],[sprzedaż]])</f>
        <v>4873</v>
      </c>
      <c r="H1405" s="1">
        <f>IF(jablka5[[#This Row],[dot sprz]]&lt;15000,0,IF(jablka5[[#This Row],[dot sprz]]&lt;20000,5,10))</f>
        <v>0</v>
      </c>
      <c r="I1405" s="1">
        <f>jablka5[[#This Row],[rabat]]*jablka5[[#This Row],[sprzedaż]]/100</f>
        <v>0</v>
      </c>
    </row>
    <row r="1406" spans="1:9" x14ac:dyDescent="0.25">
      <c r="A1406" s="2">
        <v>44711</v>
      </c>
      <c r="B1406" s="1" t="s">
        <v>7</v>
      </c>
      <c r="C1406" s="1" t="s">
        <v>16</v>
      </c>
      <c r="D1406" s="1" t="s">
        <v>59</v>
      </c>
      <c r="E1406">
        <v>532</v>
      </c>
      <c r="F1406" s="1">
        <f>VLOOKUP(jablka5[[#This Row],[Nazwa]],cennik[],2,0) * jablka5[[#This Row],[sprzedaż]]</f>
        <v>1808.8</v>
      </c>
      <c r="G1406" s="1">
        <f>IF(jablka5[[#This Row],[NIP]]=D1405,jablka5[[#This Row],[sprzedaż]]+G1405,jablka5[[#This Row],[sprzedaż]])</f>
        <v>5405</v>
      </c>
      <c r="H1406" s="1">
        <f>IF(jablka5[[#This Row],[dot sprz]]&lt;15000,0,IF(jablka5[[#This Row],[dot sprz]]&lt;20000,5,10))</f>
        <v>0</v>
      </c>
      <c r="I1406" s="1">
        <f>jablka5[[#This Row],[rabat]]*jablka5[[#This Row],[sprzedaż]]/100</f>
        <v>0</v>
      </c>
    </row>
    <row r="1407" spans="1:9" x14ac:dyDescent="0.25">
      <c r="A1407" s="2">
        <v>44714</v>
      </c>
      <c r="B1407" s="1" t="s">
        <v>13</v>
      </c>
      <c r="C1407" s="1" t="s">
        <v>68</v>
      </c>
      <c r="D1407" s="1" t="s">
        <v>59</v>
      </c>
      <c r="E1407">
        <v>481</v>
      </c>
      <c r="F1407" s="1">
        <f>VLOOKUP(jablka5[[#This Row],[Nazwa]],cennik[],2,0) * jablka5[[#This Row],[sprzedaż]]</f>
        <v>1539.2</v>
      </c>
      <c r="G1407" s="1">
        <f>IF(jablka5[[#This Row],[NIP]]=D1406,jablka5[[#This Row],[sprzedaż]]+G1406,jablka5[[#This Row],[sprzedaż]])</f>
        <v>5886</v>
      </c>
      <c r="H1407" s="1">
        <f>IF(jablka5[[#This Row],[dot sprz]]&lt;15000,0,IF(jablka5[[#This Row],[dot sprz]]&lt;20000,5,10))</f>
        <v>0</v>
      </c>
      <c r="I1407" s="1">
        <f>jablka5[[#This Row],[rabat]]*jablka5[[#This Row],[sprzedaż]]/100</f>
        <v>0</v>
      </c>
    </row>
    <row r="1408" spans="1:9" x14ac:dyDescent="0.25">
      <c r="A1408" s="2">
        <v>44728</v>
      </c>
      <c r="B1408" s="1" t="s">
        <v>13</v>
      </c>
      <c r="C1408" s="1" t="s">
        <v>68</v>
      </c>
      <c r="D1408" s="1" t="s">
        <v>59</v>
      </c>
      <c r="E1408">
        <v>343</v>
      </c>
      <c r="F1408" s="1">
        <f>VLOOKUP(jablka5[[#This Row],[Nazwa]],cennik[],2,0) * jablka5[[#This Row],[sprzedaż]]</f>
        <v>1097.6000000000001</v>
      </c>
      <c r="G1408" s="1">
        <f>IF(jablka5[[#This Row],[NIP]]=D1407,jablka5[[#This Row],[sprzedaż]]+G1407,jablka5[[#This Row],[sprzedaż]])</f>
        <v>6229</v>
      </c>
      <c r="H1408" s="1">
        <f>IF(jablka5[[#This Row],[dot sprz]]&lt;15000,0,IF(jablka5[[#This Row],[dot sprz]]&lt;20000,5,10))</f>
        <v>0</v>
      </c>
      <c r="I1408" s="1">
        <f>jablka5[[#This Row],[rabat]]*jablka5[[#This Row],[sprzedaż]]/100</f>
        <v>0</v>
      </c>
    </row>
    <row r="1409" spans="1:9" x14ac:dyDescent="0.25">
      <c r="A1409" s="2">
        <v>44729</v>
      </c>
      <c r="B1409" s="1" t="s">
        <v>13</v>
      </c>
      <c r="C1409" s="1" t="s">
        <v>68</v>
      </c>
      <c r="D1409" s="1" t="s">
        <v>59</v>
      </c>
      <c r="E1409">
        <v>137</v>
      </c>
      <c r="F1409" s="1">
        <f>VLOOKUP(jablka5[[#This Row],[Nazwa]],cennik[],2,0) * jablka5[[#This Row],[sprzedaż]]</f>
        <v>438.40000000000003</v>
      </c>
      <c r="G1409" s="1">
        <f>IF(jablka5[[#This Row],[NIP]]=D1408,jablka5[[#This Row],[sprzedaż]]+G1408,jablka5[[#This Row],[sprzedaż]])</f>
        <v>6366</v>
      </c>
      <c r="H1409" s="1">
        <f>IF(jablka5[[#This Row],[dot sprz]]&lt;15000,0,IF(jablka5[[#This Row],[dot sprz]]&lt;20000,5,10))</f>
        <v>0</v>
      </c>
      <c r="I1409" s="1">
        <f>jablka5[[#This Row],[rabat]]*jablka5[[#This Row],[sprzedaż]]/100</f>
        <v>0</v>
      </c>
    </row>
    <row r="1410" spans="1:9" x14ac:dyDescent="0.25">
      <c r="A1410" s="2">
        <v>44733</v>
      </c>
      <c r="B1410" s="1" t="s">
        <v>13</v>
      </c>
      <c r="C1410" s="1" t="s">
        <v>68</v>
      </c>
      <c r="D1410" s="1" t="s">
        <v>59</v>
      </c>
      <c r="E1410">
        <v>75</v>
      </c>
      <c r="F1410" s="1">
        <f>VLOOKUP(jablka5[[#This Row],[Nazwa]],cennik[],2,0) * jablka5[[#This Row],[sprzedaż]]</f>
        <v>240</v>
      </c>
      <c r="G1410" s="1">
        <f>IF(jablka5[[#This Row],[NIP]]=D1409,jablka5[[#This Row],[sprzedaż]]+G1409,jablka5[[#This Row],[sprzedaż]])</f>
        <v>6441</v>
      </c>
      <c r="H1410" s="1">
        <f>IF(jablka5[[#This Row],[dot sprz]]&lt;15000,0,IF(jablka5[[#This Row],[dot sprz]]&lt;20000,5,10))</f>
        <v>0</v>
      </c>
      <c r="I1410" s="1">
        <f>jablka5[[#This Row],[rabat]]*jablka5[[#This Row],[sprzedaż]]/100</f>
        <v>0</v>
      </c>
    </row>
    <row r="1411" spans="1:9" x14ac:dyDescent="0.25">
      <c r="A1411" s="2">
        <v>44739</v>
      </c>
      <c r="B1411" s="1" t="s">
        <v>12</v>
      </c>
      <c r="C1411" s="1" t="s">
        <v>68</v>
      </c>
      <c r="D1411" s="1" t="s">
        <v>59</v>
      </c>
      <c r="E1411">
        <v>183</v>
      </c>
      <c r="F1411" s="1">
        <f>VLOOKUP(jablka5[[#This Row],[Nazwa]],cennik[],2,0) * jablka5[[#This Row],[sprzedaż]]</f>
        <v>494.1</v>
      </c>
      <c r="G1411" s="1">
        <f>IF(jablka5[[#This Row],[NIP]]=D1410,jablka5[[#This Row],[sprzedaż]]+G1410,jablka5[[#This Row],[sprzedaż]])</f>
        <v>6624</v>
      </c>
      <c r="H1411" s="1">
        <f>IF(jablka5[[#This Row],[dot sprz]]&lt;15000,0,IF(jablka5[[#This Row],[dot sprz]]&lt;20000,5,10))</f>
        <v>0</v>
      </c>
      <c r="I1411" s="1">
        <f>jablka5[[#This Row],[rabat]]*jablka5[[#This Row],[sprzedaż]]/100</f>
        <v>0</v>
      </c>
    </row>
    <row r="1412" spans="1:9" x14ac:dyDescent="0.25">
      <c r="A1412" s="2">
        <v>44739</v>
      </c>
      <c r="B1412" s="1" t="s">
        <v>12</v>
      </c>
      <c r="C1412" s="1" t="s">
        <v>68</v>
      </c>
      <c r="D1412" s="1" t="s">
        <v>59</v>
      </c>
      <c r="E1412">
        <v>126</v>
      </c>
      <c r="F1412" s="1">
        <f>VLOOKUP(jablka5[[#This Row],[Nazwa]],cennik[],2,0) * jablka5[[#This Row],[sprzedaż]]</f>
        <v>340.20000000000005</v>
      </c>
      <c r="G1412" s="1">
        <f>IF(jablka5[[#This Row],[NIP]]=D1411,jablka5[[#This Row],[sprzedaż]]+G1411,jablka5[[#This Row],[sprzedaż]])</f>
        <v>6750</v>
      </c>
      <c r="H1412" s="1">
        <f>IF(jablka5[[#This Row],[dot sprz]]&lt;15000,0,IF(jablka5[[#This Row],[dot sprz]]&lt;20000,5,10))</f>
        <v>0</v>
      </c>
      <c r="I1412" s="1">
        <f>jablka5[[#This Row],[rabat]]*jablka5[[#This Row],[sprzedaż]]/100</f>
        <v>0</v>
      </c>
    </row>
    <row r="1413" spans="1:9" x14ac:dyDescent="0.25">
      <c r="A1413" s="2">
        <v>44740</v>
      </c>
      <c r="B1413" s="1" t="s">
        <v>12</v>
      </c>
      <c r="C1413" s="1" t="s">
        <v>68</v>
      </c>
      <c r="D1413" s="1" t="s">
        <v>59</v>
      </c>
      <c r="E1413">
        <v>249</v>
      </c>
      <c r="F1413" s="1">
        <f>VLOOKUP(jablka5[[#This Row],[Nazwa]],cennik[],2,0) * jablka5[[#This Row],[sprzedaż]]</f>
        <v>672.30000000000007</v>
      </c>
      <c r="G1413" s="1">
        <f>IF(jablka5[[#This Row],[NIP]]=D1412,jablka5[[#This Row],[sprzedaż]]+G1412,jablka5[[#This Row],[sprzedaż]])</f>
        <v>6999</v>
      </c>
      <c r="H1413" s="1">
        <f>IF(jablka5[[#This Row],[dot sprz]]&lt;15000,0,IF(jablka5[[#This Row],[dot sprz]]&lt;20000,5,10))</f>
        <v>0</v>
      </c>
      <c r="I1413" s="1">
        <f>jablka5[[#This Row],[rabat]]*jablka5[[#This Row],[sprzedaż]]/100</f>
        <v>0</v>
      </c>
    </row>
    <row r="1414" spans="1:9" x14ac:dyDescent="0.25">
      <c r="A1414" s="2">
        <v>44743</v>
      </c>
      <c r="B1414" s="1" t="s">
        <v>14</v>
      </c>
      <c r="C1414" s="1" t="s">
        <v>67</v>
      </c>
      <c r="D1414" s="1" t="s">
        <v>59</v>
      </c>
      <c r="E1414">
        <v>466</v>
      </c>
      <c r="F1414" s="1">
        <f>VLOOKUP(jablka5[[#This Row],[Nazwa]],cennik[],2,0) * jablka5[[#This Row],[sprzedaż]]</f>
        <v>1631</v>
      </c>
      <c r="G1414" s="1">
        <f>IF(jablka5[[#This Row],[NIP]]=D1413,jablka5[[#This Row],[sprzedaż]]+G1413,jablka5[[#This Row],[sprzedaż]])</f>
        <v>7465</v>
      </c>
      <c r="H1414" s="1">
        <f>IF(jablka5[[#This Row],[dot sprz]]&lt;15000,0,IF(jablka5[[#This Row],[dot sprz]]&lt;20000,5,10))</f>
        <v>0</v>
      </c>
      <c r="I1414" s="1">
        <f>jablka5[[#This Row],[rabat]]*jablka5[[#This Row],[sprzedaż]]/100</f>
        <v>0</v>
      </c>
    </row>
    <row r="1415" spans="1:9" x14ac:dyDescent="0.25">
      <c r="A1415" s="2">
        <v>44755</v>
      </c>
      <c r="B1415" s="1" t="s">
        <v>12</v>
      </c>
      <c r="C1415" s="1" t="s">
        <v>68</v>
      </c>
      <c r="D1415" s="1" t="s">
        <v>59</v>
      </c>
      <c r="E1415">
        <v>438</v>
      </c>
      <c r="F1415" s="1">
        <f>VLOOKUP(jablka5[[#This Row],[Nazwa]],cennik[],2,0) * jablka5[[#This Row],[sprzedaż]]</f>
        <v>1182.6000000000001</v>
      </c>
      <c r="G1415" s="1">
        <f>IF(jablka5[[#This Row],[NIP]]=D1414,jablka5[[#This Row],[sprzedaż]]+G1414,jablka5[[#This Row],[sprzedaż]])</f>
        <v>7903</v>
      </c>
      <c r="H1415" s="1">
        <f>IF(jablka5[[#This Row],[dot sprz]]&lt;15000,0,IF(jablka5[[#This Row],[dot sprz]]&lt;20000,5,10))</f>
        <v>0</v>
      </c>
      <c r="I1415" s="1">
        <f>jablka5[[#This Row],[rabat]]*jablka5[[#This Row],[sprzedaż]]/100</f>
        <v>0</v>
      </c>
    </row>
    <row r="1416" spans="1:9" x14ac:dyDescent="0.25">
      <c r="A1416" s="2">
        <v>44770</v>
      </c>
      <c r="B1416" s="1" t="s">
        <v>13</v>
      </c>
      <c r="C1416" s="1" t="s">
        <v>68</v>
      </c>
      <c r="D1416" s="1" t="s">
        <v>59</v>
      </c>
      <c r="E1416">
        <v>127</v>
      </c>
      <c r="F1416" s="1">
        <f>VLOOKUP(jablka5[[#This Row],[Nazwa]],cennik[],2,0) * jablka5[[#This Row],[sprzedaż]]</f>
        <v>406.40000000000003</v>
      </c>
      <c r="G1416" s="1">
        <f>IF(jablka5[[#This Row],[NIP]]=D1415,jablka5[[#This Row],[sprzedaż]]+G1415,jablka5[[#This Row],[sprzedaż]])</f>
        <v>8030</v>
      </c>
      <c r="H1416" s="1">
        <f>IF(jablka5[[#This Row],[dot sprz]]&lt;15000,0,IF(jablka5[[#This Row],[dot sprz]]&lt;20000,5,10))</f>
        <v>0</v>
      </c>
      <c r="I1416" s="1">
        <f>jablka5[[#This Row],[rabat]]*jablka5[[#This Row],[sprzedaż]]/100</f>
        <v>0</v>
      </c>
    </row>
    <row r="1417" spans="1:9" x14ac:dyDescent="0.25">
      <c r="A1417" s="2">
        <v>44775</v>
      </c>
      <c r="B1417" s="1" t="s">
        <v>14</v>
      </c>
      <c r="C1417" s="1" t="s">
        <v>67</v>
      </c>
      <c r="D1417" s="1" t="s">
        <v>59</v>
      </c>
      <c r="E1417">
        <v>162</v>
      </c>
      <c r="F1417" s="1">
        <f>VLOOKUP(jablka5[[#This Row],[Nazwa]],cennik[],2,0) * jablka5[[#This Row],[sprzedaż]]</f>
        <v>567</v>
      </c>
      <c r="G1417" s="1">
        <f>IF(jablka5[[#This Row],[NIP]]=D1416,jablka5[[#This Row],[sprzedaż]]+G1416,jablka5[[#This Row],[sprzedaż]])</f>
        <v>8192</v>
      </c>
      <c r="H1417" s="1">
        <f>IF(jablka5[[#This Row],[dot sprz]]&lt;15000,0,IF(jablka5[[#This Row],[dot sprz]]&lt;20000,5,10))</f>
        <v>0</v>
      </c>
      <c r="I1417" s="1">
        <f>jablka5[[#This Row],[rabat]]*jablka5[[#This Row],[sprzedaż]]/100</f>
        <v>0</v>
      </c>
    </row>
    <row r="1418" spans="1:9" x14ac:dyDescent="0.25">
      <c r="A1418" s="2">
        <v>44788</v>
      </c>
      <c r="B1418" s="1" t="s">
        <v>14</v>
      </c>
      <c r="C1418" s="1" t="s">
        <v>67</v>
      </c>
      <c r="D1418" s="1" t="s">
        <v>59</v>
      </c>
      <c r="E1418">
        <v>448</v>
      </c>
      <c r="F1418" s="1">
        <f>VLOOKUP(jablka5[[#This Row],[Nazwa]],cennik[],2,0) * jablka5[[#This Row],[sprzedaż]]</f>
        <v>1568</v>
      </c>
      <c r="G1418" s="1">
        <f>IF(jablka5[[#This Row],[NIP]]=D1417,jablka5[[#This Row],[sprzedaż]]+G1417,jablka5[[#This Row],[sprzedaż]])</f>
        <v>8640</v>
      </c>
      <c r="H1418" s="1">
        <f>IF(jablka5[[#This Row],[dot sprz]]&lt;15000,0,IF(jablka5[[#This Row],[dot sprz]]&lt;20000,5,10))</f>
        <v>0</v>
      </c>
      <c r="I1418" s="1">
        <f>jablka5[[#This Row],[rabat]]*jablka5[[#This Row],[sprzedaż]]/100</f>
        <v>0</v>
      </c>
    </row>
    <row r="1419" spans="1:9" x14ac:dyDescent="0.25">
      <c r="A1419" s="2">
        <v>44788</v>
      </c>
      <c r="B1419" s="1" t="s">
        <v>14</v>
      </c>
      <c r="C1419" s="1" t="s">
        <v>67</v>
      </c>
      <c r="D1419" s="1" t="s">
        <v>59</v>
      </c>
      <c r="E1419">
        <v>98</v>
      </c>
      <c r="F1419" s="1">
        <f>VLOOKUP(jablka5[[#This Row],[Nazwa]],cennik[],2,0) * jablka5[[#This Row],[sprzedaż]]</f>
        <v>343</v>
      </c>
      <c r="G1419" s="1">
        <f>IF(jablka5[[#This Row],[NIP]]=D1418,jablka5[[#This Row],[sprzedaż]]+G1418,jablka5[[#This Row],[sprzedaż]])</f>
        <v>8738</v>
      </c>
      <c r="H1419" s="1">
        <f>IF(jablka5[[#This Row],[dot sprz]]&lt;15000,0,IF(jablka5[[#This Row],[dot sprz]]&lt;20000,5,10))</f>
        <v>0</v>
      </c>
      <c r="I1419" s="1">
        <f>jablka5[[#This Row],[rabat]]*jablka5[[#This Row],[sprzedaż]]/100</f>
        <v>0</v>
      </c>
    </row>
    <row r="1420" spans="1:9" x14ac:dyDescent="0.25">
      <c r="A1420" s="2">
        <v>44791</v>
      </c>
      <c r="B1420" s="1" t="s">
        <v>14</v>
      </c>
      <c r="C1420" s="1" t="s">
        <v>67</v>
      </c>
      <c r="D1420" s="1" t="s">
        <v>59</v>
      </c>
      <c r="E1420">
        <v>266</v>
      </c>
      <c r="F1420" s="1">
        <f>VLOOKUP(jablka5[[#This Row],[Nazwa]],cennik[],2,0) * jablka5[[#This Row],[sprzedaż]]</f>
        <v>931</v>
      </c>
      <c r="G1420" s="1">
        <f>IF(jablka5[[#This Row],[NIP]]=D1419,jablka5[[#This Row],[sprzedaż]]+G1419,jablka5[[#This Row],[sprzedaż]])</f>
        <v>9004</v>
      </c>
      <c r="H1420" s="1">
        <f>IF(jablka5[[#This Row],[dot sprz]]&lt;15000,0,IF(jablka5[[#This Row],[dot sprz]]&lt;20000,5,10))</f>
        <v>0</v>
      </c>
      <c r="I1420" s="1">
        <f>jablka5[[#This Row],[rabat]]*jablka5[[#This Row],[sprzedaż]]/100</f>
        <v>0</v>
      </c>
    </row>
    <row r="1421" spans="1:9" x14ac:dyDescent="0.25">
      <c r="A1421" s="2">
        <v>44810</v>
      </c>
      <c r="B1421" s="1" t="s">
        <v>14</v>
      </c>
      <c r="C1421" s="1" t="s">
        <v>67</v>
      </c>
      <c r="D1421" s="1" t="s">
        <v>59</v>
      </c>
      <c r="E1421">
        <v>132</v>
      </c>
      <c r="F1421" s="1">
        <f>VLOOKUP(jablka5[[#This Row],[Nazwa]],cennik[],2,0) * jablka5[[#This Row],[sprzedaż]]</f>
        <v>462</v>
      </c>
      <c r="G1421" s="1">
        <f>IF(jablka5[[#This Row],[NIP]]=D1420,jablka5[[#This Row],[sprzedaż]]+G1420,jablka5[[#This Row],[sprzedaż]])</f>
        <v>9136</v>
      </c>
      <c r="H1421" s="1">
        <f>IF(jablka5[[#This Row],[dot sprz]]&lt;15000,0,IF(jablka5[[#This Row],[dot sprz]]&lt;20000,5,10))</f>
        <v>0</v>
      </c>
      <c r="I1421" s="1">
        <f>jablka5[[#This Row],[rabat]]*jablka5[[#This Row],[sprzedaż]]/100</f>
        <v>0</v>
      </c>
    </row>
    <row r="1422" spans="1:9" x14ac:dyDescent="0.25">
      <c r="A1422" s="2">
        <v>44810</v>
      </c>
      <c r="B1422" s="1" t="s">
        <v>11</v>
      </c>
      <c r="C1422" s="1" t="s">
        <v>67</v>
      </c>
      <c r="D1422" s="1" t="s">
        <v>59</v>
      </c>
      <c r="E1422">
        <v>246</v>
      </c>
      <c r="F1422" s="1">
        <f>VLOOKUP(jablka5[[#This Row],[Nazwa]],cennik[],2,0) * jablka5[[#This Row],[sprzedaż]]</f>
        <v>615</v>
      </c>
      <c r="G1422" s="1">
        <f>IF(jablka5[[#This Row],[NIP]]=D1421,jablka5[[#This Row],[sprzedaż]]+G1421,jablka5[[#This Row],[sprzedaż]])</f>
        <v>9382</v>
      </c>
      <c r="H1422" s="1">
        <f>IF(jablka5[[#This Row],[dot sprz]]&lt;15000,0,IF(jablka5[[#This Row],[dot sprz]]&lt;20000,5,10))</f>
        <v>0</v>
      </c>
      <c r="I1422" s="1">
        <f>jablka5[[#This Row],[rabat]]*jablka5[[#This Row],[sprzedaż]]/100</f>
        <v>0</v>
      </c>
    </row>
    <row r="1423" spans="1:9" x14ac:dyDescent="0.25">
      <c r="A1423" s="2">
        <v>44812</v>
      </c>
      <c r="B1423" s="1" t="s">
        <v>9</v>
      </c>
      <c r="C1423" s="1" t="s">
        <v>67</v>
      </c>
      <c r="D1423" s="1" t="s">
        <v>59</v>
      </c>
      <c r="E1423">
        <v>405</v>
      </c>
      <c r="F1423" s="1">
        <f>VLOOKUP(jablka5[[#This Row],[Nazwa]],cennik[],2,0) * jablka5[[#This Row],[sprzedaż]]</f>
        <v>1012.5</v>
      </c>
      <c r="G1423" s="1">
        <f>IF(jablka5[[#This Row],[NIP]]=D1422,jablka5[[#This Row],[sprzedaż]]+G1422,jablka5[[#This Row],[sprzedaż]])</f>
        <v>9787</v>
      </c>
      <c r="H1423" s="1">
        <f>IF(jablka5[[#This Row],[dot sprz]]&lt;15000,0,IF(jablka5[[#This Row],[dot sprz]]&lt;20000,5,10))</f>
        <v>0</v>
      </c>
      <c r="I1423" s="1">
        <f>jablka5[[#This Row],[rabat]]*jablka5[[#This Row],[sprzedaż]]/100</f>
        <v>0</v>
      </c>
    </row>
    <row r="1424" spans="1:9" x14ac:dyDescent="0.25">
      <c r="A1424" s="2">
        <v>44816</v>
      </c>
      <c r="B1424" s="1" t="s">
        <v>14</v>
      </c>
      <c r="C1424" s="1" t="s">
        <v>67</v>
      </c>
      <c r="D1424" s="1" t="s">
        <v>59</v>
      </c>
      <c r="E1424">
        <v>29</v>
      </c>
      <c r="F1424" s="1">
        <f>VLOOKUP(jablka5[[#This Row],[Nazwa]],cennik[],2,0) * jablka5[[#This Row],[sprzedaż]]</f>
        <v>101.5</v>
      </c>
      <c r="G1424" s="1">
        <f>IF(jablka5[[#This Row],[NIP]]=D1423,jablka5[[#This Row],[sprzedaż]]+G1423,jablka5[[#This Row],[sprzedaż]])</f>
        <v>9816</v>
      </c>
      <c r="H1424" s="1">
        <f>IF(jablka5[[#This Row],[dot sprz]]&lt;15000,0,IF(jablka5[[#This Row],[dot sprz]]&lt;20000,5,10))</f>
        <v>0</v>
      </c>
      <c r="I1424" s="1">
        <f>jablka5[[#This Row],[rabat]]*jablka5[[#This Row],[sprzedaż]]/100</f>
        <v>0</v>
      </c>
    </row>
    <row r="1425" spans="1:9" x14ac:dyDescent="0.25">
      <c r="A1425" s="2">
        <v>44817</v>
      </c>
      <c r="B1425" s="1" t="s">
        <v>9</v>
      </c>
      <c r="C1425" s="1" t="s">
        <v>67</v>
      </c>
      <c r="D1425" s="1" t="s">
        <v>59</v>
      </c>
      <c r="E1425">
        <v>201</v>
      </c>
      <c r="F1425" s="1">
        <f>VLOOKUP(jablka5[[#This Row],[Nazwa]],cennik[],2,0) * jablka5[[#This Row],[sprzedaż]]</f>
        <v>502.5</v>
      </c>
      <c r="G1425" s="1">
        <f>IF(jablka5[[#This Row],[NIP]]=D1424,jablka5[[#This Row],[sprzedaż]]+G1424,jablka5[[#This Row],[sprzedaż]])</f>
        <v>10017</v>
      </c>
      <c r="H1425" s="1">
        <f>IF(jablka5[[#This Row],[dot sprz]]&lt;15000,0,IF(jablka5[[#This Row],[dot sprz]]&lt;20000,5,10))</f>
        <v>0</v>
      </c>
      <c r="I1425" s="1">
        <f>jablka5[[#This Row],[rabat]]*jablka5[[#This Row],[sprzedaż]]/100</f>
        <v>0</v>
      </c>
    </row>
    <row r="1426" spans="1:9" x14ac:dyDescent="0.25">
      <c r="A1426" s="2">
        <v>44831</v>
      </c>
      <c r="B1426" s="1" t="s">
        <v>1</v>
      </c>
      <c r="C1426" s="1" t="s">
        <v>67</v>
      </c>
      <c r="D1426" s="1" t="s">
        <v>59</v>
      </c>
      <c r="E1426">
        <v>266</v>
      </c>
      <c r="F1426" s="1">
        <f>VLOOKUP(jablka5[[#This Row],[Nazwa]],cennik[],2,0) * jablka5[[#This Row],[sprzedaż]]</f>
        <v>851.2</v>
      </c>
      <c r="G1426" s="1">
        <f>IF(jablka5[[#This Row],[NIP]]=D1425,jablka5[[#This Row],[sprzedaż]]+G1425,jablka5[[#This Row],[sprzedaż]])</f>
        <v>10283</v>
      </c>
      <c r="H1426" s="1">
        <f>IF(jablka5[[#This Row],[dot sprz]]&lt;15000,0,IF(jablka5[[#This Row],[dot sprz]]&lt;20000,5,10))</f>
        <v>0</v>
      </c>
      <c r="I1426" s="1">
        <f>jablka5[[#This Row],[rabat]]*jablka5[[#This Row],[sprzedaż]]/100</f>
        <v>0</v>
      </c>
    </row>
    <row r="1427" spans="1:9" x14ac:dyDescent="0.25">
      <c r="A1427" s="2">
        <v>44837</v>
      </c>
      <c r="B1427" s="1" t="s">
        <v>1</v>
      </c>
      <c r="C1427" s="1" t="s">
        <v>67</v>
      </c>
      <c r="D1427" s="1" t="s">
        <v>59</v>
      </c>
      <c r="E1427">
        <v>95</v>
      </c>
      <c r="F1427" s="1">
        <f>VLOOKUP(jablka5[[#This Row],[Nazwa]],cennik[],2,0) * jablka5[[#This Row],[sprzedaż]]</f>
        <v>304</v>
      </c>
      <c r="G1427" s="1">
        <f>IF(jablka5[[#This Row],[NIP]]=D1426,jablka5[[#This Row],[sprzedaż]]+G1426,jablka5[[#This Row],[sprzedaż]])</f>
        <v>10378</v>
      </c>
      <c r="H1427" s="1">
        <f>IF(jablka5[[#This Row],[dot sprz]]&lt;15000,0,IF(jablka5[[#This Row],[dot sprz]]&lt;20000,5,10))</f>
        <v>0</v>
      </c>
      <c r="I1427" s="1">
        <f>jablka5[[#This Row],[rabat]]*jablka5[[#This Row],[sprzedaż]]/100</f>
        <v>0</v>
      </c>
    </row>
    <row r="1428" spans="1:9" x14ac:dyDescent="0.25">
      <c r="A1428" s="2">
        <v>44837</v>
      </c>
      <c r="B1428" s="1" t="s">
        <v>3</v>
      </c>
      <c r="C1428" s="1" t="s">
        <v>67</v>
      </c>
      <c r="D1428" s="1" t="s">
        <v>59</v>
      </c>
      <c r="E1428">
        <v>171</v>
      </c>
      <c r="F1428" s="1">
        <f>VLOOKUP(jablka5[[#This Row],[Nazwa]],cennik[],2,0) * jablka5[[#This Row],[sprzedaż]]</f>
        <v>547.20000000000005</v>
      </c>
      <c r="G1428" s="1">
        <f>IF(jablka5[[#This Row],[NIP]]=D1427,jablka5[[#This Row],[sprzedaż]]+G1427,jablka5[[#This Row],[sprzedaż]])</f>
        <v>10549</v>
      </c>
      <c r="H1428" s="1">
        <f>IF(jablka5[[#This Row],[dot sprz]]&lt;15000,0,IF(jablka5[[#This Row],[dot sprz]]&lt;20000,5,10))</f>
        <v>0</v>
      </c>
      <c r="I1428" s="1">
        <f>jablka5[[#This Row],[rabat]]*jablka5[[#This Row],[sprzedaż]]/100</f>
        <v>0</v>
      </c>
    </row>
    <row r="1429" spans="1:9" x14ac:dyDescent="0.25">
      <c r="A1429" s="2">
        <v>44869</v>
      </c>
      <c r="B1429" s="1" t="s">
        <v>14</v>
      </c>
      <c r="C1429" s="1" t="s">
        <v>67</v>
      </c>
      <c r="D1429" s="1" t="s">
        <v>59</v>
      </c>
      <c r="E1429">
        <v>401</v>
      </c>
      <c r="F1429" s="1">
        <f>VLOOKUP(jablka5[[#This Row],[Nazwa]],cennik[],2,0) * jablka5[[#This Row],[sprzedaż]]</f>
        <v>1403.5</v>
      </c>
      <c r="G1429" s="1">
        <f>IF(jablka5[[#This Row],[NIP]]=D1428,jablka5[[#This Row],[sprzedaż]]+G1428,jablka5[[#This Row],[sprzedaż]])</f>
        <v>10950</v>
      </c>
      <c r="H1429" s="1">
        <f>IF(jablka5[[#This Row],[dot sprz]]&lt;15000,0,IF(jablka5[[#This Row],[dot sprz]]&lt;20000,5,10))</f>
        <v>0</v>
      </c>
      <c r="I1429" s="1">
        <f>jablka5[[#This Row],[rabat]]*jablka5[[#This Row],[sprzedaż]]/100</f>
        <v>0</v>
      </c>
    </row>
    <row r="1430" spans="1:9" x14ac:dyDescent="0.25">
      <c r="A1430" s="2">
        <v>44872</v>
      </c>
      <c r="B1430" s="1" t="s">
        <v>3</v>
      </c>
      <c r="C1430" s="1" t="s">
        <v>67</v>
      </c>
      <c r="D1430" s="1" t="s">
        <v>59</v>
      </c>
      <c r="E1430">
        <v>325</v>
      </c>
      <c r="F1430" s="1">
        <f>VLOOKUP(jablka5[[#This Row],[Nazwa]],cennik[],2,0) * jablka5[[#This Row],[sprzedaż]]</f>
        <v>1040</v>
      </c>
      <c r="G1430" s="1">
        <f>IF(jablka5[[#This Row],[NIP]]=D1429,jablka5[[#This Row],[sprzedaż]]+G1429,jablka5[[#This Row],[sprzedaż]])</f>
        <v>11275</v>
      </c>
      <c r="H1430" s="1">
        <f>IF(jablka5[[#This Row],[dot sprz]]&lt;15000,0,IF(jablka5[[#This Row],[dot sprz]]&lt;20000,5,10))</f>
        <v>0</v>
      </c>
      <c r="I1430" s="1">
        <f>jablka5[[#This Row],[rabat]]*jablka5[[#This Row],[sprzedaż]]/100</f>
        <v>0</v>
      </c>
    </row>
    <row r="1431" spans="1:9" x14ac:dyDescent="0.25">
      <c r="A1431" s="2">
        <v>44872</v>
      </c>
      <c r="B1431" s="1" t="s">
        <v>1</v>
      </c>
      <c r="C1431" s="1" t="s">
        <v>67</v>
      </c>
      <c r="D1431" s="1" t="s">
        <v>59</v>
      </c>
      <c r="E1431">
        <v>164</v>
      </c>
      <c r="F1431" s="1">
        <f>VLOOKUP(jablka5[[#This Row],[Nazwa]],cennik[],2,0) * jablka5[[#This Row],[sprzedaż]]</f>
        <v>524.80000000000007</v>
      </c>
      <c r="G1431" s="1">
        <f>IF(jablka5[[#This Row],[NIP]]=D1430,jablka5[[#This Row],[sprzedaż]]+G1430,jablka5[[#This Row],[sprzedaż]])</f>
        <v>11439</v>
      </c>
      <c r="H1431" s="1">
        <f>IF(jablka5[[#This Row],[dot sprz]]&lt;15000,0,IF(jablka5[[#This Row],[dot sprz]]&lt;20000,5,10))</f>
        <v>0</v>
      </c>
      <c r="I1431" s="1">
        <f>jablka5[[#This Row],[rabat]]*jablka5[[#This Row],[sprzedaż]]/100</f>
        <v>0</v>
      </c>
    </row>
    <row r="1432" spans="1:9" x14ac:dyDescent="0.25">
      <c r="A1432" s="2">
        <v>44879</v>
      </c>
      <c r="B1432" s="1" t="s">
        <v>14</v>
      </c>
      <c r="C1432" s="1" t="s">
        <v>67</v>
      </c>
      <c r="D1432" s="1" t="s">
        <v>59</v>
      </c>
      <c r="E1432">
        <v>405</v>
      </c>
      <c r="F1432" s="1">
        <f>VLOOKUP(jablka5[[#This Row],[Nazwa]],cennik[],2,0) * jablka5[[#This Row],[sprzedaż]]</f>
        <v>1417.5</v>
      </c>
      <c r="G1432" s="1">
        <f>IF(jablka5[[#This Row],[NIP]]=D1431,jablka5[[#This Row],[sprzedaż]]+G1431,jablka5[[#This Row],[sprzedaż]])</f>
        <v>11844</v>
      </c>
      <c r="H1432" s="1">
        <f>IF(jablka5[[#This Row],[dot sprz]]&lt;15000,0,IF(jablka5[[#This Row],[dot sprz]]&lt;20000,5,10))</f>
        <v>0</v>
      </c>
      <c r="I1432" s="1">
        <f>jablka5[[#This Row],[rabat]]*jablka5[[#This Row],[sprzedaż]]/100</f>
        <v>0</v>
      </c>
    </row>
    <row r="1433" spans="1:9" x14ac:dyDescent="0.25">
      <c r="A1433" s="2">
        <v>44888</v>
      </c>
      <c r="B1433" s="1" t="s">
        <v>11</v>
      </c>
      <c r="C1433" s="1" t="s">
        <v>67</v>
      </c>
      <c r="D1433" s="1" t="s">
        <v>59</v>
      </c>
      <c r="E1433">
        <v>231</v>
      </c>
      <c r="F1433" s="1">
        <f>VLOOKUP(jablka5[[#This Row],[Nazwa]],cennik[],2,0) * jablka5[[#This Row],[sprzedaż]]</f>
        <v>577.5</v>
      </c>
      <c r="G1433" s="1">
        <f>IF(jablka5[[#This Row],[NIP]]=D1432,jablka5[[#This Row],[sprzedaż]]+G1432,jablka5[[#This Row],[sprzedaż]])</f>
        <v>12075</v>
      </c>
      <c r="H1433" s="1">
        <f>IF(jablka5[[#This Row],[dot sprz]]&lt;15000,0,IF(jablka5[[#This Row],[dot sprz]]&lt;20000,5,10))</f>
        <v>0</v>
      </c>
      <c r="I1433" s="1">
        <f>jablka5[[#This Row],[rabat]]*jablka5[[#This Row],[sprzedaż]]/100</f>
        <v>0</v>
      </c>
    </row>
    <row r="1434" spans="1:9" x14ac:dyDescent="0.25">
      <c r="A1434" s="2">
        <v>44896</v>
      </c>
      <c r="B1434" s="1" t="s">
        <v>10</v>
      </c>
      <c r="C1434" s="1" t="s">
        <v>16</v>
      </c>
      <c r="D1434" s="1" t="s">
        <v>59</v>
      </c>
      <c r="E1434">
        <v>219</v>
      </c>
      <c r="F1434" s="1">
        <f>VLOOKUP(jablka5[[#This Row],[Nazwa]],cennik[],2,0) * jablka5[[#This Row],[sprzedaż]]</f>
        <v>744.6</v>
      </c>
      <c r="G1434" s="1">
        <f>IF(jablka5[[#This Row],[NIP]]=D1433,jablka5[[#This Row],[sprzedaż]]+G1433,jablka5[[#This Row],[sprzedaż]])</f>
        <v>12294</v>
      </c>
      <c r="H1434" s="1">
        <f>IF(jablka5[[#This Row],[dot sprz]]&lt;15000,0,IF(jablka5[[#This Row],[dot sprz]]&lt;20000,5,10))</f>
        <v>0</v>
      </c>
      <c r="I1434" s="1">
        <f>jablka5[[#This Row],[rabat]]*jablka5[[#This Row],[sprzedaż]]/100</f>
        <v>0</v>
      </c>
    </row>
    <row r="1435" spans="1:9" x14ac:dyDescent="0.25">
      <c r="A1435" s="2">
        <v>44926</v>
      </c>
      <c r="B1435" s="1" t="s">
        <v>0</v>
      </c>
      <c r="C1435" s="1" t="s">
        <v>16</v>
      </c>
      <c r="D1435" s="1" t="s">
        <v>59</v>
      </c>
      <c r="E1435">
        <v>402</v>
      </c>
      <c r="F1435" s="1">
        <f>VLOOKUP(jablka5[[#This Row],[Nazwa]],cennik[],2,0) * jablka5[[#This Row],[sprzedaż]]</f>
        <v>1165.8</v>
      </c>
      <c r="G1435" s="1">
        <f>IF(jablka5[[#This Row],[NIP]]=D1434,jablka5[[#This Row],[sprzedaż]]+G1434,jablka5[[#This Row],[sprzedaż]])</f>
        <v>12696</v>
      </c>
      <c r="H1435" s="1">
        <f>IF(jablka5[[#This Row],[dot sprz]]&lt;15000,0,IF(jablka5[[#This Row],[dot sprz]]&lt;20000,5,10))</f>
        <v>0</v>
      </c>
      <c r="I1435" s="1">
        <f>jablka5[[#This Row],[rabat]]*jablka5[[#This Row],[sprzedaż]]/100</f>
        <v>0</v>
      </c>
    </row>
    <row r="1436" spans="1:9" x14ac:dyDescent="0.25">
      <c r="A1436" s="2">
        <v>44565</v>
      </c>
      <c r="B1436" s="1" t="s">
        <v>2</v>
      </c>
      <c r="C1436" s="1" t="s">
        <v>16</v>
      </c>
      <c r="D1436" s="1" t="s">
        <v>30</v>
      </c>
      <c r="E1436">
        <v>438</v>
      </c>
      <c r="F1436" s="1">
        <f>VLOOKUP(jablka5[[#This Row],[Nazwa]],cennik[],2,0) * jablka5[[#This Row],[sprzedaż]]</f>
        <v>1401.6000000000001</v>
      </c>
      <c r="G1436" s="1">
        <f>IF(jablka5[[#This Row],[NIP]]=D1435,jablka5[[#This Row],[sprzedaż]]+G1435,jablka5[[#This Row],[sprzedaż]])</f>
        <v>438</v>
      </c>
      <c r="H1436" s="1">
        <f>IF(jablka5[[#This Row],[dot sprz]]&lt;15000,0,IF(jablka5[[#This Row],[dot sprz]]&lt;20000,5,10))</f>
        <v>0</v>
      </c>
      <c r="I1436" s="1">
        <f>jablka5[[#This Row],[rabat]]*jablka5[[#This Row],[sprzedaż]]/100</f>
        <v>0</v>
      </c>
    </row>
    <row r="1437" spans="1:9" x14ac:dyDescent="0.25">
      <c r="A1437" s="2">
        <v>44582</v>
      </c>
      <c r="B1437" s="1" t="s">
        <v>2</v>
      </c>
      <c r="C1437" s="1" t="s">
        <v>16</v>
      </c>
      <c r="D1437" s="1" t="s">
        <v>30</v>
      </c>
      <c r="E1437">
        <v>410</v>
      </c>
      <c r="F1437" s="1">
        <f>VLOOKUP(jablka5[[#This Row],[Nazwa]],cennik[],2,0) * jablka5[[#This Row],[sprzedaż]]</f>
        <v>1312</v>
      </c>
      <c r="G1437" s="1">
        <f>IF(jablka5[[#This Row],[NIP]]=D1436,jablka5[[#This Row],[sprzedaż]]+G1436,jablka5[[#This Row],[sprzedaż]])</f>
        <v>848</v>
      </c>
      <c r="H1437" s="1">
        <f>IF(jablka5[[#This Row],[dot sprz]]&lt;15000,0,IF(jablka5[[#This Row],[dot sprz]]&lt;20000,5,10))</f>
        <v>0</v>
      </c>
      <c r="I1437" s="1">
        <f>jablka5[[#This Row],[rabat]]*jablka5[[#This Row],[sprzedaż]]/100</f>
        <v>0</v>
      </c>
    </row>
    <row r="1438" spans="1:9" x14ac:dyDescent="0.25">
      <c r="A1438" s="2">
        <v>44585</v>
      </c>
      <c r="B1438" s="1" t="s">
        <v>0</v>
      </c>
      <c r="C1438" s="1" t="s">
        <v>16</v>
      </c>
      <c r="D1438" s="1" t="s">
        <v>30</v>
      </c>
      <c r="E1438">
        <v>305</v>
      </c>
      <c r="F1438" s="1">
        <f>VLOOKUP(jablka5[[#This Row],[Nazwa]],cennik[],2,0) * jablka5[[#This Row],[sprzedaż]]</f>
        <v>884.5</v>
      </c>
      <c r="G1438" s="1">
        <f>IF(jablka5[[#This Row],[NIP]]=D1437,jablka5[[#This Row],[sprzedaż]]+G1437,jablka5[[#This Row],[sprzedaż]])</f>
        <v>1153</v>
      </c>
      <c r="H1438" s="1">
        <f>IF(jablka5[[#This Row],[dot sprz]]&lt;15000,0,IF(jablka5[[#This Row],[dot sprz]]&lt;20000,5,10))</f>
        <v>0</v>
      </c>
      <c r="I1438" s="1">
        <f>jablka5[[#This Row],[rabat]]*jablka5[[#This Row],[sprzedaż]]/100</f>
        <v>0</v>
      </c>
    </row>
    <row r="1439" spans="1:9" x14ac:dyDescent="0.25">
      <c r="A1439" s="2">
        <v>44587</v>
      </c>
      <c r="B1439" s="1" t="s">
        <v>6</v>
      </c>
      <c r="C1439" s="1" t="s">
        <v>16</v>
      </c>
      <c r="D1439" s="1" t="s">
        <v>30</v>
      </c>
      <c r="E1439">
        <v>409</v>
      </c>
      <c r="F1439" s="1">
        <f>VLOOKUP(jablka5[[#This Row],[Nazwa]],cennik[],2,0) * jablka5[[#This Row],[sprzedaż]]</f>
        <v>1390.6</v>
      </c>
      <c r="G1439" s="1">
        <f>IF(jablka5[[#This Row],[NIP]]=D1438,jablka5[[#This Row],[sprzedaż]]+G1438,jablka5[[#This Row],[sprzedaż]])</f>
        <v>1562</v>
      </c>
      <c r="H1439" s="1">
        <f>IF(jablka5[[#This Row],[dot sprz]]&lt;15000,0,IF(jablka5[[#This Row],[dot sprz]]&lt;20000,5,10))</f>
        <v>0</v>
      </c>
      <c r="I1439" s="1">
        <f>jablka5[[#This Row],[rabat]]*jablka5[[#This Row],[sprzedaż]]/100</f>
        <v>0</v>
      </c>
    </row>
    <row r="1440" spans="1:9" x14ac:dyDescent="0.25">
      <c r="A1440" s="2">
        <v>44587</v>
      </c>
      <c r="B1440" s="1" t="s">
        <v>8</v>
      </c>
      <c r="C1440" s="1" t="s">
        <v>16</v>
      </c>
      <c r="D1440" s="1" t="s">
        <v>30</v>
      </c>
      <c r="E1440">
        <v>568</v>
      </c>
      <c r="F1440" s="1">
        <f>VLOOKUP(jablka5[[#This Row],[Nazwa]],cennik[],2,0) * jablka5[[#This Row],[sprzedaż]]</f>
        <v>1988</v>
      </c>
      <c r="G1440" s="1">
        <f>IF(jablka5[[#This Row],[NIP]]=D1439,jablka5[[#This Row],[sprzedaż]]+G1439,jablka5[[#This Row],[sprzedaż]])</f>
        <v>2130</v>
      </c>
      <c r="H1440" s="1">
        <f>IF(jablka5[[#This Row],[dot sprz]]&lt;15000,0,IF(jablka5[[#This Row],[dot sprz]]&lt;20000,5,10))</f>
        <v>0</v>
      </c>
      <c r="I1440" s="1">
        <f>jablka5[[#This Row],[rabat]]*jablka5[[#This Row],[sprzedaż]]/100</f>
        <v>0</v>
      </c>
    </row>
    <row r="1441" spans="1:9" x14ac:dyDescent="0.25">
      <c r="A1441" s="2">
        <v>44593</v>
      </c>
      <c r="B1441" s="1" t="s">
        <v>2</v>
      </c>
      <c r="C1441" s="1" t="s">
        <v>16</v>
      </c>
      <c r="D1441" s="1" t="s">
        <v>30</v>
      </c>
      <c r="E1441">
        <v>67</v>
      </c>
      <c r="F1441" s="1">
        <f>VLOOKUP(jablka5[[#This Row],[Nazwa]],cennik[],2,0) * jablka5[[#This Row],[sprzedaż]]</f>
        <v>214.4</v>
      </c>
      <c r="G1441" s="1">
        <f>IF(jablka5[[#This Row],[NIP]]=D1440,jablka5[[#This Row],[sprzedaż]]+G1440,jablka5[[#This Row],[sprzedaż]])</f>
        <v>2197</v>
      </c>
      <c r="H1441" s="1">
        <f>IF(jablka5[[#This Row],[dot sprz]]&lt;15000,0,IF(jablka5[[#This Row],[dot sprz]]&lt;20000,5,10))</f>
        <v>0</v>
      </c>
      <c r="I1441" s="1">
        <f>jablka5[[#This Row],[rabat]]*jablka5[[#This Row],[sprzedaż]]/100</f>
        <v>0</v>
      </c>
    </row>
    <row r="1442" spans="1:9" x14ac:dyDescent="0.25">
      <c r="A1442" s="2">
        <v>44600</v>
      </c>
      <c r="B1442" s="1" t="s">
        <v>5</v>
      </c>
      <c r="C1442" s="1" t="s">
        <v>16</v>
      </c>
      <c r="D1442" s="1" t="s">
        <v>30</v>
      </c>
      <c r="E1442">
        <v>341</v>
      </c>
      <c r="F1442" s="1">
        <f>VLOOKUP(jablka5[[#This Row],[Nazwa]],cennik[],2,0) * jablka5[[#This Row],[sprzedaż]]</f>
        <v>1159.3999999999999</v>
      </c>
      <c r="G1442" s="1">
        <f>IF(jablka5[[#This Row],[NIP]]=D1441,jablka5[[#This Row],[sprzedaż]]+G1441,jablka5[[#This Row],[sprzedaż]])</f>
        <v>2538</v>
      </c>
      <c r="H1442" s="1">
        <f>IF(jablka5[[#This Row],[dot sprz]]&lt;15000,0,IF(jablka5[[#This Row],[dot sprz]]&lt;20000,5,10))</f>
        <v>0</v>
      </c>
      <c r="I1442" s="1">
        <f>jablka5[[#This Row],[rabat]]*jablka5[[#This Row],[sprzedaż]]/100</f>
        <v>0</v>
      </c>
    </row>
    <row r="1443" spans="1:9" x14ac:dyDescent="0.25">
      <c r="A1443" s="2">
        <v>44614</v>
      </c>
      <c r="B1443" s="1" t="s">
        <v>8</v>
      </c>
      <c r="C1443" s="1" t="s">
        <v>16</v>
      </c>
      <c r="D1443" s="1" t="s">
        <v>30</v>
      </c>
      <c r="E1443">
        <v>235</v>
      </c>
      <c r="F1443" s="1">
        <f>VLOOKUP(jablka5[[#This Row],[Nazwa]],cennik[],2,0) * jablka5[[#This Row],[sprzedaż]]</f>
        <v>822.5</v>
      </c>
      <c r="G1443" s="1">
        <f>IF(jablka5[[#This Row],[NIP]]=D1442,jablka5[[#This Row],[sprzedaż]]+G1442,jablka5[[#This Row],[sprzedaż]])</f>
        <v>2773</v>
      </c>
      <c r="H1443" s="1">
        <f>IF(jablka5[[#This Row],[dot sprz]]&lt;15000,0,IF(jablka5[[#This Row],[dot sprz]]&lt;20000,5,10))</f>
        <v>0</v>
      </c>
      <c r="I1443" s="1">
        <f>jablka5[[#This Row],[rabat]]*jablka5[[#This Row],[sprzedaż]]/100</f>
        <v>0</v>
      </c>
    </row>
    <row r="1444" spans="1:9" x14ac:dyDescent="0.25">
      <c r="A1444" s="2">
        <v>44620</v>
      </c>
      <c r="B1444" s="1" t="s">
        <v>4</v>
      </c>
      <c r="C1444" s="1" t="s">
        <v>16</v>
      </c>
      <c r="D1444" s="1" t="s">
        <v>30</v>
      </c>
      <c r="E1444">
        <v>459</v>
      </c>
      <c r="F1444" s="1">
        <f>VLOOKUP(jablka5[[#This Row],[Nazwa]],cennik[],2,0) * jablka5[[#This Row],[sprzedaż]]</f>
        <v>1560.6</v>
      </c>
      <c r="G1444" s="1">
        <f>IF(jablka5[[#This Row],[NIP]]=D1443,jablka5[[#This Row],[sprzedaż]]+G1443,jablka5[[#This Row],[sprzedaż]])</f>
        <v>3232</v>
      </c>
      <c r="H1444" s="1">
        <f>IF(jablka5[[#This Row],[dot sprz]]&lt;15000,0,IF(jablka5[[#This Row],[dot sprz]]&lt;20000,5,10))</f>
        <v>0</v>
      </c>
      <c r="I1444" s="1">
        <f>jablka5[[#This Row],[rabat]]*jablka5[[#This Row],[sprzedaż]]/100</f>
        <v>0</v>
      </c>
    </row>
    <row r="1445" spans="1:9" x14ac:dyDescent="0.25">
      <c r="A1445" s="2">
        <v>44631</v>
      </c>
      <c r="B1445" s="1" t="s">
        <v>2</v>
      </c>
      <c r="C1445" s="1" t="s">
        <v>16</v>
      </c>
      <c r="D1445" s="1" t="s">
        <v>30</v>
      </c>
      <c r="E1445">
        <v>381</v>
      </c>
      <c r="F1445" s="1">
        <f>VLOOKUP(jablka5[[#This Row],[Nazwa]],cennik[],2,0) * jablka5[[#This Row],[sprzedaż]]</f>
        <v>1219.2</v>
      </c>
      <c r="G1445" s="1">
        <f>IF(jablka5[[#This Row],[NIP]]=D1444,jablka5[[#This Row],[sprzedaż]]+G1444,jablka5[[#This Row],[sprzedaż]])</f>
        <v>3613</v>
      </c>
      <c r="H1445" s="1">
        <f>IF(jablka5[[#This Row],[dot sprz]]&lt;15000,0,IF(jablka5[[#This Row],[dot sprz]]&lt;20000,5,10))</f>
        <v>0</v>
      </c>
      <c r="I1445" s="1">
        <f>jablka5[[#This Row],[rabat]]*jablka5[[#This Row],[sprzedaż]]/100</f>
        <v>0</v>
      </c>
    </row>
    <row r="1446" spans="1:9" x14ac:dyDescent="0.25">
      <c r="A1446" s="2">
        <v>44636</v>
      </c>
      <c r="B1446" s="1" t="s">
        <v>8</v>
      </c>
      <c r="C1446" s="1" t="s">
        <v>16</v>
      </c>
      <c r="D1446" s="1" t="s">
        <v>30</v>
      </c>
      <c r="E1446">
        <v>374</v>
      </c>
      <c r="F1446" s="1">
        <f>VLOOKUP(jablka5[[#This Row],[Nazwa]],cennik[],2,0) * jablka5[[#This Row],[sprzedaż]]</f>
        <v>1309</v>
      </c>
      <c r="G1446" s="1">
        <f>IF(jablka5[[#This Row],[NIP]]=D1445,jablka5[[#This Row],[sprzedaż]]+G1445,jablka5[[#This Row],[sprzedaż]])</f>
        <v>3987</v>
      </c>
      <c r="H1446" s="1">
        <f>IF(jablka5[[#This Row],[dot sprz]]&lt;15000,0,IF(jablka5[[#This Row],[dot sprz]]&lt;20000,5,10))</f>
        <v>0</v>
      </c>
      <c r="I1446" s="1">
        <f>jablka5[[#This Row],[rabat]]*jablka5[[#This Row],[sprzedaż]]/100</f>
        <v>0</v>
      </c>
    </row>
    <row r="1447" spans="1:9" x14ac:dyDescent="0.25">
      <c r="A1447" s="2">
        <v>44650</v>
      </c>
      <c r="B1447" s="1" t="s">
        <v>5</v>
      </c>
      <c r="C1447" s="1" t="s">
        <v>16</v>
      </c>
      <c r="D1447" s="1" t="s">
        <v>30</v>
      </c>
      <c r="E1447">
        <v>218</v>
      </c>
      <c r="F1447" s="1">
        <f>VLOOKUP(jablka5[[#This Row],[Nazwa]],cennik[],2,0) * jablka5[[#This Row],[sprzedaż]]</f>
        <v>741.19999999999993</v>
      </c>
      <c r="G1447" s="1">
        <f>IF(jablka5[[#This Row],[NIP]]=D1446,jablka5[[#This Row],[sprzedaż]]+G1446,jablka5[[#This Row],[sprzedaż]])</f>
        <v>4205</v>
      </c>
      <c r="H1447" s="1">
        <f>IF(jablka5[[#This Row],[dot sprz]]&lt;15000,0,IF(jablka5[[#This Row],[dot sprz]]&lt;20000,5,10))</f>
        <v>0</v>
      </c>
      <c r="I1447" s="1">
        <f>jablka5[[#This Row],[rabat]]*jablka5[[#This Row],[sprzedaż]]/100</f>
        <v>0</v>
      </c>
    </row>
    <row r="1448" spans="1:9" x14ac:dyDescent="0.25">
      <c r="A1448" s="2">
        <v>44656</v>
      </c>
      <c r="B1448" s="1" t="s">
        <v>0</v>
      </c>
      <c r="C1448" s="1" t="s">
        <v>16</v>
      </c>
      <c r="D1448" s="1" t="s">
        <v>30</v>
      </c>
      <c r="E1448">
        <v>178</v>
      </c>
      <c r="F1448" s="1">
        <f>VLOOKUP(jablka5[[#This Row],[Nazwa]],cennik[],2,0) * jablka5[[#This Row],[sprzedaż]]</f>
        <v>516.19999999999993</v>
      </c>
      <c r="G1448" s="1">
        <f>IF(jablka5[[#This Row],[NIP]]=D1447,jablka5[[#This Row],[sprzedaż]]+G1447,jablka5[[#This Row],[sprzedaż]])</f>
        <v>4383</v>
      </c>
      <c r="H1448" s="1">
        <f>IF(jablka5[[#This Row],[dot sprz]]&lt;15000,0,IF(jablka5[[#This Row],[dot sprz]]&lt;20000,5,10))</f>
        <v>0</v>
      </c>
      <c r="I1448" s="1">
        <f>jablka5[[#This Row],[rabat]]*jablka5[[#This Row],[sprzedaż]]/100</f>
        <v>0</v>
      </c>
    </row>
    <row r="1449" spans="1:9" x14ac:dyDescent="0.25">
      <c r="A1449" s="2">
        <v>44673</v>
      </c>
      <c r="B1449" s="1" t="s">
        <v>5</v>
      </c>
      <c r="C1449" s="1" t="s">
        <v>16</v>
      </c>
      <c r="D1449" s="1" t="s">
        <v>30</v>
      </c>
      <c r="E1449">
        <v>388</v>
      </c>
      <c r="F1449" s="1">
        <f>VLOOKUP(jablka5[[#This Row],[Nazwa]],cennik[],2,0) * jablka5[[#This Row],[sprzedaż]]</f>
        <v>1319.2</v>
      </c>
      <c r="G1449" s="1">
        <f>IF(jablka5[[#This Row],[NIP]]=D1448,jablka5[[#This Row],[sprzedaż]]+G1448,jablka5[[#This Row],[sprzedaż]])</f>
        <v>4771</v>
      </c>
      <c r="H1449" s="1">
        <f>IF(jablka5[[#This Row],[dot sprz]]&lt;15000,0,IF(jablka5[[#This Row],[dot sprz]]&lt;20000,5,10))</f>
        <v>0</v>
      </c>
      <c r="I1449" s="1">
        <f>jablka5[[#This Row],[rabat]]*jablka5[[#This Row],[sprzedaż]]/100</f>
        <v>0</v>
      </c>
    </row>
    <row r="1450" spans="1:9" x14ac:dyDescent="0.25">
      <c r="A1450" s="2">
        <v>44678</v>
      </c>
      <c r="B1450" s="1" t="s">
        <v>2</v>
      </c>
      <c r="C1450" s="1" t="s">
        <v>16</v>
      </c>
      <c r="D1450" s="1" t="s">
        <v>30</v>
      </c>
      <c r="E1450">
        <v>81</v>
      </c>
      <c r="F1450" s="1">
        <f>VLOOKUP(jablka5[[#This Row],[Nazwa]],cennik[],2,0) * jablka5[[#This Row],[sprzedaż]]</f>
        <v>259.2</v>
      </c>
      <c r="G1450" s="1">
        <f>IF(jablka5[[#This Row],[NIP]]=D1449,jablka5[[#This Row],[sprzedaż]]+G1449,jablka5[[#This Row],[sprzedaż]])</f>
        <v>4852</v>
      </c>
      <c r="H1450" s="1">
        <f>IF(jablka5[[#This Row],[dot sprz]]&lt;15000,0,IF(jablka5[[#This Row],[dot sprz]]&lt;20000,5,10))</f>
        <v>0</v>
      </c>
      <c r="I1450" s="1">
        <f>jablka5[[#This Row],[rabat]]*jablka5[[#This Row],[sprzedaż]]/100</f>
        <v>0</v>
      </c>
    </row>
    <row r="1451" spans="1:9" x14ac:dyDescent="0.25">
      <c r="A1451" s="2">
        <v>44679</v>
      </c>
      <c r="B1451" s="1" t="s">
        <v>8</v>
      </c>
      <c r="C1451" s="1" t="s">
        <v>16</v>
      </c>
      <c r="D1451" s="1" t="s">
        <v>30</v>
      </c>
      <c r="E1451">
        <v>303</v>
      </c>
      <c r="F1451" s="1">
        <f>VLOOKUP(jablka5[[#This Row],[Nazwa]],cennik[],2,0) * jablka5[[#This Row],[sprzedaż]]</f>
        <v>1060.5</v>
      </c>
      <c r="G1451" s="1">
        <f>IF(jablka5[[#This Row],[NIP]]=D1450,jablka5[[#This Row],[sprzedaż]]+G1450,jablka5[[#This Row],[sprzedaż]])</f>
        <v>5155</v>
      </c>
      <c r="H1451" s="1">
        <f>IF(jablka5[[#This Row],[dot sprz]]&lt;15000,0,IF(jablka5[[#This Row],[dot sprz]]&lt;20000,5,10))</f>
        <v>0</v>
      </c>
      <c r="I1451" s="1">
        <f>jablka5[[#This Row],[rabat]]*jablka5[[#This Row],[sprzedaż]]/100</f>
        <v>0</v>
      </c>
    </row>
    <row r="1452" spans="1:9" x14ac:dyDescent="0.25">
      <c r="A1452" s="2">
        <v>44680</v>
      </c>
      <c r="B1452" s="1" t="s">
        <v>10</v>
      </c>
      <c r="C1452" s="1" t="s">
        <v>16</v>
      </c>
      <c r="D1452" s="1" t="s">
        <v>30</v>
      </c>
      <c r="E1452">
        <v>312</v>
      </c>
      <c r="F1452" s="1">
        <f>VLOOKUP(jablka5[[#This Row],[Nazwa]],cennik[],2,0) * jablka5[[#This Row],[sprzedaż]]</f>
        <v>1060.8</v>
      </c>
      <c r="G1452" s="1">
        <f>IF(jablka5[[#This Row],[NIP]]=D1451,jablka5[[#This Row],[sprzedaż]]+G1451,jablka5[[#This Row],[sprzedaż]])</f>
        <v>5467</v>
      </c>
      <c r="H1452" s="1">
        <f>IF(jablka5[[#This Row],[dot sprz]]&lt;15000,0,IF(jablka5[[#This Row],[dot sprz]]&lt;20000,5,10))</f>
        <v>0</v>
      </c>
      <c r="I1452" s="1">
        <f>jablka5[[#This Row],[rabat]]*jablka5[[#This Row],[sprzedaż]]/100</f>
        <v>0</v>
      </c>
    </row>
    <row r="1453" spans="1:9" x14ac:dyDescent="0.25">
      <c r="A1453" s="2">
        <v>44684</v>
      </c>
      <c r="B1453" s="1" t="s">
        <v>15</v>
      </c>
      <c r="C1453" s="1" t="s">
        <v>16</v>
      </c>
      <c r="D1453" s="1" t="s">
        <v>30</v>
      </c>
      <c r="E1453">
        <v>219</v>
      </c>
      <c r="F1453" s="1">
        <f>VLOOKUP(jablka5[[#This Row],[Nazwa]],cennik[],2,0) * jablka5[[#This Row],[sprzedaż]]</f>
        <v>525.6</v>
      </c>
      <c r="G1453" s="1">
        <f>IF(jablka5[[#This Row],[NIP]]=D1452,jablka5[[#This Row],[sprzedaż]]+G1452,jablka5[[#This Row],[sprzedaż]])</f>
        <v>5686</v>
      </c>
      <c r="H1453" s="1">
        <f>IF(jablka5[[#This Row],[dot sprz]]&lt;15000,0,IF(jablka5[[#This Row],[dot sprz]]&lt;20000,5,10))</f>
        <v>0</v>
      </c>
      <c r="I1453" s="1">
        <f>jablka5[[#This Row],[rabat]]*jablka5[[#This Row],[sprzedaż]]/100</f>
        <v>0</v>
      </c>
    </row>
    <row r="1454" spans="1:9" x14ac:dyDescent="0.25">
      <c r="A1454" s="2">
        <v>44711</v>
      </c>
      <c r="B1454" s="1" t="s">
        <v>2</v>
      </c>
      <c r="C1454" s="1" t="s">
        <v>16</v>
      </c>
      <c r="D1454" s="1" t="s">
        <v>30</v>
      </c>
      <c r="E1454">
        <v>173</v>
      </c>
      <c r="F1454" s="1">
        <f>VLOOKUP(jablka5[[#This Row],[Nazwa]],cennik[],2,0) * jablka5[[#This Row],[sprzedaż]]</f>
        <v>553.6</v>
      </c>
      <c r="G1454" s="1">
        <f>IF(jablka5[[#This Row],[NIP]]=D1453,jablka5[[#This Row],[sprzedaż]]+G1453,jablka5[[#This Row],[sprzedaż]])</f>
        <v>5859</v>
      </c>
      <c r="H1454" s="1">
        <f>IF(jablka5[[#This Row],[dot sprz]]&lt;15000,0,IF(jablka5[[#This Row],[dot sprz]]&lt;20000,5,10))</f>
        <v>0</v>
      </c>
      <c r="I1454" s="1">
        <f>jablka5[[#This Row],[rabat]]*jablka5[[#This Row],[sprzedaż]]/100</f>
        <v>0</v>
      </c>
    </row>
    <row r="1455" spans="1:9" x14ac:dyDescent="0.25">
      <c r="A1455" s="2">
        <v>44714</v>
      </c>
      <c r="B1455" s="1" t="s">
        <v>12</v>
      </c>
      <c r="C1455" s="1" t="s">
        <v>68</v>
      </c>
      <c r="D1455" s="1" t="s">
        <v>30</v>
      </c>
      <c r="E1455">
        <v>94</v>
      </c>
      <c r="F1455" s="1">
        <f>VLOOKUP(jablka5[[#This Row],[Nazwa]],cennik[],2,0) * jablka5[[#This Row],[sprzedaż]]</f>
        <v>253.8</v>
      </c>
      <c r="G1455" s="1">
        <f>IF(jablka5[[#This Row],[NIP]]=D1454,jablka5[[#This Row],[sprzedaż]]+G1454,jablka5[[#This Row],[sprzedaż]])</f>
        <v>5953</v>
      </c>
      <c r="H1455" s="1">
        <f>IF(jablka5[[#This Row],[dot sprz]]&lt;15000,0,IF(jablka5[[#This Row],[dot sprz]]&lt;20000,5,10))</f>
        <v>0</v>
      </c>
      <c r="I1455" s="1">
        <f>jablka5[[#This Row],[rabat]]*jablka5[[#This Row],[sprzedaż]]/100</f>
        <v>0</v>
      </c>
    </row>
    <row r="1456" spans="1:9" x14ac:dyDescent="0.25">
      <c r="A1456" s="2">
        <v>44716</v>
      </c>
      <c r="B1456" s="1" t="s">
        <v>12</v>
      </c>
      <c r="C1456" s="1" t="s">
        <v>68</v>
      </c>
      <c r="D1456" s="1" t="s">
        <v>30</v>
      </c>
      <c r="E1456">
        <v>86</v>
      </c>
      <c r="F1456" s="1">
        <f>VLOOKUP(jablka5[[#This Row],[Nazwa]],cennik[],2,0) * jablka5[[#This Row],[sprzedaż]]</f>
        <v>232.20000000000002</v>
      </c>
      <c r="G1456" s="1">
        <f>IF(jablka5[[#This Row],[NIP]]=D1455,jablka5[[#This Row],[sprzedaż]]+G1455,jablka5[[#This Row],[sprzedaż]])</f>
        <v>6039</v>
      </c>
      <c r="H1456" s="1">
        <f>IF(jablka5[[#This Row],[dot sprz]]&lt;15000,0,IF(jablka5[[#This Row],[dot sprz]]&lt;20000,5,10))</f>
        <v>0</v>
      </c>
      <c r="I1456" s="1">
        <f>jablka5[[#This Row],[rabat]]*jablka5[[#This Row],[sprzedaż]]/100</f>
        <v>0</v>
      </c>
    </row>
    <row r="1457" spans="1:9" x14ac:dyDescent="0.25">
      <c r="A1457" s="2">
        <v>44736</v>
      </c>
      <c r="B1457" s="1" t="s">
        <v>14</v>
      </c>
      <c r="C1457" s="1" t="s">
        <v>67</v>
      </c>
      <c r="D1457" s="1" t="s">
        <v>30</v>
      </c>
      <c r="E1457">
        <v>109</v>
      </c>
      <c r="F1457" s="1">
        <f>VLOOKUP(jablka5[[#This Row],[Nazwa]],cennik[],2,0) * jablka5[[#This Row],[sprzedaż]]</f>
        <v>381.5</v>
      </c>
      <c r="G1457" s="1">
        <f>IF(jablka5[[#This Row],[NIP]]=D1456,jablka5[[#This Row],[sprzedaż]]+G1456,jablka5[[#This Row],[sprzedaż]])</f>
        <v>6148</v>
      </c>
      <c r="H1457" s="1">
        <f>IF(jablka5[[#This Row],[dot sprz]]&lt;15000,0,IF(jablka5[[#This Row],[dot sprz]]&lt;20000,5,10))</f>
        <v>0</v>
      </c>
      <c r="I1457" s="1">
        <f>jablka5[[#This Row],[rabat]]*jablka5[[#This Row],[sprzedaż]]/100</f>
        <v>0</v>
      </c>
    </row>
    <row r="1458" spans="1:9" x14ac:dyDescent="0.25">
      <c r="A1458" s="2">
        <v>44744</v>
      </c>
      <c r="B1458" s="1" t="s">
        <v>13</v>
      </c>
      <c r="C1458" s="1" t="s">
        <v>68</v>
      </c>
      <c r="D1458" s="1" t="s">
        <v>30</v>
      </c>
      <c r="E1458">
        <v>277</v>
      </c>
      <c r="F1458" s="1">
        <f>VLOOKUP(jablka5[[#This Row],[Nazwa]],cennik[],2,0) * jablka5[[#This Row],[sprzedaż]]</f>
        <v>886.40000000000009</v>
      </c>
      <c r="G1458" s="1">
        <f>IF(jablka5[[#This Row],[NIP]]=D1457,jablka5[[#This Row],[sprzedaż]]+G1457,jablka5[[#This Row],[sprzedaż]])</f>
        <v>6425</v>
      </c>
      <c r="H1458" s="1">
        <f>IF(jablka5[[#This Row],[dot sprz]]&lt;15000,0,IF(jablka5[[#This Row],[dot sprz]]&lt;20000,5,10))</f>
        <v>0</v>
      </c>
      <c r="I1458" s="1">
        <f>jablka5[[#This Row],[rabat]]*jablka5[[#This Row],[sprzedaż]]/100</f>
        <v>0</v>
      </c>
    </row>
    <row r="1459" spans="1:9" x14ac:dyDescent="0.25">
      <c r="A1459" s="2">
        <v>44746</v>
      </c>
      <c r="B1459" s="1" t="s">
        <v>13</v>
      </c>
      <c r="C1459" s="1" t="s">
        <v>68</v>
      </c>
      <c r="D1459" s="1" t="s">
        <v>30</v>
      </c>
      <c r="E1459">
        <v>165</v>
      </c>
      <c r="F1459" s="1">
        <f>VLOOKUP(jablka5[[#This Row],[Nazwa]],cennik[],2,0) * jablka5[[#This Row],[sprzedaż]]</f>
        <v>528</v>
      </c>
      <c r="G1459" s="1">
        <f>IF(jablka5[[#This Row],[NIP]]=D1458,jablka5[[#This Row],[sprzedaż]]+G1458,jablka5[[#This Row],[sprzedaż]])</f>
        <v>6590</v>
      </c>
      <c r="H1459" s="1">
        <f>IF(jablka5[[#This Row],[dot sprz]]&lt;15000,0,IF(jablka5[[#This Row],[dot sprz]]&lt;20000,5,10))</f>
        <v>0</v>
      </c>
      <c r="I1459" s="1">
        <f>jablka5[[#This Row],[rabat]]*jablka5[[#This Row],[sprzedaż]]/100</f>
        <v>0</v>
      </c>
    </row>
    <row r="1460" spans="1:9" x14ac:dyDescent="0.25">
      <c r="A1460" s="2">
        <v>44746</v>
      </c>
      <c r="B1460" s="1" t="s">
        <v>14</v>
      </c>
      <c r="C1460" s="1" t="s">
        <v>67</v>
      </c>
      <c r="D1460" s="1" t="s">
        <v>30</v>
      </c>
      <c r="E1460">
        <v>179</v>
      </c>
      <c r="F1460" s="1">
        <f>VLOOKUP(jablka5[[#This Row],[Nazwa]],cennik[],2,0) * jablka5[[#This Row],[sprzedaż]]</f>
        <v>626.5</v>
      </c>
      <c r="G1460" s="1">
        <f>IF(jablka5[[#This Row],[NIP]]=D1459,jablka5[[#This Row],[sprzedaż]]+G1459,jablka5[[#This Row],[sprzedaż]])</f>
        <v>6769</v>
      </c>
      <c r="H1460" s="1">
        <f>IF(jablka5[[#This Row],[dot sprz]]&lt;15000,0,IF(jablka5[[#This Row],[dot sprz]]&lt;20000,5,10))</f>
        <v>0</v>
      </c>
      <c r="I1460" s="1">
        <f>jablka5[[#This Row],[rabat]]*jablka5[[#This Row],[sprzedaż]]/100</f>
        <v>0</v>
      </c>
    </row>
    <row r="1461" spans="1:9" x14ac:dyDescent="0.25">
      <c r="A1461" s="2">
        <v>44751</v>
      </c>
      <c r="B1461" s="1" t="s">
        <v>14</v>
      </c>
      <c r="C1461" s="1" t="s">
        <v>67</v>
      </c>
      <c r="D1461" s="1" t="s">
        <v>30</v>
      </c>
      <c r="E1461">
        <v>161</v>
      </c>
      <c r="F1461" s="1">
        <f>VLOOKUP(jablka5[[#This Row],[Nazwa]],cennik[],2,0) * jablka5[[#This Row],[sprzedaż]]</f>
        <v>563.5</v>
      </c>
      <c r="G1461" s="1">
        <f>IF(jablka5[[#This Row],[NIP]]=D1460,jablka5[[#This Row],[sprzedaż]]+G1460,jablka5[[#This Row],[sprzedaż]])</f>
        <v>6930</v>
      </c>
      <c r="H1461" s="1">
        <f>IF(jablka5[[#This Row],[dot sprz]]&lt;15000,0,IF(jablka5[[#This Row],[dot sprz]]&lt;20000,5,10))</f>
        <v>0</v>
      </c>
      <c r="I1461" s="1">
        <f>jablka5[[#This Row],[rabat]]*jablka5[[#This Row],[sprzedaż]]/100</f>
        <v>0</v>
      </c>
    </row>
    <row r="1462" spans="1:9" x14ac:dyDescent="0.25">
      <c r="A1462" s="2">
        <v>44754</v>
      </c>
      <c r="B1462" s="1" t="s">
        <v>12</v>
      </c>
      <c r="C1462" s="1" t="s">
        <v>68</v>
      </c>
      <c r="D1462" s="1" t="s">
        <v>30</v>
      </c>
      <c r="E1462">
        <v>343</v>
      </c>
      <c r="F1462" s="1">
        <f>VLOOKUP(jablka5[[#This Row],[Nazwa]],cennik[],2,0) * jablka5[[#This Row],[sprzedaż]]</f>
        <v>926.1</v>
      </c>
      <c r="G1462" s="1">
        <f>IF(jablka5[[#This Row],[NIP]]=D1461,jablka5[[#This Row],[sprzedaż]]+G1461,jablka5[[#This Row],[sprzedaż]])</f>
        <v>7273</v>
      </c>
      <c r="H1462" s="1">
        <f>IF(jablka5[[#This Row],[dot sprz]]&lt;15000,0,IF(jablka5[[#This Row],[dot sprz]]&lt;20000,5,10))</f>
        <v>0</v>
      </c>
      <c r="I1462" s="1">
        <f>jablka5[[#This Row],[rabat]]*jablka5[[#This Row],[sprzedaż]]/100</f>
        <v>0</v>
      </c>
    </row>
    <row r="1463" spans="1:9" x14ac:dyDescent="0.25">
      <c r="A1463" s="2">
        <v>44757</v>
      </c>
      <c r="B1463" s="1" t="s">
        <v>12</v>
      </c>
      <c r="C1463" s="1" t="s">
        <v>68</v>
      </c>
      <c r="D1463" s="1" t="s">
        <v>30</v>
      </c>
      <c r="E1463">
        <v>230</v>
      </c>
      <c r="F1463" s="1">
        <f>VLOOKUP(jablka5[[#This Row],[Nazwa]],cennik[],2,0) * jablka5[[#This Row],[sprzedaż]]</f>
        <v>621</v>
      </c>
      <c r="G1463" s="1">
        <f>IF(jablka5[[#This Row],[NIP]]=D1462,jablka5[[#This Row],[sprzedaż]]+G1462,jablka5[[#This Row],[sprzedaż]])</f>
        <v>7503</v>
      </c>
      <c r="H1463" s="1">
        <f>IF(jablka5[[#This Row],[dot sprz]]&lt;15000,0,IF(jablka5[[#This Row],[dot sprz]]&lt;20000,5,10))</f>
        <v>0</v>
      </c>
      <c r="I1463" s="1">
        <f>jablka5[[#This Row],[rabat]]*jablka5[[#This Row],[sprzedaż]]/100</f>
        <v>0</v>
      </c>
    </row>
    <row r="1464" spans="1:9" x14ac:dyDescent="0.25">
      <c r="A1464" s="2">
        <v>44761</v>
      </c>
      <c r="B1464" s="1" t="s">
        <v>13</v>
      </c>
      <c r="C1464" s="1" t="s">
        <v>68</v>
      </c>
      <c r="D1464" s="1" t="s">
        <v>30</v>
      </c>
      <c r="E1464">
        <v>485</v>
      </c>
      <c r="F1464" s="1">
        <f>VLOOKUP(jablka5[[#This Row],[Nazwa]],cennik[],2,0) * jablka5[[#This Row],[sprzedaż]]</f>
        <v>1552</v>
      </c>
      <c r="G1464" s="1">
        <f>IF(jablka5[[#This Row],[NIP]]=D1463,jablka5[[#This Row],[sprzedaż]]+G1463,jablka5[[#This Row],[sprzedaż]])</f>
        <v>7988</v>
      </c>
      <c r="H1464" s="1">
        <f>IF(jablka5[[#This Row],[dot sprz]]&lt;15000,0,IF(jablka5[[#This Row],[dot sprz]]&lt;20000,5,10))</f>
        <v>0</v>
      </c>
      <c r="I1464" s="1">
        <f>jablka5[[#This Row],[rabat]]*jablka5[[#This Row],[sprzedaż]]/100</f>
        <v>0</v>
      </c>
    </row>
    <row r="1465" spans="1:9" x14ac:dyDescent="0.25">
      <c r="A1465" s="2">
        <v>44768</v>
      </c>
      <c r="B1465" s="1" t="s">
        <v>13</v>
      </c>
      <c r="C1465" s="1" t="s">
        <v>68</v>
      </c>
      <c r="D1465" s="1" t="s">
        <v>30</v>
      </c>
      <c r="E1465">
        <v>243</v>
      </c>
      <c r="F1465" s="1">
        <f>VLOOKUP(jablka5[[#This Row],[Nazwa]],cennik[],2,0) * jablka5[[#This Row],[sprzedaż]]</f>
        <v>777.6</v>
      </c>
      <c r="G1465" s="1">
        <f>IF(jablka5[[#This Row],[NIP]]=D1464,jablka5[[#This Row],[sprzedaż]]+G1464,jablka5[[#This Row],[sprzedaż]])</f>
        <v>8231</v>
      </c>
      <c r="H1465" s="1">
        <f>IF(jablka5[[#This Row],[dot sprz]]&lt;15000,0,IF(jablka5[[#This Row],[dot sprz]]&lt;20000,5,10))</f>
        <v>0</v>
      </c>
      <c r="I1465" s="1">
        <f>jablka5[[#This Row],[rabat]]*jablka5[[#This Row],[sprzedaż]]/100</f>
        <v>0</v>
      </c>
    </row>
    <row r="1466" spans="1:9" x14ac:dyDescent="0.25">
      <c r="A1466" s="2">
        <v>44775</v>
      </c>
      <c r="B1466" s="1" t="s">
        <v>12</v>
      </c>
      <c r="C1466" s="1" t="s">
        <v>68</v>
      </c>
      <c r="D1466" s="1" t="s">
        <v>30</v>
      </c>
      <c r="E1466">
        <v>398</v>
      </c>
      <c r="F1466" s="1">
        <f>VLOOKUP(jablka5[[#This Row],[Nazwa]],cennik[],2,0) * jablka5[[#This Row],[sprzedaż]]</f>
        <v>1074.6000000000001</v>
      </c>
      <c r="G1466" s="1">
        <f>IF(jablka5[[#This Row],[NIP]]=D1465,jablka5[[#This Row],[sprzedaż]]+G1465,jablka5[[#This Row],[sprzedaż]])</f>
        <v>8629</v>
      </c>
      <c r="H1466" s="1">
        <f>IF(jablka5[[#This Row],[dot sprz]]&lt;15000,0,IF(jablka5[[#This Row],[dot sprz]]&lt;20000,5,10))</f>
        <v>0</v>
      </c>
      <c r="I1466" s="1">
        <f>jablka5[[#This Row],[rabat]]*jablka5[[#This Row],[sprzedaż]]/100</f>
        <v>0</v>
      </c>
    </row>
    <row r="1467" spans="1:9" x14ac:dyDescent="0.25">
      <c r="A1467" s="2">
        <v>44779</v>
      </c>
      <c r="B1467" s="1" t="s">
        <v>13</v>
      </c>
      <c r="C1467" s="1" t="s">
        <v>68</v>
      </c>
      <c r="D1467" s="1" t="s">
        <v>30</v>
      </c>
      <c r="E1467">
        <v>489</v>
      </c>
      <c r="F1467" s="1">
        <f>VLOOKUP(jablka5[[#This Row],[Nazwa]],cennik[],2,0) * jablka5[[#This Row],[sprzedaż]]</f>
        <v>1564.8000000000002</v>
      </c>
      <c r="G1467" s="1">
        <f>IF(jablka5[[#This Row],[NIP]]=D1466,jablka5[[#This Row],[sprzedaż]]+G1466,jablka5[[#This Row],[sprzedaż]])</f>
        <v>9118</v>
      </c>
      <c r="H1467" s="1">
        <f>IF(jablka5[[#This Row],[dot sprz]]&lt;15000,0,IF(jablka5[[#This Row],[dot sprz]]&lt;20000,5,10))</f>
        <v>0</v>
      </c>
      <c r="I1467" s="1">
        <f>jablka5[[#This Row],[rabat]]*jablka5[[#This Row],[sprzedaż]]/100</f>
        <v>0</v>
      </c>
    </row>
    <row r="1468" spans="1:9" x14ac:dyDescent="0.25">
      <c r="A1468" s="2">
        <v>44793</v>
      </c>
      <c r="B1468" s="1" t="s">
        <v>14</v>
      </c>
      <c r="C1468" s="1" t="s">
        <v>67</v>
      </c>
      <c r="D1468" s="1" t="s">
        <v>30</v>
      </c>
      <c r="E1468">
        <v>147</v>
      </c>
      <c r="F1468" s="1">
        <f>VLOOKUP(jablka5[[#This Row],[Nazwa]],cennik[],2,0) * jablka5[[#This Row],[sprzedaż]]</f>
        <v>514.5</v>
      </c>
      <c r="G1468" s="1">
        <f>IF(jablka5[[#This Row],[NIP]]=D1467,jablka5[[#This Row],[sprzedaż]]+G1467,jablka5[[#This Row],[sprzedaż]])</f>
        <v>9265</v>
      </c>
      <c r="H1468" s="1">
        <f>IF(jablka5[[#This Row],[dot sprz]]&lt;15000,0,IF(jablka5[[#This Row],[dot sprz]]&lt;20000,5,10))</f>
        <v>0</v>
      </c>
      <c r="I1468" s="1">
        <f>jablka5[[#This Row],[rabat]]*jablka5[[#This Row],[sprzedaż]]/100</f>
        <v>0</v>
      </c>
    </row>
    <row r="1469" spans="1:9" x14ac:dyDescent="0.25">
      <c r="A1469" s="2">
        <v>44802</v>
      </c>
      <c r="B1469" s="1" t="s">
        <v>12</v>
      </c>
      <c r="C1469" s="1" t="s">
        <v>68</v>
      </c>
      <c r="D1469" s="1" t="s">
        <v>30</v>
      </c>
      <c r="E1469">
        <v>62</v>
      </c>
      <c r="F1469" s="1">
        <f>VLOOKUP(jablka5[[#This Row],[Nazwa]],cennik[],2,0) * jablka5[[#This Row],[sprzedaż]]</f>
        <v>167.4</v>
      </c>
      <c r="G1469" s="1">
        <f>IF(jablka5[[#This Row],[NIP]]=D1468,jablka5[[#This Row],[sprzedaż]]+G1468,jablka5[[#This Row],[sprzedaż]])</f>
        <v>9327</v>
      </c>
      <c r="H1469" s="1">
        <f>IF(jablka5[[#This Row],[dot sprz]]&lt;15000,0,IF(jablka5[[#This Row],[dot sprz]]&lt;20000,5,10))</f>
        <v>0</v>
      </c>
      <c r="I1469" s="1">
        <f>jablka5[[#This Row],[rabat]]*jablka5[[#This Row],[sprzedaż]]/100</f>
        <v>0</v>
      </c>
    </row>
    <row r="1470" spans="1:9" x14ac:dyDescent="0.25">
      <c r="A1470" s="2">
        <v>44803</v>
      </c>
      <c r="B1470" s="1" t="s">
        <v>14</v>
      </c>
      <c r="C1470" s="1" t="s">
        <v>67</v>
      </c>
      <c r="D1470" s="1" t="s">
        <v>30</v>
      </c>
      <c r="E1470">
        <v>146</v>
      </c>
      <c r="F1470" s="1">
        <f>VLOOKUP(jablka5[[#This Row],[Nazwa]],cennik[],2,0) * jablka5[[#This Row],[sprzedaż]]</f>
        <v>511</v>
      </c>
      <c r="G1470" s="1">
        <f>IF(jablka5[[#This Row],[NIP]]=D1469,jablka5[[#This Row],[sprzedaż]]+G1469,jablka5[[#This Row],[sprzedaż]])</f>
        <v>9473</v>
      </c>
      <c r="H1470" s="1">
        <f>IF(jablka5[[#This Row],[dot sprz]]&lt;15000,0,IF(jablka5[[#This Row],[dot sprz]]&lt;20000,5,10))</f>
        <v>0</v>
      </c>
      <c r="I1470" s="1">
        <f>jablka5[[#This Row],[rabat]]*jablka5[[#This Row],[sprzedaż]]/100</f>
        <v>0</v>
      </c>
    </row>
    <row r="1471" spans="1:9" x14ac:dyDescent="0.25">
      <c r="A1471" s="2">
        <v>44807</v>
      </c>
      <c r="B1471" s="1" t="s">
        <v>9</v>
      </c>
      <c r="C1471" s="1" t="s">
        <v>67</v>
      </c>
      <c r="D1471" s="1" t="s">
        <v>30</v>
      </c>
      <c r="E1471">
        <v>366</v>
      </c>
      <c r="F1471" s="1">
        <f>VLOOKUP(jablka5[[#This Row],[Nazwa]],cennik[],2,0) * jablka5[[#This Row],[sprzedaż]]</f>
        <v>915</v>
      </c>
      <c r="G1471" s="1">
        <f>IF(jablka5[[#This Row],[NIP]]=D1470,jablka5[[#This Row],[sprzedaż]]+G1470,jablka5[[#This Row],[sprzedaż]])</f>
        <v>9839</v>
      </c>
      <c r="H1471" s="1">
        <f>IF(jablka5[[#This Row],[dot sprz]]&lt;15000,0,IF(jablka5[[#This Row],[dot sprz]]&lt;20000,5,10))</f>
        <v>0</v>
      </c>
      <c r="I1471" s="1">
        <f>jablka5[[#This Row],[rabat]]*jablka5[[#This Row],[sprzedaż]]/100</f>
        <v>0</v>
      </c>
    </row>
    <row r="1472" spans="1:9" x14ac:dyDescent="0.25">
      <c r="A1472" s="2">
        <v>44834</v>
      </c>
      <c r="B1472" s="1" t="s">
        <v>14</v>
      </c>
      <c r="C1472" s="1" t="s">
        <v>67</v>
      </c>
      <c r="D1472" s="1" t="s">
        <v>30</v>
      </c>
      <c r="E1472">
        <v>253</v>
      </c>
      <c r="F1472" s="1">
        <f>VLOOKUP(jablka5[[#This Row],[Nazwa]],cennik[],2,0) * jablka5[[#This Row],[sprzedaż]]</f>
        <v>885.5</v>
      </c>
      <c r="G1472" s="1">
        <f>IF(jablka5[[#This Row],[NIP]]=D1471,jablka5[[#This Row],[sprzedaż]]+G1471,jablka5[[#This Row],[sprzedaż]])</f>
        <v>10092</v>
      </c>
      <c r="H1472" s="1">
        <f>IF(jablka5[[#This Row],[dot sprz]]&lt;15000,0,IF(jablka5[[#This Row],[dot sprz]]&lt;20000,5,10))</f>
        <v>0</v>
      </c>
      <c r="I1472" s="1">
        <f>jablka5[[#This Row],[rabat]]*jablka5[[#This Row],[sprzedaż]]/100</f>
        <v>0</v>
      </c>
    </row>
    <row r="1473" spans="1:9" x14ac:dyDescent="0.25">
      <c r="A1473" s="2">
        <v>44839</v>
      </c>
      <c r="B1473" s="1" t="s">
        <v>3</v>
      </c>
      <c r="C1473" s="1" t="s">
        <v>67</v>
      </c>
      <c r="D1473" s="1" t="s">
        <v>30</v>
      </c>
      <c r="E1473">
        <v>107</v>
      </c>
      <c r="F1473" s="1">
        <f>VLOOKUP(jablka5[[#This Row],[Nazwa]],cennik[],2,0) * jablka5[[#This Row],[sprzedaż]]</f>
        <v>342.40000000000003</v>
      </c>
      <c r="G1473" s="1">
        <f>IF(jablka5[[#This Row],[NIP]]=D1472,jablka5[[#This Row],[sprzedaż]]+G1472,jablka5[[#This Row],[sprzedaż]])</f>
        <v>10199</v>
      </c>
      <c r="H1473" s="1">
        <f>IF(jablka5[[#This Row],[dot sprz]]&lt;15000,0,IF(jablka5[[#This Row],[dot sprz]]&lt;20000,5,10))</f>
        <v>0</v>
      </c>
      <c r="I1473" s="1">
        <f>jablka5[[#This Row],[rabat]]*jablka5[[#This Row],[sprzedaż]]/100</f>
        <v>0</v>
      </c>
    </row>
    <row r="1474" spans="1:9" x14ac:dyDescent="0.25">
      <c r="A1474" s="2">
        <v>44846</v>
      </c>
      <c r="B1474" s="1" t="s">
        <v>11</v>
      </c>
      <c r="C1474" s="1" t="s">
        <v>67</v>
      </c>
      <c r="D1474" s="1" t="s">
        <v>30</v>
      </c>
      <c r="E1474">
        <v>425</v>
      </c>
      <c r="F1474" s="1">
        <f>VLOOKUP(jablka5[[#This Row],[Nazwa]],cennik[],2,0) * jablka5[[#This Row],[sprzedaż]]</f>
        <v>1062.5</v>
      </c>
      <c r="G1474" s="1">
        <f>IF(jablka5[[#This Row],[NIP]]=D1473,jablka5[[#This Row],[sprzedaż]]+G1473,jablka5[[#This Row],[sprzedaż]])</f>
        <v>10624</v>
      </c>
      <c r="H1474" s="1">
        <f>IF(jablka5[[#This Row],[dot sprz]]&lt;15000,0,IF(jablka5[[#This Row],[dot sprz]]&lt;20000,5,10))</f>
        <v>0</v>
      </c>
      <c r="I1474" s="1">
        <f>jablka5[[#This Row],[rabat]]*jablka5[[#This Row],[sprzedaż]]/100</f>
        <v>0</v>
      </c>
    </row>
    <row r="1475" spans="1:9" x14ac:dyDescent="0.25">
      <c r="A1475" s="2">
        <v>44851</v>
      </c>
      <c r="B1475" s="1" t="s">
        <v>11</v>
      </c>
      <c r="C1475" s="1" t="s">
        <v>67</v>
      </c>
      <c r="D1475" s="1" t="s">
        <v>30</v>
      </c>
      <c r="E1475">
        <v>364</v>
      </c>
      <c r="F1475" s="1">
        <f>VLOOKUP(jablka5[[#This Row],[Nazwa]],cennik[],2,0) * jablka5[[#This Row],[sprzedaż]]</f>
        <v>910</v>
      </c>
      <c r="G1475" s="1">
        <f>IF(jablka5[[#This Row],[NIP]]=D1474,jablka5[[#This Row],[sprzedaż]]+G1474,jablka5[[#This Row],[sprzedaż]])</f>
        <v>10988</v>
      </c>
      <c r="H1475" s="1">
        <f>IF(jablka5[[#This Row],[dot sprz]]&lt;15000,0,IF(jablka5[[#This Row],[dot sprz]]&lt;20000,5,10))</f>
        <v>0</v>
      </c>
      <c r="I1475" s="1">
        <f>jablka5[[#This Row],[rabat]]*jablka5[[#This Row],[sprzedaż]]/100</f>
        <v>0</v>
      </c>
    </row>
    <row r="1476" spans="1:9" x14ac:dyDescent="0.25">
      <c r="A1476" s="2">
        <v>44858</v>
      </c>
      <c r="B1476" s="1" t="s">
        <v>14</v>
      </c>
      <c r="C1476" s="1" t="s">
        <v>67</v>
      </c>
      <c r="D1476" s="1" t="s">
        <v>30</v>
      </c>
      <c r="E1476">
        <v>167</v>
      </c>
      <c r="F1476" s="1">
        <f>VLOOKUP(jablka5[[#This Row],[Nazwa]],cennik[],2,0) * jablka5[[#This Row],[sprzedaż]]</f>
        <v>584.5</v>
      </c>
      <c r="G1476" s="1">
        <f>IF(jablka5[[#This Row],[NIP]]=D1475,jablka5[[#This Row],[sprzedaż]]+G1475,jablka5[[#This Row],[sprzedaż]])</f>
        <v>11155</v>
      </c>
      <c r="H1476" s="1">
        <f>IF(jablka5[[#This Row],[dot sprz]]&lt;15000,0,IF(jablka5[[#This Row],[dot sprz]]&lt;20000,5,10))</f>
        <v>0</v>
      </c>
      <c r="I1476" s="1">
        <f>jablka5[[#This Row],[rabat]]*jablka5[[#This Row],[sprzedaż]]/100</f>
        <v>0</v>
      </c>
    </row>
    <row r="1477" spans="1:9" x14ac:dyDescent="0.25">
      <c r="A1477" s="2">
        <v>44861</v>
      </c>
      <c r="B1477" s="1" t="s">
        <v>9</v>
      </c>
      <c r="C1477" s="1" t="s">
        <v>67</v>
      </c>
      <c r="D1477" s="1" t="s">
        <v>30</v>
      </c>
      <c r="E1477">
        <v>92</v>
      </c>
      <c r="F1477" s="1">
        <f>VLOOKUP(jablka5[[#This Row],[Nazwa]],cennik[],2,0) * jablka5[[#This Row],[sprzedaż]]</f>
        <v>230</v>
      </c>
      <c r="G1477" s="1">
        <f>IF(jablka5[[#This Row],[NIP]]=D1476,jablka5[[#This Row],[sprzedaż]]+G1476,jablka5[[#This Row],[sprzedaż]])</f>
        <v>11247</v>
      </c>
      <c r="H1477" s="1">
        <f>IF(jablka5[[#This Row],[dot sprz]]&lt;15000,0,IF(jablka5[[#This Row],[dot sprz]]&lt;20000,5,10))</f>
        <v>0</v>
      </c>
      <c r="I1477" s="1">
        <f>jablka5[[#This Row],[rabat]]*jablka5[[#This Row],[sprzedaż]]/100</f>
        <v>0</v>
      </c>
    </row>
    <row r="1478" spans="1:9" x14ac:dyDescent="0.25">
      <c r="A1478" s="2">
        <v>44874</v>
      </c>
      <c r="B1478" s="1" t="s">
        <v>14</v>
      </c>
      <c r="C1478" s="1" t="s">
        <v>67</v>
      </c>
      <c r="D1478" s="1" t="s">
        <v>30</v>
      </c>
      <c r="E1478">
        <v>94</v>
      </c>
      <c r="F1478" s="1">
        <f>VLOOKUP(jablka5[[#This Row],[Nazwa]],cennik[],2,0) * jablka5[[#This Row],[sprzedaż]]</f>
        <v>329</v>
      </c>
      <c r="G1478" s="1">
        <f>IF(jablka5[[#This Row],[NIP]]=D1477,jablka5[[#This Row],[sprzedaż]]+G1477,jablka5[[#This Row],[sprzedaż]])</f>
        <v>11341</v>
      </c>
      <c r="H1478" s="1">
        <f>IF(jablka5[[#This Row],[dot sprz]]&lt;15000,0,IF(jablka5[[#This Row],[dot sprz]]&lt;20000,5,10))</f>
        <v>0</v>
      </c>
      <c r="I1478" s="1">
        <f>jablka5[[#This Row],[rabat]]*jablka5[[#This Row],[sprzedaż]]/100</f>
        <v>0</v>
      </c>
    </row>
    <row r="1479" spans="1:9" x14ac:dyDescent="0.25">
      <c r="A1479" s="2">
        <v>44879</v>
      </c>
      <c r="B1479" s="1" t="s">
        <v>3</v>
      </c>
      <c r="C1479" s="1" t="s">
        <v>67</v>
      </c>
      <c r="D1479" s="1" t="s">
        <v>30</v>
      </c>
      <c r="E1479">
        <v>401</v>
      </c>
      <c r="F1479" s="1">
        <f>VLOOKUP(jablka5[[#This Row],[Nazwa]],cennik[],2,0) * jablka5[[#This Row],[sprzedaż]]</f>
        <v>1283.2</v>
      </c>
      <c r="G1479" s="1">
        <f>IF(jablka5[[#This Row],[NIP]]=D1478,jablka5[[#This Row],[sprzedaż]]+G1478,jablka5[[#This Row],[sprzedaż]])</f>
        <v>11742</v>
      </c>
      <c r="H1479" s="1">
        <f>IF(jablka5[[#This Row],[dot sprz]]&lt;15000,0,IF(jablka5[[#This Row],[dot sprz]]&lt;20000,5,10))</f>
        <v>0</v>
      </c>
      <c r="I1479" s="1">
        <f>jablka5[[#This Row],[rabat]]*jablka5[[#This Row],[sprzedaż]]/100</f>
        <v>0</v>
      </c>
    </row>
    <row r="1480" spans="1:9" x14ac:dyDescent="0.25">
      <c r="A1480" s="2">
        <v>44890</v>
      </c>
      <c r="B1480" s="1" t="s">
        <v>3</v>
      </c>
      <c r="C1480" s="1" t="s">
        <v>67</v>
      </c>
      <c r="D1480" s="1" t="s">
        <v>30</v>
      </c>
      <c r="E1480">
        <v>258</v>
      </c>
      <c r="F1480" s="1">
        <f>VLOOKUP(jablka5[[#This Row],[Nazwa]],cennik[],2,0) * jablka5[[#This Row],[sprzedaż]]</f>
        <v>825.6</v>
      </c>
      <c r="G1480" s="1">
        <f>IF(jablka5[[#This Row],[NIP]]=D1479,jablka5[[#This Row],[sprzedaż]]+G1479,jablka5[[#This Row],[sprzedaż]])</f>
        <v>12000</v>
      </c>
      <c r="H1480" s="1">
        <f>IF(jablka5[[#This Row],[dot sprz]]&lt;15000,0,IF(jablka5[[#This Row],[dot sprz]]&lt;20000,5,10))</f>
        <v>0</v>
      </c>
      <c r="I1480" s="1">
        <f>jablka5[[#This Row],[rabat]]*jablka5[[#This Row],[sprzedaż]]/100</f>
        <v>0</v>
      </c>
    </row>
    <row r="1481" spans="1:9" x14ac:dyDescent="0.25">
      <c r="A1481" s="2">
        <v>44893</v>
      </c>
      <c r="B1481" s="1" t="s">
        <v>3</v>
      </c>
      <c r="C1481" s="1" t="s">
        <v>67</v>
      </c>
      <c r="D1481" s="1" t="s">
        <v>30</v>
      </c>
      <c r="E1481">
        <v>86</v>
      </c>
      <c r="F1481" s="1">
        <f>VLOOKUP(jablka5[[#This Row],[Nazwa]],cennik[],2,0) * jablka5[[#This Row],[sprzedaż]]</f>
        <v>275.2</v>
      </c>
      <c r="G1481" s="1">
        <f>IF(jablka5[[#This Row],[NIP]]=D1480,jablka5[[#This Row],[sprzedaż]]+G1480,jablka5[[#This Row],[sprzedaż]])</f>
        <v>12086</v>
      </c>
      <c r="H1481" s="1">
        <f>IF(jablka5[[#This Row],[dot sprz]]&lt;15000,0,IF(jablka5[[#This Row],[dot sprz]]&lt;20000,5,10))</f>
        <v>0</v>
      </c>
      <c r="I1481" s="1">
        <f>jablka5[[#This Row],[rabat]]*jablka5[[#This Row],[sprzedaż]]/100</f>
        <v>0</v>
      </c>
    </row>
    <row r="1482" spans="1:9" x14ac:dyDescent="0.25">
      <c r="A1482" s="2">
        <v>44897</v>
      </c>
      <c r="B1482" s="1" t="s">
        <v>5</v>
      </c>
      <c r="C1482" s="1" t="s">
        <v>16</v>
      </c>
      <c r="D1482" s="1" t="s">
        <v>30</v>
      </c>
      <c r="E1482">
        <v>90</v>
      </c>
      <c r="F1482" s="1">
        <f>VLOOKUP(jablka5[[#This Row],[Nazwa]],cennik[],2,0) * jablka5[[#This Row],[sprzedaż]]</f>
        <v>306</v>
      </c>
      <c r="G1482" s="1">
        <f>IF(jablka5[[#This Row],[NIP]]=D1481,jablka5[[#This Row],[sprzedaż]]+G1481,jablka5[[#This Row],[sprzedaż]])</f>
        <v>12176</v>
      </c>
      <c r="H1482" s="1">
        <f>IF(jablka5[[#This Row],[dot sprz]]&lt;15000,0,IF(jablka5[[#This Row],[dot sprz]]&lt;20000,5,10))</f>
        <v>0</v>
      </c>
      <c r="I1482" s="1">
        <f>jablka5[[#This Row],[rabat]]*jablka5[[#This Row],[sprzedaż]]/100</f>
        <v>0</v>
      </c>
    </row>
    <row r="1483" spans="1:9" x14ac:dyDescent="0.25">
      <c r="A1483" s="2">
        <v>44900</v>
      </c>
      <c r="B1483" s="1" t="s">
        <v>10</v>
      </c>
      <c r="C1483" s="1" t="s">
        <v>16</v>
      </c>
      <c r="D1483" s="1" t="s">
        <v>30</v>
      </c>
      <c r="E1483">
        <v>394</v>
      </c>
      <c r="F1483" s="1">
        <f>VLOOKUP(jablka5[[#This Row],[Nazwa]],cennik[],2,0) * jablka5[[#This Row],[sprzedaż]]</f>
        <v>1339.6</v>
      </c>
      <c r="G1483" s="1">
        <f>IF(jablka5[[#This Row],[NIP]]=D1482,jablka5[[#This Row],[sprzedaż]]+G1482,jablka5[[#This Row],[sprzedaż]])</f>
        <v>12570</v>
      </c>
      <c r="H1483" s="1">
        <f>IF(jablka5[[#This Row],[dot sprz]]&lt;15000,0,IF(jablka5[[#This Row],[dot sprz]]&lt;20000,5,10))</f>
        <v>0</v>
      </c>
      <c r="I1483" s="1">
        <f>jablka5[[#This Row],[rabat]]*jablka5[[#This Row],[sprzedaż]]/100</f>
        <v>0</v>
      </c>
    </row>
    <row r="1484" spans="1:9" x14ac:dyDescent="0.25">
      <c r="A1484" s="2">
        <v>44902</v>
      </c>
      <c r="B1484" s="1" t="s">
        <v>5</v>
      </c>
      <c r="C1484" s="1" t="s">
        <v>16</v>
      </c>
      <c r="D1484" s="1" t="s">
        <v>30</v>
      </c>
      <c r="E1484">
        <v>281</v>
      </c>
      <c r="F1484" s="1">
        <f>VLOOKUP(jablka5[[#This Row],[Nazwa]],cennik[],2,0) * jablka5[[#This Row],[sprzedaż]]</f>
        <v>955.4</v>
      </c>
      <c r="G1484" s="1">
        <f>IF(jablka5[[#This Row],[NIP]]=D1483,jablka5[[#This Row],[sprzedaż]]+G1483,jablka5[[#This Row],[sprzedaż]])</f>
        <v>12851</v>
      </c>
      <c r="H1484" s="1">
        <f>IF(jablka5[[#This Row],[dot sprz]]&lt;15000,0,IF(jablka5[[#This Row],[dot sprz]]&lt;20000,5,10))</f>
        <v>0</v>
      </c>
      <c r="I1484" s="1">
        <f>jablka5[[#This Row],[rabat]]*jablka5[[#This Row],[sprzedaż]]/100</f>
        <v>0</v>
      </c>
    </row>
    <row r="1485" spans="1:9" x14ac:dyDescent="0.25">
      <c r="A1485" s="2">
        <v>44904</v>
      </c>
      <c r="B1485" s="1" t="s">
        <v>5</v>
      </c>
      <c r="C1485" s="1" t="s">
        <v>16</v>
      </c>
      <c r="D1485" s="1" t="s">
        <v>30</v>
      </c>
      <c r="E1485">
        <v>65</v>
      </c>
      <c r="F1485" s="1">
        <f>VLOOKUP(jablka5[[#This Row],[Nazwa]],cennik[],2,0) * jablka5[[#This Row],[sprzedaż]]</f>
        <v>221</v>
      </c>
      <c r="G1485" s="1">
        <f>IF(jablka5[[#This Row],[NIP]]=D1484,jablka5[[#This Row],[sprzedaż]]+G1484,jablka5[[#This Row],[sprzedaż]])</f>
        <v>12916</v>
      </c>
      <c r="H1485" s="1">
        <f>IF(jablka5[[#This Row],[dot sprz]]&lt;15000,0,IF(jablka5[[#This Row],[dot sprz]]&lt;20000,5,10))</f>
        <v>0</v>
      </c>
      <c r="I1485" s="1">
        <f>jablka5[[#This Row],[rabat]]*jablka5[[#This Row],[sprzedaż]]/100</f>
        <v>0</v>
      </c>
    </row>
    <row r="1486" spans="1:9" x14ac:dyDescent="0.25">
      <c r="A1486" s="2">
        <v>44908</v>
      </c>
      <c r="B1486" s="1" t="s">
        <v>4</v>
      </c>
      <c r="C1486" s="1" t="s">
        <v>16</v>
      </c>
      <c r="D1486" s="1" t="s">
        <v>30</v>
      </c>
      <c r="E1486">
        <v>567</v>
      </c>
      <c r="F1486" s="1">
        <f>VLOOKUP(jablka5[[#This Row],[Nazwa]],cennik[],2,0) * jablka5[[#This Row],[sprzedaż]]</f>
        <v>1927.8</v>
      </c>
      <c r="G1486" s="1">
        <f>IF(jablka5[[#This Row],[NIP]]=D1485,jablka5[[#This Row],[sprzedaż]]+G1485,jablka5[[#This Row],[sprzedaż]])</f>
        <v>13483</v>
      </c>
      <c r="H1486" s="1">
        <f>IF(jablka5[[#This Row],[dot sprz]]&lt;15000,0,IF(jablka5[[#This Row],[dot sprz]]&lt;20000,5,10))</f>
        <v>0</v>
      </c>
      <c r="I1486" s="1">
        <f>jablka5[[#This Row],[rabat]]*jablka5[[#This Row],[sprzedaż]]/100</f>
        <v>0</v>
      </c>
    </row>
    <row r="1487" spans="1:9" x14ac:dyDescent="0.25">
      <c r="A1487" s="2">
        <v>44912</v>
      </c>
      <c r="B1487" s="1" t="s">
        <v>0</v>
      </c>
      <c r="C1487" s="1" t="s">
        <v>16</v>
      </c>
      <c r="D1487" s="1" t="s">
        <v>30</v>
      </c>
      <c r="E1487">
        <v>39</v>
      </c>
      <c r="F1487" s="1">
        <f>VLOOKUP(jablka5[[#This Row],[Nazwa]],cennik[],2,0) * jablka5[[#This Row],[sprzedaż]]</f>
        <v>113.1</v>
      </c>
      <c r="G1487" s="1">
        <f>IF(jablka5[[#This Row],[NIP]]=D1486,jablka5[[#This Row],[sprzedaż]]+G1486,jablka5[[#This Row],[sprzedaż]])</f>
        <v>13522</v>
      </c>
      <c r="H1487" s="1">
        <f>IF(jablka5[[#This Row],[dot sprz]]&lt;15000,0,IF(jablka5[[#This Row],[dot sprz]]&lt;20000,5,10))</f>
        <v>0</v>
      </c>
      <c r="I1487" s="1">
        <f>jablka5[[#This Row],[rabat]]*jablka5[[#This Row],[sprzedaż]]/100</f>
        <v>0</v>
      </c>
    </row>
    <row r="1488" spans="1:9" x14ac:dyDescent="0.25">
      <c r="A1488" s="2">
        <v>44921</v>
      </c>
      <c r="B1488" s="1" t="s">
        <v>2</v>
      </c>
      <c r="C1488" s="1" t="s">
        <v>16</v>
      </c>
      <c r="D1488" s="1" t="s">
        <v>30</v>
      </c>
      <c r="E1488">
        <v>131</v>
      </c>
      <c r="F1488" s="1">
        <f>VLOOKUP(jablka5[[#This Row],[Nazwa]],cennik[],2,0) * jablka5[[#This Row],[sprzedaż]]</f>
        <v>419.20000000000005</v>
      </c>
      <c r="G1488" s="1">
        <f>IF(jablka5[[#This Row],[NIP]]=D1487,jablka5[[#This Row],[sprzedaż]]+G1487,jablka5[[#This Row],[sprzedaż]])</f>
        <v>13653</v>
      </c>
      <c r="H1488" s="1">
        <f>IF(jablka5[[#This Row],[dot sprz]]&lt;15000,0,IF(jablka5[[#This Row],[dot sprz]]&lt;20000,5,10))</f>
        <v>0</v>
      </c>
      <c r="I1488" s="1">
        <f>jablka5[[#This Row],[rabat]]*jablka5[[#This Row],[sprzedaż]]/100</f>
        <v>0</v>
      </c>
    </row>
    <row r="1489" spans="1:9" x14ac:dyDescent="0.25">
      <c r="A1489" s="2">
        <v>44923</v>
      </c>
      <c r="B1489" s="1" t="s">
        <v>15</v>
      </c>
      <c r="C1489" s="1" t="s">
        <v>16</v>
      </c>
      <c r="D1489" s="1" t="s">
        <v>30</v>
      </c>
      <c r="E1489">
        <v>154</v>
      </c>
      <c r="F1489" s="1">
        <f>VLOOKUP(jablka5[[#This Row],[Nazwa]],cennik[],2,0) * jablka5[[#This Row],[sprzedaż]]</f>
        <v>369.59999999999997</v>
      </c>
      <c r="G1489" s="1">
        <f>IF(jablka5[[#This Row],[NIP]]=D1488,jablka5[[#This Row],[sprzedaż]]+G1488,jablka5[[#This Row],[sprzedaż]])</f>
        <v>13807</v>
      </c>
      <c r="H1489" s="1">
        <f>IF(jablka5[[#This Row],[dot sprz]]&lt;15000,0,IF(jablka5[[#This Row],[dot sprz]]&lt;20000,5,10))</f>
        <v>0</v>
      </c>
      <c r="I1489" s="1">
        <f>jablka5[[#This Row],[rabat]]*jablka5[[#This Row],[sprzedaż]]/100</f>
        <v>0</v>
      </c>
    </row>
    <row r="1490" spans="1:9" x14ac:dyDescent="0.25">
      <c r="A1490" s="2">
        <v>44568</v>
      </c>
      <c r="B1490" s="1" t="s">
        <v>6</v>
      </c>
      <c r="C1490" s="1" t="s">
        <v>16</v>
      </c>
      <c r="D1490" s="1" t="s">
        <v>43</v>
      </c>
      <c r="E1490">
        <v>446</v>
      </c>
      <c r="F1490" s="1">
        <f>VLOOKUP(jablka5[[#This Row],[Nazwa]],cennik[],2,0) * jablka5[[#This Row],[sprzedaż]]</f>
        <v>1516.3999999999999</v>
      </c>
      <c r="G1490" s="1">
        <f>IF(jablka5[[#This Row],[NIP]]=D1489,jablka5[[#This Row],[sprzedaż]]+G1489,jablka5[[#This Row],[sprzedaż]])</f>
        <v>446</v>
      </c>
      <c r="H1490" s="1">
        <f>IF(jablka5[[#This Row],[dot sprz]]&lt;15000,0,IF(jablka5[[#This Row],[dot sprz]]&lt;20000,5,10))</f>
        <v>0</v>
      </c>
      <c r="I1490" s="1">
        <f>jablka5[[#This Row],[rabat]]*jablka5[[#This Row],[sprzedaż]]/100</f>
        <v>0</v>
      </c>
    </row>
    <row r="1491" spans="1:9" x14ac:dyDescent="0.25">
      <c r="A1491" s="2">
        <v>44571</v>
      </c>
      <c r="B1491" s="1" t="s">
        <v>0</v>
      </c>
      <c r="C1491" s="1" t="s">
        <v>16</v>
      </c>
      <c r="D1491" s="1" t="s">
        <v>43</v>
      </c>
      <c r="E1491">
        <v>85</v>
      </c>
      <c r="F1491" s="1">
        <f>VLOOKUP(jablka5[[#This Row],[Nazwa]],cennik[],2,0) * jablka5[[#This Row],[sprzedaż]]</f>
        <v>246.5</v>
      </c>
      <c r="G1491" s="1">
        <f>IF(jablka5[[#This Row],[NIP]]=D1490,jablka5[[#This Row],[sprzedaż]]+G1490,jablka5[[#This Row],[sprzedaż]])</f>
        <v>531</v>
      </c>
      <c r="H1491" s="1">
        <f>IF(jablka5[[#This Row],[dot sprz]]&lt;15000,0,IF(jablka5[[#This Row],[dot sprz]]&lt;20000,5,10))</f>
        <v>0</v>
      </c>
      <c r="I1491" s="1">
        <f>jablka5[[#This Row],[rabat]]*jablka5[[#This Row],[sprzedaż]]/100</f>
        <v>0</v>
      </c>
    </row>
    <row r="1492" spans="1:9" x14ac:dyDescent="0.25">
      <c r="A1492" s="2">
        <v>44575</v>
      </c>
      <c r="B1492" s="1" t="s">
        <v>4</v>
      </c>
      <c r="C1492" s="1" t="s">
        <v>16</v>
      </c>
      <c r="D1492" s="1" t="s">
        <v>43</v>
      </c>
      <c r="E1492">
        <v>566</v>
      </c>
      <c r="F1492" s="1">
        <f>VLOOKUP(jablka5[[#This Row],[Nazwa]],cennik[],2,0) * jablka5[[#This Row],[sprzedaż]]</f>
        <v>1924.3999999999999</v>
      </c>
      <c r="G1492" s="1">
        <f>IF(jablka5[[#This Row],[NIP]]=D1491,jablka5[[#This Row],[sprzedaż]]+G1491,jablka5[[#This Row],[sprzedaż]])</f>
        <v>1097</v>
      </c>
      <c r="H1492" s="1">
        <f>IF(jablka5[[#This Row],[dot sprz]]&lt;15000,0,IF(jablka5[[#This Row],[dot sprz]]&lt;20000,5,10))</f>
        <v>0</v>
      </c>
      <c r="I1492" s="1">
        <f>jablka5[[#This Row],[rabat]]*jablka5[[#This Row],[sprzedaż]]/100</f>
        <v>0</v>
      </c>
    </row>
    <row r="1493" spans="1:9" x14ac:dyDescent="0.25">
      <c r="A1493" s="2">
        <v>44579</v>
      </c>
      <c r="B1493" s="1" t="s">
        <v>2</v>
      </c>
      <c r="C1493" s="1" t="s">
        <v>16</v>
      </c>
      <c r="D1493" s="1" t="s">
        <v>43</v>
      </c>
      <c r="E1493">
        <v>346</v>
      </c>
      <c r="F1493" s="1">
        <f>VLOOKUP(jablka5[[#This Row],[Nazwa]],cennik[],2,0) * jablka5[[#This Row],[sprzedaż]]</f>
        <v>1107.2</v>
      </c>
      <c r="G1493" s="1">
        <f>IF(jablka5[[#This Row],[NIP]]=D1492,jablka5[[#This Row],[sprzedaż]]+G1492,jablka5[[#This Row],[sprzedaż]])</f>
        <v>1443</v>
      </c>
      <c r="H1493" s="1">
        <f>IF(jablka5[[#This Row],[dot sprz]]&lt;15000,0,IF(jablka5[[#This Row],[dot sprz]]&lt;20000,5,10))</f>
        <v>0</v>
      </c>
      <c r="I1493" s="1">
        <f>jablka5[[#This Row],[rabat]]*jablka5[[#This Row],[sprzedaż]]/100</f>
        <v>0</v>
      </c>
    </row>
    <row r="1494" spans="1:9" x14ac:dyDescent="0.25">
      <c r="A1494" s="2">
        <v>44585</v>
      </c>
      <c r="B1494" s="1" t="s">
        <v>5</v>
      </c>
      <c r="C1494" s="1" t="s">
        <v>16</v>
      </c>
      <c r="D1494" s="1" t="s">
        <v>43</v>
      </c>
      <c r="E1494">
        <v>255</v>
      </c>
      <c r="F1494" s="1">
        <f>VLOOKUP(jablka5[[#This Row],[Nazwa]],cennik[],2,0) * jablka5[[#This Row],[sprzedaż]]</f>
        <v>867</v>
      </c>
      <c r="G1494" s="1">
        <f>IF(jablka5[[#This Row],[NIP]]=D1493,jablka5[[#This Row],[sprzedaż]]+G1493,jablka5[[#This Row],[sprzedaż]])</f>
        <v>1698</v>
      </c>
      <c r="H1494" s="1">
        <f>IF(jablka5[[#This Row],[dot sprz]]&lt;15000,0,IF(jablka5[[#This Row],[dot sprz]]&lt;20000,5,10))</f>
        <v>0</v>
      </c>
      <c r="I1494" s="1">
        <f>jablka5[[#This Row],[rabat]]*jablka5[[#This Row],[sprzedaż]]/100</f>
        <v>0</v>
      </c>
    </row>
    <row r="1495" spans="1:9" x14ac:dyDescent="0.25">
      <c r="A1495" s="2">
        <v>44593</v>
      </c>
      <c r="B1495" s="1" t="s">
        <v>10</v>
      </c>
      <c r="C1495" s="1" t="s">
        <v>16</v>
      </c>
      <c r="D1495" s="1" t="s">
        <v>43</v>
      </c>
      <c r="E1495">
        <v>129</v>
      </c>
      <c r="F1495" s="1">
        <f>VLOOKUP(jablka5[[#This Row],[Nazwa]],cennik[],2,0) * jablka5[[#This Row],[sprzedaż]]</f>
        <v>438.59999999999997</v>
      </c>
      <c r="G1495" s="1">
        <f>IF(jablka5[[#This Row],[NIP]]=D1494,jablka5[[#This Row],[sprzedaż]]+G1494,jablka5[[#This Row],[sprzedaż]])</f>
        <v>1827</v>
      </c>
      <c r="H1495" s="1">
        <f>IF(jablka5[[#This Row],[dot sprz]]&lt;15000,0,IF(jablka5[[#This Row],[dot sprz]]&lt;20000,5,10))</f>
        <v>0</v>
      </c>
      <c r="I1495" s="1">
        <f>jablka5[[#This Row],[rabat]]*jablka5[[#This Row],[sprzedaż]]/100</f>
        <v>0</v>
      </c>
    </row>
    <row r="1496" spans="1:9" x14ac:dyDescent="0.25">
      <c r="A1496" s="2">
        <v>44606</v>
      </c>
      <c r="B1496" s="1" t="s">
        <v>2</v>
      </c>
      <c r="C1496" s="1" t="s">
        <v>16</v>
      </c>
      <c r="D1496" s="1" t="s">
        <v>43</v>
      </c>
      <c r="E1496">
        <v>465</v>
      </c>
      <c r="F1496" s="1">
        <f>VLOOKUP(jablka5[[#This Row],[Nazwa]],cennik[],2,0) * jablka5[[#This Row],[sprzedaż]]</f>
        <v>1488</v>
      </c>
      <c r="G1496" s="1">
        <f>IF(jablka5[[#This Row],[NIP]]=D1495,jablka5[[#This Row],[sprzedaż]]+G1495,jablka5[[#This Row],[sprzedaż]])</f>
        <v>2292</v>
      </c>
      <c r="H1496" s="1">
        <f>IF(jablka5[[#This Row],[dot sprz]]&lt;15000,0,IF(jablka5[[#This Row],[dot sprz]]&lt;20000,5,10))</f>
        <v>0</v>
      </c>
      <c r="I1496" s="1">
        <f>jablka5[[#This Row],[rabat]]*jablka5[[#This Row],[sprzedaż]]/100</f>
        <v>0</v>
      </c>
    </row>
    <row r="1497" spans="1:9" x14ac:dyDescent="0.25">
      <c r="A1497" s="2">
        <v>44608</v>
      </c>
      <c r="B1497" s="1" t="s">
        <v>15</v>
      </c>
      <c r="C1497" s="1" t="s">
        <v>16</v>
      </c>
      <c r="D1497" s="1" t="s">
        <v>43</v>
      </c>
      <c r="E1497">
        <v>542</v>
      </c>
      <c r="F1497" s="1">
        <f>VLOOKUP(jablka5[[#This Row],[Nazwa]],cennik[],2,0) * jablka5[[#This Row],[sprzedaż]]</f>
        <v>1300.8</v>
      </c>
      <c r="G1497" s="1">
        <f>IF(jablka5[[#This Row],[NIP]]=D1496,jablka5[[#This Row],[sprzedaż]]+G1496,jablka5[[#This Row],[sprzedaż]])</f>
        <v>2834</v>
      </c>
      <c r="H1497" s="1">
        <f>IF(jablka5[[#This Row],[dot sprz]]&lt;15000,0,IF(jablka5[[#This Row],[dot sprz]]&lt;20000,5,10))</f>
        <v>0</v>
      </c>
      <c r="I1497" s="1">
        <f>jablka5[[#This Row],[rabat]]*jablka5[[#This Row],[sprzedaż]]/100</f>
        <v>0</v>
      </c>
    </row>
    <row r="1498" spans="1:9" x14ac:dyDescent="0.25">
      <c r="A1498" s="2">
        <v>44620</v>
      </c>
      <c r="B1498" s="1" t="s">
        <v>2</v>
      </c>
      <c r="C1498" s="1" t="s">
        <v>16</v>
      </c>
      <c r="D1498" s="1" t="s">
        <v>43</v>
      </c>
      <c r="E1498">
        <v>65</v>
      </c>
      <c r="F1498" s="1">
        <f>VLOOKUP(jablka5[[#This Row],[Nazwa]],cennik[],2,0) * jablka5[[#This Row],[sprzedaż]]</f>
        <v>208</v>
      </c>
      <c r="G1498" s="1">
        <f>IF(jablka5[[#This Row],[NIP]]=D1497,jablka5[[#This Row],[sprzedaż]]+G1497,jablka5[[#This Row],[sprzedaż]])</f>
        <v>2899</v>
      </c>
      <c r="H1498" s="1">
        <f>IF(jablka5[[#This Row],[dot sprz]]&lt;15000,0,IF(jablka5[[#This Row],[dot sprz]]&lt;20000,5,10))</f>
        <v>0</v>
      </c>
      <c r="I1498" s="1">
        <f>jablka5[[#This Row],[rabat]]*jablka5[[#This Row],[sprzedaż]]/100</f>
        <v>0</v>
      </c>
    </row>
    <row r="1499" spans="1:9" x14ac:dyDescent="0.25">
      <c r="A1499" s="2">
        <v>44621</v>
      </c>
      <c r="B1499" s="1" t="s">
        <v>4</v>
      </c>
      <c r="C1499" s="1" t="s">
        <v>16</v>
      </c>
      <c r="D1499" s="1" t="s">
        <v>43</v>
      </c>
      <c r="E1499">
        <v>329</v>
      </c>
      <c r="F1499" s="1">
        <f>VLOOKUP(jablka5[[#This Row],[Nazwa]],cennik[],2,0) * jablka5[[#This Row],[sprzedaż]]</f>
        <v>1118.5999999999999</v>
      </c>
      <c r="G1499" s="1">
        <f>IF(jablka5[[#This Row],[NIP]]=D1498,jablka5[[#This Row],[sprzedaż]]+G1498,jablka5[[#This Row],[sprzedaż]])</f>
        <v>3228</v>
      </c>
      <c r="H1499" s="1">
        <f>IF(jablka5[[#This Row],[dot sprz]]&lt;15000,0,IF(jablka5[[#This Row],[dot sprz]]&lt;20000,5,10))</f>
        <v>0</v>
      </c>
      <c r="I1499" s="1">
        <f>jablka5[[#This Row],[rabat]]*jablka5[[#This Row],[sprzedaż]]/100</f>
        <v>0</v>
      </c>
    </row>
    <row r="1500" spans="1:9" x14ac:dyDescent="0.25">
      <c r="A1500" s="2">
        <v>44631</v>
      </c>
      <c r="B1500" s="1" t="s">
        <v>6</v>
      </c>
      <c r="C1500" s="1" t="s">
        <v>16</v>
      </c>
      <c r="D1500" s="1" t="s">
        <v>43</v>
      </c>
      <c r="E1500">
        <v>127</v>
      </c>
      <c r="F1500" s="1">
        <f>VLOOKUP(jablka5[[#This Row],[Nazwa]],cennik[],2,0) * jablka5[[#This Row],[sprzedaż]]</f>
        <v>431.8</v>
      </c>
      <c r="G1500" s="1">
        <f>IF(jablka5[[#This Row],[NIP]]=D1499,jablka5[[#This Row],[sprzedaż]]+G1499,jablka5[[#This Row],[sprzedaż]])</f>
        <v>3355</v>
      </c>
      <c r="H1500" s="1">
        <f>IF(jablka5[[#This Row],[dot sprz]]&lt;15000,0,IF(jablka5[[#This Row],[dot sprz]]&lt;20000,5,10))</f>
        <v>0</v>
      </c>
      <c r="I1500" s="1">
        <f>jablka5[[#This Row],[rabat]]*jablka5[[#This Row],[sprzedaż]]/100</f>
        <v>0</v>
      </c>
    </row>
    <row r="1501" spans="1:9" x14ac:dyDescent="0.25">
      <c r="A1501" s="2">
        <v>44635</v>
      </c>
      <c r="B1501" s="1" t="s">
        <v>7</v>
      </c>
      <c r="C1501" s="1" t="s">
        <v>16</v>
      </c>
      <c r="D1501" s="1" t="s">
        <v>43</v>
      </c>
      <c r="E1501">
        <v>469</v>
      </c>
      <c r="F1501" s="1">
        <f>VLOOKUP(jablka5[[#This Row],[Nazwa]],cennik[],2,0) * jablka5[[#This Row],[sprzedaż]]</f>
        <v>1594.6</v>
      </c>
      <c r="G1501" s="1">
        <f>IF(jablka5[[#This Row],[NIP]]=D1500,jablka5[[#This Row],[sprzedaż]]+G1500,jablka5[[#This Row],[sprzedaż]])</f>
        <v>3824</v>
      </c>
      <c r="H1501" s="1">
        <f>IF(jablka5[[#This Row],[dot sprz]]&lt;15000,0,IF(jablka5[[#This Row],[dot sprz]]&lt;20000,5,10))</f>
        <v>0</v>
      </c>
      <c r="I1501" s="1">
        <f>jablka5[[#This Row],[rabat]]*jablka5[[#This Row],[sprzedaż]]/100</f>
        <v>0</v>
      </c>
    </row>
    <row r="1502" spans="1:9" x14ac:dyDescent="0.25">
      <c r="A1502" s="2">
        <v>44642</v>
      </c>
      <c r="B1502" s="1" t="s">
        <v>0</v>
      </c>
      <c r="C1502" s="1" t="s">
        <v>16</v>
      </c>
      <c r="D1502" s="1" t="s">
        <v>43</v>
      </c>
      <c r="E1502">
        <v>194</v>
      </c>
      <c r="F1502" s="1">
        <f>VLOOKUP(jablka5[[#This Row],[Nazwa]],cennik[],2,0) * jablka5[[#This Row],[sprzedaż]]</f>
        <v>562.6</v>
      </c>
      <c r="G1502" s="1">
        <f>IF(jablka5[[#This Row],[NIP]]=D1501,jablka5[[#This Row],[sprzedaż]]+G1501,jablka5[[#This Row],[sprzedaż]])</f>
        <v>4018</v>
      </c>
      <c r="H1502" s="1">
        <f>IF(jablka5[[#This Row],[dot sprz]]&lt;15000,0,IF(jablka5[[#This Row],[dot sprz]]&lt;20000,5,10))</f>
        <v>0</v>
      </c>
      <c r="I1502" s="1">
        <f>jablka5[[#This Row],[rabat]]*jablka5[[#This Row],[sprzedaż]]/100</f>
        <v>0</v>
      </c>
    </row>
    <row r="1503" spans="1:9" x14ac:dyDescent="0.25">
      <c r="A1503" s="2">
        <v>44644</v>
      </c>
      <c r="B1503" s="1" t="s">
        <v>5</v>
      </c>
      <c r="C1503" s="1" t="s">
        <v>16</v>
      </c>
      <c r="D1503" s="1" t="s">
        <v>43</v>
      </c>
      <c r="E1503">
        <v>113</v>
      </c>
      <c r="F1503" s="1">
        <f>VLOOKUP(jablka5[[#This Row],[Nazwa]],cennik[],2,0) * jablka5[[#This Row],[sprzedaż]]</f>
        <v>384.2</v>
      </c>
      <c r="G1503" s="1">
        <f>IF(jablka5[[#This Row],[NIP]]=D1502,jablka5[[#This Row],[sprzedaż]]+G1502,jablka5[[#This Row],[sprzedaż]])</f>
        <v>4131</v>
      </c>
      <c r="H1503" s="1">
        <f>IF(jablka5[[#This Row],[dot sprz]]&lt;15000,0,IF(jablka5[[#This Row],[dot sprz]]&lt;20000,5,10))</f>
        <v>0</v>
      </c>
      <c r="I1503" s="1">
        <f>jablka5[[#This Row],[rabat]]*jablka5[[#This Row],[sprzedaż]]/100</f>
        <v>0</v>
      </c>
    </row>
    <row r="1504" spans="1:9" x14ac:dyDescent="0.25">
      <c r="A1504" s="2">
        <v>44646</v>
      </c>
      <c r="B1504" s="1" t="s">
        <v>10</v>
      </c>
      <c r="C1504" s="1" t="s">
        <v>16</v>
      </c>
      <c r="D1504" s="1" t="s">
        <v>43</v>
      </c>
      <c r="E1504">
        <v>49</v>
      </c>
      <c r="F1504" s="1">
        <f>VLOOKUP(jablka5[[#This Row],[Nazwa]],cennik[],2,0) * jablka5[[#This Row],[sprzedaż]]</f>
        <v>166.6</v>
      </c>
      <c r="G1504" s="1">
        <f>IF(jablka5[[#This Row],[NIP]]=D1503,jablka5[[#This Row],[sprzedaż]]+G1503,jablka5[[#This Row],[sprzedaż]])</f>
        <v>4180</v>
      </c>
      <c r="H1504" s="1">
        <f>IF(jablka5[[#This Row],[dot sprz]]&lt;15000,0,IF(jablka5[[#This Row],[dot sprz]]&lt;20000,5,10))</f>
        <v>0</v>
      </c>
      <c r="I1504" s="1">
        <f>jablka5[[#This Row],[rabat]]*jablka5[[#This Row],[sprzedaż]]/100</f>
        <v>0</v>
      </c>
    </row>
    <row r="1505" spans="1:9" x14ac:dyDescent="0.25">
      <c r="A1505" s="2">
        <v>44649</v>
      </c>
      <c r="B1505" s="1" t="s">
        <v>2</v>
      </c>
      <c r="C1505" s="1" t="s">
        <v>16</v>
      </c>
      <c r="D1505" s="1" t="s">
        <v>43</v>
      </c>
      <c r="E1505">
        <v>273</v>
      </c>
      <c r="F1505" s="1">
        <f>VLOOKUP(jablka5[[#This Row],[Nazwa]],cennik[],2,0) * jablka5[[#This Row],[sprzedaż]]</f>
        <v>873.6</v>
      </c>
      <c r="G1505" s="1">
        <f>IF(jablka5[[#This Row],[NIP]]=D1504,jablka5[[#This Row],[sprzedaż]]+G1504,jablka5[[#This Row],[sprzedaż]])</f>
        <v>4453</v>
      </c>
      <c r="H1505" s="1">
        <f>IF(jablka5[[#This Row],[dot sprz]]&lt;15000,0,IF(jablka5[[#This Row],[dot sprz]]&lt;20000,5,10))</f>
        <v>0</v>
      </c>
      <c r="I1505" s="1">
        <f>jablka5[[#This Row],[rabat]]*jablka5[[#This Row],[sprzedaż]]/100</f>
        <v>0</v>
      </c>
    </row>
    <row r="1506" spans="1:9" x14ac:dyDescent="0.25">
      <c r="A1506" s="2">
        <v>44662</v>
      </c>
      <c r="B1506" s="1" t="s">
        <v>2</v>
      </c>
      <c r="C1506" s="1" t="s">
        <v>16</v>
      </c>
      <c r="D1506" s="1" t="s">
        <v>43</v>
      </c>
      <c r="E1506">
        <v>52</v>
      </c>
      <c r="F1506" s="1">
        <f>VLOOKUP(jablka5[[#This Row],[Nazwa]],cennik[],2,0) * jablka5[[#This Row],[sprzedaż]]</f>
        <v>166.4</v>
      </c>
      <c r="G1506" s="1">
        <f>IF(jablka5[[#This Row],[NIP]]=D1505,jablka5[[#This Row],[sprzedaż]]+G1505,jablka5[[#This Row],[sprzedaż]])</f>
        <v>4505</v>
      </c>
      <c r="H1506" s="1">
        <f>IF(jablka5[[#This Row],[dot sprz]]&lt;15000,0,IF(jablka5[[#This Row],[dot sprz]]&lt;20000,5,10))</f>
        <v>0</v>
      </c>
      <c r="I1506" s="1">
        <f>jablka5[[#This Row],[rabat]]*jablka5[[#This Row],[sprzedaż]]/100</f>
        <v>0</v>
      </c>
    </row>
    <row r="1507" spans="1:9" x14ac:dyDescent="0.25">
      <c r="A1507" s="2">
        <v>44667</v>
      </c>
      <c r="B1507" s="1" t="s">
        <v>10</v>
      </c>
      <c r="C1507" s="1" t="s">
        <v>16</v>
      </c>
      <c r="D1507" s="1" t="s">
        <v>43</v>
      </c>
      <c r="E1507">
        <v>465</v>
      </c>
      <c r="F1507" s="1">
        <f>VLOOKUP(jablka5[[#This Row],[Nazwa]],cennik[],2,0) * jablka5[[#This Row],[sprzedaż]]</f>
        <v>1581</v>
      </c>
      <c r="G1507" s="1">
        <f>IF(jablka5[[#This Row],[NIP]]=D1506,jablka5[[#This Row],[sprzedaż]]+G1506,jablka5[[#This Row],[sprzedaż]])</f>
        <v>4970</v>
      </c>
      <c r="H1507" s="1">
        <f>IF(jablka5[[#This Row],[dot sprz]]&lt;15000,0,IF(jablka5[[#This Row],[dot sprz]]&lt;20000,5,10))</f>
        <v>0</v>
      </c>
      <c r="I1507" s="1">
        <f>jablka5[[#This Row],[rabat]]*jablka5[[#This Row],[sprzedaż]]/100</f>
        <v>0</v>
      </c>
    </row>
    <row r="1508" spans="1:9" x14ac:dyDescent="0.25">
      <c r="A1508" s="2">
        <v>44679</v>
      </c>
      <c r="B1508" s="1" t="s">
        <v>5</v>
      </c>
      <c r="C1508" s="1" t="s">
        <v>16</v>
      </c>
      <c r="D1508" s="1" t="s">
        <v>43</v>
      </c>
      <c r="E1508">
        <v>156</v>
      </c>
      <c r="F1508" s="1">
        <f>VLOOKUP(jablka5[[#This Row],[Nazwa]],cennik[],2,0) * jablka5[[#This Row],[sprzedaż]]</f>
        <v>530.4</v>
      </c>
      <c r="G1508" s="1">
        <f>IF(jablka5[[#This Row],[NIP]]=D1507,jablka5[[#This Row],[sprzedaż]]+G1507,jablka5[[#This Row],[sprzedaż]])</f>
        <v>5126</v>
      </c>
      <c r="H1508" s="1">
        <f>IF(jablka5[[#This Row],[dot sprz]]&lt;15000,0,IF(jablka5[[#This Row],[dot sprz]]&lt;20000,5,10))</f>
        <v>0</v>
      </c>
      <c r="I1508" s="1">
        <f>jablka5[[#This Row],[rabat]]*jablka5[[#This Row],[sprzedaż]]/100</f>
        <v>0</v>
      </c>
    </row>
    <row r="1509" spans="1:9" x14ac:dyDescent="0.25">
      <c r="A1509" s="2">
        <v>44679</v>
      </c>
      <c r="B1509" s="1" t="s">
        <v>7</v>
      </c>
      <c r="C1509" s="1" t="s">
        <v>16</v>
      </c>
      <c r="D1509" s="1" t="s">
        <v>43</v>
      </c>
      <c r="E1509">
        <v>648</v>
      </c>
      <c r="F1509" s="1">
        <f>VLOOKUP(jablka5[[#This Row],[Nazwa]],cennik[],2,0) * jablka5[[#This Row],[sprzedaż]]</f>
        <v>2203.1999999999998</v>
      </c>
      <c r="G1509" s="1">
        <f>IF(jablka5[[#This Row],[NIP]]=D1508,jablka5[[#This Row],[sprzedaż]]+G1508,jablka5[[#This Row],[sprzedaż]])</f>
        <v>5774</v>
      </c>
      <c r="H1509" s="1">
        <f>IF(jablka5[[#This Row],[dot sprz]]&lt;15000,0,IF(jablka5[[#This Row],[dot sprz]]&lt;20000,5,10))</f>
        <v>0</v>
      </c>
      <c r="I1509" s="1">
        <f>jablka5[[#This Row],[rabat]]*jablka5[[#This Row],[sprzedaż]]/100</f>
        <v>0</v>
      </c>
    </row>
    <row r="1510" spans="1:9" x14ac:dyDescent="0.25">
      <c r="A1510" s="2">
        <v>44684</v>
      </c>
      <c r="B1510" s="1" t="s">
        <v>7</v>
      </c>
      <c r="C1510" s="1" t="s">
        <v>16</v>
      </c>
      <c r="D1510" s="1" t="s">
        <v>43</v>
      </c>
      <c r="E1510">
        <v>339</v>
      </c>
      <c r="F1510" s="1">
        <f>VLOOKUP(jablka5[[#This Row],[Nazwa]],cennik[],2,0) * jablka5[[#This Row],[sprzedaż]]</f>
        <v>1152.5999999999999</v>
      </c>
      <c r="G1510" s="1">
        <f>IF(jablka5[[#This Row],[NIP]]=D1509,jablka5[[#This Row],[sprzedaż]]+G1509,jablka5[[#This Row],[sprzedaż]])</f>
        <v>6113</v>
      </c>
      <c r="H1510" s="1">
        <f>IF(jablka5[[#This Row],[dot sprz]]&lt;15000,0,IF(jablka5[[#This Row],[dot sprz]]&lt;20000,5,10))</f>
        <v>0</v>
      </c>
      <c r="I1510" s="1">
        <f>jablka5[[#This Row],[rabat]]*jablka5[[#This Row],[sprzedaż]]/100</f>
        <v>0</v>
      </c>
    </row>
    <row r="1511" spans="1:9" x14ac:dyDescent="0.25">
      <c r="A1511" s="2">
        <v>44700</v>
      </c>
      <c r="B1511" s="1" t="s">
        <v>4</v>
      </c>
      <c r="C1511" s="1" t="s">
        <v>16</v>
      </c>
      <c r="D1511" s="1" t="s">
        <v>43</v>
      </c>
      <c r="E1511">
        <v>387</v>
      </c>
      <c r="F1511" s="1">
        <f>VLOOKUP(jablka5[[#This Row],[Nazwa]],cennik[],2,0) * jablka5[[#This Row],[sprzedaż]]</f>
        <v>1315.8</v>
      </c>
      <c r="G1511" s="1">
        <f>IF(jablka5[[#This Row],[NIP]]=D1510,jablka5[[#This Row],[sprzedaż]]+G1510,jablka5[[#This Row],[sprzedaż]])</f>
        <v>6500</v>
      </c>
      <c r="H1511" s="1">
        <f>IF(jablka5[[#This Row],[dot sprz]]&lt;15000,0,IF(jablka5[[#This Row],[dot sprz]]&lt;20000,5,10))</f>
        <v>0</v>
      </c>
      <c r="I1511" s="1">
        <f>jablka5[[#This Row],[rabat]]*jablka5[[#This Row],[sprzedaż]]/100</f>
        <v>0</v>
      </c>
    </row>
    <row r="1512" spans="1:9" x14ac:dyDescent="0.25">
      <c r="A1512" s="2">
        <v>44701</v>
      </c>
      <c r="B1512" s="1" t="s">
        <v>5</v>
      </c>
      <c r="C1512" s="1" t="s">
        <v>16</v>
      </c>
      <c r="D1512" s="1" t="s">
        <v>43</v>
      </c>
      <c r="E1512">
        <v>456</v>
      </c>
      <c r="F1512" s="1">
        <f>VLOOKUP(jablka5[[#This Row],[Nazwa]],cennik[],2,0) * jablka5[[#This Row],[sprzedaż]]</f>
        <v>1550.3999999999999</v>
      </c>
      <c r="G1512" s="1">
        <f>IF(jablka5[[#This Row],[NIP]]=D1511,jablka5[[#This Row],[sprzedaż]]+G1511,jablka5[[#This Row],[sprzedaż]])</f>
        <v>6956</v>
      </c>
      <c r="H1512" s="1">
        <f>IF(jablka5[[#This Row],[dot sprz]]&lt;15000,0,IF(jablka5[[#This Row],[dot sprz]]&lt;20000,5,10))</f>
        <v>0</v>
      </c>
      <c r="I1512" s="1">
        <f>jablka5[[#This Row],[rabat]]*jablka5[[#This Row],[sprzedaż]]/100</f>
        <v>0</v>
      </c>
    </row>
    <row r="1513" spans="1:9" x14ac:dyDescent="0.25">
      <c r="A1513" s="2">
        <v>44705</v>
      </c>
      <c r="B1513" s="1" t="s">
        <v>4</v>
      </c>
      <c r="C1513" s="1" t="s">
        <v>16</v>
      </c>
      <c r="D1513" s="1" t="s">
        <v>43</v>
      </c>
      <c r="E1513">
        <v>578</v>
      </c>
      <c r="F1513" s="1">
        <f>VLOOKUP(jablka5[[#This Row],[Nazwa]],cennik[],2,0) * jablka5[[#This Row],[sprzedaż]]</f>
        <v>1965.2</v>
      </c>
      <c r="G1513" s="1">
        <f>IF(jablka5[[#This Row],[NIP]]=D1512,jablka5[[#This Row],[sprzedaż]]+G1512,jablka5[[#This Row],[sprzedaż]])</f>
        <v>7534</v>
      </c>
      <c r="H1513" s="1">
        <f>IF(jablka5[[#This Row],[dot sprz]]&lt;15000,0,IF(jablka5[[#This Row],[dot sprz]]&lt;20000,5,10))</f>
        <v>0</v>
      </c>
      <c r="I1513" s="1">
        <f>jablka5[[#This Row],[rabat]]*jablka5[[#This Row],[sprzedaż]]/100</f>
        <v>0</v>
      </c>
    </row>
    <row r="1514" spans="1:9" x14ac:dyDescent="0.25">
      <c r="A1514" s="2">
        <v>44711</v>
      </c>
      <c r="B1514" s="1" t="s">
        <v>15</v>
      </c>
      <c r="C1514" s="1" t="s">
        <v>16</v>
      </c>
      <c r="D1514" s="1" t="s">
        <v>43</v>
      </c>
      <c r="E1514">
        <v>164</v>
      </c>
      <c r="F1514" s="1">
        <f>VLOOKUP(jablka5[[#This Row],[Nazwa]],cennik[],2,0) * jablka5[[#This Row],[sprzedaż]]</f>
        <v>393.59999999999997</v>
      </c>
      <c r="G1514" s="1">
        <f>IF(jablka5[[#This Row],[NIP]]=D1513,jablka5[[#This Row],[sprzedaż]]+G1513,jablka5[[#This Row],[sprzedaż]])</f>
        <v>7698</v>
      </c>
      <c r="H1514" s="1">
        <f>IF(jablka5[[#This Row],[dot sprz]]&lt;15000,0,IF(jablka5[[#This Row],[dot sprz]]&lt;20000,5,10))</f>
        <v>0</v>
      </c>
      <c r="I1514" s="1">
        <f>jablka5[[#This Row],[rabat]]*jablka5[[#This Row],[sprzedaż]]/100</f>
        <v>0</v>
      </c>
    </row>
    <row r="1515" spans="1:9" x14ac:dyDescent="0.25">
      <c r="A1515" s="2">
        <v>44711</v>
      </c>
      <c r="B1515" s="1" t="s">
        <v>10</v>
      </c>
      <c r="C1515" s="1" t="s">
        <v>16</v>
      </c>
      <c r="D1515" s="1" t="s">
        <v>43</v>
      </c>
      <c r="E1515">
        <v>258</v>
      </c>
      <c r="F1515" s="1">
        <f>VLOOKUP(jablka5[[#This Row],[Nazwa]],cennik[],2,0) * jablka5[[#This Row],[sprzedaż]]</f>
        <v>877.19999999999993</v>
      </c>
      <c r="G1515" s="1">
        <f>IF(jablka5[[#This Row],[NIP]]=D1514,jablka5[[#This Row],[sprzedaż]]+G1514,jablka5[[#This Row],[sprzedaż]])</f>
        <v>7956</v>
      </c>
      <c r="H1515" s="1">
        <f>IF(jablka5[[#This Row],[dot sprz]]&lt;15000,0,IF(jablka5[[#This Row],[dot sprz]]&lt;20000,5,10))</f>
        <v>0</v>
      </c>
      <c r="I1515" s="1">
        <f>jablka5[[#This Row],[rabat]]*jablka5[[#This Row],[sprzedaż]]/100</f>
        <v>0</v>
      </c>
    </row>
    <row r="1516" spans="1:9" x14ac:dyDescent="0.25">
      <c r="A1516" s="2">
        <v>44733</v>
      </c>
      <c r="B1516" s="1" t="s">
        <v>13</v>
      </c>
      <c r="C1516" s="1" t="s">
        <v>68</v>
      </c>
      <c r="D1516" s="1" t="s">
        <v>43</v>
      </c>
      <c r="E1516">
        <v>83</v>
      </c>
      <c r="F1516" s="1">
        <f>VLOOKUP(jablka5[[#This Row],[Nazwa]],cennik[],2,0) * jablka5[[#This Row],[sprzedaż]]</f>
        <v>265.60000000000002</v>
      </c>
      <c r="G1516" s="1">
        <f>IF(jablka5[[#This Row],[NIP]]=D1515,jablka5[[#This Row],[sprzedaż]]+G1515,jablka5[[#This Row],[sprzedaż]])</f>
        <v>8039</v>
      </c>
      <c r="H1516" s="1">
        <f>IF(jablka5[[#This Row],[dot sprz]]&lt;15000,0,IF(jablka5[[#This Row],[dot sprz]]&lt;20000,5,10))</f>
        <v>0</v>
      </c>
      <c r="I1516" s="1">
        <f>jablka5[[#This Row],[rabat]]*jablka5[[#This Row],[sprzedaż]]/100</f>
        <v>0</v>
      </c>
    </row>
    <row r="1517" spans="1:9" x14ac:dyDescent="0.25">
      <c r="A1517" s="2">
        <v>44754</v>
      </c>
      <c r="B1517" s="1" t="s">
        <v>14</v>
      </c>
      <c r="C1517" s="1" t="s">
        <v>67</v>
      </c>
      <c r="D1517" s="1" t="s">
        <v>43</v>
      </c>
      <c r="E1517">
        <v>238</v>
      </c>
      <c r="F1517" s="1">
        <f>VLOOKUP(jablka5[[#This Row],[Nazwa]],cennik[],2,0) * jablka5[[#This Row],[sprzedaż]]</f>
        <v>833</v>
      </c>
      <c r="G1517" s="1">
        <f>IF(jablka5[[#This Row],[NIP]]=D1516,jablka5[[#This Row],[sprzedaż]]+G1516,jablka5[[#This Row],[sprzedaż]])</f>
        <v>8277</v>
      </c>
      <c r="H1517" s="1">
        <f>IF(jablka5[[#This Row],[dot sprz]]&lt;15000,0,IF(jablka5[[#This Row],[dot sprz]]&lt;20000,5,10))</f>
        <v>0</v>
      </c>
      <c r="I1517" s="1">
        <f>jablka5[[#This Row],[rabat]]*jablka5[[#This Row],[sprzedaż]]/100</f>
        <v>0</v>
      </c>
    </row>
    <row r="1518" spans="1:9" x14ac:dyDescent="0.25">
      <c r="A1518" s="2">
        <v>44760</v>
      </c>
      <c r="B1518" s="1" t="s">
        <v>12</v>
      </c>
      <c r="C1518" s="1" t="s">
        <v>68</v>
      </c>
      <c r="D1518" s="1" t="s">
        <v>43</v>
      </c>
      <c r="E1518">
        <v>28</v>
      </c>
      <c r="F1518" s="1">
        <f>VLOOKUP(jablka5[[#This Row],[Nazwa]],cennik[],2,0) * jablka5[[#This Row],[sprzedaż]]</f>
        <v>75.600000000000009</v>
      </c>
      <c r="G1518" s="1">
        <f>IF(jablka5[[#This Row],[NIP]]=D1517,jablka5[[#This Row],[sprzedaż]]+G1517,jablka5[[#This Row],[sprzedaż]])</f>
        <v>8305</v>
      </c>
      <c r="H1518" s="1">
        <f>IF(jablka5[[#This Row],[dot sprz]]&lt;15000,0,IF(jablka5[[#This Row],[dot sprz]]&lt;20000,5,10))</f>
        <v>0</v>
      </c>
      <c r="I1518" s="1">
        <f>jablka5[[#This Row],[rabat]]*jablka5[[#This Row],[sprzedaż]]/100</f>
        <v>0</v>
      </c>
    </row>
    <row r="1519" spans="1:9" x14ac:dyDescent="0.25">
      <c r="A1519" s="2">
        <v>44760</v>
      </c>
      <c r="B1519" s="1" t="s">
        <v>13</v>
      </c>
      <c r="C1519" s="1" t="s">
        <v>68</v>
      </c>
      <c r="D1519" s="1" t="s">
        <v>43</v>
      </c>
      <c r="E1519">
        <v>21</v>
      </c>
      <c r="F1519" s="1">
        <f>VLOOKUP(jablka5[[#This Row],[Nazwa]],cennik[],2,0) * jablka5[[#This Row],[sprzedaż]]</f>
        <v>67.2</v>
      </c>
      <c r="G1519" s="1">
        <f>IF(jablka5[[#This Row],[NIP]]=D1518,jablka5[[#This Row],[sprzedaż]]+G1518,jablka5[[#This Row],[sprzedaż]])</f>
        <v>8326</v>
      </c>
      <c r="H1519" s="1">
        <f>IF(jablka5[[#This Row],[dot sprz]]&lt;15000,0,IF(jablka5[[#This Row],[dot sprz]]&lt;20000,5,10))</f>
        <v>0</v>
      </c>
      <c r="I1519" s="1">
        <f>jablka5[[#This Row],[rabat]]*jablka5[[#This Row],[sprzedaż]]/100</f>
        <v>0</v>
      </c>
    </row>
    <row r="1520" spans="1:9" x14ac:dyDescent="0.25">
      <c r="A1520" s="2">
        <v>44764</v>
      </c>
      <c r="B1520" s="1" t="s">
        <v>12</v>
      </c>
      <c r="C1520" s="1" t="s">
        <v>68</v>
      </c>
      <c r="D1520" s="1" t="s">
        <v>43</v>
      </c>
      <c r="E1520">
        <v>192</v>
      </c>
      <c r="F1520" s="1">
        <f>VLOOKUP(jablka5[[#This Row],[Nazwa]],cennik[],2,0) * jablka5[[#This Row],[sprzedaż]]</f>
        <v>518.40000000000009</v>
      </c>
      <c r="G1520" s="1">
        <f>IF(jablka5[[#This Row],[NIP]]=D1519,jablka5[[#This Row],[sprzedaż]]+G1519,jablka5[[#This Row],[sprzedaż]])</f>
        <v>8518</v>
      </c>
      <c r="H1520" s="1">
        <f>IF(jablka5[[#This Row],[dot sprz]]&lt;15000,0,IF(jablka5[[#This Row],[dot sprz]]&lt;20000,5,10))</f>
        <v>0</v>
      </c>
      <c r="I1520" s="1">
        <f>jablka5[[#This Row],[rabat]]*jablka5[[#This Row],[sprzedaż]]/100</f>
        <v>0</v>
      </c>
    </row>
    <row r="1521" spans="1:9" x14ac:dyDescent="0.25">
      <c r="A1521" s="2">
        <v>44771</v>
      </c>
      <c r="B1521" s="1" t="s">
        <v>13</v>
      </c>
      <c r="C1521" s="1" t="s">
        <v>68</v>
      </c>
      <c r="D1521" s="1" t="s">
        <v>43</v>
      </c>
      <c r="E1521">
        <v>353</v>
      </c>
      <c r="F1521" s="1">
        <f>VLOOKUP(jablka5[[#This Row],[Nazwa]],cennik[],2,0) * jablka5[[#This Row],[sprzedaż]]</f>
        <v>1129.6000000000001</v>
      </c>
      <c r="G1521" s="1">
        <f>IF(jablka5[[#This Row],[NIP]]=D1520,jablka5[[#This Row],[sprzedaż]]+G1520,jablka5[[#This Row],[sprzedaż]])</f>
        <v>8871</v>
      </c>
      <c r="H1521" s="1">
        <f>IF(jablka5[[#This Row],[dot sprz]]&lt;15000,0,IF(jablka5[[#This Row],[dot sprz]]&lt;20000,5,10))</f>
        <v>0</v>
      </c>
      <c r="I1521" s="1">
        <f>jablka5[[#This Row],[rabat]]*jablka5[[#This Row],[sprzedaż]]/100</f>
        <v>0</v>
      </c>
    </row>
    <row r="1522" spans="1:9" x14ac:dyDescent="0.25">
      <c r="A1522" s="2">
        <v>44789</v>
      </c>
      <c r="B1522" s="1" t="s">
        <v>14</v>
      </c>
      <c r="C1522" s="1" t="s">
        <v>67</v>
      </c>
      <c r="D1522" s="1" t="s">
        <v>43</v>
      </c>
      <c r="E1522">
        <v>466</v>
      </c>
      <c r="F1522" s="1">
        <f>VLOOKUP(jablka5[[#This Row],[Nazwa]],cennik[],2,0) * jablka5[[#This Row],[sprzedaż]]</f>
        <v>1631</v>
      </c>
      <c r="G1522" s="1">
        <f>IF(jablka5[[#This Row],[NIP]]=D1521,jablka5[[#This Row],[sprzedaż]]+G1521,jablka5[[#This Row],[sprzedaż]])</f>
        <v>9337</v>
      </c>
      <c r="H1522" s="1">
        <f>IF(jablka5[[#This Row],[dot sprz]]&lt;15000,0,IF(jablka5[[#This Row],[dot sprz]]&lt;20000,5,10))</f>
        <v>0</v>
      </c>
      <c r="I1522" s="1">
        <f>jablka5[[#This Row],[rabat]]*jablka5[[#This Row],[sprzedaż]]/100</f>
        <v>0</v>
      </c>
    </row>
    <row r="1523" spans="1:9" x14ac:dyDescent="0.25">
      <c r="A1523" s="2">
        <v>44792</v>
      </c>
      <c r="B1523" s="1" t="s">
        <v>14</v>
      </c>
      <c r="C1523" s="1" t="s">
        <v>67</v>
      </c>
      <c r="D1523" s="1" t="s">
        <v>43</v>
      </c>
      <c r="E1523">
        <v>61</v>
      </c>
      <c r="F1523" s="1">
        <f>VLOOKUP(jablka5[[#This Row],[Nazwa]],cennik[],2,0) * jablka5[[#This Row],[sprzedaż]]</f>
        <v>213.5</v>
      </c>
      <c r="G1523" s="1">
        <f>IF(jablka5[[#This Row],[NIP]]=D1522,jablka5[[#This Row],[sprzedaż]]+G1522,jablka5[[#This Row],[sprzedaż]])</f>
        <v>9398</v>
      </c>
      <c r="H1523" s="1">
        <f>IF(jablka5[[#This Row],[dot sprz]]&lt;15000,0,IF(jablka5[[#This Row],[dot sprz]]&lt;20000,5,10))</f>
        <v>0</v>
      </c>
      <c r="I1523" s="1">
        <f>jablka5[[#This Row],[rabat]]*jablka5[[#This Row],[sprzedaż]]/100</f>
        <v>0</v>
      </c>
    </row>
    <row r="1524" spans="1:9" x14ac:dyDescent="0.25">
      <c r="A1524" s="2">
        <v>44835</v>
      </c>
      <c r="B1524" s="1" t="s">
        <v>3</v>
      </c>
      <c r="C1524" s="1" t="s">
        <v>67</v>
      </c>
      <c r="D1524" s="1" t="s">
        <v>43</v>
      </c>
      <c r="E1524">
        <v>131</v>
      </c>
      <c r="F1524" s="1">
        <f>VLOOKUP(jablka5[[#This Row],[Nazwa]],cennik[],2,0) * jablka5[[#This Row],[sprzedaż]]</f>
        <v>419.20000000000005</v>
      </c>
      <c r="G1524" s="1">
        <f>IF(jablka5[[#This Row],[NIP]]=D1523,jablka5[[#This Row],[sprzedaż]]+G1523,jablka5[[#This Row],[sprzedaż]])</f>
        <v>9529</v>
      </c>
      <c r="H1524" s="1">
        <f>IF(jablka5[[#This Row],[dot sprz]]&lt;15000,0,IF(jablka5[[#This Row],[dot sprz]]&lt;20000,5,10))</f>
        <v>0</v>
      </c>
      <c r="I1524" s="1">
        <f>jablka5[[#This Row],[rabat]]*jablka5[[#This Row],[sprzedaż]]/100</f>
        <v>0</v>
      </c>
    </row>
    <row r="1525" spans="1:9" x14ac:dyDescent="0.25">
      <c r="A1525" s="2">
        <v>44838</v>
      </c>
      <c r="B1525" s="1" t="s">
        <v>14</v>
      </c>
      <c r="C1525" s="1" t="s">
        <v>67</v>
      </c>
      <c r="D1525" s="1" t="s">
        <v>43</v>
      </c>
      <c r="E1525">
        <v>337</v>
      </c>
      <c r="F1525" s="1">
        <f>VLOOKUP(jablka5[[#This Row],[Nazwa]],cennik[],2,0) * jablka5[[#This Row],[sprzedaż]]</f>
        <v>1179.5</v>
      </c>
      <c r="G1525" s="1">
        <f>IF(jablka5[[#This Row],[NIP]]=D1524,jablka5[[#This Row],[sprzedaż]]+G1524,jablka5[[#This Row],[sprzedaż]])</f>
        <v>9866</v>
      </c>
      <c r="H1525" s="1">
        <f>IF(jablka5[[#This Row],[dot sprz]]&lt;15000,0,IF(jablka5[[#This Row],[dot sprz]]&lt;20000,5,10))</f>
        <v>0</v>
      </c>
      <c r="I1525" s="1">
        <f>jablka5[[#This Row],[rabat]]*jablka5[[#This Row],[sprzedaż]]/100</f>
        <v>0</v>
      </c>
    </row>
    <row r="1526" spans="1:9" x14ac:dyDescent="0.25">
      <c r="A1526" s="2">
        <v>44840</v>
      </c>
      <c r="B1526" s="1" t="s">
        <v>14</v>
      </c>
      <c r="C1526" s="1" t="s">
        <v>67</v>
      </c>
      <c r="D1526" s="1" t="s">
        <v>43</v>
      </c>
      <c r="E1526">
        <v>163</v>
      </c>
      <c r="F1526" s="1">
        <f>VLOOKUP(jablka5[[#This Row],[Nazwa]],cennik[],2,0) * jablka5[[#This Row],[sprzedaż]]</f>
        <v>570.5</v>
      </c>
      <c r="G1526" s="1">
        <f>IF(jablka5[[#This Row],[NIP]]=D1525,jablka5[[#This Row],[sprzedaż]]+G1525,jablka5[[#This Row],[sprzedaż]])</f>
        <v>10029</v>
      </c>
      <c r="H1526" s="1">
        <f>IF(jablka5[[#This Row],[dot sprz]]&lt;15000,0,IF(jablka5[[#This Row],[dot sprz]]&lt;20000,5,10))</f>
        <v>0</v>
      </c>
      <c r="I1526" s="1">
        <f>jablka5[[#This Row],[rabat]]*jablka5[[#This Row],[sprzedaż]]/100</f>
        <v>0</v>
      </c>
    </row>
    <row r="1527" spans="1:9" x14ac:dyDescent="0.25">
      <c r="A1527" s="2">
        <v>44848</v>
      </c>
      <c r="B1527" s="1" t="s">
        <v>14</v>
      </c>
      <c r="C1527" s="1" t="s">
        <v>67</v>
      </c>
      <c r="D1527" s="1" t="s">
        <v>43</v>
      </c>
      <c r="E1527">
        <v>499</v>
      </c>
      <c r="F1527" s="1">
        <f>VLOOKUP(jablka5[[#This Row],[Nazwa]],cennik[],2,0) * jablka5[[#This Row],[sprzedaż]]</f>
        <v>1746.5</v>
      </c>
      <c r="G1527" s="1">
        <f>IF(jablka5[[#This Row],[NIP]]=D1526,jablka5[[#This Row],[sprzedaż]]+G1526,jablka5[[#This Row],[sprzedaż]])</f>
        <v>10528</v>
      </c>
      <c r="H1527" s="1">
        <f>IF(jablka5[[#This Row],[dot sprz]]&lt;15000,0,IF(jablka5[[#This Row],[dot sprz]]&lt;20000,5,10))</f>
        <v>0</v>
      </c>
      <c r="I1527" s="1">
        <f>jablka5[[#This Row],[rabat]]*jablka5[[#This Row],[sprzedaż]]/100</f>
        <v>0</v>
      </c>
    </row>
    <row r="1528" spans="1:9" x14ac:dyDescent="0.25">
      <c r="A1528" s="2">
        <v>44851</v>
      </c>
      <c r="B1528" s="1" t="s">
        <v>1</v>
      </c>
      <c r="C1528" s="1" t="s">
        <v>67</v>
      </c>
      <c r="D1528" s="1" t="s">
        <v>43</v>
      </c>
      <c r="E1528">
        <v>86</v>
      </c>
      <c r="F1528" s="1">
        <f>VLOOKUP(jablka5[[#This Row],[Nazwa]],cennik[],2,0) * jablka5[[#This Row],[sprzedaż]]</f>
        <v>275.2</v>
      </c>
      <c r="G1528" s="1">
        <f>IF(jablka5[[#This Row],[NIP]]=D1527,jablka5[[#This Row],[sprzedaż]]+G1527,jablka5[[#This Row],[sprzedaż]])</f>
        <v>10614</v>
      </c>
      <c r="H1528" s="1">
        <f>IF(jablka5[[#This Row],[dot sprz]]&lt;15000,0,IF(jablka5[[#This Row],[dot sprz]]&lt;20000,5,10))</f>
        <v>0</v>
      </c>
      <c r="I1528" s="1">
        <f>jablka5[[#This Row],[rabat]]*jablka5[[#This Row],[sprzedaż]]/100</f>
        <v>0</v>
      </c>
    </row>
    <row r="1529" spans="1:9" x14ac:dyDescent="0.25">
      <c r="A1529" s="2">
        <v>44855</v>
      </c>
      <c r="B1529" s="1" t="s">
        <v>3</v>
      </c>
      <c r="C1529" s="1" t="s">
        <v>67</v>
      </c>
      <c r="D1529" s="1" t="s">
        <v>43</v>
      </c>
      <c r="E1529">
        <v>415</v>
      </c>
      <c r="F1529" s="1">
        <f>VLOOKUP(jablka5[[#This Row],[Nazwa]],cennik[],2,0) * jablka5[[#This Row],[sprzedaż]]</f>
        <v>1328</v>
      </c>
      <c r="G1529" s="1">
        <f>IF(jablka5[[#This Row],[NIP]]=D1528,jablka5[[#This Row],[sprzedaż]]+G1528,jablka5[[#This Row],[sprzedaż]])</f>
        <v>11029</v>
      </c>
      <c r="H1529" s="1">
        <f>IF(jablka5[[#This Row],[dot sprz]]&lt;15000,0,IF(jablka5[[#This Row],[dot sprz]]&lt;20000,5,10))</f>
        <v>0</v>
      </c>
      <c r="I1529" s="1">
        <f>jablka5[[#This Row],[rabat]]*jablka5[[#This Row],[sprzedaż]]/100</f>
        <v>0</v>
      </c>
    </row>
    <row r="1530" spans="1:9" x14ac:dyDescent="0.25">
      <c r="A1530" s="2">
        <v>44858</v>
      </c>
      <c r="B1530" s="1" t="s">
        <v>11</v>
      </c>
      <c r="C1530" s="1" t="s">
        <v>67</v>
      </c>
      <c r="D1530" s="1" t="s">
        <v>43</v>
      </c>
      <c r="E1530">
        <v>32</v>
      </c>
      <c r="F1530" s="1">
        <f>VLOOKUP(jablka5[[#This Row],[Nazwa]],cennik[],2,0) * jablka5[[#This Row],[sprzedaż]]</f>
        <v>80</v>
      </c>
      <c r="G1530" s="1">
        <f>IF(jablka5[[#This Row],[NIP]]=D1529,jablka5[[#This Row],[sprzedaż]]+G1529,jablka5[[#This Row],[sprzedaż]])</f>
        <v>11061</v>
      </c>
      <c r="H1530" s="1">
        <f>IF(jablka5[[#This Row],[dot sprz]]&lt;15000,0,IF(jablka5[[#This Row],[dot sprz]]&lt;20000,5,10))</f>
        <v>0</v>
      </c>
      <c r="I1530" s="1">
        <f>jablka5[[#This Row],[rabat]]*jablka5[[#This Row],[sprzedaż]]/100</f>
        <v>0</v>
      </c>
    </row>
    <row r="1531" spans="1:9" x14ac:dyDescent="0.25">
      <c r="A1531" s="2">
        <v>44872</v>
      </c>
      <c r="B1531" s="1" t="s">
        <v>9</v>
      </c>
      <c r="C1531" s="1" t="s">
        <v>67</v>
      </c>
      <c r="D1531" s="1" t="s">
        <v>43</v>
      </c>
      <c r="E1531">
        <v>239</v>
      </c>
      <c r="F1531" s="1">
        <f>VLOOKUP(jablka5[[#This Row],[Nazwa]],cennik[],2,0) * jablka5[[#This Row],[sprzedaż]]</f>
        <v>597.5</v>
      </c>
      <c r="G1531" s="1">
        <f>IF(jablka5[[#This Row],[NIP]]=D1530,jablka5[[#This Row],[sprzedaż]]+G1530,jablka5[[#This Row],[sprzedaż]])</f>
        <v>11300</v>
      </c>
      <c r="H1531" s="1">
        <f>IF(jablka5[[#This Row],[dot sprz]]&lt;15000,0,IF(jablka5[[#This Row],[dot sprz]]&lt;20000,5,10))</f>
        <v>0</v>
      </c>
      <c r="I1531" s="1">
        <f>jablka5[[#This Row],[rabat]]*jablka5[[#This Row],[sprzedaż]]/100</f>
        <v>0</v>
      </c>
    </row>
    <row r="1532" spans="1:9" x14ac:dyDescent="0.25">
      <c r="A1532" s="2">
        <v>44874</v>
      </c>
      <c r="B1532" s="1" t="s">
        <v>9</v>
      </c>
      <c r="C1532" s="1" t="s">
        <v>67</v>
      </c>
      <c r="D1532" s="1" t="s">
        <v>43</v>
      </c>
      <c r="E1532">
        <v>167</v>
      </c>
      <c r="F1532" s="1">
        <f>VLOOKUP(jablka5[[#This Row],[Nazwa]],cennik[],2,0) * jablka5[[#This Row],[sprzedaż]]</f>
        <v>417.5</v>
      </c>
      <c r="G1532" s="1">
        <f>IF(jablka5[[#This Row],[NIP]]=D1531,jablka5[[#This Row],[sprzedaż]]+G1531,jablka5[[#This Row],[sprzedaż]])</f>
        <v>11467</v>
      </c>
      <c r="H1532" s="1">
        <f>IF(jablka5[[#This Row],[dot sprz]]&lt;15000,0,IF(jablka5[[#This Row],[dot sprz]]&lt;20000,5,10))</f>
        <v>0</v>
      </c>
      <c r="I1532" s="1">
        <f>jablka5[[#This Row],[rabat]]*jablka5[[#This Row],[sprzedaż]]/100</f>
        <v>0</v>
      </c>
    </row>
    <row r="1533" spans="1:9" x14ac:dyDescent="0.25">
      <c r="A1533" s="2">
        <v>44879</v>
      </c>
      <c r="B1533" s="1" t="s">
        <v>1</v>
      </c>
      <c r="C1533" s="1" t="s">
        <v>67</v>
      </c>
      <c r="D1533" s="1" t="s">
        <v>43</v>
      </c>
      <c r="E1533">
        <v>423</v>
      </c>
      <c r="F1533" s="1">
        <f>VLOOKUP(jablka5[[#This Row],[Nazwa]],cennik[],2,0) * jablka5[[#This Row],[sprzedaż]]</f>
        <v>1353.6000000000001</v>
      </c>
      <c r="G1533" s="1">
        <f>IF(jablka5[[#This Row],[NIP]]=D1532,jablka5[[#This Row],[sprzedaż]]+G1532,jablka5[[#This Row],[sprzedaż]])</f>
        <v>11890</v>
      </c>
      <c r="H1533" s="1">
        <f>IF(jablka5[[#This Row],[dot sprz]]&lt;15000,0,IF(jablka5[[#This Row],[dot sprz]]&lt;20000,5,10))</f>
        <v>0</v>
      </c>
      <c r="I1533" s="1">
        <f>jablka5[[#This Row],[rabat]]*jablka5[[#This Row],[sprzedaż]]/100</f>
        <v>0</v>
      </c>
    </row>
    <row r="1534" spans="1:9" x14ac:dyDescent="0.25">
      <c r="A1534" s="2">
        <v>44883</v>
      </c>
      <c r="B1534" s="1" t="s">
        <v>11</v>
      </c>
      <c r="C1534" s="1" t="s">
        <v>67</v>
      </c>
      <c r="D1534" s="1" t="s">
        <v>43</v>
      </c>
      <c r="E1534">
        <v>246</v>
      </c>
      <c r="F1534" s="1">
        <f>VLOOKUP(jablka5[[#This Row],[Nazwa]],cennik[],2,0) * jablka5[[#This Row],[sprzedaż]]</f>
        <v>615</v>
      </c>
      <c r="G1534" s="1">
        <f>IF(jablka5[[#This Row],[NIP]]=D1533,jablka5[[#This Row],[sprzedaż]]+G1533,jablka5[[#This Row],[sprzedaż]])</f>
        <v>12136</v>
      </c>
      <c r="H1534" s="1">
        <f>IF(jablka5[[#This Row],[dot sprz]]&lt;15000,0,IF(jablka5[[#This Row],[dot sprz]]&lt;20000,5,10))</f>
        <v>0</v>
      </c>
      <c r="I1534" s="1">
        <f>jablka5[[#This Row],[rabat]]*jablka5[[#This Row],[sprzedaż]]/100</f>
        <v>0</v>
      </c>
    </row>
    <row r="1535" spans="1:9" x14ac:dyDescent="0.25">
      <c r="A1535" s="2">
        <v>44886</v>
      </c>
      <c r="B1535" s="1" t="s">
        <v>3</v>
      </c>
      <c r="C1535" s="1" t="s">
        <v>67</v>
      </c>
      <c r="D1535" s="1" t="s">
        <v>43</v>
      </c>
      <c r="E1535">
        <v>225</v>
      </c>
      <c r="F1535" s="1">
        <f>VLOOKUP(jablka5[[#This Row],[Nazwa]],cennik[],2,0) * jablka5[[#This Row],[sprzedaż]]</f>
        <v>720</v>
      </c>
      <c r="G1535" s="1">
        <f>IF(jablka5[[#This Row],[NIP]]=D1534,jablka5[[#This Row],[sprzedaż]]+G1534,jablka5[[#This Row],[sprzedaż]])</f>
        <v>12361</v>
      </c>
      <c r="H1535" s="1">
        <f>IF(jablka5[[#This Row],[dot sprz]]&lt;15000,0,IF(jablka5[[#This Row],[dot sprz]]&lt;20000,5,10))</f>
        <v>0</v>
      </c>
      <c r="I1535" s="1">
        <f>jablka5[[#This Row],[rabat]]*jablka5[[#This Row],[sprzedaż]]/100</f>
        <v>0</v>
      </c>
    </row>
    <row r="1536" spans="1:9" x14ac:dyDescent="0.25">
      <c r="A1536" s="2">
        <v>44887</v>
      </c>
      <c r="B1536" s="1" t="s">
        <v>14</v>
      </c>
      <c r="C1536" s="1" t="s">
        <v>67</v>
      </c>
      <c r="D1536" s="1" t="s">
        <v>43</v>
      </c>
      <c r="E1536">
        <v>307</v>
      </c>
      <c r="F1536" s="1">
        <f>VLOOKUP(jablka5[[#This Row],[Nazwa]],cennik[],2,0) * jablka5[[#This Row],[sprzedaż]]</f>
        <v>1074.5</v>
      </c>
      <c r="G1536" s="1">
        <f>IF(jablka5[[#This Row],[NIP]]=D1535,jablka5[[#This Row],[sprzedaż]]+G1535,jablka5[[#This Row],[sprzedaż]])</f>
        <v>12668</v>
      </c>
      <c r="H1536" s="1">
        <f>IF(jablka5[[#This Row],[dot sprz]]&lt;15000,0,IF(jablka5[[#This Row],[dot sprz]]&lt;20000,5,10))</f>
        <v>0</v>
      </c>
      <c r="I1536" s="1">
        <f>jablka5[[#This Row],[rabat]]*jablka5[[#This Row],[sprzedaż]]/100</f>
        <v>0</v>
      </c>
    </row>
    <row r="1537" spans="1:9" x14ac:dyDescent="0.25">
      <c r="A1537" s="2">
        <v>44890</v>
      </c>
      <c r="B1537" s="1" t="s">
        <v>14</v>
      </c>
      <c r="C1537" s="1" t="s">
        <v>67</v>
      </c>
      <c r="D1537" s="1" t="s">
        <v>43</v>
      </c>
      <c r="E1537">
        <v>46</v>
      </c>
      <c r="F1537" s="1">
        <f>VLOOKUP(jablka5[[#This Row],[Nazwa]],cennik[],2,0) * jablka5[[#This Row],[sprzedaż]]</f>
        <v>161</v>
      </c>
      <c r="G1537" s="1">
        <f>IF(jablka5[[#This Row],[NIP]]=D1536,jablka5[[#This Row],[sprzedaż]]+G1536,jablka5[[#This Row],[sprzedaż]])</f>
        <v>12714</v>
      </c>
      <c r="H1537" s="1">
        <f>IF(jablka5[[#This Row],[dot sprz]]&lt;15000,0,IF(jablka5[[#This Row],[dot sprz]]&lt;20000,5,10))</f>
        <v>0</v>
      </c>
      <c r="I1537" s="1">
        <f>jablka5[[#This Row],[rabat]]*jablka5[[#This Row],[sprzedaż]]/100</f>
        <v>0</v>
      </c>
    </row>
    <row r="1538" spans="1:9" x14ac:dyDescent="0.25">
      <c r="A1538" s="2">
        <v>44914</v>
      </c>
      <c r="B1538" s="1" t="s">
        <v>7</v>
      </c>
      <c r="C1538" s="1" t="s">
        <v>16</v>
      </c>
      <c r="D1538" s="1" t="s">
        <v>43</v>
      </c>
      <c r="E1538">
        <v>283</v>
      </c>
      <c r="F1538" s="1">
        <f>VLOOKUP(jablka5[[#This Row],[Nazwa]],cennik[],2,0) * jablka5[[#This Row],[sprzedaż]]</f>
        <v>962.19999999999993</v>
      </c>
      <c r="G1538" s="1">
        <f>IF(jablka5[[#This Row],[NIP]]=D1537,jablka5[[#This Row],[sprzedaż]]+G1537,jablka5[[#This Row],[sprzedaż]])</f>
        <v>12997</v>
      </c>
      <c r="H1538" s="1">
        <f>IF(jablka5[[#This Row],[dot sprz]]&lt;15000,0,IF(jablka5[[#This Row],[dot sprz]]&lt;20000,5,10))</f>
        <v>0</v>
      </c>
      <c r="I1538" s="1">
        <f>jablka5[[#This Row],[rabat]]*jablka5[[#This Row],[sprzedaż]]/100</f>
        <v>0</v>
      </c>
    </row>
    <row r="1539" spans="1:9" x14ac:dyDescent="0.25">
      <c r="A1539" s="2">
        <v>44916</v>
      </c>
      <c r="B1539" s="1" t="s">
        <v>0</v>
      </c>
      <c r="C1539" s="1" t="s">
        <v>16</v>
      </c>
      <c r="D1539" s="1" t="s">
        <v>43</v>
      </c>
      <c r="E1539">
        <v>216</v>
      </c>
      <c r="F1539" s="1">
        <f>VLOOKUP(jablka5[[#This Row],[Nazwa]],cennik[],2,0) * jablka5[[#This Row],[sprzedaż]]</f>
        <v>626.4</v>
      </c>
      <c r="G1539" s="1">
        <f>IF(jablka5[[#This Row],[NIP]]=D1538,jablka5[[#This Row],[sprzedaż]]+G1538,jablka5[[#This Row],[sprzedaż]])</f>
        <v>13213</v>
      </c>
      <c r="H1539" s="1">
        <f>IF(jablka5[[#This Row],[dot sprz]]&lt;15000,0,IF(jablka5[[#This Row],[dot sprz]]&lt;20000,5,10))</f>
        <v>0</v>
      </c>
      <c r="I1539" s="1">
        <f>jablka5[[#This Row],[rabat]]*jablka5[[#This Row],[sprzedaż]]/100</f>
        <v>0</v>
      </c>
    </row>
    <row r="1540" spans="1:9" x14ac:dyDescent="0.25">
      <c r="A1540" s="2">
        <v>44578</v>
      </c>
      <c r="B1540" s="1" t="s">
        <v>15</v>
      </c>
      <c r="C1540" s="1" t="s">
        <v>16</v>
      </c>
      <c r="D1540" s="1" t="s">
        <v>62</v>
      </c>
      <c r="E1540">
        <v>240</v>
      </c>
      <c r="F1540" s="1">
        <f>VLOOKUP(jablka5[[#This Row],[Nazwa]],cennik[],2,0) * jablka5[[#This Row],[sprzedaż]]</f>
        <v>576</v>
      </c>
      <c r="G1540" s="1">
        <f>IF(jablka5[[#This Row],[NIP]]=D1539,jablka5[[#This Row],[sprzedaż]]+G1539,jablka5[[#This Row],[sprzedaż]])</f>
        <v>240</v>
      </c>
      <c r="H1540" s="1">
        <f>IF(jablka5[[#This Row],[dot sprz]]&lt;15000,0,IF(jablka5[[#This Row],[dot sprz]]&lt;20000,5,10))</f>
        <v>0</v>
      </c>
      <c r="I1540" s="1">
        <f>jablka5[[#This Row],[rabat]]*jablka5[[#This Row],[sprzedaż]]/100</f>
        <v>0</v>
      </c>
    </row>
    <row r="1541" spans="1:9" x14ac:dyDescent="0.25">
      <c r="A1541" s="2">
        <v>44581</v>
      </c>
      <c r="B1541" s="1" t="s">
        <v>5</v>
      </c>
      <c r="C1541" s="1" t="s">
        <v>16</v>
      </c>
      <c r="D1541" s="1" t="s">
        <v>62</v>
      </c>
      <c r="E1541">
        <v>234</v>
      </c>
      <c r="F1541" s="1">
        <f>VLOOKUP(jablka5[[#This Row],[Nazwa]],cennik[],2,0) * jablka5[[#This Row],[sprzedaż]]</f>
        <v>795.6</v>
      </c>
      <c r="G1541" s="1">
        <f>IF(jablka5[[#This Row],[NIP]]=D1540,jablka5[[#This Row],[sprzedaż]]+G1540,jablka5[[#This Row],[sprzedaż]])</f>
        <v>474</v>
      </c>
      <c r="H1541" s="1">
        <f>IF(jablka5[[#This Row],[dot sprz]]&lt;15000,0,IF(jablka5[[#This Row],[dot sprz]]&lt;20000,5,10))</f>
        <v>0</v>
      </c>
      <c r="I1541" s="1">
        <f>jablka5[[#This Row],[rabat]]*jablka5[[#This Row],[sprzedaż]]/100</f>
        <v>0</v>
      </c>
    </row>
    <row r="1542" spans="1:9" x14ac:dyDescent="0.25">
      <c r="A1542" s="2">
        <v>44590</v>
      </c>
      <c r="B1542" s="1" t="s">
        <v>0</v>
      </c>
      <c r="C1542" s="1" t="s">
        <v>16</v>
      </c>
      <c r="D1542" s="1" t="s">
        <v>62</v>
      </c>
      <c r="E1542">
        <v>301</v>
      </c>
      <c r="F1542" s="1">
        <f>VLOOKUP(jablka5[[#This Row],[Nazwa]],cennik[],2,0) * jablka5[[#This Row],[sprzedaż]]</f>
        <v>872.9</v>
      </c>
      <c r="G1542" s="1">
        <f>IF(jablka5[[#This Row],[NIP]]=D1541,jablka5[[#This Row],[sprzedaż]]+G1541,jablka5[[#This Row],[sprzedaż]])</f>
        <v>775</v>
      </c>
      <c r="H1542" s="1">
        <f>IF(jablka5[[#This Row],[dot sprz]]&lt;15000,0,IF(jablka5[[#This Row],[dot sprz]]&lt;20000,5,10))</f>
        <v>0</v>
      </c>
      <c r="I1542" s="1">
        <f>jablka5[[#This Row],[rabat]]*jablka5[[#This Row],[sprzedaż]]/100</f>
        <v>0</v>
      </c>
    </row>
    <row r="1543" spans="1:9" x14ac:dyDescent="0.25">
      <c r="A1543" s="2">
        <v>44601</v>
      </c>
      <c r="B1543" s="1" t="s">
        <v>0</v>
      </c>
      <c r="C1543" s="1" t="s">
        <v>16</v>
      </c>
      <c r="D1543" s="1" t="s">
        <v>62</v>
      </c>
      <c r="E1543">
        <v>227</v>
      </c>
      <c r="F1543" s="1">
        <f>VLOOKUP(jablka5[[#This Row],[Nazwa]],cennik[],2,0) * jablka5[[#This Row],[sprzedaż]]</f>
        <v>658.3</v>
      </c>
      <c r="G1543" s="1">
        <f>IF(jablka5[[#This Row],[NIP]]=D1542,jablka5[[#This Row],[sprzedaż]]+G1542,jablka5[[#This Row],[sprzedaż]])</f>
        <v>1002</v>
      </c>
      <c r="H1543" s="1">
        <f>IF(jablka5[[#This Row],[dot sprz]]&lt;15000,0,IF(jablka5[[#This Row],[dot sprz]]&lt;20000,5,10))</f>
        <v>0</v>
      </c>
      <c r="I1543" s="1">
        <f>jablka5[[#This Row],[rabat]]*jablka5[[#This Row],[sprzedaż]]/100</f>
        <v>0</v>
      </c>
    </row>
    <row r="1544" spans="1:9" x14ac:dyDescent="0.25">
      <c r="A1544" s="2">
        <v>44609</v>
      </c>
      <c r="B1544" s="1" t="s">
        <v>6</v>
      </c>
      <c r="C1544" s="1" t="s">
        <v>16</v>
      </c>
      <c r="D1544" s="1" t="s">
        <v>62</v>
      </c>
      <c r="E1544">
        <v>424</v>
      </c>
      <c r="F1544" s="1">
        <f>VLOOKUP(jablka5[[#This Row],[Nazwa]],cennik[],2,0) * jablka5[[#This Row],[sprzedaż]]</f>
        <v>1441.6</v>
      </c>
      <c r="G1544" s="1">
        <f>IF(jablka5[[#This Row],[NIP]]=D1543,jablka5[[#This Row],[sprzedaż]]+G1543,jablka5[[#This Row],[sprzedaż]])</f>
        <v>1426</v>
      </c>
      <c r="H1544" s="1">
        <f>IF(jablka5[[#This Row],[dot sprz]]&lt;15000,0,IF(jablka5[[#This Row],[dot sprz]]&lt;20000,5,10))</f>
        <v>0</v>
      </c>
      <c r="I1544" s="1">
        <f>jablka5[[#This Row],[rabat]]*jablka5[[#This Row],[sprzedaż]]/100</f>
        <v>0</v>
      </c>
    </row>
    <row r="1545" spans="1:9" x14ac:dyDescent="0.25">
      <c r="A1545" s="2">
        <v>44611</v>
      </c>
      <c r="B1545" s="1" t="s">
        <v>6</v>
      </c>
      <c r="C1545" s="1" t="s">
        <v>16</v>
      </c>
      <c r="D1545" s="1" t="s">
        <v>62</v>
      </c>
      <c r="E1545">
        <v>90</v>
      </c>
      <c r="F1545" s="1">
        <f>VLOOKUP(jablka5[[#This Row],[Nazwa]],cennik[],2,0) * jablka5[[#This Row],[sprzedaż]]</f>
        <v>306</v>
      </c>
      <c r="G1545" s="1">
        <f>IF(jablka5[[#This Row],[NIP]]=D1544,jablka5[[#This Row],[sprzedaż]]+G1544,jablka5[[#This Row],[sprzedaż]])</f>
        <v>1516</v>
      </c>
      <c r="H1545" s="1">
        <f>IF(jablka5[[#This Row],[dot sprz]]&lt;15000,0,IF(jablka5[[#This Row],[dot sprz]]&lt;20000,5,10))</f>
        <v>0</v>
      </c>
      <c r="I1545" s="1">
        <f>jablka5[[#This Row],[rabat]]*jablka5[[#This Row],[sprzedaż]]/100</f>
        <v>0</v>
      </c>
    </row>
    <row r="1546" spans="1:9" x14ac:dyDescent="0.25">
      <c r="A1546" s="2">
        <v>44617</v>
      </c>
      <c r="B1546" s="1" t="s">
        <v>10</v>
      </c>
      <c r="C1546" s="1" t="s">
        <v>16</v>
      </c>
      <c r="D1546" s="1" t="s">
        <v>62</v>
      </c>
      <c r="E1546">
        <v>126</v>
      </c>
      <c r="F1546" s="1">
        <f>VLOOKUP(jablka5[[#This Row],[Nazwa]],cennik[],2,0) * jablka5[[#This Row],[sprzedaż]]</f>
        <v>428.4</v>
      </c>
      <c r="G1546" s="1">
        <f>IF(jablka5[[#This Row],[NIP]]=D1545,jablka5[[#This Row],[sprzedaż]]+G1545,jablka5[[#This Row],[sprzedaż]])</f>
        <v>1642</v>
      </c>
      <c r="H1546" s="1">
        <f>IF(jablka5[[#This Row],[dot sprz]]&lt;15000,0,IF(jablka5[[#This Row],[dot sprz]]&lt;20000,5,10))</f>
        <v>0</v>
      </c>
      <c r="I1546" s="1">
        <f>jablka5[[#This Row],[rabat]]*jablka5[[#This Row],[sprzedaż]]/100</f>
        <v>0</v>
      </c>
    </row>
    <row r="1547" spans="1:9" x14ac:dyDescent="0.25">
      <c r="A1547" s="2">
        <v>44636</v>
      </c>
      <c r="B1547" s="1" t="s">
        <v>10</v>
      </c>
      <c r="C1547" s="1" t="s">
        <v>16</v>
      </c>
      <c r="D1547" s="1" t="s">
        <v>62</v>
      </c>
      <c r="E1547">
        <v>182</v>
      </c>
      <c r="F1547" s="1">
        <f>VLOOKUP(jablka5[[#This Row],[Nazwa]],cennik[],2,0) * jablka5[[#This Row],[sprzedaż]]</f>
        <v>618.79999999999995</v>
      </c>
      <c r="G1547" s="1">
        <f>IF(jablka5[[#This Row],[NIP]]=D1546,jablka5[[#This Row],[sprzedaż]]+G1546,jablka5[[#This Row],[sprzedaż]])</f>
        <v>1824</v>
      </c>
      <c r="H1547" s="1">
        <f>IF(jablka5[[#This Row],[dot sprz]]&lt;15000,0,IF(jablka5[[#This Row],[dot sprz]]&lt;20000,5,10))</f>
        <v>0</v>
      </c>
      <c r="I1547" s="1">
        <f>jablka5[[#This Row],[rabat]]*jablka5[[#This Row],[sprzedaż]]/100</f>
        <v>0</v>
      </c>
    </row>
    <row r="1548" spans="1:9" x14ac:dyDescent="0.25">
      <c r="A1548" s="2">
        <v>44657</v>
      </c>
      <c r="B1548" s="1" t="s">
        <v>2</v>
      </c>
      <c r="C1548" s="1" t="s">
        <v>16</v>
      </c>
      <c r="D1548" s="1" t="s">
        <v>62</v>
      </c>
      <c r="E1548">
        <v>195</v>
      </c>
      <c r="F1548" s="1">
        <f>VLOOKUP(jablka5[[#This Row],[Nazwa]],cennik[],2,0) * jablka5[[#This Row],[sprzedaż]]</f>
        <v>624</v>
      </c>
      <c r="G1548" s="1">
        <f>IF(jablka5[[#This Row],[NIP]]=D1547,jablka5[[#This Row],[sprzedaż]]+G1547,jablka5[[#This Row],[sprzedaż]])</f>
        <v>2019</v>
      </c>
      <c r="H1548" s="1">
        <f>IF(jablka5[[#This Row],[dot sprz]]&lt;15000,0,IF(jablka5[[#This Row],[dot sprz]]&lt;20000,5,10))</f>
        <v>0</v>
      </c>
      <c r="I1548" s="1">
        <f>jablka5[[#This Row],[rabat]]*jablka5[[#This Row],[sprzedaż]]/100</f>
        <v>0</v>
      </c>
    </row>
    <row r="1549" spans="1:9" x14ac:dyDescent="0.25">
      <c r="A1549" s="2">
        <v>44662</v>
      </c>
      <c r="B1549" s="1" t="s">
        <v>4</v>
      </c>
      <c r="C1549" s="1" t="s">
        <v>16</v>
      </c>
      <c r="D1549" s="1" t="s">
        <v>62</v>
      </c>
      <c r="E1549">
        <v>771</v>
      </c>
      <c r="F1549" s="1">
        <f>VLOOKUP(jablka5[[#This Row],[Nazwa]],cennik[],2,0) * jablka5[[#This Row],[sprzedaż]]</f>
        <v>2621.4</v>
      </c>
      <c r="G1549" s="1">
        <f>IF(jablka5[[#This Row],[NIP]]=D1548,jablka5[[#This Row],[sprzedaż]]+G1548,jablka5[[#This Row],[sprzedaż]])</f>
        <v>2790</v>
      </c>
      <c r="H1549" s="1">
        <f>IF(jablka5[[#This Row],[dot sprz]]&lt;15000,0,IF(jablka5[[#This Row],[dot sprz]]&lt;20000,5,10))</f>
        <v>0</v>
      </c>
      <c r="I1549" s="1">
        <f>jablka5[[#This Row],[rabat]]*jablka5[[#This Row],[sprzedaż]]/100</f>
        <v>0</v>
      </c>
    </row>
    <row r="1550" spans="1:9" x14ac:dyDescent="0.25">
      <c r="A1550" s="2">
        <v>44669</v>
      </c>
      <c r="B1550" s="1" t="s">
        <v>7</v>
      </c>
      <c r="C1550" s="1" t="s">
        <v>16</v>
      </c>
      <c r="D1550" s="1" t="s">
        <v>62</v>
      </c>
      <c r="E1550">
        <v>590</v>
      </c>
      <c r="F1550" s="1">
        <f>VLOOKUP(jablka5[[#This Row],[Nazwa]],cennik[],2,0) * jablka5[[#This Row],[sprzedaż]]</f>
        <v>2006</v>
      </c>
      <c r="G1550" s="1">
        <f>IF(jablka5[[#This Row],[NIP]]=D1549,jablka5[[#This Row],[sprzedaż]]+G1549,jablka5[[#This Row],[sprzedaż]])</f>
        <v>3380</v>
      </c>
      <c r="H1550" s="1">
        <f>IF(jablka5[[#This Row],[dot sprz]]&lt;15000,0,IF(jablka5[[#This Row],[dot sprz]]&lt;20000,5,10))</f>
        <v>0</v>
      </c>
      <c r="I1550" s="1">
        <f>jablka5[[#This Row],[rabat]]*jablka5[[#This Row],[sprzedaż]]/100</f>
        <v>0</v>
      </c>
    </row>
    <row r="1551" spans="1:9" x14ac:dyDescent="0.25">
      <c r="A1551" s="2">
        <v>44678</v>
      </c>
      <c r="B1551" s="1" t="s">
        <v>2</v>
      </c>
      <c r="C1551" s="1" t="s">
        <v>16</v>
      </c>
      <c r="D1551" s="1" t="s">
        <v>62</v>
      </c>
      <c r="E1551">
        <v>404</v>
      </c>
      <c r="F1551" s="1">
        <f>VLOOKUP(jablka5[[#This Row],[Nazwa]],cennik[],2,0) * jablka5[[#This Row],[sprzedaż]]</f>
        <v>1292.8000000000002</v>
      </c>
      <c r="G1551" s="1">
        <f>IF(jablka5[[#This Row],[NIP]]=D1550,jablka5[[#This Row],[sprzedaż]]+G1550,jablka5[[#This Row],[sprzedaż]])</f>
        <v>3784</v>
      </c>
      <c r="H1551" s="1">
        <f>IF(jablka5[[#This Row],[dot sprz]]&lt;15000,0,IF(jablka5[[#This Row],[dot sprz]]&lt;20000,5,10))</f>
        <v>0</v>
      </c>
      <c r="I1551" s="1">
        <f>jablka5[[#This Row],[rabat]]*jablka5[[#This Row],[sprzedaż]]/100</f>
        <v>0</v>
      </c>
    </row>
    <row r="1552" spans="1:9" x14ac:dyDescent="0.25">
      <c r="A1552" s="2">
        <v>44678</v>
      </c>
      <c r="B1552" s="1" t="s">
        <v>7</v>
      </c>
      <c r="C1552" s="1" t="s">
        <v>16</v>
      </c>
      <c r="D1552" s="1" t="s">
        <v>62</v>
      </c>
      <c r="E1552">
        <v>475</v>
      </c>
      <c r="F1552" s="1">
        <f>VLOOKUP(jablka5[[#This Row],[Nazwa]],cennik[],2,0) * jablka5[[#This Row],[sprzedaż]]</f>
        <v>1615</v>
      </c>
      <c r="G1552" s="1">
        <f>IF(jablka5[[#This Row],[NIP]]=D1551,jablka5[[#This Row],[sprzedaż]]+G1551,jablka5[[#This Row],[sprzedaż]])</f>
        <v>4259</v>
      </c>
      <c r="H1552" s="1">
        <f>IF(jablka5[[#This Row],[dot sprz]]&lt;15000,0,IF(jablka5[[#This Row],[dot sprz]]&lt;20000,5,10))</f>
        <v>0</v>
      </c>
      <c r="I1552" s="1">
        <f>jablka5[[#This Row],[rabat]]*jablka5[[#This Row],[sprzedaż]]/100</f>
        <v>0</v>
      </c>
    </row>
    <row r="1553" spans="1:9" x14ac:dyDescent="0.25">
      <c r="A1553" s="2">
        <v>44679</v>
      </c>
      <c r="B1553" s="1" t="s">
        <v>2</v>
      </c>
      <c r="C1553" s="1" t="s">
        <v>16</v>
      </c>
      <c r="D1553" s="1" t="s">
        <v>62</v>
      </c>
      <c r="E1553">
        <v>390</v>
      </c>
      <c r="F1553" s="1">
        <f>VLOOKUP(jablka5[[#This Row],[Nazwa]],cennik[],2,0) * jablka5[[#This Row],[sprzedaż]]</f>
        <v>1248</v>
      </c>
      <c r="G1553" s="1">
        <f>IF(jablka5[[#This Row],[NIP]]=D1552,jablka5[[#This Row],[sprzedaż]]+G1552,jablka5[[#This Row],[sprzedaż]])</f>
        <v>4649</v>
      </c>
      <c r="H1553" s="1">
        <f>IF(jablka5[[#This Row],[dot sprz]]&lt;15000,0,IF(jablka5[[#This Row],[dot sprz]]&lt;20000,5,10))</f>
        <v>0</v>
      </c>
      <c r="I1553" s="1">
        <f>jablka5[[#This Row],[rabat]]*jablka5[[#This Row],[sprzedaż]]/100</f>
        <v>0</v>
      </c>
    </row>
    <row r="1554" spans="1:9" x14ac:dyDescent="0.25">
      <c r="A1554" s="2">
        <v>44694</v>
      </c>
      <c r="B1554" s="1" t="s">
        <v>2</v>
      </c>
      <c r="C1554" s="1" t="s">
        <v>16</v>
      </c>
      <c r="D1554" s="1" t="s">
        <v>62</v>
      </c>
      <c r="E1554">
        <v>223</v>
      </c>
      <c r="F1554" s="1">
        <f>VLOOKUP(jablka5[[#This Row],[Nazwa]],cennik[],2,0) * jablka5[[#This Row],[sprzedaż]]</f>
        <v>713.6</v>
      </c>
      <c r="G1554" s="1">
        <f>IF(jablka5[[#This Row],[NIP]]=D1553,jablka5[[#This Row],[sprzedaż]]+G1553,jablka5[[#This Row],[sprzedaż]])</f>
        <v>4872</v>
      </c>
      <c r="H1554" s="1">
        <f>IF(jablka5[[#This Row],[dot sprz]]&lt;15000,0,IF(jablka5[[#This Row],[dot sprz]]&lt;20000,5,10))</f>
        <v>0</v>
      </c>
      <c r="I1554" s="1">
        <f>jablka5[[#This Row],[rabat]]*jablka5[[#This Row],[sprzedaż]]/100</f>
        <v>0</v>
      </c>
    </row>
    <row r="1555" spans="1:9" x14ac:dyDescent="0.25">
      <c r="A1555" s="2">
        <v>44695</v>
      </c>
      <c r="B1555" s="1" t="s">
        <v>6</v>
      </c>
      <c r="C1555" s="1" t="s">
        <v>16</v>
      </c>
      <c r="D1555" s="1" t="s">
        <v>62</v>
      </c>
      <c r="E1555">
        <v>97</v>
      </c>
      <c r="F1555" s="1">
        <f>VLOOKUP(jablka5[[#This Row],[Nazwa]],cennik[],2,0) * jablka5[[#This Row],[sprzedaż]]</f>
        <v>329.8</v>
      </c>
      <c r="G1555" s="1">
        <f>IF(jablka5[[#This Row],[NIP]]=D1554,jablka5[[#This Row],[sprzedaż]]+G1554,jablka5[[#This Row],[sprzedaż]])</f>
        <v>4969</v>
      </c>
      <c r="H1555" s="1">
        <f>IF(jablka5[[#This Row],[dot sprz]]&lt;15000,0,IF(jablka5[[#This Row],[dot sprz]]&lt;20000,5,10))</f>
        <v>0</v>
      </c>
      <c r="I1555" s="1">
        <f>jablka5[[#This Row],[rabat]]*jablka5[[#This Row],[sprzedaż]]/100</f>
        <v>0</v>
      </c>
    </row>
    <row r="1556" spans="1:9" x14ac:dyDescent="0.25">
      <c r="A1556" s="2">
        <v>44699</v>
      </c>
      <c r="B1556" s="1" t="s">
        <v>6</v>
      </c>
      <c r="C1556" s="1" t="s">
        <v>16</v>
      </c>
      <c r="D1556" s="1" t="s">
        <v>62</v>
      </c>
      <c r="E1556">
        <v>454</v>
      </c>
      <c r="F1556" s="1">
        <f>VLOOKUP(jablka5[[#This Row],[Nazwa]],cennik[],2,0) * jablka5[[#This Row],[sprzedaż]]</f>
        <v>1543.6</v>
      </c>
      <c r="G1556" s="1">
        <f>IF(jablka5[[#This Row],[NIP]]=D1555,jablka5[[#This Row],[sprzedaż]]+G1555,jablka5[[#This Row],[sprzedaż]])</f>
        <v>5423</v>
      </c>
      <c r="H1556" s="1">
        <f>IF(jablka5[[#This Row],[dot sprz]]&lt;15000,0,IF(jablka5[[#This Row],[dot sprz]]&lt;20000,5,10))</f>
        <v>0</v>
      </c>
      <c r="I1556" s="1">
        <f>jablka5[[#This Row],[rabat]]*jablka5[[#This Row],[sprzedaż]]/100</f>
        <v>0</v>
      </c>
    </row>
    <row r="1557" spans="1:9" x14ac:dyDescent="0.25">
      <c r="A1557" s="2">
        <v>44712</v>
      </c>
      <c r="B1557" s="1" t="s">
        <v>4</v>
      </c>
      <c r="C1557" s="1" t="s">
        <v>16</v>
      </c>
      <c r="D1557" s="1" t="s">
        <v>62</v>
      </c>
      <c r="E1557">
        <v>777</v>
      </c>
      <c r="F1557" s="1">
        <f>VLOOKUP(jablka5[[#This Row],[Nazwa]],cennik[],2,0) * jablka5[[#This Row],[sprzedaż]]</f>
        <v>2641.7999999999997</v>
      </c>
      <c r="G1557" s="1">
        <f>IF(jablka5[[#This Row],[NIP]]=D1556,jablka5[[#This Row],[sprzedaż]]+G1556,jablka5[[#This Row],[sprzedaż]])</f>
        <v>6200</v>
      </c>
      <c r="H1557" s="1">
        <f>IF(jablka5[[#This Row],[dot sprz]]&lt;15000,0,IF(jablka5[[#This Row],[dot sprz]]&lt;20000,5,10))</f>
        <v>0</v>
      </c>
      <c r="I1557" s="1">
        <f>jablka5[[#This Row],[rabat]]*jablka5[[#This Row],[sprzedaż]]/100</f>
        <v>0</v>
      </c>
    </row>
    <row r="1558" spans="1:9" x14ac:dyDescent="0.25">
      <c r="A1558" s="2">
        <v>44726</v>
      </c>
      <c r="B1558" s="1" t="s">
        <v>14</v>
      </c>
      <c r="C1558" s="1" t="s">
        <v>67</v>
      </c>
      <c r="D1558" s="1" t="s">
        <v>62</v>
      </c>
      <c r="E1558">
        <v>441</v>
      </c>
      <c r="F1558" s="1">
        <f>VLOOKUP(jablka5[[#This Row],[Nazwa]],cennik[],2,0) * jablka5[[#This Row],[sprzedaż]]</f>
        <v>1543.5</v>
      </c>
      <c r="G1558" s="1">
        <f>IF(jablka5[[#This Row],[NIP]]=D1557,jablka5[[#This Row],[sprzedaż]]+G1557,jablka5[[#This Row],[sprzedaż]])</f>
        <v>6641</v>
      </c>
      <c r="H1558" s="1">
        <f>IF(jablka5[[#This Row],[dot sprz]]&lt;15000,0,IF(jablka5[[#This Row],[dot sprz]]&lt;20000,5,10))</f>
        <v>0</v>
      </c>
      <c r="I1558" s="1">
        <f>jablka5[[#This Row],[rabat]]*jablka5[[#This Row],[sprzedaż]]/100</f>
        <v>0</v>
      </c>
    </row>
    <row r="1559" spans="1:9" x14ac:dyDescent="0.25">
      <c r="A1559" s="2">
        <v>44727</v>
      </c>
      <c r="B1559" s="1" t="s">
        <v>12</v>
      </c>
      <c r="C1559" s="1" t="s">
        <v>68</v>
      </c>
      <c r="D1559" s="1" t="s">
        <v>62</v>
      </c>
      <c r="E1559">
        <v>100</v>
      </c>
      <c r="F1559" s="1">
        <f>VLOOKUP(jablka5[[#This Row],[Nazwa]],cennik[],2,0) * jablka5[[#This Row],[sprzedaż]]</f>
        <v>270</v>
      </c>
      <c r="G1559" s="1">
        <f>IF(jablka5[[#This Row],[NIP]]=D1558,jablka5[[#This Row],[sprzedaż]]+G1558,jablka5[[#This Row],[sprzedaż]])</f>
        <v>6741</v>
      </c>
      <c r="H1559" s="1">
        <f>IF(jablka5[[#This Row],[dot sprz]]&lt;15000,0,IF(jablka5[[#This Row],[dot sprz]]&lt;20000,5,10))</f>
        <v>0</v>
      </c>
      <c r="I1559" s="1">
        <f>jablka5[[#This Row],[rabat]]*jablka5[[#This Row],[sprzedaż]]/100</f>
        <v>0</v>
      </c>
    </row>
    <row r="1560" spans="1:9" x14ac:dyDescent="0.25">
      <c r="A1560" s="2">
        <v>44737</v>
      </c>
      <c r="B1560" s="1" t="s">
        <v>14</v>
      </c>
      <c r="C1560" s="1" t="s">
        <v>67</v>
      </c>
      <c r="D1560" s="1" t="s">
        <v>62</v>
      </c>
      <c r="E1560">
        <v>269</v>
      </c>
      <c r="F1560" s="1">
        <f>VLOOKUP(jablka5[[#This Row],[Nazwa]],cennik[],2,0) * jablka5[[#This Row],[sprzedaż]]</f>
        <v>941.5</v>
      </c>
      <c r="G1560" s="1">
        <f>IF(jablka5[[#This Row],[NIP]]=D1559,jablka5[[#This Row],[sprzedaż]]+G1559,jablka5[[#This Row],[sprzedaż]])</f>
        <v>7010</v>
      </c>
      <c r="H1560" s="1">
        <f>IF(jablka5[[#This Row],[dot sprz]]&lt;15000,0,IF(jablka5[[#This Row],[dot sprz]]&lt;20000,5,10))</f>
        <v>0</v>
      </c>
      <c r="I1560" s="1">
        <f>jablka5[[#This Row],[rabat]]*jablka5[[#This Row],[sprzedaż]]/100</f>
        <v>0</v>
      </c>
    </row>
    <row r="1561" spans="1:9" x14ac:dyDescent="0.25">
      <c r="A1561" s="2">
        <v>44739</v>
      </c>
      <c r="B1561" s="1" t="s">
        <v>14</v>
      </c>
      <c r="C1561" s="1" t="s">
        <v>67</v>
      </c>
      <c r="D1561" s="1" t="s">
        <v>62</v>
      </c>
      <c r="E1561">
        <v>315</v>
      </c>
      <c r="F1561" s="1">
        <f>VLOOKUP(jablka5[[#This Row],[Nazwa]],cennik[],2,0) * jablka5[[#This Row],[sprzedaż]]</f>
        <v>1102.5</v>
      </c>
      <c r="G1561" s="1">
        <f>IF(jablka5[[#This Row],[NIP]]=D1560,jablka5[[#This Row],[sprzedaż]]+G1560,jablka5[[#This Row],[sprzedaż]])</f>
        <v>7325</v>
      </c>
      <c r="H1561" s="1">
        <f>IF(jablka5[[#This Row],[dot sprz]]&lt;15000,0,IF(jablka5[[#This Row],[dot sprz]]&lt;20000,5,10))</f>
        <v>0</v>
      </c>
      <c r="I1561" s="1">
        <f>jablka5[[#This Row],[rabat]]*jablka5[[#This Row],[sprzedaż]]/100</f>
        <v>0</v>
      </c>
    </row>
    <row r="1562" spans="1:9" x14ac:dyDescent="0.25">
      <c r="A1562" s="2">
        <v>44740</v>
      </c>
      <c r="B1562" s="1" t="s">
        <v>13</v>
      </c>
      <c r="C1562" s="1" t="s">
        <v>68</v>
      </c>
      <c r="D1562" s="1" t="s">
        <v>62</v>
      </c>
      <c r="E1562">
        <v>330</v>
      </c>
      <c r="F1562" s="1">
        <f>VLOOKUP(jablka5[[#This Row],[Nazwa]],cennik[],2,0) * jablka5[[#This Row],[sprzedaż]]</f>
        <v>1056</v>
      </c>
      <c r="G1562" s="1">
        <f>IF(jablka5[[#This Row],[NIP]]=D1561,jablka5[[#This Row],[sprzedaż]]+G1561,jablka5[[#This Row],[sprzedaż]])</f>
        <v>7655</v>
      </c>
      <c r="H1562" s="1">
        <f>IF(jablka5[[#This Row],[dot sprz]]&lt;15000,0,IF(jablka5[[#This Row],[dot sprz]]&lt;20000,5,10))</f>
        <v>0</v>
      </c>
      <c r="I1562" s="1">
        <f>jablka5[[#This Row],[rabat]]*jablka5[[#This Row],[sprzedaż]]/100</f>
        <v>0</v>
      </c>
    </row>
    <row r="1563" spans="1:9" x14ac:dyDescent="0.25">
      <c r="A1563" s="2">
        <v>44743</v>
      </c>
      <c r="B1563" s="1" t="s">
        <v>13</v>
      </c>
      <c r="C1563" s="1" t="s">
        <v>68</v>
      </c>
      <c r="D1563" s="1" t="s">
        <v>62</v>
      </c>
      <c r="E1563">
        <v>117</v>
      </c>
      <c r="F1563" s="1">
        <f>VLOOKUP(jablka5[[#This Row],[Nazwa]],cennik[],2,0) * jablka5[[#This Row],[sprzedaż]]</f>
        <v>374.40000000000003</v>
      </c>
      <c r="G1563" s="1">
        <f>IF(jablka5[[#This Row],[NIP]]=D1562,jablka5[[#This Row],[sprzedaż]]+G1562,jablka5[[#This Row],[sprzedaż]])</f>
        <v>7772</v>
      </c>
      <c r="H1563" s="1">
        <f>IF(jablka5[[#This Row],[dot sprz]]&lt;15000,0,IF(jablka5[[#This Row],[dot sprz]]&lt;20000,5,10))</f>
        <v>0</v>
      </c>
      <c r="I1563" s="1">
        <f>jablka5[[#This Row],[rabat]]*jablka5[[#This Row],[sprzedaż]]/100</f>
        <v>0</v>
      </c>
    </row>
    <row r="1564" spans="1:9" x14ac:dyDescent="0.25">
      <c r="A1564" s="2">
        <v>44746</v>
      </c>
      <c r="B1564" s="1" t="s">
        <v>12</v>
      </c>
      <c r="C1564" s="1" t="s">
        <v>68</v>
      </c>
      <c r="D1564" s="1" t="s">
        <v>62</v>
      </c>
      <c r="E1564">
        <v>445</v>
      </c>
      <c r="F1564" s="1">
        <f>VLOOKUP(jablka5[[#This Row],[Nazwa]],cennik[],2,0) * jablka5[[#This Row],[sprzedaż]]</f>
        <v>1201.5</v>
      </c>
      <c r="G1564" s="1">
        <f>IF(jablka5[[#This Row],[NIP]]=D1563,jablka5[[#This Row],[sprzedaż]]+G1563,jablka5[[#This Row],[sprzedaż]])</f>
        <v>8217</v>
      </c>
      <c r="H1564" s="1">
        <f>IF(jablka5[[#This Row],[dot sprz]]&lt;15000,0,IF(jablka5[[#This Row],[dot sprz]]&lt;20000,5,10))</f>
        <v>0</v>
      </c>
      <c r="I1564" s="1">
        <f>jablka5[[#This Row],[rabat]]*jablka5[[#This Row],[sprzedaż]]/100</f>
        <v>0</v>
      </c>
    </row>
    <row r="1565" spans="1:9" x14ac:dyDescent="0.25">
      <c r="A1565" s="2">
        <v>44747</v>
      </c>
      <c r="B1565" s="1" t="s">
        <v>13</v>
      </c>
      <c r="C1565" s="1" t="s">
        <v>68</v>
      </c>
      <c r="D1565" s="1" t="s">
        <v>62</v>
      </c>
      <c r="E1565">
        <v>409</v>
      </c>
      <c r="F1565" s="1">
        <f>VLOOKUP(jablka5[[#This Row],[Nazwa]],cennik[],2,0) * jablka5[[#This Row],[sprzedaż]]</f>
        <v>1308.8000000000002</v>
      </c>
      <c r="G1565" s="1">
        <f>IF(jablka5[[#This Row],[NIP]]=D1564,jablka5[[#This Row],[sprzedaż]]+G1564,jablka5[[#This Row],[sprzedaż]])</f>
        <v>8626</v>
      </c>
      <c r="H1565" s="1">
        <f>IF(jablka5[[#This Row],[dot sprz]]&lt;15000,0,IF(jablka5[[#This Row],[dot sprz]]&lt;20000,5,10))</f>
        <v>0</v>
      </c>
      <c r="I1565" s="1">
        <f>jablka5[[#This Row],[rabat]]*jablka5[[#This Row],[sprzedaż]]/100</f>
        <v>0</v>
      </c>
    </row>
    <row r="1566" spans="1:9" x14ac:dyDescent="0.25">
      <c r="A1566" s="2">
        <v>44749</v>
      </c>
      <c r="B1566" s="1" t="s">
        <v>12</v>
      </c>
      <c r="C1566" s="1" t="s">
        <v>68</v>
      </c>
      <c r="D1566" s="1" t="s">
        <v>62</v>
      </c>
      <c r="E1566">
        <v>442</v>
      </c>
      <c r="F1566" s="1">
        <f>VLOOKUP(jablka5[[#This Row],[Nazwa]],cennik[],2,0) * jablka5[[#This Row],[sprzedaż]]</f>
        <v>1193.4000000000001</v>
      </c>
      <c r="G1566" s="1">
        <f>IF(jablka5[[#This Row],[NIP]]=D1565,jablka5[[#This Row],[sprzedaż]]+G1565,jablka5[[#This Row],[sprzedaż]])</f>
        <v>9068</v>
      </c>
      <c r="H1566" s="1">
        <f>IF(jablka5[[#This Row],[dot sprz]]&lt;15000,0,IF(jablka5[[#This Row],[dot sprz]]&lt;20000,5,10))</f>
        <v>0</v>
      </c>
      <c r="I1566" s="1">
        <f>jablka5[[#This Row],[rabat]]*jablka5[[#This Row],[sprzedaż]]/100</f>
        <v>0</v>
      </c>
    </row>
    <row r="1567" spans="1:9" x14ac:dyDescent="0.25">
      <c r="A1567" s="2">
        <v>44754</v>
      </c>
      <c r="B1567" s="1" t="s">
        <v>13</v>
      </c>
      <c r="C1567" s="1" t="s">
        <v>68</v>
      </c>
      <c r="D1567" s="1" t="s">
        <v>62</v>
      </c>
      <c r="E1567">
        <v>405</v>
      </c>
      <c r="F1567" s="1">
        <f>VLOOKUP(jablka5[[#This Row],[Nazwa]],cennik[],2,0) * jablka5[[#This Row],[sprzedaż]]</f>
        <v>1296</v>
      </c>
      <c r="G1567" s="1">
        <f>IF(jablka5[[#This Row],[NIP]]=D1566,jablka5[[#This Row],[sprzedaż]]+G1566,jablka5[[#This Row],[sprzedaż]])</f>
        <v>9473</v>
      </c>
      <c r="H1567" s="1">
        <f>IF(jablka5[[#This Row],[dot sprz]]&lt;15000,0,IF(jablka5[[#This Row],[dot sprz]]&lt;20000,5,10))</f>
        <v>0</v>
      </c>
      <c r="I1567" s="1">
        <f>jablka5[[#This Row],[rabat]]*jablka5[[#This Row],[sprzedaż]]/100</f>
        <v>0</v>
      </c>
    </row>
    <row r="1568" spans="1:9" x14ac:dyDescent="0.25">
      <c r="A1568" s="2">
        <v>44757</v>
      </c>
      <c r="B1568" s="1" t="s">
        <v>12</v>
      </c>
      <c r="C1568" s="1" t="s">
        <v>68</v>
      </c>
      <c r="D1568" s="1" t="s">
        <v>62</v>
      </c>
      <c r="E1568">
        <v>249</v>
      </c>
      <c r="F1568" s="1">
        <f>VLOOKUP(jablka5[[#This Row],[Nazwa]],cennik[],2,0) * jablka5[[#This Row],[sprzedaż]]</f>
        <v>672.30000000000007</v>
      </c>
      <c r="G1568" s="1">
        <f>IF(jablka5[[#This Row],[NIP]]=D1567,jablka5[[#This Row],[sprzedaż]]+G1567,jablka5[[#This Row],[sprzedaż]])</f>
        <v>9722</v>
      </c>
      <c r="H1568" s="1">
        <f>IF(jablka5[[#This Row],[dot sprz]]&lt;15000,0,IF(jablka5[[#This Row],[dot sprz]]&lt;20000,5,10))</f>
        <v>0</v>
      </c>
      <c r="I1568" s="1">
        <f>jablka5[[#This Row],[rabat]]*jablka5[[#This Row],[sprzedaż]]/100</f>
        <v>0</v>
      </c>
    </row>
    <row r="1569" spans="1:9" x14ac:dyDescent="0.25">
      <c r="A1569" s="2">
        <v>44763</v>
      </c>
      <c r="B1569" s="1" t="s">
        <v>14</v>
      </c>
      <c r="C1569" s="1" t="s">
        <v>67</v>
      </c>
      <c r="D1569" s="1" t="s">
        <v>62</v>
      </c>
      <c r="E1569">
        <v>97</v>
      </c>
      <c r="F1569" s="1">
        <f>VLOOKUP(jablka5[[#This Row],[Nazwa]],cennik[],2,0) * jablka5[[#This Row],[sprzedaż]]</f>
        <v>339.5</v>
      </c>
      <c r="G1569" s="1">
        <f>IF(jablka5[[#This Row],[NIP]]=D1568,jablka5[[#This Row],[sprzedaż]]+G1568,jablka5[[#This Row],[sprzedaż]])</f>
        <v>9819</v>
      </c>
      <c r="H1569" s="1">
        <f>IF(jablka5[[#This Row],[dot sprz]]&lt;15000,0,IF(jablka5[[#This Row],[dot sprz]]&lt;20000,5,10))</f>
        <v>0</v>
      </c>
      <c r="I1569" s="1">
        <f>jablka5[[#This Row],[rabat]]*jablka5[[#This Row],[sprzedaż]]/100</f>
        <v>0</v>
      </c>
    </row>
    <row r="1570" spans="1:9" x14ac:dyDescent="0.25">
      <c r="A1570" s="2">
        <v>44767</v>
      </c>
      <c r="B1570" s="1" t="s">
        <v>12</v>
      </c>
      <c r="C1570" s="1" t="s">
        <v>68</v>
      </c>
      <c r="D1570" s="1" t="s">
        <v>62</v>
      </c>
      <c r="E1570">
        <v>227</v>
      </c>
      <c r="F1570" s="1">
        <f>VLOOKUP(jablka5[[#This Row],[Nazwa]],cennik[],2,0) * jablka5[[#This Row],[sprzedaż]]</f>
        <v>612.90000000000009</v>
      </c>
      <c r="G1570" s="1">
        <f>IF(jablka5[[#This Row],[NIP]]=D1569,jablka5[[#This Row],[sprzedaż]]+G1569,jablka5[[#This Row],[sprzedaż]])</f>
        <v>10046</v>
      </c>
      <c r="H1570" s="1">
        <f>IF(jablka5[[#This Row],[dot sprz]]&lt;15000,0,IF(jablka5[[#This Row],[dot sprz]]&lt;20000,5,10))</f>
        <v>0</v>
      </c>
      <c r="I1570" s="1">
        <f>jablka5[[#This Row],[rabat]]*jablka5[[#This Row],[sprzedaż]]/100</f>
        <v>0</v>
      </c>
    </row>
    <row r="1571" spans="1:9" x14ac:dyDescent="0.25">
      <c r="A1571" s="2">
        <v>44771</v>
      </c>
      <c r="B1571" s="1" t="s">
        <v>14</v>
      </c>
      <c r="C1571" s="1" t="s">
        <v>67</v>
      </c>
      <c r="D1571" s="1" t="s">
        <v>62</v>
      </c>
      <c r="E1571">
        <v>485</v>
      </c>
      <c r="F1571" s="1">
        <f>VLOOKUP(jablka5[[#This Row],[Nazwa]],cennik[],2,0) * jablka5[[#This Row],[sprzedaż]]</f>
        <v>1697.5</v>
      </c>
      <c r="G1571" s="1">
        <f>IF(jablka5[[#This Row],[NIP]]=D1570,jablka5[[#This Row],[sprzedaż]]+G1570,jablka5[[#This Row],[sprzedaż]])</f>
        <v>10531</v>
      </c>
      <c r="H1571" s="1">
        <f>IF(jablka5[[#This Row],[dot sprz]]&lt;15000,0,IF(jablka5[[#This Row],[dot sprz]]&lt;20000,5,10))</f>
        <v>0</v>
      </c>
      <c r="I1571" s="1">
        <f>jablka5[[#This Row],[rabat]]*jablka5[[#This Row],[sprzedaż]]/100</f>
        <v>0</v>
      </c>
    </row>
    <row r="1572" spans="1:9" x14ac:dyDescent="0.25">
      <c r="A1572" s="2">
        <v>44772</v>
      </c>
      <c r="B1572" s="1" t="s">
        <v>12</v>
      </c>
      <c r="C1572" s="1" t="s">
        <v>68</v>
      </c>
      <c r="D1572" s="1" t="s">
        <v>62</v>
      </c>
      <c r="E1572">
        <v>40</v>
      </c>
      <c r="F1572" s="1">
        <f>VLOOKUP(jablka5[[#This Row],[Nazwa]],cennik[],2,0) * jablka5[[#This Row],[sprzedaż]]</f>
        <v>108</v>
      </c>
      <c r="G1572" s="1">
        <f>IF(jablka5[[#This Row],[NIP]]=D1571,jablka5[[#This Row],[sprzedaż]]+G1571,jablka5[[#This Row],[sprzedaż]])</f>
        <v>10571</v>
      </c>
      <c r="H1572" s="1">
        <f>IF(jablka5[[#This Row],[dot sprz]]&lt;15000,0,IF(jablka5[[#This Row],[dot sprz]]&lt;20000,5,10))</f>
        <v>0</v>
      </c>
      <c r="I1572" s="1">
        <f>jablka5[[#This Row],[rabat]]*jablka5[[#This Row],[sprzedaż]]/100</f>
        <v>0</v>
      </c>
    </row>
    <row r="1573" spans="1:9" x14ac:dyDescent="0.25">
      <c r="A1573" s="2">
        <v>44781</v>
      </c>
      <c r="B1573" s="1" t="s">
        <v>12</v>
      </c>
      <c r="C1573" s="1" t="s">
        <v>68</v>
      </c>
      <c r="D1573" s="1" t="s">
        <v>62</v>
      </c>
      <c r="E1573">
        <v>133</v>
      </c>
      <c r="F1573" s="1">
        <f>VLOOKUP(jablka5[[#This Row],[Nazwa]],cennik[],2,0) * jablka5[[#This Row],[sprzedaż]]</f>
        <v>359.1</v>
      </c>
      <c r="G1573" s="1">
        <f>IF(jablka5[[#This Row],[NIP]]=D1572,jablka5[[#This Row],[sprzedaż]]+G1572,jablka5[[#This Row],[sprzedaż]])</f>
        <v>10704</v>
      </c>
      <c r="H1573" s="1">
        <f>IF(jablka5[[#This Row],[dot sprz]]&lt;15000,0,IF(jablka5[[#This Row],[dot sprz]]&lt;20000,5,10))</f>
        <v>0</v>
      </c>
      <c r="I1573" s="1">
        <f>jablka5[[#This Row],[rabat]]*jablka5[[#This Row],[sprzedaż]]/100</f>
        <v>0</v>
      </c>
    </row>
    <row r="1574" spans="1:9" x14ac:dyDescent="0.25">
      <c r="A1574" s="2">
        <v>44781</v>
      </c>
      <c r="B1574" s="1" t="s">
        <v>14</v>
      </c>
      <c r="C1574" s="1" t="s">
        <v>67</v>
      </c>
      <c r="D1574" s="1" t="s">
        <v>62</v>
      </c>
      <c r="E1574">
        <v>22</v>
      </c>
      <c r="F1574" s="1">
        <f>VLOOKUP(jablka5[[#This Row],[Nazwa]],cennik[],2,0) * jablka5[[#This Row],[sprzedaż]]</f>
        <v>77</v>
      </c>
      <c r="G1574" s="1">
        <f>IF(jablka5[[#This Row],[NIP]]=D1573,jablka5[[#This Row],[sprzedaż]]+G1573,jablka5[[#This Row],[sprzedaż]])</f>
        <v>10726</v>
      </c>
      <c r="H1574" s="1">
        <f>IF(jablka5[[#This Row],[dot sprz]]&lt;15000,0,IF(jablka5[[#This Row],[dot sprz]]&lt;20000,5,10))</f>
        <v>0</v>
      </c>
      <c r="I1574" s="1">
        <f>jablka5[[#This Row],[rabat]]*jablka5[[#This Row],[sprzedaż]]/100</f>
        <v>0</v>
      </c>
    </row>
    <row r="1575" spans="1:9" x14ac:dyDescent="0.25">
      <c r="A1575" s="2">
        <v>44789</v>
      </c>
      <c r="B1575" s="1" t="s">
        <v>13</v>
      </c>
      <c r="C1575" s="1" t="s">
        <v>68</v>
      </c>
      <c r="D1575" s="1" t="s">
        <v>62</v>
      </c>
      <c r="E1575">
        <v>354</v>
      </c>
      <c r="F1575" s="1">
        <f>VLOOKUP(jablka5[[#This Row],[Nazwa]],cennik[],2,0) * jablka5[[#This Row],[sprzedaż]]</f>
        <v>1132.8</v>
      </c>
      <c r="G1575" s="1">
        <f>IF(jablka5[[#This Row],[NIP]]=D1574,jablka5[[#This Row],[sprzedaż]]+G1574,jablka5[[#This Row],[sprzedaż]])</f>
        <v>11080</v>
      </c>
      <c r="H1575" s="1">
        <f>IF(jablka5[[#This Row],[dot sprz]]&lt;15000,0,IF(jablka5[[#This Row],[dot sprz]]&lt;20000,5,10))</f>
        <v>0</v>
      </c>
      <c r="I1575" s="1">
        <f>jablka5[[#This Row],[rabat]]*jablka5[[#This Row],[sprzedaż]]/100</f>
        <v>0</v>
      </c>
    </row>
    <row r="1576" spans="1:9" x14ac:dyDescent="0.25">
      <c r="A1576" s="2">
        <v>44812</v>
      </c>
      <c r="B1576" s="1" t="s">
        <v>11</v>
      </c>
      <c r="C1576" s="1" t="s">
        <v>67</v>
      </c>
      <c r="D1576" s="1" t="s">
        <v>62</v>
      </c>
      <c r="E1576">
        <v>386</v>
      </c>
      <c r="F1576" s="1">
        <f>VLOOKUP(jablka5[[#This Row],[Nazwa]],cennik[],2,0) * jablka5[[#This Row],[sprzedaż]]</f>
        <v>965</v>
      </c>
      <c r="G1576" s="1">
        <f>IF(jablka5[[#This Row],[NIP]]=D1575,jablka5[[#This Row],[sprzedaż]]+G1575,jablka5[[#This Row],[sprzedaż]])</f>
        <v>11466</v>
      </c>
      <c r="H1576" s="1">
        <f>IF(jablka5[[#This Row],[dot sprz]]&lt;15000,0,IF(jablka5[[#This Row],[dot sprz]]&lt;20000,5,10))</f>
        <v>0</v>
      </c>
      <c r="I1576" s="1">
        <f>jablka5[[#This Row],[rabat]]*jablka5[[#This Row],[sprzedaż]]/100</f>
        <v>0</v>
      </c>
    </row>
    <row r="1577" spans="1:9" x14ac:dyDescent="0.25">
      <c r="A1577" s="2">
        <v>44813</v>
      </c>
      <c r="B1577" s="1" t="s">
        <v>14</v>
      </c>
      <c r="C1577" s="1" t="s">
        <v>67</v>
      </c>
      <c r="D1577" s="1" t="s">
        <v>62</v>
      </c>
      <c r="E1577">
        <v>492</v>
      </c>
      <c r="F1577" s="1">
        <f>VLOOKUP(jablka5[[#This Row],[Nazwa]],cennik[],2,0) * jablka5[[#This Row],[sprzedaż]]</f>
        <v>1722</v>
      </c>
      <c r="G1577" s="1">
        <f>IF(jablka5[[#This Row],[NIP]]=D1576,jablka5[[#This Row],[sprzedaż]]+G1576,jablka5[[#This Row],[sprzedaż]])</f>
        <v>11958</v>
      </c>
      <c r="H1577" s="1">
        <f>IF(jablka5[[#This Row],[dot sprz]]&lt;15000,0,IF(jablka5[[#This Row],[dot sprz]]&lt;20000,5,10))</f>
        <v>0</v>
      </c>
      <c r="I1577" s="1">
        <f>jablka5[[#This Row],[rabat]]*jablka5[[#This Row],[sprzedaż]]/100</f>
        <v>0</v>
      </c>
    </row>
    <row r="1578" spans="1:9" x14ac:dyDescent="0.25">
      <c r="A1578" s="2">
        <v>44830</v>
      </c>
      <c r="B1578" s="1" t="s">
        <v>3</v>
      </c>
      <c r="C1578" s="1" t="s">
        <v>67</v>
      </c>
      <c r="D1578" s="1" t="s">
        <v>62</v>
      </c>
      <c r="E1578">
        <v>137</v>
      </c>
      <c r="F1578" s="1">
        <f>VLOOKUP(jablka5[[#This Row],[Nazwa]],cennik[],2,0) * jablka5[[#This Row],[sprzedaż]]</f>
        <v>438.40000000000003</v>
      </c>
      <c r="G1578" s="1">
        <f>IF(jablka5[[#This Row],[NIP]]=D1577,jablka5[[#This Row],[sprzedaż]]+G1577,jablka5[[#This Row],[sprzedaż]])</f>
        <v>12095</v>
      </c>
      <c r="H1578" s="1">
        <f>IF(jablka5[[#This Row],[dot sprz]]&lt;15000,0,IF(jablka5[[#This Row],[dot sprz]]&lt;20000,5,10))</f>
        <v>0</v>
      </c>
      <c r="I1578" s="1">
        <f>jablka5[[#This Row],[rabat]]*jablka5[[#This Row],[sprzedaż]]/100</f>
        <v>0</v>
      </c>
    </row>
    <row r="1579" spans="1:9" x14ac:dyDescent="0.25">
      <c r="A1579" s="2">
        <v>44835</v>
      </c>
      <c r="B1579" s="1" t="s">
        <v>14</v>
      </c>
      <c r="C1579" s="1" t="s">
        <v>67</v>
      </c>
      <c r="D1579" s="1" t="s">
        <v>62</v>
      </c>
      <c r="E1579">
        <v>198</v>
      </c>
      <c r="F1579" s="1">
        <f>VLOOKUP(jablka5[[#This Row],[Nazwa]],cennik[],2,0) * jablka5[[#This Row],[sprzedaż]]</f>
        <v>693</v>
      </c>
      <c r="G1579" s="1">
        <f>IF(jablka5[[#This Row],[NIP]]=D1578,jablka5[[#This Row],[sprzedaż]]+G1578,jablka5[[#This Row],[sprzedaż]])</f>
        <v>12293</v>
      </c>
      <c r="H1579" s="1">
        <f>IF(jablka5[[#This Row],[dot sprz]]&lt;15000,0,IF(jablka5[[#This Row],[dot sprz]]&lt;20000,5,10))</f>
        <v>0</v>
      </c>
      <c r="I1579" s="1">
        <f>jablka5[[#This Row],[rabat]]*jablka5[[#This Row],[sprzedaż]]/100</f>
        <v>0</v>
      </c>
    </row>
    <row r="1580" spans="1:9" x14ac:dyDescent="0.25">
      <c r="A1580" s="2">
        <v>44855</v>
      </c>
      <c r="B1580" s="1" t="s">
        <v>11</v>
      </c>
      <c r="C1580" s="1" t="s">
        <v>67</v>
      </c>
      <c r="D1580" s="1" t="s">
        <v>62</v>
      </c>
      <c r="E1580">
        <v>259</v>
      </c>
      <c r="F1580" s="1">
        <f>VLOOKUP(jablka5[[#This Row],[Nazwa]],cennik[],2,0) * jablka5[[#This Row],[sprzedaż]]</f>
        <v>647.5</v>
      </c>
      <c r="G1580" s="1">
        <f>IF(jablka5[[#This Row],[NIP]]=D1579,jablka5[[#This Row],[sprzedaż]]+G1579,jablka5[[#This Row],[sprzedaż]])</f>
        <v>12552</v>
      </c>
      <c r="H1580" s="1">
        <f>IF(jablka5[[#This Row],[dot sprz]]&lt;15000,0,IF(jablka5[[#This Row],[dot sprz]]&lt;20000,5,10))</f>
        <v>0</v>
      </c>
      <c r="I1580" s="1">
        <f>jablka5[[#This Row],[rabat]]*jablka5[[#This Row],[sprzedaż]]/100</f>
        <v>0</v>
      </c>
    </row>
    <row r="1581" spans="1:9" x14ac:dyDescent="0.25">
      <c r="A1581" s="2">
        <v>44863</v>
      </c>
      <c r="B1581" s="1" t="s">
        <v>14</v>
      </c>
      <c r="C1581" s="1" t="s">
        <v>67</v>
      </c>
      <c r="D1581" s="1" t="s">
        <v>62</v>
      </c>
      <c r="E1581">
        <v>66</v>
      </c>
      <c r="F1581" s="1">
        <f>VLOOKUP(jablka5[[#This Row],[Nazwa]],cennik[],2,0) * jablka5[[#This Row],[sprzedaż]]</f>
        <v>231</v>
      </c>
      <c r="G1581" s="1">
        <f>IF(jablka5[[#This Row],[NIP]]=D1580,jablka5[[#This Row],[sprzedaż]]+G1580,jablka5[[#This Row],[sprzedaż]])</f>
        <v>12618</v>
      </c>
      <c r="H1581" s="1">
        <f>IF(jablka5[[#This Row],[dot sprz]]&lt;15000,0,IF(jablka5[[#This Row],[dot sprz]]&lt;20000,5,10))</f>
        <v>0</v>
      </c>
      <c r="I1581" s="1">
        <f>jablka5[[#This Row],[rabat]]*jablka5[[#This Row],[sprzedaż]]/100</f>
        <v>0</v>
      </c>
    </row>
    <row r="1582" spans="1:9" x14ac:dyDescent="0.25">
      <c r="A1582" s="2">
        <v>44865</v>
      </c>
      <c r="B1582" s="1" t="s">
        <v>14</v>
      </c>
      <c r="C1582" s="1" t="s">
        <v>67</v>
      </c>
      <c r="D1582" s="1" t="s">
        <v>62</v>
      </c>
      <c r="E1582">
        <v>280</v>
      </c>
      <c r="F1582" s="1">
        <f>VLOOKUP(jablka5[[#This Row],[Nazwa]],cennik[],2,0) * jablka5[[#This Row],[sprzedaż]]</f>
        <v>980</v>
      </c>
      <c r="G1582" s="1">
        <f>IF(jablka5[[#This Row],[NIP]]=D1581,jablka5[[#This Row],[sprzedaż]]+G1581,jablka5[[#This Row],[sprzedaż]])</f>
        <v>12898</v>
      </c>
      <c r="H1582" s="1">
        <f>IF(jablka5[[#This Row],[dot sprz]]&lt;15000,0,IF(jablka5[[#This Row],[dot sprz]]&lt;20000,5,10))</f>
        <v>0</v>
      </c>
      <c r="I1582" s="1">
        <f>jablka5[[#This Row],[rabat]]*jablka5[[#This Row],[sprzedaż]]/100</f>
        <v>0</v>
      </c>
    </row>
    <row r="1583" spans="1:9" x14ac:dyDescent="0.25">
      <c r="A1583" s="2">
        <v>44867</v>
      </c>
      <c r="B1583" s="1" t="s">
        <v>11</v>
      </c>
      <c r="C1583" s="1" t="s">
        <v>67</v>
      </c>
      <c r="D1583" s="1" t="s">
        <v>62</v>
      </c>
      <c r="E1583">
        <v>403</v>
      </c>
      <c r="F1583" s="1">
        <f>VLOOKUP(jablka5[[#This Row],[Nazwa]],cennik[],2,0) * jablka5[[#This Row],[sprzedaż]]</f>
        <v>1007.5</v>
      </c>
      <c r="G1583" s="1">
        <f>IF(jablka5[[#This Row],[NIP]]=D1582,jablka5[[#This Row],[sprzedaż]]+G1582,jablka5[[#This Row],[sprzedaż]])</f>
        <v>13301</v>
      </c>
      <c r="H1583" s="1">
        <f>IF(jablka5[[#This Row],[dot sprz]]&lt;15000,0,IF(jablka5[[#This Row],[dot sprz]]&lt;20000,5,10))</f>
        <v>0</v>
      </c>
      <c r="I1583" s="1">
        <f>jablka5[[#This Row],[rabat]]*jablka5[[#This Row],[sprzedaż]]/100</f>
        <v>0</v>
      </c>
    </row>
    <row r="1584" spans="1:9" x14ac:dyDescent="0.25">
      <c r="A1584" s="2">
        <v>44880</v>
      </c>
      <c r="B1584" s="1" t="s">
        <v>14</v>
      </c>
      <c r="C1584" s="1" t="s">
        <v>67</v>
      </c>
      <c r="D1584" s="1" t="s">
        <v>62</v>
      </c>
      <c r="E1584">
        <v>217</v>
      </c>
      <c r="F1584" s="1">
        <f>VLOOKUP(jablka5[[#This Row],[Nazwa]],cennik[],2,0) * jablka5[[#This Row],[sprzedaż]]</f>
        <v>759.5</v>
      </c>
      <c r="G1584" s="1">
        <f>IF(jablka5[[#This Row],[NIP]]=D1583,jablka5[[#This Row],[sprzedaż]]+G1583,jablka5[[#This Row],[sprzedaż]])</f>
        <v>13518</v>
      </c>
      <c r="H1584" s="1">
        <f>IF(jablka5[[#This Row],[dot sprz]]&lt;15000,0,IF(jablka5[[#This Row],[dot sprz]]&lt;20000,5,10))</f>
        <v>0</v>
      </c>
      <c r="I1584" s="1">
        <f>jablka5[[#This Row],[rabat]]*jablka5[[#This Row],[sprzedaż]]/100</f>
        <v>0</v>
      </c>
    </row>
    <row r="1585" spans="1:9" x14ac:dyDescent="0.25">
      <c r="A1585" s="2">
        <v>44881</v>
      </c>
      <c r="B1585" s="1" t="s">
        <v>9</v>
      </c>
      <c r="C1585" s="1" t="s">
        <v>67</v>
      </c>
      <c r="D1585" s="1" t="s">
        <v>62</v>
      </c>
      <c r="E1585">
        <v>372</v>
      </c>
      <c r="F1585" s="1">
        <f>VLOOKUP(jablka5[[#This Row],[Nazwa]],cennik[],2,0) * jablka5[[#This Row],[sprzedaż]]</f>
        <v>930</v>
      </c>
      <c r="G1585" s="1">
        <f>IF(jablka5[[#This Row],[NIP]]=D1584,jablka5[[#This Row],[sprzedaż]]+G1584,jablka5[[#This Row],[sprzedaż]])</f>
        <v>13890</v>
      </c>
      <c r="H1585" s="1">
        <f>IF(jablka5[[#This Row],[dot sprz]]&lt;15000,0,IF(jablka5[[#This Row],[dot sprz]]&lt;20000,5,10))</f>
        <v>0</v>
      </c>
      <c r="I1585" s="1">
        <f>jablka5[[#This Row],[rabat]]*jablka5[[#This Row],[sprzedaż]]/100</f>
        <v>0</v>
      </c>
    </row>
    <row r="1586" spans="1:9" x14ac:dyDescent="0.25">
      <c r="A1586" s="2">
        <v>44886</v>
      </c>
      <c r="B1586" s="1" t="s">
        <v>11</v>
      </c>
      <c r="C1586" s="1" t="s">
        <v>67</v>
      </c>
      <c r="D1586" s="1" t="s">
        <v>62</v>
      </c>
      <c r="E1586">
        <v>189</v>
      </c>
      <c r="F1586" s="1">
        <f>VLOOKUP(jablka5[[#This Row],[Nazwa]],cennik[],2,0) * jablka5[[#This Row],[sprzedaż]]</f>
        <v>472.5</v>
      </c>
      <c r="G1586" s="1">
        <f>IF(jablka5[[#This Row],[NIP]]=D1585,jablka5[[#This Row],[sprzedaż]]+G1585,jablka5[[#This Row],[sprzedaż]])</f>
        <v>14079</v>
      </c>
      <c r="H1586" s="1">
        <f>IF(jablka5[[#This Row],[dot sprz]]&lt;15000,0,IF(jablka5[[#This Row],[dot sprz]]&lt;20000,5,10))</f>
        <v>0</v>
      </c>
      <c r="I1586" s="1">
        <f>jablka5[[#This Row],[rabat]]*jablka5[[#This Row],[sprzedaż]]/100</f>
        <v>0</v>
      </c>
    </row>
    <row r="1587" spans="1:9" x14ac:dyDescent="0.25">
      <c r="A1587" s="2">
        <v>44888</v>
      </c>
      <c r="B1587" s="1" t="s">
        <v>14</v>
      </c>
      <c r="C1587" s="1" t="s">
        <v>67</v>
      </c>
      <c r="D1587" s="1" t="s">
        <v>62</v>
      </c>
      <c r="E1587">
        <v>301</v>
      </c>
      <c r="F1587" s="1">
        <f>VLOOKUP(jablka5[[#This Row],[Nazwa]],cennik[],2,0) * jablka5[[#This Row],[sprzedaż]]</f>
        <v>1053.5</v>
      </c>
      <c r="G1587" s="1">
        <f>IF(jablka5[[#This Row],[NIP]]=D1586,jablka5[[#This Row],[sprzedaż]]+G1586,jablka5[[#This Row],[sprzedaż]])</f>
        <v>14380</v>
      </c>
      <c r="H1587" s="1">
        <f>IF(jablka5[[#This Row],[dot sprz]]&lt;15000,0,IF(jablka5[[#This Row],[dot sprz]]&lt;20000,5,10))</f>
        <v>0</v>
      </c>
      <c r="I1587" s="1">
        <f>jablka5[[#This Row],[rabat]]*jablka5[[#This Row],[sprzedaż]]/100</f>
        <v>0</v>
      </c>
    </row>
    <row r="1588" spans="1:9" x14ac:dyDescent="0.25">
      <c r="A1588" s="2">
        <v>44900</v>
      </c>
      <c r="B1588" s="1" t="s">
        <v>0</v>
      </c>
      <c r="C1588" s="1" t="s">
        <v>16</v>
      </c>
      <c r="D1588" s="1" t="s">
        <v>62</v>
      </c>
      <c r="E1588">
        <v>325</v>
      </c>
      <c r="F1588" s="1">
        <f>VLOOKUP(jablka5[[#This Row],[Nazwa]],cennik[],2,0) * jablka5[[#This Row],[sprzedaż]]</f>
        <v>942.5</v>
      </c>
      <c r="G1588" s="1">
        <f>IF(jablka5[[#This Row],[NIP]]=D1587,jablka5[[#This Row],[sprzedaż]]+G1587,jablka5[[#This Row],[sprzedaż]])</f>
        <v>14705</v>
      </c>
      <c r="H1588" s="1">
        <f>IF(jablka5[[#This Row],[dot sprz]]&lt;15000,0,IF(jablka5[[#This Row],[dot sprz]]&lt;20000,5,10))</f>
        <v>0</v>
      </c>
      <c r="I1588" s="1">
        <f>jablka5[[#This Row],[rabat]]*jablka5[[#This Row],[sprzedaż]]/100</f>
        <v>0</v>
      </c>
    </row>
    <row r="1589" spans="1:9" x14ac:dyDescent="0.25">
      <c r="A1589" s="2">
        <v>44910</v>
      </c>
      <c r="B1589" s="1" t="s">
        <v>10</v>
      </c>
      <c r="C1589" s="1" t="s">
        <v>16</v>
      </c>
      <c r="D1589" s="1" t="s">
        <v>62</v>
      </c>
      <c r="E1589">
        <v>416</v>
      </c>
      <c r="F1589" s="1">
        <f>VLOOKUP(jablka5[[#This Row],[Nazwa]],cennik[],2,0) * jablka5[[#This Row],[sprzedaż]]</f>
        <v>1414.3999999999999</v>
      </c>
      <c r="G1589" s="1">
        <f>IF(jablka5[[#This Row],[NIP]]=D1588,jablka5[[#This Row],[sprzedaż]]+G1588,jablka5[[#This Row],[sprzedaż]])</f>
        <v>15121</v>
      </c>
      <c r="H1589" s="1">
        <f>IF(jablka5[[#This Row],[dot sprz]]&lt;15000,0,IF(jablka5[[#This Row],[dot sprz]]&lt;20000,5,10))</f>
        <v>5</v>
      </c>
      <c r="I1589" s="1">
        <f>jablka5[[#This Row],[rabat]]*jablka5[[#This Row],[sprzedaż]]/100</f>
        <v>20.8</v>
      </c>
    </row>
    <row r="1590" spans="1:9" x14ac:dyDescent="0.25">
      <c r="A1590" s="2">
        <v>44911</v>
      </c>
      <c r="B1590" s="1" t="s">
        <v>15</v>
      </c>
      <c r="C1590" s="1" t="s">
        <v>16</v>
      </c>
      <c r="D1590" s="1" t="s">
        <v>62</v>
      </c>
      <c r="E1590">
        <v>359</v>
      </c>
      <c r="F1590" s="1">
        <f>VLOOKUP(jablka5[[#This Row],[Nazwa]],cennik[],2,0) * jablka5[[#This Row],[sprzedaż]]</f>
        <v>861.6</v>
      </c>
      <c r="G1590" s="1">
        <f>IF(jablka5[[#This Row],[NIP]]=D1589,jablka5[[#This Row],[sprzedaż]]+G1589,jablka5[[#This Row],[sprzedaż]])</f>
        <v>15480</v>
      </c>
      <c r="H1590" s="1">
        <f>IF(jablka5[[#This Row],[dot sprz]]&lt;15000,0,IF(jablka5[[#This Row],[dot sprz]]&lt;20000,5,10))</f>
        <v>5</v>
      </c>
      <c r="I1590" s="1">
        <f>jablka5[[#This Row],[rabat]]*jablka5[[#This Row],[sprzedaż]]/100</f>
        <v>17.95</v>
      </c>
    </row>
    <row r="1591" spans="1:9" x14ac:dyDescent="0.25">
      <c r="A1591" s="2">
        <v>44917</v>
      </c>
      <c r="B1591" s="1" t="s">
        <v>8</v>
      </c>
      <c r="C1591" s="1" t="s">
        <v>16</v>
      </c>
      <c r="D1591" s="1" t="s">
        <v>62</v>
      </c>
      <c r="E1591">
        <v>420</v>
      </c>
      <c r="F1591" s="1">
        <f>VLOOKUP(jablka5[[#This Row],[Nazwa]],cennik[],2,0) * jablka5[[#This Row],[sprzedaż]]</f>
        <v>1470</v>
      </c>
      <c r="G1591" s="1">
        <f>IF(jablka5[[#This Row],[NIP]]=D1590,jablka5[[#This Row],[sprzedaż]]+G1590,jablka5[[#This Row],[sprzedaż]])</f>
        <v>15900</v>
      </c>
      <c r="H1591" s="1">
        <f>IF(jablka5[[#This Row],[dot sprz]]&lt;15000,0,IF(jablka5[[#This Row],[dot sprz]]&lt;20000,5,10))</f>
        <v>5</v>
      </c>
      <c r="I1591" s="1">
        <f>jablka5[[#This Row],[rabat]]*jablka5[[#This Row],[sprzedaż]]/100</f>
        <v>21</v>
      </c>
    </row>
    <row r="1592" spans="1:9" x14ac:dyDescent="0.25">
      <c r="A1592" s="2">
        <v>44921</v>
      </c>
      <c r="B1592" s="1" t="s">
        <v>10</v>
      </c>
      <c r="C1592" s="1" t="s">
        <v>16</v>
      </c>
      <c r="D1592" s="1" t="s">
        <v>62</v>
      </c>
      <c r="E1592">
        <v>380</v>
      </c>
      <c r="F1592" s="1">
        <f>VLOOKUP(jablka5[[#This Row],[Nazwa]],cennik[],2,0) * jablka5[[#This Row],[sprzedaż]]</f>
        <v>1292</v>
      </c>
      <c r="G1592" s="1">
        <f>IF(jablka5[[#This Row],[NIP]]=D1591,jablka5[[#This Row],[sprzedaż]]+G1591,jablka5[[#This Row],[sprzedaż]])</f>
        <v>16280</v>
      </c>
      <c r="H1592" s="1">
        <f>IF(jablka5[[#This Row],[dot sprz]]&lt;15000,0,IF(jablka5[[#This Row],[dot sprz]]&lt;20000,5,10))</f>
        <v>5</v>
      </c>
      <c r="I1592" s="1">
        <f>jablka5[[#This Row],[rabat]]*jablka5[[#This Row],[sprzedaż]]/100</f>
        <v>19</v>
      </c>
    </row>
    <row r="1593" spans="1:9" x14ac:dyDescent="0.25">
      <c r="A1593" s="2">
        <v>44921</v>
      </c>
      <c r="B1593" s="1" t="s">
        <v>6</v>
      </c>
      <c r="C1593" s="1" t="s">
        <v>16</v>
      </c>
      <c r="D1593" s="1" t="s">
        <v>62</v>
      </c>
      <c r="E1593">
        <v>78</v>
      </c>
      <c r="F1593" s="1">
        <f>VLOOKUP(jablka5[[#This Row],[Nazwa]],cennik[],2,0) * jablka5[[#This Row],[sprzedaż]]</f>
        <v>265.2</v>
      </c>
      <c r="G1593" s="1">
        <f>IF(jablka5[[#This Row],[NIP]]=D1592,jablka5[[#This Row],[sprzedaż]]+G1592,jablka5[[#This Row],[sprzedaż]])</f>
        <v>16358</v>
      </c>
      <c r="H1593" s="1">
        <f>IF(jablka5[[#This Row],[dot sprz]]&lt;15000,0,IF(jablka5[[#This Row],[dot sprz]]&lt;20000,5,10))</f>
        <v>5</v>
      </c>
      <c r="I1593" s="1">
        <f>jablka5[[#This Row],[rabat]]*jablka5[[#This Row],[sprzedaż]]/100</f>
        <v>3.9</v>
      </c>
    </row>
    <row r="1594" spans="1:9" x14ac:dyDescent="0.25">
      <c r="A1594" s="2">
        <v>44923</v>
      </c>
      <c r="B1594" s="1" t="s">
        <v>10</v>
      </c>
      <c r="C1594" s="1" t="s">
        <v>16</v>
      </c>
      <c r="D1594" s="1" t="s">
        <v>62</v>
      </c>
      <c r="E1594">
        <v>361</v>
      </c>
      <c r="F1594" s="1">
        <f>VLOOKUP(jablka5[[#This Row],[Nazwa]],cennik[],2,0) * jablka5[[#This Row],[sprzedaż]]</f>
        <v>1227.3999999999999</v>
      </c>
      <c r="G1594" s="1">
        <f>IF(jablka5[[#This Row],[NIP]]=D1593,jablka5[[#This Row],[sprzedaż]]+G1593,jablka5[[#This Row],[sprzedaż]])</f>
        <v>16719</v>
      </c>
      <c r="H1594" s="1">
        <f>IF(jablka5[[#This Row],[dot sprz]]&lt;15000,0,IF(jablka5[[#This Row],[dot sprz]]&lt;20000,5,10))</f>
        <v>5</v>
      </c>
      <c r="I1594" s="1">
        <f>jablka5[[#This Row],[rabat]]*jablka5[[#This Row],[sprzedaż]]/100</f>
        <v>18.05</v>
      </c>
    </row>
    <row r="1595" spans="1:9" x14ac:dyDescent="0.25">
      <c r="A1595" s="2">
        <v>44564</v>
      </c>
      <c r="B1595" s="1" t="s">
        <v>8</v>
      </c>
      <c r="C1595" s="1" t="s">
        <v>16</v>
      </c>
      <c r="D1595" s="1" t="s">
        <v>19</v>
      </c>
      <c r="E1595">
        <v>242</v>
      </c>
      <c r="F1595" s="1">
        <f>VLOOKUP(jablka5[[#This Row],[Nazwa]],cennik[],2,0) * jablka5[[#This Row],[sprzedaż]]</f>
        <v>847</v>
      </c>
      <c r="G1595" s="1">
        <f>IF(jablka5[[#This Row],[NIP]]=D1594,jablka5[[#This Row],[sprzedaż]]+G1594,jablka5[[#This Row],[sprzedaż]])</f>
        <v>242</v>
      </c>
      <c r="H1595" s="1">
        <f>IF(jablka5[[#This Row],[dot sprz]]&lt;15000,0,IF(jablka5[[#This Row],[dot sprz]]&lt;20000,5,10))</f>
        <v>0</v>
      </c>
      <c r="I1595" s="1">
        <f>jablka5[[#This Row],[rabat]]*jablka5[[#This Row],[sprzedaż]]/100</f>
        <v>0</v>
      </c>
    </row>
    <row r="1596" spans="1:9" x14ac:dyDescent="0.25">
      <c r="A1596" s="2">
        <v>44565</v>
      </c>
      <c r="B1596" s="1" t="s">
        <v>0</v>
      </c>
      <c r="C1596" s="1" t="s">
        <v>16</v>
      </c>
      <c r="D1596" s="1" t="s">
        <v>19</v>
      </c>
      <c r="E1596">
        <v>368</v>
      </c>
      <c r="F1596" s="1">
        <f>VLOOKUP(jablka5[[#This Row],[Nazwa]],cennik[],2,0) * jablka5[[#This Row],[sprzedaż]]</f>
        <v>1067.2</v>
      </c>
      <c r="G1596" s="1">
        <f>IF(jablka5[[#This Row],[NIP]]=D1595,jablka5[[#This Row],[sprzedaż]]+G1595,jablka5[[#This Row],[sprzedaż]])</f>
        <v>610</v>
      </c>
      <c r="H1596" s="1">
        <f>IF(jablka5[[#This Row],[dot sprz]]&lt;15000,0,IF(jablka5[[#This Row],[dot sprz]]&lt;20000,5,10))</f>
        <v>0</v>
      </c>
      <c r="I1596" s="1">
        <f>jablka5[[#This Row],[rabat]]*jablka5[[#This Row],[sprzedaż]]/100</f>
        <v>0</v>
      </c>
    </row>
    <row r="1597" spans="1:9" x14ac:dyDescent="0.25">
      <c r="A1597" s="2">
        <v>44569</v>
      </c>
      <c r="B1597" s="1" t="s">
        <v>6</v>
      </c>
      <c r="C1597" s="1" t="s">
        <v>16</v>
      </c>
      <c r="D1597" s="1" t="s">
        <v>19</v>
      </c>
      <c r="E1597">
        <v>258</v>
      </c>
      <c r="F1597" s="1">
        <f>VLOOKUP(jablka5[[#This Row],[Nazwa]],cennik[],2,0) * jablka5[[#This Row],[sprzedaż]]</f>
        <v>877.19999999999993</v>
      </c>
      <c r="G1597" s="1">
        <f>IF(jablka5[[#This Row],[NIP]]=D1596,jablka5[[#This Row],[sprzedaż]]+G1596,jablka5[[#This Row],[sprzedaż]])</f>
        <v>868</v>
      </c>
      <c r="H1597" s="1">
        <f>IF(jablka5[[#This Row],[dot sprz]]&lt;15000,0,IF(jablka5[[#This Row],[dot sprz]]&lt;20000,5,10))</f>
        <v>0</v>
      </c>
      <c r="I1597" s="1">
        <f>jablka5[[#This Row],[rabat]]*jablka5[[#This Row],[sprzedaż]]/100</f>
        <v>0</v>
      </c>
    </row>
    <row r="1598" spans="1:9" x14ac:dyDescent="0.25">
      <c r="A1598" s="2">
        <v>44585</v>
      </c>
      <c r="B1598" s="1" t="s">
        <v>4</v>
      </c>
      <c r="C1598" s="1" t="s">
        <v>16</v>
      </c>
      <c r="D1598" s="1" t="s">
        <v>19</v>
      </c>
      <c r="E1598">
        <v>781</v>
      </c>
      <c r="F1598" s="1">
        <f>VLOOKUP(jablka5[[#This Row],[Nazwa]],cennik[],2,0) * jablka5[[#This Row],[sprzedaż]]</f>
        <v>2655.4</v>
      </c>
      <c r="G1598" s="1">
        <f>IF(jablka5[[#This Row],[NIP]]=D1597,jablka5[[#This Row],[sprzedaż]]+G1597,jablka5[[#This Row],[sprzedaż]])</f>
        <v>1649</v>
      </c>
      <c r="H1598" s="1">
        <f>IF(jablka5[[#This Row],[dot sprz]]&lt;15000,0,IF(jablka5[[#This Row],[dot sprz]]&lt;20000,5,10))</f>
        <v>0</v>
      </c>
      <c r="I1598" s="1">
        <f>jablka5[[#This Row],[rabat]]*jablka5[[#This Row],[sprzedaż]]/100</f>
        <v>0</v>
      </c>
    </row>
    <row r="1599" spans="1:9" x14ac:dyDescent="0.25">
      <c r="A1599" s="2">
        <v>44607</v>
      </c>
      <c r="B1599" s="1" t="s">
        <v>7</v>
      </c>
      <c r="C1599" s="1" t="s">
        <v>16</v>
      </c>
      <c r="D1599" s="1" t="s">
        <v>19</v>
      </c>
      <c r="E1599">
        <v>387</v>
      </c>
      <c r="F1599" s="1">
        <f>VLOOKUP(jablka5[[#This Row],[Nazwa]],cennik[],2,0) * jablka5[[#This Row],[sprzedaż]]</f>
        <v>1315.8</v>
      </c>
      <c r="G1599" s="1">
        <f>IF(jablka5[[#This Row],[NIP]]=D1598,jablka5[[#This Row],[sprzedaż]]+G1598,jablka5[[#This Row],[sprzedaż]])</f>
        <v>2036</v>
      </c>
      <c r="H1599" s="1">
        <f>IF(jablka5[[#This Row],[dot sprz]]&lt;15000,0,IF(jablka5[[#This Row],[dot sprz]]&lt;20000,5,10))</f>
        <v>0</v>
      </c>
      <c r="I1599" s="1">
        <f>jablka5[[#This Row],[rabat]]*jablka5[[#This Row],[sprzedaż]]/100</f>
        <v>0</v>
      </c>
    </row>
    <row r="1600" spans="1:9" x14ac:dyDescent="0.25">
      <c r="A1600" s="2">
        <v>44608</v>
      </c>
      <c r="B1600" s="1" t="s">
        <v>7</v>
      </c>
      <c r="C1600" s="1" t="s">
        <v>16</v>
      </c>
      <c r="D1600" s="1" t="s">
        <v>19</v>
      </c>
      <c r="E1600">
        <v>384</v>
      </c>
      <c r="F1600" s="1">
        <f>VLOOKUP(jablka5[[#This Row],[Nazwa]],cennik[],2,0) * jablka5[[#This Row],[sprzedaż]]</f>
        <v>1305.5999999999999</v>
      </c>
      <c r="G1600" s="1">
        <f>IF(jablka5[[#This Row],[NIP]]=D1599,jablka5[[#This Row],[sprzedaż]]+G1599,jablka5[[#This Row],[sprzedaż]])</f>
        <v>2420</v>
      </c>
      <c r="H1600" s="1">
        <f>IF(jablka5[[#This Row],[dot sprz]]&lt;15000,0,IF(jablka5[[#This Row],[dot sprz]]&lt;20000,5,10))</f>
        <v>0</v>
      </c>
      <c r="I1600" s="1">
        <f>jablka5[[#This Row],[rabat]]*jablka5[[#This Row],[sprzedaż]]/100</f>
        <v>0</v>
      </c>
    </row>
    <row r="1601" spans="1:9" x14ac:dyDescent="0.25">
      <c r="A1601" s="2">
        <v>44622</v>
      </c>
      <c r="B1601" s="1" t="s">
        <v>5</v>
      </c>
      <c r="C1601" s="1" t="s">
        <v>16</v>
      </c>
      <c r="D1601" s="1" t="s">
        <v>19</v>
      </c>
      <c r="E1601">
        <v>86</v>
      </c>
      <c r="F1601" s="1">
        <f>VLOOKUP(jablka5[[#This Row],[Nazwa]],cennik[],2,0) * jablka5[[#This Row],[sprzedaż]]</f>
        <v>292.39999999999998</v>
      </c>
      <c r="G1601" s="1">
        <f>IF(jablka5[[#This Row],[NIP]]=D1600,jablka5[[#This Row],[sprzedaż]]+G1600,jablka5[[#This Row],[sprzedaż]])</f>
        <v>2506</v>
      </c>
      <c r="H1601" s="1">
        <f>IF(jablka5[[#This Row],[dot sprz]]&lt;15000,0,IF(jablka5[[#This Row],[dot sprz]]&lt;20000,5,10))</f>
        <v>0</v>
      </c>
      <c r="I1601" s="1">
        <f>jablka5[[#This Row],[rabat]]*jablka5[[#This Row],[sprzedaż]]/100</f>
        <v>0</v>
      </c>
    </row>
    <row r="1602" spans="1:9" x14ac:dyDescent="0.25">
      <c r="A1602" s="2">
        <v>44629</v>
      </c>
      <c r="B1602" s="1" t="s">
        <v>4</v>
      </c>
      <c r="C1602" s="1" t="s">
        <v>16</v>
      </c>
      <c r="D1602" s="1" t="s">
        <v>19</v>
      </c>
      <c r="E1602">
        <v>768</v>
      </c>
      <c r="F1602" s="1">
        <f>VLOOKUP(jablka5[[#This Row],[Nazwa]],cennik[],2,0) * jablka5[[#This Row],[sprzedaż]]</f>
        <v>2611.1999999999998</v>
      </c>
      <c r="G1602" s="1">
        <f>IF(jablka5[[#This Row],[NIP]]=D1601,jablka5[[#This Row],[sprzedaż]]+G1601,jablka5[[#This Row],[sprzedaż]])</f>
        <v>3274</v>
      </c>
      <c r="H1602" s="1">
        <f>IF(jablka5[[#This Row],[dot sprz]]&lt;15000,0,IF(jablka5[[#This Row],[dot sprz]]&lt;20000,5,10))</f>
        <v>0</v>
      </c>
      <c r="I1602" s="1">
        <f>jablka5[[#This Row],[rabat]]*jablka5[[#This Row],[sprzedaż]]/100</f>
        <v>0</v>
      </c>
    </row>
    <row r="1603" spans="1:9" x14ac:dyDescent="0.25">
      <c r="A1603" s="2">
        <v>44641</v>
      </c>
      <c r="B1603" s="1" t="s">
        <v>6</v>
      </c>
      <c r="C1603" s="1" t="s">
        <v>16</v>
      </c>
      <c r="D1603" s="1" t="s">
        <v>19</v>
      </c>
      <c r="E1603">
        <v>193</v>
      </c>
      <c r="F1603" s="1">
        <f>VLOOKUP(jablka5[[#This Row],[Nazwa]],cennik[],2,0) * jablka5[[#This Row],[sprzedaż]]</f>
        <v>656.19999999999993</v>
      </c>
      <c r="G1603" s="1">
        <f>IF(jablka5[[#This Row],[NIP]]=D1602,jablka5[[#This Row],[sprzedaż]]+G1602,jablka5[[#This Row],[sprzedaż]])</f>
        <v>3467</v>
      </c>
      <c r="H1603" s="1">
        <f>IF(jablka5[[#This Row],[dot sprz]]&lt;15000,0,IF(jablka5[[#This Row],[dot sprz]]&lt;20000,5,10))</f>
        <v>0</v>
      </c>
      <c r="I1603" s="1">
        <f>jablka5[[#This Row],[rabat]]*jablka5[[#This Row],[sprzedaż]]/100</f>
        <v>0</v>
      </c>
    </row>
    <row r="1604" spans="1:9" x14ac:dyDescent="0.25">
      <c r="A1604" s="2">
        <v>44641</v>
      </c>
      <c r="B1604" s="1" t="s">
        <v>2</v>
      </c>
      <c r="C1604" s="1" t="s">
        <v>16</v>
      </c>
      <c r="D1604" s="1" t="s">
        <v>19</v>
      </c>
      <c r="E1604">
        <v>276</v>
      </c>
      <c r="F1604" s="1">
        <f>VLOOKUP(jablka5[[#This Row],[Nazwa]],cennik[],2,0) * jablka5[[#This Row],[sprzedaż]]</f>
        <v>883.2</v>
      </c>
      <c r="G1604" s="1">
        <f>IF(jablka5[[#This Row],[NIP]]=D1603,jablka5[[#This Row],[sprzedaż]]+G1603,jablka5[[#This Row],[sprzedaż]])</f>
        <v>3743</v>
      </c>
      <c r="H1604" s="1">
        <f>IF(jablka5[[#This Row],[dot sprz]]&lt;15000,0,IF(jablka5[[#This Row],[dot sprz]]&lt;20000,5,10))</f>
        <v>0</v>
      </c>
      <c r="I1604" s="1">
        <f>jablka5[[#This Row],[rabat]]*jablka5[[#This Row],[sprzedaż]]/100</f>
        <v>0</v>
      </c>
    </row>
    <row r="1605" spans="1:9" x14ac:dyDescent="0.25">
      <c r="A1605" s="2">
        <v>44648</v>
      </c>
      <c r="B1605" s="1" t="s">
        <v>4</v>
      </c>
      <c r="C1605" s="1" t="s">
        <v>16</v>
      </c>
      <c r="D1605" s="1" t="s">
        <v>19</v>
      </c>
      <c r="E1605">
        <v>475</v>
      </c>
      <c r="F1605" s="1">
        <f>VLOOKUP(jablka5[[#This Row],[Nazwa]],cennik[],2,0) * jablka5[[#This Row],[sprzedaż]]</f>
        <v>1615</v>
      </c>
      <c r="G1605" s="1">
        <f>IF(jablka5[[#This Row],[NIP]]=D1604,jablka5[[#This Row],[sprzedaż]]+G1604,jablka5[[#This Row],[sprzedaż]])</f>
        <v>4218</v>
      </c>
      <c r="H1605" s="1">
        <f>IF(jablka5[[#This Row],[dot sprz]]&lt;15000,0,IF(jablka5[[#This Row],[dot sprz]]&lt;20000,5,10))</f>
        <v>0</v>
      </c>
      <c r="I1605" s="1">
        <f>jablka5[[#This Row],[rabat]]*jablka5[[#This Row],[sprzedaż]]/100</f>
        <v>0</v>
      </c>
    </row>
    <row r="1606" spans="1:9" x14ac:dyDescent="0.25">
      <c r="A1606" s="2">
        <v>44666</v>
      </c>
      <c r="B1606" s="1" t="s">
        <v>5</v>
      </c>
      <c r="C1606" s="1" t="s">
        <v>16</v>
      </c>
      <c r="D1606" s="1" t="s">
        <v>19</v>
      </c>
      <c r="E1606">
        <v>263</v>
      </c>
      <c r="F1606" s="1">
        <f>VLOOKUP(jablka5[[#This Row],[Nazwa]],cennik[],2,0) * jablka5[[#This Row],[sprzedaż]]</f>
        <v>894.19999999999993</v>
      </c>
      <c r="G1606" s="1">
        <f>IF(jablka5[[#This Row],[NIP]]=D1605,jablka5[[#This Row],[sprzedaż]]+G1605,jablka5[[#This Row],[sprzedaż]])</f>
        <v>4481</v>
      </c>
      <c r="H1606" s="1">
        <f>IF(jablka5[[#This Row],[dot sprz]]&lt;15000,0,IF(jablka5[[#This Row],[dot sprz]]&lt;20000,5,10))</f>
        <v>0</v>
      </c>
      <c r="I1606" s="1">
        <f>jablka5[[#This Row],[rabat]]*jablka5[[#This Row],[sprzedaż]]/100</f>
        <v>0</v>
      </c>
    </row>
    <row r="1607" spans="1:9" x14ac:dyDescent="0.25">
      <c r="A1607" s="2">
        <v>44683</v>
      </c>
      <c r="B1607" s="1" t="s">
        <v>5</v>
      </c>
      <c r="C1607" s="1" t="s">
        <v>16</v>
      </c>
      <c r="D1607" s="1" t="s">
        <v>19</v>
      </c>
      <c r="E1607">
        <v>195</v>
      </c>
      <c r="F1607" s="1">
        <f>VLOOKUP(jablka5[[#This Row],[Nazwa]],cennik[],2,0) * jablka5[[#This Row],[sprzedaż]]</f>
        <v>663</v>
      </c>
      <c r="G1607" s="1">
        <f>IF(jablka5[[#This Row],[NIP]]=D1606,jablka5[[#This Row],[sprzedaż]]+G1606,jablka5[[#This Row],[sprzedaż]])</f>
        <v>4676</v>
      </c>
      <c r="H1607" s="1">
        <f>IF(jablka5[[#This Row],[dot sprz]]&lt;15000,0,IF(jablka5[[#This Row],[dot sprz]]&lt;20000,5,10))</f>
        <v>0</v>
      </c>
      <c r="I1607" s="1">
        <f>jablka5[[#This Row],[rabat]]*jablka5[[#This Row],[sprzedaż]]/100</f>
        <v>0</v>
      </c>
    </row>
    <row r="1608" spans="1:9" x14ac:dyDescent="0.25">
      <c r="A1608" s="2">
        <v>44686</v>
      </c>
      <c r="B1608" s="1" t="s">
        <v>0</v>
      </c>
      <c r="C1608" s="1" t="s">
        <v>16</v>
      </c>
      <c r="D1608" s="1" t="s">
        <v>19</v>
      </c>
      <c r="E1608">
        <v>53</v>
      </c>
      <c r="F1608" s="1">
        <f>VLOOKUP(jablka5[[#This Row],[Nazwa]],cennik[],2,0) * jablka5[[#This Row],[sprzedaż]]</f>
        <v>153.69999999999999</v>
      </c>
      <c r="G1608" s="1">
        <f>IF(jablka5[[#This Row],[NIP]]=D1607,jablka5[[#This Row],[sprzedaż]]+G1607,jablka5[[#This Row],[sprzedaż]])</f>
        <v>4729</v>
      </c>
      <c r="H1608" s="1">
        <f>IF(jablka5[[#This Row],[dot sprz]]&lt;15000,0,IF(jablka5[[#This Row],[dot sprz]]&lt;20000,5,10))</f>
        <v>0</v>
      </c>
      <c r="I1608" s="1">
        <f>jablka5[[#This Row],[rabat]]*jablka5[[#This Row],[sprzedaż]]/100</f>
        <v>0</v>
      </c>
    </row>
    <row r="1609" spans="1:9" x14ac:dyDescent="0.25">
      <c r="A1609" s="2">
        <v>44690</v>
      </c>
      <c r="B1609" s="1" t="s">
        <v>4</v>
      </c>
      <c r="C1609" s="1" t="s">
        <v>16</v>
      </c>
      <c r="D1609" s="1" t="s">
        <v>19</v>
      </c>
      <c r="E1609">
        <v>558</v>
      </c>
      <c r="F1609" s="1">
        <f>VLOOKUP(jablka5[[#This Row],[Nazwa]],cennik[],2,0) * jablka5[[#This Row],[sprzedaż]]</f>
        <v>1897.2</v>
      </c>
      <c r="G1609" s="1">
        <f>IF(jablka5[[#This Row],[NIP]]=D1608,jablka5[[#This Row],[sprzedaż]]+G1608,jablka5[[#This Row],[sprzedaż]])</f>
        <v>5287</v>
      </c>
      <c r="H1609" s="1">
        <f>IF(jablka5[[#This Row],[dot sprz]]&lt;15000,0,IF(jablka5[[#This Row],[dot sprz]]&lt;20000,5,10))</f>
        <v>0</v>
      </c>
      <c r="I1609" s="1">
        <f>jablka5[[#This Row],[rabat]]*jablka5[[#This Row],[sprzedaż]]/100</f>
        <v>0</v>
      </c>
    </row>
    <row r="1610" spans="1:9" x14ac:dyDescent="0.25">
      <c r="A1610" s="2">
        <v>44711</v>
      </c>
      <c r="B1610" s="1" t="s">
        <v>7</v>
      </c>
      <c r="C1610" s="1" t="s">
        <v>16</v>
      </c>
      <c r="D1610" s="1" t="s">
        <v>19</v>
      </c>
      <c r="E1610">
        <v>637</v>
      </c>
      <c r="F1610" s="1">
        <f>VLOOKUP(jablka5[[#This Row],[Nazwa]],cennik[],2,0) * jablka5[[#This Row],[sprzedaż]]</f>
        <v>2165.7999999999997</v>
      </c>
      <c r="G1610" s="1">
        <f>IF(jablka5[[#This Row],[NIP]]=D1609,jablka5[[#This Row],[sprzedaż]]+G1609,jablka5[[#This Row],[sprzedaż]])</f>
        <v>5924</v>
      </c>
      <c r="H1610" s="1">
        <f>IF(jablka5[[#This Row],[dot sprz]]&lt;15000,0,IF(jablka5[[#This Row],[dot sprz]]&lt;20000,5,10))</f>
        <v>0</v>
      </c>
      <c r="I1610" s="1">
        <f>jablka5[[#This Row],[rabat]]*jablka5[[#This Row],[sprzedaż]]/100</f>
        <v>0</v>
      </c>
    </row>
    <row r="1611" spans="1:9" x14ac:dyDescent="0.25">
      <c r="A1611" s="2">
        <v>44721</v>
      </c>
      <c r="B1611" s="1" t="s">
        <v>13</v>
      </c>
      <c r="C1611" s="1" t="s">
        <v>68</v>
      </c>
      <c r="D1611" s="1" t="s">
        <v>19</v>
      </c>
      <c r="E1611">
        <v>454</v>
      </c>
      <c r="F1611" s="1">
        <f>VLOOKUP(jablka5[[#This Row],[Nazwa]],cennik[],2,0) * jablka5[[#This Row],[sprzedaż]]</f>
        <v>1452.8000000000002</v>
      </c>
      <c r="G1611" s="1">
        <f>IF(jablka5[[#This Row],[NIP]]=D1610,jablka5[[#This Row],[sprzedaż]]+G1610,jablka5[[#This Row],[sprzedaż]])</f>
        <v>6378</v>
      </c>
      <c r="H1611" s="1">
        <f>IF(jablka5[[#This Row],[dot sprz]]&lt;15000,0,IF(jablka5[[#This Row],[dot sprz]]&lt;20000,5,10))</f>
        <v>0</v>
      </c>
      <c r="I1611" s="1">
        <f>jablka5[[#This Row],[rabat]]*jablka5[[#This Row],[sprzedaż]]/100</f>
        <v>0</v>
      </c>
    </row>
    <row r="1612" spans="1:9" x14ac:dyDescent="0.25">
      <c r="A1612" s="2">
        <v>44726</v>
      </c>
      <c r="B1612" s="1" t="s">
        <v>14</v>
      </c>
      <c r="C1612" s="1" t="s">
        <v>67</v>
      </c>
      <c r="D1612" s="1" t="s">
        <v>19</v>
      </c>
      <c r="E1612">
        <v>428</v>
      </c>
      <c r="F1612" s="1">
        <f>VLOOKUP(jablka5[[#This Row],[Nazwa]],cennik[],2,0) * jablka5[[#This Row],[sprzedaż]]</f>
        <v>1498</v>
      </c>
      <c r="G1612" s="1">
        <f>IF(jablka5[[#This Row],[NIP]]=D1611,jablka5[[#This Row],[sprzedaż]]+G1611,jablka5[[#This Row],[sprzedaż]])</f>
        <v>6806</v>
      </c>
      <c r="H1612" s="1">
        <f>IF(jablka5[[#This Row],[dot sprz]]&lt;15000,0,IF(jablka5[[#This Row],[dot sprz]]&lt;20000,5,10))</f>
        <v>0</v>
      </c>
      <c r="I1612" s="1">
        <f>jablka5[[#This Row],[rabat]]*jablka5[[#This Row],[sprzedaż]]/100</f>
        <v>0</v>
      </c>
    </row>
    <row r="1613" spans="1:9" x14ac:dyDescent="0.25">
      <c r="A1613" s="2">
        <v>44733</v>
      </c>
      <c r="B1613" s="1" t="s">
        <v>13</v>
      </c>
      <c r="C1613" s="1" t="s">
        <v>68</v>
      </c>
      <c r="D1613" s="1" t="s">
        <v>19</v>
      </c>
      <c r="E1613">
        <v>358</v>
      </c>
      <c r="F1613" s="1">
        <f>VLOOKUP(jablka5[[#This Row],[Nazwa]],cennik[],2,0) * jablka5[[#This Row],[sprzedaż]]</f>
        <v>1145.6000000000001</v>
      </c>
      <c r="G1613" s="1">
        <f>IF(jablka5[[#This Row],[NIP]]=D1612,jablka5[[#This Row],[sprzedaż]]+G1612,jablka5[[#This Row],[sprzedaż]])</f>
        <v>7164</v>
      </c>
      <c r="H1613" s="1">
        <f>IF(jablka5[[#This Row],[dot sprz]]&lt;15000,0,IF(jablka5[[#This Row],[dot sprz]]&lt;20000,5,10))</f>
        <v>0</v>
      </c>
      <c r="I1613" s="1">
        <f>jablka5[[#This Row],[rabat]]*jablka5[[#This Row],[sprzedaż]]/100</f>
        <v>0</v>
      </c>
    </row>
    <row r="1614" spans="1:9" x14ac:dyDescent="0.25">
      <c r="A1614" s="2">
        <v>44739</v>
      </c>
      <c r="B1614" s="1" t="s">
        <v>12</v>
      </c>
      <c r="C1614" s="1" t="s">
        <v>68</v>
      </c>
      <c r="D1614" s="1" t="s">
        <v>19</v>
      </c>
      <c r="E1614">
        <v>200</v>
      </c>
      <c r="F1614" s="1">
        <f>VLOOKUP(jablka5[[#This Row],[Nazwa]],cennik[],2,0) * jablka5[[#This Row],[sprzedaż]]</f>
        <v>540</v>
      </c>
      <c r="G1614" s="1">
        <f>IF(jablka5[[#This Row],[NIP]]=D1613,jablka5[[#This Row],[sprzedaż]]+G1613,jablka5[[#This Row],[sprzedaż]])</f>
        <v>7364</v>
      </c>
      <c r="H1614" s="1">
        <f>IF(jablka5[[#This Row],[dot sprz]]&lt;15000,0,IF(jablka5[[#This Row],[dot sprz]]&lt;20000,5,10))</f>
        <v>0</v>
      </c>
      <c r="I1614" s="1">
        <f>jablka5[[#This Row],[rabat]]*jablka5[[#This Row],[sprzedaż]]/100</f>
        <v>0</v>
      </c>
    </row>
    <row r="1615" spans="1:9" x14ac:dyDescent="0.25">
      <c r="A1615" s="2">
        <v>44748</v>
      </c>
      <c r="B1615" s="1" t="s">
        <v>14</v>
      </c>
      <c r="C1615" s="1" t="s">
        <v>67</v>
      </c>
      <c r="D1615" s="1" t="s">
        <v>19</v>
      </c>
      <c r="E1615">
        <v>385</v>
      </c>
      <c r="F1615" s="1">
        <f>VLOOKUP(jablka5[[#This Row],[Nazwa]],cennik[],2,0) * jablka5[[#This Row],[sprzedaż]]</f>
        <v>1347.5</v>
      </c>
      <c r="G1615" s="1">
        <f>IF(jablka5[[#This Row],[NIP]]=D1614,jablka5[[#This Row],[sprzedaż]]+G1614,jablka5[[#This Row],[sprzedaż]])</f>
        <v>7749</v>
      </c>
      <c r="H1615" s="1">
        <f>IF(jablka5[[#This Row],[dot sprz]]&lt;15000,0,IF(jablka5[[#This Row],[dot sprz]]&lt;20000,5,10))</f>
        <v>0</v>
      </c>
      <c r="I1615" s="1">
        <f>jablka5[[#This Row],[rabat]]*jablka5[[#This Row],[sprzedaż]]/100</f>
        <v>0</v>
      </c>
    </row>
    <row r="1616" spans="1:9" x14ac:dyDescent="0.25">
      <c r="A1616" s="2">
        <v>44757</v>
      </c>
      <c r="B1616" s="1" t="s">
        <v>12</v>
      </c>
      <c r="C1616" s="1" t="s">
        <v>68</v>
      </c>
      <c r="D1616" s="1" t="s">
        <v>19</v>
      </c>
      <c r="E1616">
        <v>144</v>
      </c>
      <c r="F1616" s="1">
        <f>VLOOKUP(jablka5[[#This Row],[Nazwa]],cennik[],2,0) * jablka5[[#This Row],[sprzedaż]]</f>
        <v>388.8</v>
      </c>
      <c r="G1616" s="1">
        <f>IF(jablka5[[#This Row],[NIP]]=D1615,jablka5[[#This Row],[sprzedaż]]+G1615,jablka5[[#This Row],[sprzedaż]])</f>
        <v>7893</v>
      </c>
      <c r="H1616" s="1">
        <f>IF(jablka5[[#This Row],[dot sprz]]&lt;15000,0,IF(jablka5[[#This Row],[dot sprz]]&lt;20000,5,10))</f>
        <v>0</v>
      </c>
      <c r="I1616" s="1">
        <f>jablka5[[#This Row],[rabat]]*jablka5[[#This Row],[sprzedaż]]/100</f>
        <v>0</v>
      </c>
    </row>
    <row r="1617" spans="1:9" x14ac:dyDescent="0.25">
      <c r="A1617" s="2">
        <v>44762</v>
      </c>
      <c r="B1617" s="1" t="s">
        <v>13</v>
      </c>
      <c r="C1617" s="1" t="s">
        <v>68</v>
      </c>
      <c r="D1617" s="1" t="s">
        <v>19</v>
      </c>
      <c r="E1617">
        <v>147</v>
      </c>
      <c r="F1617" s="1">
        <f>VLOOKUP(jablka5[[#This Row],[Nazwa]],cennik[],2,0) * jablka5[[#This Row],[sprzedaż]]</f>
        <v>470.40000000000003</v>
      </c>
      <c r="G1617" s="1">
        <f>IF(jablka5[[#This Row],[NIP]]=D1616,jablka5[[#This Row],[sprzedaż]]+G1616,jablka5[[#This Row],[sprzedaż]])</f>
        <v>8040</v>
      </c>
      <c r="H1617" s="1">
        <f>IF(jablka5[[#This Row],[dot sprz]]&lt;15000,0,IF(jablka5[[#This Row],[dot sprz]]&lt;20000,5,10))</f>
        <v>0</v>
      </c>
      <c r="I1617" s="1">
        <f>jablka5[[#This Row],[rabat]]*jablka5[[#This Row],[sprzedaż]]/100</f>
        <v>0</v>
      </c>
    </row>
    <row r="1618" spans="1:9" x14ac:dyDescent="0.25">
      <c r="A1618" s="2">
        <v>44764</v>
      </c>
      <c r="B1618" s="1" t="s">
        <v>13</v>
      </c>
      <c r="C1618" s="1" t="s">
        <v>68</v>
      </c>
      <c r="D1618" s="1" t="s">
        <v>19</v>
      </c>
      <c r="E1618">
        <v>481</v>
      </c>
      <c r="F1618" s="1">
        <f>VLOOKUP(jablka5[[#This Row],[Nazwa]],cennik[],2,0) * jablka5[[#This Row],[sprzedaż]]</f>
        <v>1539.2</v>
      </c>
      <c r="G1618" s="1">
        <f>IF(jablka5[[#This Row],[NIP]]=D1617,jablka5[[#This Row],[sprzedaż]]+G1617,jablka5[[#This Row],[sprzedaż]])</f>
        <v>8521</v>
      </c>
      <c r="H1618" s="1">
        <f>IF(jablka5[[#This Row],[dot sprz]]&lt;15000,0,IF(jablka5[[#This Row],[dot sprz]]&lt;20000,5,10))</f>
        <v>0</v>
      </c>
      <c r="I1618" s="1">
        <f>jablka5[[#This Row],[rabat]]*jablka5[[#This Row],[sprzedaż]]/100</f>
        <v>0</v>
      </c>
    </row>
    <row r="1619" spans="1:9" x14ac:dyDescent="0.25">
      <c r="A1619" s="2">
        <v>44767</v>
      </c>
      <c r="B1619" s="1" t="s">
        <v>12</v>
      </c>
      <c r="C1619" s="1" t="s">
        <v>68</v>
      </c>
      <c r="D1619" s="1" t="s">
        <v>19</v>
      </c>
      <c r="E1619">
        <v>497</v>
      </c>
      <c r="F1619" s="1">
        <f>VLOOKUP(jablka5[[#This Row],[Nazwa]],cennik[],2,0) * jablka5[[#This Row],[sprzedaż]]</f>
        <v>1341.9</v>
      </c>
      <c r="G1619" s="1">
        <f>IF(jablka5[[#This Row],[NIP]]=D1618,jablka5[[#This Row],[sprzedaż]]+G1618,jablka5[[#This Row],[sprzedaż]])</f>
        <v>9018</v>
      </c>
      <c r="H1619" s="1">
        <f>IF(jablka5[[#This Row],[dot sprz]]&lt;15000,0,IF(jablka5[[#This Row],[dot sprz]]&lt;20000,5,10))</f>
        <v>0</v>
      </c>
      <c r="I1619" s="1">
        <f>jablka5[[#This Row],[rabat]]*jablka5[[#This Row],[sprzedaż]]/100</f>
        <v>0</v>
      </c>
    </row>
    <row r="1620" spans="1:9" x14ac:dyDescent="0.25">
      <c r="A1620" s="2">
        <v>44785</v>
      </c>
      <c r="B1620" s="1" t="s">
        <v>13</v>
      </c>
      <c r="C1620" s="1" t="s">
        <v>68</v>
      </c>
      <c r="D1620" s="1" t="s">
        <v>19</v>
      </c>
      <c r="E1620">
        <v>179</v>
      </c>
      <c r="F1620" s="1">
        <f>VLOOKUP(jablka5[[#This Row],[Nazwa]],cennik[],2,0) * jablka5[[#This Row],[sprzedaż]]</f>
        <v>572.80000000000007</v>
      </c>
      <c r="G1620" s="1">
        <f>IF(jablka5[[#This Row],[NIP]]=D1619,jablka5[[#This Row],[sprzedaż]]+G1619,jablka5[[#This Row],[sprzedaż]])</f>
        <v>9197</v>
      </c>
      <c r="H1620" s="1">
        <f>IF(jablka5[[#This Row],[dot sprz]]&lt;15000,0,IF(jablka5[[#This Row],[dot sprz]]&lt;20000,5,10))</f>
        <v>0</v>
      </c>
      <c r="I1620" s="1">
        <f>jablka5[[#This Row],[rabat]]*jablka5[[#This Row],[sprzedaż]]/100</f>
        <v>0</v>
      </c>
    </row>
    <row r="1621" spans="1:9" x14ac:dyDescent="0.25">
      <c r="A1621" s="2">
        <v>44788</v>
      </c>
      <c r="B1621" s="1" t="s">
        <v>12</v>
      </c>
      <c r="C1621" s="1" t="s">
        <v>68</v>
      </c>
      <c r="D1621" s="1" t="s">
        <v>19</v>
      </c>
      <c r="E1621">
        <v>57</v>
      </c>
      <c r="F1621" s="1">
        <f>VLOOKUP(jablka5[[#This Row],[Nazwa]],cennik[],2,0) * jablka5[[#This Row],[sprzedaż]]</f>
        <v>153.9</v>
      </c>
      <c r="G1621" s="1">
        <f>IF(jablka5[[#This Row],[NIP]]=D1620,jablka5[[#This Row],[sprzedaż]]+G1620,jablka5[[#This Row],[sprzedaż]])</f>
        <v>9254</v>
      </c>
      <c r="H1621" s="1">
        <f>IF(jablka5[[#This Row],[dot sprz]]&lt;15000,0,IF(jablka5[[#This Row],[dot sprz]]&lt;20000,5,10))</f>
        <v>0</v>
      </c>
      <c r="I1621" s="1">
        <f>jablka5[[#This Row],[rabat]]*jablka5[[#This Row],[sprzedaż]]/100</f>
        <v>0</v>
      </c>
    </row>
    <row r="1622" spans="1:9" x14ac:dyDescent="0.25">
      <c r="A1622" s="2">
        <v>44788</v>
      </c>
      <c r="B1622" s="1" t="s">
        <v>12</v>
      </c>
      <c r="C1622" s="1" t="s">
        <v>68</v>
      </c>
      <c r="D1622" s="1" t="s">
        <v>19</v>
      </c>
      <c r="E1622">
        <v>284</v>
      </c>
      <c r="F1622" s="1">
        <f>VLOOKUP(jablka5[[#This Row],[Nazwa]],cennik[],2,0) * jablka5[[#This Row],[sprzedaż]]</f>
        <v>766.80000000000007</v>
      </c>
      <c r="G1622" s="1">
        <f>IF(jablka5[[#This Row],[NIP]]=D1621,jablka5[[#This Row],[sprzedaż]]+G1621,jablka5[[#This Row],[sprzedaż]])</f>
        <v>9538</v>
      </c>
      <c r="H1622" s="1">
        <f>IF(jablka5[[#This Row],[dot sprz]]&lt;15000,0,IF(jablka5[[#This Row],[dot sprz]]&lt;20000,5,10))</f>
        <v>0</v>
      </c>
      <c r="I1622" s="1">
        <f>jablka5[[#This Row],[rabat]]*jablka5[[#This Row],[sprzedaż]]/100</f>
        <v>0</v>
      </c>
    </row>
    <row r="1623" spans="1:9" x14ac:dyDescent="0.25">
      <c r="A1623" s="2">
        <v>44810</v>
      </c>
      <c r="B1623" s="1" t="s">
        <v>11</v>
      </c>
      <c r="C1623" s="1" t="s">
        <v>67</v>
      </c>
      <c r="D1623" s="1" t="s">
        <v>19</v>
      </c>
      <c r="E1623">
        <v>222</v>
      </c>
      <c r="F1623" s="1">
        <f>VLOOKUP(jablka5[[#This Row],[Nazwa]],cennik[],2,0) * jablka5[[#This Row],[sprzedaż]]</f>
        <v>555</v>
      </c>
      <c r="G1623" s="1">
        <f>IF(jablka5[[#This Row],[NIP]]=D1622,jablka5[[#This Row],[sprzedaż]]+G1622,jablka5[[#This Row],[sprzedaż]])</f>
        <v>9760</v>
      </c>
      <c r="H1623" s="1">
        <f>IF(jablka5[[#This Row],[dot sprz]]&lt;15000,0,IF(jablka5[[#This Row],[dot sprz]]&lt;20000,5,10))</f>
        <v>0</v>
      </c>
      <c r="I1623" s="1">
        <f>jablka5[[#This Row],[rabat]]*jablka5[[#This Row],[sprzedaż]]/100</f>
        <v>0</v>
      </c>
    </row>
    <row r="1624" spans="1:9" x14ac:dyDescent="0.25">
      <c r="A1624" s="2">
        <v>44813</v>
      </c>
      <c r="B1624" s="1" t="s">
        <v>11</v>
      </c>
      <c r="C1624" s="1" t="s">
        <v>67</v>
      </c>
      <c r="D1624" s="1" t="s">
        <v>19</v>
      </c>
      <c r="E1624">
        <v>268</v>
      </c>
      <c r="F1624" s="1">
        <f>VLOOKUP(jablka5[[#This Row],[Nazwa]],cennik[],2,0) * jablka5[[#This Row],[sprzedaż]]</f>
        <v>670</v>
      </c>
      <c r="G1624" s="1">
        <f>IF(jablka5[[#This Row],[NIP]]=D1623,jablka5[[#This Row],[sprzedaż]]+G1623,jablka5[[#This Row],[sprzedaż]])</f>
        <v>10028</v>
      </c>
      <c r="H1624" s="1">
        <f>IF(jablka5[[#This Row],[dot sprz]]&lt;15000,0,IF(jablka5[[#This Row],[dot sprz]]&lt;20000,5,10))</f>
        <v>0</v>
      </c>
      <c r="I1624" s="1">
        <f>jablka5[[#This Row],[rabat]]*jablka5[[#This Row],[sprzedaż]]/100</f>
        <v>0</v>
      </c>
    </row>
    <row r="1625" spans="1:9" x14ac:dyDescent="0.25">
      <c r="A1625" s="2">
        <v>44826</v>
      </c>
      <c r="B1625" s="1" t="s">
        <v>3</v>
      </c>
      <c r="C1625" s="1" t="s">
        <v>67</v>
      </c>
      <c r="D1625" s="1" t="s">
        <v>19</v>
      </c>
      <c r="E1625">
        <v>263</v>
      </c>
      <c r="F1625" s="1">
        <f>VLOOKUP(jablka5[[#This Row],[Nazwa]],cennik[],2,0) * jablka5[[#This Row],[sprzedaż]]</f>
        <v>841.6</v>
      </c>
      <c r="G1625" s="1">
        <f>IF(jablka5[[#This Row],[NIP]]=D1624,jablka5[[#This Row],[sprzedaż]]+G1624,jablka5[[#This Row],[sprzedaż]])</f>
        <v>10291</v>
      </c>
      <c r="H1625" s="1">
        <f>IF(jablka5[[#This Row],[dot sprz]]&lt;15000,0,IF(jablka5[[#This Row],[dot sprz]]&lt;20000,5,10))</f>
        <v>0</v>
      </c>
      <c r="I1625" s="1">
        <f>jablka5[[#This Row],[rabat]]*jablka5[[#This Row],[sprzedaż]]/100</f>
        <v>0</v>
      </c>
    </row>
    <row r="1626" spans="1:9" x14ac:dyDescent="0.25">
      <c r="A1626" s="2">
        <v>44827</v>
      </c>
      <c r="B1626" s="1" t="s">
        <v>14</v>
      </c>
      <c r="C1626" s="1" t="s">
        <v>67</v>
      </c>
      <c r="D1626" s="1" t="s">
        <v>19</v>
      </c>
      <c r="E1626">
        <v>305</v>
      </c>
      <c r="F1626" s="1">
        <f>VLOOKUP(jablka5[[#This Row],[Nazwa]],cennik[],2,0) * jablka5[[#This Row],[sprzedaż]]</f>
        <v>1067.5</v>
      </c>
      <c r="G1626" s="1">
        <f>IF(jablka5[[#This Row],[NIP]]=D1625,jablka5[[#This Row],[sprzedaż]]+G1625,jablka5[[#This Row],[sprzedaż]])</f>
        <v>10596</v>
      </c>
      <c r="H1626" s="1">
        <f>IF(jablka5[[#This Row],[dot sprz]]&lt;15000,0,IF(jablka5[[#This Row],[dot sprz]]&lt;20000,5,10))</f>
        <v>0</v>
      </c>
      <c r="I1626" s="1">
        <f>jablka5[[#This Row],[rabat]]*jablka5[[#This Row],[sprzedaż]]/100</f>
        <v>0</v>
      </c>
    </row>
    <row r="1627" spans="1:9" x14ac:dyDescent="0.25">
      <c r="A1627" s="2">
        <v>44837</v>
      </c>
      <c r="B1627" s="1" t="s">
        <v>9</v>
      </c>
      <c r="C1627" s="1" t="s">
        <v>67</v>
      </c>
      <c r="D1627" s="1" t="s">
        <v>19</v>
      </c>
      <c r="E1627">
        <v>80</v>
      </c>
      <c r="F1627" s="1">
        <f>VLOOKUP(jablka5[[#This Row],[Nazwa]],cennik[],2,0) * jablka5[[#This Row],[sprzedaż]]</f>
        <v>200</v>
      </c>
      <c r="G1627" s="1">
        <f>IF(jablka5[[#This Row],[NIP]]=D1626,jablka5[[#This Row],[sprzedaż]]+G1626,jablka5[[#This Row],[sprzedaż]])</f>
        <v>10676</v>
      </c>
      <c r="H1627" s="1">
        <f>IF(jablka5[[#This Row],[dot sprz]]&lt;15000,0,IF(jablka5[[#This Row],[dot sprz]]&lt;20000,5,10))</f>
        <v>0</v>
      </c>
      <c r="I1627" s="1">
        <f>jablka5[[#This Row],[rabat]]*jablka5[[#This Row],[sprzedaż]]/100</f>
        <v>0</v>
      </c>
    </row>
    <row r="1628" spans="1:9" x14ac:dyDescent="0.25">
      <c r="A1628" s="2">
        <v>44844</v>
      </c>
      <c r="B1628" s="1" t="s">
        <v>1</v>
      </c>
      <c r="C1628" s="1" t="s">
        <v>67</v>
      </c>
      <c r="D1628" s="1" t="s">
        <v>19</v>
      </c>
      <c r="E1628">
        <v>400</v>
      </c>
      <c r="F1628" s="1">
        <f>VLOOKUP(jablka5[[#This Row],[Nazwa]],cennik[],2,0) * jablka5[[#This Row],[sprzedaż]]</f>
        <v>1280</v>
      </c>
      <c r="G1628" s="1">
        <f>IF(jablka5[[#This Row],[NIP]]=D1627,jablka5[[#This Row],[sprzedaż]]+G1627,jablka5[[#This Row],[sprzedaż]])</f>
        <v>11076</v>
      </c>
      <c r="H1628" s="1">
        <f>IF(jablka5[[#This Row],[dot sprz]]&lt;15000,0,IF(jablka5[[#This Row],[dot sprz]]&lt;20000,5,10))</f>
        <v>0</v>
      </c>
      <c r="I1628" s="1">
        <f>jablka5[[#This Row],[rabat]]*jablka5[[#This Row],[sprzedaż]]/100</f>
        <v>0</v>
      </c>
    </row>
    <row r="1629" spans="1:9" x14ac:dyDescent="0.25">
      <c r="A1629" s="2">
        <v>44858</v>
      </c>
      <c r="B1629" s="1" t="s">
        <v>9</v>
      </c>
      <c r="C1629" s="1" t="s">
        <v>67</v>
      </c>
      <c r="D1629" s="1" t="s">
        <v>19</v>
      </c>
      <c r="E1629">
        <v>47</v>
      </c>
      <c r="F1629" s="1">
        <f>VLOOKUP(jablka5[[#This Row],[Nazwa]],cennik[],2,0) * jablka5[[#This Row],[sprzedaż]]</f>
        <v>117.5</v>
      </c>
      <c r="G1629" s="1">
        <f>IF(jablka5[[#This Row],[NIP]]=D1628,jablka5[[#This Row],[sprzedaż]]+G1628,jablka5[[#This Row],[sprzedaż]])</f>
        <v>11123</v>
      </c>
      <c r="H1629" s="1">
        <f>IF(jablka5[[#This Row],[dot sprz]]&lt;15000,0,IF(jablka5[[#This Row],[dot sprz]]&lt;20000,5,10))</f>
        <v>0</v>
      </c>
      <c r="I1629" s="1">
        <f>jablka5[[#This Row],[rabat]]*jablka5[[#This Row],[sprzedaż]]/100</f>
        <v>0</v>
      </c>
    </row>
    <row r="1630" spans="1:9" x14ac:dyDescent="0.25">
      <c r="A1630" s="2">
        <v>44858</v>
      </c>
      <c r="B1630" s="1" t="s">
        <v>1</v>
      </c>
      <c r="C1630" s="1" t="s">
        <v>67</v>
      </c>
      <c r="D1630" s="1" t="s">
        <v>19</v>
      </c>
      <c r="E1630">
        <v>217</v>
      </c>
      <c r="F1630" s="1">
        <f>VLOOKUP(jablka5[[#This Row],[Nazwa]],cennik[],2,0) * jablka5[[#This Row],[sprzedaż]]</f>
        <v>694.40000000000009</v>
      </c>
      <c r="G1630" s="1">
        <f>IF(jablka5[[#This Row],[NIP]]=D1629,jablka5[[#This Row],[sprzedaż]]+G1629,jablka5[[#This Row],[sprzedaż]])</f>
        <v>11340</v>
      </c>
      <c r="H1630" s="1">
        <f>IF(jablka5[[#This Row],[dot sprz]]&lt;15000,0,IF(jablka5[[#This Row],[dot sprz]]&lt;20000,5,10))</f>
        <v>0</v>
      </c>
      <c r="I1630" s="1">
        <f>jablka5[[#This Row],[rabat]]*jablka5[[#This Row],[sprzedaż]]/100</f>
        <v>0</v>
      </c>
    </row>
    <row r="1631" spans="1:9" x14ac:dyDescent="0.25">
      <c r="A1631" s="2">
        <v>44863</v>
      </c>
      <c r="B1631" s="1" t="s">
        <v>11</v>
      </c>
      <c r="C1631" s="1" t="s">
        <v>67</v>
      </c>
      <c r="D1631" s="1" t="s">
        <v>19</v>
      </c>
      <c r="E1631">
        <v>80</v>
      </c>
      <c r="F1631" s="1">
        <f>VLOOKUP(jablka5[[#This Row],[Nazwa]],cennik[],2,0) * jablka5[[#This Row],[sprzedaż]]</f>
        <v>200</v>
      </c>
      <c r="G1631" s="1">
        <f>IF(jablka5[[#This Row],[NIP]]=D1630,jablka5[[#This Row],[sprzedaż]]+G1630,jablka5[[#This Row],[sprzedaż]])</f>
        <v>11420</v>
      </c>
      <c r="H1631" s="1">
        <f>IF(jablka5[[#This Row],[dot sprz]]&lt;15000,0,IF(jablka5[[#This Row],[dot sprz]]&lt;20000,5,10))</f>
        <v>0</v>
      </c>
      <c r="I1631" s="1">
        <f>jablka5[[#This Row],[rabat]]*jablka5[[#This Row],[sprzedaż]]/100</f>
        <v>0</v>
      </c>
    </row>
    <row r="1632" spans="1:9" x14ac:dyDescent="0.25">
      <c r="A1632" s="2">
        <v>44863</v>
      </c>
      <c r="B1632" s="1" t="s">
        <v>3</v>
      </c>
      <c r="C1632" s="1" t="s">
        <v>67</v>
      </c>
      <c r="D1632" s="1" t="s">
        <v>19</v>
      </c>
      <c r="E1632">
        <v>344</v>
      </c>
      <c r="F1632" s="1">
        <f>VLOOKUP(jablka5[[#This Row],[Nazwa]],cennik[],2,0) * jablka5[[#This Row],[sprzedaż]]</f>
        <v>1100.8</v>
      </c>
      <c r="G1632" s="1">
        <f>IF(jablka5[[#This Row],[NIP]]=D1631,jablka5[[#This Row],[sprzedaż]]+G1631,jablka5[[#This Row],[sprzedaż]])</f>
        <v>11764</v>
      </c>
      <c r="H1632" s="1">
        <f>IF(jablka5[[#This Row],[dot sprz]]&lt;15000,0,IF(jablka5[[#This Row],[dot sprz]]&lt;20000,5,10))</f>
        <v>0</v>
      </c>
      <c r="I1632" s="1">
        <f>jablka5[[#This Row],[rabat]]*jablka5[[#This Row],[sprzedaż]]/100</f>
        <v>0</v>
      </c>
    </row>
    <row r="1633" spans="1:9" x14ac:dyDescent="0.25">
      <c r="A1633" s="2">
        <v>44868</v>
      </c>
      <c r="B1633" s="1" t="s">
        <v>9</v>
      </c>
      <c r="C1633" s="1" t="s">
        <v>67</v>
      </c>
      <c r="D1633" s="1" t="s">
        <v>19</v>
      </c>
      <c r="E1633">
        <v>207</v>
      </c>
      <c r="F1633" s="1">
        <f>VLOOKUP(jablka5[[#This Row],[Nazwa]],cennik[],2,0) * jablka5[[#This Row],[sprzedaż]]</f>
        <v>517.5</v>
      </c>
      <c r="G1633" s="1">
        <f>IF(jablka5[[#This Row],[NIP]]=D1632,jablka5[[#This Row],[sprzedaż]]+G1632,jablka5[[#This Row],[sprzedaż]])</f>
        <v>11971</v>
      </c>
      <c r="H1633" s="1">
        <f>IF(jablka5[[#This Row],[dot sprz]]&lt;15000,0,IF(jablka5[[#This Row],[dot sprz]]&lt;20000,5,10))</f>
        <v>0</v>
      </c>
      <c r="I1633" s="1">
        <f>jablka5[[#This Row],[rabat]]*jablka5[[#This Row],[sprzedaż]]/100</f>
        <v>0</v>
      </c>
    </row>
    <row r="1634" spans="1:9" x14ac:dyDescent="0.25">
      <c r="A1634" s="2">
        <v>44872</v>
      </c>
      <c r="B1634" s="1" t="s">
        <v>14</v>
      </c>
      <c r="C1634" s="1" t="s">
        <v>67</v>
      </c>
      <c r="D1634" s="1" t="s">
        <v>19</v>
      </c>
      <c r="E1634">
        <v>136</v>
      </c>
      <c r="F1634" s="1">
        <f>VLOOKUP(jablka5[[#This Row],[Nazwa]],cennik[],2,0) * jablka5[[#This Row],[sprzedaż]]</f>
        <v>476</v>
      </c>
      <c r="G1634" s="1">
        <f>IF(jablka5[[#This Row],[NIP]]=D1633,jablka5[[#This Row],[sprzedaż]]+G1633,jablka5[[#This Row],[sprzedaż]])</f>
        <v>12107</v>
      </c>
      <c r="H1634" s="1">
        <f>IF(jablka5[[#This Row],[dot sprz]]&lt;15000,0,IF(jablka5[[#This Row],[dot sprz]]&lt;20000,5,10))</f>
        <v>0</v>
      </c>
      <c r="I1634" s="1">
        <f>jablka5[[#This Row],[rabat]]*jablka5[[#This Row],[sprzedaż]]/100</f>
        <v>0</v>
      </c>
    </row>
    <row r="1635" spans="1:9" x14ac:dyDescent="0.25">
      <c r="A1635" s="2">
        <v>44877</v>
      </c>
      <c r="B1635" s="1" t="s">
        <v>1</v>
      </c>
      <c r="C1635" s="1" t="s">
        <v>67</v>
      </c>
      <c r="D1635" s="1" t="s">
        <v>19</v>
      </c>
      <c r="E1635">
        <v>487</v>
      </c>
      <c r="F1635" s="1">
        <f>VLOOKUP(jablka5[[#This Row],[Nazwa]],cennik[],2,0) * jablka5[[#This Row],[sprzedaż]]</f>
        <v>1558.4</v>
      </c>
      <c r="G1635" s="1">
        <f>IF(jablka5[[#This Row],[NIP]]=D1634,jablka5[[#This Row],[sprzedaż]]+G1634,jablka5[[#This Row],[sprzedaż]])</f>
        <v>12594</v>
      </c>
      <c r="H1635" s="1">
        <f>IF(jablka5[[#This Row],[dot sprz]]&lt;15000,0,IF(jablka5[[#This Row],[dot sprz]]&lt;20000,5,10))</f>
        <v>0</v>
      </c>
      <c r="I1635" s="1">
        <f>jablka5[[#This Row],[rabat]]*jablka5[[#This Row],[sprzedaż]]/100</f>
        <v>0</v>
      </c>
    </row>
    <row r="1636" spans="1:9" x14ac:dyDescent="0.25">
      <c r="A1636" s="2">
        <v>44879</v>
      </c>
      <c r="B1636" s="1" t="s">
        <v>9</v>
      </c>
      <c r="C1636" s="1" t="s">
        <v>67</v>
      </c>
      <c r="D1636" s="1" t="s">
        <v>19</v>
      </c>
      <c r="E1636">
        <v>90</v>
      </c>
      <c r="F1636" s="1">
        <f>VLOOKUP(jablka5[[#This Row],[Nazwa]],cennik[],2,0) * jablka5[[#This Row],[sprzedaż]]</f>
        <v>225</v>
      </c>
      <c r="G1636" s="1">
        <f>IF(jablka5[[#This Row],[NIP]]=D1635,jablka5[[#This Row],[sprzedaż]]+G1635,jablka5[[#This Row],[sprzedaż]])</f>
        <v>12684</v>
      </c>
      <c r="H1636" s="1">
        <f>IF(jablka5[[#This Row],[dot sprz]]&lt;15000,0,IF(jablka5[[#This Row],[dot sprz]]&lt;20000,5,10))</f>
        <v>0</v>
      </c>
      <c r="I1636" s="1">
        <f>jablka5[[#This Row],[rabat]]*jablka5[[#This Row],[sprzedaż]]/100</f>
        <v>0</v>
      </c>
    </row>
    <row r="1637" spans="1:9" x14ac:dyDescent="0.25">
      <c r="A1637" s="2">
        <v>44908</v>
      </c>
      <c r="B1637" s="1" t="s">
        <v>15</v>
      </c>
      <c r="C1637" s="1" t="s">
        <v>16</v>
      </c>
      <c r="D1637" s="1" t="s">
        <v>19</v>
      </c>
      <c r="E1637">
        <v>459</v>
      </c>
      <c r="F1637" s="1">
        <f>VLOOKUP(jablka5[[#This Row],[Nazwa]],cennik[],2,0) * jablka5[[#This Row],[sprzedaż]]</f>
        <v>1101.5999999999999</v>
      </c>
      <c r="G1637" s="1">
        <f>IF(jablka5[[#This Row],[NIP]]=D1636,jablka5[[#This Row],[sprzedaż]]+G1636,jablka5[[#This Row],[sprzedaż]])</f>
        <v>13143</v>
      </c>
      <c r="H1637" s="1">
        <f>IF(jablka5[[#This Row],[dot sprz]]&lt;15000,0,IF(jablka5[[#This Row],[dot sprz]]&lt;20000,5,10))</f>
        <v>0</v>
      </c>
      <c r="I1637" s="1">
        <f>jablka5[[#This Row],[rabat]]*jablka5[[#This Row],[sprzedaż]]/100</f>
        <v>0</v>
      </c>
    </row>
    <row r="1638" spans="1:9" x14ac:dyDescent="0.25">
      <c r="A1638" s="2">
        <v>44565</v>
      </c>
      <c r="B1638" s="1" t="s">
        <v>10</v>
      </c>
      <c r="C1638" s="1" t="s">
        <v>16</v>
      </c>
      <c r="D1638" s="1" t="s">
        <v>31</v>
      </c>
      <c r="E1638">
        <v>64</v>
      </c>
      <c r="F1638" s="1">
        <f>VLOOKUP(jablka5[[#This Row],[Nazwa]],cennik[],2,0) * jablka5[[#This Row],[sprzedaż]]</f>
        <v>217.6</v>
      </c>
      <c r="G1638" s="1">
        <f>IF(jablka5[[#This Row],[NIP]]=D1637,jablka5[[#This Row],[sprzedaż]]+G1637,jablka5[[#This Row],[sprzedaż]])</f>
        <v>64</v>
      </c>
      <c r="H1638" s="1">
        <f>IF(jablka5[[#This Row],[dot sprz]]&lt;15000,0,IF(jablka5[[#This Row],[dot sprz]]&lt;20000,5,10))</f>
        <v>0</v>
      </c>
      <c r="I1638" s="1">
        <f>jablka5[[#This Row],[rabat]]*jablka5[[#This Row],[sprzedaż]]/100</f>
        <v>0</v>
      </c>
    </row>
    <row r="1639" spans="1:9" x14ac:dyDescent="0.25">
      <c r="A1639" s="2">
        <v>44578</v>
      </c>
      <c r="B1639" s="1" t="s">
        <v>2</v>
      </c>
      <c r="C1639" s="1" t="s">
        <v>16</v>
      </c>
      <c r="D1639" s="1" t="s">
        <v>31</v>
      </c>
      <c r="E1639">
        <v>308</v>
      </c>
      <c r="F1639" s="1">
        <f>VLOOKUP(jablka5[[#This Row],[Nazwa]],cennik[],2,0) * jablka5[[#This Row],[sprzedaż]]</f>
        <v>985.6</v>
      </c>
      <c r="G1639" s="1">
        <f>IF(jablka5[[#This Row],[NIP]]=D1638,jablka5[[#This Row],[sprzedaż]]+G1638,jablka5[[#This Row],[sprzedaż]])</f>
        <v>372</v>
      </c>
      <c r="H1639" s="1">
        <f>IF(jablka5[[#This Row],[dot sprz]]&lt;15000,0,IF(jablka5[[#This Row],[dot sprz]]&lt;20000,5,10))</f>
        <v>0</v>
      </c>
      <c r="I1639" s="1">
        <f>jablka5[[#This Row],[rabat]]*jablka5[[#This Row],[sprzedaż]]/100</f>
        <v>0</v>
      </c>
    </row>
    <row r="1640" spans="1:9" x14ac:dyDescent="0.25">
      <c r="A1640" s="2">
        <v>44580</v>
      </c>
      <c r="B1640" s="1" t="s">
        <v>5</v>
      </c>
      <c r="C1640" s="1" t="s">
        <v>16</v>
      </c>
      <c r="D1640" s="1" t="s">
        <v>31</v>
      </c>
      <c r="E1640">
        <v>447</v>
      </c>
      <c r="F1640" s="1">
        <f>VLOOKUP(jablka5[[#This Row],[Nazwa]],cennik[],2,0) * jablka5[[#This Row],[sprzedaż]]</f>
        <v>1519.8</v>
      </c>
      <c r="G1640" s="1">
        <f>IF(jablka5[[#This Row],[NIP]]=D1639,jablka5[[#This Row],[sprzedaż]]+G1639,jablka5[[#This Row],[sprzedaż]])</f>
        <v>819</v>
      </c>
      <c r="H1640" s="1">
        <f>IF(jablka5[[#This Row],[dot sprz]]&lt;15000,0,IF(jablka5[[#This Row],[dot sprz]]&lt;20000,5,10))</f>
        <v>0</v>
      </c>
      <c r="I1640" s="1">
        <f>jablka5[[#This Row],[rabat]]*jablka5[[#This Row],[sprzedaż]]/100</f>
        <v>0</v>
      </c>
    </row>
    <row r="1641" spans="1:9" x14ac:dyDescent="0.25">
      <c r="A1641" s="2">
        <v>44603</v>
      </c>
      <c r="B1641" s="1" t="s">
        <v>5</v>
      </c>
      <c r="C1641" s="1" t="s">
        <v>16</v>
      </c>
      <c r="D1641" s="1" t="s">
        <v>31</v>
      </c>
      <c r="E1641">
        <v>167</v>
      </c>
      <c r="F1641" s="1">
        <f>VLOOKUP(jablka5[[#This Row],[Nazwa]],cennik[],2,0) * jablka5[[#This Row],[sprzedaż]]</f>
        <v>567.79999999999995</v>
      </c>
      <c r="G1641" s="1">
        <f>IF(jablka5[[#This Row],[NIP]]=D1640,jablka5[[#This Row],[sprzedaż]]+G1640,jablka5[[#This Row],[sprzedaż]])</f>
        <v>986</v>
      </c>
      <c r="H1641" s="1">
        <f>IF(jablka5[[#This Row],[dot sprz]]&lt;15000,0,IF(jablka5[[#This Row],[dot sprz]]&lt;20000,5,10))</f>
        <v>0</v>
      </c>
      <c r="I1641" s="1">
        <f>jablka5[[#This Row],[rabat]]*jablka5[[#This Row],[sprzedaż]]/100</f>
        <v>0</v>
      </c>
    </row>
    <row r="1642" spans="1:9" x14ac:dyDescent="0.25">
      <c r="A1642" s="2">
        <v>44613</v>
      </c>
      <c r="B1642" s="1" t="s">
        <v>7</v>
      </c>
      <c r="C1642" s="1" t="s">
        <v>16</v>
      </c>
      <c r="D1642" s="1" t="s">
        <v>31</v>
      </c>
      <c r="E1642">
        <v>680</v>
      </c>
      <c r="F1642" s="1">
        <f>VLOOKUP(jablka5[[#This Row],[Nazwa]],cennik[],2,0) * jablka5[[#This Row],[sprzedaż]]</f>
        <v>2312</v>
      </c>
      <c r="G1642" s="1">
        <f>IF(jablka5[[#This Row],[NIP]]=D1641,jablka5[[#This Row],[sprzedaż]]+G1641,jablka5[[#This Row],[sprzedaż]])</f>
        <v>1666</v>
      </c>
      <c r="H1642" s="1">
        <f>IF(jablka5[[#This Row],[dot sprz]]&lt;15000,0,IF(jablka5[[#This Row],[dot sprz]]&lt;20000,5,10))</f>
        <v>0</v>
      </c>
      <c r="I1642" s="1">
        <f>jablka5[[#This Row],[rabat]]*jablka5[[#This Row],[sprzedaż]]/100</f>
        <v>0</v>
      </c>
    </row>
    <row r="1643" spans="1:9" x14ac:dyDescent="0.25">
      <c r="A1643" s="2">
        <v>44625</v>
      </c>
      <c r="B1643" s="1" t="s">
        <v>4</v>
      </c>
      <c r="C1643" s="1" t="s">
        <v>16</v>
      </c>
      <c r="D1643" s="1" t="s">
        <v>31</v>
      </c>
      <c r="E1643">
        <v>743</v>
      </c>
      <c r="F1643" s="1">
        <f>VLOOKUP(jablka5[[#This Row],[Nazwa]],cennik[],2,0) * jablka5[[#This Row],[sprzedaż]]</f>
        <v>2526.1999999999998</v>
      </c>
      <c r="G1643" s="1">
        <f>IF(jablka5[[#This Row],[NIP]]=D1642,jablka5[[#This Row],[sprzedaż]]+G1642,jablka5[[#This Row],[sprzedaż]])</f>
        <v>2409</v>
      </c>
      <c r="H1643" s="1">
        <f>IF(jablka5[[#This Row],[dot sprz]]&lt;15000,0,IF(jablka5[[#This Row],[dot sprz]]&lt;20000,5,10))</f>
        <v>0</v>
      </c>
      <c r="I1643" s="1">
        <f>jablka5[[#This Row],[rabat]]*jablka5[[#This Row],[sprzedaż]]/100</f>
        <v>0</v>
      </c>
    </row>
    <row r="1644" spans="1:9" x14ac:dyDescent="0.25">
      <c r="A1644" s="2">
        <v>44631</v>
      </c>
      <c r="B1644" s="1" t="s">
        <v>0</v>
      </c>
      <c r="C1644" s="1" t="s">
        <v>16</v>
      </c>
      <c r="D1644" s="1" t="s">
        <v>31</v>
      </c>
      <c r="E1644">
        <v>96</v>
      </c>
      <c r="F1644" s="1">
        <f>VLOOKUP(jablka5[[#This Row],[Nazwa]],cennik[],2,0) * jablka5[[#This Row],[sprzedaż]]</f>
        <v>278.39999999999998</v>
      </c>
      <c r="G1644" s="1">
        <f>IF(jablka5[[#This Row],[NIP]]=D1643,jablka5[[#This Row],[sprzedaż]]+G1643,jablka5[[#This Row],[sprzedaż]])</f>
        <v>2505</v>
      </c>
      <c r="H1644" s="1">
        <f>IF(jablka5[[#This Row],[dot sprz]]&lt;15000,0,IF(jablka5[[#This Row],[dot sprz]]&lt;20000,5,10))</f>
        <v>0</v>
      </c>
      <c r="I1644" s="1">
        <f>jablka5[[#This Row],[rabat]]*jablka5[[#This Row],[sprzedaż]]/100</f>
        <v>0</v>
      </c>
    </row>
    <row r="1645" spans="1:9" x14ac:dyDescent="0.25">
      <c r="A1645" s="2">
        <v>44641</v>
      </c>
      <c r="B1645" s="1" t="s">
        <v>8</v>
      </c>
      <c r="C1645" s="1" t="s">
        <v>16</v>
      </c>
      <c r="D1645" s="1" t="s">
        <v>31</v>
      </c>
      <c r="E1645">
        <v>684</v>
      </c>
      <c r="F1645" s="1">
        <f>VLOOKUP(jablka5[[#This Row],[Nazwa]],cennik[],2,0) * jablka5[[#This Row],[sprzedaż]]</f>
        <v>2394</v>
      </c>
      <c r="G1645" s="1">
        <f>IF(jablka5[[#This Row],[NIP]]=D1644,jablka5[[#This Row],[sprzedaż]]+G1644,jablka5[[#This Row],[sprzedaż]])</f>
        <v>3189</v>
      </c>
      <c r="H1645" s="1">
        <f>IF(jablka5[[#This Row],[dot sprz]]&lt;15000,0,IF(jablka5[[#This Row],[dot sprz]]&lt;20000,5,10))</f>
        <v>0</v>
      </c>
      <c r="I1645" s="1">
        <f>jablka5[[#This Row],[rabat]]*jablka5[[#This Row],[sprzedaż]]/100</f>
        <v>0</v>
      </c>
    </row>
    <row r="1646" spans="1:9" x14ac:dyDescent="0.25">
      <c r="A1646" s="2">
        <v>44648</v>
      </c>
      <c r="B1646" s="1" t="s">
        <v>7</v>
      </c>
      <c r="C1646" s="1" t="s">
        <v>16</v>
      </c>
      <c r="D1646" s="1" t="s">
        <v>31</v>
      </c>
      <c r="E1646">
        <v>540</v>
      </c>
      <c r="F1646" s="1">
        <f>VLOOKUP(jablka5[[#This Row],[Nazwa]],cennik[],2,0) * jablka5[[#This Row],[sprzedaż]]</f>
        <v>1836</v>
      </c>
      <c r="G1646" s="1">
        <f>IF(jablka5[[#This Row],[NIP]]=D1645,jablka5[[#This Row],[sprzedaż]]+G1645,jablka5[[#This Row],[sprzedaż]])</f>
        <v>3729</v>
      </c>
      <c r="H1646" s="1">
        <f>IF(jablka5[[#This Row],[dot sprz]]&lt;15000,0,IF(jablka5[[#This Row],[dot sprz]]&lt;20000,5,10))</f>
        <v>0</v>
      </c>
      <c r="I1646" s="1">
        <f>jablka5[[#This Row],[rabat]]*jablka5[[#This Row],[sprzedaż]]/100</f>
        <v>0</v>
      </c>
    </row>
    <row r="1647" spans="1:9" x14ac:dyDescent="0.25">
      <c r="A1647" s="2">
        <v>44656</v>
      </c>
      <c r="B1647" s="1" t="s">
        <v>2</v>
      </c>
      <c r="C1647" s="1" t="s">
        <v>16</v>
      </c>
      <c r="D1647" s="1" t="s">
        <v>31</v>
      </c>
      <c r="E1647">
        <v>498</v>
      </c>
      <c r="F1647" s="1">
        <f>VLOOKUP(jablka5[[#This Row],[Nazwa]],cennik[],2,0) * jablka5[[#This Row],[sprzedaż]]</f>
        <v>1593.6000000000001</v>
      </c>
      <c r="G1647" s="1">
        <f>IF(jablka5[[#This Row],[NIP]]=D1646,jablka5[[#This Row],[sprzedaż]]+G1646,jablka5[[#This Row],[sprzedaż]])</f>
        <v>4227</v>
      </c>
      <c r="H1647" s="1">
        <f>IF(jablka5[[#This Row],[dot sprz]]&lt;15000,0,IF(jablka5[[#This Row],[dot sprz]]&lt;20000,5,10))</f>
        <v>0</v>
      </c>
      <c r="I1647" s="1">
        <f>jablka5[[#This Row],[rabat]]*jablka5[[#This Row],[sprzedaż]]/100</f>
        <v>0</v>
      </c>
    </row>
    <row r="1648" spans="1:9" x14ac:dyDescent="0.25">
      <c r="A1648" s="2">
        <v>44662</v>
      </c>
      <c r="B1648" s="1" t="s">
        <v>15</v>
      </c>
      <c r="C1648" s="1" t="s">
        <v>16</v>
      </c>
      <c r="D1648" s="1" t="s">
        <v>31</v>
      </c>
      <c r="E1648">
        <v>428</v>
      </c>
      <c r="F1648" s="1">
        <f>VLOOKUP(jablka5[[#This Row],[Nazwa]],cennik[],2,0) * jablka5[[#This Row],[sprzedaż]]</f>
        <v>1027.2</v>
      </c>
      <c r="G1648" s="1">
        <f>IF(jablka5[[#This Row],[NIP]]=D1647,jablka5[[#This Row],[sprzedaż]]+G1647,jablka5[[#This Row],[sprzedaż]])</f>
        <v>4655</v>
      </c>
      <c r="H1648" s="1">
        <f>IF(jablka5[[#This Row],[dot sprz]]&lt;15000,0,IF(jablka5[[#This Row],[dot sprz]]&lt;20000,5,10))</f>
        <v>0</v>
      </c>
      <c r="I1648" s="1">
        <f>jablka5[[#This Row],[rabat]]*jablka5[[#This Row],[sprzedaż]]/100</f>
        <v>0</v>
      </c>
    </row>
    <row r="1649" spans="1:9" x14ac:dyDescent="0.25">
      <c r="A1649" s="2">
        <v>44669</v>
      </c>
      <c r="B1649" s="1" t="s">
        <v>4</v>
      </c>
      <c r="C1649" s="1" t="s">
        <v>16</v>
      </c>
      <c r="D1649" s="1" t="s">
        <v>31</v>
      </c>
      <c r="E1649">
        <v>398</v>
      </c>
      <c r="F1649" s="1">
        <f>VLOOKUP(jablka5[[#This Row],[Nazwa]],cennik[],2,0) * jablka5[[#This Row],[sprzedaż]]</f>
        <v>1353.2</v>
      </c>
      <c r="G1649" s="1">
        <f>IF(jablka5[[#This Row],[NIP]]=D1648,jablka5[[#This Row],[sprzedaż]]+G1648,jablka5[[#This Row],[sprzedaż]])</f>
        <v>5053</v>
      </c>
      <c r="H1649" s="1">
        <f>IF(jablka5[[#This Row],[dot sprz]]&lt;15000,0,IF(jablka5[[#This Row],[dot sprz]]&lt;20000,5,10))</f>
        <v>0</v>
      </c>
      <c r="I1649" s="1">
        <f>jablka5[[#This Row],[rabat]]*jablka5[[#This Row],[sprzedaż]]/100</f>
        <v>0</v>
      </c>
    </row>
    <row r="1650" spans="1:9" x14ac:dyDescent="0.25">
      <c r="A1650" s="2">
        <v>44683</v>
      </c>
      <c r="B1650" s="1" t="s">
        <v>5</v>
      </c>
      <c r="C1650" s="1" t="s">
        <v>16</v>
      </c>
      <c r="D1650" s="1" t="s">
        <v>31</v>
      </c>
      <c r="E1650">
        <v>146</v>
      </c>
      <c r="F1650" s="1">
        <f>VLOOKUP(jablka5[[#This Row],[Nazwa]],cennik[],2,0) * jablka5[[#This Row],[sprzedaż]]</f>
        <v>496.4</v>
      </c>
      <c r="G1650" s="1">
        <f>IF(jablka5[[#This Row],[NIP]]=D1649,jablka5[[#This Row],[sprzedaż]]+G1649,jablka5[[#This Row],[sprzedaż]])</f>
        <v>5199</v>
      </c>
      <c r="H1650" s="1">
        <f>IF(jablka5[[#This Row],[dot sprz]]&lt;15000,0,IF(jablka5[[#This Row],[dot sprz]]&lt;20000,5,10))</f>
        <v>0</v>
      </c>
      <c r="I1650" s="1">
        <f>jablka5[[#This Row],[rabat]]*jablka5[[#This Row],[sprzedaż]]/100</f>
        <v>0</v>
      </c>
    </row>
    <row r="1651" spans="1:9" x14ac:dyDescent="0.25">
      <c r="A1651" s="2">
        <v>44686</v>
      </c>
      <c r="B1651" s="1" t="s">
        <v>15</v>
      </c>
      <c r="C1651" s="1" t="s">
        <v>16</v>
      </c>
      <c r="D1651" s="1" t="s">
        <v>31</v>
      </c>
      <c r="E1651">
        <v>252</v>
      </c>
      <c r="F1651" s="1">
        <f>VLOOKUP(jablka5[[#This Row],[Nazwa]],cennik[],2,0) * jablka5[[#This Row],[sprzedaż]]</f>
        <v>604.79999999999995</v>
      </c>
      <c r="G1651" s="1">
        <f>IF(jablka5[[#This Row],[NIP]]=D1650,jablka5[[#This Row],[sprzedaż]]+G1650,jablka5[[#This Row],[sprzedaż]])</f>
        <v>5451</v>
      </c>
      <c r="H1651" s="1">
        <f>IF(jablka5[[#This Row],[dot sprz]]&lt;15000,0,IF(jablka5[[#This Row],[dot sprz]]&lt;20000,5,10))</f>
        <v>0</v>
      </c>
      <c r="I1651" s="1">
        <f>jablka5[[#This Row],[rabat]]*jablka5[[#This Row],[sprzedaż]]/100</f>
        <v>0</v>
      </c>
    </row>
    <row r="1652" spans="1:9" x14ac:dyDescent="0.25">
      <c r="A1652" s="2">
        <v>44704</v>
      </c>
      <c r="B1652" s="1" t="s">
        <v>15</v>
      </c>
      <c r="C1652" s="1" t="s">
        <v>16</v>
      </c>
      <c r="D1652" s="1" t="s">
        <v>31</v>
      </c>
      <c r="E1652">
        <v>502</v>
      </c>
      <c r="F1652" s="1">
        <f>VLOOKUP(jablka5[[#This Row],[Nazwa]],cennik[],2,0) * jablka5[[#This Row],[sprzedaż]]</f>
        <v>1204.8</v>
      </c>
      <c r="G1652" s="1">
        <f>IF(jablka5[[#This Row],[NIP]]=D1651,jablka5[[#This Row],[sprzedaż]]+G1651,jablka5[[#This Row],[sprzedaż]])</f>
        <v>5953</v>
      </c>
      <c r="H1652" s="1">
        <f>IF(jablka5[[#This Row],[dot sprz]]&lt;15000,0,IF(jablka5[[#This Row],[dot sprz]]&lt;20000,5,10))</f>
        <v>0</v>
      </c>
      <c r="I1652" s="1">
        <f>jablka5[[#This Row],[rabat]]*jablka5[[#This Row],[sprzedaż]]/100</f>
        <v>0</v>
      </c>
    </row>
    <row r="1653" spans="1:9" x14ac:dyDescent="0.25">
      <c r="A1653" s="2">
        <v>44705</v>
      </c>
      <c r="B1653" s="1" t="s">
        <v>8</v>
      </c>
      <c r="C1653" s="1" t="s">
        <v>16</v>
      </c>
      <c r="D1653" s="1" t="s">
        <v>31</v>
      </c>
      <c r="E1653">
        <v>260</v>
      </c>
      <c r="F1653" s="1">
        <f>VLOOKUP(jablka5[[#This Row],[Nazwa]],cennik[],2,0) * jablka5[[#This Row],[sprzedaż]]</f>
        <v>910</v>
      </c>
      <c r="G1653" s="1">
        <f>IF(jablka5[[#This Row],[NIP]]=D1652,jablka5[[#This Row],[sprzedaż]]+G1652,jablka5[[#This Row],[sprzedaż]])</f>
        <v>6213</v>
      </c>
      <c r="H1653" s="1">
        <f>IF(jablka5[[#This Row],[dot sprz]]&lt;15000,0,IF(jablka5[[#This Row],[dot sprz]]&lt;20000,5,10))</f>
        <v>0</v>
      </c>
      <c r="I1653" s="1">
        <f>jablka5[[#This Row],[rabat]]*jablka5[[#This Row],[sprzedaż]]/100</f>
        <v>0</v>
      </c>
    </row>
    <row r="1654" spans="1:9" x14ac:dyDescent="0.25">
      <c r="A1654" s="2">
        <v>44706</v>
      </c>
      <c r="B1654" s="1" t="s">
        <v>8</v>
      </c>
      <c r="C1654" s="1" t="s">
        <v>16</v>
      </c>
      <c r="D1654" s="1" t="s">
        <v>31</v>
      </c>
      <c r="E1654">
        <v>226</v>
      </c>
      <c r="F1654" s="1">
        <f>VLOOKUP(jablka5[[#This Row],[Nazwa]],cennik[],2,0) * jablka5[[#This Row],[sprzedaż]]</f>
        <v>791</v>
      </c>
      <c r="G1654" s="1">
        <f>IF(jablka5[[#This Row],[NIP]]=D1653,jablka5[[#This Row],[sprzedaż]]+G1653,jablka5[[#This Row],[sprzedaż]])</f>
        <v>6439</v>
      </c>
      <c r="H1654" s="1">
        <f>IF(jablka5[[#This Row],[dot sprz]]&lt;15000,0,IF(jablka5[[#This Row],[dot sprz]]&lt;20000,5,10))</f>
        <v>0</v>
      </c>
      <c r="I1654" s="1">
        <f>jablka5[[#This Row],[rabat]]*jablka5[[#This Row],[sprzedaż]]/100</f>
        <v>0</v>
      </c>
    </row>
    <row r="1655" spans="1:9" x14ac:dyDescent="0.25">
      <c r="A1655" s="2">
        <v>44713</v>
      </c>
      <c r="B1655" s="1" t="s">
        <v>12</v>
      </c>
      <c r="C1655" s="1" t="s">
        <v>68</v>
      </c>
      <c r="D1655" s="1" t="s">
        <v>31</v>
      </c>
      <c r="E1655">
        <v>447</v>
      </c>
      <c r="F1655" s="1">
        <f>VLOOKUP(jablka5[[#This Row],[Nazwa]],cennik[],2,0) * jablka5[[#This Row],[sprzedaż]]</f>
        <v>1206.9000000000001</v>
      </c>
      <c r="G1655" s="1">
        <f>IF(jablka5[[#This Row],[NIP]]=D1654,jablka5[[#This Row],[sprzedaż]]+G1654,jablka5[[#This Row],[sprzedaż]])</f>
        <v>6886</v>
      </c>
      <c r="H1655" s="1">
        <f>IF(jablka5[[#This Row],[dot sprz]]&lt;15000,0,IF(jablka5[[#This Row],[dot sprz]]&lt;20000,5,10))</f>
        <v>0</v>
      </c>
      <c r="I1655" s="1">
        <f>jablka5[[#This Row],[rabat]]*jablka5[[#This Row],[sprzedaż]]/100</f>
        <v>0</v>
      </c>
    </row>
    <row r="1656" spans="1:9" x14ac:dyDescent="0.25">
      <c r="A1656" s="2">
        <v>44713</v>
      </c>
      <c r="B1656" s="1" t="s">
        <v>14</v>
      </c>
      <c r="C1656" s="1" t="s">
        <v>67</v>
      </c>
      <c r="D1656" s="1" t="s">
        <v>31</v>
      </c>
      <c r="E1656">
        <v>31</v>
      </c>
      <c r="F1656" s="1">
        <f>VLOOKUP(jablka5[[#This Row],[Nazwa]],cennik[],2,0) * jablka5[[#This Row],[sprzedaż]]</f>
        <v>108.5</v>
      </c>
      <c r="G1656" s="1">
        <f>IF(jablka5[[#This Row],[NIP]]=D1655,jablka5[[#This Row],[sprzedaż]]+G1655,jablka5[[#This Row],[sprzedaż]])</f>
        <v>6917</v>
      </c>
      <c r="H1656" s="1">
        <f>IF(jablka5[[#This Row],[dot sprz]]&lt;15000,0,IF(jablka5[[#This Row],[dot sprz]]&lt;20000,5,10))</f>
        <v>0</v>
      </c>
      <c r="I1656" s="1">
        <f>jablka5[[#This Row],[rabat]]*jablka5[[#This Row],[sprzedaż]]/100</f>
        <v>0</v>
      </c>
    </row>
    <row r="1657" spans="1:9" x14ac:dyDescent="0.25">
      <c r="A1657" s="2">
        <v>44725</v>
      </c>
      <c r="B1657" s="1" t="s">
        <v>13</v>
      </c>
      <c r="C1657" s="1" t="s">
        <v>68</v>
      </c>
      <c r="D1657" s="1" t="s">
        <v>31</v>
      </c>
      <c r="E1657">
        <v>466</v>
      </c>
      <c r="F1657" s="1">
        <f>VLOOKUP(jablka5[[#This Row],[Nazwa]],cennik[],2,0) * jablka5[[#This Row],[sprzedaż]]</f>
        <v>1491.2</v>
      </c>
      <c r="G1657" s="1">
        <f>IF(jablka5[[#This Row],[NIP]]=D1656,jablka5[[#This Row],[sprzedaż]]+G1656,jablka5[[#This Row],[sprzedaż]])</f>
        <v>7383</v>
      </c>
      <c r="H1657" s="1">
        <f>IF(jablka5[[#This Row],[dot sprz]]&lt;15000,0,IF(jablka5[[#This Row],[dot sprz]]&lt;20000,5,10))</f>
        <v>0</v>
      </c>
      <c r="I1657" s="1">
        <f>jablka5[[#This Row],[rabat]]*jablka5[[#This Row],[sprzedaż]]/100</f>
        <v>0</v>
      </c>
    </row>
    <row r="1658" spans="1:9" x14ac:dyDescent="0.25">
      <c r="A1658" s="2">
        <v>44735</v>
      </c>
      <c r="B1658" s="1" t="s">
        <v>14</v>
      </c>
      <c r="C1658" s="1" t="s">
        <v>67</v>
      </c>
      <c r="D1658" s="1" t="s">
        <v>31</v>
      </c>
      <c r="E1658">
        <v>339</v>
      </c>
      <c r="F1658" s="1">
        <f>VLOOKUP(jablka5[[#This Row],[Nazwa]],cennik[],2,0) * jablka5[[#This Row],[sprzedaż]]</f>
        <v>1186.5</v>
      </c>
      <c r="G1658" s="1">
        <f>IF(jablka5[[#This Row],[NIP]]=D1657,jablka5[[#This Row],[sprzedaż]]+G1657,jablka5[[#This Row],[sprzedaż]])</f>
        <v>7722</v>
      </c>
      <c r="H1658" s="1">
        <f>IF(jablka5[[#This Row],[dot sprz]]&lt;15000,0,IF(jablka5[[#This Row],[dot sprz]]&lt;20000,5,10))</f>
        <v>0</v>
      </c>
      <c r="I1658" s="1">
        <f>jablka5[[#This Row],[rabat]]*jablka5[[#This Row],[sprzedaż]]/100</f>
        <v>0</v>
      </c>
    </row>
    <row r="1659" spans="1:9" x14ac:dyDescent="0.25">
      <c r="A1659" s="2">
        <v>44739</v>
      </c>
      <c r="B1659" s="1" t="s">
        <v>13</v>
      </c>
      <c r="C1659" s="1" t="s">
        <v>68</v>
      </c>
      <c r="D1659" s="1" t="s">
        <v>31</v>
      </c>
      <c r="E1659">
        <v>132</v>
      </c>
      <c r="F1659" s="1">
        <f>VLOOKUP(jablka5[[#This Row],[Nazwa]],cennik[],2,0) * jablka5[[#This Row],[sprzedaż]]</f>
        <v>422.40000000000003</v>
      </c>
      <c r="G1659" s="1">
        <f>IF(jablka5[[#This Row],[NIP]]=D1658,jablka5[[#This Row],[sprzedaż]]+G1658,jablka5[[#This Row],[sprzedaż]])</f>
        <v>7854</v>
      </c>
      <c r="H1659" s="1">
        <f>IF(jablka5[[#This Row],[dot sprz]]&lt;15000,0,IF(jablka5[[#This Row],[dot sprz]]&lt;20000,5,10))</f>
        <v>0</v>
      </c>
      <c r="I1659" s="1">
        <f>jablka5[[#This Row],[rabat]]*jablka5[[#This Row],[sprzedaż]]/100</f>
        <v>0</v>
      </c>
    </row>
    <row r="1660" spans="1:9" x14ac:dyDescent="0.25">
      <c r="A1660" s="2">
        <v>44739</v>
      </c>
      <c r="B1660" s="1" t="s">
        <v>12</v>
      </c>
      <c r="C1660" s="1" t="s">
        <v>68</v>
      </c>
      <c r="D1660" s="1" t="s">
        <v>31</v>
      </c>
      <c r="E1660">
        <v>403</v>
      </c>
      <c r="F1660" s="1">
        <f>VLOOKUP(jablka5[[#This Row],[Nazwa]],cennik[],2,0) * jablka5[[#This Row],[sprzedaż]]</f>
        <v>1088.1000000000001</v>
      </c>
      <c r="G1660" s="1">
        <f>IF(jablka5[[#This Row],[NIP]]=D1659,jablka5[[#This Row],[sprzedaż]]+G1659,jablka5[[#This Row],[sprzedaż]])</f>
        <v>8257</v>
      </c>
      <c r="H1660" s="1">
        <f>IF(jablka5[[#This Row],[dot sprz]]&lt;15000,0,IF(jablka5[[#This Row],[dot sprz]]&lt;20000,5,10))</f>
        <v>0</v>
      </c>
      <c r="I1660" s="1">
        <f>jablka5[[#This Row],[rabat]]*jablka5[[#This Row],[sprzedaż]]/100</f>
        <v>0</v>
      </c>
    </row>
    <row r="1661" spans="1:9" x14ac:dyDescent="0.25">
      <c r="A1661" s="2">
        <v>44765</v>
      </c>
      <c r="B1661" s="1" t="s">
        <v>12</v>
      </c>
      <c r="C1661" s="1" t="s">
        <v>68</v>
      </c>
      <c r="D1661" s="1" t="s">
        <v>31</v>
      </c>
      <c r="E1661">
        <v>310</v>
      </c>
      <c r="F1661" s="1">
        <f>VLOOKUP(jablka5[[#This Row],[Nazwa]],cennik[],2,0) * jablka5[[#This Row],[sprzedaż]]</f>
        <v>837</v>
      </c>
      <c r="G1661" s="1">
        <f>IF(jablka5[[#This Row],[NIP]]=D1660,jablka5[[#This Row],[sprzedaż]]+G1660,jablka5[[#This Row],[sprzedaż]])</f>
        <v>8567</v>
      </c>
      <c r="H1661" s="1">
        <f>IF(jablka5[[#This Row],[dot sprz]]&lt;15000,0,IF(jablka5[[#This Row],[dot sprz]]&lt;20000,5,10))</f>
        <v>0</v>
      </c>
      <c r="I1661" s="1">
        <f>jablka5[[#This Row],[rabat]]*jablka5[[#This Row],[sprzedaż]]/100</f>
        <v>0</v>
      </c>
    </row>
    <row r="1662" spans="1:9" x14ac:dyDescent="0.25">
      <c r="A1662" s="2">
        <v>44781</v>
      </c>
      <c r="B1662" s="1" t="s">
        <v>12</v>
      </c>
      <c r="C1662" s="1" t="s">
        <v>68</v>
      </c>
      <c r="D1662" s="1" t="s">
        <v>31</v>
      </c>
      <c r="E1662">
        <v>55</v>
      </c>
      <c r="F1662" s="1">
        <f>VLOOKUP(jablka5[[#This Row],[Nazwa]],cennik[],2,0) * jablka5[[#This Row],[sprzedaż]]</f>
        <v>148.5</v>
      </c>
      <c r="G1662" s="1">
        <f>IF(jablka5[[#This Row],[NIP]]=D1661,jablka5[[#This Row],[sprzedaż]]+G1661,jablka5[[#This Row],[sprzedaż]])</f>
        <v>8622</v>
      </c>
      <c r="H1662" s="1">
        <f>IF(jablka5[[#This Row],[dot sprz]]&lt;15000,0,IF(jablka5[[#This Row],[dot sprz]]&lt;20000,5,10))</f>
        <v>0</v>
      </c>
      <c r="I1662" s="1">
        <f>jablka5[[#This Row],[rabat]]*jablka5[[#This Row],[sprzedaż]]/100</f>
        <v>0</v>
      </c>
    </row>
    <row r="1663" spans="1:9" x14ac:dyDescent="0.25">
      <c r="A1663" s="2">
        <v>44782</v>
      </c>
      <c r="B1663" s="1" t="s">
        <v>12</v>
      </c>
      <c r="C1663" s="1" t="s">
        <v>68</v>
      </c>
      <c r="D1663" s="1" t="s">
        <v>31</v>
      </c>
      <c r="E1663">
        <v>175</v>
      </c>
      <c r="F1663" s="1">
        <f>VLOOKUP(jablka5[[#This Row],[Nazwa]],cennik[],2,0) * jablka5[[#This Row],[sprzedaż]]</f>
        <v>472.50000000000006</v>
      </c>
      <c r="G1663" s="1">
        <f>IF(jablka5[[#This Row],[NIP]]=D1662,jablka5[[#This Row],[sprzedaż]]+G1662,jablka5[[#This Row],[sprzedaż]])</f>
        <v>8797</v>
      </c>
      <c r="H1663" s="1">
        <f>IF(jablka5[[#This Row],[dot sprz]]&lt;15000,0,IF(jablka5[[#This Row],[dot sprz]]&lt;20000,5,10))</f>
        <v>0</v>
      </c>
      <c r="I1663" s="1">
        <f>jablka5[[#This Row],[rabat]]*jablka5[[#This Row],[sprzedaż]]/100</f>
        <v>0</v>
      </c>
    </row>
    <row r="1664" spans="1:9" x14ac:dyDescent="0.25">
      <c r="A1664" s="2">
        <v>44783</v>
      </c>
      <c r="B1664" s="1" t="s">
        <v>12</v>
      </c>
      <c r="C1664" s="1" t="s">
        <v>68</v>
      </c>
      <c r="D1664" s="1" t="s">
        <v>31</v>
      </c>
      <c r="E1664">
        <v>37</v>
      </c>
      <c r="F1664" s="1">
        <f>VLOOKUP(jablka5[[#This Row],[Nazwa]],cennik[],2,0) * jablka5[[#This Row],[sprzedaż]]</f>
        <v>99.9</v>
      </c>
      <c r="G1664" s="1">
        <f>IF(jablka5[[#This Row],[NIP]]=D1663,jablka5[[#This Row],[sprzedaż]]+G1663,jablka5[[#This Row],[sprzedaż]])</f>
        <v>8834</v>
      </c>
      <c r="H1664" s="1">
        <f>IF(jablka5[[#This Row],[dot sprz]]&lt;15000,0,IF(jablka5[[#This Row],[dot sprz]]&lt;20000,5,10))</f>
        <v>0</v>
      </c>
      <c r="I1664" s="1">
        <f>jablka5[[#This Row],[rabat]]*jablka5[[#This Row],[sprzedaż]]/100</f>
        <v>0</v>
      </c>
    </row>
    <row r="1665" spans="1:9" x14ac:dyDescent="0.25">
      <c r="A1665" s="2">
        <v>44799</v>
      </c>
      <c r="B1665" s="1" t="s">
        <v>12</v>
      </c>
      <c r="C1665" s="1" t="s">
        <v>68</v>
      </c>
      <c r="D1665" s="1" t="s">
        <v>31</v>
      </c>
      <c r="E1665">
        <v>96</v>
      </c>
      <c r="F1665" s="1">
        <f>VLOOKUP(jablka5[[#This Row],[Nazwa]],cennik[],2,0) * jablka5[[#This Row],[sprzedaż]]</f>
        <v>259.20000000000005</v>
      </c>
      <c r="G1665" s="1">
        <f>IF(jablka5[[#This Row],[NIP]]=D1664,jablka5[[#This Row],[sprzedaż]]+G1664,jablka5[[#This Row],[sprzedaż]])</f>
        <v>8930</v>
      </c>
      <c r="H1665" s="1">
        <f>IF(jablka5[[#This Row],[dot sprz]]&lt;15000,0,IF(jablka5[[#This Row],[dot sprz]]&lt;20000,5,10))</f>
        <v>0</v>
      </c>
      <c r="I1665" s="1">
        <f>jablka5[[#This Row],[rabat]]*jablka5[[#This Row],[sprzedaż]]/100</f>
        <v>0</v>
      </c>
    </row>
    <row r="1666" spans="1:9" x14ac:dyDescent="0.25">
      <c r="A1666" s="2">
        <v>44805</v>
      </c>
      <c r="B1666" s="1" t="s">
        <v>9</v>
      </c>
      <c r="C1666" s="1" t="s">
        <v>67</v>
      </c>
      <c r="D1666" s="1" t="s">
        <v>31</v>
      </c>
      <c r="E1666">
        <v>267</v>
      </c>
      <c r="F1666" s="1">
        <f>VLOOKUP(jablka5[[#This Row],[Nazwa]],cennik[],2,0) * jablka5[[#This Row],[sprzedaż]]</f>
        <v>667.5</v>
      </c>
      <c r="G1666" s="1">
        <f>IF(jablka5[[#This Row],[NIP]]=D1665,jablka5[[#This Row],[sprzedaż]]+G1665,jablka5[[#This Row],[sprzedaż]])</f>
        <v>9197</v>
      </c>
      <c r="H1666" s="1">
        <f>IF(jablka5[[#This Row],[dot sprz]]&lt;15000,0,IF(jablka5[[#This Row],[dot sprz]]&lt;20000,5,10))</f>
        <v>0</v>
      </c>
      <c r="I1666" s="1">
        <f>jablka5[[#This Row],[rabat]]*jablka5[[#This Row],[sprzedaż]]/100</f>
        <v>0</v>
      </c>
    </row>
    <row r="1667" spans="1:9" x14ac:dyDescent="0.25">
      <c r="A1667" s="2">
        <v>44811</v>
      </c>
      <c r="B1667" s="1" t="s">
        <v>3</v>
      </c>
      <c r="C1667" s="1" t="s">
        <v>67</v>
      </c>
      <c r="D1667" s="1" t="s">
        <v>31</v>
      </c>
      <c r="E1667">
        <v>18</v>
      </c>
      <c r="F1667" s="1">
        <f>VLOOKUP(jablka5[[#This Row],[Nazwa]],cennik[],2,0) * jablka5[[#This Row],[sprzedaż]]</f>
        <v>57.6</v>
      </c>
      <c r="G1667" s="1">
        <f>IF(jablka5[[#This Row],[NIP]]=D1666,jablka5[[#This Row],[sprzedaż]]+G1666,jablka5[[#This Row],[sprzedaż]])</f>
        <v>9215</v>
      </c>
      <c r="H1667" s="1">
        <f>IF(jablka5[[#This Row],[dot sprz]]&lt;15000,0,IF(jablka5[[#This Row],[dot sprz]]&lt;20000,5,10))</f>
        <v>0</v>
      </c>
      <c r="I1667" s="1">
        <f>jablka5[[#This Row],[rabat]]*jablka5[[#This Row],[sprzedaż]]/100</f>
        <v>0</v>
      </c>
    </row>
    <row r="1668" spans="1:9" x14ac:dyDescent="0.25">
      <c r="A1668" s="2">
        <v>44826</v>
      </c>
      <c r="B1668" s="1" t="s">
        <v>1</v>
      </c>
      <c r="C1668" s="1" t="s">
        <v>67</v>
      </c>
      <c r="D1668" s="1" t="s">
        <v>31</v>
      </c>
      <c r="E1668">
        <v>374</v>
      </c>
      <c r="F1668" s="1">
        <f>VLOOKUP(jablka5[[#This Row],[Nazwa]],cennik[],2,0) * jablka5[[#This Row],[sprzedaż]]</f>
        <v>1196.8</v>
      </c>
      <c r="G1668" s="1">
        <f>IF(jablka5[[#This Row],[NIP]]=D1667,jablka5[[#This Row],[sprzedaż]]+G1667,jablka5[[#This Row],[sprzedaż]])</f>
        <v>9589</v>
      </c>
      <c r="H1668" s="1">
        <f>IF(jablka5[[#This Row],[dot sprz]]&lt;15000,0,IF(jablka5[[#This Row],[dot sprz]]&lt;20000,5,10))</f>
        <v>0</v>
      </c>
      <c r="I1668" s="1">
        <f>jablka5[[#This Row],[rabat]]*jablka5[[#This Row],[sprzedaż]]/100</f>
        <v>0</v>
      </c>
    </row>
    <row r="1669" spans="1:9" x14ac:dyDescent="0.25">
      <c r="A1669" s="2">
        <v>44835</v>
      </c>
      <c r="B1669" s="1" t="s">
        <v>3</v>
      </c>
      <c r="C1669" s="1" t="s">
        <v>67</v>
      </c>
      <c r="D1669" s="1" t="s">
        <v>31</v>
      </c>
      <c r="E1669">
        <v>187</v>
      </c>
      <c r="F1669" s="1">
        <f>VLOOKUP(jablka5[[#This Row],[Nazwa]],cennik[],2,0) * jablka5[[#This Row],[sprzedaż]]</f>
        <v>598.4</v>
      </c>
      <c r="G1669" s="1">
        <f>IF(jablka5[[#This Row],[NIP]]=D1668,jablka5[[#This Row],[sprzedaż]]+G1668,jablka5[[#This Row],[sprzedaż]])</f>
        <v>9776</v>
      </c>
      <c r="H1669" s="1">
        <f>IF(jablka5[[#This Row],[dot sprz]]&lt;15000,0,IF(jablka5[[#This Row],[dot sprz]]&lt;20000,5,10))</f>
        <v>0</v>
      </c>
      <c r="I1669" s="1">
        <f>jablka5[[#This Row],[rabat]]*jablka5[[#This Row],[sprzedaż]]/100</f>
        <v>0</v>
      </c>
    </row>
    <row r="1670" spans="1:9" x14ac:dyDescent="0.25">
      <c r="A1670" s="2">
        <v>44869</v>
      </c>
      <c r="B1670" s="1" t="s">
        <v>9</v>
      </c>
      <c r="C1670" s="1" t="s">
        <v>67</v>
      </c>
      <c r="D1670" s="1" t="s">
        <v>31</v>
      </c>
      <c r="E1670">
        <v>25</v>
      </c>
      <c r="F1670" s="1">
        <f>VLOOKUP(jablka5[[#This Row],[Nazwa]],cennik[],2,0) * jablka5[[#This Row],[sprzedaż]]</f>
        <v>62.5</v>
      </c>
      <c r="G1670" s="1">
        <f>IF(jablka5[[#This Row],[NIP]]=D1669,jablka5[[#This Row],[sprzedaż]]+G1669,jablka5[[#This Row],[sprzedaż]])</f>
        <v>9801</v>
      </c>
      <c r="H1670" s="1">
        <f>IF(jablka5[[#This Row],[dot sprz]]&lt;15000,0,IF(jablka5[[#This Row],[dot sprz]]&lt;20000,5,10))</f>
        <v>0</v>
      </c>
      <c r="I1670" s="1">
        <f>jablka5[[#This Row],[rabat]]*jablka5[[#This Row],[sprzedaż]]/100</f>
        <v>0</v>
      </c>
    </row>
    <row r="1671" spans="1:9" x14ac:dyDescent="0.25">
      <c r="A1671" s="2">
        <v>44874</v>
      </c>
      <c r="B1671" s="1" t="s">
        <v>1</v>
      </c>
      <c r="C1671" s="1" t="s">
        <v>67</v>
      </c>
      <c r="D1671" s="1" t="s">
        <v>31</v>
      </c>
      <c r="E1671">
        <v>77</v>
      </c>
      <c r="F1671" s="1">
        <f>VLOOKUP(jablka5[[#This Row],[Nazwa]],cennik[],2,0) * jablka5[[#This Row],[sprzedaż]]</f>
        <v>246.4</v>
      </c>
      <c r="G1671" s="1">
        <f>IF(jablka5[[#This Row],[NIP]]=D1670,jablka5[[#This Row],[sprzedaż]]+G1670,jablka5[[#This Row],[sprzedaż]])</f>
        <v>9878</v>
      </c>
      <c r="H1671" s="1">
        <f>IF(jablka5[[#This Row],[dot sprz]]&lt;15000,0,IF(jablka5[[#This Row],[dot sprz]]&lt;20000,5,10))</f>
        <v>0</v>
      </c>
      <c r="I1671" s="1">
        <f>jablka5[[#This Row],[rabat]]*jablka5[[#This Row],[sprzedaż]]/100</f>
        <v>0</v>
      </c>
    </row>
    <row r="1672" spans="1:9" x14ac:dyDescent="0.25">
      <c r="A1672" s="2">
        <v>44886</v>
      </c>
      <c r="B1672" s="1" t="s">
        <v>9</v>
      </c>
      <c r="C1672" s="1" t="s">
        <v>67</v>
      </c>
      <c r="D1672" s="1" t="s">
        <v>31</v>
      </c>
      <c r="E1672">
        <v>25</v>
      </c>
      <c r="F1672" s="1">
        <f>VLOOKUP(jablka5[[#This Row],[Nazwa]],cennik[],2,0) * jablka5[[#This Row],[sprzedaż]]</f>
        <v>62.5</v>
      </c>
      <c r="G1672" s="1">
        <f>IF(jablka5[[#This Row],[NIP]]=D1671,jablka5[[#This Row],[sprzedaż]]+G1671,jablka5[[#This Row],[sprzedaż]])</f>
        <v>9903</v>
      </c>
      <c r="H1672" s="1">
        <f>IF(jablka5[[#This Row],[dot sprz]]&lt;15000,0,IF(jablka5[[#This Row],[dot sprz]]&lt;20000,5,10))</f>
        <v>0</v>
      </c>
      <c r="I1672" s="1">
        <f>jablka5[[#This Row],[rabat]]*jablka5[[#This Row],[sprzedaż]]/100</f>
        <v>0</v>
      </c>
    </row>
    <row r="1673" spans="1:9" x14ac:dyDescent="0.25">
      <c r="A1673" s="2">
        <v>44891</v>
      </c>
      <c r="B1673" s="1" t="s">
        <v>14</v>
      </c>
      <c r="C1673" s="1" t="s">
        <v>67</v>
      </c>
      <c r="D1673" s="1" t="s">
        <v>31</v>
      </c>
      <c r="E1673">
        <v>85</v>
      </c>
      <c r="F1673" s="1">
        <f>VLOOKUP(jablka5[[#This Row],[Nazwa]],cennik[],2,0) * jablka5[[#This Row],[sprzedaż]]</f>
        <v>297.5</v>
      </c>
      <c r="G1673" s="1">
        <f>IF(jablka5[[#This Row],[NIP]]=D1672,jablka5[[#This Row],[sprzedaż]]+G1672,jablka5[[#This Row],[sprzedaż]])</f>
        <v>9988</v>
      </c>
      <c r="H1673" s="1">
        <f>IF(jablka5[[#This Row],[dot sprz]]&lt;15000,0,IF(jablka5[[#This Row],[dot sprz]]&lt;20000,5,10))</f>
        <v>0</v>
      </c>
      <c r="I1673" s="1">
        <f>jablka5[[#This Row],[rabat]]*jablka5[[#This Row],[sprzedaż]]/100</f>
        <v>0</v>
      </c>
    </row>
    <row r="1674" spans="1:9" x14ac:dyDescent="0.25">
      <c r="A1674" s="2">
        <v>44896</v>
      </c>
      <c r="B1674" s="1" t="s">
        <v>10</v>
      </c>
      <c r="C1674" s="1" t="s">
        <v>16</v>
      </c>
      <c r="D1674" s="1" t="s">
        <v>31</v>
      </c>
      <c r="E1674">
        <v>181</v>
      </c>
      <c r="F1674" s="1">
        <f>VLOOKUP(jablka5[[#This Row],[Nazwa]],cennik[],2,0) * jablka5[[#This Row],[sprzedaż]]</f>
        <v>615.4</v>
      </c>
      <c r="G1674" s="1">
        <f>IF(jablka5[[#This Row],[NIP]]=D1673,jablka5[[#This Row],[sprzedaż]]+G1673,jablka5[[#This Row],[sprzedaż]])</f>
        <v>10169</v>
      </c>
      <c r="H1674" s="1">
        <f>IF(jablka5[[#This Row],[dot sprz]]&lt;15000,0,IF(jablka5[[#This Row],[dot sprz]]&lt;20000,5,10))</f>
        <v>0</v>
      </c>
      <c r="I1674" s="1">
        <f>jablka5[[#This Row],[rabat]]*jablka5[[#This Row],[sprzedaż]]/100</f>
        <v>0</v>
      </c>
    </row>
    <row r="1675" spans="1:9" x14ac:dyDescent="0.25">
      <c r="A1675" s="2">
        <v>44907</v>
      </c>
      <c r="B1675" s="1" t="s">
        <v>2</v>
      </c>
      <c r="C1675" s="1" t="s">
        <v>16</v>
      </c>
      <c r="D1675" s="1" t="s">
        <v>31</v>
      </c>
      <c r="E1675">
        <v>404</v>
      </c>
      <c r="F1675" s="1">
        <f>VLOOKUP(jablka5[[#This Row],[Nazwa]],cennik[],2,0) * jablka5[[#This Row],[sprzedaż]]</f>
        <v>1292.8000000000002</v>
      </c>
      <c r="G1675" s="1">
        <f>IF(jablka5[[#This Row],[NIP]]=D1674,jablka5[[#This Row],[sprzedaż]]+G1674,jablka5[[#This Row],[sprzedaż]])</f>
        <v>10573</v>
      </c>
      <c r="H1675" s="1">
        <f>IF(jablka5[[#This Row],[dot sprz]]&lt;15000,0,IF(jablka5[[#This Row],[dot sprz]]&lt;20000,5,10))</f>
        <v>0</v>
      </c>
      <c r="I1675" s="1">
        <f>jablka5[[#This Row],[rabat]]*jablka5[[#This Row],[sprzedaż]]/100</f>
        <v>0</v>
      </c>
    </row>
    <row r="1676" spans="1:9" x14ac:dyDescent="0.25">
      <c r="A1676" s="2">
        <v>44564</v>
      </c>
      <c r="B1676" s="1" t="s">
        <v>7</v>
      </c>
      <c r="C1676" s="1" t="s">
        <v>16</v>
      </c>
      <c r="D1676" s="1" t="s">
        <v>21</v>
      </c>
      <c r="E1676">
        <v>543</v>
      </c>
      <c r="F1676" s="1">
        <f>VLOOKUP(jablka5[[#This Row],[Nazwa]],cennik[],2,0) * jablka5[[#This Row],[sprzedaż]]</f>
        <v>1846.2</v>
      </c>
      <c r="G1676" s="1">
        <f>IF(jablka5[[#This Row],[NIP]]=D1675,jablka5[[#This Row],[sprzedaż]]+G1675,jablka5[[#This Row],[sprzedaż]])</f>
        <v>543</v>
      </c>
      <c r="H1676" s="1">
        <f>IF(jablka5[[#This Row],[dot sprz]]&lt;15000,0,IF(jablka5[[#This Row],[dot sprz]]&lt;20000,5,10))</f>
        <v>0</v>
      </c>
      <c r="I1676" s="1">
        <f>jablka5[[#This Row],[rabat]]*jablka5[[#This Row],[sprzedaż]]/100</f>
        <v>0</v>
      </c>
    </row>
    <row r="1677" spans="1:9" x14ac:dyDescent="0.25">
      <c r="A1677" s="2">
        <v>44564</v>
      </c>
      <c r="B1677" s="1" t="s">
        <v>0</v>
      </c>
      <c r="C1677" s="1" t="s">
        <v>16</v>
      </c>
      <c r="D1677" s="1" t="s">
        <v>21</v>
      </c>
      <c r="E1677">
        <v>341</v>
      </c>
      <c r="F1677" s="1">
        <f>VLOOKUP(jablka5[[#This Row],[Nazwa]],cennik[],2,0) * jablka5[[#This Row],[sprzedaż]]</f>
        <v>988.9</v>
      </c>
      <c r="G1677" s="1">
        <f>IF(jablka5[[#This Row],[NIP]]=D1676,jablka5[[#This Row],[sprzedaż]]+G1676,jablka5[[#This Row],[sprzedaż]])</f>
        <v>884</v>
      </c>
      <c r="H1677" s="1">
        <f>IF(jablka5[[#This Row],[dot sprz]]&lt;15000,0,IF(jablka5[[#This Row],[dot sprz]]&lt;20000,5,10))</f>
        <v>0</v>
      </c>
      <c r="I1677" s="1">
        <f>jablka5[[#This Row],[rabat]]*jablka5[[#This Row],[sprzedaż]]/100</f>
        <v>0</v>
      </c>
    </row>
    <row r="1678" spans="1:9" x14ac:dyDescent="0.25">
      <c r="A1678" s="2">
        <v>44564</v>
      </c>
      <c r="B1678" s="1" t="s">
        <v>4</v>
      </c>
      <c r="C1678" s="1" t="s">
        <v>16</v>
      </c>
      <c r="D1678" s="1" t="s">
        <v>21</v>
      </c>
      <c r="E1678">
        <v>609</v>
      </c>
      <c r="F1678" s="1">
        <f>VLOOKUP(jablka5[[#This Row],[Nazwa]],cennik[],2,0) * jablka5[[#This Row],[sprzedaż]]</f>
        <v>2070.6</v>
      </c>
      <c r="G1678" s="1">
        <f>IF(jablka5[[#This Row],[NIP]]=D1677,jablka5[[#This Row],[sprzedaż]]+G1677,jablka5[[#This Row],[sprzedaż]])</f>
        <v>1493</v>
      </c>
      <c r="H1678" s="1">
        <f>IF(jablka5[[#This Row],[dot sprz]]&lt;15000,0,IF(jablka5[[#This Row],[dot sprz]]&lt;20000,5,10))</f>
        <v>0</v>
      </c>
      <c r="I1678" s="1">
        <f>jablka5[[#This Row],[rabat]]*jablka5[[#This Row],[sprzedaż]]/100</f>
        <v>0</v>
      </c>
    </row>
    <row r="1679" spans="1:9" x14ac:dyDescent="0.25">
      <c r="A1679" s="2">
        <v>44573</v>
      </c>
      <c r="B1679" s="1" t="s">
        <v>8</v>
      </c>
      <c r="C1679" s="1" t="s">
        <v>16</v>
      </c>
      <c r="D1679" s="1" t="s">
        <v>21</v>
      </c>
      <c r="E1679">
        <v>627</v>
      </c>
      <c r="F1679" s="1">
        <f>VLOOKUP(jablka5[[#This Row],[Nazwa]],cennik[],2,0) * jablka5[[#This Row],[sprzedaż]]</f>
        <v>2194.5</v>
      </c>
      <c r="G1679" s="1">
        <f>IF(jablka5[[#This Row],[NIP]]=D1678,jablka5[[#This Row],[sprzedaż]]+G1678,jablka5[[#This Row],[sprzedaż]])</f>
        <v>2120</v>
      </c>
      <c r="H1679" s="1">
        <f>IF(jablka5[[#This Row],[dot sprz]]&lt;15000,0,IF(jablka5[[#This Row],[dot sprz]]&lt;20000,5,10))</f>
        <v>0</v>
      </c>
      <c r="I1679" s="1">
        <f>jablka5[[#This Row],[rabat]]*jablka5[[#This Row],[sprzedaż]]/100</f>
        <v>0</v>
      </c>
    </row>
    <row r="1680" spans="1:9" x14ac:dyDescent="0.25">
      <c r="A1680" s="2">
        <v>44575</v>
      </c>
      <c r="B1680" s="1" t="s">
        <v>2</v>
      </c>
      <c r="C1680" s="1" t="s">
        <v>16</v>
      </c>
      <c r="D1680" s="1" t="s">
        <v>21</v>
      </c>
      <c r="E1680">
        <v>94</v>
      </c>
      <c r="F1680" s="1">
        <f>VLOOKUP(jablka5[[#This Row],[Nazwa]],cennik[],2,0) * jablka5[[#This Row],[sprzedaż]]</f>
        <v>300.8</v>
      </c>
      <c r="G1680" s="1">
        <f>IF(jablka5[[#This Row],[NIP]]=D1679,jablka5[[#This Row],[sprzedaż]]+G1679,jablka5[[#This Row],[sprzedaż]])</f>
        <v>2214</v>
      </c>
      <c r="H1680" s="1">
        <f>IF(jablka5[[#This Row],[dot sprz]]&lt;15000,0,IF(jablka5[[#This Row],[dot sprz]]&lt;20000,5,10))</f>
        <v>0</v>
      </c>
      <c r="I1680" s="1">
        <f>jablka5[[#This Row],[rabat]]*jablka5[[#This Row],[sprzedaż]]/100</f>
        <v>0</v>
      </c>
    </row>
    <row r="1681" spans="1:9" x14ac:dyDescent="0.25">
      <c r="A1681" s="2">
        <v>44590</v>
      </c>
      <c r="B1681" s="1" t="s">
        <v>0</v>
      </c>
      <c r="C1681" s="1" t="s">
        <v>16</v>
      </c>
      <c r="D1681" s="1" t="s">
        <v>21</v>
      </c>
      <c r="E1681">
        <v>354</v>
      </c>
      <c r="F1681" s="1">
        <f>VLOOKUP(jablka5[[#This Row],[Nazwa]],cennik[],2,0) * jablka5[[#This Row],[sprzedaż]]</f>
        <v>1026.5999999999999</v>
      </c>
      <c r="G1681" s="1">
        <f>IF(jablka5[[#This Row],[NIP]]=D1680,jablka5[[#This Row],[sprzedaż]]+G1680,jablka5[[#This Row],[sprzedaż]])</f>
        <v>2568</v>
      </c>
      <c r="H1681" s="1">
        <f>IF(jablka5[[#This Row],[dot sprz]]&lt;15000,0,IF(jablka5[[#This Row],[dot sprz]]&lt;20000,5,10))</f>
        <v>0</v>
      </c>
      <c r="I1681" s="1">
        <f>jablka5[[#This Row],[rabat]]*jablka5[[#This Row],[sprzedaż]]/100</f>
        <v>0</v>
      </c>
    </row>
    <row r="1682" spans="1:9" x14ac:dyDescent="0.25">
      <c r="A1682" s="2">
        <v>44592</v>
      </c>
      <c r="B1682" s="1" t="s">
        <v>10</v>
      </c>
      <c r="C1682" s="1" t="s">
        <v>16</v>
      </c>
      <c r="D1682" s="1" t="s">
        <v>21</v>
      </c>
      <c r="E1682">
        <v>255</v>
      </c>
      <c r="F1682" s="1">
        <f>VLOOKUP(jablka5[[#This Row],[Nazwa]],cennik[],2,0) * jablka5[[#This Row],[sprzedaż]]</f>
        <v>867</v>
      </c>
      <c r="G1682" s="1">
        <f>IF(jablka5[[#This Row],[NIP]]=D1681,jablka5[[#This Row],[sprzedaż]]+G1681,jablka5[[#This Row],[sprzedaż]])</f>
        <v>2823</v>
      </c>
      <c r="H1682" s="1">
        <f>IF(jablka5[[#This Row],[dot sprz]]&lt;15000,0,IF(jablka5[[#This Row],[dot sprz]]&lt;20000,5,10))</f>
        <v>0</v>
      </c>
      <c r="I1682" s="1">
        <f>jablka5[[#This Row],[rabat]]*jablka5[[#This Row],[sprzedaż]]/100</f>
        <v>0</v>
      </c>
    </row>
    <row r="1683" spans="1:9" x14ac:dyDescent="0.25">
      <c r="A1683" s="2">
        <v>44595</v>
      </c>
      <c r="B1683" s="1" t="s">
        <v>8</v>
      </c>
      <c r="C1683" s="1" t="s">
        <v>16</v>
      </c>
      <c r="D1683" s="1" t="s">
        <v>21</v>
      </c>
      <c r="E1683">
        <v>367</v>
      </c>
      <c r="F1683" s="1">
        <f>VLOOKUP(jablka5[[#This Row],[Nazwa]],cennik[],2,0) * jablka5[[#This Row],[sprzedaż]]</f>
        <v>1284.5</v>
      </c>
      <c r="G1683" s="1">
        <f>IF(jablka5[[#This Row],[NIP]]=D1682,jablka5[[#This Row],[sprzedaż]]+G1682,jablka5[[#This Row],[sprzedaż]])</f>
        <v>3190</v>
      </c>
      <c r="H1683" s="1">
        <f>IF(jablka5[[#This Row],[dot sprz]]&lt;15000,0,IF(jablka5[[#This Row],[dot sprz]]&lt;20000,5,10))</f>
        <v>0</v>
      </c>
      <c r="I1683" s="1">
        <f>jablka5[[#This Row],[rabat]]*jablka5[[#This Row],[sprzedaż]]/100</f>
        <v>0</v>
      </c>
    </row>
    <row r="1684" spans="1:9" x14ac:dyDescent="0.25">
      <c r="A1684" s="2">
        <v>44599</v>
      </c>
      <c r="B1684" s="1" t="s">
        <v>7</v>
      </c>
      <c r="C1684" s="1" t="s">
        <v>16</v>
      </c>
      <c r="D1684" s="1" t="s">
        <v>21</v>
      </c>
      <c r="E1684">
        <v>388</v>
      </c>
      <c r="F1684" s="1">
        <f>VLOOKUP(jablka5[[#This Row],[Nazwa]],cennik[],2,0) * jablka5[[#This Row],[sprzedaż]]</f>
        <v>1319.2</v>
      </c>
      <c r="G1684" s="1">
        <f>IF(jablka5[[#This Row],[NIP]]=D1683,jablka5[[#This Row],[sprzedaż]]+G1683,jablka5[[#This Row],[sprzedaż]])</f>
        <v>3578</v>
      </c>
      <c r="H1684" s="1">
        <f>IF(jablka5[[#This Row],[dot sprz]]&lt;15000,0,IF(jablka5[[#This Row],[dot sprz]]&lt;20000,5,10))</f>
        <v>0</v>
      </c>
      <c r="I1684" s="1">
        <f>jablka5[[#This Row],[rabat]]*jablka5[[#This Row],[sprzedaż]]/100</f>
        <v>0</v>
      </c>
    </row>
    <row r="1685" spans="1:9" x14ac:dyDescent="0.25">
      <c r="A1685" s="2">
        <v>44606</v>
      </c>
      <c r="B1685" s="1" t="s">
        <v>4</v>
      </c>
      <c r="C1685" s="1" t="s">
        <v>16</v>
      </c>
      <c r="D1685" s="1" t="s">
        <v>21</v>
      </c>
      <c r="E1685">
        <v>413</v>
      </c>
      <c r="F1685" s="1">
        <f>VLOOKUP(jablka5[[#This Row],[Nazwa]],cennik[],2,0) * jablka5[[#This Row],[sprzedaż]]</f>
        <v>1404.2</v>
      </c>
      <c r="G1685" s="1">
        <f>IF(jablka5[[#This Row],[NIP]]=D1684,jablka5[[#This Row],[sprzedaż]]+G1684,jablka5[[#This Row],[sprzedaż]])</f>
        <v>3991</v>
      </c>
      <c r="H1685" s="1">
        <f>IF(jablka5[[#This Row],[dot sprz]]&lt;15000,0,IF(jablka5[[#This Row],[dot sprz]]&lt;20000,5,10))</f>
        <v>0</v>
      </c>
      <c r="I1685" s="1">
        <f>jablka5[[#This Row],[rabat]]*jablka5[[#This Row],[sprzedaż]]/100</f>
        <v>0</v>
      </c>
    </row>
    <row r="1686" spans="1:9" x14ac:dyDescent="0.25">
      <c r="A1686" s="2">
        <v>44610</v>
      </c>
      <c r="B1686" s="1" t="s">
        <v>6</v>
      </c>
      <c r="C1686" s="1" t="s">
        <v>16</v>
      </c>
      <c r="D1686" s="1" t="s">
        <v>21</v>
      </c>
      <c r="E1686">
        <v>408</v>
      </c>
      <c r="F1686" s="1">
        <f>VLOOKUP(jablka5[[#This Row],[Nazwa]],cennik[],2,0) * jablka5[[#This Row],[sprzedaż]]</f>
        <v>1387.2</v>
      </c>
      <c r="G1686" s="1">
        <f>IF(jablka5[[#This Row],[NIP]]=D1685,jablka5[[#This Row],[sprzedaż]]+G1685,jablka5[[#This Row],[sprzedaż]])</f>
        <v>4399</v>
      </c>
      <c r="H1686" s="1">
        <f>IF(jablka5[[#This Row],[dot sprz]]&lt;15000,0,IF(jablka5[[#This Row],[dot sprz]]&lt;20000,5,10))</f>
        <v>0</v>
      </c>
      <c r="I1686" s="1">
        <f>jablka5[[#This Row],[rabat]]*jablka5[[#This Row],[sprzedaż]]/100</f>
        <v>0</v>
      </c>
    </row>
    <row r="1687" spans="1:9" x14ac:dyDescent="0.25">
      <c r="A1687" s="2">
        <v>44617</v>
      </c>
      <c r="B1687" s="1" t="s">
        <v>4</v>
      </c>
      <c r="C1687" s="1" t="s">
        <v>16</v>
      </c>
      <c r="D1687" s="1" t="s">
        <v>21</v>
      </c>
      <c r="E1687">
        <v>678</v>
      </c>
      <c r="F1687" s="1">
        <f>VLOOKUP(jablka5[[#This Row],[Nazwa]],cennik[],2,0) * jablka5[[#This Row],[sprzedaż]]</f>
        <v>2305.1999999999998</v>
      </c>
      <c r="G1687" s="1">
        <f>IF(jablka5[[#This Row],[NIP]]=D1686,jablka5[[#This Row],[sprzedaż]]+G1686,jablka5[[#This Row],[sprzedaż]])</f>
        <v>5077</v>
      </c>
      <c r="H1687" s="1">
        <f>IF(jablka5[[#This Row],[dot sprz]]&lt;15000,0,IF(jablka5[[#This Row],[dot sprz]]&lt;20000,5,10))</f>
        <v>0</v>
      </c>
      <c r="I1687" s="1">
        <f>jablka5[[#This Row],[rabat]]*jablka5[[#This Row],[sprzedaż]]/100</f>
        <v>0</v>
      </c>
    </row>
    <row r="1688" spans="1:9" x14ac:dyDescent="0.25">
      <c r="A1688" s="2">
        <v>44629</v>
      </c>
      <c r="B1688" s="1" t="s">
        <v>10</v>
      </c>
      <c r="C1688" s="1" t="s">
        <v>16</v>
      </c>
      <c r="D1688" s="1" t="s">
        <v>21</v>
      </c>
      <c r="E1688">
        <v>258</v>
      </c>
      <c r="F1688" s="1">
        <f>VLOOKUP(jablka5[[#This Row],[Nazwa]],cennik[],2,0) * jablka5[[#This Row],[sprzedaż]]</f>
        <v>877.19999999999993</v>
      </c>
      <c r="G1688" s="1">
        <f>IF(jablka5[[#This Row],[NIP]]=D1687,jablka5[[#This Row],[sprzedaż]]+G1687,jablka5[[#This Row],[sprzedaż]])</f>
        <v>5335</v>
      </c>
      <c r="H1688" s="1">
        <f>IF(jablka5[[#This Row],[dot sprz]]&lt;15000,0,IF(jablka5[[#This Row],[dot sprz]]&lt;20000,5,10))</f>
        <v>0</v>
      </c>
      <c r="I1688" s="1">
        <f>jablka5[[#This Row],[rabat]]*jablka5[[#This Row],[sprzedaż]]/100</f>
        <v>0</v>
      </c>
    </row>
    <row r="1689" spans="1:9" x14ac:dyDescent="0.25">
      <c r="A1689" s="2">
        <v>44636</v>
      </c>
      <c r="B1689" s="1" t="s">
        <v>10</v>
      </c>
      <c r="C1689" s="1" t="s">
        <v>16</v>
      </c>
      <c r="D1689" s="1" t="s">
        <v>21</v>
      </c>
      <c r="E1689">
        <v>243</v>
      </c>
      <c r="F1689" s="1">
        <f>VLOOKUP(jablka5[[#This Row],[Nazwa]],cennik[],2,0) * jablka5[[#This Row],[sprzedaż]]</f>
        <v>826.19999999999993</v>
      </c>
      <c r="G1689" s="1">
        <f>IF(jablka5[[#This Row],[NIP]]=D1688,jablka5[[#This Row],[sprzedaż]]+G1688,jablka5[[#This Row],[sprzedaż]])</f>
        <v>5578</v>
      </c>
      <c r="H1689" s="1">
        <f>IF(jablka5[[#This Row],[dot sprz]]&lt;15000,0,IF(jablka5[[#This Row],[dot sprz]]&lt;20000,5,10))</f>
        <v>0</v>
      </c>
      <c r="I1689" s="1">
        <f>jablka5[[#This Row],[rabat]]*jablka5[[#This Row],[sprzedaż]]/100</f>
        <v>0</v>
      </c>
    </row>
    <row r="1690" spans="1:9" x14ac:dyDescent="0.25">
      <c r="A1690" s="2">
        <v>44645</v>
      </c>
      <c r="B1690" s="1" t="s">
        <v>15</v>
      </c>
      <c r="C1690" s="1" t="s">
        <v>16</v>
      </c>
      <c r="D1690" s="1" t="s">
        <v>21</v>
      </c>
      <c r="E1690">
        <v>551</v>
      </c>
      <c r="F1690" s="1">
        <f>VLOOKUP(jablka5[[#This Row],[Nazwa]],cennik[],2,0) * jablka5[[#This Row],[sprzedaż]]</f>
        <v>1322.3999999999999</v>
      </c>
      <c r="G1690" s="1">
        <f>IF(jablka5[[#This Row],[NIP]]=D1689,jablka5[[#This Row],[sprzedaż]]+G1689,jablka5[[#This Row],[sprzedaż]])</f>
        <v>6129</v>
      </c>
      <c r="H1690" s="1">
        <f>IF(jablka5[[#This Row],[dot sprz]]&lt;15000,0,IF(jablka5[[#This Row],[dot sprz]]&lt;20000,5,10))</f>
        <v>0</v>
      </c>
      <c r="I1690" s="1">
        <f>jablka5[[#This Row],[rabat]]*jablka5[[#This Row],[sprzedaż]]/100</f>
        <v>0</v>
      </c>
    </row>
    <row r="1691" spans="1:9" x14ac:dyDescent="0.25">
      <c r="A1691" s="2">
        <v>44650</v>
      </c>
      <c r="B1691" s="1" t="s">
        <v>4</v>
      </c>
      <c r="C1691" s="1" t="s">
        <v>16</v>
      </c>
      <c r="D1691" s="1" t="s">
        <v>21</v>
      </c>
      <c r="E1691">
        <v>384</v>
      </c>
      <c r="F1691" s="1">
        <f>VLOOKUP(jablka5[[#This Row],[Nazwa]],cennik[],2,0) * jablka5[[#This Row],[sprzedaż]]</f>
        <v>1305.5999999999999</v>
      </c>
      <c r="G1691" s="1">
        <f>IF(jablka5[[#This Row],[NIP]]=D1690,jablka5[[#This Row],[sprzedaż]]+G1690,jablka5[[#This Row],[sprzedaż]])</f>
        <v>6513</v>
      </c>
      <c r="H1691" s="1">
        <f>IF(jablka5[[#This Row],[dot sprz]]&lt;15000,0,IF(jablka5[[#This Row],[dot sprz]]&lt;20000,5,10))</f>
        <v>0</v>
      </c>
      <c r="I1691" s="1">
        <f>jablka5[[#This Row],[rabat]]*jablka5[[#This Row],[sprzedaż]]/100</f>
        <v>0</v>
      </c>
    </row>
    <row r="1692" spans="1:9" x14ac:dyDescent="0.25">
      <c r="A1692" s="2">
        <v>44662</v>
      </c>
      <c r="B1692" s="1" t="s">
        <v>7</v>
      </c>
      <c r="C1692" s="1" t="s">
        <v>16</v>
      </c>
      <c r="D1692" s="1" t="s">
        <v>21</v>
      </c>
      <c r="E1692">
        <v>611</v>
      </c>
      <c r="F1692" s="1">
        <f>VLOOKUP(jablka5[[#This Row],[Nazwa]],cennik[],2,0) * jablka5[[#This Row],[sprzedaż]]</f>
        <v>2077.4</v>
      </c>
      <c r="G1692" s="1">
        <f>IF(jablka5[[#This Row],[NIP]]=D1691,jablka5[[#This Row],[sprzedaż]]+G1691,jablka5[[#This Row],[sprzedaż]])</f>
        <v>7124</v>
      </c>
      <c r="H1692" s="1">
        <f>IF(jablka5[[#This Row],[dot sprz]]&lt;15000,0,IF(jablka5[[#This Row],[dot sprz]]&lt;20000,5,10))</f>
        <v>0</v>
      </c>
      <c r="I1692" s="1">
        <f>jablka5[[#This Row],[rabat]]*jablka5[[#This Row],[sprzedaż]]/100</f>
        <v>0</v>
      </c>
    </row>
    <row r="1693" spans="1:9" x14ac:dyDescent="0.25">
      <c r="A1693" s="2">
        <v>44669</v>
      </c>
      <c r="B1693" s="1" t="s">
        <v>2</v>
      </c>
      <c r="C1693" s="1" t="s">
        <v>16</v>
      </c>
      <c r="D1693" s="1" t="s">
        <v>21</v>
      </c>
      <c r="E1693">
        <v>500</v>
      </c>
      <c r="F1693" s="1">
        <f>VLOOKUP(jablka5[[#This Row],[Nazwa]],cennik[],2,0) * jablka5[[#This Row],[sprzedaż]]</f>
        <v>1600</v>
      </c>
      <c r="G1693" s="1">
        <f>IF(jablka5[[#This Row],[NIP]]=D1692,jablka5[[#This Row],[sprzedaż]]+G1692,jablka5[[#This Row],[sprzedaż]])</f>
        <v>7624</v>
      </c>
      <c r="H1693" s="1">
        <f>IF(jablka5[[#This Row],[dot sprz]]&lt;15000,0,IF(jablka5[[#This Row],[dot sprz]]&lt;20000,5,10))</f>
        <v>0</v>
      </c>
      <c r="I1693" s="1">
        <f>jablka5[[#This Row],[rabat]]*jablka5[[#This Row],[sprzedaż]]/100</f>
        <v>0</v>
      </c>
    </row>
    <row r="1694" spans="1:9" x14ac:dyDescent="0.25">
      <c r="A1694" s="2">
        <v>44676</v>
      </c>
      <c r="B1694" s="1" t="s">
        <v>5</v>
      </c>
      <c r="C1694" s="1" t="s">
        <v>16</v>
      </c>
      <c r="D1694" s="1" t="s">
        <v>21</v>
      </c>
      <c r="E1694">
        <v>85</v>
      </c>
      <c r="F1694" s="1">
        <f>VLOOKUP(jablka5[[#This Row],[Nazwa]],cennik[],2,0) * jablka5[[#This Row],[sprzedaż]]</f>
        <v>289</v>
      </c>
      <c r="G1694" s="1">
        <f>IF(jablka5[[#This Row],[NIP]]=D1693,jablka5[[#This Row],[sprzedaż]]+G1693,jablka5[[#This Row],[sprzedaż]])</f>
        <v>7709</v>
      </c>
      <c r="H1694" s="1">
        <f>IF(jablka5[[#This Row],[dot sprz]]&lt;15000,0,IF(jablka5[[#This Row],[dot sprz]]&lt;20000,5,10))</f>
        <v>0</v>
      </c>
      <c r="I1694" s="1">
        <f>jablka5[[#This Row],[rabat]]*jablka5[[#This Row],[sprzedaż]]/100</f>
        <v>0</v>
      </c>
    </row>
    <row r="1695" spans="1:9" x14ac:dyDescent="0.25">
      <c r="A1695" s="2">
        <v>44677</v>
      </c>
      <c r="B1695" s="1" t="s">
        <v>6</v>
      </c>
      <c r="C1695" s="1" t="s">
        <v>16</v>
      </c>
      <c r="D1695" s="1" t="s">
        <v>21</v>
      </c>
      <c r="E1695">
        <v>344</v>
      </c>
      <c r="F1695" s="1">
        <f>VLOOKUP(jablka5[[#This Row],[Nazwa]],cennik[],2,0) * jablka5[[#This Row],[sprzedaż]]</f>
        <v>1169.5999999999999</v>
      </c>
      <c r="G1695" s="1">
        <f>IF(jablka5[[#This Row],[NIP]]=D1694,jablka5[[#This Row],[sprzedaż]]+G1694,jablka5[[#This Row],[sprzedaż]])</f>
        <v>8053</v>
      </c>
      <c r="H1695" s="1">
        <f>IF(jablka5[[#This Row],[dot sprz]]&lt;15000,0,IF(jablka5[[#This Row],[dot sprz]]&lt;20000,5,10))</f>
        <v>0</v>
      </c>
      <c r="I1695" s="1">
        <f>jablka5[[#This Row],[rabat]]*jablka5[[#This Row],[sprzedaż]]/100</f>
        <v>0</v>
      </c>
    </row>
    <row r="1696" spans="1:9" x14ac:dyDescent="0.25">
      <c r="A1696" s="2">
        <v>44679</v>
      </c>
      <c r="B1696" s="1" t="s">
        <v>8</v>
      </c>
      <c r="C1696" s="1" t="s">
        <v>16</v>
      </c>
      <c r="D1696" s="1" t="s">
        <v>21</v>
      </c>
      <c r="E1696">
        <v>583</v>
      </c>
      <c r="F1696" s="1">
        <f>VLOOKUP(jablka5[[#This Row],[Nazwa]],cennik[],2,0) * jablka5[[#This Row],[sprzedaż]]</f>
        <v>2040.5</v>
      </c>
      <c r="G1696" s="1">
        <f>IF(jablka5[[#This Row],[NIP]]=D1695,jablka5[[#This Row],[sprzedaż]]+G1695,jablka5[[#This Row],[sprzedaż]])</f>
        <v>8636</v>
      </c>
      <c r="H1696" s="1">
        <f>IF(jablka5[[#This Row],[dot sprz]]&lt;15000,0,IF(jablka5[[#This Row],[dot sprz]]&lt;20000,5,10))</f>
        <v>0</v>
      </c>
      <c r="I1696" s="1">
        <f>jablka5[[#This Row],[rabat]]*jablka5[[#This Row],[sprzedaż]]/100</f>
        <v>0</v>
      </c>
    </row>
    <row r="1697" spans="1:9" x14ac:dyDescent="0.25">
      <c r="A1697" s="2">
        <v>44679</v>
      </c>
      <c r="B1697" s="1" t="s">
        <v>6</v>
      </c>
      <c r="C1697" s="1" t="s">
        <v>16</v>
      </c>
      <c r="D1697" s="1" t="s">
        <v>21</v>
      </c>
      <c r="E1697">
        <v>132</v>
      </c>
      <c r="F1697" s="1">
        <f>VLOOKUP(jablka5[[#This Row],[Nazwa]],cennik[],2,0) * jablka5[[#This Row],[sprzedaż]]</f>
        <v>448.8</v>
      </c>
      <c r="G1697" s="1">
        <f>IF(jablka5[[#This Row],[NIP]]=D1696,jablka5[[#This Row],[sprzedaż]]+G1696,jablka5[[#This Row],[sprzedaż]])</f>
        <v>8768</v>
      </c>
      <c r="H1697" s="1">
        <f>IF(jablka5[[#This Row],[dot sprz]]&lt;15000,0,IF(jablka5[[#This Row],[dot sprz]]&lt;20000,5,10))</f>
        <v>0</v>
      </c>
      <c r="I1697" s="1">
        <f>jablka5[[#This Row],[rabat]]*jablka5[[#This Row],[sprzedaż]]/100</f>
        <v>0</v>
      </c>
    </row>
    <row r="1698" spans="1:9" x14ac:dyDescent="0.25">
      <c r="A1698" s="2">
        <v>44687</v>
      </c>
      <c r="B1698" s="1" t="s">
        <v>2</v>
      </c>
      <c r="C1698" s="1" t="s">
        <v>16</v>
      </c>
      <c r="D1698" s="1" t="s">
        <v>21</v>
      </c>
      <c r="E1698">
        <v>398</v>
      </c>
      <c r="F1698" s="1">
        <f>VLOOKUP(jablka5[[#This Row],[Nazwa]],cennik[],2,0) * jablka5[[#This Row],[sprzedaż]]</f>
        <v>1273.6000000000001</v>
      </c>
      <c r="G1698" s="1">
        <f>IF(jablka5[[#This Row],[NIP]]=D1697,jablka5[[#This Row],[sprzedaż]]+G1697,jablka5[[#This Row],[sprzedaż]])</f>
        <v>9166</v>
      </c>
      <c r="H1698" s="1">
        <f>IF(jablka5[[#This Row],[dot sprz]]&lt;15000,0,IF(jablka5[[#This Row],[dot sprz]]&lt;20000,5,10))</f>
        <v>0</v>
      </c>
      <c r="I1698" s="1">
        <f>jablka5[[#This Row],[rabat]]*jablka5[[#This Row],[sprzedaż]]/100</f>
        <v>0</v>
      </c>
    </row>
    <row r="1699" spans="1:9" x14ac:dyDescent="0.25">
      <c r="A1699" s="2">
        <v>44693</v>
      </c>
      <c r="B1699" s="1" t="s">
        <v>2</v>
      </c>
      <c r="C1699" s="1" t="s">
        <v>16</v>
      </c>
      <c r="D1699" s="1" t="s">
        <v>21</v>
      </c>
      <c r="E1699">
        <v>237</v>
      </c>
      <c r="F1699" s="1">
        <f>VLOOKUP(jablka5[[#This Row],[Nazwa]],cennik[],2,0) * jablka5[[#This Row],[sprzedaż]]</f>
        <v>758.40000000000009</v>
      </c>
      <c r="G1699" s="1">
        <f>IF(jablka5[[#This Row],[NIP]]=D1698,jablka5[[#This Row],[sprzedaż]]+G1698,jablka5[[#This Row],[sprzedaż]])</f>
        <v>9403</v>
      </c>
      <c r="H1699" s="1">
        <f>IF(jablka5[[#This Row],[dot sprz]]&lt;15000,0,IF(jablka5[[#This Row],[dot sprz]]&lt;20000,5,10))</f>
        <v>0</v>
      </c>
      <c r="I1699" s="1">
        <f>jablka5[[#This Row],[rabat]]*jablka5[[#This Row],[sprzedaż]]/100</f>
        <v>0</v>
      </c>
    </row>
    <row r="1700" spans="1:9" x14ac:dyDescent="0.25">
      <c r="A1700" s="2">
        <v>44697</v>
      </c>
      <c r="B1700" s="1" t="s">
        <v>7</v>
      </c>
      <c r="C1700" s="1" t="s">
        <v>16</v>
      </c>
      <c r="D1700" s="1" t="s">
        <v>21</v>
      </c>
      <c r="E1700">
        <v>594</v>
      </c>
      <c r="F1700" s="1">
        <f>VLOOKUP(jablka5[[#This Row],[Nazwa]],cennik[],2,0) * jablka5[[#This Row],[sprzedaż]]</f>
        <v>2019.6</v>
      </c>
      <c r="G1700" s="1">
        <f>IF(jablka5[[#This Row],[NIP]]=D1699,jablka5[[#This Row],[sprzedaż]]+G1699,jablka5[[#This Row],[sprzedaż]])</f>
        <v>9997</v>
      </c>
      <c r="H1700" s="1">
        <f>IF(jablka5[[#This Row],[dot sprz]]&lt;15000,0,IF(jablka5[[#This Row],[dot sprz]]&lt;20000,5,10))</f>
        <v>0</v>
      </c>
      <c r="I1700" s="1">
        <f>jablka5[[#This Row],[rabat]]*jablka5[[#This Row],[sprzedaż]]/100</f>
        <v>0</v>
      </c>
    </row>
    <row r="1701" spans="1:9" x14ac:dyDescent="0.25">
      <c r="A1701" s="2">
        <v>44704</v>
      </c>
      <c r="B1701" s="1" t="s">
        <v>15</v>
      </c>
      <c r="C1701" s="1" t="s">
        <v>16</v>
      </c>
      <c r="D1701" s="1" t="s">
        <v>21</v>
      </c>
      <c r="E1701">
        <v>360</v>
      </c>
      <c r="F1701" s="1">
        <f>VLOOKUP(jablka5[[#This Row],[Nazwa]],cennik[],2,0) * jablka5[[#This Row],[sprzedaż]]</f>
        <v>864</v>
      </c>
      <c r="G1701" s="1">
        <f>IF(jablka5[[#This Row],[NIP]]=D1700,jablka5[[#This Row],[sprzedaż]]+G1700,jablka5[[#This Row],[sprzedaż]])</f>
        <v>10357</v>
      </c>
      <c r="H1701" s="1">
        <f>IF(jablka5[[#This Row],[dot sprz]]&lt;15000,0,IF(jablka5[[#This Row],[dot sprz]]&lt;20000,5,10))</f>
        <v>0</v>
      </c>
      <c r="I1701" s="1">
        <f>jablka5[[#This Row],[rabat]]*jablka5[[#This Row],[sprzedaż]]/100</f>
        <v>0</v>
      </c>
    </row>
    <row r="1702" spans="1:9" x14ac:dyDescent="0.25">
      <c r="A1702" s="2">
        <v>44711</v>
      </c>
      <c r="B1702" s="1" t="s">
        <v>0</v>
      </c>
      <c r="C1702" s="1" t="s">
        <v>16</v>
      </c>
      <c r="D1702" s="1" t="s">
        <v>21</v>
      </c>
      <c r="E1702">
        <v>99</v>
      </c>
      <c r="F1702" s="1">
        <f>VLOOKUP(jablka5[[#This Row],[Nazwa]],cennik[],2,0) * jablka5[[#This Row],[sprzedaż]]</f>
        <v>287.09999999999997</v>
      </c>
      <c r="G1702" s="1">
        <f>IF(jablka5[[#This Row],[NIP]]=D1701,jablka5[[#This Row],[sprzedaż]]+G1701,jablka5[[#This Row],[sprzedaż]])</f>
        <v>10456</v>
      </c>
      <c r="H1702" s="1">
        <f>IF(jablka5[[#This Row],[dot sprz]]&lt;15000,0,IF(jablka5[[#This Row],[dot sprz]]&lt;20000,5,10))</f>
        <v>0</v>
      </c>
      <c r="I1702" s="1">
        <f>jablka5[[#This Row],[rabat]]*jablka5[[#This Row],[sprzedaż]]/100</f>
        <v>0</v>
      </c>
    </row>
    <row r="1703" spans="1:9" x14ac:dyDescent="0.25">
      <c r="A1703" s="2">
        <v>44713</v>
      </c>
      <c r="B1703" s="1" t="s">
        <v>12</v>
      </c>
      <c r="C1703" s="1" t="s">
        <v>68</v>
      </c>
      <c r="D1703" s="1" t="s">
        <v>21</v>
      </c>
      <c r="E1703">
        <v>37</v>
      </c>
      <c r="F1703" s="1">
        <f>VLOOKUP(jablka5[[#This Row],[Nazwa]],cennik[],2,0) * jablka5[[#This Row],[sprzedaż]]</f>
        <v>99.9</v>
      </c>
      <c r="G1703" s="1">
        <f>IF(jablka5[[#This Row],[NIP]]=D1702,jablka5[[#This Row],[sprzedaż]]+G1702,jablka5[[#This Row],[sprzedaż]])</f>
        <v>10493</v>
      </c>
      <c r="H1703" s="1">
        <f>IF(jablka5[[#This Row],[dot sprz]]&lt;15000,0,IF(jablka5[[#This Row],[dot sprz]]&lt;20000,5,10))</f>
        <v>0</v>
      </c>
      <c r="I1703" s="1">
        <f>jablka5[[#This Row],[rabat]]*jablka5[[#This Row],[sprzedaż]]/100</f>
        <v>0</v>
      </c>
    </row>
    <row r="1704" spans="1:9" x14ac:dyDescent="0.25">
      <c r="A1704" s="2">
        <v>44722</v>
      </c>
      <c r="B1704" s="1" t="s">
        <v>12</v>
      </c>
      <c r="C1704" s="1" t="s">
        <v>68</v>
      </c>
      <c r="D1704" s="1" t="s">
        <v>21</v>
      </c>
      <c r="E1704">
        <v>483</v>
      </c>
      <c r="F1704" s="1">
        <f>VLOOKUP(jablka5[[#This Row],[Nazwa]],cennik[],2,0) * jablka5[[#This Row],[sprzedaż]]</f>
        <v>1304.1000000000001</v>
      </c>
      <c r="G1704" s="1">
        <f>IF(jablka5[[#This Row],[NIP]]=D1703,jablka5[[#This Row],[sprzedaż]]+G1703,jablka5[[#This Row],[sprzedaż]])</f>
        <v>10976</v>
      </c>
      <c r="H1704" s="1">
        <f>IF(jablka5[[#This Row],[dot sprz]]&lt;15000,0,IF(jablka5[[#This Row],[dot sprz]]&lt;20000,5,10))</f>
        <v>0</v>
      </c>
      <c r="I1704" s="1">
        <f>jablka5[[#This Row],[rabat]]*jablka5[[#This Row],[sprzedaż]]/100</f>
        <v>0</v>
      </c>
    </row>
    <row r="1705" spans="1:9" x14ac:dyDescent="0.25">
      <c r="A1705" s="2">
        <v>44725</v>
      </c>
      <c r="B1705" s="1" t="s">
        <v>14</v>
      </c>
      <c r="C1705" s="1" t="s">
        <v>67</v>
      </c>
      <c r="D1705" s="1" t="s">
        <v>21</v>
      </c>
      <c r="E1705">
        <v>221</v>
      </c>
      <c r="F1705" s="1">
        <f>VLOOKUP(jablka5[[#This Row],[Nazwa]],cennik[],2,0) * jablka5[[#This Row],[sprzedaż]]</f>
        <v>773.5</v>
      </c>
      <c r="G1705" s="1">
        <f>IF(jablka5[[#This Row],[NIP]]=D1704,jablka5[[#This Row],[sprzedaż]]+G1704,jablka5[[#This Row],[sprzedaż]])</f>
        <v>11197</v>
      </c>
      <c r="H1705" s="1">
        <f>IF(jablka5[[#This Row],[dot sprz]]&lt;15000,0,IF(jablka5[[#This Row],[dot sprz]]&lt;20000,5,10))</f>
        <v>0</v>
      </c>
      <c r="I1705" s="1">
        <f>jablka5[[#This Row],[rabat]]*jablka5[[#This Row],[sprzedaż]]/100</f>
        <v>0</v>
      </c>
    </row>
    <row r="1706" spans="1:9" x14ac:dyDescent="0.25">
      <c r="A1706" s="2">
        <v>44735</v>
      </c>
      <c r="B1706" s="1" t="s">
        <v>13</v>
      </c>
      <c r="C1706" s="1" t="s">
        <v>68</v>
      </c>
      <c r="D1706" s="1" t="s">
        <v>21</v>
      </c>
      <c r="E1706">
        <v>461</v>
      </c>
      <c r="F1706" s="1">
        <f>VLOOKUP(jablka5[[#This Row],[Nazwa]],cennik[],2,0) * jablka5[[#This Row],[sprzedaż]]</f>
        <v>1475.2</v>
      </c>
      <c r="G1706" s="1">
        <f>IF(jablka5[[#This Row],[NIP]]=D1705,jablka5[[#This Row],[sprzedaż]]+G1705,jablka5[[#This Row],[sprzedaż]])</f>
        <v>11658</v>
      </c>
      <c r="H1706" s="1">
        <f>IF(jablka5[[#This Row],[dot sprz]]&lt;15000,0,IF(jablka5[[#This Row],[dot sprz]]&lt;20000,5,10))</f>
        <v>0</v>
      </c>
      <c r="I1706" s="1">
        <f>jablka5[[#This Row],[rabat]]*jablka5[[#This Row],[sprzedaż]]/100</f>
        <v>0</v>
      </c>
    </row>
    <row r="1707" spans="1:9" x14ac:dyDescent="0.25">
      <c r="A1707" s="2">
        <v>44736</v>
      </c>
      <c r="B1707" s="1" t="s">
        <v>14</v>
      </c>
      <c r="C1707" s="1" t="s">
        <v>67</v>
      </c>
      <c r="D1707" s="1" t="s">
        <v>21</v>
      </c>
      <c r="E1707">
        <v>330</v>
      </c>
      <c r="F1707" s="1">
        <f>VLOOKUP(jablka5[[#This Row],[Nazwa]],cennik[],2,0) * jablka5[[#This Row],[sprzedaż]]</f>
        <v>1155</v>
      </c>
      <c r="G1707" s="1">
        <f>IF(jablka5[[#This Row],[NIP]]=D1706,jablka5[[#This Row],[sprzedaż]]+G1706,jablka5[[#This Row],[sprzedaż]])</f>
        <v>11988</v>
      </c>
      <c r="H1707" s="1">
        <f>IF(jablka5[[#This Row],[dot sprz]]&lt;15000,0,IF(jablka5[[#This Row],[dot sprz]]&lt;20000,5,10))</f>
        <v>0</v>
      </c>
      <c r="I1707" s="1">
        <f>jablka5[[#This Row],[rabat]]*jablka5[[#This Row],[sprzedaż]]/100</f>
        <v>0</v>
      </c>
    </row>
    <row r="1708" spans="1:9" x14ac:dyDescent="0.25">
      <c r="A1708" s="2">
        <v>44740</v>
      </c>
      <c r="B1708" s="1" t="s">
        <v>12</v>
      </c>
      <c r="C1708" s="1" t="s">
        <v>68</v>
      </c>
      <c r="D1708" s="1" t="s">
        <v>21</v>
      </c>
      <c r="E1708">
        <v>177</v>
      </c>
      <c r="F1708" s="1">
        <f>VLOOKUP(jablka5[[#This Row],[Nazwa]],cennik[],2,0) * jablka5[[#This Row],[sprzedaż]]</f>
        <v>477.90000000000003</v>
      </c>
      <c r="G1708" s="1">
        <f>IF(jablka5[[#This Row],[NIP]]=D1707,jablka5[[#This Row],[sprzedaż]]+G1707,jablka5[[#This Row],[sprzedaż]])</f>
        <v>12165</v>
      </c>
      <c r="H1708" s="1">
        <f>IF(jablka5[[#This Row],[dot sprz]]&lt;15000,0,IF(jablka5[[#This Row],[dot sprz]]&lt;20000,5,10))</f>
        <v>0</v>
      </c>
      <c r="I1708" s="1">
        <f>jablka5[[#This Row],[rabat]]*jablka5[[#This Row],[sprzedaż]]/100</f>
        <v>0</v>
      </c>
    </row>
    <row r="1709" spans="1:9" x14ac:dyDescent="0.25">
      <c r="A1709" s="2">
        <v>44746</v>
      </c>
      <c r="B1709" s="1" t="s">
        <v>12</v>
      </c>
      <c r="C1709" s="1" t="s">
        <v>68</v>
      </c>
      <c r="D1709" s="1" t="s">
        <v>21</v>
      </c>
      <c r="E1709">
        <v>33</v>
      </c>
      <c r="F1709" s="1">
        <f>VLOOKUP(jablka5[[#This Row],[Nazwa]],cennik[],2,0) * jablka5[[#This Row],[sprzedaż]]</f>
        <v>89.100000000000009</v>
      </c>
      <c r="G1709" s="1">
        <f>IF(jablka5[[#This Row],[NIP]]=D1708,jablka5[[#This Row],[sprzedaż]]+G1708,jablka5[[#This Row],[sprzedaż]])</f>
        <v>12198</v>
      </c>
      <c r="H1709" s="1">
        <f>IF(jablka5[[#This Row],[dot sprz]]&lt;15000,0,IF(jablka5[[#This Row],[dot sprz]]&lt;20000,5,10))</f>
        <v>0</v>
      </c>
      <c r="I1709" s="1">
        <f>jablka5[[#This Row],[rabat]]*jablka5[[#This Row],[sprzedaż]]/100</f>
        <v>0</v>
      </c>
    </row>
    <row r="1710" spans="1:9" x14ac:dyDescent="0.25">
      <c r="A1710" s="2">
        <v>44762</v>
      </c>
      <c r="B1710" s="1" t="s">
        <v>13</v>
      </c>
      <c r="C1710" s="1" t="s">
        <v>68</v>
      </c>
      <c r="D1710" s="1" t="s">
        <v>21</v>
      </c>
      <c r="E1710">
        <v>455</v>
      </c>
      <c r="F1710" s="1">
        <f>VLOOKUP(jablka5[[#This Row],[Nazwa]],cennik[],2,0) * jablka5[[#This Row],[sprzedaż]]</f>
        <v>1456</v>
      </c>
      <c r="G1710" s="1">
        <f>IF(jablka5[[#This Row],[NIP]]=D1709,jablka5[[#This Row],[sprzedaż]]+G1709,jablka5[[#This Row],[sprzedaż]])</f>
        <v>12653</v>
      </c>
      <c r="H1710" s="1">
        <f>IF(jablka5[[#This Row],[dot sprz]]&lt;15000,0,IF(jablka5[[#This Row],[dot sprz]]&lt;20000,5,10))</f>
        <v>0</v>
      </c>
      <c r="I1710" s="1">
        <f>jablka5[[#This Row],[rabat]]*jablka5[[#This Row],[sprzedaż]]/100</f>
        <v>0</v>
      </c>
    </row>
    <row r="1711" spans="1:9" x14ac:dyDescent="0.25">
      <c r="A1711" s="2">
        <v>44777</v>
      </c>
      <c r="B1711" s="1" t="s">
        <v>12</v>
      </c>
      <c r="C1711" s="1" t="s">
        <v>68</v>
      </c>
      <c r="D1711" s="1" t="s">
        <v>21</v>
      </c>
      <c r="E1711">
        <v>237</v>
      </c>
      <c r="F1711" s="1">
        <f>VLOOKUP(jablka5[[#This Row],[Nazwa]],cennik[],2,0) * jablka5[[#This Row],[sprzedaż]]</f>
        <v>639.90000000000009</v>
      </c>
      <c r="G1711" s="1">
        <f>IF(jablka5[[#This Row],[NIP]]=D1710,jablka5[[#This Row],[sprzedaż]]+G1710,jablka5[[#This Row],[sprzedaż]])</f>
        <v>12890</v>
      </c>
      <c r="H1711" s="1">
        <f>IF(jablka5[[#This Row],[dot sprz]]&lt;15000,0,IF(jablka5[[#This Row],[dot sprz]]&lt;20000,5,10))</f>
        <v>0</v>
      </c>
      <c r="I1711" s="1">
        <f>jablka5[[#This Row],[rabat]]*jablka5[[#This Row],[sprzedaż]]/100</f>
        <v>0</v>
      </c>
    </row>
    <row r="1712" spans="1:9" x14ac:dyDescent="0.25">
      <c r="A1712" s="2">
        <v>44779</v>
      </c>
      <c r="B1712" s="1" t="s">
        <v>12</v>
      </c>
      <c r="C1712" s="1" t="s">
        <v>68</v>
      </c>
      <c r="D1712" s="1" t="s">
        <v>21</v>
      </c>
      <c r="E1712">
        <v>105</v>
      </c>
      <c r="F1712" s="1">
        <f>VLOOKUP(jablka5[[#This Row],[Nazwa]],cennik[],2,0) * jablka5[[#This Row],[sprzedaż]]</f>
        <v>283.5</v>
      </c>
      <c r="G1712" s="1">
        <f>IF(jablka5[[#This Row],[NIP]]=D1711,jablka5[[#This Row],[sprzedaż]]+G1711,jablka5[[#This Row],[sprzedaż]])</f>
        <v>12995</v>
      </c>
      <c r="H1712" s="1">
        <f>IF(jablka5[[#This Row],[dot sprz]]&lt;15000,0,IF(jablka5[[#This Row],[dot sprz]]&lt;20000,5,10))</f>
        <v>0</v>
      </c>
      <c r="I1712" s="1">
        <f>jablka5[[#This Row],[rabat]]*jablka5[[#This Row],[sprzedaż]]/100</f>
        <v>0</v>
      </c>
    </row>
    <row r="1713" spans="1:9" x14ac:dyDescent="0.25">
      <c r="A1713" s="2">
        <v>44783</v>
      </c>
      <c r="B1713" s="1" t="s">
        <v>12</v>
      </c>
      <c r="C1713" s="1" t="s">
        <v>68</v>
      </c>
      <c r="D1713" s="1" t="s">
        <v>21</v>
      </c>
      <c r="E1713">
        <v>388</v>
      </c>
      <c r="F1713" s="1">
        <f>VLOOKUP(jablka5[[#This Row],[Nazwa]],cennik[],2,0) * jablka5[[#This Row],[sprzedaż]]</f>
        <v>1047.6000000000001</v>
      </c>
      <c r="G1713" s="1">
        <f>IF(jablka5[[#This Row],[NIP]]=D1712,jablka5[[#This Row],[sprzedaż]]+G1712,jablka5[[#This Row],[sprzedaż]])</f>
        <v>13383</v>
      </c>
      <c r="H1713" s="1">
        <f>IF(jablka5[[#This Row],[dot sprz]]&lt;15000,0,IF(jablka5[[#This Row],[dot sprz]]&lt;20000,5,10))</f>
        <v>0</v>
      </c>
      <c r="I1713" s="1">
        <f>jablka5[[#This Row],[rabat]]*jablka5[[#This Row],[sprzedaż]]/100</f>
        <v>0</v>
      </c>
    </row>
    <row r="1714" spans="1:9" x14ac:dyDescent="0.25">
      <c r="A1714" s="2">
        <v>44788</v>
      </c>
      <c r="B1714" s="1" t="s">
        <v>14</v>
      </c>
      <c r="C1714" s="1" t="s">
        <v>67</v>
      </c>
      <c r="D1714" s="1" t="s">
        <v>21</v>
      </c>
      <c r="E1714">
        <v>473</v>
      </c>
      <c r="F1714" s="1">
        <f>VLOOKUP(jablka5[[#This Row],[Nazwa]],cennik[],2,0) * jablka5[[#This Row],[sprzedaż]]</f>
        <v>1655.5</v>
      </c>
      <c r="G1714" s="1">
        <f>IF(jablka5[[#This Row],[NIP]]=D1713,jablka5[[#This Row],[sprzedaż]]+G1713,jablka5[[#This Row],[sprzedaż]])</f>
        <v>13856</v>
      </c>
      <c r="H1714" s="1">
        <f>IF(jablka5[[#This Row],[dot sprz]]&lt;15000,0,IF(jablka5[[#This Row],[dot sprz]]&lt;20000,5,10))</f>
        <v>0</v>
      </c>
      <c r="I1714" s="1">
        <f>jablka5[[#This Row],[rabat]]*jablka5[[#This Row],[sprzedaż]]/100</f>
        <v>0</v>
      </c>
    </row>
    <row r="1715" spans="1:9" x14ac:dyDescent="0.25">
      <c r="A1715" s="2">
        <v>44793</v>
      </c>
      <c r="B1715" s="1" t="s">
        <v>14</v>
      </c>
      <c r="C1715" s="1" t="s">
        <v>67</v>
      </c>
      <c r="D1715" s="1" t="s">
        <v>21</v>
      </c>
      <c r="E1715">
        <v>223</v>
      </c>
      <c r="F1715" s="1">
        <f>VLOOKUP(jablka5[[#This Row],[Nazwa]],cennik[],2,0) * jablka5[[#This Row],[sprzedaż]]</f>
        <v>780.5</v>
      </c>
      <c r="G1715" s="1">
        <f>IF(jablka5[[#This Row],[NIP]]=D1714,jablka5[[#This Row],[sprzedaż]]+G1714,jablka5[[#This Row],[sprzedaż]])</f>
        <v>14079</v>
      </c>
      <c r="H1715" s="1">
        <f>IF(jablka5[[#This Row],[dot sprz]]&lt;15000,0,IF(jablka5[[#This Row],[dot sprz]]&lt;20000,5,10))</f>
        <v>0</v>
      </c>
      <c r="I1715" s="1">
        <f>jablka5[[#This Row],[rabat]]*jablka5[[#This Row],[sprzedaż]]/100</f>
        <v>0</v>
      </c>
    </row>
    <row r="1716" spans="1:9" x14ac:dyDescent="0.25">
      <c r="A1716" s="2">
        <v>44802</v>
      </c>
      <c r="B1716" s="1" t="s">
        <v>12</v>
      </c>
      <c r="C1716" s="1" t="s">
        <v>68</v>
      </c>
      <c r="D1716" s="1" t="s">
        <v>21</v>
      </c>
      <c r="E1716">
        <v>279</v>
      </c>
      <c r="F1716" s="1">
        <f>VLOOKUP(jablka5[[#This Row],[Nazwa]],cennik[],2,0) * jablka5[[#This Row],[sprzedaż]]</f>
        <v>753.30000000000007</v>
      </c>
      <c r="G1716" s="1">
        <f>IF(jablka5[[#This Row],[NIP]]=D1715,jablka5[[#This Row],[sprzedaż]]+G1715,jablka5[[#This Row],[sprzedaż]])</f>
        <v>14358</v>
      </c>
      <c r="H1716" s="1">
        <f>IF(jablka5[[#This Row],[dot sprz]]&lt;15000,0,IF(jablka5[[#This Row],[dot sprz]]&lt;20000,5,10))</f>
        <v>0</v>
      </c>
      <c r="I1716" s="1">
        <f>jablka5[[#This Row],[rabat]]*jablka5[[#This Row],[sprzedaż]]/100</f>
        <v>0</v>
      </c>
    </row>
    <row r="1717" spans="1:9" x14ac:dyDescent="0.25">
      <c r="A1717" s="2">
        <v>44802</v>
      </c>
      <c r="B1717" s="1" t="s">
        <v>13</v>
      </c>
      <c r="C1717" s="1" t="s">
        <v>68</v>
      </c>
      <c r="D1717" s="1" t="s">
        <v>21</v>
      </c>
      <c r="E1717">
        <v>448</v>
      </c>
      <c r="F1717" s="1">
        <f>VLOOKUP(jablka5[[#This Row],[Nazwa]],cennik[],2,0) * jablka5[[#This Row],[sprzedaż]]</f>
        <v>1433.6000000000001</v>
      </c>
      <c r="G1717" s="1">
        <f>IF(jablka5[[#This Row],[NIP]]=D1716,jablka5[[#This Row],[sprzedaż]]+G1716,jablka5[[#This Row],[sprzedaż]])</f>
        <v>14806</v>
      </c>
      <c r="H1717" s="1">
        <f>IF(jablka5[[#This Row],[dot sprz]]&lt;15000,0,IF(jablka5[[#This Row],[dot sprz]]&lt;20000,5,10))</f>
        <v>0</v>
      </c>
      <c r="I1717" s="1">
        <f>jablka5[[#This Row],[rabat]]*jablka5[[#This Row],[sprzedaż]]/100</f>
        <v>0</v>
      </c>
    </row>
    <row r="1718" spans="1:9" x14ac:dyDescent="0.25">
      <c r="A1718" s="2">
        <v>44803</v>
      </c>
      <c r="B1718" s="1" t="s">
        <v>13</v>
      </c>
      <c r="C1718" s="1" t="s">
        <v>68</v>
      </c>
      <c r="D1718" s="1" t="s">
        <v>21</v>
      </c>
      <c r="E1718">
        <v>205</v>
      </c>
      <c r="F1718" s="1">
        <f>VLOOKUP(jablka5[[#This Row],[Nazwa]],cennik[],2,0) * jablka5[[#This Row],[sprzedaż]]</f>
        <v>656</v>
      </c>
      <c r="G1718" s="1">
        <f>IF(jablka5[[#This Row],[NIP]]=D1717,jablka5[[#This Row],[sprzedaż]]+G1717,jablka5[[#This Row],[sprzedaż]])</f>
        <v>15011</v>
      </c>
      <c r="H1718" s="1">
        <f>IF(jablka5[[#This Row],[dot sprz]]&lt;15000,0,IF(jablka5[[#This Row],[dot sprz]]&lt;20000,5,10))</f>
        <v>5</v>
      </c>
      <c r="I1718" s="1">
        <f>jablka5[[#This Row],[rabat]]*jablka5[[#This Row],[sprzedaż]]/100</f>
        <v>10.25</v>
      </c>
    </row>
    <row r="1719" spans="1:9" x14ac:dyDescent="0.25">
      <c r="A1719" s="2">
        <v>44803</v>
      </c>
      <c r="B1719" s="1" t="s">
        <v>13</v>
      </c>
      <c r="C1719" s="1" t="s">
        <v>68</v>
      </c>
      <c r="D1719" s="1" t="s">
        <v>21</v>
      </c>
      <c r="E1719">
        <v>289</v>
      </c>
      <c r="F1719" s="1">
        <f>VLOOKUP(jablka5[[#This Row],[Nazwa]],cennik[],2,0) * jablka5[[#This Row],[sprzedaż]]</f>
        <v>924.80000000000007</v>
      </c>
      <c r="G1719" s="1">
        <f>IF(jablka5[[#This Row],[NIP]]=D1718,jablka5[[#This Row],[sprzedaż]]+G1718,jablka5[[#This Row],[sprzedaż]])</f>
        <v>15300</v>
      </c>
      <c r="H1719" s="1">
        <f>IF(jablka5[[#This Row],[dot sprz]]&lt;15000,0,IF(jablka5[[#This Row],[dot sprz]]&lt;20000,5,10))</f>
        <v>5</v>
      </c>
      <c r="I1719" s="1">
        <f>jablka5[[#This Row],[rabat]]*jablka5[[#This Row],[sprzedaż]]/100</f>
        <v>14.45</v>
      </c>
    </row>
    <row r="1720" spans="1:9" x14ac:dyDescent="0.25">
      <c r="A1720" s="2">
        <v>44806</v>
      </c>
      <c r="B1720" s="1" t="s">
        <v>3</v>
      </c>
      <c r="C1720" s="1" t="s">
        <v>67</v>
      </c>
      <c r="D1720" s="1" t="s">
        <v>21</v>
      </c>
      <c r="E1720">
        <v>269</v>
      </c>
      <c r="F1720" s="1">
        <f>VLOOKUP(jablka5[[#This Row],[Nazwa]],cennik[],2,0) * jablka5[[#This Row],[sprzedaż]]</f>
        <v>860.80000000000007</v>
      </c>
      <c r="G1720" s="1">
        <f>IF(jablka5[[#This Row],[NIP]]=D1719,jablka5[[#This Row],[sprzedaż]]+G1719,jablka5[[#This Row],[sprzedaż]])</f>
        <v>15569</v>
      </c>
      <c r="H1720" s="1">
        <f>IF(jablka5[[#This Row],[dot sprz]]&lt;15000,0,IF(jablka5[[#This Row],[dot sprz]]&lt;20000,5,10))</f>
        <v>5</v>
      </c>
      <c r="I1720" s="1">
        <f>jablka5[[#This Row],[rabat]]*jablka5[[#This Row],[sprzedaż]]/100</f>
        <v>13.45</v>
      </c>
    </row>
    <row r="1721" spans="1:9" x14ac:dyDescent="0.25">
      <c r="A1721" s="2">
        <v>44811</v>
      </c>
      <c r="B1721" s="1" t="s">
        <v>11</v>
      </c>
      <c r="C1721" s="1" t="s">
        <v>67</v>
      </c>
      <c r="D1721" s="1" t="s">
        <v>21</v>
      </c>
      <c r="E1721">
        <v>229</v>
      </c>
      <c r="F1721" s="1">
        <f>VLOOKUP(jablka5[[#This Row],[Nazwa]],cennik[],2,0) * jablka5[[#This Row],[sprzedaż]]</f>
        <v>572.5</v>
      </c>
      <c r="G1721" s="1">
        <f>IF(jablka5[[#This Row],[NIP]]=D1720,jablka5[[#This Row],[sprzedaż]]+G1720,jablka5[[#This Row],[sprzedaż]])</f>
        <v>15798</v>
      </c>
      <c r="H1721" s="1">
        <f>IF(jablka5[[#This Row],[dot sprz]]&lt;15000,0,IF(jablka5[[#This Row],[dot sprz]]&lt;20000,5,10))</f>
        <v>5</v>
      </c>
      <c r="I1721" s="1">
        <f>jablka5[[#This Row],[rabat]]*jablka5[[#This Row],[sprzedaż]]/100</f>
        <v>11.45</v>
      </c>
    </row>
    <row r="1722" spans="1:9" x14ac:dyDescent="0.25">
      <c r="A1722" s="2">
        <v>44812</v>
      </c>
      <c r="B1722" s="1" t="s">
        <v>14</v>
      </c>
      <c r="C1722" s="1" t="s">
        <v>67</v>
      </c>
      <c r="D1722" s="1" t="s">
        <v>21</v>
      </c>
      <c r="E1722">
        <v>286</v>
      </c>
      <c r="F1722" s="1">
        <f>VLOOKUP(jablka5[[#This Row],[Nazwa]],cennik[],2,0) * jablka5[[#This Row],[sprzedaż]]</f>
        <v>1001</v>
      </c>
      <c r="G1722" s="1">
        <f>IF(jablka5[[#This Row],[NIP]]=D1721,jablka5[[#This Row],[sprzedaż]]+G1721,jablka5[[#This Row],[sprzedaż]])</f>
        <v>16084</v>
      </c>
      <c r="H1722" s="1">
        <f>IF(jablka5[[#This Row],[dot sprz]]&lt;15000,0,IF(jablka5[[#This Row],[dot sprz]]&lt;20000,5,10))</f>
        <v>5</v>
      </c>
      <c r="I1722" s="1">
        <f>jablka5[[#This Row],[rabat]]*jablka5[[#This Row],[sprzedaż]]/100</f>
        <v>14.3</v>
      </c>
    </row>
    <row r="1723" spans="1:9" x14ac:dyDescent="0.25">
      <c r="A1723" s="2">
        <v>44819</v>
      </c>
      <c r="B1723" s="1" t="s">
        <v>11</v>
      </c>
      <c r="C1723" s="1" t="s">
        <v>67</v>
      </c>
      <c r="D1723" s="1" t="s">
        <v>21</v>
      </c>
      <c r="E1723">
        <v>284</v>
      </c>
      <c r="F1723" s="1">
        <f>VLOOKUP(jablka5[[#This Row],[Nazwa]],cennik[],2,0) * jablka5[[#This Row],[sprzedaż]]</f>
        <v>710</v>
      </c>
      <c r="G1723" s="1">
        <f>IF(jablka5[[#This Row],[NIP]]=D1722,jablka5[[#This Row],[sprzedaż]]+G1722,jablka5[[#This Row],[sprzedaż]])</f>
        <v>16368</v>
      </c>
      <c r="H1723" s="1">
        <f>IF(jablka5[[#This Row],[dot sprz]]&lt;15000,0,IF(jablka5[[#This Row],[dot sprz]]&lt;20000,5,10))</f>
        <v>5</v>
      </c>
      <c r="I1723" s="1">
        <f>jablka5[[#This Row],[rabat]]*jablka5[[#This Row],[sprzedaż]]/100</f>
        <v>14.2</v>
      </c>
    </row>
    <row r="1724" spans="1:9" x14ac:dyDescent="0.25">
      <c r="A1724" s="2">
        <v>44823</v>
      </c>
      <c r="B1724" s="1" t="s">
        <v>14</v>
      </c>
      <c r="C1724" s="1" t="s">
        <v>67</v>
      </c>
      <c r="D1724" s="1" t="s">
        <v>21</v>
      </c>
      <c r="E1724">
        <v>82</v>
      </c>
      <c r="F1724" s="1">
        <f>VLOOKUP(jablka5[[#This Row],[Nazwa]],cennik[],2,0) * jablka5[[#This Row],[sprzedaż]]</f>
        <v>287</v>
      </c>
      <c r="G1724" s="1">
        <f>IF(jablka5[[#This Row],[NIP]]=D1723,jablka5[[#This Row],[sprzedaż]]+G1723,jablka5[[#This Row],[sprzedaż]])</f>
        <v>16450</v>
      </c>
      <c r="H1724" s="1">
        <f>IF(jablka5[[#This Row],[dot sprz]]&lt;15000,0,IF(jablka5[[#This Row],[dot sprz]]&lt;20000,5,10))</f>
        <v>5</v>
      </c>
      <c r="I1724" s="1">
        <f>jablka5[[#This Row],[rabat]]*jablka5[[#This Row],[sprzedaż]]/100</f>
        <v>4.0999999999999996</v>
      </c>
    </row>
    <row r="1725" spans="1:9" x14ac:dyDescent="0.25">
      <c r="A1725" s="2">
        <v>44827</v>
      </c>
      <c r="B1725" s="1" t="s">
        <v>14</v>
      </c>
      <c r="C1725" s="1" t="s">
        <v>67</v>
      </c>
      <c r="D1725" s="1" t="s">
        <v>21</v>
      </c>
      <c r="E1725">
        <v>333</v>
      </c>
      <c r="F1725" s="1">
        <f>VLOOKUP(jablka5[[#This Row],[Nazwa]],cennik[],2,0) * jablka5[[#This Row],[sprzedaż]]</f>
        <v>1165.5</v>
      </c>
      <c r="G1725" s="1">
        <f>IF(jablka5[[#This Row],[NIP]]=D1724,jablka5[[#This Row],[sprzedaż]]+G1724,jablka5[[#This Row],[sprzedaż]])</f>
        <v>16783</v>
      </c>
      <c r="H1725" s="1">
        <f>IF(jablka5[[#This Row],[dot sprz]]&lt;15000,0,IF(jablka5[[#This Row],[dot sprz]]&lt;20000,5,10))</f>
        <v>5</v>
      </c>
      <c r="I1725" s="1">
        <f>jablka5[[#This Row],[rabat]]*jablka5[[#This Row],[sprzedaż]]/100</f>
        <v>16.649999999999999</v>
      </c>
    </row>
    <row r="1726" spans="1:9" x14ac:dyDescent="0.25">
      <c r="A1726" s="2">
        <v>44828</v>
      </c>
      <c r="B1726" s="1" t="s">
        <v>3</v>
      </c>
      <c r="C1726" s="1" t="s">
        <v>67</v>
      </c>
      <c r="D1726" s="1" t="s">
        <v>21</v>
      </c>
      <c r="E1726">
        <v>89</v>
      </c>
      <c r="F1726" s="1">
        <f>VLOOKUP(jablka5[[#This Row],[Nazwa]],cennik[],2,0) * jablka5[[#This Row],[sprzedaż]]</f>
        <v>284.8</v>
      </c>
      <c r="G1726" s="1">
        <f>IF(jablka5[[#This Row],[NIP]]=D1725,jablka5[[#This Row],[sprzedaż]]+G1725,jablka5[[#This Row],[sprzedaż]])</f>
        <v>16872</v>
      </c>
      <c r="H1726" s="1">
        <f>IF(jablka5[[#This Row],[dot sprz]]&lt;15000,0,IF(jablka5[[#This Row],[dot sprz]]&lt;20000,5,10))</f>
        <v>5</v>
      </c>
      <c r="I1726" s="1">
        <f>jablka5[[#This Row],[rabat]]*jablka5[[#This Row],[sprzedaż]]/100</f>
        <v>4.45</v>
      </c>
    </row>
    <row r="1727" spans="1:9" x14ac:dyDescent="0.25">
      <c r="A1727" s="2">
        <v>44830</v>
      </c>
      <c r="B1727" s="1" t="s">
        <v>1</v>
      </c>
      <c r="C1727" s="1" t="s">
        <v>67</v>
      </c>
      <c r="D1727" s="1" t="s">
        <v>21</v>
      </c>
      <c r="E1727">
        <v>57</v>
      </c>
      <c r="F1727" s="1">
        <f>VLOOKUP(jablka5[[#This Row],[Nazwa]],cennik[],2,0) * jablka5[[#This Row],[sprzedaż]]</f>
        <v>182.4</v>
      </c>
      <c r="G1727" s="1">
        <f>IF(jablka5[[#This Row],[NIP]]=D1726,jablka5[[#This Row],[sprzedaż]]+G1726,jablka5[[#This Row],[sprzedaż]])</f>
        <v>16929</v>
      </c>
      <c r="H1727" s="1">
        <f>IF(jablka5[[#This Row],[dot sprz]]&lt;15000,0,IF(jablka5[[#This Row],[dot sprz]]&lt;20000,5,10))</f>
        <v>5</v>
      </c>
      <c r="I1727" s="1">
        <f>jablka5[[#This Row],[rabat]]*jablka5[[#This Row],[sprzedaż]]/100</f>
        <v>2.85</v>
      </c>
    </row>
    <row r="1728" spans="1:9" x14ac:dyDescent="0.25">
      <c r="A1728" s="2">
        <v>44837</v>
      </c>
      <c r="B1728" s="1" t="s">
        <v>14</v>
      </c>
      <c r="C1728" s="1" t="s">
        <v>67</v>
      </c>
      <c r="D1728" s="1" t="s">
        <v>21</v>
      </c>
      <c r="E1728">
        <v>384</v>
      </c>
      <c r="F1728" s="1">
        <f>VLOOKUP(jablka5[[#This Row],[Nazwa]],cennik[],2,0) * jablka5[[#This Row],[sprzedaż]]</f>
        <v>1344</v>
      </c>
      <c r="G1728" s="1">
        <f>IF(jablka5[[#This Row],[NIP]]=D1727,jablka5[[#This Row],[sprzedaż]]+G1727,jablka5[[#This Row],[sprzedaż]])</f>
        <v>17313</v>
      </c>
      <c r="H1728" s="1">
        <f>IF(jablka5[[#This Row],[dot sprz]]&lt;15000,0,IF(jablka5[[#This Row],[dot sprz]]&lt;20000,5,10))</f>
        <v>5</v>
      </c>
      <c r="I1728" s="1">
        <f>jablka5[[#This Row],[rabat]]*jablka5[[#This Row],[sprzedaż]]/100</f>
        <v>19.2</v>
      </c>
    </row>
    <row r="1729" spans="1:9" x14ac:dyDescent="0.25">
      <c r="A1729" s="2">
        <v>44846</v>
      </c>
      <c r="B1729" s="1" t="s">
        <v>14</v>
      </c>
      <c r="C1729" s="1" t="s">
        <v>67</v>
      </c>
      <c r="D1729" s="1" t="s">
        <v>21</v>
      </c>
      <c r="E1729">
        <v>141</v>
      </c>
      <c r="F1729" s="1">
        <f>VLOOKUP(jablka5[[#This Row],[Nazwa]],cennik[],2,0) * jablka5[[#This Row],[sprzedaż]]</f>
        <v>493.5</v>
      </c>
      <c r="G1729" s="1">
        <f>IF(jablka5[[#This Row],[NIP]]=D1728,jablka5[[#This Row],[sprzedaż]]+G1728,jablka5[[#This Row],[sprzedaż]])</f>
        <v>17454</v>
      </c>
      <c r="H1729" s="1">
        <f>IF(jablka5[[#This Row],[dot sprz]]&lt;15000,0,IF(jablka5[[#This Row],[dot sprz]]&lt;20000,5,10))</f>
        <v>5</v>
      </c>
      <c r="I1729" s="1">
        <f>jablka5[[#This Row],[rabat]]*jablka5[[#This Row],[sprzedaż]]/100</f>
        <v>7.05</v>
      </c>
    </row>
    <row r="1730" spans="1:9" x14ac:dyDescent="0.25">
      <c r="A1730" s="2">
        <v>44874</v>
      </c>
      <c r="B1730" s="1" t="s">
        <v>9</v>
      </c>
      <c r="C1730" s="1" t="s">
        <v>67</v>
      </c>
      <c r="D1730" s="1" t="s">
        <v>21</v>
      </c>
      <c r="E1730">
        <v>465</v>
      </c>
      <c r="F1730" s="1">
        <f>VLOOKUP(jablka5[[#This Row],[Nazwa]],cennik[],2,0) * jablka5[[#This Row],[sprzedaż]]</f>
        <v>1162.5</v>
      </c>
      <c r="G1730" s="1">
        <f>IF(jablka5[[#This Row],[NIP]]=D1729,jablka5[[#This Row],[sprzedaż]]+G1729,jablka5[[#This Row],[sprzedaż]])</f>
        <v>17919</v>
      </c>
      <c r="H1730" s="1">
        <f>IF(jablka5[[#This Row],[dot sprz]]&lt;15000,0,IF(jablka5[[#This Row],[dot sprz]]&lt;20000,5,10))</f>
        <v>5</v>
      </c>
      <c r="I1730" s="1">
        <f>jablka5[[#This Row],[rabat]]*jablka5[[#This Row],[sprzedaż]]/100</f>
        <v>23.25</v>
      </c>
    </row>
    <row r="1731" spans="1:9" x14ac:dyDescent="0.25">
      <c r="A1731" s="2">
        <v>44875</v>
      </c>
      <c r="B1731" s="1" t="s">
        <v>14</v>
      </c>
      <c r="C1731" s="1" t="s">
        <v>67</v>
      </c>
      <c r="D1731" s="1" t="s">
        <v>21</v>
      </c>
      <c r="E1731">
        <v>349</v>
      </c>
      <c r="F1731" s="1">
        <f>VLOOKUP(jablka5[[#This Row],[Nazwa]],cennik[],2,0) * jablka5[[#This Row],[sprzedaż]]</f>
        <v>1221.5</v>
      </c>
      <c r="G1731" s="1">
        <f>IF(jablka5[[#This Row],[NIP]]=D1730,jablka5[[#This Row],[sprzedaż]]+G1730,jablka5[[#This Row],[sprzedaż]])</f>
        <v>18268</v>
      </c>
      <c r="H1731" s="1">
        <f>IF(jablka5[[#This Row],[dot sprz]]&lt;15000,0,IF(jablka5[[#This Row],[dot sprz]]&lt;20000,5,10))</f>
        <v>5</v>
      </c>
      <c r="I1731" s="1">
        <f>jablka5[[#This Row],[rabat]]*jablka5[[#This Row],[sprzedaż]]/100</f>
        <v>17.45</v>
      </c>
    </row>
    <row r="1732" spans="1:9" x14ac:dyDescent="0.25">
      <c r="A1732" s="2">
        <v>44877</v>
      </c>
      <c r="B1732" s="1" t="s">
        <v>3</v>
      </c>
      <c r="C1732" s="1" t="s">
        <v>67</v>
      </c>
      <c r="D1732" s="1" t="s">
        <v>21</v>
      </c>
      <c r="E1732">
        <v>262</v>
      </c>
      <c r="F1732" s="1">
        <f>VLOOKUP(jablka5[[#This Row],[Nazwa]],cennik[],2,0) * jablka5[[#This Row],[sprzedaż]]</f>
        <v>838.40000000000009</v>
      </c>
      <c r="G1732" s="1">
        <f>IF(jablka5[[#This Row],[NIP]]=D1731,jablka5[[#This Row],[sprzedaż]]+G1731,jablka5[[#This Row],[sprzedaż]])</f>
        <v>18530</v>
      </c>
      <c r="H1732" s="1">
        <f>IF(jablka5[[#This Row],[dot sprz]]&lt;15000,0,IF(jablka5[[#This Row],[dot sprz]]&lt;20000,5,10))</f>
        <v>5</v>
      </c>
      <c r="I1732" s="1">
        <f>jablka5[[#This Row],[rabat]]*jablka5[[#This Row],[sprzedaż]]/100</f>
        <v>13.1</v>
      </c>
    </row>
    <row r="1733" spans="1:9" x14ac:dyDescent="0.25">
      <c r="A1733" s="2">
        <v>44890</v>
      </c>
      <c r="B1733" s="1" t="s">
        <v>14</v>
      </c>
      <c r="C1733" s="1" t="s">
        <v>67</v>
      </c>
      <c r="D1733" s="1" t="s">
        <v>21</v>
      </c>
      <c r="E1733">
        <v>44</v>
      </c>
      <c r="F1733" s="1">
        <f>VLOOKUP(jablka5[[#This Row],[Nazwa]],cennik[],2,0) * jablka5[[#This Row],[sprzedaż]]</f>
        <v>154</v>
      </c>
      <c r="G1733" s="1">
        <f>IF(jablka5[[#This Row],[NIP]]=D1732,jablka5[[#This Row],[sprzedaż]]+G1732,jablka5[[#This Row],[sprzedaż]])</f>
        <v>18574</v>
      </c>
      <c r="H1733" s="1">
        <f>IF(jablka5[[#This Row],[dot sprz]]&lt;15000,0,IF(jablka5[[#This Row],[dot sprz]]&lt;20000,5,10))</f>
        <v>5</v>
      </c>
      <c r="I1733" s="1">
        <f>jablka5[[#This Row],[rabat]]*jablka5[[#This Row],[sprzedaż]]/100</f>
        <v>2.2000000000000002</v>
      </c>
    </row>
    <row r="1734" spans="1:9" x14ac:dyDescent="0.25">
      <c r="A1734" s="2">
        <v>44893</v>
      </c>
      <c r="B1734" s="1" t="s">
        <v>3</v>
      </c>
      <c r="C1734" s="1" t="s">
        <v>67</v>
      </c>
      <c r="D1734" s="1" t="s">
        <v>21</v>
      </c>
      <c r="E1734">
        <v>158</v>
      </c>
      <c r="F1734" s="1">
        <f>VLOOKUP(jablka5[[#This Row],[Nazwa]],cennik[],2,0) * jablka5[[#This Row],[sprzedaż]]</f>
        <v>505.6</v>
      </c>
      <c r="G1734" s="1">
        <f>IF(jablka5[[#This Row],[NIP]]=D1733,jablka5[[#This Row],[sprzedaż]]+G1733,jablka5[[#This Row],[sprzedaż]])</f>
        <v>18732</v>
      </c>
      <c r="H1734" s="1">
        <f>IF(jablka5[[#This Row],[dot sprz]]&lt;15000,0,IF(jablka5[[#This Row],[dot sprz]]&lt;20000,5,10))</f>
        <v>5</v>
      </c>
      <c r="I1734" s="1">
        <f>jablka5[[#This Row],[rabat]]*jablka5[[#This Row],[sprzedaż]]/100</f>
        <v>7.9</v>
      </c>
    </row>
    <row r="1735" spans="1:9" x14ac:dyDescent="0.25">
      <c r="A1735" s="2">
        <v>44902</v>
      </c>
      <c r="B1735" s="1" t="s">
        <v>5</v>
      </c>
      <c r="C1735" s="1" t="s">
        <v>16</v>
      </c>
      <c r="D1735" s="1" t="s">
        <v>21</v>
      </c>
      <c r="E1735">
        <v>247</v>
      </c>
      <c r="F1735" s="1">
        <f>VLOOKUP(jablka5[[#This Row],[Nazwa]],cennik[],2,0) * jablka5[[#This Row],[sprzedaż]]</f>
        <v>839.8</v>
      </c>
      <c r="G1735" s="1">
        <f>IF(jablka5[[#This Row],[NIP]]=D1734,jablka5[[#This Row],[sprzedaż]]+G1734,jablka5[[#This Row],[sprzedaż]])</f>
        <v>18979</v>
      </c>
      <c r="H1735" s="1">
        <f>IF(jablka5[[#This Row],[dot sprz]]&lt;15000,0,IF(jablka5[[#This Row],[dot sprz]]&lt;20000,5,10))</f>
        <v>5</v>
      </c>
      <c r="I1735" s="1">
        <f>jablka5[[#This Row],[rabat]]*jablka5[[#This Row],[sprzedaż]]/100</f>
        <v>12.35</v>
      </c>
    </row>
    <row r="1736" spans="1:9" x14ac:dyDescent="0.25">
      <c r="A1736" s="2">
        <v>44909</v>
      </c>
      <c r="B1736" s="1" t="s">
        <v>10</v>
      </c>
      <c r="C1736" s="1" t="s">
        <v>16</v>
      </c>
      <c r="D1736" s="1" t="s">
        <v>21</v>
      </c>
      <c r="E1736">
        <v>205</v>
      </c>
      <c r="F1736" s="1">
        <f>VLOOKUP(jablka5[[#This Row],[Nazwa]],cennik[],2,0) * jablka5[[#This Row],[sprzedaż]]</f>
        <v>697</v>
      </c>
      <c r="G1736" s="1">
        <f>IF(jablka5[[#This Row],[NIP]]=D1735,jablka5[[#This Row],[sprzedaż]]+G1735,jablka5[[#This Row],[sprzedaż]])</f>
        <v>19184</v>
      </c>
      <c r="H1736" s="1">
        <f>IF(jablka5[[#This Row],[dot sprz]]&lt;15000,0,IF(jablka5[[#This Row],[dot sprz]]&lt;20000,5,10))</f>
        <v>5</v>
      </c>
      <c r="I1736" s="1">
        <f>jablka5[[#This Row],[rabat]]*jablka5[[#This Row],[sprzedaż]]/100</f>
        <v>10.25</v>
      </c>
    </row>
    <row r="1737" spans="1:9" x14ac:dyDescent="0.25">
      <c r="A1737" s="2">
        <v>44917</v>
      </c>
      <c r="B1737" s="1" t="s">
        <v>6</v>
      </c>
      <c r="C1737" s="1" t="s">
        <v>16</v>
      </c>
      <c r="D1737" s="1" t="s">
        <v>21</v>
      </c>
      <c r="E1737">
        <v>454</v>
      </c>
      <c r="F1737" s="1">
        <f>VLOOKUP(jablka5[[#This Row],[Nazwa]],cennik[],2,0) * jablka5[[#This Row],[sprzedaż]]</f>
        <v>1543.6</v>
      </c>
      <c r="G1737" s="1">
        <f>IF(jablka5[[#This Row],[NIP]]=D1736,jablka5[[#This Row],[sprzedaż]]+G1736,jablka5[[#This Row],[sprzedaż]])</f>
        <v>19638</v>
      </c>
      <c r="H1737" s="1">
        <f>IF(jablka5[[#This Row],[dot sprz]]&lt;15000,0,IF(jablka5[[#This Row],[dot sprz]]&lt;20000,5,10))</f>
        <v>5</v>
      </c>
      <c r="I1737" s="1">
        <f>jablka5[[#This Row],[rabat]]*jablka5[[#This Row],[sprzedaż]]/100</f>
        <v>22.7</v>
      </c>
    </row>
    <row r="1738" spans="1:9" x14ac:dyDescent="0.25">
      <c r="A1738" s="2">
        <v>44921</v>
      </c>
      <c r="B1738" s="1" t="s">
        <v>8</v>
      </c>
      <c r="C1738" s="1" t="s">
        <v>16</v>
      </c>
      <c r="D1738" s="1" t="s">
        <v>21</v>
      </c>
      <c r="E1738">
        <v>512</v>
      </c>
      <c r="F1738" s="1">
        <f>VLOOKUP(jablka5[[#This Row],[Nazwa]],cennik[],2,0) * jablka5[[#This Row],[sprzedaż]]</f>
        <v>1792</v>
      </c>
      <c r="G1738" s="1">
        <f>IF(jablka5[[#This Row],[NIP]]=D1737,jablka5[[#This Row],[sprzedaż]]+G1737,jablka5[[#This Row],[sprzedaż]])</f>
        <v>20150</v>
      </c>
      <c r="H1738" s="1">
        <f>IF(jablka5[[#This Row],[dot sprz]]&lt;15000,0,IF(jablka5[[#This Row],[dot sprz]]&lt;20000,5,10))</f>
        <v>10</v>
      </c>
      <c r="I1738" s="1">
        <f>jablka5[[#This Row],[rabat]]*jablka5[[#This Row],[sprzedaż]]/100</f>
        <v>51.2</v>
      </c>
    </row>
    <row r="1739" spans="1:9" x14ac:dyDescent="0.25">
      <c r="A1739" s="2">
        <v>44925</v>
      </c>
      <c r="B1739" s="1" t="s">
        <v>6</v>
      </c>
      <c r="C1739" s="1" t="s">
        <v>16</v>
      </c>
      <c r="D1739" s="1" t="s">
        <v>21</v>
      </c>
      <c r="E1739">
        <v>173</v>
      </c>
      <c r="F1739" s="1">
        <f>VLOOKUP(jablka5[[#This Row],[Nazwa]],cennik[],2,0) * jablka5[[#This Row],[sprzedaż]]</f>
        <v>588.19999999999993</v>
      </c>
      <c r="G1739" s="1">
        <f>IF(jablka5[[#This Row],[NIP]]=D1738,jablka5[[#This Row],[sprzedaż]]+G1738,jablka5[[#This Row],[sprzedaż]])</f>
        <v>20323</v>
      </c>
      <c r="H1739" s="1">
        <f>IF(jablka5[[#This Row],[dot sprz]]&lt;15000,0,IF(jablka5[[#This Row],[dot sprz]]&lt;20000,5,10))</f>
        <v>10</v>
      </c>
      <c r="I1739" s="1">
        <f>jablka5[[#This Row],[rabat]]*jablka5[[#This Row],[sprzedaż]]/100</f>
        <v>17.3</v>
      </c>
    </row>
    <row r="1740" spans="1:9" x14ac:dyDescent="0.25">
      <c r="A1740" s="2">
        <v>44573</v>
      </c>
      <c r="B1740" s="1" t="s">
        <v>8</v>
      </c>
      <c r="C1740" s="1" t="s">
        <v>16</v>
      </c>
      <c r="D1740" s="1" t="s">
        <v>57</v>
      </c>
      <c r="E1740">
        <v>356</v>
      </c>
      <c r="F1740" s="1">
        <f>VLOOKUP(jablka5[[#This Row],[Nazwa]],cennik[],2,0) * jablka5[[#This Row],[sprzedaż]]</f>
        <v>1246</v>
      </c>
      <c r="G1740" s="1">
        <f>IF(jablka5[[#This Row],[NIP]]=D1739,jablka5[[#This Row],[sprzedaż]]+G1739,jablka5[[#This Row],[sprzedaż]])</f>
        <v>356</v>
      </c>
      <c r="H1740" s="1">
        <f>IF(jablka5[[#This Row],[dot sprz]]&lt;15000,0,IF(jablka5[[#This Row],[dot sprz]]&lt;20000,5,10))</f>
        <v>0</v>
      </c>
      <c r="I1740" s="1">
        <f>jablka5[[#This Row],[rabat]]*jablka5[[#This Row],[sprzedaż]]/100</f>
        <v>0</v>
      </c>
    </row>
    <row r="1741" spans="1:9" x14ac:dyDescent="0.25">
      <c r="A1741" s="2">
        <v>44573</v>
      </c>
      <c r="B1741" s="1" t="s">
        <v>7</v>
      </c>
      <c r="C1741" s="1" t="s">
        <v>16</v>
      </c>
      <c r="D1741" s="1" t="s">
        <v>57</v>
      </c>
      <c r="E1741">
        <v>281</v>
      </c>
      <c r="F1741" s="1">
        <f>VLOOKUP(jablka5[[#This Row],[Nazwa]],cennik[],2,0) * jablka5[[#This Row],[sprzedaż]]</f>
        <v>955.4</v>
      </c>
      <c r="G1741" s="1">
        <f>IF(jablka5[[#This Row],[NIP]]=D1740,jablka5[[#This Row],[sprzedaż]]+G1740,jablka5[[#This Row],[sprzedaż]])</f>
        <v>637</v>
      </c>
      <c r="H1741" s="1">
        <f>IF(jablka5[[#This Row],[dot sprz]]&lt;15000,0,IF(jablka5[[#This Row],[dot sprz]]&lt;20000,5,10))</f>
        <v>0</v>
      </c>
      <c r="I1741" s="1">
        <f>jablka5[[#This Row],[rabat]]*jablka5[[#This Row],[sprzedaż]]/100</f>
        <v>0</v>
      </c>
    </row>
    <row r="1742" spans="1:9" x14ac:dyDescent="0.25">
      <c r="A1742" s="2">
        <v>44578</v>
      </c>
      <c r="B1742" s="1" t="s">
        <v>0</v>
      </c>
      <c r="C1742" s="1" t="s">
        <v>16</v>
      </c>
      <c r="D1742" s="1" t="s">
        <v>57</v>
      </c>
      <c r="E1742">
        <v>378</v>
      </c>
      <c r="F1742" s="1">
        <f>VLOOKUP(jablka5[[#This Row],[Nazwa]],cennik[],2,0) * jablka5[[#This Row],[sprzedaż]]</f>
        <v>1096.2</v>
      </c>
      <c r="G1742" s="1">
        <f>IF(jablka5[[#This Row],[NIP]]=D1741,jablka5[[#This Row],[sprzedaż]]+G1741,jablka5[[#This Row],[sprzedaż]])</f>
        <v>1015</v>
      </c>
      <c r="H1742" s="1">
        <f>IF(jablka5[[#This Row],[dot sprz]]&lt;15000,0,IF(jablka5[[#This Row],[dot sprz]]&lt;20000,5,10))</f>
        <v>0</v>
      </c>
      <c r="I1742" s="1">
        <f>jablka5[[#This Row],[rabat]]*jablka5[[#This Row],[sprzedaż]]/100</f>
        <v>0</v>
      </c>
    </row>
    <row r="1743" spans="1:9" x14ac:dyDescent="0.25">
      <c r="A1743" s="2">
        <v>44581</v>
      </c>
      <c r="B1743" s="1" t="s">
        <v>6</v>
      </c>
      <c r="C1743" s="1" t="s">
        <v>16</v>
      </c>
      <c r="D1743" s="1" t="s">
        <v>57</v>
      </c>
      <c r="E1743">
        <v>135</v>
      </c>
      <c r="F1743" s="1">
        <f>VLOOKUP(jablka5[[#This Row],[Nazwa]],cennik[],2,0) * jablka5[[#This Row],[sprzedaż]]</f>
        <v>459</v>
      </c>
      <c r="G1743" s="1">
        <f>IF(jablka5[[#This Row],[NIP]]=D1742,jablka5[[#This Row],[sprzedaż]]+G1742,jablka5[[#This Row],[sprzedaż]])</f>
        <v>1150</v>
      </c>
      <c r="H1743" s="1">
        <f>IF(jablka5[[#This Row],[dot sprz]]&lt;15000,0,IF(jablka5[[#This Row],[dot sprz]]&lt;20000,5,10))</f>
        <v>0</v>
      </c>
      <c r="I1743" s="1">
        <f>jablka5[[#This Row],[rabat]]*jablka5[[#This Row],[sprzedaż]]/100</f>
        <v>0</v>
      </c>
    </row>
    <row r="1744" spans="1:9" x14ac:dyDescent="0.25">
      <c r="A1744" s="2">
        <v>44597</v>
      </c>
      <c r="B1744" s="1" t="s">
        <v>0</v>
      </c>
      <c r="C1744" s="1" t="s">
        <v>16</v>
      </c>
      <c r="D1744" s="1" t="s">
        <v>57</v>
      </c>
      <c r="E1744">
        <v>90</v>
      </c>
      <c r="F1744" s="1">
        <f>VLOOKUP(jablka5[[#This Row],[Nazwa]],cennik[],2,0) * jablka5[[#This Row],[sprzedaż]]</f>
        <v>261</v>
      </c>
      <c r="G1744" s="1">
        <f>IF(jablka5[[#This Row],[NIP]]=D1743,jablka5[[#This Row],[sprzedaż]]+G1743,jablka5[[#This Row],[sprzedaż]])</f>
        <v>1240</v>
      </c>
      <c r="H1744" s="1">
        <f>IF(jablka5[[#This Row],[dot sprz]]&lt;15000,0,IF(jablka5[[#This Row],[dot sprz]]&lt;20000,5,10))</f>
        <v>0</v>
      </c>
      <c r="I1744" s="1">
        <f>jablka5[[#This Row],[rabat]]*jablka5[[#This Row],[sprzedaż]]/100</f>
        <v>0</v>
      </c>
    </row>
    <row r="1745" spans="1:9" x14ac:dyDescent="0.25">
      <c r="A1745" s="2">
        <v>44599</v>
      </c>
      <c r="B1745" s="1" t="s">
        <v>10</v>
      </c>
      <c r="C1745" s="1" t="s">
        <v>16</v>
      </c>
      <c r="D1745" s="1" t="s">
        <v>57</v>
      </c>
      <c r="E1745">
        <v>44</v>
      </c>
      <c r="F1745" s="1">
        <f>VLOOKUP(jablka5[[#This Row],[Nazwa]],cennik[],2,0) * jablka5[[#This Row],[sprzedaż]]</f>
        <v>149.6</v>
      </c>
      <c r="G1745" s="1">
        <f>IF(jablka5[[#This Row],[NIP]]=D1744,jablka5[[#This Row],[sprzedaż]]+G1744,jablka5[[#This Row],[sprzedaż]])</f>
        <v>1284</v>
      </c>
      <c r="H1745" s="1">
        <f>IF(jablka5[[#This Row],[dot sprz]]&lt;15000,0,IF(jablka5[[#This Row],[dot sprz]]&lt;20000,5,10))</f>
        <v>0</v>
      </c>
      <c r="I1745" s="1">
        <f>jablka5[[#This Row],[rabat]]*jablka5[[#This Row],[sprzedaż]]/100</f>
        <v>0</v>
      </c>
    </row>
    <row r="1746" spans="1:9" x14ac:dyDescent="0.25">
      <c r="A1746" s="2">
        <v>44599</v>
      </c>
      <c r="B1746" s="1" t="s">
        <v>4</v>
      </c>
      <c r="C1746" s="1" t="s">
        <v>16</v>
      </c>
      <c r="D1746" s="1" t="s">
        <v>57</v>
      </c>
      <c r="E1746">
        <v>477</v>
      </c>
      <c r="F1746" s="1">
        <f>VLOOKUP(jablka5[[#This Row],[Nazwa]],cennik[],2,0) * jablka5[[#This Row],[sprzedaż]]</f>
        <v>1621.8</v>
      </c>
      <c r="G1746" s="1">
        <f>IF(jablka5[[#This Row],[NIP]]=D1745,jablka5[[#This Row],[sprzedaż]]+G1745,jablka5[[#This Row],[sprzedaż]])</f>
        <v>1761</v>
      </c>
      <c r="H1746" s="1">
        <f>IF(jablka5[[#This Row],[dot sprz]]&lt;15000,0,IF(jablka5[[#This Row],[dot sprz]]&lt;20000,5,10))</f>
        <v>0</v>
      </c>
      <c r="I1746" s="1">
        <f>jablka5[[#This Row],[rabat]]*jablka5[[#This Row],[sprzedaż]]/100</f>
        <v>0</v>
      </c>
    </row>
    <row r="1747" spans="1:9" x14ac:dyDescent="0.25">
      <c r="A1747" s="2">
        <v>44602</v>
      </c>
      <c r="B1747" s="1" t="s">
        <v>2</v>
      </c>
      <c r="C1747" s="1" t="s">
        <v>16</v>
      </c>
      <c r="D1747" s="1" t="s">
        <v>57</v>
      </c>
      <c r="E1747">
        <v>308</v>
      </c>
      <c r="F1747" s="1">
        <f>VLOOKUP(jablka5[[#This Row],[Nazwa]],cennik[],2,0) * jablka5[[#This Row],[sprzedaż]]</f>
        <v>985.6</v>
      </c>
      <c r="G1747" s="1">
        <f>IF(jablka5[[#This Row],[NIP]]=D1746,jablka5[[#This Row],[sprzedaż]]+G1746,jablka5[[#This Row],[sprzedaż]])</f>
        <v>2069</v>
      </c>
      <c r="H1747" s="1">
        <f>IF(jablka5[[#This Row],[dot sprz]]&lt;15000,0,IF(jablka5[[#This Row],[dot sprz]]&lt;20000,5,10))</f>
        <v>0</v>
      </c>
      <c r="I1747" s="1">
        <f>jablka5[[#This Row],[rabat]]*jablka5[[#This Row],[sprzedaż]]/100</f>
        <v>0</v>
      </c>
    </row>
    <row r="1748" spans="1:9" x14ac:dyDescent="0.25">
      <c r="A1748" s="2">
        <v>44623</v>
      </c>
      <c r="B1748" s="1" t="s">
        <v>10</v>
      </c>
      <c r="C1748" s="1" t="s">
        <v>16</v>
      </c>
      <c r="D1748" s="1" t="s">
        <v>57</v>
      </c>
      <c r="E1748">
        <v>426</v>
      </c>
      <c r="F1748" s="1">
        <f>VLOOKUP(jablka5[[#This Row],[Nazwa]],cennik[],2,0) * jablka5[[#This Row],[sprzedaż]]</f>
        <v>1448.3999999999999</v>
      </c>
      <c r="G1748" s="1">
        <f>IF(jablka5[[#This Row],[NIP]]=D1747,jablka5[[#This Row],[sprzedaż]]+G1747,jablka5[[#This Row],[sprzedaż]])</f>
        <v>2495</v>
      </c>
      <c r="H1748" s="1">
        <f>IF(jablka5[[#This Row],[dot sprz]]&lt;15000,0,IF(jablka5[[#This Row],[dot sprz]]&lt;20000,5,10))</f>
        <v>0</v>
      </c>
      <c r="I1748" s="1">
        <f>jablka5[[#This Row],[rabat]]*jablka5[[#This Row],[sprzedaż]]/100</f>
        <v>0</v>
      </c>
    </row>
    <row r="1749" spans="1:9" x14ac:dyDescent="0.25">
      <c r="A1749" s="2">
        <v>44627</v>
      </c>
      <c r="B1749" s="1" t="s">
        <v>10</v>
      </c>
      <c r="C1749" s="1" t="s">
        <v>16</v>
      </c>
      <c r="D1749" s="1" t="s">
        <v>57</v>
      </c>
      <c r="E1749">
        <v>264</v>
      </c>
      <c r="F1749" s="1">
        <f>VLOOKUP(jablka5[[#This Row],[Nazwa]],cennik[],2,0) * jablka5[[#This Row],[sprzedaż]]</f>
        <v>897.6</v>
      </c>
      <c r="G1749" s="1">
        <f>IF(jablka5[[#This Row],[NIP]]=D1748,jablka5[[#This Row],[sprzedaż]]+G1748,jablka5[[#This Row],[sprzedaż]])</f>
        <v>2759</v>
      </c>
      <c r="H1749" s="1">
        <f>IF(jablka5[[#This Row],[dot sprz]]&lt;15000,0,IF(jablka5[[#This Row],[dot sprz]]&lt;20000,5,10))</f>
        <v>0</v>
      </c>
      <c r="I1749" s="1">
        <f>jablka5[[#This Row],[rabat]]*jablka5[[#This Row],[sprzedaż]]/100</f>
        <v>0</v>
      </c>
    </row>
    <row r="1750" spans="1:9" x14ac:dyDescent="0.25">
      <c r="A1750" s="2">
        <v>44641</v>
      </c>
      <c r="B1750" s="1" t="s">
        <v>2</v>
      </c>
      <c r="C1750" s="1" t="s">
        <v>16</v>
      </c>
      <c r="D1750" s="1" t="s">
        <v>57</v>
      </c>
      <c r="E1750">
        <v>182</v>
      </c>
      <c r="F1750" s="1">
        <f>VLOOKUP(jablka5[[#This Row],[Nazwa]],cennik[],2,0) * jablka5[[#This Row],[sprzedaż]]</f>
        <v>582.4</v>
      </c>
      <c r="G1750" s="1">
        <f>IF(jablka5[[#This Row],[NIP]]=D1749,jablka5[[#This Row],[sprzedaż]]+G1749,jablka5[[#This Row],[sprzedaż]])</f>
        <v>2941</v>
      </c>
      <c r="H1750" s="1">
        <f>IF(jablka5[[#This Row],[dot sprz]]&lt;15000,0,IF(jablka5[[#This Row],[dot sprz]]&lt;20000,5,10))</f>
        <v>0</v>
      </c>
      <c r="I1750" s="1">
        <f>jablka5[[#This Row],[rabat]]*jablka5[[#This Row],[sprzedaż]]/100</f>
        <v>0</v>
      </c>
    </row>
    <row r="1751" spans="1:9" x14ac:dyDescent="0.25">
      <c r="A1751" s="2">
        <v>44646</v>
      </c>
      <c r="B1751" s="1" t="s">
        <v>4</v>
      </c>
      <c r="C1751" s="1" t="s">
        <v>16</v>
      </c>
      <c r="D1751" s="1" t="s">
        <v>57</v>
      </c>
      <c r="E1751">
        <v>681</v>
      </c>
      <c r="F1751" s="1">
        <f>VLOOKUP(jablka5[[#This Row],[Nazwa]],cennik[],2,0) * jablka5[[#This Row],[sprzedaż]]</f>
        <v>2315.4</v>
      </c>
      <c r="G1751" s="1">
        <f>IF(jablka5[[#This Row],[NIP]]=D1750,jablka5[[#This Row],[sprzedaż]]+G1750,jablka5[[#This Row],[sprzedaż]])</f>
        <v>3622</v>
      </c>
      <c r="H1751" s="1">
        <f>IF(jablka5[[#This Row],[dot sprz]]&lt;15000,0,IF(jablka5[[#This Row],[dot sprz]]&lt;20000,5,10))</f>
        <v>0</v>
      </c>
      <c r="I1751" s="1">
        <f>jablka5[[#This Row],[rabat]]*jablka5[[#This Row],[sprzedaż]]/100</f>
        <v>0</v>
      </c>
    </row>
    <row r="1752" spans="1:9" x14ac:dyDescent="0.25">
      <c r="A1752" s="2">
        <v>44648</v>
      </c>
      <c r="B1752" s="1" t="s">
        <v>7</v>
      </c>
      <c r="C1752" s="1" t="s">
        <v>16</v>
      </c>
      <c r="D1752" s="1" t="s">
        <v>57</v>
      </c>
      <c r="E1752">
        <v>498</v>
      </c>
      <c r="F1752" s="1">
        <f>VLOOKUP(jablka5[[#This Row],[Nazwa]],cennik[],2,0) * jablka5[[#This Row],[sprzedaż]]</f>
        <v>1693.2</v>
      </c>
      <c r="G1752" s="1">
        <f>IF(jablka5[[#This Row],[NIP]]=D1751,jablka5[[#This Row],[sprzedaż]]+G1751,jablka5[[#This Row],[sprzedaż]])</f>
        <v>4120</v>
      </c>
      <c r="H1752" s="1">
        <f>IF(jablka5[[#This Row],[dot sprz]]&lt;15000,0,IF(jablka5[[#This Row],[dot sprz]]&lt;20000,5,10))</f>
        <v>0</v>
      </c>
      <c r="I1752" s="1">
        <f>jablka5[[#This Row],[rabat]]*jablka5[[#This Row],[sprzedaż]]/100</f>
        <v>0</v>
      </c>
    </row>
    <row r="1753" spans="1:9" x14ac:dyDescent="0.25">
      <c r="A1753" s="2">
        <v>44651</v>
      </c>
      <c r="B1753" s="1" t="s">
        <v>0</v>
      </c>
      <c r="C1753" s="1" t="s">
        <v>16</v>
      </c>
      <c r="D1753" s="1" t="s">
        <v>57</v>
      </c>
      <c r="E1753">
        <v>191</v>
      </c>
      <c r="F1753" s="1">
        <f>VLOOKUP(jablka5[[#This Row],[Nazwa]],cennik[],2,0) * jablka5[[#This Row],[sprzedaż]]</f>
        <v>553.9</v>
      </c>
      <c r="G1753" s="1">
        <f>IF(jablka5[[#This Row],[NIP]]=D1752,jablka5[[#This Row],[sprzedaż]]+G1752,jablka5[[#This Row],[sprzedaż]])</f>
        <v>4311</v>
      </c>
      <c r="H1753" s="1">
        <f>IF(jablka5[[#This Row],[dot sprz]]&lt;15000,0,IF(jablka5[[#This Row],[dot sprz]]&lt;20000,5,10))</f>
        <v>0</v>
      </c>
      <c r="I1753" s="1">
        <f>jablka5[[#This Row],[rabat]]*jablka5[[#This Row],[sprzedaż]]/100</f>
        <v>0</v>
      </c>
    </row>
    <row r="1754" spans="1:9" x14ac:dyDescent="0.25">
      <c r="A1754" s="2">
        <v>44653</v>
      </c>
      <c r="B1754" s="1" t="s">
        <v>10</v>
      </c>
      <c r="C1754" s="1" t="s">
        <v>16</v>
      </c>
      <c r="D1754" s="1" t="s">
        <v>57</v>
      </c>
      <c r="E1754">
        <v>264</v>
      </c>
      <c r="F1754" s="1">
        <f>VLOOKUP(jablka5[[#This Row],[Nazwa]],cennik[],2,0) * jablka5[[#This Row],[sprzedaż]]</f>
        <v>897.6</v>
      </c>
      <c r="G1754" s="1">
        <f>IF(jablka5[[#This Row],[NIP]]=D1753,jablka5[[#This Row],[sprzedaż]]+G1753,jablka5[[#This Row],[sprzedaż]])</f>
        <v>4575</v>
      </c>
      <c r="H1754" s="1">
        <f>IF(jablka5[[#This Row],[dot sprz]]&lt;15000,0,IF(jablka5[[#This Row],[dot sprz]]&lt;20000,5,10))</f>
        <v>0</v>
      </c>
      <c r="I1754" s="1">
        <f>jablka5[[#This Row],[rabat]]*jablka5[[#This Row],[sprzedaż]]/100</f>
        <v>0</v>
      </c>
    </row>
    <row r="1755" spans="1:9" x14ac:dyDescent="0.25">
      <c r="A1755" s="2">
        <v>44662</v>
      </c>
      <c r="B1755" s="1" t="s">
        <v>10</v>
      </c>
      <c r="C1755" s="1" t="s">
        <v>16</v>
      </c>
      <c r="D1755" s="1" t="s">
        <v>57</v>
      </c>
      <c r="E1755">
        <v>36</v>
      </c>
      <c r="F1755" s="1">
        <f>VLOOKUP(jablka5[[#This Row],[Nazwa]],cennik[],2,0) * jablka5[[#This Row],[sprzedaż]]</f>
        <v>122.39999999999999</v>
      </c>
      <c r="G1755" s="1">
        <f>IF(jablka5[[#This Row],[NIP]]=D1754,jablka5[[#This Row],[sprzedaż]]+G1754,jablka5[[#This Row],[sprzedaż]])</f>
        <v>4611</v>
      </c>
      <c r="H1755" s="1">
        <f>IF(jablka5[[#This Row],[dot sprz]]&lt;15000,0,IF(jablka5[[#This Row],[dot sprz]]&lt;20000,5,10))</f>
        <v>0</v>
      </c>
      <c r="I1755" s="1">
        <f>jablka5[[#This Row],[rabat]]*jablka5[[#This Row],[sprzedaż]]/100</f>
        <v>0</v>
      </c>
    </row>
    <row r="1756" spans="1:9" x14ac:dyDescent="0.25">
      <c r="A1756" s="2">
        <v>44666</v>
      </c>
      <c r="B1756" s="1" t="s">
        <v>7</v>
      </c>
      <c r="C1756" s="1" t="s">
        <v>16</v>
      </c>
      <c r="D1756" s="1" t="s">
        <v>57</v>
      </c>
      <c r="E1756">
        <v>568</v>
      </c>
      <c r="F1756" s="1">
        <f>VLOOKUP(jablka5[[#This Row],[Nazwa]],cennik[],2,0) * jablka5[[#This Row],[sprzedaż]]</f>
        <v>1931.2</v>
      </c>
      <c r="G1756" s="1">
        <f>IF(jablka5[[#This Row],[NIP]]=D1755,jablka5[[#This Row],[sprzedaż]]+G1755,jablka5[[#This Row],[sprzedaż]])</f>
        <v>5179</v>
      </c>
      <c r="H1756" s="1">
        <f>IF(jablka5[[#This Row],[dot sprz]]&lt;15000,0,IF(jablka5[[#This Row],[dot sprz]]&lt;20000,5,10))</f>
        <v>0</v>
      </c>
      <c r="I1756" s="1">
        <f>jablka5[[#This Row],[rabat]]*jablka5[[#This Row],[sprzedaż]]/100</f>
        <v>0</v>
      </c>
    </row>
    <row r="1757" spans="1:9" x14ac:dyDescent="0.25">
      <c r="A1757" s="2">
        <v>44678</v>
      </c>
      <c r="B1757" s="1" t="s">
        <v>15</v>
      </c>
      <c r="C1757" s="1" t="s">
        <v>16</v>
      </c>
      <c r="D1757" s="1" t="s">
        <v>57</v>
      </c>
      <c r="E1757">
        <v>487</v>
      </c>
      <c r="F1757" s="1">
        <f>VLOOKUP(jablka5[[#This Row],[Nazwa]],cennik[],2,0) * jablka5[[#This Row],[sprzedaż]]</f>
        <v>1168.8</v>
      </c>
      <c r="G1757" s="1">
        <f>IF(jablka5[[#This Row],[NIP]]=D1756,jablka5[[#This Row],[sprzedaż]]+G1756,jablka5[[#This Row],[sprzedaż]])</f>
        <v>5666</v>
      </c>
      <c r="H1757" s="1">
        <f>IF(jablka5[[#This Row],[dot sprz]]&lt;15000,0,IF(jablka5[[#This Row],[dot sprz]]&lt;20000,5,10))</f>
        <v>0</v>
      </c>
      <c r="I1757" s="1">
        <f>jablka5[[#This Row],[rabat]]*jablka5[[#This Row],[sprzedaż]]/100</f>
        <v>0</v>
      </c>
    </row>
    <row r="1758" spans="1:9" x14ac:dyDescent="0.25">
      <c r="A1758" s="2">
        <v>44679</v>
      </c>
      <c r="B1758" s="1" t="s">
        <v>0</v>
      </c>
      <c r="C1758" s="1" t="s">
        <v>16</v>
      </c>
      <c r="D1758" s="1" t="s">
        <v>57</v>
      </c>
      <c r="E1758">
        <v>76</v>
      </c>
      <c r="F1758" s="1">
        <f>VLOOKUP(jablka5[[#This Row],[Nazwa]],cennik[],2,0) * jablka5[[#This Row],[sprzedaż]]</f>
        <v>220.4</v>
      </c>
      <c r="G1758" s="1">
        <f>IF(jablka5[[#This Row],[NIP]]=D1757,jablka5[[#This Row],[sprzedaż]]+G1757,jablka5[[#This Row],[sprzedaż]])</f>
        <v>5742</v>
      </c>
      <c r="H1758" s="1">
        <f>IF(jablka5[[#This Row],[dot sprz]]&lt;15000,0,IF(jablka5[[#This Row],[dot sprz]]&lt;20000,5,10))</f>
        <v>0</v>
      </c>
      <c r="I1758" s="1">
        <f>jablka5[[#This Row],[rabat]]*jablka5[[#This Row],[sprzedaż]]/100</f>
        <v>0</v>
      </c>
    </row>
    <row r="1759" spans="1:9" x14ac:dyDescent="0.25">
      <c r="A1759" s="2">
        <v>44692</v>
      </c>
      <c r="B1759" s="1" t="s">
        <v>6</v>
      </c>
      <c r="C1759" s="1" t="s">
        <v>16</v>
      </c>
      <c r="D1759" s="1" t="s">
        <v>57</v>
      </c>
      <c r="E1759">
        <v>446</v>
      </c>
      <c r="F1759" s="1">
        <f>VLOOKUP(jablka5[[#This Row],[Nazwa]],cennik[],2,0) * jablka5[[#This Row],[sprzedaż]]</f>
        <v>1516.3999999999999</v>
      </c>
      <c r="G1759" s="1">
        <f>IF(jablka5[[#This Row],[NIP]]=D1758,jablka5[[#This Row],[sprzedaż]]+G1758,jablka5[[#This Row],[sprzedaż]])</f>
        <v>6188</v>
      </c>
      <c r="H1759" s="1">
        <f>IF(jablka5[[#This Row],[dot sprz]]&lt;15000,0,IF(jablka5[[#This Row],[dot sprz]]&lt;20000,5,10))</f>
        <v>0</v>
      </c>
      <c r="I1759" s="1">
        <f>jablka5[[#This Row],[rabat]]*jablka5[[#This Row],[sprzedaż]]/100</f>
        <v>0</v>
      </c>
    </row>
    <row r="1760" spans="1:9" x14ac:dyDescent="0.25">
      <c r="A1760" s="2">
        <v>44692</v>
      </c>
      <c r="B1760" s="1" t="s">
        <v>4</v>
      </c>
      <c r="C1760" s="1" t="s">
        <v>16</v>
      </c>
      <c r="D1760" s="1" t="s">
        <v>57</v>
      </c>
      <c r="E1760">
        <v>447</v>
      </c>
      <c r="F1760" s="1">
        <f>VLOOKUP(jablka5[[#This Row],[Nazwa]],cennik[],2,0) * jablka5[[#This Row],[sprzedaż]]</f>
        <v>1519.8</v>
      </c>
      <c r="G1760" s="1">
        <f>IF(jablka5[[#This Row],[NIP]]=D1759,jablka5[[#This Row],[sprzedaż]]+G1759,jablka5[[#This Row],[sprzedaż]])</f>
        <v>6635</v>
      </c>
      <c r="H1760" s="1">
        <f>IF(jablka5[[#This Row],[dot sprz]]&lt;15000,0,IF(jablka5[[#This Row],[dot sprz]]&lt;20000,5,10))</f>
        <v>0</v>
      </c>
      <c r="I1760" s="1">
        <f>jablka5[[#This Row],[rabat]]*jablka5[[#This Row],[sprzedaż]]/100</f>
        <v>0</v>
      </c>
    </row>
    <row r="1761" spans="1:9" x14ac:dyDescent="0.25">
      <c r="A1761" s="2">
        <v>44720</v>
      </c>
      <c r="B1761" s="1" t="s">
        <v>13</v>
      </c>
      <c r="C1761" s="1" t="s">
        <v>68</v>
      </c>
      <c r="D1761" s="1" t="s">
        <v>57</v>
      </c>
      <c r="E1761">
        <v>200</v>
      </c>
      <c r="F1761" s="1">
        <f>VLOOKUP(jablka5[[#This Row],[Nazwa]],cennik[],2,0) * jablka5[[#This Row],[sprzedaż]]</f>
        <v>640</v>
      </c>
      <c r="G1761" s="1">
        <f>IF(jablka5[[#This Row],[NIP]]=D1760,jablka5[[#This Row],[sprzedaż]]+G1760,jablka5[[#This Row],[sprzedaż]])</f>
        <v>6835</v>
      </c>
      <c r="H1761" s="1">
        <f>IF(jablka5[[#This Row],[dot sprz]]&lt;15000,0,IF(jablka5[[#This Row],[dot sprz]]&lt;20000,5,10))</f>
        <v>0</v>
      </c>
      <c r="I1761" s="1">
        <f>jablka5[[#This Row],[rabat]]*jablka5[[#This Row],[sprzedaż]]/100</f>
        <v>0</v>
      </c>
    </row>
    <row r="1762" spans="1:9" x14ac:dyDescent="0.25">
      <c r="A1762" s="2">
        <v>44730</v>
      </c>
      <c r="B1762" s="1" t="s">
        <v>12</v>
      </c>
      <c r="C1762" s="1" t="s">
        <v>68</v>
      </c>
      <c r="D1762" s="1" t="s">
        <v>57</v>
      </c>
      <c r="E1762">
        <v>43</v>
      </c>
      <c r="F1762" s="1">
        <f>VLOOKUP(jablka5[[#This Row],[Nazwa]],cennik[],2,0) * jablka5[[#This Row],[sprzedaż]]</f>
        <v>116.10000000000001</v>
      </c>
      <c r="G1762" s="1">
        <f>IF(jablka5[[#This Row],[NIP]]=D1761,jablka5[[#This Row],[sprzedaż]]+G1761,jablka5[[#This Row],[sprzedaż]])</f>
        <v>6878</v>
      </c>
      <c r="H1762" s="1">
        <f>IF(jablka5[[#This Row],[dot sprz]]&lt;15000,0,IF(jablka5[[#This Row],[dot sprz]]&lt;20000,5,10))</f>
        <v>0</v>
      </c>
      <c r="I1762" s="1">
        <f>jablka5[[#This Row],[rabat]]*jablka5[[#This Row],[sprzedaż]]/100</f>
        <v>0</v>
      </c>
    </row>
    <row r="1763" spans="1:9" x14ac:dyDescent="0.25">
      <c r="A1763" s="2">
        <v>44730</v>
      </c>
      <c r="B1763" s="1" t="s">
        <v>14</v>
      </c>
      <c r="C1763" s="1" t="s">
        <v>67</v>
      </c>
      <c r="D1763" s="1" t="s">
        <v>57</v>
      </c>
      <c r="E1763">
        <v>206</v>
      </c>
      <c r="F1763" s="1">
        <f>VLOOKUP(jablka5[[#This Row],[Nazwa]],cennik[],2,0) * jablka5[[#This Row],[sprzedaż]]</f>
        <v>721</v>
      </c>
      <c r="G1763" s="1">
        <f>IF(jablka5[[#This Row],[NIP]]=D1762,jablka5[[#This Row],[sprzedaż]]+G1762,jablka5[[#This Row],[sprzedaż]])</f>
        <v>7084</v>
      </c>
      <c r="H1763" s="1">
        <f>IF(jablka5[[#This Row],[dot sprz]]&lt;15000,0,IF(jablka5[[#This Row],[dot sprz]]&lt;20000,5,10))</f>
        <v>0</v>
      </c>
      <c r="I1763" s="1">
        <f>jablka5[[#This Row],[rabat]]*jablka5[[#This Row],[sprzedaż]]/100</f>
        <v>0</v>
      </c>
    </row>
    <row r="1764" spans="1:9" x14ac:dyDescent="0.25">
      <c r="A1764" s="2">
        <v>44751</v>
      </c>
      <c r="B1764" s="1" t="s">
        <v>12</v>
      </c>
      <c r="C1764" s="1" t="s">
        <v>68</v>
      </c>
      <c r="D1764" s="1" t="s">
        <v>57</v>
      </c>
      <c r="E1764">
        <v>58</v>
      </c>
      <c r="F1764" s="1">
        <f>VLOOKUP(jablka5[[#This Row],[Nazwa]],cennik[],2,0) * jablka5[[#This Row],[sprzedaż]]</f>
        <v>156.60000000000002</v>
      </c>
      <c r="G1764" s="1">
        <f>IF(jablka5[[#This Row],[NIP]]=D1763,jablka5[[#This Row],[sprzedaż]]+G1763,jablka5[[#This Row],[sprzedaż]])</f>
        <v>7142</v>
      </c>
      <c r="H1764" s="1">
        <f>IF(jablka5[[#This Row],[dot sprz]]&lt;15000,0,IF(jablka5[[#This Row],[dot sprz]]&lt;20000,5,10))</f>
        <v>0</v>
      </c>
      <c r="I1764" s="1">
        <f>jablka5[[#This Row],[rabat]]*jablka5[[#This Row],[sprzedaż]]/100</f>
        <v>0</v>
      </c>
    </row>
    <row r="1765" spans="1:9" x14ac:dyDescent="0.25">
      <c r="A1765" s="2">
        <v>44753</v>
      </c>
      <c r="B1765" s="1" t="s">
        <v>13</v>
      </c>
      <c r="C1765" s="1" t="s">
        <v>68</v>
      </c>
      <c r="D1765" s="1" t="s">
        <v>57</v>
      </c>
      <c r="E1765">
        <v>310</v>
      </c>
      <c r="F1765" s="1">
        <f>VLOOKUP(jablka5[[#This Row],[Nazwa]],cennik[],2,0) * jablka5[[#This Row],[sprzedaż]]</f>
        <v>992</v>
      </c>
      <c r="G1765" s="1">
        <f>IF(jablka5[[#This Row],[NIP]]=D1764,jablka5[[#This Row],[sprzedaż]]+G1764,jablka5[[#This Row],[sprzedaż]])</f>
        <v>7452</v>
      </c>
      <c r="H1765" s="1">
        <f>IF(jablka5[[#This Row],[dot sprz]]&lt;15000,0,IF(jablka5[[#This Row],[dot sprz]]&lt;20000,5,10))</f>
        <v>0</v>
      </c>
      <c r="I1765" s="1">
        <f>jablka5[[#This Row],[rabat]]*jablka5[[#This Row],[sprzedaż]]/100</f>
        <v>0</v>
      </c>
    </row>
    <row r="1766" spans="1:9" x14ac:dyDescent="0.25">
      <c r="A1766" s="2">
        <v>44758</v>
      </c>
      <c r="B1766" s="1" t="s">
        <v>12</v>
      </c>
      <c r="C1766" s="1" t="s">
        <v>68</v>
      </c>
      <c r="D1766" s="1" t="s">
        <v>57</v>
      </c>
      <c r="E1766">
        <v>302</v>
      </c>
      <c r="F1766" s="1">
        <f>VLOOKUP(jablka5[[#This Row],[Nazwa]],cennik[],2,0) * jablka5[[#This Row],[sprzedaż]]</f>
        <v>815.40000000000009</v>
      </c>
      <c r="G1766" s="1">
        <f>IF(jablka5[[#This Row],[NIP]]=D1765,jablka5[[#This Row],[sprzedaż]]+G1765,jablka5[[#This Row],[sprzedaż]])</f>
        <v>7754</v>
      </c>
      <c r="H1766" s="1">
        <f>IF(jablka5[[#This Row],[dot sprz]]&lt;15000,0,IF(jablka5[[#This Row],[dot sprz]]&lt;20000,5,10))</f>
        <v>0</v>
      </c>
      <c r="I1766" s="1">
        <f>jablka5[[#This Row],[rabat]]*jablka5[[#This Row],[sprzedaż]]/100</f>
        <v>0</v>
      </c>
    </row>
    <row r="1767" spans="1:9" x14ac:dyDescent="0.25">
      <c r="A1767" s="2">
        <v>44760</v>
      </c>
      <c r="B1767" s="1" t="s">
        <v>12</v>
      </c>
      <c r="C1767" s="1" t="s">
        <v>68</v>
      </c>
      <c r="D1767" s="1" t="s">
        <v>57</v>
      </c>
      <c r="E1767">
        <v>43</v>
      </c>
      <c r="F1767" s="1">
        <f>VLOOKUP(jablka5[[#This Row],[Nazwa]],cennik[],2,0) * jablka5[[#This Row],[sprzedaż]]</f>
        <v>116.10000000000001</v>
      </c>
      <c r="G1767" s="1">
        <f>IF(jablka5[[#This Row],[NIP]]=D1766,jablka5[[#This Row],[sprzedaż]]+G1766,jablka5[[#This Row],[sprzedaż]])</f>
        <v>7797</v>
      </c>
      <c r="H1767" s="1">
        <f>IF(jablka5[[#This Row],[dot sprz]]&lt;15000,0,IF(jablka5[[#This Row],[dot sprz]]&lt;20000,5,10))</f>
        <v>0</v>
      </c>
      <c r="I1767" s="1">
        <f>jablka5[[#This Row],[rabat]]*jablka5[[#This Row],[sprzedaż]]/100</f>
        <v>0</v>
      </c>
    </row>
    <row r="1768" spans="1:9" x14ac:dyDescent="0.25">
      <c r="A1768" s="2">
        <v>44760</v>
      </c>
      <c r="B1768" s="1" t="s">
        <v>12</v>
      </c>
      <c r="C1768" s="1" t="s">
        <v>68</v>
      </c>
      <c r="D1768" s="1" t="s">
        <v>57</v>
      </c>
      <c r="E1768">
        <v>230</v>
      </c>
      <c r="F1768" s="1">
        <f>VLOOKUP(jablka5[[#This Row],[Nazwa]],cennik[],2,0) * jablka5[[#This Row],[sprzedaż]]</f>
        <v>621</v>
      </c>
      <c r="G1768" s="1">
        <f>IF(jablka5[[#This Row],[NIP]]=D1767,jablka5[[#This Row],[sprzedaż]]+G1767,jablka5[[#This Row],[sprzedaż]])</f>
        <v>8027</v>
      </c>
      <c r="H1768" s="1">
        <f>IF(jablka5[[#This Row],[dot sprz]]&lt;15000,0,IF(jablka5[[#This Row],[dot sprz]]&lt;20000,5,10))</f>
        <v>0</v>
      </c>
      <c r="I1768" s="1">
        <f>jablka5[[#This Row],[rabat]]*jablka5[[#This Row],[sprzedaż]]/100</f>
        <v>0</v>
      </c>
    </row>
    <row r="1769" spans="1:9" x14ac:dyDescent="0.25">
      <c r="A1769" s="2">
        <v>44764</v>
      </c>
      <c r="B1769" s="1" t="s">
        <v>13</v>
      </c>
      <c r="C1769" s="1" t="s">
        <v>68</v>
      </c>
      <c r="D1769" s="1" t="s">
        <v>57</v>
      </c>
      <c r="E1769">
        <v>357</v>
      </c>
      <c r="F1769" s="1">
        <f>VLOOKUP(jablka5[[#This Row],[Nazwa]],cennik[],2,0) * jablka5[[#This Row],[sprzedaż]]</f>
        <v>1142.4000000000001</v>
      </c>
      <c r="G1769" s="1">
        <f>IF(jablka5[[#This Row],[NIP]]=D1768,jablka5[[#This Row],[sprzedaż]]+G1768,jablka5[[#This Row],[sprzedaż]])</f>
        <v>8384</v>
      </c>
      <c r="H1769" s="1">
        <f>IF(jablka5[[#This Row],[dot sprz]]&lt;15000,0,IF(jablka5[[#This Row],[dot sprz]]&lt;20000,5,10))</f>
        <v>0</v>
      </c>
      <c r="I1769" s="1">
        <f>jablka5[[#This Row],[rabat]]*jablka5[[#This Row],[sprzedaż]]/100</f>
        <v>0</v>
      </c>
    </row>
    <row r="1770" spans="1:9" x14ac:dyDescent="0.25">
      <c r="A1770" s="2">
        <v>44768</v>
      </c>
      <c r="B1770" s="1" t="s">
        <v>13</v>
      </c>
      <c r="C1770" s="1" t="s">
        <v>68</v>
      </c>
      <c r="D1770" s="1" t="s">
        <v>57</v>
      </c>
      <c r="E1770">
        <v>453</v>
      </c>
      <c r="F1770" s="1">
        <f>VLOOKUP(jablka5[[#This Row],[Nazwa]],cennik[],2,0) * jablka5[[#This Row],[sprzedaż]]</f>
        <v>1449.6000000000001</v>
      </c>
      <c r="G1770" s="1">
        <f>IF(jablka5[[#This Row],[NIP]]=D1769,jablka5[[#This Row],[sprzedaż]]+G1769,jablka5[[#This Row],[sprzedaż]])</f>
        <v>8837</v>
      </c>
      <c r="H1770" s="1">
        <f>IF(jablka5[[#This Row],[dot sprz]]&lt;15000,0,IF(jablka5[[#This Row],[dot sprz]]&lt;20000,5,10))</f>
        <v>0</v>
      </c>
      <c r="I1770" s="1">
        <f>jablka5[[#This Row],[rabat]]*jablka5[[#This Row],[sprzedaż]]/100</f>
        <v>0</v>
      </c>
    </row>
    <row r="1771" spans="1:9" x14ac:dyDescent="0.25">
      <c r="A1771" s="2">
        <v>44770</v>
      </c>
      <c r="B1771" s="1" t="s">
        <v>13</v>
      </c>
      <c r="C1771" s="1" t="s">
        <v>68</v>
      </c>
      <c r="D1771" s="1" t="s">
        <v>57</v>
      </c>
      <c r="E1771">
        <v>457</v>
      </c>
      <c r="F1771" s="1">
        <f>VLOOKUP(jablka5[[#This Row],[Nazwa]],cennik[],2,0) * jablka5[[#This Row],[sprzedaż]]</f>
        <v>1462.4</v>
      </c>
      <c r="G1771" s="1">
        <f>IF(jablka5[[#This Row],[NIP]]=D1770,jablka5[[#This Row],[sprzedaż]]+G1770,jablka5[[#This Row],[sprzedaż]])</f>
        <v>9294</v>
      </c>
      <c r="H1771" s="1">
        <f>IF(jablka5[[#This Row],[dot sprz]]&lt;15000,0,IF(jablka5[[#This Row],[dot sprz]]&lt;20000,5,10))</f>
        <v>0</v>
      </c>
      <c r="I1771" s="1">
        <f>jablka5[[#This Row],[rabat]]*jablka5[[#This Row],[sprzedaż]]/100</f>
        <v>0</v>
      </c>
    </row>
    <row r="1772" spans="1:9" x14ac:dyDescent="0.25">
      <c r="A1772" s="2">
        <v>44772</v>
      </c>
      <c r="B1772" s="1" t="s">
        <v>14</v>
      </c>
      <c r="C1772" s="1" t="s">
        <v>67</v>
      </c>
      <c r="D1772" s="1" t="s">
        <v>57</v>
      </c>
      <c r="E1772">
        <v>248</v>
      </c>
      <c r="F1772" s="1">
        <f>VLOOKUP(jablka5[[#This Row],[Nazwa]],cennik[],2,0) * jablka5[[#This Row],[sprzedaż]]</f>
        <v>868</v>
      </c>
      <c r="G1772" s="1">
        <f>IF(jablka5[[#This Row],[NIP]]=D1771,jablka5[[#This Row],[sprzedaż]]+G1771,jablka5[[#This Row],[sprzedaż]])</f>
        <v>9542</v>
      </c>
      <c r="H1772" s="1">
        <f>IF(jablka5[[#This Row],[dot sprz]]&lt;15000,0,IF(jablka5[[#This Row],[dot sprz]]&lt;20000,5,10))</f>
        <v>0</v>
      </c>
      <c r="I1772" s="1">
        <f>jablka5[[#This Row],[rabat]]*jablka5[[#This Row],[sprzedaż]]/100</f>
        <v>0</v>
      </c>
    </row>
    <row r="1773" spans="1:9" x14ac:dyDescent="0.25">
      <c r="A1773" s="2">
        <v>44777</v>
      </c>
      <c r="B1773" s="1" t="s">
        <v>13</v>
      </c>
      <c r="C1773" s="1" t="s">
        <v>68</v>
      </c>
      <c r="D1773" s="1" t="s">
        <v>57</v>
      </c>
      <c r="E1773">
        <v>220</v>
      </c>
      <c r="F1773" s="1">
        <f>VLOOKUP(jablka5[[#This Row],[Nazwa]],cennik[],2,0) * jablka5[[#This Row],[sprzedaż]]</f>
        <v>704</v>
      </c>
      <c r="G1773" s="1">
        <f>IF(jablka5[[#This Row],[NIP]]=D1772,jablka5[[#This Row],[sprzedaż]]+G1772,jablka5[[#This Row],[sprzedaż]])</f>
        <v>9762</v>
      </c>
      <c r="H1773" s="1">
        <f>IF(jablka5[[#This Row],[dot sprz]]&lt;15000,0,IF(jablka5[[#This Row],[dot sprz]]&lt;20000,5,10))</f>
        <v>0</v>
      </c>
      <c r="I1773" s="1">
        <f>jablka5[[#This Row],[rabat]]*jablka5[[#This Row],[sprzedaż]]/100</f>
        <v>0</v>
      </c>
    </row>
    <row r="1774" spans="1:9" x14ac:dyDescent="0.25">
      <c r="A1774" s="2">
        <v>44778</v>
      </c>
      <c r="B1774" s="1" t="s">
        <v>12</v>
      </c>
      <c r="C1774" s="1" t="s">
        <v>68</v>
      </c>
      <c r="D1774" s="1" t="s">
        <v>57</v>
      </c>
      <c r="E1774">
        <v>378</v>
      </c>
      <c r="F1774" s="1">
        <f>VLOOKUP(jablka5[[#This Row],[Nazwa]],cennik[],2,0) * jablka5[[#This Row],[sprzedaż]]</f>
        <v>1020.6</v>
      </c>
      <c r="G1774" s="1">
        <f>IF(jablka5[[#This Row],[NIP]]=D1773,jablka5[[#This Row],[sprzedaż]]+G1773,jablka5[[#This Row],[sprzedaż]])</f>
        <v>10140</v>
      </c>
      <c r="H1774" s="1">
        <f>IF(jablka5[[#This Row],[dot sprz]]&lt;15000,0,IF(jablka5[[#This Row],[dot sprz]]&lt;20000,5,10))</f>
        <v>0</v>
      </c>
      <c r="I1774" s="1">
        <f>jablka5[[#This Row],[rabat]]*jablka5[[#This Row],[sprzedaż]]/100</f>
        <v>0</v>
      </c>
    </row>
    <row r="1775" spans="1:9" x14ac:dyDescent="0.25">
      <c r="A1775" s="2">
        <v>44783</v>
      </c>
      <c r="B1775" s="1" t="s">
        <v>12</v>
      </c>
      <c r="C1775" s="1" t="s">
        <v>68</v>
      </c>
      <c r="D1775" s="1" t="s">
        <v>57</v>
      </c>
      <c r="E1775">
        <v>34</v>
      </c>
      <c r="F1775" s="1">
        <f>VLOOKUP(jablka5[[#This Row],[Nazwa]],cennik[],2,0) * jablka5[[#This Row],[sprzedaż]]</f>
        <v>91.800000000000011</v>
      </c>
      <c r="G1775" s="1">
        <f>IF(jablka5[[#This Row],[NIP]]=D1774,jablka5[[#This Row],[sprzedaż]]+G1774,jablka5[[#This Row],[sprzedaż]])</f>
        <v>10174</v>
      </c>
      <c r="H1775" s="1">
        <f>IF(jablka5[[#This Row],[dot sprz]]&lt;15000,0,IF(jablka5[[#This Row],[dot sprz]]&lt;20000,5,10))</f>
        <v>0</v>
      </c>
      <c r="I1775" s="1">
        <f>jablka5[[#This Row],[rabat]]*jablka5[[#This Row],[sprzedaż]]/100</f>
        <v>0</v>
      </c>
    </row>
    <row r="1776" spans="1:9" x14ac:dyDescent="0.25">
      <c r="A1776" s="2">
        <v>44783</v>
      </c>
      <c r="B1776" s="1" t="s">
        <v>14</v>
      </c>
      <c r="C1776" s="1" t="s">
        <v>67</v>
      </c>
      <c r="D1776" s="1" t="s">
        <v>57</v>
      </c>
      <c r="E1776">
        <v>274</v>
      </c>
      <c r="F1776" s="1">
        <f>VLOOKUP(jablka5[[#This Row],[Nazwa]],cennik[],2,0) * jablka5[[#This Row],[sprzedaż]]</f>
        <v>959</v>
      </c>
      <c r="G1776" s="1">
        <f>IF(jablka5[[#This Row],[NIP]]=D1775,jablka5[[#This Row],[sprzedaż]]+G1775,jablka5[[#This Row],[sprzedaż]])</f>
        <v>10448</v>
      </c>
      <c r="H1776" s="1">
        <f>IF(jablka5[[#This Row],[dot sprz]]&lt;15000,0,IF(jablka5[[#This Row],[dot sprz]]&lt;20000,5,10))</f>
        <v>0</v>
      </c>
      <c r="I1776" s="1">
        <f>jablka5[[#This Row],[rabat]]*jablka5[[#This Row],[sprzedaż]]/100</f>
        <v>0</v>
      </c>
    </row>
    <row r="1777" spans="1:9" x14ac:dyDescent="0.25">
      <c r="A1777" s="2">
        <v>44788</v>
      </c>
      <c r="B1777" s="1" t="s">
        <v>13</v>
      </c>
      <c r="C1777" s="1" t="s">
        <v>68</v>
      </c>
      <c r="D1777" s="1" t="s">
        <v>57</v>
      </c>
      <c r="E1777">
        <v>274</v>
      </c>
      <c r="F1777" s="1">
        <f>VLOOKUP(jablka5[[#This Row],[Nazwa]],cennik[],2,0) * jablka5[[#This Row],[sprzedaż]]</f>
        <v>876.80000000000007</v>
      </c>
      <c r="G1777" s="1">
        <f>IF(jablka5[[#This Row],[NIP]]=D1776,jablka5[[#This Row],[sprzedaż]]+G1776,jablka5[[#This Row],[sprzedaż]])</f>
        <v>10722</v>
      </c>
      <c r="H1777" s="1">
        <f>IF(jablka5[[#This Row],[dot sprz]]&lt;15000,0,IF(jablka5[[#This Row],[dot sprz]]&lt;20000,5,10))</f>
        <v>0</v>
      </c>
      <c r="I1777" s="1">
        <f>jablka5[[#This Row],[rabat]]*jablka5[[#This Row],[sprzedaż]]/100</f>
        <v>0</v>
      </c>
    </row>
    <row r="1778" spans="1:9" x14ac:dyDescent="0.25">
      <c r="A1778" s="2">
        <v>44799</v>
      </c>
      <c r="B1778" s="1" t="s">
        <v>12</v>
      </c>
      <c r="C1778" s="1" t="s">
        <v>68</v>
      </c>
      <c r="D1778" s="1" t="s">
        <v>57</v>
      </c>
      <c r="E1778">
        <v>246</v>
      </c>
      <c r="F1778" s="1">
        <f>VLOOKUP(jablka5[[#This Row],[Nazwa]],cennik[],2,0) * jablka5[[#This Row],[sprzedaż]]</f>
        <v>664.2</v>
      </c>
      <c r="G1778" s="1">
        <f>IF(jablka5[[#This Row],[NIP]]=D1777,jablka5[[#This Row],[sprzedaż]]+G1777,jablka5[[#This Row],[sprzedaż]])</f>
        <v>10968</v>
      </c>
      <c r="H1778" s="1">
        <f>IF(jablka5[[#This Row],[dot sprz]]&lt;15000,0,IF(jablka5[[#This Row],[dot sprz]]&lt;20000,5,10))</f>
        <v>0</v>
      </c>
      <c r="I1778" s="1">
        <f>jablka5[[#This Row],[rabat]]*jablka5[[#This Row],[sprzedaż]]/100</f>
        <v>0</v>
      </c>
    </row>
    <row r="1779" spans="1:9" x14ac:dyDescent="0.25">
      <c r="A1779" s="2">
        <v>44800</v>
      </c>
      <c r="B1779" s="1" t="s">
        <v>14</v>
      </c>
      <c r="C1779" s="1" t="s">
        <v>67</v>
      </c>
      <c r="D1779" s="1" t="s">
        <v>57</v>
      </c>
      <c r="E1779">
        <v>235</v>
      </c>
      <c r="F1779" s="1">
        <f>VLOOKUP(jablka5[[#This Row],[Nazwa]],cennik[],2,0) * jablka5[[#This Row],[sprzedaż]]</f>
        <v>822.5</v>
      </c>
      <c r="G1779" s="1">
        <f>IF(jablka5[[#This Row],[NIP]]=D1778,jablka5[[#This Row],[sprzedaż]]+G1778,jablka5[[#This Row],[sprzedaż]])</f>
        <v>11203</v>
      </c>
      <c r="H1779" s="1">
        <f>IF(jablka5[[#This Row],[dot sprz]]&lt;15000,0,IF(jablka5[[#This Row],[dot sprz]]&lt;20000,5,10))</f>
        <v>0</v>
      </c>
      <c r="I1779" s="1">
        <f>jablka5[[#This Row],[rabat]]*jablka5[[#This Row],[sprzedaż]]/100</f>
        <v>0</v>
      </c>
    </row>
    <row r="1780" spans="1:9" x14ac:dyDescent="0.25">
      <c r="A1780" s="2">
        <v>44803</v>
      </c>
      <c r="B1780" s="1" t="s">
        <v>12</v>
      </c>
      <c r="C1780" s="1" t="s">
        <v>68</v>
      </c>
      <c r="D1780" s="1" t="s">
        <v>57</v>
      </c>
      <c r="E1780">
        <v>447</v>
      </c>
      <c r="F1780" s="1">
        <f>VLOOKUP(jablka5[[#This Row],[Nazwa]],cennik[],2,0) * jablka5[[#This Row],[sprzedaż]]</f>
        <v>1206.9000000000001</v>
      </c>
      <c r="G1780" s="1">
        <f>IF(jablka5[[#This Row],[NIP]]=D1779,jablka5[[#This Row],[sprzedaż]]+G1779,jablka5[[#This Row],[sprzedaż]])</f>
        <v>11650</v>
      </c>
      <c r="H1780" s="1">
        <f>IF(jablka5[[#This Row],[dot sprz]]&lt;15000,0,IF(jablka5[[#This Row],[dot sprz]]&lt;20000,5,10))</f>
        <v>0</v>
      </c>
      <c r="I1780" s="1">
        <f>jablka5[[#This Row],[rabat]]*jablka5[[#This Row],[sprzedaż]]/100</f>
        <v>0</v>
      </c>
    </row>
    <row r="1781" spans="1:9" x14ac:dyDescent="0.25">
      <c r="A1781" s="2">
        <v>44809</v>
      </c>
      <c r="B1781" s="1" t="s">
        <v>9</v>
      </c>
      <c r="C1781" s="1" t="s">
        <v>67</v>
      </c>
      <c r="D1781" s="1" t="s">
        <v>57</v>
      </c>
      <c r="E1781">
        <v>38</v>
      </c>
      <c r="F1781" s="1">
        <f>VLOOKUP(jablka5[[#This Row],[Nazwa]],cennik[],2,0) * jablka5[[#This Row],[sprzedaż]]</f>
        <v>95</v>
      </c>
      <c r="G1781" s="1">
        <f>IF(jablka5[[#This Row],[NIP]]=D1780,jablka5[[#This Row],[sprzedaż]]+G1780,jablka5[[#This Row],[sprzedaż]])</f>
        <v>11688</v>
      </c>
      <c r="H1781" s="1">
        <f>IF(jablka5[[#This Row],[dot sprz]]&lt;15000,0,IF(jablka5[[#This Row],[dot sprz]]&lt;20000,5,10))</f>
        <v>0</v>
      </c>
      <c r="I1781" s="1">
        <f>jablka5[[#This Row],[rabat]]*jablka5[[#This Row],[sprzedaż]]/100</f>
        <v>0</v>
      </c>
    </row>
    <row r="1782" spans="1:9" x14ac:dyDescent="0.25">
      <c r="A1782" s="2">
        <v>44825</v>
      </c>
      <c r="B1782" s="1" t="s">
        <v>3</v>
      </c>
      <c r="C1782" s="1" t="s">
        <v>67</v>
      </c>
      <c r="D1782" s="1" t="s">
        <v>57</v>
      </c>
      <c r="E1782">
        <v>211</v>
      </c>
      <c r="F1782" s="1">
        <f>VLOOKUP(jablka5[[#This Row],[Nazwa]],cennik[],2,0) * jablka5[[#This Row],[sprzedaż]]</f>
        <v>675.2</v>
      </c>
      <c r="G1782" s="1">
        <f>IF(jablka5[[#This Row],[NIP]]=D1781,jablka5[[#This Row],[sprzedaż]]+G1781,jablka5[[#This Row],[sprzedaż]])</f>
        <v>11899</v>
      </c>
      <c r="H1782" s="1">
        <f>IF(jablka5[[#This Row],[dot sprz]]&lt;15000,0,IF(jablka5[[#This Row],[dot sprz]]&lt;20000,5,10))</f>
        <v>0</v>
      </c>
      <c r="I1782" s="1">
        <f>jablka5[[#This Row],[rabat]]*jablka5[[#This Row],[sprzedaż]]/100</f>
        <v>0</v>
      </c>
    </row>
    <row r="1783" spans="1:9" x14ac:dyDescent="0.25">
      <c r="A1783" s="2">
        <v>44826</v>
      </c>
      <c r="B1783" s="1" t="s">
        <v>14</v>
      </c>
      <c r="C1783" s="1" t="s">
        <v>67</v>
      </c>
      <c r="D1783" s="1" t="s">
        <v>57</v>
      </c>
      <c r="E1783">
        <v>464</v>
      </c>
      <c r="F1783" s="1">
        <f>VLOOKUP(jablka5[[#This Row],[Nazwa]],cennik[],2,0) * jablka5[[#This Row],[sprzedaż]]</f>
        <v>1624</v>
      </c>
      <c r="G1783" s="1">
        <f>IF(jablka5[[#This Row],[NIP]]=D1782,jablka5[[#This Row],[sprzedaż]]+G1782,jablka5[[#This Row],[sprzedaż]])</f>
        <v>12363</v>
      </c>
      <c r="H1783" s="1">
        <f>IF(jablka5[[#This Row],[dot sprz]]&lt;15000,0,IF(jablka5[[#This Row],[dot sprz]]&lt;20000,5,10))</f>
        <v>0</v>
      </c>
      <c r="I1783" s="1">
        <f>jablka5[[#This Row],[rabat]]*jablka5[[#This Row],[sprzedaż]]/100</f>
        <v>0</v>
      </c>
    </row>
    <row r="1784" spans="1:9" x14ac:dyDescent="0.25">
      <c r="A1784" s="2">
        <v>44841</v>
      </c>
      <c r="B1784" s="1" t="s">
        <v>9</v>
      </c>
      <c r="C1784" s="1" t="s">
        <v>67</v>
      </c>
      <c r="D1784" s="1" t="s">
        <v>57</v>
      </c>
      <c r="E1784">
        <v>425</v>
      </c>
      <c r="F1784" s="1">
        <f>VLOOKUP(jablka5[[#This Row],[Nazwa]],cennik[],2,0) * jablka5[[#This Row],[sprzedaż]]</f>
        <v>1062.5</v>
      </c>
      <c r="G1784" s="1">
        <f>IF(jablka5[[#This Row],[NIP]]=D1783,jablka5[[#This Row],[sprzedaż]]+G1783,jablka5[[#This Row],[sprzedaż]])</f>
        <v>12788</v>
      </c>
      <c r="H1784" s="1">
        <f>IF(jablka5[[#This Row],[dot sprz]]&lt;15000,0,IF(jablka5[[#This Row],[dot sprz]]&lt;20000,5,10))</f>
        <v>0</v>
      </c>
      <c r="I1784" s="1">
        <f>jablka5[[#This Row],[rabat]]*jablka5[[#This Row],[sprzedaż]]/100</f>
        <v>0</v>
      </c>
    </row>
    <row r="1785" spans="1:9" x14ac:dyDescent="0.25">
      <c r="A1785" s="2">
        <v>44844</v>
      </c>
      <c r="B1785" s="1" t="s">
        <v>9</v>
      </c>
      <c r="C1785" s="1" t="s">
        <v>67</v>
      </c>
      <c r="D1785" s="1" t="s">
        <v>57</v>
      </c>
      <c r="E1785">
        <v>385</v>
      </c>
      <c r="F1785" s="1">
        <f>VLOOKUP(jablka5[[#This Row],[Nazwa]],cennik[],2,0) * jablka5[[#This Row],[sprzedaż]]</f>
        <v>962.5</v>
      </c>
      <c r="G1785" s="1">
        <f>IF(jablka5[[#This Row],[NIP]]=D1784,jablka5[[#This Row],[sprzedaż]]+G1784,jablka5[[#This Row],[sprzedaż]])</f>
        <v>13173</v>
      </c>
      <c r="H1785" s="1">
        <f>IF(jablka5[[#This Row],[dot sprz]]&lt;15000,0,IF(jablka5[[#This Row],[dot sprz]]&lt;20000,5,10))</f>
        <v>0</v>
      </c>
      <c r="I1785" s="1">
        <f>jablka5[[#This Row],[rabat]]*jablka5[[#This Row],[sprzedaż]]/100</f>
        <v>0</v>
      </c>
    </row>
    <row r="1786" spans="1:9" x14ac:dyDescent="0.25">
      <c r="A1786" s="2">
        <v>44851</v>
      </c>
      <c r="B1786" s="1" t="s">
        <v>3</v>
      </c>
      <c r="C1786" s="1" t="s">
        <v>67</v>
      </c>
      <c r="D1786" s="1" t="s">
        <v>57</v>
      </c>
      <c r="E1786">
        <v>251</v>
      </c>
      <c r="F1786" s="1">
        <f>VLOOKUP(jablka5[[#This Row],[Nazwa]],cennik[],2,0) * jablka5[[#This Row],[sprzedaż]]</f>
        <v>803.2</v>
      </c>
      <c r="G1786" s="1">
        <f>IF(jablka5[[#This Row],[NIP]]=D1785,jablka5[[#This Row],[sprzedaż]]+G1785,jablka5[[#This Row],[sprzedaż]])</f>
        <v>13424</v>
      </c>
      <c r="H1786" s="1">
        <f>IF(jablka5[[#This Row],[dot sprz]]&lt;15000,0,IF(jablka5[[#This Row],[dot sprz]]&lt;20000,5,10))</f>
        <v>0</v>
      </c>
      <c r="I1786" s="1">
        <f>jablka5[[#This Row],[rabat]]*jablka5[[#This Row],[sprzedaż]]/100</f>
        <v>0</v>
      </c>
    </row>
    <row r="1787" spans="1:9" x14ac:dyDescent="0.25">
      <c r="A1787" s="2">
        <v>44862</v>
      </c>
      <c r="B1787" s="1" t="s">
        <v>14</v>
      </c>
      <c r="C1787" s="1" t="s">
        <v>67</v>
      </c>
      <c r="D1787" s="1" t="s">
        <v>57</v>
      </c>
      <c r="E1787">
        <v>67</v>
      </c>
      <c r="F1787" s="1">
        <f>VLOOKUP(jablka5[[#This Row],[Nazwa]],cennik[],2,0) * jablka5[[#This Row],[sprzedaż]]</f>
        <v>234.5</v>
      </c>
      <c r="G1787" s="1">
        <f>IF(jablka5[[#This Row],[NIP]]=D1786,jablka5[[#This Row],[sprzedaż]]+G1786,jablka5[[#This Row],[sprzedaż]])</f>
        <v>13491</v>
      </c>
      <c r="H1787" s="1">
        <f>IF(jablka5[[#This Row],[dot sprz]]&lt;15000,0,IF(jablka5[[#This Row],[dot sprz]]&lt;20000,5,10))</f>
        <v>0</v>
      </c>
      <c r="I1787" s="1">
        <f>jablka5[[#This Row],[rabat]]*jablka5[[#This Row],[sprzedaż]]/100</f>
        <v>0</v>
      </c>
    </row>
    <row r="1788" spans="1:9" x14ac:dyDescent="0.25">
      <c r="A1788" s="2">
        <v>44883</v>
      </c>
      <c r="B1788" s="1" t="s">
        <v>11</v>
      </c>
      <c r="C1788" s="1" t="s">
        <v>67</v>
      </c>
      <c r="D1788" s="1" t="s">
        <v>57</v>
      </c>
      <c r="E1788">
        <v>239</v>
      </c>
      <c r="F1788" s="1">
        <f>VLOOKUP(jablka5[[#This Row],[Nazwa]],cennik[],2,0) * jablka5[[#This Row],[sprzedaż]]</f>
        <v>597.5</v>
      </c>
      <c r="G1788" s="1">
        <f>IF(jablka5[[#This Row],[NIP]]=D1787,jablka5[[#This Row],[sprzedaż]]+G1787,jablka5[[#This Row],[sprzedaż]])</f>
        <v>13730</v>
      </c>
      <c r="H1788" s="1">
        <f>IF(jablka5[[#This Row],[dot sprz]]&lt;15000,0,IF(jablka5[[#This Row],[dot sprz]]&lt;20000,5,10))</f>
        <v>0</v>
      </c>
      <c r="I1788" s="1">
        <f>jablka5[[#This Row],[rabat]]*jablka5[[#This Row],[sprzedaż]]/100</f>
        <v>0</v>
      </c>
    </row>
    <row r="1789" spans="1:9" x14ac:dyDescent="0.25">
      <c r="A1789" s="2">
        <v>44883</v>
      </c>
      <c r="B1789" s="1" t="s">
        <v>14</v>
      </c>
      <c r="C1789" s="1" t="s">
        <v>67</v>
      </c>
      <c r="D1789" s="1" t="s">
        <v>57</v>
      </c>
      <c r="E1789">
        <v>388</v>
      </c>
      <c r="F1789" s="1">
        <f>VLOOKUP(jablka5[[#This Row],[Nazwa]],cennik[],2,0) * jablka5[[#This Row],[sprzedaż]]</f>
        <v>1358</v>
      </c>
      <c r="G1789" s="1">
        <f>IF(jablka5[[#This Row],[NIP]]=D1788,jablka5[[#This Row],[sprzedaż]]+G1788,jablka5[[#This Row],[sprzedaż]])</f>
        <v>14118</v>
      </c>
      <c r="H1789" s="1">
        <f>IF(jablka5[[#This Row],[dot sprz]]&lt;15000,0,IF(jablka5[[#This Row],[dot sprz]]&lt;20000,5,10))</f>
        <v>0</v>
      </c>
      <c r="I1789" s="1">
        <f>jablka5[[#This Row],[rabat]]*jablka5[[#This Row],[sprzedaż]]/100</f>
        <v>0</v>
      </c>
    </row>
    <row r="1790" spans="1:9" x14ac:dyDescent="0.25">
      <c r="A1790" s="2">
        <v>44889</v>
      </c>
      <c r="B1790" s="1" t="s">
        <v>14</v>
      </c>
      <c r="C1790" s="1" t="s">
        <v>67</v>
      </c>
      <c r="D1790" s="1" t="s">
        <v>57</v>
      </c>
      <c r="E1790">
        <v>215</v>
      </c>
      <c r="F1790" s="1">
        <f>VLOOKUP(jablka5[[#This Row],[Nazwa]],cennik[],2,0) * jablka5[[#This Row],[sprzedaż]]</f>
        <v>752.5</v>
      </c>
      <c r="G1790" s="1">
        <f>IF(jablka5[[#This Row],[NIP]]=D1789,jablka5[[#This Row],[sprzedaż]]+G1789,jablka5[[#This Row],[sprzedaż]])</f>
        <v>14333</v>
      </c>
      <c r="H1790" s="1">
        <f>IF(jablka5[[#This Row],[dot sprz]]&lt;15000,0,IF(jablka5[[#This Row],[dot sprz]]&lt;20000,5,10))</f>
        <v>0</v>
      </c>
      <c r="I1790" s="1">
        <f>jablka5[[#This Row],[rabat]]*jablka5[[#This Row],[sprzedaż]]/100</f>
        <v>0</v>
      </c>
    </row>
    <row r="1791" spans="1:9" x14ac:dyDescent="0.25">
      <c r="A1791" s="2">
        <v>44891</v>
      </c>
      <c r="B1791" s="1" t="s">
        <v>14</v>
      </c>
      <c r="C1791" s="1" t="s">
        <v>67</v>
      </c>
      <c r="D1791" s="1" t="s">
        <v>57</v>
      </c>
      <c r="E1791">
        <v>248</v>
      </c>
      <c r="F1791" s="1">
        <f>VLOOKUP(jablka5[[#This Row],[Nazwa]],cennik[],2,0) * jablka5[[#This Row],[sprzedaż]]</f>
        <v>868</v>
      </c>
      <c r="G1791" s="1">
        <f>IF(jablka5[[#This Row],[NIP]]=D1790,jablka5[[#This Row],[sprzedaż]]+G1790,jablka5[[#This Row],[sprzedaż]])</f>
        <v>14581</v>
      </c>
      <c r="H1791" s="1">
        <f>IF(jablka5[[#This Row],[dot sprz]]&lt;15000,0,IF(jablka5[[#This Row],[dot sprz]]&lt;20000,5,10))</f>
        <v>0</v>
      </c>
      <c r="I1791" s="1">
        <f>jablka5[[#This Row],[rabat]]*jablka5[[#This Row],[sprzedaż]]/100</f>
        <v>0</v>
      </c>
    </row>
    <row r="1792" spans="1:9" x14ac:dyDescent="0.25">
      <c r="A1792" s="2">
        <v>44893</v>
      </c>
      <c r="B1792" s="1" t="s">
        <v>3</v>
      </c>
      <c r="C1792" s="1" t="s">
        <v>67</v>
      </c>
      <c r="D1792" s="1" t="s">
        <v>57</v>
      </c>
      <c r="E1792">
        <v>345</v>
      </c>
      <c r="F1792" s="1">
        <f>VLOOKUP(jablka5[[#This Row],[Nazwa]],cennik[],2,0) * jablka5[[#This Row],[sprzedaż]]</f>
        <v>1104</v>
      </c>
      <c r="G1792" s="1">
        <f>IF(jablka5[[#This Row],[NIP]]=D1791,jablka5[[#This Row],[sprzedaż]]+G1791,jablka5[[#This Row],[sprzedaż]])</f>
        <v>14926</v>
      </c>
      <c r="H1792" s="1">
        <f>IF(jablka5[[#This Row],[dot sprz]]&lt;15000,0,IF(jablka5[[#This Row],[dot sprz]]&lt;20000,5,10))</f>
        <v>0</v>
      </c>
      <c r="I1792" s="1">
        <f>jablka5[[#This Row],[rabat]]*jablka5[[#This Row],[sprzedaż]]/100</f>
        <v>0</v>
      </c>
    </row>
    <row r="1793" spans="1:9" x14ac:dyDescent="0.25">
      <c r="A1793" s="2">
        <v>44585</v>
      </c>
      <c r="B1793" s="1" t="s">
        <v>8</v>
      </c>
      <c r="C1793" s="1" t="s">
        <v>16</v>
      </c>
      <c r="D1793" s="1" t="s">
        <v>64</v>
      </c>
      <c r="E1793">
        <v>305</v>
      </c>
      <c r="F1793" s="1">
        <f>VLOOKUP(jablka5[[#This Row],[Nazwa]],cennik[],2,0) * jablka5[[#This Row],[sprzedaż]]</f>
        <v>1067.5</v>
      </c>
      <c r="G1793" s="1">
        <f>IF(jablka5[[#This Row],[NIP]]=D1792,jablka5[[#This Row],[sprzedaż]]+G1792,jablka5[[#This Row],[sprzedaż]])</f>
        <v>305</v>
      </c>
      <c r="H1793" s="1">
        <f>IF(jablka5[[#This Row],[dot sprz]]&lt;15000,0,IF(jablka5[[#This Row],[dot sprz]]&lt;20000,5,10))</f>
        <v>0</v>
      </c>
      <c r="I1793" s="1">
        <f>jablka5[[#This Row],[rabat]]*jablka5[[#This Row],[sprzedaż]]/100</f>
        <v>0</v>
      </c>
    </row>
    <row r="1794" spans="1:9" x14ac:dyDescent="0.25">
      <c r="A1794" s="2">
        <v>44599</v>
      </c>
      <c r="B1794" s="1" t="s">
        <v>4</v>
      </c>
      <c r="C1794" s="1" t="s">
        <v>16</v>
      </c>
      <c r="D1794" s="1" t="s">
        <v>64</v>
      </c>
      <c r="E1794">
        <v>602</v>
      </c>
      <c r="F1794" s="1">
        <f>VLOOKUP(jablka5[[#This Row],[Nazwa]],cennik[],2,0) * jablka5[[#This Row],[sprzedaż]]</f>
        <v>2046.8</v>
      </c>
      <c r="G1794" s="1">
        <f>IF(jablka5[[#This Row],[NIP]]=D1793,jablka5[[#This Row],[sprzedaż]]+G1793,jablka5[[#This Row],[sprzedaż]])</f>
        <v>907</v>
      </c>
      <c r="H1794" s="1">
        <f>IF(jablka5[[#This Row],[dot sprz]]&lt;15000,0,IF(jablka5[[#This Row],[dot sprz]]&lt;20000,5,10))</f>
        <v>0</v>
      </c>
      <c r="I1794" s="1">
        <f>jablka5[[#This Row],[rabat]]*jablka5[[#This Row],[sprzedaż]]/100</f>
        <v>0</v>
      </c>
    </row>
    <row r="1795" spans="1:9" x14ac:dyDescent="0.25">
      <c r="A1795" s="2">
        <v>44631</v>
      </c>
      <c r="B1795" s="1" t="s">
        <v>8</v>
      </c>
      <c r="C1795" s="1" t="s">
        <v>16</v>
      </c>
      <c r="D1795" s="1" t="s">
        <v>64</v>
      </c>
      <c r="E1795">
        <v>614</v>
      </c>
      <c r="F1795" s="1">
        <f>VLOOKUP(jablka5[[#This Row],[Nazwa]],cennik[],2,0) * jablka5[[#This Row],[sprzedaż]]</f>
        <v>2149</v>
      </c>
      <c r="G1795" s="1">
        <f>IF(jablka5[[#This Row],[NIP]]=D1794,jablka5[[#This Row],[sprzedaż]]+G1794,jablka5[[#This Row],[sprzedaż]])</f>
        <v>1521</v>
      </c>
      <c r="H1795" s="1">
        <f>IF(jablka5[[#This Row],[dot sprz]]&lt;15000,0,IF(jablka5[[#This Row],[dot sprz]]&lt;20000,5,10))</f>
        <v>0</v>
      </c>
      <c r="I1795" s="1">
        <f>jablka5[[#This Row],[rabat]]*jablka5[[#This Row],[sprzedaż]]/100</f>
        <v>0</v>
      </c>
    </row>
    <row r="1796" spans="1:9" x14ac:dyDescent="0.25">
      <c r="A1796" s="2">
        <v>44669</v>
      </c>
      <c r="B1796" s="1" t="s">
        <v>4</v>
      </c>
      <c r="C1796" s="1" t="s">
        <v>16</v>
      </c>
      <c r="D1796" s="1" t="s">
        <v>64</v>
      </c>
      <c r="E1796">
        <v>453</v>
      </c>
      <c r="F1796" s="1">
        <f>VLOOKUP(jablka5[[#This Row],[Nazwa]],cennik[],2,0) * jablka5[[#This Row],[sprzedaż]]</f>
        <v>1540.2</v>
      </c>
      <c r="G1796" s="1">
        <f>IF(jablka5[[#This Row],[NIP]]=D1795,jablka5[[#This Row],[sprzedaż]]+G1795,jablka5[[#This Row],[sprzedaż]])</f>
        <v>1974</v>
      </c>
      <c r="H1796" s="1">
        <f>IF(jablka5[[#This Row],[dot sprz]]&lt;15000,0,IF(jablka5[[#This Row],[dot sprz]]&lt;20000,5,10))</f>
        <v>0</v>
      </c>
      <c r="I1796" s="1">
        <f>jablka5[[#This Row],[rabat]]*jablka5[[#This Row],[sprzedaż]]/100</f>
        <v>0</v>
      </c>
    </row>
    <row r="1797" spans="1:9" x14ac:dyDescent="0.25">
      <c r="A1797" s="2">
        <v>44678</v>
      </c>
      <c r="B1797" s="1" t="s">
        <v>2</v>
      </c>
      <c r="C1797" s="1" t="s">
        <v>16</v>
      </c>
      <c r="D1797" s="1" t="s">
        <v>64</v>
      </c>
      <c r="E1797">
        <v>150</v>
      </c>
      <c r="F1797" s="1">
        <f>VLOOKUP(jablka5[[#This Row],[Nazwa]],cennik[],2,0) * jablka5[[#This Row],[sprzedaż]]</f>
        <v>480</v>
      </c>
      <c r="G1797" s="1">
        <f>IF(jablka5[[#This Row],[NIP]]=D1796,jablka5[[#This Row],[sprzedaż]]+G1796,jablka5[[#This Row],[sprzedaż]])</f>
        <v>2124</v>
      </c>
      <c r="H1797" s="1">
        <f>IF(jablka5[[#This Row],[dot sprz]]&lt;15000,0,IF(jablka5[[#This Row],[dot sprz]]&lt;20000,5,10))</f>
        <v>0</v>
      </c>
      <c r="I1797" s="1">
        <f>jablka5[[#This Row],[rabat]]*jablka5[[#This Row],[sprzedaż]]/100</f>
        <v>0</v>
      </c>
    </row>
    <row r="1798" spans="1:9" x14ac:dyDescent="0.25">
      <c r="A1798" s="2">
        <v>44678</v>
      </c>
      <c r="B1798" s="1" t="s">
        <v>15</v>
      </c>
      <c r="C1798" s="1" t="s">
        <v>16</v>
      </c>
      <c r="D1798" s="1" t="s">
        <v>64</v>
      </c>
      <c r="E1798">
        <v>253</v>
      </c>
      <c r="F1798" s="1">
        <f>VLOOKUP(jablka5[[#This Row],[Nazwa]],cennik[],2,0) * jablka5[[#This Row],[sprzedaż]]</f>
        <v>607.19999999999993</v>
      </c>
      <c r="G1798" s="1">
        <f>IF(jablka5[[#This Row],[NIP]]=D1797,jablka5[[#This Row],[sprzedaż]]+G1797,jablka5[[#This Row],[sprzedaż]])</f>
        <v>2377</v>
      </c>
      <c r="H1798" s="1">
        <f>IF(jablka5[[#This Row],[dot sprz]]&lt;15000,0,IF(jablka5[[#This Row],[dot sprz]]&lt;20000,5,10))</f>
        <v>0</v>
      </c>
      <c r="I1798" s="1">
        <f>jablka5[[#This Row],[rabat]]*jablka5[[#This Row],[sprzedaż]]/100</f>
        <v>0</v>
      </c>
    </row>
    <row r="1799" spans="1:9" x14ac:dyDescent="0.25">
      <c r="A1799" s="2">
        <v>44688</v>
      </c>
      <c r="B1799" s="1" t="s">
        <v>10</v>
      </c>
      <c r="C1799" s="1" t="s">
        <v>16</v>
      </c>
      <c r="D1799" s="1" t="s">
        <v>64</v>
      </c>
      <c r="E1799">
        <v>73</v>
      </c>
      <c r="F1799" s="1">
        <f>VLOOKUP(jablka5[[#This Row],[Nazwa]],cennik[],2,0) * jablka5[[#This Row],[sprzedaż]]</f>
        <v>248.2</v>
      </c>
      <c r="G1799" s="1">
        <f>IF(jablka5[[#This Row],[NIP]]=D1798,jablka5[[#This Row],[sprzedaż]]+G1798,jablka5[[#This Row],[sprzedaż]])</f>
        <v>2450</v>
      </c>
      <c r="H1799" s="1">
        <f>IF(jablka5[[#This Row],[dot sprz]]&lt;15000,0,IF(jablka5[[#This Row],[dot sprz]]&lt;20000,5,10))</f>
        <v>0</v>
      </c>
      <c r="I1799" s="1">
        <f>jablka5[[#This Row],[rabat]]*jablka5[[#This Row],[sprzedaż]]/100</f>
        <v>0</v>
      </c>
    </row>
    <row r="1800" spans="1:9" x14ac:dyDescent="0.25">
      <c r="A1800" s="2">
        <v>44690</v>
      </c>
      <c r="B1800" s="1" t="s">
        <v>10</v>
      </c>
      <c r="C1800" s="1" t="s">
        <v>16</v>
      </c>
      <c r="D1800" s="1" t="s">
        <v>64</v>
      </c>
      <c r="E1800">
        <v>401</v>
      </c>
      <c r="F1800" s="1">
        <f>VLOOKUP(jablka5[[#This Row],[Nazwa]],cennik[],2,0) * jablka5[[#This Row],[sprzedaż]]</f>
        <v>1363.3999999999999</v>
      </c>
      <c r="G1800" s="1">
        <f>IF(jablka5[[#This Row],[NIP]]=D1799,jablka5[[#This Row],[sprzedaż]]+G1799,jablka5[[#This Row],[sprzedaż]])</f>
        <v>2851</v>
      </c>
      <c r="H1800" s="1">
        <f>IF(jablka5[[#This Row],[dot sprz]]&lt;15000,0,IF(jablka5[[#This Row],[dot sprz]]&lt;20000,5,10))</f>
        <v>0</v>
      </c>
      <c r="I1800" s="1">
        <f>jablka5[[#This Row],[rabat]]*jablka5[[#This Row],[sprzedaż]]/100</f>
        <v>0</v>
      </c>
    </row>
    <row r="1801" spans="1:9" x14ac:dyDescent="0.25">
      <c r="A1801" s="2">
        <v>44691</v>
      </c>
      <c r="B1801" s="1" t="s">
        <v>10</v>
      </c>
      <c r="C1801" s="1" t="s">
        <v>16</v>
      </c>
      <c r="D1801" s="1" t="s">
        <v>64</v>
      </c>
      <c r="E1801">
        <v>347</v>
      </c>
      <c r="F1801" s="1">
        <f>VLOOKUP(jablka5[[#This Row],[Nazwa]],cennik[],2,0) * jablka5[[#This Row],[sprzedaż]]</f>
        <v>1179.8</v>
      </c>
      <c r="G1801" s="1">
        <f>IF(jablka5[[#This Row],[NIP]]=D1800,jablka5[[#This Row],[sprzedaż]]+G1800,jablka5[[#This Row],[sprzedaż]])</f>
        <v>3198</v>
      </c>
      <c r="H1801" s="1">
        <f>IF(jablka5[[#This Row],[dot sprz]]&lt;15000,0,IF(jablka5[[#This Row],[dot sprz]]&lt;20000,5,10))</f>
        <v>0</v>
      </c>
      <c r="I1801" s="1">
        <f>jablka5[[#This Row],[rabat]]*jablka5[[#This Row],[sprzedaż]]/100</f>
        <v>0</v>
      </c>
    </row>
    <row r="1802" spans="1:9" x14ac:dyDescent="0.25">
      <c r="A1802" s="2">
        <v>44697</v>
      </c>
      <c r="B1802" s="1" t="s">
        <v>4</v>
      </c>
      <c r="C1802" s="1" t="s">
        <v>16</v>
      </c>
      <c r="D1802" s="1" t="s">
        <v>64</v>
      </c>
      <c r="E1802">
        <v>397</v>
      </c>
      <c r="F1802" s="1">
        <f>VLOOKUP(jablka5[[#This Row],[Nazwa]],cennik[],2,0) * jablka5[[#This Row],[sprzedaż]]</f>
        <v>1349.8</v>
      </c>
      <c r="G1802" s="1">
        <f>IF(jablka5[[#This Row],[NIP]]=D1801,jablka5[[#This Row],[sprzedaż]]+G1801,jablka5[[#This Row],[sprzedaż]])</f>
        <v>3595</v>
      </c>
      <c r="H1802" s="1">
        <f>IF(jablka5[[#This Row],[dot sprz]]&lt;15000,0,IF(jablka5[[#This Row],[dot sprz]]&lt;20000,5,10))</f>
        <v>0</v>
      </c>
      <c r="I1802" s="1">
        <f>jablka5[[#This Row],[rabat]]*jablka5[[#This Row],[sprzedaż]]/100</f>
        <v>0</v>
      </c>
    </row>
    <row r="1803" spans="1:9" x14ac:dyDescent="0.25">
      <c r="A1803" s="2">
        <v>44701</v>
      </c>
      <c r="B1803" s="1" t="s">
        <v>7</v>
      </c>
      <c r="C1803" s="1" t="s">
        <v>16</v>
      </c>
      <c r="D1803" s="1" t="s">
        <v>64</v>
      </c>
      <c r="E1803">
        <v>339</v>
      </c>
      <c r="F1803" s="1">
        <f>VLOOKUP(jablka5[[#This Row],[Nazwa]],cennik[],2,0) * jablka5[[#This Row],[sprzedaż]]</f>
        <v>1152.5999999999999</v>
      </c>
      <c r="G1803" s="1">
        <f>IF(jablka5[[#This Row],[NIP]]=D1802,jablka5[[#This Row],[sprzedaż]]+G1802,jablka5[[#This Row],[sprzedaż]])</f>
        <v>3934</v>
      </c>
      <c r="H1803" s="1">
        <f>IF(jablka5[[#This Row],[dot sprz]]&lt;15000,0,IF(jablka5[[#This Row],[dot sprz]]&lt;20000,5,10))</f>
        <v>0</v>
      </c>
      <c r="I1803" s="1">
        <f>jablka5[[#This Row],[rabat]]*jablka5[[#This Row],[sprzedaż]]/100</f>
        <v>0</v>
      </c>
    </row>
    <row r="1804" spans="1:9" x14ac:dyDescent="0.25">
      <c r="A1804" s="2">
        <v>44720</v>
      </c>
      <c r="B1804" s="1" t="s">
        <v>13</v>
      </c>
      <c r="C1804" s="1" t="s">
        <v>68</v>
      </c>
      <c r="D1804" s="1" t="s">
        <v>64</v>
      </c>
      <c r="E1804">
        <v>201</v>
      </c>
      <c r="F1804" s="1">
        <f>VLOOKUP(jablka5[[#This Row],[Nazwa]],cennik[],2,0) * jablka5[[#This Row],[sprzedaż]]</f>
        <v>643.20000000000005</v>
      </c>
      <c r="G1804" s="1">
        <f>IF(jablka5[[#This Row],[NIP]]=D1803,jablka5[[#This Row],[sprzedaż]]+G1803,jablka5[[#This Row],[sprzedaż]])</f>
        <v>4135</v>
      </c>
      <c r="H1804" s="1">
        <f>IF(jablka5[[#This Row],[dot sprz]]&lt;15000,0,IF(jablka5[[#This Row],[dot sprz]]&lt;20000,5,10))</f>
        <v>0</v>
      </c>
      <c r="I1804" s="1">
        <f>jablka5[[#This Row],[rabat]]*jablka5[[#This Row],[sprzedaż]]/100</f>
        <v>0</v>
      </c>
    </row>
    <row r="1805" spans="1:9" x14ac:dyDescent="0.25">
      <c r="A1805" s="2">
        <v>44720</v>
      </c>
      <c r="B1805" s="1" t="s">
        <v>12</v>
      </c>
      <c r="C1805" s="1" t="s">
        <v>68</v>
      </c>
      <c r="D1805" s="1" t="s">
        <v>64</v>
      </c>
      <c r="E1805">
        <v>169</v>
      </c>
      <c r="F1805" s="1">
        <f>VLOOKUP(jablka5[[#This Row],[Nazwa]],cennik[],2,0) * jablka5[[#This Row],[sprzedaż]]</f>
        <v>456.3</v>
      </c>
      <c r="G1805" s="1">
        <f>IF(jablka5[[#This Row],[NIP]]=D1804,jablka5[[#This Row],[sprzedaż]]+G1804,jablka5[[#This Row],[sprzedaż]])</f>
        <v>4304</v>
      </c>
      <c r="H1805" s="1">
        <f>IF(jablka5[[#This Row],[dot sprz]]&lt;15000,0,IF(jablka5[[#This Row],[dot sprz]]&lt;20000,5,10))</f>
        <v>0</v>
      </c>
      <c r="I1805" s="1">
        <f>jablka5[[#This Row],[rabat]]*jablka5[[#This Row],[sprzedaż]]/100</f>
        <v>0</v>
      </c>
    </row>
    <row r="1806" spans="1:9" x14ac:dyDescent="0.25">
      <c r="A1806" s="2">
        <v>44721</v>
      </c>
      <c r="B1806" s="1" t="s">
        <v>14</v>
      </c>
      <c r="C1806" s="1" t="s">
        <v>67</v>
      </c>
      <c r="D1806" s="1" t="s">
        <v>64</v>
      </c>
      <c r="E1806">
        <v>483</v>
      </c>
      <c r="F1806" s="1">
        <f>VLOOKUP(jablka5[[#This Row],[Nazwa]],cennik[],2,0) * jablka5[[#This Row],[sprzedaż]]</f>
        <v>1690.5</v>
      </c>
      <c r="G1806" s="1">
        <f>IF(jablka5[[#This Row],[NIP]]=D1805,jablka5[[#This Row],[sprzedaż]]+G1805,jablka5[[#This Row],[sprzedaż]])</f>
        <v>4787</v>
      </c>
      <c r="H1806" s="1">
        <f>IF(jablka5[[#This Row],[dot sprz]]&lt;15000,0,IF(jablka5[[#This Row],[dot sprz]]&lt;20000,5,10))</f>
        <v>0</v>
      </c>
      <c r="I1806" s="1">
        <f>jablka5[[#This Row],[rabat]]*jablka5[[#This Row],[sprzedaż]]/100</f>
        <v>0</v>
      </c>
    </row>
    <row r="1807" spans="1:9" x14ac:dyDescent="0.25">
      <c r="A1807" s="2">
        <v>44732</v>
      </c>
      <c r="B1807" s="1" t="s">
        <v>12</v>
      </c>
      <c r="C1807" s="1" t="s">
        <v>68</v>
      </c>
      <c r="D1807" s="1" t="s">
        <v>64</v>
      </c>
      <c r="E1807">
        <v>14</v>
      </c>
      <c r="F1807" s="1">
        <f>VLOOKUP(jablka5[[#This Row],[Nazwa]],cennik[],2,0) * jablka5[[#This Row],[sprzedaż]]</f>
        <v>37.800000000000004</v>
      </c>
      <c r="G1807" s="1">
        <f>IF(jablka5[[#This Row],[NIP]]=D1806,jablka5[[#This Row],[sprzedaż]]+G1806,jablka5[[#This Row],[sprzedaż]])</f>
        <v>4801</v>
      </c>
      <c r="H1807" s="1">
        <f>IF(jablka5[[#This Row],[dot sprz]]&lt;15000,0,IF(jablka5[[#This Row],[dot sprz]]&lt;20000,5,10))</f>
        <v>0</v>
      </c>
      <c r="I1807" s="1">
        <f>jablka5[[#This Row],[rabat]]*jablka5[[#This Row],[sprzedaż]]/100</f>
        <v>0</v>
      </c>
    </row>
    <row r="1808" spans="1:9" x14ac:dyDescent="0.25">
      <c r="A1808" s="2">
        <v>44736</v>
      </c>
      <c r="B1808" s="1" t="s">
        <v>12</v>
      </c>
      <c r="C1808" s="1" t="s">
        <v>68</v>
      </c>
      <c r="D1808" s="1" t="s">
        <v>64</v>
      </c>
      <c r="E1808">
        <v>473</v>
      </c>
      <c r="F1808" s="1">
        <f>VLOOKUP(jablka5[[#This Row],[Nazwa]],cennik[],2,0) * jablka5[[#This Row],[sprzedaż]]</f>
        <v>1277.1000000000001</v>
      </c>
      <c r="G1808" s="1">
        <f>IF(jablka5[[#This Row],[NIP]]=D1807,jablka5[[#This Row],[sprzedaż]]+G1807,jablka5[[#This Row],[sprzedaż]])</f>
        <v>5274</v>
      </c>
      <c r="H1808" s="1">
        <f>IF(jablka5[[#This Row],[dot sprz]]&lt;15000,0,IF(jablka5[[#This Row],[dot sprz]]&lt;20000,5,10))</f>
        <v>0</v>
      </c>
      <c r="I1808" s="1">
        <f>jablka5[[#This Row],[rabat]]*jablka5[[#This Row],[sprzedaż]]/100</f>
        <v>0</v>
      </c>
    </row>
    <row r="1809" spans="1:9" x14ac:dyDescent="0.25">
      <c r="A1809" s="2">
        <v>44737</v>
      </c>
      <c r="B1809" s="1" t="s">
        <v>14</v>
      </c>
      <c r="C1809" s="1" t="s">
        <v>67</v>
      </c>
      <c r="D1809" s="1" t="s">
        <v>64</v>
      </c>
      <c r="E1809">
        <v>387</v>
      </c>
      <c r="F1809" s="1">
        <f>VLOOKUP(jablka5[[#This Row],[Nazwa]],cennik[],2,0) * jablka5[[#This Row],[sprzedaż]]</f>
        <v>1354.5</v>
      </c>
      <c r="G1809" s="1">
        <f>IF(jablka5[[#This Row],[NIP]]=D1808,jablka5[[#This Row],[sprzedaż]]+G1808,jablka5[[#This Row],[sprzedaż]])</f>
        <v>5661</v>
      </c>
      <c r="H1809" s="1">
        <f>IF(jablka5[[#This Row],[dot sprz]]&lt;15000,0,IF(jablka5[[#This Row],[dot sprz]]&lt;20000,5,10))</f>
        <v>0</v>
      </c>
      <c r="I1809" s="1">
        <f>jablka5[[#This Row],[rabat]]*jablka5[[#This Row],[sprzedaż]]/100</f>
        <v>0</v>
      </c>
    </row>
    <row r="1810" spans="1:9" x14ac:dyDescent="0.25">
      <c r="A1810" s="2">
        <v>44748</v>
      </c>
      <c r="B1810" s="1" t="s">
        <v>14</v>
      </c>
      <c r="C1810" s="1" t="s">
        <v>67</v>
      </c>
      <c r="D1810" s="1" t="s">
        <v>64</v>
      </c>
      <c r="E1810">
        <v>60</v>
      </c>
      <c r="F1810" s="1">
        <f>VLOOKUP(jablka5[[#This Row],[Nazwa]],cennik[],2,0) * jablka5[[#This Row],[sprzedaż]]</f>
        <v>210</v>
      </c>
      <c r="G1810" s="1">
        <f>IF(jablka5[[#This Row],[NIP]]=D1809,jablka5[[#This Row],[sprzedaż]]+G1809,jablka5[[#This Row],[sprzedaż]])</f>
        <v>5721</v>
      </c>
      <c r="H1810" s="1">
        <f>IF(jablka5[[#This Row],[dot sprz]]&lt;15000,0,IF(jablka5[[#This Row],[dot sprz]]&lt;20000,5,10))</f>
        <v>0</v>
      </c>
      <c r="I1810" s="1">
        <f>jablka5[[#This Row],[rabat]]*jablka5[[#This Row],[sprzedaż]]/100</f>
        <v>0</v>
      </c>
    </row>
    <row r="1811" spans="1:9" x14ac:dyDescent="0.25">
      <c r="A1811" s="2">
        <v>44751</v>
      </c>
      <c r="B1811" s="1" t="s">
        <v>14</v>
      </c>
      <c r="C1811" s="1" t="s">
        <v>67</v>
      </c>
      <c r="D1811" s="1" t="s">
        <v>64</v>
      </c>
      <c r="E1811">
        <v>215</v>
      </c>
      <c r="F1811" s="1">
        <f>VLOOKUP(jablka5[[#This Row],[Nazwa]],cennik[],2,0) * jablka5[[#This Row],[sprzedaż]]</f>
        <v>752.5</v>
      </c>
      <c r="G1811" s="1">
        <f>IF(jablka5[[#This Row],[NIP]]=D1810,jablka5[[#This Row],[sprzedaż]]+G1810,jablka5[[#This Row],[sprzedaż]])</f>
        <v>5936</v>
      </c>
      <c r="H1811" s="1">
        <f>IF(jablka5[[#This Row],[dot sprz]]&lt;15000,0,IF(jablka5[[#This Row],[dot sprz]]&lt;20000,5,10))</f>
        <v>0</v>
      </c>
      <c r="I1811" s="1">
        <f>jablka5[[#This Row],[rabat]]*jablka5[[#This Row],[sprzedaż]]/100</f>
        <v>0</v>
      </c>
    </row>
    <row r="1812" spans="1:9" x14ac:dyDescent="0.25">
      <c r="A1812" s="2">
        <v>44753</v>
      </c>
      <c r="B1812" s="1" t="s">
        <v>12</v>
      </c>
      <c r="C1812" s="1" t="s">
        <v>68</v>
      </c>
      <c r="D1812" s="1" t="s">
        <v>64</v>
      </c>
      <c r="E1812">
        <v>170</v>
      </c>
      <c r="F1812" s="1">
        <f>VLOOKUP(jablka5[[#This Row],[Nazwa]],cennik[],2,0) * jablka5[[#This Row],[sprzedaż]]</f>
        <v>459.00000000000006</v>
      </c>
      <c r="G1812" s="1">
        <f>IF(jablka5[[#This Row],[NIP]]=D1811,jablka5[[#This Row],[sprzedaż]]+G1811,jablka5[[#This Row],[sprzedaż]])</f>
        <v>6106</v>
      </c>
      <c r="H1812" s="1">
        <f>IF(jablka5[[#This Row],[dot sprz]]&lt;15000,0,IF(jablka5[[#This Row],[dot sprz]]&lt;20000,5,10))</f>
        <v>0</v>
      </c>
      <c r="I1812" s="1">
        <f>jablka5[[#This Row],[rabat]]*jablka5[[#This Row],[sprzedaż]]/100</f>
        <v>0</v>
      </c>
    </row>
    <row r="1813" spans="1:9" x14ac:dyDescent="0.25">
      <c r="A1813" s="2">
        <v>44756</v>
      </c>
      <c r="B1813" s="1" t="s">
        <v>13</v>
      </c>
      <c r="C1813" s="1" t="s">
        <v>68</v>
      </c>
      <c r="D1813" s="1" t="s">
        <v>64</v>
      </c>
      <c r="E1813">
        <v>130</v>
      </c>
      <c r="F1813" s="1">
        <f>VLOOKUP(jablka5[[#This Row],[Nazwa]],cennik[],2,0) * jablka5[[#This Row],[sprzedaż]]</f>
        <v>416</v>
      </c>
      <c r="G1813" s="1">
        <f>IF(jablka5[[#This Row],[NIP]]=D1812,jablka5[[#This Row],[sprzedaż]]+G1812,jablka5[[#This Row],[sprzedaż]])</f>
        <v>6236</v>
      </c>
      <c r="H1813" s="1">
        <f>IF(jablka5[[#This Row],[dot sprz]]&lt;15000,0,IF(jablka5[[#This Row],[dot sprz]]&lt;20000,5,10))</f>
        <v>0</v>
      </c>
      <c r="I1813" s="1">
        <f>jablka5[[#This Row],[rabat]]*jablka5[[#This Row],[sprzedaż]]/100</f>
        <v>0</v>
      </c>
    </row>
    <row r="1814" spans="1:9" x14ac:dyDescent="0.25">
      <c r="A1814" s="2">
        <v>44768</v>
      </c>
      <c r="B1814" s="1" t="s">
        <v>13</v>
      </c>
      <c r="C1814" s="1" t="s">
        <v>68</v>
      </c>
      <c r="D1814" s="1" t="s">
        <v>64</v>
      </c>
      <c r="E1814">
        <v>254</v>
      </c>
      <c r="F1814" s="1">
        <f>VLOOKUP(jablka5[[#This Row],[Nazwa]],cennik[],2,0) * jablka5[[#This Row],[sprzedaż]]</f>
        <v>812.80000000000007</v>
      </c>
      <c r="G1814" s="1">
        <f>IF(jablka5[[#This Row],[NIP]]=D1813,jablka5[[#This Row],[sprzedaż]]+G1813,jablka5[[#This Row],[sprzedaż]])</f>
        <v>6490</v>
      </c>
      <c r="H1814" s="1">
        <f>IF(jablka5[[#This Row],[dot sprz]]&lt;15000,0,IF(jablka5[[#This Row],[dot sprz]]&lt;20000,5,10))</f>
        <v>0</v>
      </c>
      <c r="I1814" s="1">
        <f>jablka5[[#This Row],[rabat]]*jablka5[[#This Row],[sprzedaż]]/100</f>
        <v>0</v>
      </c>
    </row>
    <row r="1815" spans="1:9" x14ac:dyDescent="0.25">
      <c r="A1815" s="2">
        <v>44776</v>
      </c>
      <c r="B1815" s="1" t="s">
        <v>13</v>
      </c>
      <c r="C1815" s="1" t="s">
        <v>68</v>
      </c>
      <c r="D1815" s="1" t="s">
        <v>64</v>
      </c>
      <c r="E1815">
        <v>128</v>
      </c>
      <c r="F1815" s="1">
        <f>VLOOKUP(jablka5[[#This Row],[Nazwa]],cennik[],2,0) * jablka5[[#This Row],[sprzedaż]]</f>
        <v>409.6</v>
      </c>
      <c r="G1815" s="1">
        <f>IF(jablka5[[#This Row],[NIP]]=D1814,jablka5[[#This Row],[sprzedaż]]+G1814,jablka5[[#This Row],[sprzedaż]])</f>
        <v>6618</v>
      </c>
      <c r="H1815" s="1">
        <f>IF(jablka5[[#This Row],[dot sprz]]&lt;15000,0,IF(jablka5[[#This Row],[dot sprz]]&lt;20000,5,10))</f>
        <v>0</v>
      </c>
      <c r="I1815" s="1">
        <f>jablka5[[#This Row],[rabat]]*jablka5[[#This Row],[sprzedaż]]/100</f>
        <v>0</v>
      </c>
    </row>
    <row r="1816" spans="1:9" x14ac:dyDescent="0.25">
      <c r="A1816" s="2">
        <v>44779</v>
      </c>
      <c r="B1816" s="1" t="s">
        <v>14</v>
      </c>
      <c r="C1816" s="1" t="s">
        <v>67</v>
      </c>
      <c r="D1816" s="1" t="s">
        <v>64</v>
      </c>
      <c r="E1816">
        <v>337</v>
      </c>
      <c r="F1816" s="1">
        <f>VLOOKUP(jablka5[[#This Row],[Nazwa]],cennik[],2,0) * jablka5[[#This Row],[sprzedaż]]</f>
        <v>1179.5</v>
      </c>
      <c r="G1816" s="1">
        <f>IF(jablka5[[#This Row],[NIP]]=D1815,jablka5[[#This Row],[sprzedaż]]+G1815,jablka5[[#This Row],[sprzedaż]])</f>
        <v>6955</v>
      </c>
      <c r="H1816" s="1">
        <f>IF(jablka5[[#This Row],[dot sprz]]&lt;15000,0,IF(jablka5[[#This Row],[dot sprz]]&lt;20000,5,10))</f>
        <v>0</v>
      </c>
      <c r="I1816" s="1">
        <f>jablka5[[#This Row],[rabat]]*jablka5[[#This Row],[sprzedaż]]/100</f>
        <v>0</v>
      </c>
    </row>
    <row r="1817" spans="1:9" x14ac:dyDescent="0.25">
      <c r="A1817" s="2">
        <v>44781</v>
      </c>
      <c r="B1817" s="1" t="s">
        <v>14</v>
      </c>
      <c r="C1817" s="1" t="s">
        <v>67</v>
      </c>
      <c r="D1817" s="1" t="s">
        <v>64</v>
      </c>
      <c r="E1817">
        <v>424</v>
      </c>
      <c r="F1817" s="1">
        <f>VLOOKUP(jablka5[[#This Row],[Nazwa]],cennik[],2,0) * jablka5[[#This Row],[sprzedaż]]</f>
        <v>1484</v>
      </c>
      <c r="G1817" s="1">
        <f>IF(jablka5[[#This Row],[NIP]]=D1816,jablka5[[#This Row],[sprzedaż]]+G1816,jablka5[[#This Row],[sprzedaż]])</f>
        <v>7379</v>
      </c>
      <c r="H1817" s="1">
        <f>IF(jablka5[[#This Row],[dot sprz]]&lt;15000,0,IF(jablka5[[#This Row],[dot sprz]]&lt;20000,5,10))</f>
        <v>0</v>
      </c>
      <c r="I1817" s="1">
        <f>jablka5[[#This Row],[rabat]]*jablka5[[#This Row],[sprzedaż]]/100</f>
        <v>0</v>
      </c>
    </row>
    <row r="1818" spans="1:9" x14ac:dyDescent="0.25">
      <c r="A1818" s="2">
        <v>44786</v>
      </c>
      <c r="B1818" s="1" t="s">
        <v>12</v>
      </c>
      <c r="C1818" s="1" t="s">
        <v>68</v>
      </c>
      <c r="D1818" s="1" t="s">
        <v>64</v>
      </c>
      <c r="E1818">
        <v>271</v>
      </c>
      <c r="F1818" s="1">
        <f>VLOOKUP(jablka5[[#This Row],[Nazwa]],cennik[],2,0) * jablka5[[#This Row],[sprzedaż]]</f>
        <v>731.7</v>
      </c>
      <c r="G1818" s="1">
        <f>IF(jablka5[[#This Row],[NIP]]=D1817,jablka5[[#This Row],[sprzedaż]]+G1817,jablka5[[#This Row],[sprzedaż]])</f>
        <v>7650</v>
      </c>
      <c r="H1818" s="1">
        <f>IF(jablka5[[#This Row],[dot sprz]]&lt;15000,0,IF(jablka5[[#This Row],[dot sprz]]&lt;20000,5,10))</f>
        <v>0</v>
      </c>
      <c r="I1818" s="1">
        <f>jablka5[[#This Row],[rabat]]*jablka5[[#This Row],[sprzedaż]]/100</f>
        <v>0</v>
      </c>
    </row>
    <row r="1819" spans="1:9" x14ac:dyDescent="0.25">
      <c r="A1819" s="2">
        <v>44797</v>
      </c>
      <c r="B1819" s="1" t="s">
        <v>13</v>
      </c>
      <c r="C1819" s="1" t="s">
        <v>68</v>
      </c>
      <c r="D1819" s="1" t="s">
        <v>64</v>
      </c>
      <c r="E1819">
        <v>277</v>
      </c>
      <c r="F1819" s="1">
        <f>VLOOKUP(jablka5[[#This Row],[Nazwa]],cennik[],2,0) * jablka5[[#This Row],[sprzedaż]]</f>
        <v>886.40000000000009</v>
      </c>
      <c r="G1819" s="1">
        <f>IF(jablka5[[#This Row],[NIP]]=D1818,jablka5[[#This Row],[sprzedaż]]+G1818,jablka5[[#This Row],[sprzedaż]])</f>
        <v>7927</v>
      </c>
      <c r="H1819" s="1">
        <f>IF(jablka5[[#This Row],[dot sprz]]&lt;15000,0,IF(jablka5[[#This Row],[dot sprz]]&lt;20000,5,10))</f>
        <v>0</v>
      </c>
      <c r="I1819" s="1">
        <f>jablka5[[#This Row],[rabat]]*jablka5[[#This Row],[sprzedaż]]/100</f>
        <v>0</v>
      </c>
    </row>
    <row r="1820" spans="1:9" x14ac:dyDescent="0.25">
      <c r="A1820" s="2">
        <v>44799</v>
      </c>
      <c r="B1820" s="1" t="s">
        <v>14</v>
      </c>
      <c r="C1820" s="1" t="s">
        <v>67</v>
      </c>
      <c r="D1820" s="1" t="s">
        <v>64</v>
      </c>
      <c r="E1820">
        <v>287</v>
      </c>
      <c r="F1820" s="1">
        <f>VLOOKUP(jablka5[[#This Row],[Nazwa]],cennik[],2,0) * jablka5[[#This Row],[sprzedaż]]</f>
        <v>1004.5</v>
      </c>
      <c r="G1820" s="1">
        <f>IF(jablka5[[#This Row],[NIP]]=D1819,jablka5[[#This Row],[sprzedaż]]+G1819,jablka5[[#This Row],[sprzedaż]])</f>
        <v>8214</v>
      </c>
      <c r="H1820" s="1">
        <f>IF(jablka5[[#This Row],[dot sprz]]&lt;15000,0,IF(jablka5[[#This Row],[dot sprz]]&lt;20000,5,10))</f>
        <v>0</v>
      </c>
      <c r="I1820" s="1">
        <f>jablka5[[#This Row],[rabat]]*jablka5[[#This Row],[sprzedaż]]/100</f>
        <v>0</v>
      </c>
    </row>
    <row r="1821" spans="1:9" x14ac:dyDescent="0.25">
      <c r="A1821" s="2">
        <v>44804</v>
      </c>
      <c r="B1821" s="1" t="s">
        <v>12</v>
      </c>
      <c r="C1821" s="1" t="s">
        <v>68</v>
      </c>
      <c r="D1821" s="1" t="s">
        <v>64</v>
      </c>
      <c r="E1821">
        <v>362</v>
      </c>
      <c r="F1821" s="1">
        <f>VLOOKUP(jablka5[[#This Row],[Nazwa]],cennik[],2,0) * jablka5[[#This Row],[sprzedaż]]</f>
        <v>977.40000000000009</v>
      </c>
      <c r="G1821" s="1">
        <f>IF(jablka5[[#This Row],[NIP]]=D1820,jablka5[[#This Row],[sprzedaż]]+G1820,jablka5[[#This Row],[sprzedaż]])</f>
        <v>8576</v>
      </c>
      <c r="H1821" s="1">
        <f>IF(jablka5[[#This Row],[dot sprz]]&lt;15000,0,IF(jablka5[[#This Row],[dot sprz]]&lt;20000,5,10))</f>
        <v>0</v>
      </c>
      <c r="I1821" s="1">
        <f>jablka5[[#This Row],[rabat]]*jablka5[[#This Row],[sprzedaż]]/100</f>
        <v>0</v>
      </c>
    </row>
    <row r="1822" spans="1:9" x14ac:dyDescent="0.25">
      <c r="A1822" s="2">
        <v>44812</v>
      </c>
      <c r="B1822" s="1" t="s">
        <v>14</v>
      </c>
      <c r="C1822" s="1" t="s">
        <v>67</v>
      </c>
      <c r="D1822" s="1" t="s">
        <v>64</v>
      </c>
      <c r="E1822">
        <v>180</v>
      </c>
      <c r="F1822" s="1">
        <f>VLOOKUP(jablka5[[#This Row],[Nazwa]],cennik[],2,0) * jablka5[[#This Row],[sprzedaż]]</f>
        <v>630</v>
      </c>
      <c r="G1822" s="1">
        <f>IF(jablka5[[#This Row],[NIP]]=D1821,jablka5[[#This Row],[sprzedaż]]+G1821,jablka5[[#This Row],[sprzedaż]])</f>
        <v>8756</v>
      </c>
      <c r="H1822" s="1">
        <f>IF(jablka5[[#This Row],[dot sprz]]&lt;15000,0,IF(jablka5[[#This Row],[dot sprz]]&lt;20000,5,10))</f>
        <v>0</v>
      </c>
      <c r="I1822" s="1">
        <f>jablka5[[#This Row],[rabat]]*jablka5[[#This Row],[sprzedaż]]/100</f>
        <v>0</v>
      </c>
    </row>
    <row r="1823" spans="1:9" x14ac:dyDescent="0.25">
      <c r="A1823" s="2">
        <v>44818</v>
      </c>
      <c r="B1823" s="1" t="s">
        <v>1</v>
      </c>
      <c r="C1823" s="1" t="s">
        <v>67</v>
      </c>
      <c r="D1823" s="1" t="s">
        <v>64</v>
      </c>
      <c r="E1823">
        <v>455</v>
      </c>
      <c r="F1823" s="1">
        <f>VLOOKUP(jablka5[[#This Row],[Nazwa]],cennik[],2,0) * jablka5[[#This Row],[sprzedaż]]</f>
        <v>1456</v>
      </c>
      <c r="G1823" s="1">
        <f>IF(jablka5[[#This Row],[NIP]]=D1822,jablka5[[#This Row],[sprzedaż]]+G1822,jablka5[[#This Row],[sprzedaż]])</f>
        <v>9211</v>
      </c>
      <c r="H1823" s="1">
        <f>IF(jablka5[[#This Row],[dot sprz]]&lt;15000,0,IF(jablka5[[#This Row],[dot sprz]]&lt;20000,5,10))</f>
        <v>0</v>
      </c>
      <c r="I1823" s="1">
        <f>jablka5[[#This Row],[rabat]]*jablka5[[#This Row],[sprzedaż]]/100</f>
        <v>0</v>
      </c>
    </row>
    <row r="1824" spans="1:9" x14ac:dyDescent="0.25">
      <c r="A1824" s="2">
        <v>44842</v>
      </c>
      <c r="B1824" s="1" t="s">
        <v>11</v>
      </c>
      <c r="C1824" s="1" t="s">
        <v>67</v>
      </c>
      <c r="D1824" s="1" t="s">
        <v>64</v>
      </c>
      <c r="E1824">
        <v>343</v>
      </c>
      <c r="F1824" s="1">
        <f>VLOOKUP(jablka5[[#This Row],[Nazwa]],cennik[],2,0) * jablka5[[#This Row],[sprzedaż]]</f>
        <v>857.5</v>
      </c>
      <c r="G1824" s="1">
        <f>IF(jablka5[[#This Row],[NIP]]=D1823,jablka5[[#This Row],[sprzedaż]]+G1823,jablka5[[#This Row],[sprzedaż]])</f>
        <v>9554</v>
      </c>
      <c r="H1824" s="1">
        <f>IF(jablka5[[#This Row],[dot sprz]]&lt;15000,0,IF(jablka5[[#This Row],[dot sprz]]&lt;20000,5,10))</f>
        <v>0</v>
      </c>
      <c r="I1824" s="1">
        <f>jablka5[[#This Row],[rabat]]*jablka5[[#This Row],[sprzedaż]]/100</f>
        <v>0</v>
      </c>
    </row>
    <row r="1825" spans="1:9" x14ac:dyDescent="0.25">
      <c r="A1825" s="2">
        <v>44846</v>
      </c>
      <c r="B1825" s="1" t="s">
        <v>3</v>
      </c>
      <c r="C1825" s="1" t="s">
        <v>67</v>
      </c>
      <c r="D1825" s="1" t="s">
        <v>64</v>
      </c>
      <c r="E1825">
        <v>32</v>
      </c>
      <c r="F1825" s="1">
        <f>VLOOKUP(jablka5[[#This Row],[Nazwa]],cennik[],2,0) * jablka5[[#This Row],[sprzedaż]]</f>
        <v>102.4</v>
      </c>
      <c r="G1825" s="1">
        <f>IF(jablka5[[#This Row],[NIP]]=D1824,jablka5[[#This Row],[sprzedaż]]+G1824,jablka5[[#This Row],[sprzedaż]])</f>
        <v>9586</v>
      </c>
      <c r="H1825" s="1">
        <f>IF(jablka5[[#This Row],[dot sprz]]&lt;15000,0,IF(jablka5[[#This Row],[dot sprz]]&lt;20000,5,10))</f>
        <v>0</v>
      </c>
      <c r="I1825" s="1">
        <f>jablka5[[#This Row],[rabat]]*jablka5[[#This Row],[sprzedaż]]/100</f>
        <v>0</v>
      </c>
    </row>
    <row r="1826" spans="1:9" x14ac:dyDescent="0.25">
      <c r="A1826" s="2">
        <v>44863</v>
      </c>
      <c r="B1826" s="1" t="s">
        <v>1</v>
      </c>
      <c r="C1826" s="1" t="s">
        <v>67</v>
      </c>
      <c r="D1826" s="1" t="s">
        <v>64</v>
      </c>
      <c r="E1826">
        <v>86</v>
      </c>
      <c r="F1826" s="1">
        <f>VLOOKUP(jablka5[[#This Row],[Nazwa]],cennik[],2,0) * jablka5[[#This Row],[sprzedaż]]</f>
        <v>275.2</v>
      </c>
      <c r="G1826" s="1">
        <f>IF(jablka5[[#This Row],[NIP]]=D1825,jablka5[[#This Row],[sprzedaż]]+G1825,jablka5[[#This Row],[sprzedaż]])</f>
        <v>9672</v>
      </c>
      <c r="H1826" s="1">
        <f>IF(jablka5[[#This Row],[dot sprz]]&lt;15000,0,IF(jablka5[[#This Row],[dot sprz]]&lt;20000,5,10))</f>
        <v>0</v>
      </c>
      <c r="I1826" s="1">
        <f>jablka5[[#This Row],[rabat]]*jablka5[[#This Row],[sprzedaż]]/100</f>
        <v>0</v>
      </c>
    </row>
    <row r="1827" spans="1:9" x14ac:dyDescent="0.25">
      <c r="A1827" s="2">
        <v>44870</v>
      </c>
      <c r="B1827" s="1" t="s">
        <v>14</v>
      </c>
      <c r="C1827" s="1" t="s">
        <v>67</v>
      </c>
      <c r="D1827" s="1" t="s">
        <v>64</v>
      </c>
      <c r="E1827">
        <v>333</v>
      </c>
      <c r="F1827" s="1">
        <f>VLOOKUP(jablka5[[#This Row],[Nazwa]],cennik[],2,0) * jablka5[[#This Row],[sprzedaż]]</f>
        <v>1165.5</v>
      </c>
      <c r="G1827" s="1">
        <f>IF(jablka5[[#This Row],[NIP]]=D1826,jablka5[[#This Row],[sprzedaż]]+G1826,jablka5[[#This Row],[sprzedaż]])</f>
        <v>10005</v>
      </c>
      <c r="H1827" s="1">
        <f>IF(jablka5[[#This Row],[dot sprz]]&lt;15000,0,IF(jablka5[[#This Row],[dot sprz]]&lt;20000,5,10))</f>
        <v>0</v>
      </c>
      <c r="I1827" s="1">
        <f>jablka5[[#This Row],[rabat]]*jablka5[[#This Row],[sprzedaż]]/100</f>
        <v>0</v>
      </c>
    </row>
    <row r="1828" spans="1:9" x14ac:dyDescent="0.25">
      <c r="A1828" s="2">
        <v>44879</v>
      </c>
      <c r="B1828" s="1" t="s">
        <v>14</v>
      </c>
      <c r="C1828" s="1" t="s">
        <v>67</v>
      </c>
      <c r="D1828" s="1" t="s">
        <v>64</v>
      </c>
      <c r="E1828">
        <v>223</v>
      </c>
      <c r="F1828" s="1">
        <f>VLOOKUP(jablka5[[#This Row],[Nazwa]],cennik[],2,0) * jablka5[[#This Row],[sprzedaż]]</f>
        <v>780.5</v>
      </c>
      <c r="G1828" s="1">
        <f>IF(jablka5[[#This Row],[NIP]]=D1827,jablka5[[#This Row],[sprzedaż]]+G1827,jablka5[[#This Row],[sprzedaż]])</f>
        <v>10228</v>
      </c>
      <c r="H1828" s="1">
        <f>IF(jablka5[[#This Row],[dot sprz]]&lt;15000,0,IF(jablka5[[#This Row],[dot sprz]]&lt;20000,5,10))</f>
        <v>0</v>
      </c>
      <c r="I1828" s="1">
        <f>jablka5[[#This Row],[rabat]]*jablka5[[#This Row],[sprzedaż]]/100</f>
        <v>0</v>
      </c>
    </row>
    <row r="1829" spans="1:9" x14ac:dyDescent="0.25">
      <c r="A1829" s="2">
        <v>44880</v>
      </c>
      <c r="B1829" s="1" t="s">
        <v>11</v>
      </c>
      <c r="C1829" s="1" t="s">
        <v>67</v>
      </c>
      <c r="D1829" s="1" t="s">
        <v>64</v>
      </c>
      <c r="E1829">
        <v>376</v>
      </c>
      <c r="F1829" s="1">
        <f>VLOOKUP(jablka5[[#This Row],[Nazwa]],cennik[],2,0) * jablka5[[#This Row],[sprzedaż]]</f>
        <v>940</v>
      </c>
      <c r="G1829" s="1">
        <f>IF(jablka5[[#This Row],[NIP]]=D1828,jablka5[[#This Row],[sprzedaż]]+G1828,jablka5[[#This Row],[sprzedaż]])</f>
        <v>10604</v>
      </c>
      <c r="H1829" s="1">
        <f>IF(jablka5[[#This Row],[dot sprz]]&lt;15000,0,IF(jablka5[[#This Row],[dot sprz]]&lt;20000,5,10))</f>
        <v>0</v>
      </c>
      <c r="I1829" s="1">
        <f>jablka5[[#This Row],[rabat]]*jablka5[[#This Row],[sprzedaż]]/100</f>
        <v>0</v>
      </c>
    </row>
    <row r="1830" spans="1:9" x14ac:dyDescent="0.25">
      <c r="A1830" s="2">
        <v>44880</v>
      </c>
      <c r="B1830" s="1" t="s">
        <v>11</v>
      </c>
      <c r="C1830" s="1" t="s">
        <v>67</v>
      </c>
      <c r="D1830" s="1" t="s">
        <v>64</v>
      </c>
      <c r="E1830">
        <v>494</v>
      </c>
      <c r="F1830" s="1">
        <f>VLOOKUP(jablka5[[#This Row],[Nazwa]],cennik[],2,0) * jablka5[[#This Row],[sprzedaż]]</f>
        <v>1235</v>
      </c>
      <c r="G1830" s="1">
        <f>IF(jablka5[[#This Row],[NIP]]=D1829,jablka5[[#This Row],[sprzedaż]]+G1829,jablka5[[#This Row],[sprzedaż]])</f>
        <v>11098</v>
      </c>
      <c r="H1830" s="1">
        <f>IF(jablka5[[#This Row],[dot sprz]]&lt;15000,0,IF(jablka5[[#This Row],[dot sprz]]&lt;20000,5,10))</f>
        <v>0</v>
      </c>
      <c r="I1830" s="1">
        <f>jablka5[[#This Row],[rabat]]*jablka5[[#This Row],[sprzedaż]]/100</f>
        <v>0</v>
      </c>
    </row>
    <row r="1831" spans="1:9" x14ac:dyDescent="0.25">
      <c r="A1831" s="2">
        <v>44884</v>
      </c>
      <c r="B1831" s="1" t="s">
        <v>14</v>
      </c>
      <c r="C1831" s="1" t="s">
        <v>67</v>
      </c>
      <c r="D1831" s="1" t="s">
        <v>64</v>
      </c>
      <c r="E1831">
        <v>153</v>
      </c>
      <c r="F1831" s="1">
        <f>VLOOKUP(jablka5[[#This Row],[Nazwa]],cennik[],2,0) * jablka5[[#This Row],[sprzedaż]]</f>
        <v>535.5</v>
      </c>
      <c r="G1831" s="1">
        <f>IF(jablka5[[#This Row],[NIP]]=D1830,jablka5[[#This Row],[sprzedaż]]+G1830,jablka5[[#This Row],[sprzedaż]])</f>
        <v>11251</v>
      </c>
      <c r="H1831" s="1">
        <f>IF(jablka5[[#This Row],[dot sprz]]&lt;15000,0,IF(jablka5[[#This Row],[dot sprz]]&lt;20000,5,10))</f>
        <v>0</v>
      </c>
      <c r="I1831" s="1">
        <f>jablka5[[#This Row],[rabat]]*jablka5[[#This Row],[sprzedaż]]/100</f>
        <v>0</v>
      </c>
    </row>
    <row r="1832" spans="1:9" x14ac:dyDescent="0.25">
      <c r="A1832" s="2">
        <v>44887</v>
      </c>
      <c r="B1832" s="1" t="s">
        <v>11</v>
      </c>
      <c r="C1832" s="1" t="s">
        <v>67</v>
      </c>
      <c r="D1832" s="1" t="s">
        <v>64</v>
      </c>
      <c r="E1832">
        <v>108</v>
      </c>
      <c r="F1832" s="1">
        <f>VLOOKUP(jablka5[[#This Row],[Nazwa]],cennik[],2,0) * jablka5[[#This Row],[sprzedaż]]</f>
        <v>270</v>
      </c>
      <c r="G1832" s="1">
        <f>IF(jablka5[[#This Row],[NIP]]=D1831,jablka5[[#This Row],[sprzedaż]]+G1831,jablka5[[#This Row],[sprzedaż]])</f>
        <v>11359</v>
      </c>
      <c r="H1832" s="1">
        <f>IF(jablka5[[#This Row],[dot sprz]]&lt;15000,0,IF(jablka5[[#This Row],[dot sprz]]&lt;20000,5,10))</f>
        <v>0</v>
      </c>
      <c r="I1832" s="1">
        <f>jablka5[[#This Row],[rabat]]*jablka5[[#This Row],[sprzedaż]]/100</f>
        <v>0</v>
      </c>
    </row>
    <row r="1833" spans="1:9" x14ac:dyDescent="0.25">
      <c r="A1833" s="2">
        <v>44887</v>
      </c>
      <c r="B1833" s="1" t="s">
        <v>11</v>
      </c>
      <c r="C1833" s="1" t="s">
        <v>67</v>
      </c>
      <c r="D1833" s="1" t="s">
        <v>64</v>
      </c>
      <c r="E1833">
        <v>310</v>
      </c>
      <c r="F1833" s="1">
        <f>VLOOKUP(jablka5[[#This Row],[Nazwa]],cennik[],2,0) * jablka5[[#This Row],[sprzedaż]]</f>
        <v>775</v>
      </c>
      <c r="G1833" s="1">
        <f>IF(jablka5[[#This Row],[NIP]]=D1832,jablka5[[#This Row],[sprzedaż]]+G1832,jablka5[[#This Row],[sprzedaż]])</f>
        <v>11669</v>
      </c>
      <c r="H1833" s="1">
        <f>IF(jablka5[[#This Row],[dot sprz]]&lt;15000,0,IF(jablka5[[#This Row],[dot sprz]]&lt;20000,5,10))</f>
        <v>0</v>
      </c>
      <c r="I1833" s="1">
        <f>jablka5[[#This Row],[rabat]]*jablka5[[#This Row],[sprzedaż]]/100</f>
        <v>0</v>
      </c>
    </row>
    <row r="1834" spans="1:9" x14ac:dyDescent="0.25">
      <c r="A1834" s="2">
        <v>44914</v>
      </c>
      <c r="B1834" s="1" t="s">
        <v>2</v>
      </c>
      <c r="C1834" s="1" t="s">
        <v>16</v>
      </c>
      <c r="D1834" s="1" t="s">
        <v>64</v>
      </c>
      <c r="E1834">
        <v>482</v>
      </c>
      <c r="F1834" s="1">
        <f>VLOOKUP(jablka5[[#This Row],[Nazwa]],cennik[],2,0) * jablka5[[#This Row],[sprzedaż]]</f>
        <v>1542.4</v>
      </c>
      <c r="G1834" s="1">
        <f>IF(jablka5[[#This Row],[NIP]]=D1833,jablka5[[#This Row],[sprzedaż]]+G1833,jablka5[[#This Row],[sprzedaż]])</f>
        <v>12151</v>
      </c>
      <c r="H1834" s="1">
        <f>IF(jablka5[[#This Row],[dot sprz]]&lt;15000,0,IF(jablka5[[#This Row],[dot sprz]]&lt;20000,5,10))</f>
        <v>0</v>
      </c>
      <c r="I1834" s="1">
        <f>jablka5[[#This Row],[rabat]]*jablka5[[#This Row],[sprzedaż]]/100</f>
        <v>0</v>
      </c>
    </row>
    <row r="1835" spans="1:9" x14ac:dyDescent="0.25">
      <c r="A1835" s="2">
        <v>44914</v>
      </c>
      <c r="B1835" s="1" t="s">
        <v>2</v>
      </c>
      <c r="C1835" s="1" t="s">
        <v>16</v>
      </c>
      <c r="D1835" s="1" t="s">
        <v>64</v>
      </c>
      <c r="E1835">
        <v>243</v>
      </c>
      <c r="F1835" s="1">
        <f>VLOOKUP(jablka5[[#This Row],[Nazwa]],cennik[],2,0) * jablka5[[#This Row],[sprzedaż]]</f>
        <v>777.6</v>
      </c>
      <c r="G1835" s="1">
        <f>IF(jablka5[[#This Row],[NIP]]=D1834,jablka5[[#This Row],[sprzedaż]]+G1834,jablka5[[#This Row],[sprzedaż]])</f>
        <v>12394</v>
      </c>
      <c r="H1835" s="1">
        <f>IF(jablka5[[#This Row],[dot sprz]]&lt;15000,0,IF(jablka5[[#This Row],[dot sprz]]&lt;20000,5,10))</f>
        <v>0</v>
      </c>
      <c r="I1835" s="1">
        <f>jablka5[[#This Row],[rabat]]*jablka5[[#This Row],[sprzedaż]]/100</f>
        <v>0</v>
      </c>
    </row>
    <row r="1836" spans="1:9" x14ac:dyDescent="0.25">
      <c r="A1836" s="2">
        <v>44921</v>
      </c>
      <c r="B1836" s="1" t="s">
        <v>5</v>
      </c>
      <c r="C1836" s="1" t="s">
        <v>16</v>
      </c>
      <c r="D1836" s="1" t="s">
        <v>64</v>
      </c>
      <c r="E1836">
        <v>172</v>
      </c>
      <c r="F1836" s="1">
        <f>VLOOKUP(jablka5[[#This Row],[Nazwa]],cennik[],2,0) * jablka5[[#This Row],[sprzedaż]]</f>
        <v>584.79999999999995</v>
      </c>
      <c r="G1836" s="1">
        <f>IF(jablka5[[#This Row],[NIP]]=D1835,jablka5[[#This Row],[sprzedaż]]+G1835,jablka5[[#This Row],[sprzedaż]])</f>
        <v>12566</v>
      </c>
      <c r="H1836" s="1">
        <f>IF(jablka5[[#This Row],[dot sprz]]&lt;15000,0,IF(jablka5[[#This Row],[dot sprz]]&lt;20000,5,10))</f>
        <v>0</v>
      </c>
      <c r="I1836" s="1">
        <f>jablka5[[#This Row],[rabat]]*jablka5[[#This Row],[sprzedaż]]/100</f>
        <v>0</v>
      </c>
    </row>
    <row r="1837" spans="1:9" x14ac:dyDescent="0.25">
      <c r="A1837" s="2">
        <v>44568</v>
      </c>
      <c r="B1837" s="1" t="s">
        <v>6</v>
      </c>
      <c r="C1837" s="1" t="s">
        <v>16</v>
      </c>
      <c r="D1837" s="1" t="s">
        <v>41</v>
      </c>
      <c r="E1837">
        <v>141</v>
      </c>
      <c r="F1837" s="1">
        <f>VLOOKUP(jablka5[[#This Row],[Nazwa]],cennik[],2,0) * jablka5[[#This Row],[sprzedaż]]</f>
        <v>479.4</v>
      </c>
      <c r="G1837" s="1">
        <f>IF(jablka5[[#This Row],[NIP]]=D1836,jablka5[[#This Row],[sprzedaż]]+G1836,jablka5[[#This Row],[sprzedaż]])</f>
        <v>141</v>
      </c>
      <c r="H1837" s="1">
        <f>IF(jablka5[[#This Row],[dot sprz]]&lt;15000,0,IF(jablka5[[#This Row],[dot sprz]]&lt;20000,5,10))</f>
        <v>0</v>
      </c>
      <c r="I1837" s="1">
        <f>jablka5[[#This Row],[rabat]]*jablka5[[#This Row],[sprzedaż]]/100</f>
        <v>0</v>
      </c>
    </row>
    <row r="1838" spans="1:9" x14ac:dyDescent="0.25">
      <c r="A1838" s="2">
        <v>44569</v>
      </c>
      <c r="B1838" s="1" t="s">
        <v>4</v>
      </c>
      <c r="C1838" s="1" t="s">
        <v>16</v>
      </c>
      <c r="D1838" s="1" t="s">
        <v>41</v>
      </c>
      <c r="E1838">
        <v>629</v>
      </c>
      <c r="F1838" s="1">
        <f>VLOOKUP(jablka5[[#This Row],[Nazwa]],cennik[],2,0) * jablka5[[#This Row],[sprzedaż]]</f>
        <v>2138.6</v>
      </c>
      <c r="G1838" s="1">
        <f>IF(jablka5[[#This Row],[NIP]]=D1837,jablka5[[#This Row],[sprzedaż]]+G1837,jablka5[[#This Row],[sprzedaż]])</f>
        <v>770</v>
      </c>
      <c r="H1838" s="1">
        <f>IF(jablka5[[#This Row],[dot sprz]]&lt;15000,0,IF(jablka5[[#This Row],[dot sprz]]&lt;20000,5,10))</f>
        <v>0</v>
      </c>
      <c r="I1838" s="1">
        <f>jablka5[[#This Row],[rabat]]*jablka5[[#This Row],[sprzedaż]]/100</f>
        <v>0</v>
      </c>
    </row>
    <row r="1839" spans="1:9" x14ac:dyDescent="0.25">
      <c r="A1839" s="2">
        <v>44569</v>
      </c>
      <c r="B1839" s="1" t="s">
        <v>8</v>
      </c>
      <c r="C1839" s="1" t="s">
        <v>16</v>
      </c>
      <c r="D1839" s="1" t="s">
        <v>41</v>
      </c>
      <c r="E1839">
        <v>377</v>
      </c>
      <c r="F1839" s="1">
        <f>VLOOKUP(jablka5[[#This Row],[Nazwa]],cennik[],2,0) * jablka5[[#This Row],[sprzedaż]]</f>
        <v>1319.5</v>
      </c>
      <c r="G1839" s="1">
        <f>IF(jablka5[[#This Row],[NIP]]=D1838,jablka5[[#This Row],[sprzedaż]]+G1838,jablka5[[#This Row],[sprzedaż]])</f>
        <v>1147</v>
      </c>
      <c r="H1839" s="1">
        <f>IF(jablka5[[#This Row],[dot sprz]]&lt;15000,0,IF(jablka5[[#This Row],[dot sprz]]&lt;20000,5,10))</f>
        <v>0</v>
      </c>
      <c r="I1839" s="1">
        <f>jablka5[[#This Row],[rabat]]*jablka5[[#This Row],[sprzedaż]]/100</f>
        <v>0</v>
      </c>
    </row>
    <row r="1840" spans="1:9" x14ac:dyDescent="0.25">
      <c r="A1840" s="2">
        <v>44573</v>
      </c>
      <c r="B1840" s="1" t="s">
        <v>8</v>
      </c>
      <c r="C1840" s="1" t="s">
        <v>16</v>
      </c>
      <c r="D1840" s="1" t="s">
        <v>41</v>
      </c>
      <c r="E1840">
        <v>415</v>
      </c>
      <c r="F1840" s="1">
        <f>VLOOKUP(jablka5[[#This Row],[Nazwa]],cennik[],2,0) * jablka5[[#This Row],[sprzedaż]]</f>
        <v>1452.5</v>
      </c>
      <c r="G1840" s="1">
        <f>IF(jablka5[[#This Row],[NIP]]=D1839,jablka5[[#This Row],[sprzedaż]]+G1839,jablka5[[#This Row],[sprzedaż]])</f>
        <v>1562</v>
      </c>
      <c r="H1840" s="1">
        <f>IF(jablka5[[#This Row],[dot sprz]]&lt;15000,0,IF(jablka5[[#This Row],[dot sprz]]&lt;20000,5,10))</f>
        <v>0</v>
      </c>
      <c r="I1840" s="1">
        <f>jablka5[[#This Row],[rabat]]*jablka5[[#This Row],[sprzedaż]]/100</f>
        <v>0</v>
      </c>
    </row>
    <row r="1841" spans="1:9" x14ac:dyDescent="0.25">
      <c r="A1841" s="2">
        <v>44590</v>
      </c>
      <c r="B1841" s="1" t="s">
        <v>2</v>
      </c>
      <c r="C1841" s="1" t="s">
        <v>16</v>
      </c>
      <c r="D1841" s="1" t="s">
        <v>41</v>
      </c>
      <c r="E1841">
        <v>112</v>
      </c>
      <c r="F1841" s="1">
        <f>VLOOKUP(jablka5[[#This Row],[Nazwa]],cennik[],2,0) * jablka5[[#This Row],[sprzedaż]]</f>
        <v>358.40000000000003</v>
      </c>
      <c r="G1841" s="1">
        <f>IF(jablka5[[#This Row],[NIP]]=D1840,jablka5[[#This Row],[sprzedaż]]+G1840,jablka5[[#This Row],[sprzedaż]])</f>
        <v>1674</v>
      </c>
      <c r="H1841" s="1">
        <f>IF(jablka5[[#This Row],[dot sprz]]&lt;15000,0,IF(jablka5[[#This Row],[dot sprz]]&lt;20000,5,10))</f>
        <v>0</v>
      </c>
      <c r="I1841" s="1">
        <f>jablka5[[#This Row],[rabat]]*jablka5[[#This Row],[sprzedaż]]/100</f>
        <v>0</v>
      </c>
    </row>
    <row r="1842" spans="1:9" x14ac:dyDescent="0.25">
      <c r="A1842" s="2">
        <v>44592</v>
      </c>
      <c r="B1842" s="1" t="s">
        <v>0</v>
      </c>
      <c r="C1842" s="1" t="s">
        <v>16</v>
      </c>
      <c r="D1842" s="1" t="s">
        <v>41</v>
      </c>
      <c r="E1842">
        <v>301</v>
      </c>
      <c r="F1842" s="1">
        <f>VLOOKUP(jablka5[[#This Row],[Nazwa]],cennik[],2,0) * jablka5[[#This Row],[sprzedaż]]</f>
        <v>872.9</v>
      </c>
      <c r="G1842" s="1">
        <f>IF(jablka5[[#This Row],[NIP]]=D1841,jablka5[[#This Row],[sprzedaż]]+G1841,jablka5[[#This Row],[sprzedaż]])</f>
        <v>1975</v>
      </c>
      <c r="H1842" s="1">
        <f>IF(jablka5[[#This Row],[dot sprz]]&lt;15000,0,IF(jablka5[[#This Row],[dot sprz]]&lt;20000,5,10))</f>
        <v>0</v>
      </c>
      <c r="I1842" s="1">
        <f>jablka5[[#This Row],[rabat]]*jablka5[[#This Row],[sprzedaż]]/100</f>
        <v>0</v>
      </c>
    </row>
    <row r="1843" spans="1:9" x14ac:dyDescent="0.25">
      <c r="A1843" s="2">
        <v>44592</v>
      </c>
      <c r="B1843" s="1" t="s">
        <v>6</v>
      </c>
      <c r="C1843" s="1" t="s">
        <v>16</v>
      </c>
      <c r="D1843" s="1" t="s">
        <v>41</v>
      </c>
      <c r="E1843">
        <v>361</v>
      </c>
      <c r="F1843" s="1">
        <f>VLOOKUP(jablka5[[#This Row],[Nazwa]],cennik[],2,0) * jablka5[[#This Row],[sprzedaż]]</f>
        <v>1227.3999999999999</v>
      </c>
      <c r="G1843" s="1">
        <f>IF(jablka5[[#This Row],[NIP]]=D1842,jablka5[[#This Row],[sprzedaż]]+G1842,jablka5[[#This Row],[sprzedaż]])</f>
        <v>2336</v>
      </c>
      <c r="H1843" s="1">
        <f>IF(jablka5[[#This Row],[dot sprz]]&lt;15000,0,IF(jablka5[[#This Row],[dot sprz]]&lt;20000,5,10))</f>
        <v>0</v>
      </c>
      <c r="I1843" s="1">
        <f>jablka5[[#This Row],[rabat]]*jablka5[[#This Row],[sprzedaż]]/100</f>
        <v>0</v>
      </c>
    </row>
    <row r="1844" spans="1:9" x14ac:dyDescent="0.25">
      <c r="A1844" s="2">
        <v>44595</v>
      </c>
      <c r="B1844" s="1" t="s">
        <v>10</v>
      </c>
      <c r="C1844" s="1" t="s">
        <v>16</v>
      </c>
      <c r="D1844" s="1" t="s">
        <v>41</v>
      </c>
      <c r="E1844">
        <v>187</v>
      </c>
      <c r="F1844" s="1">
        <f>VLOOKUP(jablka5[[#This Row],[Nazwa]],cennik[],2,0) * jablka5[[#This Row],[sprzedaż]]</f>
        <v>635.79999999999995</v>
      </c>
      <c r="G1844" s="1">
        <f>IF(jablka5[[#This Row],[NIP]]=D1843,jablka5[[#This Row],[sprzedaż]]+G1843,jablka5[[#This Row],[sprzedaż]])</f>
        <v>2523</v>
      </c>
      <c r="H1844" s="1">
        <f>IF(jablka5[[#This Row],[dot sprz]]&lt;15000,0,IF(jablka5[[#This Row],[dot sprz]]&lt;20000,5,10))</f>
        <v>0</v>
      </c>
      <c r="I1844" s="1">
        <f>jablka5[[#This Row],[rabat]]*jablka5[[#This Row],[sprzedaż]]/100</f>
        <v>0</v>
      </c>
    </row>
    <row r="1845" spans="1:9" x14ac:dyDescent="0.25">
      <c r="A1845" s="2">
        <v>44599</v>
      </c>
      <c r="B1845" s="1" t="s">
        <v>4</v>
      </c>
      <c r="C1845" s="1" t="s">
        <v>16</v>
      </c>
      <c r="D1845" s="1" t="s">
        <v>41</v>
      </c>
      <c r="E1845">
        <v>330</v>
      </c>
      <c r="F1845" s="1">
        <f>VLOOKUP(jablka5[[#This Row],[Nazwa]],cennik[],2,0) * jablka5[[#This Row],[sprzedaż]]</f>
        <v>1122</v>
      </c>
      <c r="G1845" s="1">
        <f>IF(jablka5[[#This Row],[NIP]]=D1844,jablka5[[#This Row],[sprzedaż]]+G1844,jablka5[[#This Row],[sprzedaż]])</f>
        <v>2853</v>
      </c>
      <c r="H1845" s="1">
        <f>IF(jablka5[[#This Row],[dot sprz]]&lt;15000,0,IF(jablka5[[#This Row],[dot sprz]]&lt;20000,5,10))</f>
        <v>0</v>
      </c>
      <c r="I1845" s="1">
        <f>jablka5[[#This Row],[rabat]]*jablka5[[#This Row],[sprzedaż]]/100</f>
        <v>0</v>
      </c>
    </row>
    <row r="1846" spans="1:9" x14ac:dyDescent="0.25">
      <c r="A1846" s="2">
        <v>44599</v>
      </c>
      <c r="B1846" s="1" t="s">
        <v>2</v>
      </c>
      <c r="C1846" s="1" t="s">
        <v>16</v>
      </c>
      <c r="D1846" s="1" t="s">
        <v>41</v>
      </c>
      <c r="E1846">
        <v>34</v>
      </c>
      <c r="F1846" s="1">
        <f>VLOOKUP(jablka5[[#This Row],[Nazwa]],cennik[],2,0) * jablka5[[#This Row],[sprzedaż]]</f>
        <v>108.80000000000001</v>
      </c>
      <c r="G1846" s="1">
        <f>IF(jablka5[[#This Row],[NIP]]=D1845,jablka5[[#This Row],[sprzedaż]]+G1845,jablka5[[#This Row],[sprzedaż]])</f>
        <v>2887</v>
      </c>
      <c r="H1846" s="1">
        <f>IF(jablka5[[#This Row],[dot sprz]]&lt;15000,0,IF(jablka5[[#This Row],[dot sprz]]&lt;20000,5,10))</f>
        <v>0</v>
      </c>
      <c r="I1846" s="1">
        <f>jablka5[[#This Row],[rabat]]*jablka5[[#This Row],[sprzedaż]]/100</f>
        <v>0</v>
      </c>
    </row>
    <row r="1847" spans="1:9" x14ac:dyDescent="0.25">
      <c r="A1847" s="2">
        <v>44602</v>
      </c>
      <c r="B1847" s="1" t="s">
        <v>0</v>
      </c>
      <c r="C1847" s="1" t="s">
        <v>16</v>
      </c>
      <c r="D1847" s="1" t="s">
        <v>41</v>
      </c>
      <c r="E1847">
        <v>305</v>
      </c>
      <c r="F1847" s="1">
        <f>VLOOKUP(jablka5[[#This Row],[Nazwa]],cennik[],2,0) * jablka5[[#This Row],[sprzedaż]]</f>
        <v>884.5</v>
      </c>
      <c r="G1847" s="1">
        <f>IF(jablka5[[#This Row],[NIP]]=D1846,jablka5[[#This Row],[sprzedaż]]+G1846,jablka5[[#This Row],[sprzedaż]])</f>
        <v>3192</v>
      </c>
      <c r="H1847" s="1">
        <f>IF(jablka5[[#This Row],[dot sprz]]&lt;15000,0,IF(jablka5[[#This Row],[dot sprz]]&lt;20000,5,10))</f>
        <v>0</v>
      </c>
      <c r="I1847" s="1">
        <f>jablka5[[#This Row],[rabat]]*jablka5[[#This Row],[sprzedaż]]/100</f>
        <v>0</v>
      </c>
    </row>
    <row r="1848" spans="1:9" x14ac:dyDescent="0.25">
      <c r="A1848" s="2">
        <v>44634</v>
      </c>
      <c r="B1848" s="1" t="s">
        <v>0</v>
      </c>
      <c r="C1848" s="1" t="s">
        <v>16</v>
      </c>
      <c r="D1848" s="1" t="s">
        <v>41</v>
      </c>
      <c r="E1848">
        <v>301</v>
      </c>
      <c r="F1848" s="1">
        <f>VLOOKUP(jablka5[[#This Row],[Nazwa]],cennik[],2,0) * jablka5[[#This Row],[sprzedaż]]</f>
        <v>872.9</v>
      </c>
      <c r="G1848" s="1">
        <f>IF(jablka5[[#This Row],[NIP]]=D1847,jablka5[[#This Row],[sprzedaż]]+G1847,jablka5[[#This Row],[sprzedaż]])</f>
        <v>3493</v>
      </c>
      <c r="H1848" s="1">
        <f>IF(jablka5[[#This Row],[dot sprz]]&lt;15000,0,IF(jablka5[[#This Row],[dot sprz]]&lt;20000,5,10))</f>
        <v>0</v>
      </c>
      <c r="I1848" s="1">
        <f>jablka5[[#This Row],[rabat]]*jablka5[[#This Row],[sprzedaż]]/100</f>
        <v>0</v>
      </c>
    </row>
    <row r="1849" spans="1:9" x14ac:dyDescent="0.25">
      <c r="A1849" s="2">
        <v>44649</v>
      </c>
      <c r="B1849" s="1" t="s">
        <v>5</v>
      </c>
      <c r="C1849" s="1" t="s">
        <v>16</v>
      </c>
      <c r="D1849" s="1" t="s">
        <v>41</v>
      </c>
      <c r="E1849">
        <v>289</v>
      </c>
      <c r="F1849" s="1">
        <f>VLOOKUP(jablka5[[#This Row],[Nazwa]],cennik[],2,0) * jablka5[[#This Row],[sprzedaż]]</f>
        <v>982.6</v>
      </c>
      <c r="G1849" s="1">
        <f>IF(jablka5[[#This Row],[NIP]]=D1848,jablka5[[#This Row],[sprzedaż]]+G1848,jablka5[[#This Row],[sprzedaż]])</f>
        <v>3782</v>
      </c>
      <c r="H1849" s="1">
        <f>IF(jablka5[[#This Row],[dot sprz]]&lt;15000,0,IF(jablka5[[#This Row],[dot sprz]]&lt;20000,5,10))</f>
        <v>0</v>
      </c>
      <c r="I1849" s="1">
        <f>jablka5[[#This Row],[rabat]]*jablka5[[#This Row],[sprzedaż]]/100</f>
        <v>0</v>
      </c>
    </row>
    <row r="1850" spans="1:9" x14ac:dyDescent="0.25">
      <c r="A1850" s="2">
        <v>44651</v>
      </c>
      <c r="B1850" s="1" t="s">
        <v>8</v>
      </c>
      <c r="C1850" s="1" t="s">
        <v>16</v>
      </c>
      <c r="D1850" s="1" t="s">
        <v>41</v>
      </c>
      <c r="E1850">
        <v>616</v>
      </c>
      <c r="F1850" s="1">
        <f>VLOOKUP(jablka5[[#This Row],[Nazwa]],cennik[],2,0) * jablka5[[#This Row],[sprzedaż]]</f>
        <v>2156</v>
      </c>
      <c r="G1850" s="1">
        <f>IF(jablka5[[#This Row],[NIP]]=D1849,jablka5[[#This Row],[sprzedaż]]+G1849,jablka5[[#This Row],[sprzedaż]])</f>
        <v>4398</v>
      </c>
      <c r="H1850" s="1">
        <f>IF(jablka5[[#This Row],[dot sprz]]&lt;15000,0,IF(jablka5[[#This Row],[dot sprz]]&lt;20000,5,10))</f>
        <v>0</v>
      </c>
      <c r="I1850" s="1">
        <f>jablka5[[#This Row],[rabat]]*jablka5[[#This Row],[sprzedaż]]/100</f>
        <v>0</v>
      </c>
    </row>
    <row r="1851" spans="1:9" x14ac:dyDescent="0.25">
      <c r="A1851" s="2">
        <v>44656</v>
      </c>
      <c r="B1851" s="1" t="s">
        <v>6</v>
      </c>
      <c r="C1851" s="1" t="s">
        <v>16</v>
      </c>
      <c r="D1851" s="1" t="s">
        <v>41</v>
      </c>
      <c r="E1851">
        <v>311</v>
      </c>
      <c r="F1851" s="1">
        <f>VLOOKUP(jablka5[[#This Row],[Nazwa]],cennik[],2,0) * jablka5[[#This Row],[sprzedaż]]</f>
        <v>1057.3999999999999</v>
      </c>
      <c r="G1851" s="1">
        <f>IF(jablka5[[#This Row],[NIP]]=D1850,jablka5[[#This Row],[sprzedaż]]+G1850,jablka5[[#This Row],[sprzedaż]])</f>
        <v>4709</v>
      </c>
      <c r="H1851" s="1">
        <f>IF(jablka5[[#This Row],[dot sprz]]&lt;15000,0,IF(jablka5[[#This Row],[dot sprz]]&lt;20000,5,10))</f>
        <v>0</v>
      </c>
      <c r="I1851" s="1">
        <f>jablka5[[#This Row],[rabat]]*jablka5[[#This Row],[sprzedaż]]/100</f>
        <v>0</v>
      </c>
    </row>
    <row r="1852" spans="1:9" x14ac:dyDescent="0.25">
      <c r="A1852" s="2">
        <v>44660</v>
      </c>
      <c r="B1852" s="1" t="s">
        <v>2</v>
      </c>
      <c r="C1852" s="1" t="s">
        <v>16</v>
      </c>
      <c r="D1852" s="1" t="s">
        <v>41</v>
      </c>
      <c r="E1852">
        <v>472</v>
      </c>
      <c r="F1852" s="1">
        <f>VLOOKUP(jablka5[[#This Row],[Nazwa]],cennik[],2,0) * jablka5[[#This Row],[sprzedaż]]</f>
        <v>1510.4</v>
      </c>
      <c r="G1852" s="1">
        <f>IF(jablka5[[#This Row],[NIP]]=D1851,jablka5[[#This Row],[sprzedaż]]+G1851,jablka5[[#This Row],[sprzedaż]])</f>
        <v>5181</v>
      </c>
      <c r="H1852" s="1">
        <f>IF(jablka5[[#This Row],[dot sprz]]&lt;15000,0,IF(jablka5[[#This Row],[dot sprz]]&lt;20000,5,10))</f>
        <v>0</v>
      </c>
      <c r="I1852" s="1">
        <f>jablka5[[#This Row],[rabat]]*jablka5[[#This Row],[sprzedaż]]/100</f>
        <v>0</v>
      </c>
    </row>
    <row r="1853" spans="1:9" x14ac:dyDescent="0.25">
      <c r="A1853" s="2">
        <v>44662</v>
      </c>
      <c r="B1853" s="1" t="s">
        <v>6</v>
      </c>
      <c r="C1853" s="1" t="s">
        <v>16</v>
      </c>
      <c r="D1853" s="1" t="s">
        <v>41</v>
      </c>
      <c r="E1853">
        <v>217</v>
      </c>
      <c r="F1853" s="1">
        <f>VLOOKUP(jablka5[[#This Row],[Nazwa]],cennik[],2,0) * jablka5[[#This Row],[sprzedaż]]</f>
        <v>737.8</v>
      </c>
      <c r="G1853" s="1">
        <f>IF(jablka5[[#This Row],[NIP]]=D1852,jablka5[[#This Row],[sprzedaż]]+G1852,jablka5[[#This Row],[sprzedaż]])</f>
        <v>5398</v>
      </c>
      <c r="H1853" s="1">
        <f>IF(jablka5[[#This Row],[dot sprz]]&lt;15000,0,IF(jablka5[[#This Row],[dot sprz]]&lt;20000,5,10))</f>
        <v>0</v>
      </c>
      <c r="I1853" s="1">
        <f>jablka5[[#This Row],[rabat]]*jablka5[[#This Row],[sprzedaż]]/100</f>
        <v>0</v>
      </c>
    </row>
    <row r="1854" spans="1:9" x14ac:dyDescent="0.25">
      <c r="A1854" s="2">
        <v>44670</v>
      </c>
      <c r="B1854" s="1" t="s">
        <v>4</v>
      </c>
      <c r="C1854" s="1" t="s">
        <v>16</v>
      </c>
      <c r="D1854" s="1" t="s">
        <v>41</v>
      </c>
      <c r="E1854">
        <v>434</v>
      </c>
      <c r="F1854" s="1">
        <f>VLOOKUP(jablka5[[#This Row],[Nazwa]],cennik[],2,0) * jablka5[[#This Row],[sprzedaż]]</f>
        <v>1475.6</v>
      </c>
      <c r="G1854" s="1">
        <f>IF(jablka5[[#This Row],[NIP]]=D1853,jablka5[[#This Row],[sprzedaż]]+G1853,jablka5[[#This Row],[sprzedaż]])</f>
        <v>5832</v>
      </c>
      <c r="H1854" s="1">
        <f>IF(jablka5[[#This Row],[dot sprz]]&lt;15000,0,IF(jablka5[[#This Row],[dot sprz]]&lt;20000,5,10))</f>
        <v>0</v>
      </c>
      <c r="I1854" s="1">
        <f>jablka5[[#This Row],[rabat]]*jablka5[[#This Row],[sprzedaż]]/100</f>
        <v>0</v>
      </c>
    </row>
    <row r="1855" spans="1:9" x14ac:dyDescent="0.25">
      <c r="A1855" s="2">
        <v>44685</v>
      </c>
      <c r="B1855" s="1" t="s">
        <v>7</v>
      </c>
      <c r="C1855" s="1" t="s">
        <v>16</v>
      </c>
      <c r="D1855" s="1" t="s">
        <v>41</v>
      </c>
      <c r="E1855">
        <v>266</v>
      </c>
      <c r="F1855" s="1">
        <f>VLOOKUP(jablka5[[#This Row],[Nazwa]],cennik[],2,0) * jablka5[[#This Row],[sprzedaż]]</f>
        <v>904.4</v>
      </c>
      <c r="G1855" s="1">
        <f>IF(jablka5[[#This Row],[NIP]]=D1854,jablka5[[#This Row],[sprzedaż]]+G1854,jablka5[[#This Row],[sprzedaż]])</f>
        <v>6098</v>
      </c>
      <c r="H1855" s="1">
        <f>IF(jablka5[[#This Row],[dot sprz]]&lt;15000,0,IF(jablka5[[#This Row],[dot sprz]]&lt;20000,5,10))</f>
        <v>0</v>
      </c>
      <c r="I1855" s="1">
        <f>jablka5[[#This Row],[rabat]]*jablka5[[#This Row],[sprzedaż]]/100</f>
        <v>0</v>
      </c>
    </row>
    <row r="1856" spans="1:9" x14ac:dyDescent="0.25">
      <c r="A1856" s="2">
        <v>44690</v>
      </c>
      <c r="B1856" s="1" t="s">
        <v>8</v>
      </c>
      <c r="C1856" s="1" t="s">
        <v>16</v>
      </c>
      <c r="D1856" s="1" t="s">
        <v>41</v>
      </c>
      <c r="E1856">
        <v>641</v>
      </c>
      <c r="F1856" s="1">
        <f>VLOOKUP(jablka5[[#This Row],[Nazwa]],cennik[],2,0) * jablka5[[#This Row],[sprzedaż]]</f>
        <v>2243.5</v>
      </c>
      <c r="G1856" s="1">
        <f>IF(jablka5[[#This Row],[NIP]]=D1855,jablka5[[#This Row],[sprzedaż]]+G1855,jablka5[[#This Row],[sprzedaż]])</f>
        <v>6739</v>
      </c>
      <c r="H1856" s="1">
        <f>IF(jablka5[[#This Row],[dot sprz]]&lt;15000,0,IF(jablka5[[#This Row],[dot sprz]]&lt;20000,5,10))</f>
        <v>0</v>
      </c>
      <c r="I1856" s="1">
        <f>jablka5[[#This Row],[rabat]]*jablka5[[#This Row],[sprzedaż]]/100</f>
        <v>0</v>
      </c>
    </row>
    <row r="1857" spans="1:9" x14ac:dyDescent="0.25">
      <c r="A1857" s="2">
        <v>44690</v>
      </c>
      <c r="B1857" s="1" t="s">
        <v>4</v>
      </c>
      <c r="C1857" s="1" t="s">
        <v>16</v>
      </c>
      <c r="D1857" s="1" t="s">
        <v>41</v>
      </c>
      <c r="E1857">
        <v>533</v>
      </c>
      <c r="F1857" s="1">
        <f>VLOOKUP(jablka5[[#This Row],[Nazwa]],cennik[],2,0) * jablka5[[#This Row],[sprzedaż]]</f>
        <v>1812.2</v>
      </c>
      <c r="G1857" s="1">
        <f>IF(jablka5[[#This Row],[NIP]]=D1856,jablka5[[#This Row],[sprzedaż]]+G1856,jablka5[[#This Row],[sprzedaż]])</f>
        <v>7272</v>
      </c>
      <c r="H1857" s="1">
        <f>IF(jablka5[[#This Row],[dot sprz]]&lt;15000,0,IF(jablka5[[#This Row],[dot sprz]]&lt;20000,5,10))</f>
        <v>0</v>
      </c>
      <c r="I1857" s="1">
        <f>jablka5[[#This Row],[rabat]]*jablka5[[#This Row],[sprzedaż]]/100</f>
        <v>0</v>
      </c>
    </row>
    <row r="1858" spans="1:9" x14ac:dyDescent="0.25">
      <c r="A1858" s="2">
        <v>44692</v>
      </c>
      <c r="B1858" s="1" t="s">
        <v>0</v>
      </c>
      <c r="C1858" s="1" t="s">
        <v>16</v>
      </c>
      <c r="D1858" s="1" t="s">
        <v>41</v>
      </c>
      <c r="E1858">
        <v>224</v>
      </c>
      <c r="F1858" s="1">
        <f>VLOOKUP(jablka5[[#This Row],[Nazwa]],cennik[],2,0) * jablka5[[#This Row],[sprzedaż]]</f>
        <v>649.6</v>
      </c>
      <c r="G1858" s="1">
        <f>IF(jablka5[[#This Row],[NIP]]=D1857,jablka5[[#This Row],[sprzedaż]]+G1857,jablka5[[#This Row],[sprzedaż]])</f>
        <v>7496</v>
      </c>
      <c r="H1858" s="1">
        <f>IF(jablka5[[#This Row],[dot sprz]]&lt;15000,0,IF(jablka5[[#This Row],[dot sprz]]&lt;20000,5,10))</f>
        <v>0</v>
      </c>
      <c r="I1858" s="1">
        <f>jablka5[[#This Row],[rabat]]*jablka5[[#This Row],[sprzedaż]]/100</f>
        <v>0</v>
      </c>
    </row>
    <row r="1859" spans="1:9" x14ac:dyDescent="0.25">
      <c r="A1859" s="2">
        <v>44698</v>
      </c>
      <c r="B1859" s="1" t="s">
        <v>7</v>
      </c>
      <c r="C1859" s="1" t="s">
        <v>16</v>
      </c>
      <c r="D1859" s="1" t="s">
        <v>41</v>
      </c>
      <c r="E1859">
        <v>357</v>
      </c>
      <c r="F1859" s="1">
        <f>VLOOKUP(jablka5[[#This Row],[Nazwa]],cennik[],2,0) * jablka5[[#This Row],[sprzedaż]]</f>
        <v>1213.8</v>
      </c>
      <c r="G1859" s="1">
        <f>IF(jablka5[[#This Row],[NIP]]=D1858,jablka5[[#This Row],[sprzedaż]]+G1858,jablka5[[#This Row],[sprzedaż]])</f>
        <v>7853</v>
      </c>
      <c r="H1859" s="1">
        <f>IF(jablka5[[#This Row],[dot sprz]]&lt;15000,0,IF(jablka5[[#This Row],[dot sprz]]&lt;20000,5,10))</f>
        <v>0</v>
      </c>
      <c r="I1859" s="1">
        <f>jablka5[[#This Row],[rabat]]*jablka5[[#This Row],[sprzedaż]]/100</f>
        <v>0</v>
      </c>
    </row>
    <row r="1860" spans="1:9" x14ac:dyDescent="0.25">
      <c r="A1860" s="2">
        <v>44698</v>
      </c>
      <c r="B1860" s="1" t="s">
        <v>4</v>
      </c>
      <c r="C1860" s="1" t="s">
        <v>16</v>
      </c>
      <c r="D1860" s="1" t="s">
        <v>41</v>
      </c>
      <c r="E1860">
        <v>592</v>
      </c>
      <c r="F1860" s="1">
        <f>VLOOKUP(jablka5[[#This Row],[Nazwa]],cennik[],2,0) * jablka5[[#This Row],[sprzedaż]]</f>
        <v>2012.8</v>
      </c>
      <c r="G1860" s="1">
        <f>IF(jablka5[[#This Row],[NIP]]=D1859,jablka5[[#This Row],[sprzedaż]]+G1859,jablka5[[#This Row],[sprzedaż]])</f>
        <v>8445</v>
      </c>
      <c r="H1860" s="1">
        <f>IF(jablka5[[#This Row],[dot sprz]]&lt;15000,0,IF(jablka5[[#This Row],[dot sprz]]&lt;20000,5,10))</f>
        <v>0</v>
      </c>
      <c r="I1860" s="1">
        <f>jablka5[[#This Row],[rabat]]*jablka5[[#This Row],[sprzedaż]]/100</f>
        <v>0</v>
      </c>
    </row>
    <row r="1861" spans="1:9" x14ac:dyDescent="0.25">
      <c r="A1861" s="2">
        <v>44701</v>
      </c>
      <c r="B1861" s="1" t="s">
        <v>5</v>
      </c>
      <c r="C1861" s="1" t="s">
        <v>16</v>
      </c>
      <c r="D1861" s="1" t="s">
        <v>41</v>
      </c>
      <c r="E1861">
        <v>185</v>
      </c>
      <c r="F1861" s="1">
        <f>VLOOKUP(jablka5[[#This Row],[Nazwa]],cennik[],2,0) * jablka5[[#This Row],[sprzedaż]]</f>
        <v>629</v>
      </c>
      <c r="G1861" s="1">
        <f>IF(jablka5[[#This Row],[NIP]]=D1860,jablka5[[#This Row],[sprzedaż]]+G1860,jablka5[[#This Row],[sprzedaż]])</f>
        <v>8630</v>
      </c>
      <c r="H1861" s="1">
        <f>IF(jablka5[[#This Row],[dot sprz]]&lt;15000,0,IF(jablka5[[#This Row],[dot sprz]]&lt;20000,5,10))</f>
        <v>0</v>
      </c>
      <c r="I1861" s="1">
        <f>jablka5[[#This Row],[rabat]]*jablka5[[#This Row],[sprzedaż]]/100</f>
        <v>0</v>
      </c>
    </row>
    <row r="1862" spans="1:9" x14ac:dyDescent="0.25">
      <c r="A1862" s="2">
        <v>44707</v>
      </c>
      <c r="B1862" s="1" t="s">
        <v>0</v>
      </c>
      <c r="C1862" s="1" t="s">
        <v>16</v>
      </c>
      <c r="D1862" s="1" t="s">
        <v>41</v>
      </c>
      <c r="E1862">
        <v>484</v>
      </c>
      <c r="F1862" s="1">
        <f>VLOOKUP(jablka5[[#This Row],[Nazwa]],cennik[],2,0) * jablka5[[#This Row],[sprzedaż]]</f>
        <v>1403.6</v>
      </c>
      <c r="G1862" s="1">
        <f>IF(jablka5[[#This Row],[NIP]]=D1861,jablka5[[#This Row],[sprzedaż]]+G1861,jablka5[[#This Row],[sprzedaż]])</f>
        <v>9114</v>
      </c>
      <c r="H1862" s="1">
        <f>IF(jablka5[[#This Row],[dot sprz]]&lt;15000,0,IF(jablka5[[#This Row],[dot sprz]]&lt;20000,5,10))</f>
        <v>0</v>
      </c>
      <c r="I1862" s="1">
        <f>jablka5[[#This Row],[rabat]]*jablka5[[#This Row],[sprzedaż]]/100</f>
        <v>0</v>
      </c>
    </row>
    <row r="1863" spans="1:9" x14ac:dyDescent="0.25">
      <c r="A1863" s="2">
        <v>44711</v>
      </c>
      <c r="B1863" s="1" t="s">
        <v>6</v>
      </c>
      <c r="C1863" s="1" t="s">
        <v>16</v>
      </c>
      <c r="D1863" s="1" t="s">
        <v>41</v>
      </c>
      <c r="E1863">
        <v>405</v>
      </c>
      <c r="F1863" s="1">
        <f>VLOOKUP(jablka5[[#This Row],[Nazwa]],cennik[],2,0) * jablka5[[#This Row],[sprzedaż]]</f>
        <v>1377</v>
      </c>
      <c r="G1863" s="1">
        <f>IF(jablka5[[#This Row],[NIP]]=D1862,jablka5[[#This Row],[sprzedaż]]+G1862,jablka5[[#This Row],[sprzedaż]])</f>
        <v>9519</v>
      </c>
      <c r="H1863" s="1">
        <f>IF(jablka5[[#This Row],[dot sprz]]&lt;15000,0,IF(jablka5[[#This Row],[dot sprz]]&lt;20000,5,10))</f>
        <v>0</v>
      </c>
      <c r="I1863" s="1">
        <f>jablka5[[#This Row],[rabat]]*jablka5[[#This Row],[sprzedaż]]/100</f>
        <v>0</v>
      </c>
    </row>
    <row r="1864" spans="1:9" x14ac:dyDescent="0.25">
      <c r="A1864" s="2">
        <v>44712</v>
      </c>
      <c r="B1864" s="1" t="s">
        <v>8</v>
      </c>
      <c r="C1864" s="1" t="s">
        <v>16</v>
      </c>
      <c r="D1864" s="1" t="s">
        <v>41</v>
      </c>
      <c r="E1864">
        <v>676</v>
      </c>
      <c r="F1864" s="1">
        <f>VLOOKUP(jablka5[[#This Row],[Nazwa]],cennik[],2,0) * jablka5[[#This Row],[sprzedaż]]</f>
        <v>2366</v>
      </c>
      <c r="G1864" s="1">
        <f>IF(jablka5[[#This Row],[NIP]]=D1863,jablka5[[#This Row],[sprzedaż]]+G1863,jablka5[[#This Row],[sprzedaż]])</f>
        <v>10195</v>
      </c>
      <c r="H1864" s="1">
        <f>IF(jablka5[[#This Row],[dot sprz]]&lt;15000,0,IF(jablka5[[#This Row],[dot sprz]]&lt;20000,5,10))</f>
        <v>0</v>
      </c>
      <c r="I1864" s="1">
        <f>jablka5[[#This Row],[rabat]]*jablka5[[#This Row],[sprzedaż]]/100</f>
        <v>0</v>
      </c>
    </row>
    <row r="1865" spans="1:9" x14ac:dyDescent="0.25">
      <c r="A1865" s="2">
        <v>44726</v>
      </c>
      <c r="B1865" s="1" t="s">
        <v>12</v>
      </c>
      <c r="C1865" s="1" t="s">
        <v>68</v>
      </c>
      <c r="D1865" s="1" t="s">
        <v>41</v>
      </c>
      <c r="E1865">
        <v>285</v>
      </c>
      <c r="F1865" s="1">
        <f>VLOOKUP(jablka5[[#This Row],[Nazwa]],cennik[],2,0) * jablka5[[#This Row],[sprzedaż]]</f>
        <v>769.5</v>
      </c>
      <c r="G1865" s="1">
        <f>IF(jablka5[[#This Row],[NIP]]=D1864,jablka5[[#This Row],[sprzedaż]]+G1864,jablka5[[#This Row],[sprzedaż]])</f>
        <v>10480</v>
      </c>
      <c r="H1865" s="1">
        <f>IF(jablka5[[#This Row],[dot sprz]]&lt;15000,0,IF(jablka5[[#This Row],[dot sprz]]&lt;20000,5,10))</f>
        <v>0</v>
      </c>
      <c r="I1865" s="1">
        <f>jablka5[[#This Row],[rabat]]*jablka5[[#This Row],[sprzedaż]]/100</f>
        <v>0</v>
      </c>
    </row>
    <row r="1866" spans="1:9" x14ac:dyDescent="0.25">
      <c r="A1866" s="2">
        <v>44726</v>
      </c>
      <c r="B1866" s="1" t="s">
        <v>14</v>
      </c>
      <c r="C1866" s="1" t="s">
        <v>67</v>
      </c>
      <c r="D1866" s="1" t="s">
        <v>41</v>
      </c>
      <c r="E1866">
        <v>400</v>
      </c>
      <c r="F1866" s="1">
        <f>VLOOKUP(jablka5[[#This Row],[Nazwa]],cennik[],2,0) * jablka5[[#This Row],[sprzedaż]]</f>
        <v>1400</v>
      </c>
      <c r="G1866" s="1">
        <f>IF(jablka5[[#This Row],[NIP]]=D1865,jablka5[[#This Row],[sprzedaż]]+G1865,jablka5[[#This Row],[sprzedaż]])</f>
        <v>10880</v>
      </c>
      <c r="H1866" s="1">
        <f>IF(jablka5[[#This Row],[dot sprz]]&lt;15000,0,IF(jablka5[[#This Row],[dot sprz]]&lt;20000,5,10))</f>
        <v>0</v>
      </c>
      <c r="I1866" s="1">
        <f>jablka5[[#This Row],[rabat]]*jablka5[[#This Row],[sprzedaż]]/100</f>
        <v>0</v>
      </c>
    </row>
    <row r="1867" spans="1:9" x14ac:dyDescent="0.25">
      <c r="A1867" s="2">
        <v>44729</v>
      </c>
      <c r="B1867" s="1" t="s">
        <v>12</v>
      </c>
      <c r="C1867" s="1" t="s">
        <v>68</v>
      </c>
      <c r="D1867" s="1" t="s">
        <v>41</v>
      </c>
      <c r="E1867">
        <v>269</v>
      </c>
      <c r="F1867" s="1">
        <f>VLOOKUP(jablka5[[#This Row],[Nazwa]],cennik[],2,0) * jablka5[[#This Row],[sprzedaż]]</f>
        <v>726.30000000000007</v>
      </c>
      <c r="G1867" s="1">
        <f>IF(jablka5[[#This Row],[NIP]]=D1866,jablka5[[#This Row],[sprzedaż]]+G1866,jablka5[[#This Row],[sprzedaż]])</f>
        <v>11149</v>
      </c>
      <c r="H1867" s="1">
        <f>IF(jablka5[[#This Row],[dot sprz]]&lt;15000,0,IF(jablka5[[#This Row],[dot sprz]]&lt;20000,5,10))</f>
        <v>0</v>
      </c>
      <c r="I1867" s="1">
        <f>jablka5[[#This Row],[rabat]]*jablka5[[#This Row],[sprzedaż]]/100</f>
        <v>0</v>
      </c>
    </row>
    <row r="1868" spans="1:9" x14ac:dyDescent="0.25">
      <c r="A1868" s="2">
        <v>44769</v>
      </c>
      <c r="B1868" s="1" t="s">
        <v>13</v>
      </c>
      <c r="C1868" s="1" t="s">
        <v>68</v>
      </c>
      <c r="D1868" s="1" t="s">
        <v>41</v>
      </c>
      <c r="E1868">
        <v>430</v>
      </c>
      <c r="F1868" s="1">
        <f>VLOOKUP(jablka5[[#This Row],[Nazwa]],cennik[],2,0) * jablka5[[#This Row],[sprzedaż]]</f>
        <v>1376</v>
      </c>
      <c r="G1868" s="1">
        <f>IF(jablka5[[#This Row],[NIP]]=D1867,jablka5[[#This Row],[sprzedaż]]+G1867,jablka5[[#This Row],[sprzedaż]])</f>
        <v>11579</v>
      </c>
      <c r="H1868" s="1">
        <f>IF(jablka5[[#This Row],[dot sprz]]&lt;15000,0,IF(jablka5[[#This Row],[dot sprz]]&lt;20000,5,10))</f>
        <v>0</v>
      </c>
      <c r="I1868" s="1">
        <f>jablka5[[#This Row],[rabat]]*jablka5[[#This Row],[sprzedaż]]/100</f>
        <v>0</v>
      </c>
    </row>
    <row r="1869" spans="1:9" x14ac:dyDescent="0.25">
      <c r="A1869" s="2">
        <v>44769</v>
      </c>
      <c r="B1869" s="1" t="s">
        <v>14</v>
      </c>
      <c r="C1869" s="1" t="s">
        <v>67</v>
      </c>
      <c r="D1869" s="1" t="s">
        <v>41</v>
      </c>
      <c r="E1869">
        <v>474</v>
      </c>
      <c r="F1869" s="1">
        <f>VLOOKUP(jablka5[[#This Row],[Nazwa]],cennik[],2,0) * jablka5[[#This Row],[sprzedaż]]</f>
        <v>1659</v>
      </c>
      <c r="G1869" s="1">
        <f>IF(jablka5[[#This Row],[NIP]]=D1868,jablka5[[#This Row],[sprzedaż]]+G1868,jablka5[[#This Row],[sprzedaż]])</f>
        <v>12053</v>
      </c>
      <c r="H1869" s="1">
        <f>IF(jablka5[[#This Row],[dot sprz]]&lt;15000,0,IF(jablka5[[#This Row],[dot sprz]]&lt;20000,5,10))</f>
        <v>0</v>
      </c>
      <c r="I1869" s="1">
        <f>jablka5[[#This Row],[rabat]]*jablka5[[#This Row],[sprzedaż]]/100</f>
        <v>0</v>
      </c>
    </row>
    <row r="1870" spans="1:9" x14ac:dyDescent="0.25">
      <c r="A1870" s="2">
        <v>44781</v>
      </c>
      <c r="B1870" s="1" t="s">
        <v>13</v>
      </c>
      <c r="C1870" s="1" t="s">
        <v>68</v>
      </c>
      <c r="D1870" s="1" t="s">
        <v>41</v>
      </c>
      <c r="E1870">
        <v>389</v>
      </c>
      <c r="F1870" s="1">
        <f>VLOOKUP(jablka5[[#This Row],[Nazwa]],cennik[],2,0) * jablka5[[#This Row],[sprzedaż]]</f>
        <v>1244.8000000000002</v>
      </c>
      <c r="G1870" s="1">
        <f>IF(jablka5[[#This Row],[NIP]]=D1869,jablka5[[#This Row],[sprzedaż]]+G1869,jablka5[[#This Row],[sprzedaż]])</f>
        <v>12442</v>
      </c>
      <c r="H1870" s="1">
        <f>IF(jablka5[[#This Row],[dot sprz]]&lt;15000,0,IF(jablka5[[#This Row],[dot sprz]]&lt;20000,5,10))</f>
        <v>0</v>
      </c>
      <c r="I1870" s="1">
        <f>jablka5[[#This Row],[rabat]]*jablka5[[#This Row],[sprzedaż]]/100</f>
        <v>0</v>
      </c>
    </row>
    <row r="1871" spans="1:9" x14ac:dyDescent="0.25">
      <c r="A1871" s="2">
        <v>44783</v>
      </c>
      <c r="B1871" s="1" t="s">
        <v>12</v>
      </c>
      <c r="C1871" s="1" t="s">
        <v>68</v>
      </c>
      <c r="D1871" s="1" t="s">
        <v>41</v>
      </c>
      <c r="E1871">
        <v>369</v>
      </c>
      <c r="F1871" s="1">
        <f>VLOOKUP(jablka5[[#This Row],[Nazwa]],cennik[],2,0) * jablka5[[#This Row],[sprzedaż]]</f>
        <v>996.30000000000007</v>
      </c>
      <c r="G1871" s="1">
        <f>IF(jablka5[[#This Row],[NIP]]=D1870,jablka5[[#This Row],[sprzedaż]]+G1870,jablka5[[#This Row],[sprzedaż]])</f>
        <v>12811</v>
      </c>
      <c r="H1871" s="1">
        <f>IF(jablka5[[#This Row],[dot sprz]]&lt;15000,0,IF(jablka5[[#This Row],[dot sprz]]&lt;20000,5,10))</f>
        <v>0</v>
      </c>
      <c r="I1871" s="1">
        <f>jablka5[[#This Row],[rabat]]*jablka5[[#This Row],[sprzedaż]]/100</f>
        <v>0</v>
      </c>
    </row>
    <row r="1872" spans="1:9" x14ac:dyDescent="0.25">
      <c r="A1872" s="2">
        <v>44785</v>
      </c>
      <c r="B1872" s="1" t="s">
        <v>13</v>
      </c>
      <c r="C1872" s="1" t="s">
        <v>68</v>
      </c>
      <c r="D1872" s="1" t="s">
        <v>41</v>
      </c>
      <c r="E1872">
        <v>175</v>
      </c>
      <c r="F1872" s="1">
        <f>VLOOKUP(jablka5[[#This Row],[Nazwa]],cennik[],2,0) * jablka5[[#This Row],[sprzedaż]]</f>
        <v>560</v>
      </c>
      <c r="G1872" s="1">
        <f>IF(jablka5[[#This Row],[NIP]]=D1871,jablka5[[#This Row],[sprzedaż]]+G1871,jablka5[[#This Row],[sprzedaż]])</f>
        <v>12986</v>
      </c>
      <c r="H1872" s="1">
        <f>IF(jablka5[[#This Row],[dot sprz]]&lt;15000,0,IF(jablka5[[#This Row],[dot sprz]]&lt;20000,5,10))</f>
        <v>0</v>
      </c>
      <c r="I1872" s="1">
        <f>jablka5[[#This Row],[rabat]]*jablka5[[#This Row],[sprzedaż]]/100</f>
        <v>0</v>
      </c>
    </row>
    <row r="1873" spans="1:9" x14ac:dyDescent="0.25">
      <c r="A1873" s="2">
        <v>44792</v>
      </c>
      <c r="B1873" s="1" t="s">
        <v>12</v>
      </c>
      <c r="C1873" s="1" t="s">
        <v>68</v>
      </c>
      <c r="D1873" s="1" t="s">
        <v>41</v>
      </c>
      <c r="E1873">
        <v>143</v>
      </c>
      <c r="F1873" s="1">
        <f>VLOOKUP(jablka5[[#This Row],[Nazwa]],cennik[],2,0) * jablka5[[#This Row],[sprzedaż]]</f>
        <v>386.1</v>
      </c>
      <c r="G1873" s="1">
        <f>IF(jablka5[[#This Row],[NIP]]=D1872,jablka5[[#This Row],[sprzedaż]]+G1872,jablka5[[#This Row],[sprzedaż]])</f>
        <v>13129</v>
      </c>
      <c r="H1873" s="1">
        <f>IF(jablka5[[#This Row],[dot sprz]]&lt;15000,0,IF(jablka5[[#This Row],[dot sprz]]&lt;20000,5,10))</f>
        <v>0</v>
      </c>
      <c r="I1873" s="1">
        <f>jablka5[[#This Row],[rabat]]*jablka5[[#This Row],[sprzedaż]]/100</f>
        <v>0</v>
      </c>
    </row>
    <row r="1874" spans="1:9" x14ac:dyDescent="0.25">
      <c r="A1874" s="2">
        <v>44799</v>
      </c>
      <c r="B1874" s="1" t="s">
        <v>12</v>
      </c>
      <c r="C1874" s="1" t="s">
        <v>68</v>
      </c>
      <c r="D1874" s="1" t="s">
        <v>41</v>
      </c>
      <c r="E1874">
        <v>248</v>
      </c>
      <c r="F1874" s="1">
        <f>VLOOKUP(jablka5[[#This Row],[Nazwa]],cennik[],2,0) * jablka5[[#This Row],[sprzedaż]]</f>
        <v>669.6</v>
      </c>
      <c r="G1874" s="1">
        <f>IF(jablka5[[#This Row],[NIP]]=D1873,jablka5[[#This Row],[sprzedaż]]+G1873,jablka5[[#This Row],[sprzedaż]])</f>
        <v>13377</v>
      </c>
      <c r="H1874" s="1">
        <f>IF(jablka5[[#This Row],[dot sprz]]&lt;15000,0,IF(jablka5[[#This Row],[dot sprz]]&lt;20000,5,10))</f>
        <v>0</v>
      </c>
      <c r="I1874" s="1">
        <f>jablka5[[#This Row],[rabat]]*jablka5[[#This Row],[sprzedaż]]/100</f>
        <v>0</v>
      </c>
    </row>
    <row r="1875" spans="1:9" x14ac:dyDescent="0.25">
      <c r="A1875" s="2">
        <v>44810</v>
      </c>
      <c r="B1875" s="1" t="s">
        <v>1</v>
      </c>
      <c r="C1875" s="1" t="s">
        <v>67</v>
      </c>
      <c r="D1875" s="1" t="s">
        <v>41</v>
      </c>
      <c r="E1875">
        <v>22</v>
      </c>
      <c r="F1875" s="1">
        <f>VLOOKUP(jablka5[[#This Row],[Nazwa]],cennik[],2,0) * jablka5[[#This Row],[sprzedaż]]</f>
        <v>70.400000000000006</v>
      </c>
      <c r="G1875" s="1">
        <f>IF(jablka5[[#This Row],[NIP]]=D1874,jablka5[[#This Row],[sprzedaż]]+G1874,jablka5[[#This Row],[sprzedaż]])</f>
        <v>13399</v>
      </c>
      <c r="H1875" s="1">
        <f>IF(jablka5[[#This Row],[dot sprz]]&lt;15000,0,IF(jablka5[[#This Row],[dot sprz]]&lt;20000,5,10))</f>
        <v>0</v>
      </c>
      <c r="I1875" s="1">
        <f>jablka5[[#This Row],[rabat]]*jablka5[[#This Row],[sprzedaż]]/100</f>
        <v>0</v>
      </c>
    </row>
    <row r="1876" spans="1:9" x14ac:dyDescent="0.25">
      <c r="A1876" s="2">
        <v>44814</v>
      </c>
      <c r="B1876" s="1" t="s">
        <v>14</v>
      </c>
      <c r="C1876" s="1" t="s">
        <v>67</v>
      </c>
      <c r="D1876" s="1" t="s">
        <v>41</v>
      </c>
      <c r="E1876">
        <v>458</v>
      </c>
      <c r="F1876" s="1">
        <f>VLOOKUP(jablka5[[#This Row],[Nazwa]],cennik[],2,0) * jablka5[[#This Row],[sprzedaż]]</f>
        <v>1603</v>
      </c>
      <c r="G1876" s="1">
        <f>IF(jablka5[[#This Row],[NIP]]=D1875,jablka5[[#This Row],[sprzedaż]]+G1875,jablka5[[#This Row],[sprzedaż]])</f>
        <v>13857</v>
      </c>
      <c r="H1876" s="1">
        <f>IF(jablka5[[#This Row],[dot sprz]]&lt;15000,0,IF(jablka5[[#This Row],[dot sprz]]&lt;20000,5,10))</f>
        <v>0</v>
      </c>
      <c r="I1876" s="1">
        <f>jablka5[[#This Row],[rabat]]*jablka5[[#This Row],[sprzedaż]]/100</f>
        <v>0</v>
      </c>
    </row>
    <row r="1877" spans="1:9" x14ac:dyDescent="0.25">
      <c r="A1877" s="2">
        <v>44837</v>
      </c>
      <c r="B1877" s="1" t="s">
        <v>1</v>
      </c>
      <c r="C1877" s="1" t="s">
        <v>67</v>
      </c>
      <c r="D1877" s="1" t="s">
        <v>41</v>
      </c>
      <c r="E1877">
        <v>243</v>
      </c>
      <c r="F1877" s="1">
        <f>VLOOKUP(jablka5[[#This Row],[Nazwa]],cennik[],2,0) * jablka5[[#This Row],[sprzedaż]]</f>
        <v>777.6</v>
      </c>
      <c r="G1877" s="1">
        <f>IF(jablka5[[#This Row],[NIP]]=D1876,jablka5[[#This Row],[sprzedaż]]+G1876,jablka5[[#This Row],[sprzedaż]])</f>
        <v>14100</v>
      </c>
      <c r="H1877" s="1">
        <f>IF(jablka5[[#This Row],[dot sprz]]&lt;15000,0,IF(jablka5[[#This Row],[dot sprz]]&lt;20000,5,10))</f>
        <v>0</v>
      </c>
      <c r="I1877" s="1">
        <f>jablka5[[#This Row],[rabat]]*jablka5[[#This Row],[sprzedaż]]/100</f>
        <v>0</v>
      </c>
    </row>
    <row r="1878" spans="1:9" x14ac:dyDescent="0.25">
      <c r="A1878" s="2">
        <v>44846</v>
      </c>
      <c r="B1878" s="1" t="s">
        <v>14</v>
      </c>
      <c r="C1878" s="1" t="s">
        <v>67</v>
      </c>
      <c r="D1878" s="1" t="s">
        <v>41</v>
      </c>
      <c r="E1878">
        <v>238</v>
      </c>
      <c r="F1878" s="1">
        <f>VLOOKUP(jablka5[[#This Row],[Nazwa]],cennik[],2,0) * jablka5[[#This Row],[sprzedaż]]</f>
        <v>833</v>
      </c>
      <c r="G1878" s="1">
        <f>IF(jablka5[[#This Row],[NIP]]=D1877,jablka5[[#This Row],[sprzedaż]]+G1877,jablka5[[#This Row],[sprzedaż]])</f>
        <v>14338</v>
      </c>
      <c r="H1878" s="1">
        <f>IF(jablka5[[#This Row],[dot sprz]]&lt;15000,0,IF(jablka5[[#This Row],[dot sprz]]&lt;20000,5,10))</f>
        <v>0</v>
      </c>
      <c r="I1878" s="1">
        <f>jablka5[[#This Row],[rabat]]*jablka5[[#This Row],[sprzedaż]]/100</f>
        <v>0</v>
      </c>
    </row>
    <row r="1879" spans="1:9" x14ac:dyDescent="0.25">
      <c r="A1879" s="2">
        <v>44851</v>
      </c>
      <c r="B1879" s="1" t="s">
        <v>14</v>
      </c>
      <c r="C1879" s="1" t="s">
        <v>67</v>
      </c>
      <c r="D1879" s="1" t="s">
        <v>41</v>
      </c>
      <c r="E1879">
        <v>338</v>
      </c>
      <c r="F1879" s="1">
        <f>VLOOKUP(jablka5[[#This Row],[Nazwa]],cennik[],2,0) * jablka5[[#This Row],[sprzedaż]]</f>
        <v>1183</v>
      </c>
      <c r="G1879" s="1">
        <f>IF(jablka5[[#This Row],[NIP]]=D1878,jablka5[[#This Row],[sprzedaż]]+G1878,jablka5[[#This Row],[sprzedaż]])</f>
        <v>14676</v>
      </c>
      <c r="H1879" s="1">
        <f>IF(jablka5[[#This Row],[dot sprz]]&lt;15000,0,IF(jablka5[[#This Row],[dot sprz]]&lt;20000,5,10))</f>
        <v>0</v>
      </c>
      <c r="I1879" s="1">
        <f>jablka5[[#This Row],[rabat]]*jablka5[[#This Row],[sprzedaż]]/100</f>
        <v>0</v>
      </c>
    </row>
    <row r="1880" spans="1:9" x14ac:dyDescent="0.25">
      <c r="A1880" s="2">
        <v>44865</v>
      </c>
      <c r="B1880" s="1" t="s">
        <v>9</v>
      </c>
      <c r="C1880" s="1" t="s">
        <v>67</v>
      </c>
      <c r="D1880" s="1" t="s">
        <v>41</v>
      </c>
      <c r="E1880">
        <v>194</v>
      </c>
      <c r="F1880" s="1">
        <f>VLOOKUP(jablka5[[#This Row],[Nazwa]],cennik[],2,0) * jablka5[[#This Row],[sprzedaż]]</f>
        <v>485</v>
      </c>
      <c r="G1880" s="1">
        <f>IF(jablka5[[#This Row],[NIP]]=D1879,jablka5[[#This Row],[sprzedaż]]+G1879,jablka5[[#This Row],[sprzedaż]])</f>
        <v>14870</v>
      </c>
      <c r="H1880" s="1">
        <f>IF(jablka5[[#This Row],[dot sprz]]&lt;15000,0,IF(jablka5[[#This Row],[dot sprz]]&lt;20000,5,10))</f>
        <v>0</v>
      </c>
      <c r="I1880" s="1">
        <f>jablka5[[#This Row],[rabat]]*jablka5[[#This Row],[sprzedaż]]/100</f>
        <v>0</v>
      </c>
    </row>
    <row r="1881" spans="1:9" x14ac:dyDescent="0.25">
      <c r="A1881" s="2">
        <v>44867</v>
      </c>
      <c r="B1881" s="1" t="s">
        <v>1</v>
      </c>
      <c r="C1881" s="1" t="s">
        <v>67</v>
      </c>
      <c r="D1881" s="1" t="s">
        <v>41</v>
      </c>
      <c r="E1881">
        <v>327</v>
      </c>
      <c r="F1881" s="1">
        <f>VLOOKUP(jablka5[[#This Row],[Nazwa]],cennik[],2,0) * jablka5[[#This Row],[sprzedaż]]</f>
        <v>1046.4000000000001</v>
      </c>
      <c r="G1881" s="1">
        <f>IF(jablka5[[#This Row],[NIP]]=D1880,jablka5[[#This Row],[sprzedaż]]+G1880,jablka5[[#This Row],[sprzedaż]])</f>
        <v>15197</v>
      </c>
      <c r="H1881" s="1">
        <f>IF(jablka5[[#This Row],[dot sprz]]&lt;15000,0,IF(jablka5[[#This Row],[dot sprz]]&lt;20000,5,10))</f>
        <v>5</v>
      </c>
      <c r="I1881" s="1">
        <f>jablka5[[#This Row],[rabat]]*jablka5[[#This Row],[sprzedaż]]/100</f>
        <v>16.350000000000001</v>
      </c>
    </row>
    <row r="1882" spans="1:9" x14ac:dyDescent="0.25">
      <c r="A1882" s="2">
        <v>44879</v>
      </c>
      <c r="B1882" s="1" t="s">
        <v>14</v>
      </c>
      <c r="C1882" s="1" t="s">
        <v>67</v>
      </c>
      <c r="D1882" s="1" t="s">
        <v>41</v>
      </c>
      <c r="E1882">
        <v>484</v>
      </c>
      <c r="F1882" s="1">
        <f>VLOOKUP(jablka5[[#This Row],[Nazwa]],cennik[],2,0) * jablka5[[#This Row],[sprzedaż]]</f>
        <v>1694</v>
      </c>
      <c r="G1882" s="1">
        <f>IF(jablka5[[#This Row],[NIP]]=D1881,jablka5[[#This Row],[sprzedaż]]+G1881,jablka5[[#This Row],[sprzedaż]])</f>
        <v>15681</v>
      </c>
      <c r="H1882" s="1">
        <f>IF(jablka5[[#This Row],[dot sprz]]&lt;15000,0,IF(jablka5[[#This Row],[dot sprz]]&lt;20000,5,10))</f>
        <v>5</v>
      </c>
      <c r="I1882" s="1">
        <f>jablka5[[#This Row],[rabat]]*jablka5[[#This Row],[sprzedaż]]/100</f>
        <v>24.2</v>
      </c>
    </row>
    <row r="1883" spans="1:9" x14ac:dyDescent="0.25">
      <c r="A1883" s="2">
        <v>44883</v>
      </c>
      <c r="B1883" s="1" t="s">
        <v>1</v>
      </c>
      <c r="C1883" s="1" t="s">
        <v>67</v>
      </c>
      <c r="D1883" s="1" t="s">
        <v>41</v>
      </c>
      <c r="E1883">
        <v>424</v>
      </c>
      <c r="F1883" s="1">
        <f>VLOOKUP(jablka5[[#This Row],[Nazwa]],cennik[],2,0) * jablka5[[#This Row],[sprzedaż]]</f>
        <v>1356.8000000000002</v>
      </c>
      <c r="G1883" s="1">
        <f>IF(jablka5[[#This Row],[NIP]]=D1882,jablka5[[#This Row],[sprzedaż]]+G1882,jablka5[[#This Row],[sprzedaż]])</f>
        <v>16105</v>
      </c>
      <c r="H1883" s="1">
        <f>IF(jablka5[[#This Row],[dot sprz]]&lt;15000,0,IF(jablka5[[#This Row],[dot sprz]]&lt;20000,5,10))</f>
        <v>5</v>
      </c>
      <c r="I1883" s="1">
        <f>jablka5[[#This Row],[rabat]]*jablka5[[#This Row],[sprzedaż]]/100</f>
        <v>21.2</v>
      </c>
    </row>
    <row r="1884" spans="1:9" x14ac:dyDescent="0.25">
      <c r="A1884" s="2">
        <v>44893</v>
      </c>
      <c r="B1884" s="1" t="s">
        <v>14</v>
      </c>
      <c r="C1884" s="1" t="s">
        <v>67</v>
      </c>
      <c r="D1884" s="1" t="s">
        <v>41</v>
      </c>
      <c r="E1884">
        <v>338</v>
      </c>
      <c r="F1884" s="1">
        <f>VLOOKUP(jablka5[[#This Row],[Nazwa]],cennik[],2,0) * jablka5[[#This Row],[sprzedaż]]</f>
        <v>1183</v>
      </c>
      <c r="G1884" s="1">
        <f>IF(jablka5[[#This Row],[NIP]]=D1883,jablka5[[#This Row],[sprzedaż]]+G1883,jablka5[[#This Row],[sprzedaż]])</f>
        <v>16443</v>
      </c>
      <c r="H1884" s="1">
        <f>IF(jablka5[[#This Row],[dot sprz]]&lt;15000,0,IF(jablka5[[#This Row],[dot sprz]]&lt;20000,5,10))</f>
        <v>5</v>
      </c>
      <c r="I1884" s="1">
        <f>jablka5[[#This Row],[rabat]]*jablka5[[#This Row],[sprzedaż]]/100</f>
        <v>16.899999999999999</v>
      </c>
    </row>
    <row r="1885" spans="1:9" x14ac:dyDescent="0.25">
      <c r="A1885" s="2">
        <v>44903</v>
      </c>
      <c r="B1885" s="1" t="s">
        <v>8</v>
      </c>
      <c r="C1885" s="1" t="s">
        <v>16</v>
      </c>
      <c r="D1885" s="1" t="s">
        <v>41</v>
      </c>
      <c r="E1885">
        <v>421</v>
      </c>
      <c r="F1885" s="1">
        <f>VLOOKUP(jablka5[[#This Row],[Nazwa]],cennik[],2,0) * jablka5[[#This Row],[sprzedaż]]</f>
        <v>1473.5</v>
      </c>
      <c r="G1885" s="1">
        <f>IF(jablka5[[#This Row],[NIP]]=D1884,jablka5[[#This Row],[sprzedaż]]+G1884,jablka5[[#This Row],[sprzedaż]])</f>
        <v>16864</v>
      </c>
      <c r="H1885" s="1">
        <f>IF(jablka5[[#This Row],[dot sprz]]&lt;15000,0,IF(jablka5[[#This Row],[dot sprz]]&lt;20000,5,10))</f>
        <v>5</v>
      </c>
      <c r="I1885" s="1">
        <f>jablka5[[#This Row],[rabat]]*jablka5[[#This Row],[sprzedaż]]/100</f>
        <v>21.05</v>
      </c>
    </row>
    <row r="1886" spans="1:9" x14ac:dyDescent="0.25">
      <c r="A1886" s="2">
        <v>44908</v>
      </c>
      <c r="B1886" s="1" t="s">
        <v>5</v>
      </c>
      <c r="C1886" s="1" t="s">
        <v>16</v>
      </c>
      <c r="D1886" s="1" t="s">
        <v>41</v>
      </c>
      <c r="E1886">
        <v>318</v>
      </c>
      <c r="F1886" s="1">
        <f>VLOOKUP(jablka5[[#This Row],[Nazwa]],cennik[],2,0) * jablka5[[#This Row],[sprzedaż]]</f>
        <v>1081.2</v>
      </c>
      <c r="G1886" s="1">
        <f>IF(jablka5[[#This Row],[NIP]]=D1885,jablka5[[#This Row],[sprzedaż]]+G1885,jablka5[[#This Row],[sprzedaż]])</f>
        <v>17182</v>
      </c>
      <c r="H1886" s="1">
        <f>IF(jablka5[[#This Row],[dot sprz]]&lt;15000,0,IF(jablka5[[#This Row],[dot sprz]]&lt;20000,5,10))</f>
        <v>5</v>
      </c>
      <c r="I1886" s="1">
        <f>jablka5[[#This Row],[rabat]]*jablka5[[#This Row],[sprzedaż]]/100</f>
        <v>15.9</v>
      </c>
    </row>
    <row r="1887" spans="1:9" x14ac:dyDescent="0.25">
      <c r="A1887" s="2">
        <v>44914</v>
      </c>
      <c r="B1887" s="1" t="s">
        <v>6</v>
      </c>
      <c r="C1887" s="1" t="s">
        <v>16</v>
      </c>
      <c r="D1887" s="1" t="s">
        <v>41</v>
      </c>
      <c r="E1887">
        <v>452</v>
      </c>
      <c r="F1887" s="1">
        <f>VLOOKUP(jablka5[[#This Row],[Nazwa]],cennik[],2,0) * jablka5[[#This Row],[sprzedaż]]</f>
        <v>1536.8</v>
      </c>
      <c r="G1887" s="1">
        <f>IF(jablka5[[#This Row],[NIP]]=D1886,jablka5[[#This Row],[sprzedaż]]+G1886,jablka5[[#This Row],[sprzedaż]])</f>
        <v>17634</v>
      </c>
      <c r="H1887" s="1">
        <f>IF(jablka5[[#This Row],[dot sprz]]&lt;15000,0,IF(jablka5[[#This Row],[dot sprz]]&lt;20000,5,10))</f>
        <v>5</v>
      </c>
      <c r="I1887" s="1">
        <f>jablka5[[#This Row],[rabat]]*jablka5[[#This Row],[sprzedaż]]/100</f>
        <v>22.6</v>
      </c>
    </row>
    <row r="1888" spans="1:9" x14ac:dyDescent="0.25">
      <c r="A1888" s="2">
        <v>44916</v>
      </c>
      <c r="B1888" s="1" t="s">
        <v>2</v>
      </c>
      <c r="C1888" s="1" t="s">
        <v>16</v>
      </c>
      <c r="D1888" s="1" t="s">
        <v>41</v>
      </c>
      <c r="E1888">
        <v>165</v>
      </c>
      <c r="F1888" s="1">
        <f>VLOOKUP(jablka5[[#This Row],[Nazwa]],cennik[],2,0) * jablka5[[#This Row],[sprzedaż]]</f>
        <v>528</v>
      </c>
      <c r="G1888" s="1">
        <f>IF(jablka5[[#This Row],[NIP]]=D1887,jablka5[[#This Row],[sprzedaż]]+G1887,jablka5[[#This Row],[sprzedaż]])</f>
        <v>17799</v>
      </c>
      <c r="H1888" s="1">
        <f>IF(jablka5[[#This Row],[dot sprz]]&lt;15000,0,IF(jablka5[[#This Row],[dot sprz]]&lt;20000,5,10))</f>
        <v>5</v>
      </c>
      <c r="I1888" s="1">
        <f>jablka5[[#This Row],[rabat]]*jablka5[[#This Row],[sprzedaż]]/100</f>
        <v>8.25</v>
      </c>
    </row>
    <row r="1889" spans="1:9" x14ac:dyDescent="0.25">
      <c r="A1889" s="2">
        <v>44921</v>
      </c>
      <c r="B1889" s="1" t="s">
        <v>10</v>
      </c>
      <c r="C1889" s="1" t="s">
        <v>16</v>
      </c>
      <c r="D1889" s="1" t="s">
        <v>41</v>
      </c>
      <c r="E1889">
        <v>205</v>
      </c>
      <c r="F1889" s="1">
        <f>VLOOKUP(jablka5[[#This Row],[Nazwa]],cennik[],2,0) * jablka5[[#This Row],[sprzedaż]]</f>
        <v>697</v>
      </c>
      <c r="G1889" s="1">
        <f>IF(jablka5[[#This Row],[NIP]]=D1888,jablka5[[#This Row],[sprzedaż]]+G1888,jablka5[[#This Row],[sprzedaż]])</f>
        <v>18004</v>
      </c>
      <c r="H1889" s="1">
        <f>IF(jablka5[[#This Row],[dot sprz]]&lt;15000,0,IF(jablka5[[#This Row],[dot sprz]]&lt;20000,5,10))</f>
        <v>5</v>
      </c>
      <c r="I1889" s="1">
        <f>jablka5[[#This Row],[rabat]]*jablka5[[#This Row],[sprzedaż]]/100</f>
        <v>10.25</v>
      </c>
    </row>
    <row r="1890" spans="1:9" x14ac:dyDescent="0.25">
      <c r="A1890" s="2">
        <v>44924</v>
      </c>
      <c r="B1890" s="1" t="s">
        <v>2</v>
      </c>
      <c r="C1890" s="1" t="s">
        <v>16</v>
      </c>
      <c r="D1890" s="1" t="s">
        <v>41</v>
      </c>
      <c r="E1890">
        <v>219</v>
      </c>
      <c r="F1890" s="1">
        <f>VLOOKUP(jablka5[[#This Row],[Nazwa]],cennik[],2,0) * jablka5[[#This Row],[sprzedaż]]</f>
        <v>700.80000000000007</v>
      </c>
      <c r="G1890" s="1">
        <f>IF(jablka5[[#This Row],[NIP]]=D1889,jablka5[[#This Row],[sprzedaż]]+G1889,jablka5[[#This Row],[sprzedaż]])</f>
        <v>18223</v>
      </c>
      <c r="H1890" s="1">
        <f>IF(jablka5[[#This Row],[dot sprz]]&lt;15000,0,IF(jablka5[[#This Row],[dot sprz]]&lt;20000,5,10))</f>
        <v>5</v>
      </c>
      <c r="I1890" s="1">
        <f>jablka5[[#This Row],[rabat]]*jablka5[[#This Row],[sprzedaż]]/100</f>
        <v>10.95</v>
      </c>
    </row>
    <row r="1891" spans="1:9" x14ac:dyDescent="0.25">
      <c r="A1891" s="2">
        <v>44925</v>
      </c>
      <c r="B1891" s="1" t="s">
        <v>0</v>
      </c>
      <c r="C1891" s="1" t="s">
        <v>16</v>
      </c>
      <c r="D1891" s="1" t="s">
        <v>41</v>
      </c>
      <c r="E1891">
        <v>210</v>
      </c>
      <c r="F1891" s="1">
        <f>VLOOKUP(jablka5[[#This Row],[Nazwa]],cennik[],2,0) * jablka5[[#This Row],[sprzedaż]]</f>
        <v>609</v>
      </c>
      <c r="G1891" s="1">
        <f>IF(jablka5[[#This Row],[NIP]]=D1890,jablka5[[#This Row],[sprzedaż]]+G1890,jablka5[[#This Row],[sprzedaż]])</f>
        <v>18433</v>
      </c>
      <c r="H1891" s="1">
        <f>IF(jablka5[[#This Row],[dot sprz]]&lt;15000,0,IF(jablka5[[#This Row],[dot sprz]]&lt;20000,5,10))</f>
        <v>5</v>
      </c>
      <c r="I1891" s="1">
        <f>jablka5[[#This Row],[rabat]]*jablka5[[#This Row],[sprzedaż]]/100</f>
        <v>10.5</v>
      </c>
    </row>
    <row r="1892" spans="1:9" x14ac:dyDescent="0.25">
      <c r="A1892" s="2">
        <v>44565</v>
      </c>
      <c r="B1892" s="1" t="s">
        <v>15</v>
      </c>
      <c r="C1892" s="1" t="s">
        <v>16</v>
      </c>
      <c r="D1892" s="1" t="s">
        <v>28</v>
      </c>
      <c r="E1892">
        <v>204</v>
      </c>
      <c r="F1892" s="1">
        <f>VLOOKUP(jablka5[[#This Row],[Nazwa]],cennik[],2,0) * jablka5[[#This Row],[sprzedaż]]</f>
        <v>489.59999999999997</v>
      </c>
      <c r="G1892" s="1">
        <f>IF(jablka5[[#This Row],[NIP]]=D1891,jablka5[[#This Row],[sprzedaż]]+G1891,jablka5[[#This Row],[sprzedaż]])</f>
        <v>204</v>
      </c>
      <c r="H1892" s="1">
        <f>IF(jablka5[[#This Row],[dot sprz]]&lt;15000,0,IF(jablka5[[#This Row],[dot sprz]]&lt;20000,5,10))</f>
        <v>0</v>
      </c>
      <c r="I1892" s="1">
        <f>jablka5[[#This Row],[rabat]]*jablka5[[#This Row],[sprzedaż]]/100</f>
        <v>0</v>
      </c>
    </row>
    <row r="1893" spans="1:9" x14ac:dyDescent="0.25">
      <c r="A1893" s="2">
        <v>44571</v>
      </c>
      <c r="B1893" s="1" t="s">
        <v>5</v>
      </c>
      <c r="C1893" s="1" t="s">
        <v>16</v>
      </c>
      <c r="D1893" s="1" t="s">
        <v>28</v>
      </c>
      <c r="E1893">
        <v>424</v>
      </c>
      <c r="F1893" s="1">
        <f>VLOOKUP(jablka5[[#This Row],[Nazwa]],cennik[],2,0) * jablka5[[#This Row],[sprzedaż]]</f>
        <v>1441.6</v>
      </c>
      <c r="G1893" s="1">
        <f>IF(jablka5[[#This Row],[NIP]]=D1892,jablka5[[#This Row],[sprzedaż]]+G1892,jablka5[[#This Row],[sprzedaż]])</f>
        <v>628</v>
      </c>
      <c r="H1893" s="1">
        <f>IF(jablka5[[#This Row],[dot sprz]]&lt;15000,0,IF(jablka5[[#This Row],[dot sprz]]&lt;20000,5,10))</f>
        <v>0</v>
      </c>
      <c r="I1893" s="1">
        <f>jablka5[[#This Row],[rabat]]*jablka5[[#This Row],[sprzedaż]]/100</f>
        <v>0</v>
      </c>
    </row>
    <row r="1894" spans="1:9" x14ac:dyDescent="0.25">
      <c r="A1894" s="2">
        <v>44587</v>
      </c>
      <c r="B1894" s="1" t="s">
        <v>6</v>
      </c>
      <c r="C1894" s="1" t="s">
        <v>16</v>
      </c>
      <c r="D1894" s="1" t="s">
        <v>28</v>
      </c>
      <c r="E1894">
        <v>367</v>
      </c>
      <c r="F1894" s="1">
        <f>VLOOKUP(jablka5[[#This Row],[Nazwa]],cennik[],2,0) * jablka5[[#This Row],[sprzedaż]]</f>
        <v>1247.8</v>
      </c>
      <c r="G1894" s="1">
        <f>IF(jablka5[[#This Row],[NIP]]=D1893,jablka5[[#This Row],[sprzedaż]]+G1893,jablka5[[#This Row],[sprzedaż]])</f>
        <v>995</v>
      </c>
      <c r="H1894" s="1">
        <f>IF(jablka5[[#This Row],[dot sprz]]&lt;15000,0,IF(jablka5[[#This Row],[dot sprz]]&lt;20000,5,10))</f>
        <v>0</v>
      </c>
      <c r="I1894" s="1">
        <f>jablka5[[#This Row],[rabat]]*jablka5[[#This Row],[sprzedaż]]/100</f>
        <v>0</v>
      </c>
    </row>
    <row r="1895" spans="1:9" x14ac:dyDescent="0.25">
      <c r="A1895" s="2">
        <v>44587</v>
      </c>
      <c r="B1895" s="1" t="s">
        <v>2</v>
      </c>
      <c r="C1895" s="1" t="s">
        <v>16</v>
      </c>
      <c r="D1895" s="1" t="s">
        <v>28</v>
      </c>
      <c r="E1895">
        <v>431</v>
      </c>
      <c r="F1895" s="1">
        <f>VLOOKUP(jablka5[[#This Row],[Nazwa]],cennik[],2,0) * jablka5[[#This Row],[sprzedaż]]</f>
        <v>1379.2</v>
      </c>
      <c r="G1895" s="1">
        <f>IF(jablka5[[#This Row],[NIP]]=D1894,jablka5[[#This Row],[sprzedaż]]+G1894,jablka5[[#This Row],[sprzedaż]])</f>
        <v>1426</v>
      </c>
      <c r="H1895" s="1">
        <f>IF(jablka5[[#This Row],[dot sprz]]&lt;15000,0,IF(jablka5[[#This Row],[dot sprz]]&lt;20000,5,10))</f>
        <v>0</v>
      </c>
      <c r="I1895" s="1">
        <f>jablka5[[#This Row],[rabat]]*jablka5[[#This Row],[sprzedaż]]/100</f>
        <v>0</v>
      </c>
    </row>
    <row r="1896" spans="1:9" x14ac:dyDescent="0.25">
      <c r="A1896" s="2">
        <v>44595</v>
      </c>
      <c r="B1896" s="1" t="s">
        <v>0</v>
      </c>
      <c r="C1896" s="1" t="s">
        <v>16</v>
      </c>
      <c r="D1896" s="1" t="s">
        <v>28</v>
      </c>
      <c r="E1896">
        <v>433</v>
      </c>
      <c r="F1896" s="1">
        <f>VLOOKUP(jablka5[[#This Row],[Nazwa]],cennik[],2,0) * jablka5[[#This Row],[sprzedaż]]</f>
        <v>1255.7</v>
      </c>
      <c r="G1896" s="1">
        <f>IF(jablka5[[#This Row],[NIP]]=D1895,jablka5[[#This Row],[sprzedaż]]+G1895,jablka5[[#This Row],[sprzedaż]])</f>
        <v>1859</v>
      </c>
      <c r="H1896" s="1">
        <f>IF(jablka5[[#This Row],[dot sprz]]&lt;15000,0,IF(jablka5[[#This Row],[dot sprz]]&lt;20000,5,10))</f>
        <v>0</v>
      </c>
      <c r="I1896" s="1">
        <f>jablka5[[#This Row],[rabat]]*jablka5[[#This Row],[sprzedaż]]/100</f>
        <v>0</v>
      </c>
    </row>
    <row r="1897" spans="1:9" x14ac:dyDescent="0.25">
      <c r="A1897" s="2">
        <v>44599</v>
      </c>
      <c r="B1897" s="1" t="s">
        <v>8</v>
      </c>
      <c r="C1897" s="1" t="s">
        <v>16</v>
      </c>
      <c r="D1897" s="1" t="s">
        <v>28</v>
      </c>
      <c r="E1897">
        <v>335</v>
      </c>
      <c r="F1897" s="1">
        <f>VLOOKUP(jablka5[[#This Row],[Nazwa]],cennik[],2,0) * jablka5[[#This Row],[sprzedaż]]</f>
        <v>1172.5</v>
      </c>
      <c r="G1897" s="1">
        <f>IF(jablka5[[#This Row],[NIP]]=D1896,jablka5[[#This Row],[sprzedaż]]+G1896,jablka5[[#This Row],[sprzedaż]])</f>
        <v>2194</v>
      </c>
      <c r="H1897" s="1">
        <f>IF(jablka5[[#This Row],[dot sprz]]&lt;15000,0,IF(jablka5[[#This Row],[dot sprz]]&lt;20000,5,10))</f>
        <v>0</v>
      </c>
      <c r="I1897" s="1">
        <f>jablka5[[#This Row],[rabat]]*jablka5[[#This Row],[sprzedaż]]/100</f>
        <v>0</v>
      </c>
    </row>
    <row r="1898" spans="1:9" x14ac:dyDescent="0.25">
      <c r="A1898" s="2">
        <v>44600</v>
      </c>
      <c r="B1898" s="1" t="s">
        <v>15</v>
      </c>
      <c r="C1898" s="1" t="s">
        <v>16</v>
      </c>
      <c r="D1898" s="1" t="s">
        <v>28</v>
      </c>
      <c r="E1898">
        <v>191</v>
      </c>
      <c r="F1898" s="1">
        <f>VLOOKUP(jablka5[[#This Row],[Nazwa]],cennik[],2,0) * jablka5[[#This Row],[sprzedaż]]</f>
        <v>458.4</v>
      </c>
      <c r="G1898" s="1">
        <f>IF(jablka5[[#This Row],[NIP]]=D1897,jablka5[[#This Row],[sprzedaż]]+G1897,jablka5[[#This Row],[sprzedaż]])</f>
        <v>2385</v>
      </c>
      <c r="H1898" s="1">
        <f>IF(jablka5[[#This Row],[dot sprz]]&lt;15000,0,IF(jablka5[[#This Row],[dot sprz]]&lt;20000,5,10))</f>
        <v>0</v>
      </c>
      <c r="I1898" s="1">
        <f>jablka5[[#This Row],[rabat]]*jablka5[[#This Row],[sprzedaż]]/100</f>
        <v>0</v>
      </c>
    </row>
    <row r="1899" spans="1:9" x14ac:dyDescent="0.25">
      <c r="A1899" s="2">
        <v>44609</v>
      </c>
      <c r="B1899" s="1" t="s">
        <v>8</v>
      </c>
      <c r="C1899" s="1" t="s">
        <v>16</v>
      </c>
      <c r="D1899" s="1" t="s">
        <v>28</v>
      </c>
      <c r="E1899">
        <v>227</v>
      </c>
      <c r="F1899" s="1">
        <f>VLOOKUP(jablka5[[#This Row],[Nazwa]],cennik[],2,0) * jablka5[[#This Row],[sprzedaż]]</f>
        <v>794.5</v>
      </c>
      <c r="G1899" s="1">
        <f>IF(jablka5[[#This Row],[NIP]]=D1898,jablka5[[#This Row],[sprzedaż]]+G1898,jablka5[[#This Row],[sprzedaż]])</f>
        <v>2612</v>
      </c>
      <c r="H1899" s="1">
        <f>IF(jablka5[[#This Row],[dot sprz]]&lt;15000,0,IF(jablka5[[#This Row],[dot sprz]]&lt;20000,5,10))</f>
        <v>0</v>
      </c>
      <c r="I1899" s="1">
        <f>jablka5[[#This Row],[rabat]]*jablka5[[#This Row],[sprzedaż]]/100</f>
        <v>0</v>
      </c>
    </row>
    <row r="1900" spans="1:9" x14ac:dyDescent="0.25">
      <c r="A1900" s="2">
        <v>44611</v>
      </c>
      <c r="B1900" s="1" t="s">
        <v>4</v>
      </c>
      <c r="C1900" s="1" t="s">
        <v>16</v>
      </c>
      <c r="D1900" s="1" t="s">
        <v>28</v>
      </c>
      <c r="E1900">
        <v>483</v>
      </c>
      <c r="F1900" s="1">
        <f>VLOOKUP(jablka5[[#This Row],[Nazwa]],cennik[],2,0) * jablka5[[#This Row],[sprzedaż]]</f>
        <v>1642.2</v>
      </c>
      <c r="G1900" s="1">
        <f>IF(jablka5[[#This Row],[NIP]]=D1899,jablka5[[#This Row],[sprzedaż]]+G1899,jablka5[[#This Row],[sprzedaż]])</f>
        <v>3095</v>
      </c>
      <c r="H1900" s="1">
        <f>IF(jablka5[[#This Row],[dot sprz]]&lt;15000,0,IF(jablka5[[#This Row],[dot sprz]]&lt;20000,5,10))</f>
        <v>0</v>
      </c>
      <c r="I1900" s="1">
        <f>jablka5[[#This Row],[rabat]]*jablka5[[#This Row],[sprzedaż]]/100</f>
        <v>0</v>
      </c>
    </row>
    <row r="1901" spans="1:9" x14ac:dyDescent="0.25">
      <c r="A1901" s="2">
        <v>44614</v>
      </c>
      <c r="B1901" s="1" t="s">
        <v>5</v>
      </c>
      <c r="C1901" s="1" t="s">
        <v>16</v>
      </c>
      <c r="D1901" s="1" t="s">
        <v>28</v>
      </c>
      <c r="E1901">
        <v>141</v>
      </c>
      <c r="F1901" s="1">
        <f>VLOOKUP(jablka5[[#This Row],[Nazwa]],cennik[],2,0) * jablka5[[#This Row],[sprzedaż]]</f>
        <v>479.4</v>
      </c>
      <c r="G1901" s="1">
        <f>IF(jablka5[[#This Row],[NIP]]=D1900,jablka5[[#This Row],[sprzedaż]]+G1900,jablka5[[#This Row],[sprzedaż]])</f>
        <v>3236</v>
      </c>
      <c r="H1901" s="1">
        <f>IF(jablka5[[#This Row],[dot sprz]]&lt;15000,0,IF(jablka5[[#This Row],[dot sprz]]&lt;20000,5,10))</f>
        <v>0</v>
      </c>
      <c r="I1901" s="1">
        <f>jablka5[[#This Row],[rabat]]*jablka5[[#This Row],[sprzedaż]]/100</f>
        <v>0</v>
      </c>
    </row>
    <row r="1902" spans="1:9" x14ac:dyDescent="0.25">
      <c r="A1902" s="2">
        <v>44625</v>
      </c>
      <c r="B1902" s="1" t="s">
        <v>8</v>
      </c>
      <c r="C1902" s="1" t="s">
        <v>16</v>
      </c>
      <c r="D1902" s="1" t="s">
        <v>28</v>
      </c>
      <c r="E1902">
        <v>342</v>
      </c>
      <c r="F1902" s="1">
        <f>VLOOKUP(jablka5[[#This Row],[Nazwa]],cennik[],2,0) * jablka5[[#This Row],[sprzedaż]]</f>
        <v>1197</v>
      </c>
      <c r="G1902" s="1">
        <f>IF(jablka5[[#This Row],[NIP]]=D1901,jablka5[[#This Row],[sprzedaż]]+G1901,jablka5[[#This Row],[sprzedaż]])</f>
        <v>3578</v>
      </c>
      <c r="H1902" s="1">
        <f>IF(jablka5[[#This Row],[dot sprz]]&lt;15000,0,IF(jablka5[[#This Row],[dot sprz]]&lt;20000,5,10))</f>
        <v>0</v>
      </c>
      <c r="I1902" s="1">
        <f>jablka5[[#This Row],[rabat]]*jablka5[[#This Row],[sprzedaż]]/100</f>
        <v>0</v>
      </c>
    </row>
    <row r="1903" spans="1:9" x14ac:dyDescent="0.25">
      <c r="A1903" s="2">
        <v>44634</v>
      </c>
      <c r="B1903" s="1" t="s">
        <v>8</v>
      </c>
      <c r="C1903" s="1" t="s">
        <v>16</v>
      </c>
      <c r="D1903" s="1" t="s">
        <v>28</v>
      </c>
      <c r="E1903">
        <v>461</v>
      </c>
      <c r="F1903" s="1">
        <f>VLOOKUP(jablka5[[#This Row],[Nazwa]],cennik[],2,0) * jablka5[[#This Row],[sprzedaż]]</f>
        <v>1613.5</v>
      </c>
      <c r="G1903" s="1">
        <f>IF(jablka5[[#This Row],[NIP]]=D1902,jablka5[[#This Row],[sprzedaż]]+G1902,jablka5[[#This Row],[sprzedaż]])</f>
        <v>4039</v>
      </c>
      <c r="H1903" s="1">
        <f>IF(jablka5[[#This Row],[dot sprz]]&lt;15000,0,IF(jablka5[[#This Row],[dot sprz]]&lt;20000,5,10))</f>
        <v>0</v>
      </c>
      <c r="I1903" s="1">
        <f>jablka5[[#This Row],[rabat]]*jablka5[[#This Row],[sprzedaż]]/100</f>
        <v>0</v>
      </c>
    </row>
    <row r="1904" spans="1:9" x14ac:dyDescent="0.25">
      <c r="A1904" s="2">
        <v>44653</v>
      </c>
      <c r="B1904" s="1" t="s">
        <v>4</v>
      </c>
      <c r="C1904" s="1" t="s">
        <v>16</v>
      </c>
      <c r="D1904" s="1" t="s">
        <v>28</v>
      </c>
      <c r="E1904">
        <v>402</v>
      </c>
      <c r="F1904" s="1">
        <f>VLOOKUP(jablka5[[#This Row],[Nazwa]],cennik[],2,0) * jablka5[[#This Row],[sprzedaż]]</f>
        <v>1366.8</v>
      </c>
      <c r="G1904" s="1">
        <f>IF(jablka5[[#This Row],[NIP]]=D1903,jablka5[[#This Row],[sprzedaż]]+G1903,jablka5[[#This Row],[sprzedaż]])</f>
        <v>4441</v>
      </c>
      <c r="H1904" s="1">
        <f>IF(jablka5[[#This Row],[dot sprz]]&lt;15000,0,IF(jablka5[[#This Row],[dot sprz]]&lt;20000,5,10))</f>
        <v>0</v>
      </c>
      <c r="I1904" s="1">
        <f>jablka5[[#This Row],[rabat]]*jablka5[[#This Row],[sprzedaż]]/100</f>
        <v>0</v>
      </c>
    </row>
    <row r="1905" spans="1:9" x14ac:dyDescent="0.25">
      <c r="A1905" s="2">
        <v>44656</v>
      </c>
      <c r="B1905" s="1" t="s">
        <v>8</v>
      </c>
      <c r="C1905" s="1" t="s">
        <v>16</v>
      </c>
      <c r="D1905" s="1" t="s">
        <v>28</v>
      </c>
      <c r="E1905">
        <v>297</v>
      </c>
      <c r="F1905" s="1">
        <f>VLOOKUP(jablka5[[#This Row],[Nazwa]],cennik[],2,0) * jablka5[[#This Row],[sprzedaż]]</f>
        <v>1039.5</v>
      </c>
      <c r="G1905" s="1">
        <f>IF(jablka5[[#This Row],[NIP]]=D1904,jablka5[[#This Row],[sprzedaż]]+G1904,jablka5[[#This Row],[sprzedaż]])</f>
        <v>4738</v>
      </c>
      <c r="H1905" s="1">
        <f>IF(jablka5[[#This Row],[dot sprz]]&lt;15000,0,IF(jablka5[[#This Row],[dot sprz]]&lt;20000,5,10))</f>
        <v>0</v>
      </c>
      <c r="I1905" s="1">
        <f>jablka5[[#This Row],[rabat]]*jablka5[[#This Row],[sprzedaż]]/100</f>
        <v>0</v>
      </c>
    </row>
    <row r="1906" spans="1:9" x14ac:dyDescent="0.25">
      <c r="A1906" s="2">
        <v>44656</v>
      </c>
      <c r="B1906" s="1" t="s">
        <v>4</v>
      </c>
      <c r="C1906" s="1" t="s">
        <v>16</v>
      </c>
      <c r="D1906" s="1" t="s">
        <v>28</v>
      </c>
      <c r="E1906">
        <v>495</v>
      </c>
      <c r="F1906" s="1">
        <f>VLOOKUP(jablka5[[#This Row],[Nazwa]],cennik[],2,0) * jablka5[[#This Row],[sprzedaż]]</f>
        <v>1683</v>
      </c>
      <c r="G1906" s="1">
        <f>IF(jablka5[[#This Row],[NIP]]=D1905,jablka5[[#This Row],[sprzedaż]]+G1905,jablka5[[#This Row],[sprzedaż]])</f>
        <v>5233</v>
      </c>
      <c r="H1906" s="1">
        <f>IF(jablka5[[#This Row],[dot sprz]]&lt;15000,0,IF(jablka5[[#This Row],[dot sprz]]&lt;20000,5,10))</f>
        <v>0</v>
      </c>
      <c r="I1906" s="1">
        <f>jablka5[[#This Row],[rabat]]*jablka5[[#This Row],[sprzedaż]]/100</f>
        <v>0</v>
      </c>
    </row>
    <row r="1907" spans="1:9" x14ac:dyDescent="0.25">
      <c r="A1907" s="2">
        <v>44658</v>
      </c>
      <c r="B1907" s="1" t="s">
        <v>0</v>
      </c>
      <c r="C1907" s="1" t="s">
        <v>16</v>
      </c>
      <c r="D1907" s="1" t="s">
        <v>28</v>
      </c>
      <c r="E1907">
        <v>12</v>
      </c>
      <c r="F1907" s="1">
        <f>VLOOKUP(jablka5[[#This Row],[Nazwa]],cennik[],2,0) * jablka5[[#This Row],[sprzedaż]]</f>
        <v>34.799999999999997</v>
      </c>
      <c r="G1907" s="1">
        <f>IF(jablka5[[#This Row],[NIP]]=D1906,jablka5[[#This Row],[sprzedaż]]+G1906,jablka5[[#This Row],[sprzedaż]])</f>
        <v>5245</v>
      </c>
      <c r="H1907" s="1">
        <f>IF(jablka5[[#This Row],[dot sprz]]&lt;15000,0,IF(jablka5[[#This Row],[dot sprz]]&lt;20000,5,10))</f>
        <v>0</v>
      </c>
      <c r="I1907" s="1">
        <f>jablka5[[#This Row],[rabat]]*jablka5[[#This Row],[sprzedaż]]/100</f>
        <v>0</v>
      </c>
    </row>
    <row r="1908" spans="1:9" x14ac:dyDescent="0.25">
      <c r="A1908" s="2">
        <v>44664</v>
      </c>
      <c r="B1908" s="1" t="s">
        <v>2</v>
      </c>
      <c r="C1908" s="1" t="s">
        <v>16</v>
      </c>
      <c r="D1908" s="1" t="s">
        <v>28</v>
      </c>
      <c r="E1908">
        <v>448</v>
      </c>
      <c r="F1908" s="1">
        <f>VLOOKUP(jablka5[[#This Row],[Nazwa]],cennik[],2,0) * jablka5[[#This Row],[sprzedaż]]</f>
        <v>1433.6000000000001</v>
      </c>
      <c r="G1908" s="1">
        <f>IF(jablka5[[#This Row],[NIP]]=D1907,jablka5[[#This Row],[sprzedaż]]+G1907,jablka5[[#This Row],[sprzedaż]])</f>
        <v>5693</v>
      </c>
      <c r="H1908" s="1">
        <f>IF(jablka5[[#This Row],[dot sprz]]&lt;15000,0,IF(jablka5[[#This Row],[dot sprz]]&lt;20000,5,10))</f>
        <v>0</v>
      </c>
      <c r="I1908" s="1">
        <f>jablka5[[#This Row],[rabat]]*jablka5[[#This Row],[sprzedaż]]/100</f>
        <v>0</v>
      </c>
    </row>
    <row r="1909" spans="1:9" x14ac:dyDescent="0.25">
      <c r="A1909" s="2">
        <v>44676</v>
      </c>
      <c r="B1909" s="1" t="s">
        <v>4</v>
      </c>
      <c r="C1909" s="1" t="s">
        <v>16</v>
      </c>
      <c r="D1909" s="1" t="s">
        <v>28</v>
      </c>
      <c r="E1909">
        <v>668</v>
      </c>
      <c r="F1909" s="1">
        <f>VLOOKUP(jablka5[[#This Row],[Nazwa]],cennik[],2,0) * jablka5[[#This Row],[sprzedaż]]</f>
        <v>2271.1999999999998</v>
      </c>
      <c r="G1909" s="1">
        <f>IF(jablka5[[#This Row],[NIP]]=D1908,jablka5[[#This Row],[sprzedaż]]+G1908,jablka5[[#This Row],[sprzedaż]])</f>
        <v>6361</v>
      </c>
      <c r="H1909" s="1">
        <f>IF(jablka5[[#This Row],[dot sprz]]&lt;15000,0,IF(jablka5[[#This Row],[dot sprz]]&lt;20000,5,10))</f>
        <v>0</v>
      </c>
      <c r="I1909" s="1">
        <f>jablka5[[#This Row],[rabat]]*jablka5[[#This Row],[sprzedaż]]/100</f>
        <v>0</v>
      </c>
    </row>
    <row r="1910" spans="1:9" x14ac:dyDescent="0.25">
      <c r="A1910" s="2">
        <v>44690</v>
      </c>
      <c r="B1910" s="1" t="s">
        <v>2</v>
      </c>
      <c r="C1910" s="1" t="s">
        <v>16</v>
      </c>
      <c r="D1910" s="1" t="s">
        <v>28</v>
      </c>
      <c r="E1910">
        <v>165</v>
      </c>
      <c r="F1910" s="1">
        <f>VLOOKUP(jablka5[[#This Row],[Nazwa]],cennik[],2,0) * jablka5[[#This Row],[sprzedaż]]</f>
        <v>528</v>
      </c>
      <c r="G1910" s="1">
        <f>IF(jablka5[[#This Row],[NIP]]=D1909,jablka5[[#This Row],[sprzedaż]]+G1909,jablka5[[#This Row],[sprzedaż]])</f>
        <v>6526</v>
      </c>
      <c r="H1910" s="1">
        <f>IF(jablka5[[#This Row],[dot sprz]]&lt;15000,0,IF(jablka5[[#This Row],[dot sprz]]&lt;20000,5,10))</f>
        <v>0</v>
      </c>
      <c r="I1910" s="1">
        <f>jablka5[[#This Row],[rabat]]*jablka5[[#This Row],[sprzedaż]]/100</f>
        <v>0</v>
      </c>
    </row>
    <row r="1911" spans="1:9" x14ac:dyDescent="0.25">
      <c r="A1911" s="2">
        <v>44697</v>
      </c>
      <c r="B1911" s="1" t="s">
        <v>8</v>
      </c>
      <c r="C1911" s="1" t="s">
        <v>16</v>
      </c>
      <c r="D1911" s="1" t="s">
        <v>28</v>
      </c>
      <c r="E1911">
        <v>380</v>
      </c>
      <c r="F1911" s="1">
        <f>VLOOKUP(jablka5[[#This Row],[Nazwa]],cennik[],2,0) * jablka5[[#This Row],[sprzedaż]]</f>
        <v>1330</v>
      </c>
      <c r="G1911" s="1">
        <f>IF(jablka5[[#This Row],[NIP]]=D1910,jablka5[[#This Row],[sprzedaż]]+G1910,jablka5[[#This Row],[sprzedaż]])</f>
        <v>6906</v>
      </c>
      <c r="H1911" s="1">
        <f>IF(jablka5[[#This Row],[dot sprz]]&lt;15000,0,IF(jablka5[[#This Row],[dot sprz]]&lt;20000,5,10))</f>
        <v>0</v>
      </c>
      <c r="I1911" s="1">
        <f>jablka5[[#This Row],[rabat]]*jablka5[[#This Row],[sprzedaż]]/100</f>
        <v>0</v>
      </c>
    </row>
    <row r="1912" spans="1:9" x14ac:dyDescent="0.25">
      <c r="A1912" s="2">
        <v>44707</v>
      </c>
      <c r="B1912" s="1" t="s">
        <v>4</v>
      </c>
      <c r="C1912" s="1" t="s">
        <v>16</v>
      </c>
      <c r="D1912" s="1" t="s">
        <v>28</v>
      </c>
      <c r="E1912">
        <v>385</v>
      </c>
      <c r="F1912" s="1">
        <f>VLOOKUP(jablka5[[#This Row],[Nazwa]],cennik[],2,0) * jablka5[[#This Row],[sprzedaż]]</f>
        <v>1309</v>
      </c>
      <c r="G1912" s="1">
        <f>IF(jablka5[[#This Row],[NIP]]=D1911,jablka5[[#This Row],[sprzedaż]]+G1911,jablka5[[#This Row],[sprzedaż]])</f>
        <v>7291</v>
      </c>
      <c r="H1912" s="1">
        <f>IF(jablka5[[#This Row],[dot sprz]]&lt;15000,0,IF(jablka5[[#This Row],[dot sprz]]&lt;20000,5,10))</f>
        <v>0</v>
      </c>
      <c r="I1912" s="1">
        <f>jablka5[[#This Row],[rabat]]*jablka5[[#This Row],[sprzedaż]]/100</f>
        <v>0</v>
      </c>
    </row>
    <row r="1913" spans="1:9" x14ac:dyDescent="0.25">
      <c r="A1913" s="2">
        <v>44708</v>
      </c>
      <c r="B1913" s="1" t="s">
        <v>8</v>
      </c>
      <c r="C1913" s="1" t="s">
        <v>16</v>
      </c>
      <c r="D1913" s="1" t="s">
        <v>28</v>
      </c>
      <c r="E1913">
        <v>296</v>
      </c>
      <c r="F1913" s="1">
        <f>VLOOKUP(jablka5[[#This Row],[Nazwa]],cennik[],2,0) * jablka5[[#This Row],[sprzedaż]]</f>
        <v>1036</v>
      </c>
      <c r="G1913" s="1">
        <f>IF(jablka5[[#This Row],[NIP]]=D1912,jablka5[[#This Row],[sprzedaż]]+G1912,jablka5[[#This Row],[sprzedaż]])</f>
        <v>7587</v>
      </c>
      <c r="H1913" s="1">
        <f>IF(jablka5[[#This Row],[dot sprz]]&lt;15000,0,IF(jablka5[[#This Row],[dot sprz]]&lt;20000,5,10))</f>
        <v>0</v>
      </c>
      <c r="I1913" s="1">
        <f>jablka5[[#This Row],[rabat]]*jablka5[[#This Row],[sprzedaż]]/100</f>
        <v>0</v>
      </c>
    </row>
    <row r="1914" spans="1:9" x14ac:dyDescent="0.25">
      <c r="A1914" s="2">
        <v>44725</v>
      </c>
      <c r="B1914" s="1" t="s">
        <v>12</v>
      </c>
      <c r="C1914" s="1" t="s">
        <v>68</v>
      </c>
      <c r="D1914" s="1" t="s">
        <v>28</v>
      </c>
      <c r="E1914">
        <v>449</v>
      </c>
      <c r="F1914" s="1">
        <f>VLOOKUP(jablka5[[#This Row],[Nazwa]],cennik[],2,0) * jablka5[[#This Row],[sprzedaż]]</f>
        <v>1212.3000000000002</v>
      </c>
      <c r="G1914" s="1">
        <f>IF(jablka5[[#This Row],[NIP]]=D1913,jablka5[[#This Row],[sprzedaż]]+G1913,jablka5[[#This Row],[sprzedaż]])</f>
        <v>8036</v>
      </c>
      <c r="H1914" s="1">
        <f>IF(jablka5[[#This Row],[dot sprz]]&lt;15000,0,IF(jablka5[[#This Row],[dot sprz]]&lt;20000,5,10))</f>
        <v>0</v>
      </c>
      <c r="I1914" s="1">
        <f>jablka5[[#This Row],[rabat]]*jablka5[[#This Row],[sprzedaż]]/100</f>
        <v>0</v>
      </c>
    </row>
    <row r="1915" spans="1:9" x14ac:dyDescent="0.25">
      <c r="A1915" s="2">
        <v>44734</v>
      </c>
      <c r="B1915" s="1" t="s">
        <v>14</v>
      </c>
      <c r="C1915" s="1" t="s">
        <v>67</v>
      </c>
      <c r="D1915" s="1" t="s">
        <v>28</v>
      </c>
      <c r="E1915">
        <v>247</v>
      </c>
      <c r="F1915" s="1">
        <f>VLOOKUP(jablka5[[#This Row],[Nazwa]],cennik[],2,0) * jablka5[[#This Row],[sprzedaż]]</f>
        <v>864.5</v>
      </c>
      <c r="G1915" s="1">
        <f>IF(jablka5[[#This Row],[NIP]]=D1914,jablka5[[#This Row],[sprzedaż]]+G1914,jablka5[[#This Row],[sprzedaż]])</f>
        <v>8283</v>
      </c>
      <c r="H1915" s="1">
        <f>IF(jablka5[[#This Row],[dot sprz]]&lt;15000,0,IF(jablka5[[#This Row],[dot sprz]]&lt;20000,5,10))</f>
        <v>0</v>
      </c>
      <c r="I1915" s="1">
        <f>jablka5[[#This Row],[rabat]]*jablka5[[#This Row],[sprzedaż]]/100</f>
        <v>0</v>
      </c>
    </row>
    <row r="1916" spans="1:9" x14ac:dyDescent="0.25">
      <c r="A1916" s="2">
        <v>44735</v>
      </c>
      <c r="B1916" s="1" t="s">
        <v>12</v>
      </c>
      <c r="C1916" s="1" t="s">
        <v>68</v>
      </c>
      <c r="D1916" s="1" t="s">
        <v>28</v>
      </c>
      <c r="E1916">
        <v>230</v>
      </c>
      <c r="F1916" s="1">
        <f>VLOOKUP(jablka5[[#This Row],[Nazwa]],cennik[],2,0) * jablka5[[#This Row],[sprzedaż]]</f>
        <v>621</v>
      </c>
      <c r="G1916" s="1">
        <f>IF(jablka5[[#This Row],[NIP]]=D1915,jablka5[[#This Row],[sprzedaż]]+G1915,jablka5[[#This Row],[sprzedaż]])</f>
        <v>8513</v>
      </c>
      <c r="H1916" s="1">
        <f>IF(jablka5[[#This Row],[dot sprz]]&lt;15000,0,IF(jablka5[[#This Row],[dot sprz]]&lt;20000,5,10))</f>
        <v>0</v>
      </c>
      <c r="I1916" s="1">
        <f>jablka5[[#This Row],[rabat]]*jablka5[[#This Row],[sprzedaż]]/100</f>
        <v>0</v>
      </c>
    </row>
    <row r="1917" spans="1:9" x14ac:dyDescent="0.25">
      <c r="A1917" s="2">
        <v>44740</v>
      </c>
      <c r="B1917" s="1" t="s">
        <v>14</v>
      </c>
      <c r="C1917" s="1" t="s">
        <v>67</v>
      </c>
      <c r="D1917" s="1" t="s">
        <v>28</v>
      </c>
      <c r="E1917">
        <v>364</v>
      </c>
      <c r="F1917" s="1">
        <f>VLOOKUP(jablka5[[#This Row],[Nazwa]],cennik[],2,0) * jablka5[[#This Row],[sprzedaż]]</f>
        <v>1274</v>
      </c>
      <c r="G1917" s="1">
        <f>IF(jablka5[[#This Row],[NIP]]=D1916,jablka5[[#This Row],[sprzedaż]]+G1916,jablka5[[#This Row],[sprzedaż]])</f>
        <v>8877</v>
      </c>
      <c r="H1917" s="1">
        <f>IF(jablka5[[#This Row],[dot sprz]]&lt;15000,0,IF(jablka5[[#This Row],[dot sprz]]&lt;20000,5,10))</f>
        <v>0</v>
      </c>
      <c r="I1917" s="1">
        <f>jablka5[[#This Row],[rabat]]*jablka5[[#This Row],[sprzedaż]]/100</f>
        <v>0</v>
      </c>
    </row>
    <row r="1918" spans="1:9" x14ac:dyDescent="0.25">
      <c r="A1918" s="2">
        <v>44743</v>
      </c>
      <c r="B1918" s="1" t="s">
        <v>12</v>
      </c>
      <c r="C1918" s="1" t="s">
        <v>68</v>
      </c>
      <c r="D1918" s="1" t="s">
        <v>28</v>
      </c>
      <c r="E1918">
        <v>52</v>
      </c>
      <c r="F1918" s="1">
        <f>VLOOKUP(jablka5[[#This Row],[Nazwa]],cennik[],2,0) * jablka5[[#This Row],[sprzedaż]]</f>
        <v>140.4</v>
      </c>
      <c r="G1918" s="1">
        <f>IF(jablka5[[#This Row],[NIP]]=D1917,jablka5[[#This Row],[sprzedaż]]+G1917,jablka5[[#This Row],[sprzedaż]])</f>
        <v>8929</v>
      </c>
      <c r="H1918" s="1">
        <f>IF(jablka5[[#This Row],[dot sprz]]&lt;15000,0,IF(jablka5[[#This Row],[dot sprz]]&lt;20000,5,10))</f>
        <v>0</v>
      </c>
      <c r="I1918" s="1">
        <f>jablka5[[#This Row],[rabat]]*jablka5[[#This Row],[sprzedaż]]/100</f>
        <v>0</v>
      </c>
    </row>
    <row r="1919" spans="1:9" x14ac:dyDescent="0.25">
      <c r="A1919" s="2">
        <v>44747</v>
      </c>
      <c r="B1919" s="1" t="s">
        <v>12</v>
      </c>
      <c r="C1919" s="1" t="s">
        <v>68</v>
      </c>
      <c r="D1919" s="1" t="s">
        <v>28</v>
      </c>
      <c r="E1919">
        <v>152</v>
      </c>
      <c r="F1919" s="1">
        <f>VLOOKUP(jablka5[[#This Row],[Nazwa]],cennik[],2,0) * jablka5[[#This Row],[sprzedaż]]</f>
        <v>410.40000000000003</v>
      </c>
      <c r="G1919" s="1">
        <f>IF(jablka5[[#This Row],[NIP]]=D1918,jablka5[[#This Row],[sprzedaż]]+G1918,jablka5[[#This Row],[sprzedaż]])</f>
        <v>9081</v>
      </c>
      <c r="H1919" s="1">
        <f>IF(jablka5[[#This Row],[dot sprz]]&lt;15000,0,IF(jablka5[[#This Row],[dot sprz]]&lt;20000,5,10))</f>
        <v>0</v>
      </c>
      <c r="I1919" s="1">
        <f>jablka5[[#This Row],[rabat]]*jablka5[[#This Row],[sprzedaż]]/100</f>
        <v>0</v>
      </c>
    </row>
    <row r="1920" spans="1:9" x14ac:dyDescent="0.25">
      <c r="A1920" s="2">
        <v>44748</v>
      </c>
      <c r="B1920" s="1" t="s">
        <v>14</v>
      </c>
      <c r="C1920" s="1" t="s">
        <v>67</v>
      </c>
      <c r="D1920" s="1" t="s">
        <v>28</v>
      </c>
      <c r="E1920">
        <v>324</v>
      </c>
      <c r="F1920" s="1">
        <f>VLOOKUP(jablka5[[#This Row],[Nazwa]],cennik[],2,0) * jablka5[[#This Row],[sprzedaż]]</f>
        <v>1134</v>
      </c>
      <c r="G1920" s="1">
        <f>IF(jablka5[[#This Row],[NIP]]=D1919,jablka5[[#This Row],[sprzedaż]]+G1919,jablka5[[#This Row],[sprzedaż]])</f>
        <v>9405</v>
      </c>
      <c r="H1920" s="1">
        <f>IF(jablka5[[#This Row],[dot sprz]]&lt;15000,0,IF(jablka5[[#This Row],[dot sprz]]&lt;20000,5,10))</f>
        <v>0</v>
      </c>
      <c r="I1920" s="1">
        <f>jablka5[[#This Row],[rabat]]*jablka5[[#This Row],[sprzedaż]]/100</f>
        <v>0</v>
      </c>
    </row>
    <row r="1921" spans="1:9" x14ac:dyDescent="0.25">
      <c r="A1921" s="2">
        <v>44748</v>
      </c>
      <c r="B1921" s="1" t="s">
        <v>12</v>
      </c>
      <c r="C1921" s="1" t="s">
        <v>68</v>
      </c>
      <c r="D1921" s="1" t="s">
        <v>28</v>
      </c>
      <c r="E1921">
        <v>252</v>
      </c>
      <c r="F1921" s="1">
        <f>VLOOKUP(jablka5[[#This Row],[Nazwa]],cennik[],2,0) * jablka5[[#This Row],[sprzedaż]]</f>
        <v>680.40000000000009</v>
      </c>
      <c r="G1921" s="1">
        <f>IF(jablka5[[#This Row],[NIP]]=D1920,jablka5[[#This Row],[sprzedaż]]+G1920,jablka5[[#This Row],[sprzedaż]])</f>
        <v>9657</v>
      </c>
      <c r="H1921" s="1">
        <f>IF(jablka5[[#This Row],[dot sprz]]&lt;15000,0,IF(jablka5[[#This Row],[dot sprz]]&lt;20000,5,10))</f>
        <v>0</v>
      </c>
      <c r="I1921" s="1">
        <f>jablka5[[#This Row],[rabat]]*jablka5[[#This Row],[sprzedaż]]/100</f>
        <v>0</v>
      </c>
    </row>
    <row r="1922" spans="1:9" x14ac:dyDescent="0.25">
      <c r="A1922" s="2">
        <v>44764</v>
      </c>
      <c r="B1922" s="1" t="s">
        <v>12</v>
      </c>
      <c r="C1922" s="1" t="s">
        <v>68</v>
      </c>
      <c r="D1922" s="1" t="s">
        <v>28</v>
      </c>
      <c r="E1922">
        <v>345</v>
      </c>
      <c r="F1922" s="1">
        <f>VLOOKUP(jablka5[[#This Row],[Nazwa]],cennik[],2,0) * jablka5[[#This Row],[sprzedaż]]</f>
        <v>931.50000000000011</v>
      </c>
      <c r="G1922" s="1">
        <f>IF(jablka5[[#This Row],[NIP]]=D1921,jablka5[[#This Row],[sprzedaż]]+G1921,jablka5[[#This Row],[sprzedaż]])</f>
        <v>10002</v>
      </c>
      <c r="H1922" s="1">
        <f>IF(jablka5[[#This Row],[dot sprz]]&lt;15000,0,IF(jablka5[[#This Row],[dot sprz]]&lt;20000,5,10))</f>
        <v>0</v>
      </c>
      <c r="I1922" s="1">
        <f>jablka5[[#This Row],[rabat]]*jablka5[[#This Row],[sprzedaż]]/100</f>
        <v>0</v>
      </c>
    </row>
    <row r="1923" spans="1:9" x14ac:dyDescent="0.25">
      <c r="A1923" s="2">
        <v>44764</v>
      </c>
      <c r="B1923" s="1" t="s">
        <v>12</v>
      </c>
      <c r="C1923" s="1" t="s">
        <v>68</v>
      </c>
      <c r="D1923" s="1" t="s">
        <v>28</v>
      </c>
      <c r="E1923">
        <v>147</v>
      </c>
      <c r="F1923" s="1">
        <f>VLOOKUP(jablka5[[#This Row],[Nazwa]],cennik[],2,0) * jablka5[[#This Row],[sprzedaż]]</f>
        <v>396.90000000000003</v>
      </c>
      <c r="G1923" s="1">
        <f>IF(jablka5[[#This Row],[NIP]]=D1922,jablka5[[#This Row],[sprzedaż]]+G1922,jablka5[[#This Row],[sprzedaż]])</f>
        <v>10149</v>
      </c>
      <c r="H1923" s="1">
        <f>IF(jablka5[[#This Row],[dot sprz]]&lt;15000,0,IF(jablka5[[#This Row],[dot sprz]]&lt;20000,5,10))</f>
        <v>0</v>
      </c>
      <c r="I1923" s="1">
        <f>jablka5[[#This Row],[rabat]]*jablka5[[#This Row],[sprzedaż]]/100</f>
        <v>0</v>
      </c>
    </row>
    <row r="1924" spans="1:9" x14ac:dyDescent="0.25">
      <c r="A1924" s="2">
        <v>44764</v>
      </c>
      <c r="B1924" s="1" t="s">
        <v>12</v>
      </c>
      <c r="C1924" s="1" t="s">
        <v>68</v>
      </c>
      <c r="D1924" s="1" t="s">
        <v>28</v>
      </c>
      <c r="E1924">
        <v>419</v>
      </c>
      <c r="F1924" s="1">
        <f>VLOOKUP(jablka5[[#This Row],[Nazwa]],cennik[],2,0) * jablka5[[#This Row],[sprzedaż]]</f>
        <v>1131.3000000000002</v>
      </c>
      <c r="G1924" s="1">
        <f>IF(jablka5[[#This Row],[NIP]]=D1923,jablka5[[#This Row],[sprzedaż]]+G1923,jablka5[[#This Row],[sprzedaż]])</f>
        <v>10568</v>
      </c>
      <c r="H1924" s="1">
        <f>IF(jablka5[[#This Row],[dot sprz]]&lt;15000,0,IF(jablka5[[#This Row],[dot sprz]]&lt;20000,5,10))</f>
        <v>0</v>
      </c>
      <c r="I1924" s="1">
        <f>jablka5[[#This Row],[rabat]]*jablka5[[#This Row],[sprzedaż]]/100</f>
        <v>0</v>
      </c>
    </row>
    <row r="1925" spans="1:9" x14ac:dyDescent="0.25">
      <c r="A1925" s="2">
        <v>44813</v>
      </c>
      <c r="B1925" s="1" t="s">
        <v>11</v>
      </c>
      <c r="C1925" s="1" t="s">
        <v>67</v>
      </c>
      <c r="D1925" s="1" t="s">
        <v>28</v>
      </c>
      <c r="E1925">
        <v>354</v>
      </c>
      <c r="F1925" s="1">
        <f>VLOOKUP(jablka5[[#This Row],[Nazwa]],cennik[],2,0) * jablka5[[#This Row],[sprzedaż]]</f>
        <v>885</v>
      </c>
      <c r="G1925" s="1">
        <f>IF(jablka5[[#This Row],[NIP]]=D1924,jablka5[[#This Row],[sprzedaż]]+G1924,jablka5[[#This Row],[sprzedaż]])</f>
        <v>10922</v>
      </c>
      <c r="H1925" s="1">
        <f>IF(jablka5[[#This Row],[dot sprz]]&lt;15000,0,IF(jablka5[[#This Row],[dot sprz]]&lt;20000,5,10))</f>
        <v>0</v>
      </c>
      <c r="I1925" s="1">
        <f>jablka5[[#This Row],[rabat]]*jablka5[[#This Row],[sprzedaż]]/100</f>
        <v>0</v>
      </c>
    </row>
    <row r="1926" spans="1:9" x14ac:dyDescent="0.25">
      <c r="A1926" s="2">
        <v>44817</v>
      </c>
      <c r="B1926" s="1" t="s">
        <v>14</v>
      </c>
      <c r="C1926" s="1" t="s">
        <v>67</v>
      </c>
      <c r="D1926" s="1" t="s">
        <v>28</v>
      </c>
      <c r="E1926">
        <v>420</v>
      </c>
      <c r="F1926" s="1">
        <f>VLOOKUP(jablka5[[#This Row],[Nazwa]],cennik[],2,0) * jablka5[[#This Row],[sprzedaż]]</f>
        <v>1470</v>
      </c>
      <c r="G1926" s="1">
        <f>IF(jablka5[[#This Row],[NIP]]=D1925,jablka5[[#This Row],[sprzedaż]]+G1925,jablka5[[#This Row],[sprzedaż]])</f>
        <v>11342</v>
      </c>
      <c r="H1926" s="1">
        <f>IF(jablka5[[#This Row],[dot sprz]]&lt;15000,0,IF(jablka5[[#This Row],[dot sprz]]&lt;20000,5,10))</f>
        <v>0</v>
      </c>
      <c r="I1926" s="1">
        <f>jablka5[[#This Row],[rabat]]*jablka5[[#This Row],[sprzedaż]]/100</f>
        <v>0</v>
      </c>
    </row>
    <row r="1927" spans="1:9" x14ac:dyDescent="0.25">
      <c r="A1927" s="2">
        <v>44820</v>
      </c>
      <c r="B1927" s="1" t="s">
        <v>14</v>
      </c>
      <c r="C1927" s="1" t="s">
        <v>67</v>
      </c>
      <c r="D1927" s="1" t="s">
        <v>28</v>
      </c>
      <c r="E1927">
        <v>234</v>
      </c>
      <c r="F1927" s="1">
        <f>VLOOKUP(jablka5[[#This Row],[Nazwa]],cennik[],2,0) * jablka5[[#This Row],[sprzedaż]]</f>
        <v>819</v>
      </c>
      <c r="G1927" s="1">
        <f>IF(jablka5[[#This Row],[NIP]]=D1926,jablka5[[#This Row],[sprzedaż]]+G1926,jablka5[[#This Row],[sprzedaż]])</f>
        <v>11576</v>
      </c>
      <c r="H1927" s="1">
        <f>IF(jablka5[[#This Row],[dot sprz]]&lt;15000,0,IF(jablka5[[#This Row],[dot sprz]]&lt;20000,5,10))</f>
        <v>0</v>
      </c>
      <c r="I1927" s="1">
        <f>jablka5[[#This Row],[rabat]]*jablka5[[#This Row],[sprzedaż]]/100</f>
        <v>0</v>
      </c>
    </row>
    <row r="1928" spans="1:9" x14ac:dyDescent="0.25">
      <c r="A1928" s="2">
        <v>44835</v>
      </c>
      <c r="B1928" s="1" t="s">
        <v>14</v>
      </c>
      <c r="C1928" s="1" t="s">
        <v>67</v>
      </c>
      <c r="D1928" s="1" t="s">
        <v>28</v>
      </c>
      <c r="E1928">
        <v>338</v>
      </c>
      <c r="F1928" s="1">
        <f>VLOOKUP(jablka5[[#This Row],[Nazwa]],cennik[],2,0) * jablka5[[#This Row],[sprzedaż]]</f>
        <v>1183</v>
      </c>
      <c r="G1928" s="1">
        <f>IF(jablka5[[#This Row],[NIP]]=D1927,jablka5[[#This Row],[sprzedaż]]+G1927,jablka5[[#This Row],[sprzedaż]])</f>
        <v>11914</v>
      </c>
      <c r="H1928" s="1">
        <f>IF(jablka5[[#This Row],[dot sprz]]&lt;15000,0,IF(jablka5[[#This Row],[dot sprz]]&lt;20000,5,10))</f>
        <v>0</v>
      </c>
      <c r="I1928" s="1">
        <f>jablka5[[#This Row],[rabat]]*jablka5[[#This Row],[sprzedaż]]/100</f>
        <v>0</v>
      </c>
    </row>
    <row r="1929" spans="1:9" x14ac:dyDescent="0.25">
      <c r="A1929" s="2">
        <v>44851</v>
      </c>
      <c r="B1929" s="1" t="s">
        <v>14</v>
      </c>
      <c r="C1929" s="1" t="s">
        <v>67</v>
      </c>
      <c r="D1929" s="1" t="s">
        <v>28</v>
      </c>
      <c r="E1929">
        <v>396</v>
      </c>
      <c r="F1929" s="1">
        <f>VLOOKUP(jablka5[[#This Row],[Nazwa]],cennik[],2,0) * jablka5[[#This Row],[sprzedaż]]</f>
        <v>1386</v>
      </c>
      <c r="G1929" s="1">
        <f>IF(jablka5[[#This Row],[NIP]]=D1928,jablka5[[#This Row],[sprzedaż]]+G1928,jablka5[[#This Row],[sprzedaż]])</f>
        <v>12310</v>
      </c>
      <c r="H1929" s="1">
        <f>IF(jablka5[[#This Row],[dot sprz]]&lt;15000,0,IF(jablka5[[#This Row],[dot sprz]]&lt;20000,5,10))</f>
        <v>0</v>
      </c>
      <c r="I1929" s="1">
        <f>jablka5[[#This Row],[rabat]]*jablka5[[#This Row],[sprzedaż]]/100</f>
        <v>0</v>
      </c>
    </row>
    <row r="1930" spans="1:9" x14ac:dyDescent="0.25">
      <c r="A1930" s="2">
        <v>44856</v>
      </c>
      <c r="B1930" s="1" t="s">
        <v>9</v>
      </c>
      <c r="C1930" s="1" t="s">
        <v>67</v>
      </c>
      <c r="D1930" s="1" t="s">
        <v>28</v>
      </c>
      <c r="E1930">
        <v>53</v>
      </c>
      <c r="F1930" s="1">
        <f>VLOOKUP(jablka5[[#This Row],[Nazwa]],cennik[],2,0) * jablka5[[#This Row],[sprzedaż]]</f>
        <v>132.5</v>
      </c>
      <c r="G1930" s="1">
        <f>IF(jablka5[[#This Row],[NIP]]=D1929,jablka5[[#This Row],[sprzedaż]]+G1929,jablka5[[#This Row],[sprzedaż]])</f>
        <v>12363</v>
      </c>
      <c r="H1930" s="1">
        <f>IF(jablka5[[#This Row],[dot sprz]]&lt;15000,0,IF(jablka5[[#This Row],[dot sprz]]&lt;20000,5,10))</f>
        <v>0</v>
      </c>
      <c r="I1930" s="1">
        <f>jablka5[[#This Row],[rabat]]*jablka5[[#This Row],[sprzedaż]]/100</f>
        <v>0</v>
      </c>
    </row>
    <row r="1931" spans="1:9" x14ac:dyDescent="0.25">
      <c r="A1931" s="2">
        <v>44863</v>
      </c>
      <c r="B1931" s="1" t="s">
        <v>14</v>
      </c>
      <c r="C1931" s="1" t="s">
        <v>67</v>
      </c>
      <c r="D1931" s="1" t="s">
        <v>28</v>
      </c>
      <c r="E1931">
        <v>287</v>
      </c>
      <c r="F1931" s="1">
        <f>VLOOKUP(jablka5[[#This Row],[Nazwa]],cennik[],2,0) * jablka5[[#This Row],[sprzedaż]]</f>
        <v>1004.5</v>
      </c>
      <c r="G1931" s="1">
        <f>IF(jablka5[[#This Row],[NIP]]=D1930,jablka5[[#This Row],[sprzedaż]]+G1930,jablka5[[#This Row],[sprzedaż]])</f>
        <v>12650</v>
      </c>
      <c r="H1931" s="1">
        <f>IF(jablka5[[#This Row],[dot sprz]]&lt;15000,0,IF(jablka5[[#This Row],[dot sprz]]&lt;20000,5,10))</f>
        <v>0</v>
      </c>
      <c r="I1931" s="1">
        <f>jablka5[[#This Row],[rabat]]*jablka5[[#This Row],[sprzedaż]]/100</f>
        <v>0</v>
      </c>
    </row>
    <row r="1932" spans="1:9" x14ac:dyDescent="0.25">
      <c r="A1932" s="2">
        <v>44867</v>
      </c>
      <c r="B1932" s="1" t="s">
        <v>3</v>
      </c>
      <c r="C1932" s="1" t="s">
        <v>67</v>
      </c>
      <c r="D1932" s="1" t="s">
        <v>28</v>
      </c>
      <c r="E1932">
        <v>190</v>
      </c>
      <c r="F1932" s="1">
        <f>VLOOKUP(jablka5[[#This Row],[Nazwa]],cennik[],2,0) * jablka5[[#This Row],[sprzedaż]]</f>
        <v>608</v>
      </c>
      <c r="G1932" s="1">
        <f>IF(jablka5[[#This Row],[NIP]]=D1931,jablka5[[#This Row],[sprzedaż]]+G1931,jablka5[[#This Row],[sprzedaż]])</f>
        <v>12840</v>
      </c>
      <c r="H1932" s="1">
        <f>IF(jablka5[[#This Row],[dot sprz]]&lt;15000,0,IF(jablka5[[#This Row],[dot sprz]]&lt;20000,5,10))</f>
        <v>0</v>
      </c>
      <c r="I1932" s="1">
        <f>jablka5[[#This Row],[rabat]]*jablka5[[#This Row],[sprzedaż]]/100</f>
        <v>0</v>
      </c>
    </row>
    <row r="1933" spans="1:9" x14ac:dyDescent="0.25">
      <c r="A1933" s="2">
        <v>44883</v>
      </c>
      <c r="B1933" s="1" t="s">
        <v>3</v>
      </c>
      <c r="C1933" s="1" t="s">
        <v>67</v>
      </c>
      <c r="D1933" s="1" t="s">
        <v>28</v>
      </c>
      <c r="E1933">
        <v>462</v>
      </c>
      <c r="F1933" s="1">
        <f>VLOOKUP(jablka5[[#This Row],[Nazwa]],cennik[],2,0) * jablka5[[#This Row],[sprzedaż]]</f>
        <v>1478.4</v>
      </c>
      <c r="G1933" s="1">
        <f>IF(jablka5[[#This Row],[NIP]]=D1932,jablka5[[#This Row],[sprzedaż]]+G1932,jablka5[[#This Row],[sprzedaż]])</f>
        <v>13302</v>
      </c>
      <c r="H1933" s="1">
        <f>IF(jablka5[[#This Row],[dot sprz]]&lt;15000,0,IF(jablka5[[#This Row],[dot sprz]]&lt;20000,5,10))</f>
        <v>0</v>
      </c>
      <c r="I1933" s="1">
        <f>jablka5[[#This Row],[rabat]]*jablka5[[#This Row],[sprzedaż]]/100</f>
        <v>0</v>
      </c>
    </row>
    <row r="1934" spans="1:9" x14ac:dyDescent="0.25">
      <c r="A1934" s="2">
        <v>44889</v>
      </c>
      <c r="B1934" s="1" t="s">
        <v>11</v>
      </c>
      <c r="C1934" s="1" t="s">
        <v>67</v>
      </c>
      <c r="D1934" s="1" t="s">
        <v>28</v>
      </c>
      <c r="E1934">
        <v>479</v>
      </c>
      <c r="F1934" s="1">
        <f>VLOOKUP(jablka5[[#This Row],[Nazwa]],cennik[],2,0) * jablka5[[#This Row],[sprzedaż]]</f>
        <v>1197.5</v>
      </c>
      <c r="G1934" s="1">
        <f>IF(jablka5[[#This Row],[NIP]]=D1933,jablka5[[#This Row],[sprzedaż]]+G1933,jablka5[[#This Row],[sprzedaż]])</f>
        <v>13781</v>
      </c>
      <c r="H1934" s="1">
        <f>IF(jablka5[[#This Row],[dot sprz]]&lt;15000,0,IF(jablka5[[#This Row],[dot sprz]]&lt;20000,5,10))</f>
        <v>0</v>
      </c>
      <c r="I1934" s="1">
        <f>jablka5[[#This Row],[rabat]]*jablka5[[#This Row],[sprzedaż]]/100</f>
        <v>0</v>
      </c>
    </row>
    <row r="1935" spans="1:9" x14ac:dyDescent="0.25">
      <c r="A1935" s="2">
        <v>44893</v>
      </c>
      <c r="B1935" s="1" t="s">
        <v>14</v>
      </c>
      <c r="C1935" s="1" t="s">
        <v>67</v>
      </c>
      <c r="D1935" s="1" t="s">
        <v>28</v>
      </c>
      <c r="E1935">
        <v>369</v>
      </c>
      <c r="F1935" s="1">
        <f>VLOOKUP(jablka5[[#This Row],[Nazwa]],cennik[],2,0) * jablka5[[#This Row],[sprzedaż]]</f>
        <v>1291.5</v>
      </c>
      <c r="G1935" s="1">
        <f>IF(jablka5[[#This Row],[NIP]]=D1934,jablka5[[#This Row],[sprzedaż]]+G1934,jablka5[[#This Row],[sprzedaż]])</f>
        <v>14150</v>
      </c>
      <c r="H1935" s="1">
        <f>IF(jablka5[[#This Row],[dot sprz]]&lt;15000,0,IF(jablka5[[#This Row],[dot sprz]]&lt;20000,5,10))</f>
        <v>0</v>
      </c>
      <c r="I1935" s="1">
        <f>jablka5[[#This Row],[rabat]]*jablka5[[#This Row],[sprzedaż]]/100</f>
        <v>0</v>
      </c>
    </row>
    <row r="1936" spans="1:9" x14ac:dyDescent="0.25">
      <c r="A1936" s="2">
        <v>44901</v>
      </c>
      <c r="B1936" s="1" t="s">
        <v>7</v>
      </c>
      <c r="C1936" s="1" t="s">
        <v>16</v>
      </c>
      <c r="D1936" s="1" t="s">
        <v>28</v>
      </c>
      <c r="E1936">
        <v>606</v>
      </c>
      <c r="F1936" s="1">
        <f>VLOOKUP(jablka5[[#This Row],[Nazwa]],cennik[],2,0) * jablka5[[#This Row],[sprzedaż]]</f>
        <v>2060.4</v>
      </c>
      <c r="G1936" s="1">
        <f>IF(jablka5[[#This Row],[NIP]]=D1935,jablka5[[#This Row],[sprzedaż]]+G1935,jablka5[[#This Row],[sprzedaż]])</f>
        <v>14756</v>
      </c>
      <c r="H1936" s="1">
        <f>IF(jablka5[[#This Row],[dot sprz]]&lt;15000,0,IF(jablka5[[#This Row],[dot sprz]]&lt;20000,5,10))</f>
        <v>0</v>
      </c>
      <c r="I1936" s="1">
        <f>jablka5[[#This Row],[rabat]]*jablka5[[#This Row],[sprzedaż]]/100</f>
        <v>0</v>
      </c>
    </row>
    <row r="1937" spans="1:9" x14ac:dyDescent="0.25">
      <c r="A1937" s="2">
        <v>44901</v>
      </c>
      <c r="B1937" s="1" t="s">
        <v>8</v>
      </c>
      <c r="C1937" s="1" t="s">
        <v>16</v>
      </c>
      <c r="D1937" s="1" t="s">
        <v>28</v>
      </c>
      <c r="E1937">
        <v>276</v>
      </c>
      <c r="F1937" s="1">
        <f>VLOOKUP(jablka5[[#This Row],[Nazwa]],cennik[],2,0) * jablka5[[#This Row],[sprzedaż]]</f>
        <v>966</v>
      </c>
      <c r="G1937" s="1">
        <f>IF(jablka5[[#This Row],[NIP]]=D1936,jablka5[[#This Row],[sprzedaż]]+G1936,jablka5[[#This Row],[sprzedaż]])</f>
        <v>15032</v>
      </c>
      <c r="H1937" s="1">
        <f>IF(jablka5[[#This Row],[dot sprz]]&lt;15000,0,IF(jablka5[[#This Row],[dot sprz]]&lt;20000,5,10))</f>
        <v>5</v>
      </c>
      <c r="I1937" s="1">
        <f>jablka5[[#This Row],[rabat]]*jablka5[[#This Row],[sprzedaż]]/100</f>
        <v>13.8</v>
      </c>
    </row>
    <row r="1938" spans="1:9" x14ac:dyDescent="0.25">
      <c r="A1938" s="2">
        <v>44902</v>
      </c>
      <c r="B1938" s="1" t="s">
        <v>8</v>
      </c>
      <c r="C1938" s="1" t="s">
        <v>16</v>
      </c>
      <c r="D1938" s="1" t="s">
        <v>28</v>
      </c>
      <c r="E1938">
        <v>389</v>
      </c>
      <c r="F1938" s="1">
        <f>VLOOKUP(jablka5[[#This Row],[Nazwa]],cennik[],2,0) * jablka5[[#This Row],[sprzedaż]]</f>
        <v>1361.5</v>
      </c>
      <c r="G1938" s="1">
        <f>IF(jablka5[[#This Row],[NIP]]=D1937,jablka5[[#This Row],[sprzedaż]]+G1937,jablka5[[#This Row],[sprzedaż]])</f>
        <v>15421</v>
      </c>
      <c r="H1938" s="1">
        <f>IF(jablka5[[#This Row],[dot sprz]]&lt;15000,0,IF(jablka5[[#This Row],[dot sprz]]&lt;20000,5,10))</f>
        <v>5</v>
      </c>
      <c r="I1938" s="1">
        <f>jablka5[[#This Row],[rabat]]*jablka5[[#This Row],[sprzedaż]]/100</f>
        <v>19.45</v>
      </c>
    </row>
    <row r="1939" spans="1:9" x14ac:dyDescent="0.25">
      <c r="A1939" s="2">
        <v>44911</v>
      </c>
      <c r="B1939" s="1" t="s">
        <v>8</v>
      </c>
      <c r="C1939" s="1" t="s">
        <v>16</v>
      </c>
      <c r="D1939" s="1" t="s">
        <v>28</v>
      </c>
      <c r="E1939">
        <v>681</v>
      </c>
      <c r="F1939" s="1">
        <f>VLOOKUP(jablka5[[#This Row],[Nazwa]],cennik[],2,0) * jablka5[[#This Row],[sprzedaż]]</f>
        <v>2383.5</v>
      </c>
      <c r="G1939" s="1">
        <f>IF(jablka5[[#This Row],[NIP]]=D1938,jablka5[[#This Row],[sprzedaż]]+G1938,jablka5[[#This Row],[sprzedaż]])</f>
        <v>16102</v>
      </c>
      <c r="H1939" s="1">
        <f>IF(jablka5[[#This Row],[dot sprz]]&lt;15000,0,IF(jablka5[[#This Row],[dot sprz]]&lt;20000,5,10))</f>
        <v>5</v>
      </c>
      <c r="I1939" s="1">
        <f>jablka5[[#This Row],[rabat]]*jablka5[[#This Row],[sprzedaż]]/100</f>
        <v>34.049999999999997</v>
      </c>
    </row>
    <row r="1940" spans="1:9" x14ac:dyDescent="0.25">
      <c r="A1940" s="2">
        <v>44915</v>
      </c>
      <c r="B1940" s="1" t="s">
        <v>4</v>
      </c>
      <c r="C1940" s="1" t="s">
        <v>16</v>
      </c>
      <c r="D1940" s="1" t="s">
        <v>28</v>
      </c>
      <c r="E1940">
        <v>366</v>
      </c>
      <c r="F1940" s="1">
        <f>VLOOKUP(jablka5[[#This Row],[Nazwa]],cennik[],2,0) * jablka5[[#This Row],[sprzedaż]]</f>
        <v>1244.3999999999999</v>
      </c>
      <c r="G1940" s="1">
        <f>IF(jablka5[[#This Row],[NIP]]=D1939,jablka5[[#This Row],[sprzedaż]]+G1939,jablka5[[#This Row],[sprzedaż]])</f>
        <v>16468</v>
      </c>
      <c r="H1940" s="1">
        <f>IF(jablka5[[#This Row],[dot sprz]]&lt;15000,0,IF(jablka5[[#This Row],[dot sprz]]&lt;20000,5,10))</f>
        <v>5</v>
      </c>
      <c r="I1940" s="1">
        <f>jablka5[[#This Row],[rabat]]*jablka5[[#This Row],[sprzedaż]]/100</f>
        <v>18.3</v>
      </c>
    </row>
    <row r="1941" spans="1:9" x14ac:dyDescent="0.25">
      <c r="A1941" s="2">
        <v>44564</v>
      </c>
      <c r="B1941" s="1" t="s">
        <v>5</v>
      </c>
      <c r="C1941" s="1" t="s">
        <v>16</v>
      </c>
      <c r="D1941" s="1" t="s">
        <v>26</v>
      </c>
      <c r="E1941">
        <v>222</v>
      </c>
      <c r="F1941" s="1">
        <f>VLOOKUP(jablka5[[#This Row],[Nazwa]],cennik[],2,0) * jablka5[[#This Row],[sprzedaż]]</f>
        <v>754.8</v>
      </c>
      <c r="G1941" s="1">
        <f>IF(jablka5[[#This Row],[NIP]]=D1940,jablka5[[#This Row],[sprzedaż]]+G1940,jablka5[[#This Row],[sprzedaż]])</f>
        <v>222</v>
      </c>
      <c r="H1941" s="1">
        <f>IF(jablka5[[#This Row],[dot sprz]]&lt;15000,0,IF(jablka5[[#This Row],[dot sprz]]&lt;20000,5,10))</f>
        <v>0</v>
      </c>
      <c r="I1941" s="1">
        <f>jablka5[[#This Row],[rabat]]*jablka5[[#This Row],[sprzedaż]]/100</f>
        <v>0</v>
      </c>
    </row>
    <row r="1942" spans="1:9" x14ac:dyDescent="0.25">
      <c r="A1942" s="2">
        <v>44578</v>
      </c>
      <c r="B1942" s="1" t="s">
        <v>10</v>
      </c>
      <c r="C1942" s="1" t="s">
        <v>16</v>
      </c>
      <c r="D1942" s="1" t="s">
        <v>26</v>
      </c>
      <c r="E1942">
        <v>400</v>
      </c>
      <c r="F1942" s="1">
        <f>VLOOKUP(jablka5[[#This Row],[Nazwa]],cennik[],2,0) * jablka5[[#This Row],[sprzedaż]]</f>
        <v>1360</v>
      </c>
      <c r="G1942" s="1">
        <f>IF(jablka5[[#This Row],[NIP]]=D1941,jablka5[[#This Row],[sprzedaż]]+G1941,jablka5[[#This Row],[sprzedaż]])</f>
        <v>622</v>
      </c>
      <c r="H1942" s="1">
        <f>IF(jablka5[[#This Row],[dot sprz]]&lt;15000,0,IF(jablka5[[#This Row],[dot sprz]]&lt;20000,5,10))</f>
        <v>0</v>
      </c>
      <c r="I1942" s="1">
        <f>jablka5[[#This Row],[rabat]]*jablka5[[#This Row],[sprzedaż]]/100</f>
        <v>0</v>
      </c>
    </row>
    <row r="1943" spans="1:9" x14ac:dyDescent="0.25">
      <c r="A1943" s="2">
        <v>44579</v>
      </c>
      <c r="B1943" s="1" t="s">
        <v>0</v>
      </c>
      <c r="C1943" s="1" t="s">
        <v>16</v>
      </c>
      <c r="D1943" s="1" t="s">
        <v>26</v>
      </c>
      <c r="E1943">
        <v>390</v>
      </c>
      <c r="F1943" s="1">
        <f>VLOOKUP(jablka5[[#This Row],[Nazwa]],cennik[],2,0) * jablka5[[#This Row],[sprzedaż]]</f>
        <v>1131</v>
      </c>
      <c r="G1943" s="1">
        <f>IF(jablka5[[#This Row],[NIP]]=D1942,jablka5[[#This Row],[sprzedaż]]+G1942,jablka5[[#This Row],[sprzedaż]])</f>
        <v>1012</v>
      </c>
      <c r="H1943" s="1">
        <f>IF(jablka5[[#This Row],[dot sprz]]&lt;15000,0,IF(jablka5[[#This Row],[dot sprz]]&lt;20000,5,10))</f>
        <v>0</v>
      </c>
      <c r="I1943" s="1">
        <f>jablka5[[#This Row],[rabat]]*jablka5[[#This Row],[sprzedaż]]/100</f>
        <v>0</v>
      </c>
    </row>
    <row r="1944" spans="1:9" x14ac:dyDescent="0.25">
      <c r="A1944" s="2">
        <v>44579</v>
      </c>
      <c r="B1944" s="1" t="s">
        <v>6</v>
      </c>
      <c r="C1944" s="1" t="s">
        <v>16</v>
      </c>
      <c r="D1944" s="1" t="s">
        <v>26</v>
      </c>
      <c r="E1944">
        <v>15</v>
      </c>
      <c r="F1944" s="1">
        <f>VLOOKUP(jablka5[[#This Row],[Nazwa]],cennik[],2,0) * jablka5[[#This Row],[sprzedaż]]</f>
        <v>51</v>
      </c>
      <c r="G1944" s="1">
        <f>IF(jablka5[[#This Row],[NIP]]=D1943,jablka5[[#This Row],[sprzedaż]]+G1943,jablka5[[#This Row],[sprzedaż]])</f>
        <v>1027</v>
      </c>
      <c r="H1944" s="1">
        <f>IF(jablka5[[#This Row],[dot sprz]]&lt;15000,0,IF(jablka5[[#This Row],[dot sprz]]&lt;20000,5,10))</f>
        <v>0</v>
      </c>
      <c r="I1944" s="1">
        <f>jablka5[[#This Row],[rabat]]*jablka5[[#This Row],[sprzedaż]]/100</f>
        <v>0</v>
      </c>
    </row>
    <row r="1945" spans="1:9" x14ac:dyDescent="0.25">
      <c r="A1945" s="2">
        <v>44596</v>
      </c>
      <c r="B1945" s="1" t="s">
        <v>15</v>
      </c>
      <c r="C1945" s="1" t="s">
        <v>16</v>
      </c>
      <c r="D1945" s="1" t="s">
        <v>26</v>
      </c>
      <c r="E1945">
        <v>149</v>
      </c>
      <c r="F1945" s="1">
        <f>VLOOKUP(jablka5[[#This Row],[Nazwa]],cennik[],2,0) * jablka5[[#This Row],[sprzedaż]]</f>
        <v>357.59999999999997</v>
      </c>
      <c r="G1945" s="1">
        <f>IF(jablka5[[#This Row],[NIP]]=D1944,jablka5[[#This Row],[sprzedaż]]+G1944,jablka5[[#This Row],[sprzedaż]])</f>
        <v>1176</v>
      </c>
      <c r="H1945" s="1">
        <f>IF(jablka5[[#This Row],[dot sprz]]&lt;15000,0,IF(jablka5[[#This Row],[dot sprz]]&lt;20000,5,10))</f>
        <v>0</v>
      </c>
      <c r="I1945" s="1">
        <f>jablka5[[#This Row],[rabat]]*jablka5[[#This Row],[sprzedaż]]/100</f>
        <v>0</v>
      </c>
    </row>
    <row r="1946" spans="1:9" x14ac:dyDescent="0.25">
      <c r="A1946" s="2">
        <v>44606</v>
      </c>
      <c r="B1946" s="1" t="s">
        <v>6</v>
      </c>
      <c r="C1946" s="1" t="s">
        <v>16</v>
      </c>
      <c r="D1946" s="1" t="s">
        <v>26</v>
      </c>
      <c r="E1946">
        <v>409</v>
      </c>
      <c r="F1946" s="1">
        <f>VLOOKUP(jablka5[[#This Row],[Nazwa]],cennik[],2,0) * jablka5[[#This Row],[sprzedaż]]</f>
        <v>1390.6</v>
      </c>
      <c r="G1946" s="1">
        <f>IF(jablka5[[#This Row],[NIP]]=D1945,jablka5[[#This Row],[sprzedaż]]+G1945,jablka5[[#This Row],[sprzedaż]])</f>
        <v>1585</v>
      </c>
      <c r="H1946" s="1">
        <f>IF(jablka5[[#This Row],[dot sprz]]&lt;15000,0,IF(jablka5[[#This Row],[dot sprz]]&lt;20000,5,10))</f>
        <v>0</v>
      </c>
      <c r="I1946" s="1">
        <f>jablka5[[#This Row],[rabat]]*jablka5[[#This Row],[sprzedaż]]/100</f>
        <v>0</v>
      </c>
    </row>
    <row r="1947" spans="1:9" x14ac:dyDescent="0.25">
      <c r="A1947" s="2">
        <v>44625</v>
      </c>
      <c r="B1947" s="1" t="s">
        <v>8</v>
      </c>
      <c r="C1947" s="1" t="s">
        <v>16</v>
      </c>
      <c r="D1947" s="1" t="s">
        <v>26</v>
      </c>
      <c r="E1947">
        <v>409</v>
      </c>
      <c r="F1947" s="1">
        <f>VLOOKUP(jablka5[[#This Row],[Nazwa]],cennik[],2,0) * jablka5[[#This Row],[sprzedaż]]</f>
        <v>1431.5</v>
      </c>
      <c r="G1947" s="1">
        <f>IF(jablka5[[#This Row],[NIP]]=D1946,jablka5[[#This Row],[sprzedaż]]+G1946,jablka5[[#This Row],[sprzedaż]])</f>
        <v>1994</v>
      </c>
      <c r="H1947" s="1">
        <f>IF(jablka5[[#This Row],[dot sprz]]&lt;15000,0,IF(jablka5[[#This Row],[dot sprz]]&lt;20000,5,10))</f>
        <v>0</v>
      </c>
      <c r="I1947" s="1">
        <f>jablka5[[#This Row],[rabat]]*jablka5[[#This Row],[sprzedaż]]/100</f>
        <v>0</v>
      </c>
    </row>
    <row r="1948" spans="1:9" x14ac:dyDescent="0.25">
      <c r="A1948" s="2">
        <v>44631</v>
      </c>
      <c r="B1948" s="1" t="s">
        <v>4</v>
      </c>
      <c r="C1948" s="1" t="s">
        <v>16</v>
      </c>
      <c r="D1948" s="1" t="s">
        <v>26</v>
      </c>
      <c r="E1948">
        <v>750</v>
      </c>
      <c r="F1948" s="1">
        <f>VLOOKUP(jablka5[[#This Row],[Nazwa]],cennik[],2,0) * jablka5[[#This Row],[sprzedaż]]</f>
        <v>2550</v>
      </c>
      <c r="G1948" s="1">
        <f>IF(jablka5[[#This Row],[NIP]]=D1947,jablka5[[#This Row],[sprzedaż]]+G1947,jablka5[[#This Row],[sprzedaż]])</f>
        <v>2744</v>
      </c>
      <c r="H1948" s="1">
        <f>IF(jablka5[[#This Row],[dot sprz]]&lt;15000,0,IF(jablka5[[#This Row],[dot sprz]]&lt;20000,5,10))</f>
        <v>0</v>
      </c>
      <c r="I1948" s="1">
        <f>jablka5[[#This Row],[rabat]]*jablka5[[#This Row],[sprzedaż]]/100</f>
        <v>0</v>
      </c>
    </row>
    <row r="1949" spans="1:9" x14ac:dyDescent="0.25">
      <c r="A1949" s="2">
        <v>44635</v>
      </c>
      <c r="B1949" s="1" t="s">
        <v>15</v>
      </c>
      <c r="C1949" s="1" t="s">
        <v>16</v>
      </c>
      <c r="D1949" s="1" t="s">
        <v>26</v>
      </c>
      <c r="E1949">
        <v>546</v>
      </c>
      <c r="F1949" s="1">
        <f>VLOOKUP(jablka5[[#This Row],[Nazwa]],cennik[],2,0) * jablka5[[#This Row],[sprzedaż]]</f>
        <v>1310.3999999999999</v>
      </c>
      <c r="G1949" s="1">
        <f>IF(jablka5[[#This Row],[NIP]]=D1948,jablka5[[#This Row],[sprzedaż]]+G1948,jablka5[[#This Row],[sprzedaż]])</f>
        <v>3290</v>
      </c>
      <c r="H1949" s="1">
        <f>IF(jablka5[[#This Row],[dot sprz]]&lt;15000,0,IF(jablka5[[#This Row],[dot sprz]]&lt;20000,5,10))</f>
        <v>0</v>
      </c>
      <c r="I1949" s="1">
        <f>jablka5[[#This Row],[rabat]]*jablka5[[#This Row],[sprzedaż]]/100</f>
        <v>0</v>
      </c>
    </row>
    <row r="1950" spans="1:9" x14ac:dyDescent="0.25">
      <c r="A1950" s="2">
        <v>44635</v>
      </c>
      <c r="B1950" s="1" t="s">
        <v>5</v>
      </c>
      <c r="C1950" s="1" t="s">
        <v>16</v>
      </c>
      <c r="D1950" s="1" t="s">
        <v>26</v>
      </c>
      <c r="E1950">
        <v>68</v>
      </c>
      <c r="F1950" s="1">
        <f>VLOOKUP(jablka5[[#This Row],[Nazwa]],cennik[],2,0) * jablka5[[#This Row],[sprzedaż]]</f>
        <v>231.2</v>
      </c>
      <c r="G1950" s="1">
        <f>IF(jablka5[[#This Row],[NIP]]=D1949,jablka5[[#This Row],[sprzedaż]]+G1949,jablka5[[#This Row],[sprzedaż]])</f>
        <v>3358</v>
      </c>
      <c r="H1950" s="1">
        <f>IF(jablka5[[#This Row],[dot sprz]]&lt;15000,0,IF(jablka5[[#This Row],[dot sprz]]&lt;20000,5,10))</f>
        <v>0</v>
      </c>
      <c r="I1950" s="1">
        <f>jablka5[[#This Row],[rabat]]*jablka5[[#This Row],[sprzedaż]]/100</f>
        <v>0</v>
      </c>
    </row>
    <row r="1951" spans="1:9" x14ac:dyDescent="0.25">
      <c r="A1951" s="2">
        <v>44646</v>
      </c>
      <c r="B1951" s="1" t="s">
        <v>15</v>
      </c>
      <c r="C1951" s="1" t="s">
        <v>16</v>
      </c>
      <c r="D1951" s="1" t="s">
        <v>26</v>
      </c>
      <c r="E1951">
        <v>520</v>
      </c>
      <c r="F1951" s="1">
        <f>VLOOKUP(jablka5[[#This Row],[Nazwa]],cennik[],2,0) * jablka5[[#This Row],[sprzedaż]]</f>
        <v>1248</v>
      </c>
      <c r="G1951" s="1">
        <f>IF(jablka5[[#This Row],[NIP]]=D1950,jablka5[[#This Row],[sprzedaż]]+G1950,jablka5[[#This Row],[sprzedaż]])</f>
        <v>3878</v>
      </c>
      <c r="H1951" s="1">
        <f>IF(jablka5[[#This Row],[dot sprz]]&lt;15000,0,IF(jablka5[[#This Row],[dot sprz]]&lt;20000,5,10))</f>
        <v>0</v>
      </c>
      <c r="I1951" s="1">
        <f>jablka5[[#This Row],[rabat]]*jablka5[[#This Row],[sprzedaż]]/100</f>
        <v>0</v>
      </c>
    </row>
    <row r="1952" spans="1:9" x14ac:dyDescent="0.25">
      <c r="A1952" s="2">
        <v>44646</v>
      </c>
      <c r="B1952" s="1" t="s">
        <v>2</v>
      </c>
      <c r="C1952" s="1" t="s">
        <v>16</v>
      </c>
      <c r="D1952" s="1" t="s">
        <v>26</v>
      </c>
      <c r="E1952">
        <v>216</v>
      </c>
      <c r="F1952" s="1">
        <f>VLOOKUP(jablka5[[#This Row],[Nazwa]],cennik[],2,0) * jablka5[[#This Row],[sprzedaż]]</f>
        <v>691.2</v>
      </c>
      <c r="G1952" s="1">
        <f>IF(jablka5[[#This Row],[NIP]]=D1951,jablka5[[#This Row],[sprzedaż]]+G1951,jablka5[[#This Row],[sprzedaż]])</f>
        <v>4094</v>
      </c>
      <c r="H1952" s="1">
        <f>IF(jablka5[[#This Row],[dot sprz]]&lt;15000,0,IF(jablka5[[#This Row],[dot sprz]]&lt;20000,5,10))</f>
        <v>0</v>
      </c>
      <c r="I1952" s="1">
        <f>jablka5[[#This Row],[rabat]]*jablka5[[#This Row],[sprzedaż]]/100</f>
        <v>0</v>
      </c>
    </row>
    <row r="1953" spans="1:9" x14ac:dyDescent="0.25">
      <c r="A1953" s="2">
        <v>44650</v>
      </c>
      <c r="B1953" s="1" t="s">
        <v>2</v>
      </c>
      <c r="C1953" s="1" t="s">
        <v>16</v>
      </c>
      <c r="D1953" s="1" t="s">
        <v>26</v>
      </c>
      <c r="E1953">
        <v>218</v>
      </c>
      <c r="F1953" s="1">
        <f>VLOOKUP(jablka5[[#This Row],[Nazwa]],cennik[],2,0) * jablka5[[#This Row],[sprzedaż]]</f>
        <v>697.6</v>
      </c>
      <c r="G1953" s="1">
        <f>IF(jablka5[[#This Row],[NIP]]=D1952,jablka5[[#This Row],[sprzedaż]]+G1952,jablka5[[#This Row],[sprzedaż]])</f>
        <v>4312</v>
      </c>
      <c r="H1953" s="1">
        <f>IF(jablka5[[#This Row],[dot sprz]]&lt;15000,0,IF(jablka5[[#This Row],[dot sprz]]&lt;20000,5,10))</f>
        <v>0</v>
      </c>
      <c r="I1953" s="1">
        <f>jablka5[[#This Row],[rabat]]*jablka5[[#This Row],[sprzedaż]]/100</f>
        <v>0</v>
      </c>
    </row>
    <row r="1954" spans="1:9" x14ac:dyDescent="0.25">
      <c r="A1954" s="2">
        <v>44652</v>
      </c>
      <c r="B1954" s="1" t="s">
        <v>4</v>
      </c>
      <c r="C1954" s="1" t="s">
        <v>16</v>
      </c>
      <c r="D1954" s="1" t="s">
        <v>26</v>
      </c>
      <c r="E1954">
        <v>420</v>
      </c>
      <c r="F1954" s="1">
        <f>VLOOKUP(jablka5[[#This Row],[Nazwa]],cennik[],2,0) * jablka5[[#This Row],[sprzedaż]]</f>
        <v>1428</v>
      </c>
      <c r="G1954" s="1">
        <f>IF(jablka5[[#This Row],[NIP]]=D1953,jablka5[[#This Row],[sprzedaż]]+G1953,jablka5[[#This Row],[sprzedaż]])</f>
        <v>4732</v>
      </c>
      <c r="H1954" s="1">
        <f>IF(jablka5[[#This Row],[dot sprz]]&lt;15000,0,IF(jablka5[[#This Row],[dot sprz]]&lt;20000,5,10))</f>
        <v>0</v>
      </c>
      <c r="I1954" s="1">
        <f>jablka5[[#This Row],[rabat]]*jablka5[[#This Row],[sprzedaż]]/100</f>
        <v>0</v>
      </c>
    </row>
    <row r="1955" spans="1:9" x14ac:dyDescent="0.25">
      <c r="A1955" s="2">
        <v>44653</v>
      </c>
      <c r="B1955" s="1" t="s">
        <v>8</v>
      </c>
      <c r="C1955" s="1" t="s">
        <v>16</v>
      </c>
      <c r="D1955" s="1" t="s">
        <v>26</v>
      </c>
      <c r="E1955">
        <v>612</v>
      </c>
      <c r="F1955" s="1">
        <f>VLOOKUP(jablka5[[#This Row],[Nazwa]],cennik[],2,0) * jablka5[[#This Row],[sprzedaż]]</f>
        <v>2142</v>
      </c>
      <c r="G1955" s="1">
        <f>IF(jablka5[[#This Row],[NIP]]=D1954,jablka5[[#This Row],[sprzedaż]]+G1954,jablka5[[#This Row],[sprzedaż]])</f>
        <v>5344</v>
      </c>
      <c r="H1955" s="1">
        <f>IF(jablka5[[#This Row],[dot sprz]]&lt;15000,0,IF(jablka5[[#This Row],[dot sprz]]&lt;20000,5,10))</f>
        <v>0</v>
      </c>
      <c r="I1955" s="1">
        <f>jablka5[[#This Row],[rabat]]*jablka5[[#This Row],[sprzedaż]]/100</f>
        <v>0</v>
      </c>
    </row>
    <row r="1956" spans="1:9" x14ac:dyDescent="0.25">
      <c r="A1956" s="2">
        <v>44655</v>
      </c>
      <c r="B1956" s="1" t="s">
        <v>10</v>
      </c>
      <c r="C1956" s="1" t="s">
        <v>16</v>
      </c>
      <c r="D1956" s="1" t="s">
        <v>26</v>
      </c>
      <c r="E1956">
        <v>442</v>
      </c>
      <c r="F1956" s="1">
        <f>VLOOKUP(jablka5[[#This Row],[Nazwa]],cennik[],2,0) * jablka5[[#This Row],[sprzedaż]]</f>
        <v>1502.8</v>
      </c>
      <c r="G1956" s="1">
        <f>IF(jablka5[[#This Row],[NIP]]=D1955,jablka5[[#This Row],[sprzedaż]]+G1955,jablka5[[#This Row],[sprzedaż]])</f>
        <v>5786</v>
      </c>
      <c r="H1956" s="1">
        <f>IF(jablka5[[#This Row],[dot sprz]]&lt;15000,0,IF(jablka5[[#This Row],[dot sprz]]&lt;20000,5,10))</f>
        <v>0</v>
      </c>
      <c r="I1956" s="1">
        <f>jablka5[[#This Row],[rabat]]*jablka5[[#This Row],[sprzedaż]]/100</f>
        <v>0</v>
      </c>
    </row>
    <row r="1957" spans="1:9" x14ac:dyDescent="0.25">
      <c r="A1957" s="2">
        <v>44655</v>
      </c>
      <c r="B1957" s="1" t="s">
        <v>6</v>
      </c>
      <c r="C1957" s="1" t="s">
        <v>16</v>
      </c>
      <c r="D1957" s="1" t="s">
        <v>26</v>
      </c>
      <c r="E1957">
        <v>161</v>
      </c>
      <c r="F1957" s="1">
        <f>VLOOKUP(jablka5[[#This Row],[Nazwa]],cennik[],2,0) * jablka5[[#This Row],[sprzedaż]]</f>
        <v>547.4</v>
      </c>
      <c r="G1957" s="1">
        <f>IF(jablka5[[#This Row],[NIP]]=D1956,jablka5[[#This Row],[sprzedaż]]+G1956,jablka5[[#This Row],[sprzedaż]])</f>
        <v>5947</v>
      </c>
      <c r="H1957" s="1">
        <f>IF(jablka5[[#This Row],[dot sprz]]&lt;15000,0,IF(jablka5[[#This Row],[dot sprz]]&lt;20000,5,10))</f>
        <v>0</v>
      </c>
      <c r="I1957" s="1">
        <f>jablka5[[#This Row],[rabat]]*jablka5[[#This Row],[sprzedaż]]/100</f>
        <v>0</v>
      </c>
    </row>
    <row r="1958" spans="1:9" x14ac:dyDescent="0.25">
      <c r="A1958" s="2">
        <v>44657</v>
      </c>
      <c r="B1958" s="1" t="s">
        <v>10</v>
      </c>
      <c r="C1958" s="1" t="s">
        <v>16</v>
      </c>
      <c r="D1958" s="1" t="s">
        <v>26</v>
      </c>
      <c r="E1958">
        <v>136</v>
      </c>
      <c r="F1958" s="1">
        <f>VLOOKUP(jablka5[[#This Row],[Nazwa]],cennik[],2,0) * jablka5[[#This Row],[sprzedaż]]</f>
        <v>462.4</v>
      </c>
      <c r="G1958" s="1">
        <f>IF(jablka5[[#This Row],[NIP]]=D1957,jablka5[[#This Row],[sprzedaż]]+G1957,jablka5[[#This Row],[sprzedaż]])</f>
        <v>6083</v>
      </c>
      <c r="H1958" s="1">
        <f>IF(jablka5[[#This Row],[dot sprz]]&lt;15000,0,IF(jablka5[[#This Row],[dot sprz]]&lt;20000,5,10))</f>
        <v>0</v>
      </c>
      <c r="I1958" s="1">
        <f>jablka5[[#This Row],[rabat]]*jablka5[[#This Row],[sprzedaż]]/100</f>
        <v>0</v>
      </c>
    </row>
    <row r="1959" spans="1:9" x14ac:dyDescent="0.25">
      <c r="A1959" s="2">
        <v>44663</v>
      </c>
      <c r="B1959" s="1" t="s">
        <v>8</v>
      </c>
      <c r="C1959" s="1" t="s">
        <v>16</v>
      </c>
      <c r="D1959" s="1" t="s">
        <v>26</v>
      </c>
      <c r="E1959">
        <v>334</v>
      </c>
      <c r="F1959" s="1">
        <f>VLOOKUP(jablka5[[#This Row],[Nazwa]],cennik[],2,0) * jablka5[[#This Row],[sprzedaż]]</f>
        <v>1169</v>
      </c>
      <c r="G1959" s="1">
        <f>IF(jablka5[[#This Row],[NIP]]=D1958,jablka5[[#This Row],[sprzedaż]]+G1958,jablka5[[#This Row],[sprzedaż]])</f>
        <v>6417</v>
      </c>
      <c r="H1959" s="1">
        <f>IF(jablka5[[#This Row],[dot sprz]]&lt;15000,0,IF(jablka5[[#This Row],[dot sprz]]&lt;20000,5,10))</f>
        <v>0</v>
      </c>
      <c r="I1959" s="1">
        <f>jablka5[[#This Row],[rabat]]*jablka5[[#This Row],[sprzedaż]]/100</f>
        <v>0</v>
      </c>
    </row>
    <row r="1960" spans="1:9" x14ac:dyDescent="0.25">
      <c r="A1960" s="2">
        <v>44663</v>
      </c>
      <c r="B1960" s="1" t="s">
        <v>4</v>
      </c>
      <c r="C1960" s="1" t="s">
        <v>16</v>
      </c>
      <c r="D1960" s="1" t="s">
        <v>26</v>
      </c>
      <c r="E1960">
        <v>547</v>
      </c>
      <c r="F1960" s="1">
        <f>VLOOKUP(jablka5[[#This Row],[Nazwa]],cennik[],2,0) * jablka5[[#This Row],[sprzedaż]]</f>
        <v>1859.8</v>
      </c>
      <c r="G1960" s="1">
        <f>IF(jablka5[[#This Row],[NIP]]=D1959,jablka5[[#This Row],[sprzedaż]]+G1959,jablka5[[#This Row],[sprzedaż]])</f>
        <v>6964</v>
      </c>
      <c r="H1960" s="1">
        <f>IF(jablka5[[#This Row],[dot sprz]]&lt;15000,0,IF(jablka5[[#This Row],[dot sprz]]&lt;20000,5,10))</f>
        <v>0</v>
      </c>
      <c r="I1960" s="1">
        <f>jablka5[[#This Row],[rabat]]*jablka5[[#This Row],[sprzedaż]]/100</f>
        <v>0</v>
      </c>
    </row>
    <row r="1961" spans="1:9" x14ac:dyDescent="0.25">
      <c r="A1961" s="2">
        <v>44669</v>
      </c>
      <c r="B1961" s="1" t="s">
        <v>5</v>
      </c>
      <c r="C1961" s="1" t="s">
        <v>16</v>
      </c>
      <c r="D1961" s="1" t="s">
        <v>26</v>
      </c>
      <c r="E1961">
        <v>304</v>
      </c>
      <c r="F1961" s="1">
        <f>VLOOKUP(jablka5[[#This Row],[Nazwa]],cennik[],2,0) * jablka5[[#This Row],[sprzedaż]]</f>
        <v>1033.5999999999999</v>
      </c>
      <c r="G1961" s="1">
        <f>IF(jablka5[[#This Row],[NIP]]=D1960,jablka5[[#This Row],[sprzedaż]]+G1960,jablka5[[#This Row],[sprzedaż]])</f>
        <v>7268</v>
      </c>
      <c r="H1961" s="1">
        <f>IF(jablka5[[#This Row],[dot sprz]]&lt;15000,0,IF(jablka5[[#This Row],[dot sprz]]&lt;20000,5,10))</f>
        <v>0</v>
      </c>
      <c r="I1961" s="1">
        <f>jablka5[[#This Row],[rabat]]*jablka5[[#This Row],[sprzedaż]]/100</f>
        <v>0</v>
      </c>
    </row>
    <row r="1962" spans="1:9" x14ac:dyDescent="0.25">
      <c r="A1962" s="2">
        <v>44670</v>
      </c>
      <c r="B1962" s="1" t="s">
        <v>6</v>
      </c>
      <c r="C1962" s="1" t="s">
        <v>16</v>
      </c>
      <c r="D1962" s="1" t="s">
        <v>26</v>
      </c>
      <c r="E1962">
        <v>474</v>
      </c>
      <c r="F1962" s="1">
        <f>VLOOKUP(jablka5[[#This Row],[Nazwa]],cennik[],2,0) * jablka5[[#This Row],[sprzedaż]]</f>
        <v>1611.6</v>
      </c>
      <c r="G1962" s="1">
        <f>IF(jablka5[[#This Row],[NIP]]=D1961,jablka5[[#This Row],[sprzedaż]]+G1961,jablka5[[#This Row],[sprzedaż]])</f>
        <v>7742</v>
      </c>
      <c r="H1962" s="1">
        <f>IF(jablka5[[#This Row],[dot sprz]]&lt;15000,0,IF(jablka5[[#This Row],[dot sprz]]&lt;20000,5,10))</f>
        <v>0</v>
      </c>
      <c r="I1962" s="1">
        <f>jablka5[[#This Row],[rabat]]*jablka5[[#This Row],[sprzedaż]]/100</f>
        <v>0</v>
      </c>
    </row>
    <row r="1963" spans="1:9" x14ac:dyDescent="0.25">
      <c r="A1963" s="2">
        <v>44707</v>
      </c>
      <c r="B1963" s="1" t="s">
        <v>6</v>
      </c>
      <c r="C1963" s="1" t="s">
        <v>16</v>
      </c>
      <c r="D1963" s="1" t="s">
        <v>26</v>
      </c>
      <c r="E1963">
        <v>308</v>
      </c>
      <c r="F1963" s="1">
        <f>VLOOKUP(jablka5[[#This Row],[Nazwa]],cennik[],2,0) * jablka5[[#This Row],[sprzedaż]]</f>
        <v>1047.2</v>
      </c>
      <c r="G1963" s="1">
        <f>IF(jablka5[[#This Row],[NIP]]=D1962,jablka5[[#This Row],[sprzedaż]]+G1962,jablka5[[#This Row],[sprzedaż]])</f>
        <v>8050</v>
      </c>
      <c r="H1963" s="1">
        <f>IF(jablka5[[#This Row],[dot sprz]]&lt;15000,0,IF(jablka5[[#This Row],[dot sprz]]&lt;20000,5,10))</f>
        <v>0</v>
      </c>
      <c r="I1963" s="1">
        <f>jablka5[[#This Row],[rabat]]*jablka5[[#This Row],[sprzedaż]]/100</f>
        <v>0</v>
      </c>
    </row>
    <row r="1964" spans="1:9" x14ac:dyDescent="0.25">
      <c r="A1964" s="2">
        <v>44721</v>
      </c>
      <c r="B1964" s="1" t="s">
        <v>14</v>
      </c>
      <c r="C1964" s="1" t="s">
        <v>67</v>
      </c>
      <c r="D1964" s="1" t="s">
        <v>26</v>
      </c>
      <c r="E1964">
        <v>366</v>
      </c>
      <c r="F1964" s="1">
        <f>VLOOKUP(jablka5[[#This Row],[Nazwa]],cennik[],2,0) * jablka5[[#This Row],[sprzedaż]]</f>
        <v>1281</v>
      </c>
      <c r="G1964" s="1">
        <f>IF(jablka5[[#This Row],[NIP]]=D1963,jablka5[[#This Row],[sprzedaż]]+G1963,jablka5[[#This Row],[sprzedaż]])</f>
        <v>8416</v>
      </c>
      <c r="H1964" s="1">
        <f>IF(jablka5[[#This Row],[dot sprz]]&lt;15000,0,IF(jablka5[[#This Row],[dot sprz]]&lt;20000,5,10))</f>
        <v>0</v>
      </c>
      <c r="I1964" s="1">
        <f>jablka5[[#This Row],[rabat]]*jablka5[[#This Row],[sprzedaż]]/100</f>
        <v>0</v>
      </c>
    </row>
    <row r="1965" spans="1:9" x14ac:dyDescent="0.25">
      <c r="A1965" s="2">
        <v>44750</v>
      </c>
      <c r="B1965" s="1" t="s">
        <v>14</v>
      </c>
      <c r="C1965" s="1" t="s">
        <v>67</v>
      </c>
      <c r="D1965" s="1" t="s">
        <v>26</v>
      </c>
      <c r="E1965">
        <v>228</v>
      </c>
      <c r="F1965" s="1">
        <f>VLOOKUP(jablka5[[#This Row],[Nazwa]],cennik[],2,0) * jablka5[[#This Row],[sprzedaż]]</f>
        <v>798</v>
      </c>
      <c r="G1965" s="1">
        <f>IF(jablka5[[#This Row],[NIP]]=D1964,jablka5[[#This Row],[sprzedaż]]+G1964,jablka5[[#This Row],[sprzedaż]])</f>
        <v>8644</v>
      </c>
      <c r="H1965" s="1">
        <f>IF(jablka5[[#This Row],[dot sprz]]&lt;15000,0,IF(jablka5[[#This Row],[dot sprz]]&lt;20000,5,10))</f>
        <v>0</v>
      </c>
      <c r="I1965" s="1">
        <f>jablka5[[#This Row],[rabat]]*jablka5[[#This Row],[sprzedaż]]/100</f>
        <v>0</v>
      </c>
    </row>
    <row r="1966" spans="1:9" x14ac:dyDescent="0.25">
      <c r="A1966" s="2">
        <v>44763</v>
      </c>
      <c r="B1966" s="1" t="s">
        <v>12</v>
      </c>
      <c r="C1966" s="1" t="s">
        <v>68</v>
      </c>
      <c r="D1966" s="1" t="s">
        <v>26</v>
      </c>
      <c r="E1966">
        <v>123</v>
      </c>
      <c r="F1966" s="1">
        <f>VLOOKUP(jablka5[[#This Row],[Nazwa]],cennik[],2,0) * jablka5[[#This Row],[sprzedaż]]</f>
        <v>332.1</v>
      </c>
      <c r="G1966" s="1">
        <f>IF(jablka5[[#This Row],[NIP]]=D1965,jablka5[[#This Row],[sprzedaż]]+G1965,jablka5[[#This Row],[sprzedaż]])</f>
        <v>8767</v>
      </c>
      <c r="H1966" s="1">
        <f>IF(jablka5[[#This Row],[dot sprz]]&lt;15000,0,IF(jablka5[[#This Row],[dot sprz]]&lt;20000,5,10))</f>
        <v>0</v>
      </c>
      <c r="I1966" s="1">
        <f>jablka5[[#This Row],[rabat]]*jablka5[[#This Row],[sprzedaż]]/100</f>
        <v>0</v>
      </c>
    </row>
    <row r="1967" spans="1:9" x14ac:dyDescent="0.25">
      <c r="A1967" s="2">
        <v>44765</v>
      </c>
      <c r="B1967" s="1" t="s">
        <v>12</v>
      </c>
      <c r="C1967" s="1" t="s">
        <v>68</v>
      </c>
      <c r="D1967" s="1" t="s">
        <v>26</v>
      </c>
      <c r="E1967">
        <v>457</v>
      </c>
      <c r="F1967" s="1">
        <f>VLOOKUP(jablka5[[#This Row],[Nazwa]],cennik[],2,0) * jablka5[[#This Row],[sprzedaż]]</f>
        <v>1233.9000000000001</v>
      </c>
      <c r="G1967" s="1">
        <f>IF(jablka5[[#This Row],[NIP]]=D1966,jablka5[[#This Row],[sprzedaż]]+G1966,jablka5[[#This Row],[sprzedaż]])</f>
        <v>9224</v>
      </c>
      <c r="H1967" s="1">
        <f>IF(jablka5[[#This Row],[dot sprz]]&lt;15000,0,IF(jablka5[[#This Row],[dot sprz]]&lt;20000,5,10))</f>
        <v>0</v>
      </c>
      <c r="I1967" s="1">
        <f>jablka5[[#This Row],[rabat]]*jablka5[[#This Row],[sprzedaż]]/100</f>
        <v>0</v>
      </c>
    </row>
    <row r="1968" spans="1:9" x14ac:dyDescent="0.25">
      <c r="A1968" s="2">
        <v>44774</v>
      </c>
      <c r="B1968" s="1" t="s">
        <v>13</v>
      </c>
      <c r="C1968" s="1" t="s">
        <v>68</v>
      </c>
      <c r="D1968" s="1" t="s">
        <v>26</v>
      </c>
      <c r="E1968">
        <v>321</v>
      </c>
      <c r="F1968" s="1">
        <f>VLOOKUP(jablka5[[#This Row],[Nazwa]],cennik[],2,0) * jablka5[[#This Row],[sprzedaż]]</f>
        <v>1027.2</v>
      </c>
      <c r="G1968" s="1">
        <f>IF(jablka5[[#This Row],[NIP]]=D1967,jablka5[[#This Row],[sprzedaż]]+G1967,jablka5[[#This Row],[sprzedaż]])</f>
        <v>9545</v>
      </c>
      <c r="H1968" s="1">
        <f>IF(jablka5[[#This Row],[dot sprz]]&lt;15000,0,IF(jablka5[[#This Row],[dot sprz]]&lt;20000,5,10))</f>
        <v>0</v>
      </c>
      <c r="I1968" s="1">
        <f>jablka5[[#This Row],[rabat]]*jablka5[[#This Row],[sprzedaż]]/100</f>
        <v>0</v>
      </c>
    </row>
    <row r="1969" spans="1:9" x14ac:dyDescent="0.25">
      <c r="A1969" s="2">
        <v>44774</v>
      </c>
      <c r="B1969" s="1" t="s">
        <v>13</v>
      </c>
      <c r="C1969" s="1" t="s">
        <v>68</v>
      </c>
      <c r="D1969" s="1" t="s">
        <v>26</v>
      </c>
      <c r="E1969">
        <v>203</v>
      </c>
      <c r="F1969" s="1">
        <f>VLOOKUP(jablka5[[#This Row],[Nazwa]],cennik[],2,0) * jablka5[[#This Row],[sprzedaż]]</f>
        <v>649.6</v>
      </c>
      <c r="G1969" s="1">
        <f>IF(jablka5[[#This Row],[NIP]]=D1968,jablka5[[#This Row],[sprzedaż]]+G1968,jablka5[[#This Row],[sprzedaż]])</f>
        <v>9748</v>
      </c>
      <c r="H1969" s="1">
        <f>IF(jablka5[[#This Row],[dot sprz]]&lt;15000,0,IF(jablka5[[#This Row],[dot sprz]]&lt;20000,5,10))</f>
        <v>0</v>
      </c>
      <c r="I1969" s="1">
        <f>jablka5[[#This Row],[rabat]]*jablka5[[#This Row],[sprzedaż]]/100</f>
        <v>0</v>
      </c>
    </row>
    <row r="1970" spans="1:9" x14ac:dyDescent="0.25">
      <c r="A1970" s="2">
        <v>44781</v>
      </c>
      <c r="B1970" s="1" t="s">
        <v>14</v>
      </c>
      <c r="C1970" s="1" t="s">
        <v>67</v>
      </c>
      <c r="D1970" s="1" t="s">
        <v>26</v>
      </c>
      <c r="E1970">
        <v>177</v>
      </c>
      <c r="F1970" s="1">
        <f>VLOOKUP(jablka5[[#This Row],[Nazwa]],cennik[],2,0) * jablka5[[#This Row],[sprzedaż]]</f>
        <v>619.5</v>
      </c>
      <c r="G1970" s="1">
        <f>IF(jablka5[[#This Row],[NIP]]=D1969,jablka5[[#This Row],[sprzedaż]]+G1969,jablka5[[#This Row],[sprzedaż]])</f>
        <v>9925</v>
      </c>
      <c r="H1970" s="1">
        <f>IF(jablka5[[#This Row],[dot sprz]]&lt;15000,0,IF(jablka5[[#This Row],[dot sprz]]&lt;20000,5,10))</f>
        <v>0</v>
      </c>
      <c r="I1970" s="1">
        <f>jablka5[[#This Row],[rabat]]*jablka5[[#This Row],[sprzedaż]]/100</f>
        <v>0</v>
      </c>
    </row>
    <row r="1971" spans="1:9" x14ac:dyDescent="0.25">
      <c r="A1971" s="2">
        <v>44788</v>
      </c>
      <c r="B1971" s="1" t="s">
        <v>14</v>
      </c>
      <c r="C1971" s="1" t="s">
        <v>67</v>
      </c>
      <c r="D1971" s="1" t="s">
        <v>26</v>
      </c>
      <c r="E1971">
        <v>43</v>
      </c>
      <c r="F1971" s="1">
        <f>VLOOKUP(jablka5[[#This Row],[Nazwa]],cennik[],2,0) * jablka5[[#This Row],[sprzedaż]]</f>
        <v>150.5</v>
      </c>
      <c r="G1971" s="1">
        <f>IF(jablka5[[#This Row],[NIP]]=D1970,jablka5[[#This Row],[sprzedaż]]+G1970,jablka5[[#This Row],[sprzedaż]])</f>
        <v>9968</v>
      </c>
      <c r="H1971" s="1">
        <f>IF(jablka5[[#This Row],[dot sprz]]&lt;15000,0,IF(jablka5[[#This Row],[dot sprz]]&lt;20000,5,10))</f>
        <v>0</v>
      </c>
      <c r="I1971" s="1">
        <f>jablka5[[#This Row],[rabat]]*jablka5[[#This Row],[sprzedaż]]/100</f>
        <v>0</v>
      </c>
    </row>
    <row r="1972" spans="1:9" x14ac:dyDescent="0.25">
      <c r="A1972" s="2">
        <v>44791</v>
      </c>
      <c r="B1972" s="1" t="s">
        <v>14</v>
      </c>
      <c r="C1972" s="1" t="s">
        <v>67</v>
      </c>
      <c r="D1972" s="1" t="s">
        <v>26</v>
      </c>
      <c r="E1972">
        <v>472</v>
      </c>
      <c r="F1972" s="1">
        <f>VLOOKUP(jablka5[[#This Row],[Nazwa]],cennik[],2,0) * jablka5[[#This Row],[sprzedaż]]</f>
        <v>1652</v>
      </c>
      <c r="G1972" s="1">
        <f>IF(jablka5[[#This Row],[NIP]]=D1971,jablka5[[#This Row],[sprzedaż]]+G1971,jablka5[[#This Row],[sprzedaż]])</f>
        <v>10440</v>
      </c>
      <c r="H1972" s="1">
        <f>IF(jablka5[[#This Row],[dot sprz]]&lt;15000,0,IF(jablka5[[#This Row],[dot sprz]]&lt;20000,5,10))</f>
        <v>0</v>
      </c>
      <c r="I1972" s="1">
        <f>jablka5[[#This Row],[rabat]]*jablka5[[#This Row],[sprzedaż]]/100</f>
        <v>0</v>
      </c>
    </row>
    <row r="1973" spans="1:9" x14ac:dyDescent="0.25">
      <c r="A1973" s="2">
        <v>44806</v>
      </c>
      <c r="B1973" s="1" t="s">
        <v>1</v>
      </c>
      <c r="C1973" s="1" t="s">
        <v>67</v>
      </c>
      <c r="D1973" s="1" t="s">
        <v>26</v>
      </c>
      <c r="E1973">
        <v>217</v>
      </c>
      <c r="F1973" s="1">
        <f>VLOOKUP(jablka5[[#This Row],[Nazwa]],cennik[],2,0) * jablka5[[#This Row],[sprzedaż]]</f>
        <v>694.40000000000009</v>
      </c>
      <c r="G1973" s="1">
        <f>IF(jablka5[[#This Row],[NIP]]=D1972,jablka5[[#This Row],[sprzedaż]]+G1972,jablka5[[#This Row],[sprzedaż]])</f>
        <v>10657</v>
      </c>
      <c r="H1973" s="1">
        <f>IF(jablka5[[#This Row],[dot sprz]]&lt;15000,0,IF(jablka5[[#This Row],[dot sprz]]&lt;20000,5,10))</f>
        <v>0</v>
      </c>
      <c r="I1973" s="1">
        <f>jablka5[[#This Row],[rabat]]*jablka5[[#This Row],[sprzedaż]]/100</f>
        <v>0</v>
      </c>
    </row>
    <row r="1974" spans="1:9" x14ac:dyDescent="0.25">
      <c r="A1974" s="2">
        <v>44807</v>
      </c>
      <c r="B1974" s="1" t="s">
        <v>1</v>
      </c>
      <c r="C1974" s="1" t="s">
        <v>67</v>
      </c>
      <c r="D1974" s="1" t="s">
        <v>26</v>
      </c>
      <c r="E1974">
        <v>176</v>
      </c>
      <c r="F1974" s="1">
        <f>VLOOKUP(jablka5[[#This Row],[Nazwa]],cennik[],2,0) * jablka5[[#This Row],[sprzedaż]]</f>
        <v>563.20000000000005</v>
      </c>
      <c r="G1974" s="1">
        <f>IF(jablka5[[#This Row],[NIP]]=D1973,jablka5[[#This Row],[sprzedaż]]+G1973,jablka5[[#This Row],[sprzedaż]])</f>
        <v>10833</v>
      </c>
      <c r="H1974" s="1">
        <f>IF(jablka5[[#This Row],[dot sprz]]&lt;15000,0,IF(jablka5[[#This Row],[dot sprz]]&lt;20000,5,10))</f>
        <v>0</v>
      </c>
      <c r="I1974" s="1">
        <f>jablka5[[#This Row],[rabat]]*jablka5[[#This Row],[sprzedaż]]/100</f>
        <v>0</v>
      </c>
    </row>
    <row r="1975" spans="1:9" x14ac:dyDescent="0.25">
      <c r="A1975" s="2">
        <v>44809</v>
      </c>
      <c r="B1975" s="1" t="s">
        <v>9</v>
      </c>
      <c r="C1975" s="1" t="s">
        <v>67</v>
      </c>
      <c r="D1975" s="1" t="s">
        <v>26</v>
      </c>
      <c r="E1975">
        <v>143</v>
      </c>
      <c r="F1975" s="1">
        <f>VLOOKUP(jablka5[[#This Row],[Nazwa]],cennik[],2,0) * jablka5[[#This Row],[sprzedaż]]</f>
        <v>357.5</v>
      </c>
      <c r="G1975" s="1">
        <f>IF(jablka5[[#This Row],[NIP]]=D1974,jablka5[[#This Row],[sprzedaż]]+G1974,jablka5[[#This Row],[sprzedaż]])</f>
        <v>10976</v>
      </c>
      <c r="H1975" s="1">
        <f>IF(jablka5[[#This Row],[dot sprz]]&lt;15000,0,IF(jablka5[[#This Row],[dot sprz]]&lt;20000,5,10))</f>
        <v>0</v>
      </c>
      <c r="I1975" s="1">
        <f>jablka5[[#This Row],[rabat]]*jablka5[[#This Row],[sprzedaż]]/100</f>
        <v>0</v>
      </c>
    </row>
    <row r="1976" spans="1:9" x14ac:dyDescent="0.25">
      <c r="A1976" s="2">
        <v>44819</v>
      </c>
      <c r="B1976" s="1" t="s">
        <v>11</v>
      </c>
      <c r="C1976" s="1" t="s">
        <v>67</v>
      </c>
      <c r="D1976" s="1" t="s">
        <v>26</v>
      </c>
      <c r="E1976">
        <v>203</v>
      </c>
      <c r="F1976" s="1">
        <f>VLOOKUP(jablka5[[#This Row],[Nazwa]],cennik[],2,0) * jablka5[[#This Row],[sprzedaż]]</f>
        <v>507.5</v>
      </c>
      <c r="G1976" s="1">
        <f>IF(jablka5[[#This Row],[NIP]]=D1975,jablka5[[#This Row],[sprzedaż]]+G1975,jablka5[[#This Row],[sprzedaż]])</f>
        <v>11179</v>
      </c>
      <c r="H1976" s="1">
        <f>IF(jablka5[[#This Row],[dot sprz]]&lt;15000,0,IF(jablka5[[#This Row],[dot sprz]]&lt;20000,5,10))</f>
        <v>0</v>
      </c>
      <c r="I1976" s="1">
        <f>jablka5[[#This Row],[rabat]]*jablka5[[#This Row],[sprzedaż]]/100</f>
        <v>0</v>
      </c>
    </row>
    <row r="1977" spans="1:9" x14ac:dyDescent="0.25">
      <c r="A1977" s="2">
        <v>44823</v>
      </c>
      <c r="B1977" s="1" t="s">
        <v>11</v>
      </c>
      <c r="C1977" s="1" t="s">
        <v>67</v>
      </c>
      <c r="D1977" s="1" t="s">
        <v>26</v>
      </c>
      <c r="E1977">
        <v>325</v>
      </c>
      <c r="F1977" s="1">
        <f>VLOOKUP(jablka5[[#This Row],[Nazwa]],cennik[],2,0) * jablka5[[#This Row],[sprzedaż]]</f>
        <v>812.5</v>
      </c>
      <c r="G1977" s="1">
        <f>IF(jablka5[[#This Row],[NIP]]=D1976,jablka5[[#This Row],[sprzedaż]]+G1976,jablka5[[#This Row],[sprzedaż]])</f>
        <v>11504</v>
      </c>
      <c r="H1977" s="1">
        <f>IF(jablka5[[#This Row],[dot sprz]]&lt;15000,0,IF(jablka5[[#This Row],[dot sprz]]&lt;20000,5,10))</f>
        <v>0</v>
      </c>
      <c r="I1977" s="1">
        <f>jablka5[[#This Row],[rabat]]*jablka5[[#This Row],[sprzedaż]]/100</f>
        <v>0</v>
      </c>
    </row>
    <row r="1978" spans="1:9" x14ac:dyDescent="0.25">
      <c r="A1978" s="2">
        <v>44825</v>
      </c>
      <c r="B1978" s="1" t="s">
        <v>9</v>
      </c>
      <c r="C1978" s="1" t="s">
        <v>67</v>
      </c>
      <c r="D1978" s="1" t="s">
        <v>26</v>
      </c>
      <c r="E1978">
        <v>458</v>
      </c>
      <c r="F1978" s="1">
        <f>VLOOKUP(jablka5[[#This Row],[Nazwa]],cennik[],2,0) * jablka5[[#This Row],[sprzedaż]]</f>
        <v>1145</v>
      </c>
      <c r="G1978" s="1">
        <f>IF(jablka5[[#This Row],[NIP]]=D1977,jablka5[[#This Row],[sprzedaż]]+G1977,jablka5[[#This Row],[sprzedaż]])</f>
        <v>11962</v>
      </c>
      <c r="H1978" s="1">
        <f>IF(jablka5[[#This Row],[dot sprz]]&lt;15000,0,IF(jablka5[[#This Row],[dot sprz]]&lt;20000,5,10))</f>
        <v>0</v>
      </c>
      <c r="I1978" s="1">
        <f>jablka5[[#This Row],[rabat]]*jablka5[[#This Row],[sprzedaż]]/100</f>
        <v>0</v>
      </c>
    </row>
    <row r="1979" spans="1:9" x14ac:dyDescent="0.25">
      <c r="A1979" s="2">
        <v>44844</v>
      </c>
      <c r="B1979" s="1" t="s">
        <v>9</v>
      </c>
      <c r="C1979" s="1" t="s">
        <v>67</v>
      </c>
      <c r="D1979" s="1" t="s">
        <v>26</v>
      </c>
      <c r="E1979">
        <v>146</v>
      </c>
      <c r="F1979" s="1">
        <f>VLOOKUP(jablka5[[#This Row],[Nazwa]],cennik[],2,0) * jablka5[[#This Row],[sprzedaż]]</f>
        <v>365</v>
      </c>
      <c r="G1979" s="1">
        <f>IF(jablka5[[#This Row],[NIP]]=D1978,jablka5[[#This Row],[sprzedaż]]+G1978,jablka5[[#This Row],[sprzedaż]])</f>
        <v>12108</v>
      </c>
      <c r="H1979" s="1">
        <f>IF(jablka5[[#This Row],[dot sprz]]&lt;15000,0,IF(jablka5[[#This Row],[dot sprz]]&lt;20000,5,10))</f>
        <v>0</v>
      </c>
      <c r="I1979" s="1">
        <f>jablka5[[#This Row],[rabat]]*jablka5[[#This Row],[sprzedaż]]/100</f>
        <v>0</v>
      </c>
    </row>
    <row r="1980" spans="1:9" x14ac:dyDescent="0.25">
      <c r="A1980" s="2">
        <v>44844</v>
      </c>
      <c r="B1980" s="1" t="s">
        <v>1</v>
      </c>
      <c r="C1980" s="1" t="s">
        <v>67</v>
      </c>
      <c r="D1980" s="1" t="s">
        <v>26</v>
      </c>
      <c r="E1980">
        <v>468</v>
      </c>
      <c r="F1980" s="1">
        <f>VLOOKUP(jablka5[[#This Row],[Nazwa]],cennik[],2,0) * jablka5[[#This Row],[sprzedaż]]</f>
        <v>1497.6000000000001</v>
      </c>
      <c r="G1980" s="1">
        <f>IF(jablka5[[#This Row],[NIP]]=D1979,jablka5[[#This Row],[sprzedaż]]+G1979,jablka5[[#This Row],[sprzedaż]])</f>
        <v>12576</v>
      </c>
      <c r="H1980" s="1">
        <f>IF(jablka5[[#This Row],[dot sprz]]&lt;15000,0,IF(jablka5[[#This Row],[dot sprz]]&lt;20000,5,10))</f>
        <v>0</v>
      </c>
      <c r="I1980" s="1">
        <f>jablka5[[#This Row],[rabat]]*jablka5[[#This Row],[sprzedaż]]/100</f>
        <v>0</v>
      </c>
    </row>
    <row r="1981" spans="1:9" x14ac:dyDescent="0.25">
      <c r="A1981" s="2">
        <v>44852</v>
      </c>
      <c r="B1981" s="1" t="s">
        <v>14</v>
      </c>
      <c r="C1981" s="1" t="s">
        <v>67</v>
      </c>
      <c r="D1981" s="1" t="s">
        <v>26</v>
      </c>
      <c r="E1981">
        <v>207</v>
      </c>
      <c r="F1981" s="1">
        <f>VLOOKUP(jablka5[[#This Row],[Nazwa]],cennik[],2,0) * jablka5[[#This Row],[sprzedaż]]</f>
        <v>724.5</v>
      </c>
      <c r="G1981" s="1">
        <f>IF(jablka5[[#This Row],[NIP]]=D1980,jablka5[[#This Row],[sprzedaż]]+G1980,jablka5[[#This Row],[sprzedaż]])</f>
        <v>12783</v>
      </c>
      <c r="H1981" s="1">
        <f>IF(jablka5[[#This Row],[dot sprz]]&lt;15000,0,IF(jablka5[[#This Row],[dot sprz]]&lt;20000,5,10))</f>
        <v>0</v>
      </c>
      <c r="I1981" s="1">
        <f>jablka5[[#This Row],[rabat]]*jablka5[[#This Row],[sprzedaż]]/100</f>
        <v>0</v>
      </c>
    </row>
    <row r="1982" spans="1:9" x14ac:dyDescent="0.25">
      <c r="A1982" s="2">
        <v>44853</v>
      </c>
      <c r="B1982" s="1" t="s">
        <v>9</v>
      </c>
      <c r="C1982" s="1" t="s">
        <v>67</v>
      </c>
      <c r="D1982" s="1" t="s">
        <v>26</v>
      </c>
      <c r="E1982">
        <v>117</v>
      </c>
      <c r="F1982" s="1">
        <f>VLOOKUP(jablka5[[#This Row],[Nazwa]],cennik[],2,0) * jablka5[[#This Row],[sprzedaż]]</f>
        <v>292.5</v>
      </c>
      <c r="G1982" s="1">
        <f>IF(jablka5[[#This Row],[NIP]]=D1981,jablka5[[#This Row],[sprzedaż]]+G1981,jablka5[[#This Row],[sprzedaż]])</f>
        <v>12900</v>
      </c>
      <c r="H1982" s="1">
        <f>IF(jablka5[[#This Row],[dot sprz]]&lt;15000,0,IF(jablka5[[#This Row],[dot sprz]]&lt;20000,5,10))</f>
        <v>0</v>
      </c>
      <c r="I1982" s="1">
        <f>jablka5[[#This Row],[rabat]]*jablka5[[#This Row],[sprzedaż]]/100</f>
        <v>0</v>
      </c>
    </row>
    <row r="1983" spans="1:9" x14ac:dyDescent="0.25">
      <c r="A1983" s="2">
        <v>44868</v>
      </c>
      <c r="B1983" s="1" t="s">
        <v>1</v>
      </c>
      <c r="C1983" s="1" t="s">
        <v>67</v>
      </c>
      <c r="D1983" s="1" t="s">
        <v>26</v>
      </c>
      <c r="E1983">
        <v>413</v>
      </c>
      <c r="F1983" s="1">
        <f>VLOOKUP(jablka5[[#This Row],[Nazwa]],cennik[],2,0) * jablka5[[#This Row],[sprzedaż]]</f>
        <v>1321.6000000000001</v>
      </c>
      <c r="G1983" s="1">
        <f>IF(jablka5[[#This Row],[NIP]]=D1982,jablka5[[#This Row],[sprzedaż]]+G1982,jablka5[[#This Row],[sprzedaż]])</f>
        <v>13313</v>
      </c>
      <c r="H1983" s="1">
        <f>IF(jablka5[[#This Row],[dot sprz]]&lt;15000,0,IF(jablka5[[#This Row],[dot sprz]]&lt;20000,5,10))</f>
        <v>0</v>
      </c>
      <c r="I1983" s="1">
        <f>jablka5[[#This Row],[rabat]]*jablka5[[#This Row],[sprzedaż]]/100</f>
        <v>0</v>
      </c>
    </row>
    <row r="1984" spans="1:9" x14ac:dyDescent="0.25">
      <c r="A1984" s="2">
        <v>44870</v>
      </c>
      <c r="B1984" s="1" t="s">
        <v>14</v>
      </c>
      <c r="C1984" s="1" t="s">
        <v>67</v>
      </c>
      <c r="D1984" s="1" t="s">
        <v>26</v>
      </c>
      <c r="E1984">
        <v>482</v>
      </c>
      <c r="F1984" s="1">
        <f>VLOOKUP(jablka5[[#This Row],[Nazwa]],cennik[],2,0) * jablka5[[#This Row],[sprzedaż]]</f>
        <v>1687</v>
      </c>
      <c r="G1984" s="1">
        <f>IF(jablka5[[#This Row],[NIP]]=D1983,jablka5[[#This Row],[sprzedaż]]+G1983,jablka5[[#This Row],[sprzedaż]])</f>
        <v>13795</v>
      </c>
      <c r="H1984" s="1">
        <f>IF(jablka5[[#This Row],[dot sprz]]&lt;15000,0,IF(jablka5[[#This Row],[dot sprz]]&lt;20000,5,10))</f>
        <v>0</v>
      </c>
      <c r="I1984" s="1">
        <f>jablka5[[#This Row],[rabat]]*jablka5[[#This Row],[sprzedaż]]/100</f>
        <v>0</v>
      </c>
    </row>
    <row r="1985" spans="1:9" x14ac:dyDescent="0.25">
      <c r="A1985" s="2">
        <v>44880</v>
      </c>
      <c r="B1985" s="1" t="s">
        <v>14</v>
      </c>
      <c r="C1985" s="1" t="s">
        <v>67</v>
      </c>
      <c r="D1985" s="1" t="s">
        <v>26</v>
      </c>
      <c r="E1985">
        <v>276</v>
      </c>
      <c r="F1985" s="1">
        <f>VLOOKUP(jablka5[[#This Row],[Nazwa]],cennik[],2,0) * jablka5[[#This Row],[sprzedaż]]</f>
        <v>966</v>
      </c>
      <c r="G1985" s="1">
        <f>IF(jablka5[[#This Row],[NIP]]=D1984,jablka5[[#This Row],[sprzedaż]]+G1984,jablka5[[#This Row],[sprzedaż]])</f>
        <v>14071</v>
      </c>
      <c r="H1985" s="1">
        <f>IF(jablka5[[#This Row],[dot sprz]]&lt;15000,0,IF(jablka5[[#This Row],[dot sprz]]&lt;20000,5,10))</f>
        <v>0</v>
      </c>
      <c r="I1985" s="1">
        <f>jablka5[[#This Row],[rabat]]*jablka5[[#This Row],[sprzedaż]]/100</f>
        <v>0</v>
      </c>
    </row>
    <row r="1986" spans="1:9" x14ac:dyDescent="0.25">
      <c r="A1986" s="2">
        <v>44897</v>
      </c>
      <c r="B1986" s="1" t="s">
        <v>8</v>
      </c>
      <c r="C1986" s="1" t="s">
        <v>16</v>
      </c>
      <c r="D1986" s="1" t="s">
        <v>26</v>
      </c>
      <c r="E1986">
        <v>223</v>
      </c>
      <c r="F1986" s="1">
        <f>VLOOKUP(jablka5[[#This Row],[Nazwa]],cennik[],2,0) * jablka5[[#This Row],[sprzedaż]]</f>
        <v>780.5</v>
      </c>
      <c r="G1986" s="1">
        <f>IF(jablka5[[#This Row],[NIP]]=D1985,jablka5[[#This Row],[sprzedaż]]+G1985,jablka5[[#This Row],[sprzedaż]])</f>
        <v>14294</v>
      </c>
      <c r="H1986" s="1">
        <f>IF(jablka5[[#This Row],[dot sprz]]&lt;15000,0,IF(jablka5[[#This Row],[dot sprz]]&lt;20000,5,10))</f>
        <v>0</v>
      </c>
      <c r="I1986" s="1">
        <f>jablka5[[#This Row],[rabat]]*jablka5[[#This Row],[sprzedaż]]/100</f>
        <v>0</v>
      </c>
    </row>
    <row r="1987" spans="1:9" x14ac:dyDescent="0.25">
      <c r="A1987" s="2">
        <v>44898</v>
      </c>
      <c r="B1987" s="1" t="s">
        <v>5</v>
      </c>
      <c r="C1987" s="1" t="s">
        <v>16</v>
      </c>
      <c r="D1987" s="1" t="s">
        <v>26</v>
      </c>
      <c r="E1987">
        <v>290</v>
      </c>
      <c r="F1987" s="1">
        <f>VLOOKUP(jablka5[[#This Row],[Nazwa]],cennik[],2,0) * jablka5[[#This Row],[sprzedaż]]</f>
        <v>986</v>
      </c>
      <c r="G1987" s="1">
        <f>IF(jablka5[[#This Row],[NIP]]=D1986,jablka5[[#This Row],[sprzedaż]]+G1986,jablka5[[#This Row],[sprzedaż]])</f>
        <v>14584</v>
      </c>
      <c r="H1987" s="1">
        <f>IF(jablka5[[#This Row],[dot sprz]]&lt;15000,0,IF(jablka5[[#This Row],[dot sprz]]&lt;20000,5,10))</f>
        <v>0</v>
      </c>
      <c r="I1987" s="1">
        <f>jablka5[[#This Row],[rabat]]*jablka5[[#This Row],[sprzedaż]]/100</f>
        <v>0</v>
      </c>
    </row>
    <row r="1988" spans="1:9" x14ac:dyDescent="0.25">
      <c r="A1988" s="2">
        <v>44900</v>
      </c>
      <c r="B1988" s="1" t="s">
        <v>8</v>
      </c>
      <c r="C1988" s="1" t="s">
        <v>16</v>
      </c>
      <c r="D1988" s="1" t="s">
        <v>26</v>
      </c>
      <c r="E1988">
        <v>547</v>
      </c>
      <c r="F1988" s="1">
        <f>VLOOKUP(jablka5[[#This Row],[Nazwa]],cennik[],2,0) * jablka5[[#This Row],[sprzedaż]]</f>
        <v>1914.5</v>
      </c>
      <c r="G1988" s="1">
        <f>IF(jablka5[[#This Row],[NIP]]=D1987,jablka5[[#This Row],[sprzedaż]]+G1987,jablka5[[#This Row],[sprzedaż]])</f>
        <v>15131</v>
      </c>
      <c r="H1988" s="1">
        <f>IF(jablka5[[#This Row],[dot sprz]]&lt;15000,0,IF(jablka5[[#This Row],[dot sprz]]&lt;20000,5,10))</f>
        <v>5</v>
      </c>
      <c r="I1988" s="1">
        <f>jablka5[[#This Row],[rabat]]*jablka5[[#This Row],[sprzedaż]]/100</f>
        <v>27.35</v>
      </c>
    </row>
    <row r="1989" spans="1:9" x14ac:dyDescent="0.25">
      <c r="A1989" s="2">
        <v>44917</v>
      </c>
      <c r="B1989" s="1" t="s">
        <v>7</v>
      </c>
      <c r="C1989" s="1" t="s">
        <v>16</v>
      </c>
      <c r="D1989" s="1" t="s">
        <v>26</v>
      </c>
      <c r="E1989">
        <v>494</v>
      </c>
      <c r="F1989" s="1">
        <f>VLOOKUP(jablka5[[#This Row],[Nazwa]],cennik[],2,0) * jablka5[[#This Row],[sprzedaż]]</f>
        <v>1679.6</v>
      </c>
      <c r="G1989" s="1">
        <f>IF(jablka5[[#This Row],[NIP]]=D1988,jablka5[[#This Row],[sprzedaż]]+G1988,jablka5[[#This Row],[sprzedaż]])</f>
        <v>15625</v>
      </c>
      <c r="H1989" s="1">
        <f>IF(jablka5[[#This Row],[dot sprz]]&lt;15000,0,IF(jablka5[[#This Row],[dot sprz]]&lt;20000,5,10))</f>
        <v>5</v>
      </c>
      <c r="I1989" s="1">
        <f>jablka5[[#This Row],[rabat]]*jablka5[[#This Row],[sprzedaż]]/100</f>
        <v>24.7</v>
      </c>
    </row>
    <row r="1990" spans="1:9" x14ac:dyDescent="0.25">
      <c r="A1990" s="2">
        <v>44925</v>
      </c>
      <c r="B1990" s="1" t="s">
        <v>6</v>
      </c>
      <c r="C1990" s="1" t="s">
        <v>16</v>
      </c>
      <c r="D1990" s="1" t="s">
        <v>26</v>
      </c>
      <c r="E1990">
        <v>200</v>
      </c>
      <c r="F1990" s="1">
        <f>VLOOKUP(jablka5[[#This Row],[Nazwa]],cennik[],2,0) * jablka5[[#This Row],[sprzedaż]]</f>
        <v>680</v>
      </c>
      <c r="G1990" s="1">
        <f>IF(jablka5[[#This Row],[NIP]]=D1989,jablka5[[#This Row],[sprzedaż]]+G1989,jablka5[[#This Row],[sprzedaż]])</f>
        <v>15825</v>
      </c>
      <c r="H1990" s="1">
        <f>IF(jablka5[[#This Row],[dot sprz]]&lt;15000,0,IF(jablka5[[#This Row],[dot sprz]]&lt;20000,5,10))</f>
        <v>5</v>
      </c>
      <c r="I1990" s="1">
        <f>jablka5[[#This Row],[rabat]]*jablka5[[#This Row],[sprzedaż]]/100</f>
        <v>10</v>
      </c>
    </row>
    <row r="1991" spans="1:9" x14ac:dyDescent="0.25">
      <c r="A1991" s="2">
        <v>44569</v>
      </c>
      <c r="B1991" s="1" t="s">
        <v>10</v>
      </c>
      <c r="C1991" s="1" t="s">
        <v>16</v>
      </c>
      <c r="D1991" s="1" t="s">
        <v>46</v>
      </c>
      <c r="E1991">
        <v>371</v>
      </c>
      <c r="F1991" s="1">
        <f>VLOOKUP(jablka5[[#This Row],[Nazwa]],cennik[],2,0) * jablka5[[#This Row],[sprzedaż]]</f>
        <v>1261.3999999999999</v>
      </c>
      <c r="G1991" s="1">
        <f>IF(jablka5[[#This Row],[NIP]]=D1990,jablka5[[#This Row],[sprzedaż]]+G1990,jablka5[[#This Row],[sprzedaż]])</f>
        <v>371</v>
      </c>
      <c r="H1991" s="1">
        <f>IF(jablka5[[#This Row],[dot sprz]]&lt;15000,0,IF(jablka5[[#This Row],[dot sprz]]&lt;20000,5,10))</f>
        <v>0</v>
      </c>
      <c r="I1991" s="1">
        <f>jablka5[[#This Row],[rabat]]*jablka5[[#This Row],[sprzedaż]]/100</f>
        <v>0</v>
      </c>
    </row>
    <row r="1992" spans="1:9" x14ac:dyDescent="0.25">
      <c r="A1992" s="2">
        <v>44593</v>
      </c>
      <c r="B1992" s="1" t="s">
        <v>15</v>
      </c>
      <c r="C1992" s="1" t="s">
        <v>16</v>
      </c>
      <c r="D1992" s="1" t="s">
        <v>46</v>
      </c>
      <c r="E1992">
        <v>206</v>
      </c>
      <c r="F1992" s="1">
        <f>VLOOKUP(jablka5[[#This Row],[Nazwa]],cennik[],2,0) * jablka5[[#This Row],[sprzedaż]]</f>
        <v>494.4</v>
      </c>
      <c r="G1992" s="1">
        <f>IF(jablka5[[#This Row],[NIP]]=D1991,jablka5[[#This Row],[sprzedaż]]+G1991,jablka5[[#This Row],[sprzedaż]])</f>
        <v>577</v>
      </c>
      <c r="H1992" s="1">
        <f>IF(jablka5[[#This Row],[dot sprz]]&lt;15000,0,IF(jablka5[[#This Row],[dot sprz]]&lt;20000,5,10))</f>
        <v>0</v>
      </c>
      <c r="I1992" s="1">
        <f>jablka5[[#This Row],[rabat]]*jablka5[[#This Row],[sprzedaż]]/100</f>
        <v>0</v>
      </c>
    </row>
    <row r="1993" spans="1:9" x14ac:dyDescent="0.25">
      <c r="A1993" s="2">
        <v>44593</v>
      </c>
      <c r="B1993" s="1" t="s">
        <v>4</v>
      </c>
      <c r="C1993" s="1" t="s">
        <v>16</v>
      </c>
      <c r="D1993" s="1" t="s">
        <v>46</v>
      </c>
      <c r="E1993">
        <v>440</v>
      </c>
      <c r="F1993" s="1">
        <f>VLOOKUP(jablka5[[#This Row],[Nazwa]],cennik[],2,0) * jablka5[[#This Row],[sprzedaż]]</f>
        <v>1496</v>
      </c>
      <c r="G1993" s="1">
        <f>IF(jablka5[[#This Row],[NIP]]=D1992,jablka5[[#This Row],[sprzedaż]]+G1992,jablka5[[#This Row],[sprzedaż]])</f>
        <v>1017</v>
      </c>
      <c r="H1993" s="1">
        <f>IF(jablka5[[#This Row],[dot sprz]]&lt;15000,0,IF(jablka5[[#This Row],[dot sprz]]&lt;20000,5,10))</f>
        <v>0</v>
      </c>
      <c r="I1993" s="1">
        <f>jablka5[[#This Row],[rabat]]*jablka5[[#This Row],[sprzedaż]]/100</f>
        <v>0</v>
      </c>
    </row>
    <row r="1994" spans="1:9" x14ac:dyDescent="0.25">
      <c r="A1994" s="2">
        <v>44601</v>
      </c>
      <c r="B1994" s="1" t="s">
        <v>5</v>
      </c>
      <c r="C1994" s="1" t="s">
        <v>16</v>
      </c>
      <c r="D1994" s="1" t="s">
        <v>46</v>
      </c>
      <c r="E1994">
        <v>170</v>
      </c>
      <c r="F1994" s="1">
        <f>VLOOKUP(jablka5[[#This Row],[Nazwa]],cennik[],2,0) * jablka5[[#This Row],[sprzedaż]]</f>
        <v>578</v>
      </c>
      <c r="G1994" s="1">
        <f>IF(jablka5[[#This Row],[NIP]]=D1993,jablka5[[#This Row],[sprzedaż]]+G1993,jablka5[[#This Row],[sprzedaż]])</f>
        <v>1187</v>
      </c>
      <c r="H1994" s="1">
        <f>IF(jablka5[[#This Row],[dot sprz]]&lt;15000,0,IF(jablka5[[#This Row],[dot sprz]]&lt;20000,5,10))</f>
        <v>0</v>
      </c>
      <c r="I1994" s="1">
        <f>jablka5[[#This Row],[rabat]]*jablka5[[#This Row],[sprzedaż]]/100</f>
        <v>0</v>
      </c>
    </row>
    <row r="1995" spans="1:9" x14ac:dyDescent="0.25">
      <c r="A1995" s="2">
        <v>44613</v>
      </c>
      <c r="B1995" s="1" t="s">
        <v>0</v>
      </c>
      <c r="C1995" s="1" t="s">
        <v>16</v>
      </c>
      <c r="D1995" s="1" t="s">
        <v>46</v>
      </c>
      <c r="E1995">
        <v>67</v>
      </c>
      <c r="F1995" s="1">
        <f>VLOOKUP(jablka5[[#This Row],[Nazwa]],cennik[],2,0) * jablka5[[#This Row],[sprzedaż]]</f>
        <v>194.29999999999998</v>
      </c>
      <c r="G1995" s="1">
        <f>IF(jablka5[[#This Row],[NIP]]=D1994,jablka5[[#This Row],[sprzedaż]]+G1994,jablka5[[#This Row],[sprzedaż]])</f>
        <v>1254</v>
      </c>
      <c r="H1995" s="1">
        <f>IF(jablka5[[#This Row],[dot sprz]]&lt;15000,0,IF(jablka5[[#This Row],[dot sprz]]&lt;20000,5,10))</f>
        <v>0</v>
      </c>
      <c r="I1995" s="1">
        <f>jablka5[[#This Row],[rabat]]*jablka5[[#This Row],[sprzedaż]]/100</f>
        <v>0</v>
      </c>
    </row>
    <row r="1996" spans="1:9" x14ac:dyDescent="0.25">
      <c r="A1996" s="2">
        <v>44614</v>
      </c>
      <c r="B1996" s="1" t="s">
        <v>6</v>
      </c>
      <c r="C1996" s="1" t="s">
        <v>16</v>
      </c>
      <c r="D1996" s="1" t="s">
        <v>46</v>
      </c>
      <c r="E1996">
        <v>447</v>
      </c>
      <c r="F1996" s="1">
        <f>VLOOKUP(jablka5[[#This Row],[Nazwa]],cennik[],2,0) * jablka5[[#This Row],[sprzedaż]]</f>
        <v>1519.8</v>
      </c>
      <c r="G1996" s="1">
        <f>IF(jablka5[[#This Row],[NIP]]=D1995,jablka5[[#This Row],[sprzedaż]]+G1995,jablka5[[#This Row],[sprzedaż]])</f>
        <v>1701</v>
      </c>
      <c r="H1996" s="1">
        <f>IF(jablka5[[#This Row],[dot sprz]]&lt;15000,0,IF(jablka5[[#This Row],[dot sprz]]&lt;20000,5,10))</f>
        <v>0</v>
      </c>
      <c r="I1996" s="1">
        <f>jablka5[[#This Row],[rabat]]*jablka5[[#This Row],[sprzedaż]]/100</f>
        <v>0</v>
      </c>
    </row>
    <row r="1997" spans="1:9" x14ac:dyDescent="0.25">
      <c r="A1997" s="2">
        <v>44623</v>
      </c>
      <c r="B1997" s="1" t="s">
        <v>0</v>
      </c>
      <c r="C1997" s="1" t="s">
        <v>16</v>
      </c>
      <c r="D1997" s="1" t="s">
        <v>46</v>
      </c>
      <c r="E1997">
        <v>39</v>
      </c>
      <c r="F1997" s="1">
        <f>VLOOKUP(jablka5[[#This Row],[Nazwa]],cennik[],2,0) * jablka5[[#This Row],[sprzedaż]]</f>
        <v>113.1</v>
      </c>
      <c r="G1997" s="1">
        <f>IF(jablka5[[#This Row],[NIP]]=D1996,jablka5[[#This Row],[sprzedaż]]+G1996,jablka5[[#This Row],[sprzedaż]])</f>
        <v>1740</v>
      </c>
      <c r="H1997" s="1">
        <f>IF(jablka5[[#This Row],[dot sprz]]&lt;15000,0,IF(jablka5[[#This Row],[dot sprz]]&lt;20000,5,10))</f>
        <v>0</v>
      </c>
      <c r="I1997" s="1">
        <f>jablka5[[#This Row],[rabat]]*jablka5[[#This Row],[sprzedaż]]/100</f>
        <v>0</v>
      </c>
    </row>
    <row r="1998" spans="1:9" x14ac:dyDescent="0.25">
      <c r="A1998" s="2">
        <v>44627</v>
      </c>
      <c r="B1998" s="1" t="s">
        <v>15</v>
      </c>
      <c r="C1998" s="1" t="s">
        <v>16</v>
      </c>
      <c r="D1998" s="1" t="s">
        <v>46</v>
      </c>
      <c r="E1998">
        <v>573</v>
      </c>
      <c r="F1998" s="1">
        <f>VLOOKUP(jablka5[[#This Row],[Nazwa]],cennik[],2,0) * jablka5[[#This Row],[sprzedaż]]</f>
        <v>1375.2</v>
      </c>
      <c r="G1998" s="1">
        <f>IF(jablka5[[#This Row],[NIP]]=D1997,jablka5[[#This Row],[sprzedaż]]+G1997,jablka5[[#This Row],[sprzedaż]])</f>
        <v>2313</v>
      </c>
      <c r="H1998" s="1">
        <f>IF(jablka5[[#This Row],[dot sprz]]&lt;15000,0,IF(jablka5[[#This Row],[dot sprz]]&lt;20000,5,10))</f>
        <v>0</v>
      </c>
      <c r="I1998" s="1">
        <f>jablka5[[#This Row],[rabat]]*jablka5[[#This Row],[sprzedaż]]/100</f>
        <v>0</v>
      </c>
    </row>
    <row r="1999" spans="1:9" x14ac:dyDescent="0.25">
      <c r="A1999" s="2">
        <v>44628</v>
      </c>
      <c r="B1999" s="1" t="s">
        <v>2</v>
      </c>
      <c r="C1999" s="1" t="s">
        <v>16</v>
      </c>
      <c r="D1999" s="1" t="s">
        <v>46</v>
      </c>
      <c r="E1999">
        <v>114</v>
      </c>
      <c r="F1999" s="1">
        <f>VLOOKUP(jablka5[[#This Row],[Nazwa]],cennik[],2,0) * jablka5[[#This Row],[sprzedaż]]</f>
        <v>364.8</v>
      </c>
      <c r="G1999" s="1">
        <f>IF(jablka5[[#This Row],[NIP]]=D1998,jablka5[[#This Row],[sprzedaż]]+G1998,jablka5[[#This Row],[sprzedaż]])</f>
        <v>2427</v>
      </c>
      <c r="H1999" s="1">
        <f>IF(jablka5[[#This Row],[dot sprz]]&lt;15000,0,IF(jablka5[[#This Row],[dot sprz]]&lt;20000,5,10))</f>
        <v>0</v>
      </c>
      <c r="I1999" s="1">
        <f>jablka5[[#This Row],[rabat]]*jablka5[[#This Row],[sprzedaż]]/100</f>
        <v>0</v>
      </c>
    </row>
    <row r="2000" spans="1:9" x14ac:dyDescent="0.25">
      <c r="A2000" s="2">
        <v>44638</v>
      </c>
      <c r="B2000" s="1" t="s">
        <v>0</v>
      </c>
      <c r="C2000" s="1" t="s">
        <v>16</v>
      </c>
      <c r="D2000" s="1" t="s">
        <v>46</v>
      </c>
      <c r="E2000">
        <v>434</v>
      </c>
      <c r="F2000" s="1">
        <f>VLOOKUP(jablka5[[#This Row],[Nazwa]],cennik[],2,0) * jablka5[[#This Row],[sprzedaż]]</f>
        <v>1258.5999999999999</v>
      </c>
      <c r="G2000" s="1">
        <f>IF(jablka5[[#This Row],[NIP]]=D1999,jablka5[[#This Row],[sprzedaż]]+G1999,jablka5[[#This Row],[sprzedaż]])</f>
        <v>2861</v>
      </c>
      <c r="H2000" s="1">
        <f>IF(jablka5[[#This Row],[dot sprz]]&lt;15000,0,IF(jablka5[[#This Row],[dot sprz]]&lt;20000,5,10))</f>
        <v>0</v>
      </c>
      <c r="I2000" s="1">
        <f>jablka5[[#This Row],[rabat]]*jablka5[[#This Row],[sprzedaż]]/100</f>
        <v>0</v>
      </c>
    </row>
    <row r="2001" spans="1:9" x14ac:dyDescent="0.25">
      <c r="A2001" s="2">
        <v>44642</v>
      </c>
      <c r="B2001" s="1" t="s">
        <v>10</v>
      </c>
      <c r="C2001" s="1" t="s">
        <v>16</v>
      </c>
      <c r="D2001" s="1" t="s">
        <v>46</v>
      </c>
      <c r="E2001">
        <v>350</v>
      </c>
      <c r="F2001" s="1">
        <f>VLOOKUP(jablka5[[#This Row],[Nazwa]],cennik[],2,0) * jablka5[[#This Row],[sprzedaż]]</f>
        <v>1190</v>
      </c>
      <c r="G2001" s="1">
        <f>IF(jablka5[[#This Row],[NIP]]=D2000,jablka5[[#This Row],[sprzedaż]]+G2000,jablka5[[#This Row],[sprzedaż]])</f>
        <v>3211</v>
      </c>
      <c r="H2001" s="1">
        <f>IF(jablka5[[#This Row],[dot sprz]]&lt;15000,0,IF(jablka5[[#This Row],[dot sprz]]&lt;20000,5,10))</f>
        <v>0</v>
      </c>
      <c r="I2001" s="1">
        <f>jablka5[[#This Row],[rabat]]*jablka5[[#This Row],[sprzedaż]]/100</f>
        <v>0</v>
      </c>
    </row>
    <row r="2002" spans="1:9" x14ac:dyDescent="0.25">
      <c r="A2002" s="2">
        <v>44653</v>
      </c>
      <c r="B2002" s="1" t="s">
        <v>0</v>
      </c>
      <c r="C2002" s="1" t="s">
        <v>16</v>
      </c>
      <c r="D2002" s="1" t="s">
        <v>46</v>
      </c>
      <c r="E2002">
        <v>258</v>
      </c>
      <c r="F2002" s="1">
        <f>VLOOKUP(jablka5[[#This Row],[Nazwa]],cennik[],2,0) * jablka5[[#This Row],[sprzedaż]]</f>
        <v>748.19999999999993</v>
      </c>
      <c r="G2002" s="1">
        <f>IF(jablka5[[#This Row],[NIP]]=D2001,jablka5[[#This Row],[sprzedaż]]+G2001,jablka5[[#This Row],[sprzedaż]])</f>
        <v>3469</v>
      </c>
      <c r="H2002" s="1">
        <f>IF(jablka5[[#This Row],[dot sprz]]&lt;15000,0,IF(jablka5[[#This Row],[dot sprz]]&lt;20000,5,10))</f>
        <v>0</v>
      </c>
      <c r="I2002" s="1">
        <f>jablka5[[#This Row],[rabat]]*jablka5[[#This Row],[sprzedaż]]/100</f>
        <v>0</v>
      </c>
    </row>
    <row r="2003" spans="1:9" x14ac:dyDescent="0.25">
      <c r="A2003" s="2">
        <v>44655</v>
      </c>
      <c r="B2003" s="1" t="s">
        <v>8</v>
      </c>
      <c r="C2003" s="1" t="s">
        <v>16</v>
      </c>
      <c r="D2003" s="1" t="s">
        <v>46</v>
      </c>
      <c r="E2003">
        <v>358</v>
      </c>
      <c r="F2003" s="1">
        <f>VLOOKUP(jablka5[[#This Row],[Nazwa]],cennik[],2,0) * jablka5[[#This Row],[sprzedaż]]</f>
        <v>1253</v>
      </c>
      <c r="G2003" s="1">
        <f>IF(jablka5[[#This Row],[NIP]]=D2002,jablka5[[#This Row],[sprzedaż]]+G2002,jablka5[[#This Row],[sprzedaż]])</f>
        <v>3827</v>
      </c>
      <c r="H2003" s="1">
        <f>IF(jablka5[[#This Row],[dot sprz]]&lt;15000,0,IF(jablka5[[#This Row],[dot sprz]]&lt;20000,5,10))</f>
        <v>0</v>
      </c>
      <c r="I2003" s="1">
        <f>jablka5[[#This Row],[rabat]]*jablka5[[#This Row],[sprzedaż]]/100</f>
        <v>0</v>
      </c>
    </row>
    <row r="2004" spans="1:9" x14ac:dyDescent="0.25">
      <c r="A2004" s="2">
        <v>44669</v>
      </c>
      <c r="B2004" s="1" t="s">
        <v>15</v>
      </c>
      <c r="C2004" s="1" t="s">
        <v>16</v>
      </c>
      <c r="D2004" s="1" t="s">
        <v>46</v>
      </c>
      <c r="E2004">
        <v>207</v>
      </c>
      <c r="F2004" s="1">
        <f>VLOOKUP(jablka5[[#This Row],[Nazwa]],cennik[],2,0) * jablka5[[#This Row],[sprzedaż]]</f>
        <v>496.79999999999995</v>
      </c>
      <c r="G2004" s="1">
        <f>IF(jablka5[[#This Row],[NIP]]=D2003,jablka5[[#This Row],[sprzedaż]]+G2003,jablka5[[#This Row],[sprzedaż]])</f>
        <v>4034</v>
      </c>
      <c r="H2004" s="1">
        <f>IF(jablka5[[#This Row],[dot sprz]]&lt;15000,0,IF(jablka5[[#This Row],[dot sprz]]&lt;20000,5,10))</f>
        <v>0</v>
      </c>
      <c r="I2004" s="1">
        <f>jablka5[[#This Row],[rabat]]*jablka5[[#This Row],[sprzedaż]]/100</f>
        <v>0</v>
      </c>
    </row>
    <row r="2005" spans="1:9" x14ac:dyDescent="0.25">
      <c r="A2005" s="2">
        <v>44669</v>
      </c>
      <c r="B2005" s="1" t="s">
        <v>8</v>
      </c>
      <c r="C2005" s="1" t="s">
        <v>16</v>
      </c>
      <c r="D2005" s="1" t="s">
        <v>46</v>
      </c>
      <c r="E2005">
        <v>481</v>
      </c>
      <c r="F2005" s="1">
        <f>VLOOKUP(jablka5[[#This Row],[Nazwa]],cennik[],2,0) * jablka5[[#This Row],[sprzedaż]]</f>
        <v>1683.5</v>
      </c>
      <c r="G2005" s="1">
        <f>IF(jablka5[[#This Row],[NIP]]=D2004,jablka5[[#This Row],[sprzedaż]]+G2004,jablka5[[#This Row],[sprzedaż]])</f>
        <v>4515</v>
      </c>
      <c r="H2005" s="1">
        <f>IF(jablka5[[#This Row],[dot sprz]]&lt;15000,0,IF(jablka5[[#This Row],[dot sprz]]&lt;20000,5,10))</f>
        <v>0</v>
      </c>
      <c r="I2005" s="1">
        <f>jablka5[[#This Row],[rabat]]*jablka5[[#This Row],[sprzedaż]]/100</f>
        <v>0</v>
      </c>
    </row>
    <row r="2006" spans="1:9" x14ac:dyDescent="0.25">
      <c r="A2006" s="2">
        <v>44671</v>
      </c>
      <c r="B2006" s="1" t="s">
        <v>0</v>
      </c>
      <c r="C2006" s="1" t="s">
        <v>16</v>
      </c>
      <c r="D2006" s="1" t="s">
        <v>46</v>
      </c>
      <c r="E2006">
        <v>393</v>
      </c>
      <c r="F2006" s="1">
        <f>VLOOKUP(jablka5[[#This Row],[Nazwa]],cennik[],2,0) * jablka5[[#This Row],[sprzedaż]]</f>
        <v>1139.7</v>
      </c>
      <c r="G2006" s="1">
        <f>IF(jablka5[[#This Row],[NIP]]=D2005,jablka5[[#This Row],[sprzedaż]]+G2005,jablka5[[#This Row],[sprzedaż]])</f>
        <v>4908</v>
      </c>
      <c r="H2006" s="1">
        <f>IF(jablka5[[#This Row],[dot sprz]]&lt;15000,0,IF(jablka5[[#This Row],[dot sprz]]&lt;20000,5,10))</f>
        <v>0</v>
      </c>
      <c r="I2006" s="1">
        <f>jablka5[[#This Row],[rabat]]*jablka5[[#This Row],[sprzedaż]]/100</f>
        <v>0</v>
      </c>
    </row>
    <row r="2007" spans="1:9" x14ac:dyDescent="0.25">
      <c r="A2007" s="2">
        <v>44695</v>
      </c>
      <c r="B2007" s="1" t="s">
        <v>4</v>
      </c>
      <c r="C2007" s="1" t="s">
        <v>16</v>
      </c>
      <c r="D2007" s="1" t="s">
        <v>46</v>
      </c>
      <c r="E2007">
        <v>650</v>
      </c>
      <c r="F2007" s="1">
        <f>VLOOKUP(jablka5[[#This Row],[Nazwa]],cennik[],2,0) * jablka5[[#This Row],[sprzedaż]]</f>
        <v>2210</v>
      </c>
      <c r="G2007" s="1">
        <f>IF(jablka5[[#This Row],[NIP]]=D2006,jablka5[[#This Row],[sprzedaż]]+G2006,jablka5[[#This Row],[sprzedaż]])</f>
        <v>5558</v>
      </c>
      <c r="H2007" s="1">
        <f>IF(jablka5[[#This Row],[dot sprz]]&lt;15000,0,IF(jablka5[[#This Row],[dot sprz]]&lt;20000,5,10))</f>
        <v>0</v>
      </c>
      <c r="I2007" s="1">
        <f>jablka5[[#This Row],[rabat]]*jablka5[[#This Row],[sprzedaż]]/100</f>
        <v>0</v>
      </c>
    </row>
    <row r="2008" spans="1:9" x14ac:dyDescent="0.25">
      <c r="A2008" s="2">
        <v>44700</v>
      </c>
      <c r="B2008" s="1" t="s">
        <v>7</v>
      </c>
      <c r="C2008" s="1" t="s">
        <v>16</v>
      </c>
      <c r="D2008" s="1" t="s">
        <v>46</v>
      </c>
      <c r="E2008">
        <v>383</v>
      </c>
      <c r="F2008" s="1">
        <f>VLOOKUP(jablka5[[#This Row],[Nazwa]],cennik[],2,0) * jablka5[[#This Row],[sprzedaż]]</f>
        <v>1302.2</v>
      </c>
      <c r="G2008" s="1">
        <f>IF(jablka5[[#This Row],[NIP]]=D2007,jablka5[[#This Row],[sprzedaż]]+G2007,jablka5[[#This Row],[sprzedaż]])</f>
        <v>5941</v>
      </c>
      <c r="H2008" s="1">
        <f>IF(jablka5[[#This Row],[dot sprz]]&lt;15000,0,IF(jablka5[[#This Row],[dot sprz]]&lt;20000,5,10))</f>
        <v>0</v>
      </c>
      <c r="I2008" s="1">
        <f>jablka5[[#This Row],[rabat]]*jablka5[[#This Row],[sprzedaż]]/100</f>
        <v>0</v>
      </c>
    </row>
    <row r="2009" spans="1:9" x14ac:dyDescent="0.25">
      <c r="A2009" s="2">
        <v>44711</v>
      </c>
      <c r="B2009" s="1" t="s">
        <v>6</v>
      </c>
      <c r="C2009" s="1" t="s">
        <v>16</v>
      </c>
      <c r="D2009" s="1" t="s">
        <v>46</v>
      </c>
      <c r="E2009">
        <v>321</v>
      </c>
      <c r="F2009" s="1">
        <f>VLOOKUP(jablka5[[#This Row],[Nazwa]],cennik[],2,0) * jablka5[[#This Row],[sprzedaż]]</f>
        <v>1091.3999999999999</v>
      </c>
      <c r="G2009" s="1">
        <f>IF(jablka5[[#This Row],[NIP]]=D2008,jablka5[[#This Row],[sprzedaż]]+G2008,jablka5[[#This Row],[sprzedaż]])</f>
        <v>6262</v>
      </c>
      <c r="H2009" s="1">
        <f>IF(jablka5[[#This Row],[dot sprz]]&lt;15000,0,IF(jablka5[[#This Row],[dot sprz]]&lt;20000,5,10))</f>
        <v>0</v>
      </c>
      <c r="I2009" s="1">
        <f>jablka5[[#This Row],[rabat]]*jablka5[[#This Row],[sprzedaż]]/100</f>
        <v>0</v>
      </c>
    </row>
    <row r="2010" spans="1:9" x14ac:dyDescent="0.25">
      <c r="A2010" s="2">
        <v>44728</v>
      </c>
      <c r="B2010" s="1" t="s">
        <v>12</v>
      </c>
      <c r="C2010" s="1" t="s">
        <v>68</v>
      </c>
      <c r="D2010" s="1" t="s">
        <v>46</v>
      </c>
      <c r="E2010">
        <v>28</v>
      </c>
      <c r="F2010" s="1">
        <f>VLOOKUP(jablka5[[#This Row],[Nazwa]],cennik[],2,0) * jablka5[[#This Row],[sprzedaż]]</f>
        <v>75.600000000000009</v>
      </c>
      <c r="G2010" s="1">
        <f>IF(jablka5[[#This Row],[NIP]]=D2009,jablka5[[#This Row],[sprzedaż]]+G2009,jablka5[[#This Row],[sprzedaż]])</f>
        <v>6290</v>
      </c>
      <c r="H2010" s="1">
        <f>IF(jablka5[[#This Row],[dot sprz]]&lt;15000,0,IF(jablka5[[#This Row],[dot sprz]]&lt;20000,5,10))</f>
        <v>0</v>
      </c>
      <c r="I2010" s="1">
        <f>jablka5[[#This Row],[rabat]]*jablka5[[#This Row],[sprzedaż]]/100</f>
        <v>0</v>
      </c>
    </row>
    <row r="2011" spans="1:9" x14ac:dyDescent="0.25">
      <c r="A2011" s="2">
        <v>44730</v>
      </c>
      <c r="B2011" s="1" t="s">
        <v>13</v>
      </c>
      <c r="C2011" s="1" t="s">
        <v>68</v>
      </c>
      <c r="D2011" s="1" t="s">
        <v>46</v>
      </c>
      <c r="E2011">
        <v>38</v>
      </c>
      <c r="F2011" s="1">
        <f>VLOOKUP(jablka5[[#This Row],[Nazwa]],cennik[],2,0) * jablka5[[#This Row],[sprzedaż]]</f>
        <v>121.60000000000001</v>
      </c>
      <c r="G2011" s="1">
        <f>IF(jablka5[[#This Row],[NIP]]=D2010,jablka5[[#This Row],[sprzedaż]]+G2010,jablka5[[#This Row],[sprzedaż]])</f>
        <v>6328</v>
      </c>
      <c r="H2011" s="1">
        <f>IF(jablka5[[#This Row],[dot sprz]]&lt;15000,0,IF(jablka5[[#This Row],[dot sprz]]&lt;20000,5,10))</f>
        <v>0</v>
      </c>
      <c r="I2011" s="1">
        <f>jablka5[[#This Row],[rabat]]*jablka5[[#This Row],[sprzedaż]]/100</f>
        <v>0</v>
      </c>
    </row>
    <row r="2012" spans="1:9" x14ac:dyDescent="0.25">
      <c r="A2012" s="2">
        <v>44730</v>
      </c>
      <c r="B2012" s="1" t="s">
        <v>14</v>
      </c>
      <c r="C2012" s="1" t="s">
        <v>67</v>
      </c>
      <c r="D2012" s="1" t="s">
        <v>46</v>
      </c>
      <c r="E2012">
        <v>252</v>
      </c>
      <c r="F2012" s="1">
        <f>VLOOKUP(jablka5[[#This Row],[Nazwa]],cennik[],2,0) * jablka5[[#This Row],[sprzedaż]]</f>
        <v>882</v>
      </c>
      <c r="G2012" s="1">
        <f>IF(jablka5[[#This Row],[NIP]]=D2011,jablka5[[#This Row],[sprzedaż]]+G2011,jablka5[[#This Row],[sprzedaż]])</f>
        <v>6580</v>
      </c>
      <c r="H2012" s="1">
        <f>IF(jablka5[[#This Row],[dot sprz]]&lt;15000,0,IF(jablka5[[#This Row],[dot sprz]]&lt;20000,5,10))</f>
        <v>0</v>
      </c>
      <c r="I2012" s="1">
        <f>jablka5[[#This Row],[rabat]]*jablka5[[#This Row],[sprzedaż]]/100</f>
        <v>0</v>
      </c>
    </row>
    <row r="2013" spans="1:9" x14ac:dyDescent="0.25">
      <c r="A2013" s="2">
        <v>44730</v>
      </c>
      <c r="B2013" s="1" t="s">
        <v>14</v>
      </c>
      <c r="C2013" s="1" t="s">
        <v>67</v>
      </c>
      <c r="D2013" s="1" t="s">
        <v>46</v>
      </c>
      <c r="E2013">
        <v>397</v>
      </c>
      <c r="F2013" s="1">
        <f>VLOOKUP(jablka5[[#This Row],[Nazwa]],cennik[],2,0) * jablka5[[#This Row],[sprzedaż]]</f>
        <v>1389.5</v>
      </c>
      <c r="G2013" s="1">
        <f>IF(jablka5[[#This Row],[NIP]]=D2012,jablka5[[#This Row],[sprzedaż]]+G2012,jablka5[[#This Row],[sprzedaż]])</f>
        <v>6977</v>
      </c>
      <c r="H2013" s="1">
        <f>IF(jablka5[[#This Row],[dot sprz]]&lt;15000,0,IF(jablka5[[#This Row],[dot sprz]]&lt;20000,5,10))</f>
        <v>0</v>
      </c>
      <c r="I2013" s="1">
        <f>jablka5[[#This Row],[rabat]]*jablka5[[#This Row],[sprzedaż]]/100</f>
        <v>0</v>
      </c>
    </row>
    <row r="2014" spans="1:9" x14ac:dyDescent="0.25">
      <c r="A2014" s="2">
        <v>44730</v>
      </c>
      <c r="B2014" s="1" t="s">
        <v>12</v>
      </c>
      <c r="C2014" s="1" t="s">
        <v>68</v>
      </c>
      <c r="D2014" s="1" t="s">
        <v>46</v>
      </c>
      <c r="E2014">
        <v>295</v>
      </c>
      <c r="F2014" s="1">
        <f>VLOOKUP(jablka5[[#This Row],[Nazwa]],cennik[],2,0) * jablka5[[#This Row],[sprzedaż]]</f>
        <v>796.5</v>
      </c>
      <c r="G2014" s="1">
        <f>IF(jablka5[[#This Row],[NIP]]=D2013,jablka5[[#This Row],[sprzedaż]]+G2013,jablka5[[#This Row],[sprzedaż]])</f>
        <v>7272</v>
      </c>
      <c r="H2014" s="1">
        <f>IF(jablka5[[#This Row],[dot sprz]]&lt;15000,0,IF(jablka5[[#This Row],[dot sprz]]&lt;20000,5,10))</f>
        <v>0</v>
      </c>
      <c r="I2014" s="1">
        <f>jablka5[[#This Row],[rabat]]*jablka5[[#This Row],[sprzedaż]]/100</f>
        <v>0</v>
      </c>
    </row>
    <row r="2015" spans="1:9" x14ac:dyDescent="0.25">
      <c r="A2015" s="2">
        <v>44732</v>
      </c>
      <c r="B2015" s="1" t="s">
        <v>12</v>
      </c>
      <c r="C2015" s="1" t="s">
        <v>68</v>
      </c>
      <c r="D2015" s="1" t="s">
        <v>46</v>
      </c>
      <c r="E2015">
        <v>12</v>
      </c>
      <c r="F2015" s="1">
        <f>VLOOKUP(jablka5[[#This Row],[Nazwa]],cennik[],2,0) * jablka5[[#This Row],[sprzedaż]]</f>
        <v>32.400000000000006</v>
      </c>
      <c r="G2015" s="1">
        <f>IF(jablka5[[#This Row],[NIP]]=D2014,jablka5[[#This Row],[sprzedaż]]+G2014,jablka5[[#This Row],[sprzedaż]])</f>
        <v>7284</v>
      </c>
      <c r="H2015" s="1">
        <f>IF(jablka5[[#This Row],[dot sprz]]&lt;15000,0,IF(jablka5[[#This Row],[dot sprz]]&lt;20000,5,10))</f>
        <v>0</v>
      </c>
      <c r="I2015" s="1">
        <f>jablka5[[#This Row],[rabat]]*jablka5[[#This Row],[sprzedaż]]/100</f>
        <v>0</v>
      </c>
    </row>
    <row r="2016" spans="1:9" x14ac:dyDescent="0.25">
      <c r="A2016" s="2">
        <v>44735</v>
      </c>
      <c r="B2016" s="1" t="s">
        <v>14</v>
      </c>
      <c r="C2016" s="1" t="s">
        <v>67</v>
      </c>
      <c r="D2016" s="1" t="s">
        <v>46</v>
      </c>
      <c r="E2016">
        <v>189</v>
      </c>
      <c r="F2016" s="1">
        <f>VLOOKUP(jablka5[[#This Row],[Nazwa]],cennik[],2,0) * jablka5[[#This Row],[sprzedaż]]</f>
        <v>661.5</v>
      </c>
      <c r="G2016" s="1">
        <f>IF(jablka5[[#This Row],[NIP]]=D2015,jablka5[[#This Row],[sprzedaż]]+G2015,jablka5[[#This Row],[sprzedaż]])</f>
        <v>7473</v>
      </c>
      <c r="H2016" s="1">
        <f>IF(jablka5[[#This Row],[dot sprz]]&lt;15000,0,IF(jablka5[[#This Row],[dot sprz]]&lt;20000,5,10))</f>
        <v>0</v>
      </c>
      <c r="I2016" s="1">
        <f>jablka5[[#This Row],[rabat]]*jablka5[[#This Row],[sprzedaż]]/100</f>
        <v>0</v>
      </c>
    </row>
    <row r="2017" spans="1:9" x14ac:dyDescent="0.25">
      <c r="A2017" s="2">
        <v>44739</v>
      </c>
      <c r="B2017" s="1" t="s">
        <v>12</v>
      </c>
      <c r="C2017" s="1" t="s">
        <v>68</v>
      </c>
      <c r="D2017" s="1" t="s">
        <v>46</v>
      </c>
      <c r="E2017">
        <v>65</v>
      </c>
      <c r="F2017" s="1">
        <f>VLOOKUP(jablka5[[#This Row],[Nazwa]],cennik[],2,0) * jablka5[[#This Row],[sprzedaż]]</f>
        <v>175.5</v>
      </c>
      <c r="G2017" s="1">
        <f>IF(jablka5[[#This Row],[NIP]]=D2016,jablka5[[#This Row],[sprzedaż]]+G2016,jablka5[[#This Row],[sprzedaż]])</f>
        <v>7538</v>
      </c>
      <c r="H2017" s="1">
        <f>IF(jablka5[[#This Row],[dot sprz]]&lt;15000,0,IF(jablka5[[#This Row],[dot sprz]]&lt;20000,5,10))</f>
        <v>0</v>
      </c>
      <c r="I2017" s="1">
        <f>jablka5[[#This Row],[rabat]]*jablka5[[#This Row],[sprzedaż]]/100</f>
        <v>0</v>
      </c>
    </row>
    <row r="2018" spans="1:9" x14ac:dyDescent="0.25">
      <c r="A2018" s="2">
        <v>44744</v>
      </c>
      <c r="B2018" s="1" t="s">
        <v>14</v>
      </c>
      <c r="C2018" s="1" t="s">
        <v>67</v>
      </c>
      <c r="D2018" s="1" t="s">
        <v>46</v>
      </c>
      <c r="E2018">
        <v>377</v>
      </c>
      <c r="F2018" s="1">
        <f>VLOOKUP(jablka5[[#This Row],[Nazwa]],cennik[],2,0) * jablka5[[#This Row],[sprzedaż]]</f>
        <v>1319.5</v>
      </c>
      <c r="G2018" s="1">
        <f>IF(jablka5[[#This Row],[NIP]]=D2017,jablka5[[#This Row],[sprzedaż]]+G2017,jablka5[[#This Row],[sprzedaż]])</f>
        <v>7915</v>
      </c>
      <c r="H2018" s="1">
        <f>IF(jablka5[[#This Row],[dot sprz]]&lt;15000,0,IF(jablka5[[#This Row],[dot sprz]]&lt;20000,5,10))</f>
        <v>0</v>
      </c>
      <c r="I2018" s="1">
        <f>jablka5[[#This Row],[rabat]]*jablka5[[#This Row],[sprzedaż]]/100</f>
        <v>0</v>
      </c>
    </row>
    <row r="2019" spans="1:9" x14ac:dyDescent="0.25">
      <c r="A2019" s="2">
        <v>44750</v>
      </c>
      <c r="B2019" s="1" t="s">
        <v>13</v>
      </c>
      <c r="C2019" s="1" t="s">
        <v>68</v>
      </c>
      <c r="D2019" s="1" t="s">
        <v>46</v>
      </c>
      <c r="E2019">
        <v>85</v>
      </c>
      <c r="F2019" s="1">
        <f>VLOOKUP(jablka5[[#This Row],[Nazwa]],cennik[],2,0) * jablka5[[#This Row],[sprzedaż]]</f>
        <v>272</v>
      </c>
      <c r="G2019" s="1">
        <f>IF(jablka5[[#This Row],[NIP]]=D2018,jablka5[[#This Row],[sprzedaż]]+G2018,jablka5[[#This Row],[sprzedaż]])</f>
        <v>8000</v>
      </c>
      <c r="H2019" s="1">
        <f>IF(jablka5[[#This Row],[dot sprz]]&lt;15000,0,IF(jablka5[[#This Row],[dot sprz]]&lt;20000,5,10))</f>
        <v>0</v>
      </c>
      <c r="I2019" s="1">
        <f>jablka5[[#This Row],[rabat]]*jablka5[[#This Row],[sprzedaż]]/100</f>
        <v>0</v>
      </c>
    </row>
    <row r="2020" spans="1:9" x14ac:dyDescent="0.25">
      <c r="A2020" s="2">
        <v>44758</v>
      </c>
      <c r="B2020" s="1" t="s">
        <v>14</v>
      </c>
      <c r="C2020" s="1" t="s">
        <v>67</v>
      </c>
      <c r="D2020" s="1" t="s">
        <v>46</v>
      </c>
      <c r="E2020">
        <v>326</v>
      </c>
      <c r="F2020" s="1">
        <f>VLOOKUP(jablka5[[#This Row],[Nazwa]],cennik[],2,0) * jablka5[[#This Row],[sprzedaż]]</f>
        <v>1141</v>
      </c>
      <c r="G2020" s="1">
        <f>IF(jablka5[[#This Row],[NIP]]=D2019,jablka5[[#This Row],[sprzedaż]]+G2019,jablka5[[#This Row],[sprzedaż]])</f>
        <v>8326</v>
      </c>
      <c r="H2020" s="1">
        <f>IF(jablka5[[#This Row],[dot sprz]]&lt;15000,0,IF(jablka5[[#This Row],[dot sprz]]&lt;20000,5,10))</f>
        <v>0</v>
      </c>
      <c r="I2020" s="1">
        <f>jablka5[[#This Row],[rabat]]*jablka5[[#This Row],[sprzedaż]]/100</f>
        <v>0</v>
      </c>
    </row>
    <row r="2021" spans="1:9" x14ac:dyDescent="0.25">
      <c r="A2021" s="2">
        <v>44781</v>
      </c>
      <c r="B2021" s="1" t="s">
        <v>13</v>
      </c>
      <c r="C2021" s="1" t="s">
        <v>68</v>
      </c>
      <c r="D2021" s="1" t="s">
        <v>46</v>
      </c>
      <c r="E2021">
        <v>250</v>
      </c>
      <c r="F2021" s="1">
        <f>VLOOKUP(jablka5[[#This Row],[Nazwa]],cennik[],2,0) * jablka5[[#This Row],[sprzedaż]]</f>
        <v>800</v>
      </c>
      <c r="G2021" s="1">
        <f>IF(jablka5[[#This Row],[NIP]]=D2020,jablka5[[#This Row],[sprzedaż]]+G2020,jablka5[[#This Row],[sprzedaż]])</f>
        <v>8576</v>
      </c>
      <c r="H2021" s="1">
        <f>IF(jablka5[[#This Row],[dot sprz]]&lt;15000,0,IF(jablka5[[#This Row],[dot sprz]]&lt;20000,5,10))</f>
        <v>0</v>
      </c>
      <c r="I2021" s="1">
        <f>jablka5[[#This Row],[rabat]]*jablka5[[#This Row],[sprzedaż]]/100</f>
        <v>0</v>
      </c>
    </row>
    <row r="2022" spans="1:9" x14ac:dyDescent="0.25">
      <c r="A2022" s="2">
        <v>44782</v>
      </c>
      <c r="B2022" s="1" t="s">
        <v>14</v>
      </c>
      <c r="C2022" s="1" t="s">
        <v>67</v>
      </c>
      <c r="D2022" s="1" t="s">
        <v>46</v>
      </c>
      <c r="E2022">
        <v>334</v>
      </c>
      <c r="F2022" s="1">
        <f>VLOOKUP(jablka5[[#This Row],[Nazwa]],cennik[],2,0) * jablka5[[#This Row],[sprzedaż]]</f>
        <v>1169</v>
      </c>
      <c r="G2022" s="1">
        <f>IF(jablka5[[#This Row],[NIP]]=D2021,jablka5[[#This Row],[sprzedaż]]+G2021,jablka5[[#This Row],[sprzedaż]])</f>
        <v>8910</v>
      </c>
      <c r="H2022" s="1">
        <f>IF(jablka5[[#This Row],[dot sprz]]&lt;15000,0,IF(jablka5[[#This Row],[dot sprz]]&lt;20000,5,10))</f>
        <v>0</v>
      </c>
      <c r="I2022" s="1">
        <f>jablka5[[#This Row],[rabat]]*jablka5[[#This Row],[sprzedaż]]/100</f>
        <v>0</v>
      </c>
    </row>
    <row r="2023" spans="1:9" x14ac:dyDescent="0.25">
      <c r="A2023" s="2">
        <v>44784</v>
      </c>
      <c r="B2023" s="1" t="s">
        <v>14</v>
      </c>
      <c r="C2023" s="1" t="s">
        <v>67</v>
      </c>
      <c r="D2023" s="1" t="s">
        <v>46</v>
      </c>
      <c r="E2023">
        <v>406</v>
      </c>
      <c r="F2023" s="1">
        <f>VLOOKUP(jablka5[[#This Row],[Nazwa]],cennik[],2,0) * jablka5[[#This Row],[sprzedaż]]</f>
        <v>1421</v>
      </c>
      <c r="G2023" s="1">
        <f>IF(jablka5[[#This Row],[NIP]]=D2022,jablka5[[#This Row],[sprzedaż]]+G2022,jablka5[[#This Row],[sprzedaż]])</f>
        <v>9316</v>
      </c>
      <c r="H2023" s="1">
        <f>IF(jablka5[[#This Row],[dot sprz]]&lt;15000,0,IF(jablka5[[#This Row],[dot sprz]]&lt;20000,5,10))</f>
        <v>0</v>
      </c>
      <c r="I2023" s="1">
        <f>jablka5[[#This Row],[rabat]]*jablka5[[#This Row],[sprzedaż]]/100</f>
        <v>0</v>
      </c>
    </row>
    <row r="2024" spans="1:9" x14ac:dyDescent="0.25">
      <c r="A2024" s="2">
        <v>44786</v>
      </c>
      <c r="B2024" s="1" t="s">
        <v>14</v>
      </c>
      <c r="C2024" s="1" t="s">
        <v>67</v>
      </c>
      <c r="D2024" s="1" t="s">
        <v>46</v>
      </c>
      <c r="E2024">
        <v>284</v>
      </c>
      <c r="F2024" s="1">
        <f>VLOOKUP(jablka5[[#This Row],[Nazwa]],cennik[],2,0) * jablka5[[#This Row],[sprzedaż]]</f>
        <v>994</v>
      </c>
      <c r="G2024" s="1">
        <f>IF(jablka5[[#This Row],[NIP]]=D2023,jablka5[[#This Row],[sprzedaż]]+G2023,jablka5[[#This Row],[sprzedaż]])</f>
        <v>9600</v>
      </c>
      <c r="H2024" s="1">
        <f>IF(jablka5[[#This Row],[dot sprz]]&lt;15000,0,IF(jablka5[[#This Row],[dot sprz]]&lt;20000,5,10))</f>
        <v>0</v>
      </c>
      <c r="I2024" s="1">
        <f>jablka5[[#This Row],[rabat]]*jablka5[[#This Row],[sprzedaż]]/100</f>
        <v>0</v>
      </c>
    </row>
    <row r="2025" spans="1:9" x14ac:dyDescent="0.25">
      <c r="A2025" s="2">
        <v>44802</v>
      </c>
      <c r="B2025" s="1" t="s">
        <v>14</v>
      </c>
      <c r="C2025" s="1" t="s">
        <v>67</v>
      </c>
      <c r="D2025" s="1" t="s">
        <v>46</v>
      </c>
      <c r="E2025">
        <v>44</v>
      </c>
      <c r="F2025" s="1">
        <f>VLOOKUP(jablka5[[#This Row],[Nazwa]],cennik[],2,0) * jablka5[[#This Row],[sprzedaż]]</f>
        <v>154</v>
      </c>
      <c r="G2025" s="1">
        <f>IF(jablka5[[#This Row],[NIP]]=D2024,jablka5[[#This Row],[sprzedaż]]+G2024,jablka5[[#This Row],[sprzedaż]])</f>
        <v>9644</v>
      </c>
      <c r="H2025" s="1">
        <f>IF(jablka5[[#This Row],[dot sprz]]&lt;15000,0,IF(jablka5[[#This Row],[dot sprz]]&lt;20000,5,10))</f>
        <v>0</v>
      </c>
      <c r="I2025" s="1">
        <f>jablka5[[#This Row],[rabat]]*jablka5[[#This Row],[sprzedaż]]/100</f>
        <v>0</v>
      </c>
    </row>
    <row r="2026" spans="1:9" x14ac:dyDescent="0.25">
      <c r="A2026" s="2">
        <v>44812</v>
      </c>
      <c r="B2026" s="1" t="s">
        <v>1</v>
      </c>
      <c r="C2026" s="1" t="s">
        <v>67</v>
      </c>
      <c r="D2026" s="1" t="s">
        <v>46</v>
      </c>
      <c r="E2026">
        <v>328</v>
      </c>
      <c r="F2026" s="1">
        <f>VLOOKUP(jablka5[[#This Row],[Nazwa]],cennik[],2,0) * jablka5[[#This Row],[sprzedaż]]</f>
        <v>1049.6000000000001</v>
      </c>
      <c r="G2026" s="1">
        <f>IF(jablka5[[#This Row],[NIP]]=D2025,jablka5[[#This Row],[sprzedaż]]+G2025,jablka5[[#This Row],[sprzedaż]])</f>
        <v>9972</v>
      </c>
      <c r="H2026" s="1">
        <f>IF(jablka5[[#This Row],[dot sprz]]&lt;15000,0,IF(jablka5[[#This Row],[dot sprz]]&lt;20000,5,10))</f>
        <v>0</v>
      </c>
      <c r="I2026" s="1">
        <f>jablka5[[#This Row],[rabat]]*jablka5[[#This Row],[sprzedaż]]/100</f>
        <v>0</v>
      </c>
    </row>
    <row r="2027" spans="1:9" x14ac:dyDescent="0.25">
      <c r="A2027" s="2">
        <v>44819</v>
      </c>
      <c r="B2027" s="1" t="s">
        <v>11</v>
      </c>
      <c r="C2027" s="1" t="s">
        <v>67</v>
      </c>
      <c r="D2027" s="1" t="s">
        <v>46</v>
      </c>
      <c r="E2027">
        <v>196</v>
      </c>
      <c r="F2027" s="1">
        <f>VLOOKUP(jablka5[[#This Row],[Nazwa]],cennik[],2,0) * jablka5[[#This Row],[sprzedaż]]</f>
        <v>490</v>
      </c>
      <c r="G2027" s="1">
        <f>IF(jablka5[[#This Row],[NIP]]=D2026,jablka5[[#This Row],[sprzedaż]]+G2026,jablka5[[#This Row],[sprzedaż]])</f>
        <v>10168</v>
      </c>
      <c r="H2027" s="1">
        <f>IF(jablka5[[#This Row],[dot sprz]]&lt;15000,0,IF(jablka5[[#This Row],[dot sprz]]&lt;20000,5,10))</f>
        <v>0</v>
      </c>
      <c r="I2027" s="1">
        <f>jablka5[[#This Row],[rabat]]*jablka5[[#This Row],[sprzedaż]]/100</f>
        <v>0</v>
      </c>
    </row>
    <row r="2028" spans="1:9" x14ac:dyDescent="0.25">
      <c r="A2028" s="2">
        <v>44825</v>
      </c>
      <c r="B2028" s="1" t="s">
        <v>1</v>
      </c>
      <c r="C2028" s="1" t="s">
        <v>67</v>
      </c>
      <c r="D2028" s="1" t="s">
        <v>46</v>
      </c>
      <c r="E2028">
        <v>401</v>
      </c>
      <c r="F2028" s="1">
        <f>VLOOKUP(jablka5[[#This Row],[Nazwa]],cennik[],2,0) * jablka5[[#This Row],[sprzedaż]]</f>
        <v>1283.2</v>
      </c>
      <c r="G2028" s="1">
        <f>IF(jablka5[[#This Row],[NIP]]=D2027,jablka5[[#This Row],[sprzedaż]]+G2027,jablka5[[#This Row],[sprzedaż]])</f>
        <v>10569</v>
      </c>
      <c r="H2028" s="1">
        <f>IF(jablka5[[#This Row],[dot sprz]]&lt;15000,0,IF(jablka5[[#This Row],[dot sprz]]&lt;20000,5,10))</f>
        <v>0</v>
      </c>
      <c r="I2028" s="1">
        <f>jablka5[[#This Row],[rabat]]*jablka5[[#This Row],[sprzedaż]]/100</f>
        <v>0</v>
      </c>
    </row>
    <row r="2029" spans="1:9" x14ac:dyDescent="0.25">
      <c r="A2029" s="2">
        <v>44825</v>
      </c>
      <c r="B2029" s="1" t="s">
        <v>14</v>
      </c>
      <c r="C2029" s="1" t="s">
        <v>67</v>
      </c>
      <c r="D2029" s="1" t="s">
        <v>46</v>
      </c>
      <c r="E2029">
        <v>150</v>
      </c>
      <c r="F2029" s="1">
        <f>VLOOKUP(jablka5[[#This Row],[Nazwa]],cennik[],2,0) * jablka5[[#This Row],[sprzedaż]]</f>
        <v>525</v>
      </c>
      <c r="G2029" s="1">
        <f>IF(jablka5[[#This Row],[NIP]]=D2028,jablka5[[#This Row],[sprzedaż]]+G2028,jablka5[[#This Row],[sprzedaż]])</f>
        <v>10719</v>
      </c>
      <c r="H2029" s="1">
        <f>IF(jablka5[[#This Row],[dot sprz]]&lt;15000,0,IF(jablka5[[#This Row],[dot sprz]]&lt;20000,5,10))</f>
        <v>0</v>
      </c>
      <c r="I2029" s="1">
        <f>jablka5[[#This Row],[rabat]]*jablka5[[#This Row],[sprzedaż]]/100</f>
        <v>0</v>
      </c>
    </row>
    <row r="2030" spans="1:9" x14ac:dyDescent="0.25">
      <c r="A2030" s="2">
        <v>44827</v>
      </c>
      <c r="B2030" s="1" t="s">
        <v>3</v>
      </c>
      <c r="C2030" s="1" t="s">
        <v>67</v>
      </c>
      <c r="D2030" s="1" t="s">
        <v>46</v>
      </c>
      <c r="E2030">
        <v>198</v>
      </c>
      <c r="F2030" s="1">
        <f>VLOOKUP(jablka5[[#This Row],[Nazwa]],cennik[],2,0) * jablka5[[#This Row],[sprzedaż]]</f>
        <v>633.6</v>
      </c>
      <c r="G2030" s="1">
        <f>IF(jablka5[[#This Row],[NIP]]=D2029,jablka5[[#This Row],[sprzedaż]]+G2029,jablka5[[#This Row],[sprzedaż]])</f>
        <v>10917</v>
      </c>
      <c r="H2030" s="1">
        <f>IF(jablka5[[#This Row],[dot sprz]]&lt;15000,0,IF(jablka5[[#This Row],[dot sprz]]&lt;20000,5,10))</f>
        <v>0</v>
      </c>
      <c r="I2030" s="1">
        <f>jablka5[[#This Row],[rabat]]*jablka5[[#This Row],[sprzedaż]]/100</f>
        <v>0</v>
      </c>
    </row>
    <row r="2031" spans="1:9" x14ac:dyDescent="0.25">
      <c r="A2031" s="2">
        <v>44842</v>
      </c>
      <c r="B2031" s="1" t="s">
        <v>11</v>
      </c>
      <c r="C2031" s="1" t="s">
        <v>67</v>
      </c>
      <c r="D2031" s="1" t="s">
        <v>46</v>
      </c>
      <c r="E2031">
        <v>260</v>
      </c>
      <c r="F2031" s="1">
        <f>VLOOKUP(jablka5[[#This Row],[Nazwa]],cennik[],2,0) * jablka5[[#This Row],[sprzedaż]]</f>
        <v>650</v>
      </c>
      <c r="G2031" s="1">
        <f>IF(jablka5[[#This Row],[NIP]]=D2030,jablka5[[#This Row],[sprzedaż]]+G2030,jablka5[[#This Row],[sprzedaż]])</f>
        <v>11177</v>
      </c>
      <c r="H2031" s="1">
        <f>IF(jablka5[[#This Row],[dot sprz]]&lt;15000,0,IF(jablka5[[#This Row],[dot sprz]]&lt;20000,5,10))</f>
        <v>0</v>
      </c>
      <c r="I2031" s="1">
        <f>jablka5[[#This Row],[rabat]]*jablka5[[#This Row],[sprzedaż]]/100</f>
        <v>0</v>
      </c>
    </row>
    <row r="2032" spans="1:9" x14ac:dyDescent="0.25">
      <c r="A2032" s="2">
        <v>44847</v>
      </c>
      <c r="B2032" s="1" t="s">
        <v>14</v>
      </c>
      <c r="C2032" s="1" t="s">
        <v>67</v>
      </c>
      <c r="D2032" s="1" t="s">
        <v>46</v>
      </c>
      <c r="E2032">
        <v>395</v>
      </c>
      <c r="F2032" s="1">
        <f>VLOOKUP(jablka5[[#This Row],[Nazwa]],cennik[],2,0) * jablka5[[#This Row],[sprzedaż]]</f>
        <v>1382.5</v>
      </c>
      <c r="G2032" s="1">
        <f>IF(jablka5[[#This Row],[NIP]]=D2031,jablka5[[#This Row],[sprzedaż]]+G2031,jablka5[[#This Row],[sprzedaż]])</f>
        <v>11572</v>
      </c>
      <c r="H2032" s="1">
        <f>IF(jablka5[[#This Row],[dot sprz]]&lt;15000,0,IF(jablka5[[#This Row],[dot sprz]]&lt;20000,5,10))</f>
        <v>0</v>
      </c>
      <c r="I2032" s="1">
        <f>jablka5[[#This Row],[rabat]]*jablka5[[#This Row],[sprzedaż]]/100</f>
        <v>0</v>
      </c>
    </row>
    <row r="2033" spans="1:9" x14ac:dyDescent="0.25">
      <c r="A2033" s="2">
        <v>44849</v>
      </c>
      <c r="B2033" s="1" t="s">
        <v>14</v>
      </c>
      <c r="C2033" s="1" t="s">
        <v>67</v>
      </c>
      <c r="D2033" s="1" t="s">
        <v>46</v>
      </c>
      <c r="E2033">
        <v>388</v>
      </c>
      <c r="F2033" s="1">
        <f>VLOOKUP(jablka5[[#This Row],[Nazwa]],cennik[],2,0) * jablka5[[#This Row],[sprzedaż]]</f>
        <v>1358</v>
      </c>
      <c r="G2033" s="1">
        <f>IF(jablka5[[#This Row],[NIP]]=D2032,jablka5[[#This Row],[sprzedaż]]+G2032,jablka5[[#This Row],[sprzedaż]])</f>
        <v>11960</v>
      </c>
      <c r="H2033" s="1">
        <f>IF(jablka5[[#This Row],[dot sprz]]&lt;15000,0,IF(jablka5[[#This Row],[dot sprz]]&lt;20000,5,10))</f>
        <v>0</v>
      </c>
      <c r="I2033" s="1">
        <f>jablka5[[#This Row],[rabat]]*jablka5[[#This Row],[sprzedaż]]/100</f>
        <v>0</v>
      </c>
    </row>
    <row r="2034" spans="1:9" x14ac:dyDescent="0.25">
      <c r="A2034" s="2">
        <v>44881</v>
      </c>
      <c r="B2034" s="1" t="s">
        <v>9</v>
      </c>
      <c r="C2034" s="1" t="s">
        <v>67</v>
      </c>
      <c r="D2034" s="1" t="s">
        <v>46</v>
      </c>
      <c r="E2034">
        <v>42</v>
      </c>
      <c r="F2034" s="1">
        <f>VLOOKUP(jablka5[[#This Row],[Nazwa]],cennik[],2,0) * jablka5[[#This Row],[sprzedaż]]</f>
        <v>105</v>
      </c>
      <c r="G2034" s="1">
        <f>IF(jablka5[[#This Row],[NIP]]=D2033,jablka5[[#This Row],[sprzedaż]]+G2033,jablka5[[#This Row],[sprzedaż]])</f>
        <v>12002</v>
      </c>
      <c r="H2034" s="1">
        <f>IF(jablka5[[#This Row],[dot sprz]]&lt;15000,0,IF(jablka5[[#This Row],[dot sprz]]&lt;20000,5,10))</f>
        <v>0</v>
      </c>
      <c r="I2034" s="1">
        <f>jablka5[[#This Row],[rabat]]*jablka5[[#This Row],[sprzedaż]]/100</f>
        <v>0</v>
      </c>
    </row>
    <row r="2035" spans="1:9" x14ac:dyDescent="0.25">
      <c r="A2035" s="2">
        <v>44884</v>
      </c>
      <c r="B2035" s="1" t="s">
        <v>14</v>
      </c>
      <c r="C2035" s="1" t="s">
        <v>67</v>
      </c>
      <c r="D2035" s="1" t="s">
        <v>46</v>
      </c>
      <c r="E2035">
        <v>341</v>
      </c>
      <c r="F2035" s="1">
        <f>VLOOKUP(jablka5[[#This Row],[Nazwa]],cennik[],2,0) * jablka5[[#This Row],[sprzedaż]]</f>
        <v>1193.5</v>
      </c>
      <c r="G2035" s="1">
        <f>IF(jablka5[[#This Row],[NIP]]=D2034,jablka5[[#This Row],[sprzedaż]]+G2034,jablka5[[#This Row],[sprzedaż]])</f>
        <v>12343</v>
      </c>
      <c r="H2035" s="1">
        <f>IF(jablka5[[#This Row],[dot sprz]]&lt;15000,0,IF(jablka5[[#This Row],[dot sprz]]&lt;20000,5,10))</f>
        <v>0</v>
      </c>
      <c r="I2035" s="1">
        <f>jablka5[[#This Row],[rabat]]*jablka5[[#This Row],[sprzedaż]]/100</f>
        <v>0</v>
      </c>
    </row>
    <row r="2036" spans="1:9" x14ac:dyDescent="0.25">
      <c r="A2036" s="2">
        <v>44890</v>
      </c>
      <c r="B2036" s="1" t="s">
        <v>1</v>
      </c>
      <c r="C2036" s="1" t="s">
        <v>67</v>
      </c>
      <c r="D2036" s="1" t="s">
        <v>46</v>
      </c>
      <c r="E2036">
        <v>132</v>
      </c>
      <c r="F2036" s="1">
        <f>VLOOKUP(jablka5[[#This Row],[Nazwa]],cennik[],2,0) * jablka5[[#This Row],[sprzedaż]]</f>
        <v>422.40000000000003</v>
      </c>
      <c r="G2036" s="1">
        <f>IF(jablka5[[#This Row],[NIP]]=D2035,jablka5[[#This Row],[sprzedaż]]+G2035,jablka5[[#This Row],[sprzedaż]])</f>
        <v>12475</v>
      </c>
      <c r="H2036" s="1">
        <f>IF(jablka5[[#This Row],[dot sprz]]&lt;15000,0,IF(jablka5[[#This Row],[dot sprz]]&lt;20000,5,10))</f>
        <v>0</v>
      </c>
      <c r="I2036" s="1">
        <f>jablka5[[#This Row],[rabat]]*jablka5[[#This Row],[sprzedaż]]/100</f>
        <v>0</v>
      </c>
    </row>
    <row r="2037" spans="1:9" x14ac:dyDescent="0.25">
      <c r="A2037" s="2">
        <v>44902</v>
      </c>
      <c r="B2037" s="1" t="s">
        <v>6</v>
      </c>
      <c r="C2037" s="1" t="s">
        <v>16</v>
      </c>
      <c r="D2037" s="1" t="s">
        <v>46</v>
      </c>
      <c r="E2037">
        <v>22</v>
      </c>
      <c r="F2037" s="1">
        <f>VLOOKUP(jablka5[[#This Row],[Nazwa]],cennik[],2,0) * jablka5[[#This Row],[sprzedaż]]</f>
        <v>74.8</v>
      </c>
      <c r="G2037" s="1">
        <f>IF(jablka5[[#This Row],[NIP]]=D2036,jablka5[[#This Row],[sprzedaż]]+G2036,jablka5[[#This Row],[sprzedaż]])</f>
        <v>12497</v>
      </c>
      <c r="H2037" s="1">
        <f>IF(jablka5[[#This Row],[dot sprz]]&lt;15000,0,IF(jablka5[[#This Row],[dot sprz]]&lt;20000,5,10))</f>
        <v>0</v>
      </c>
      <c r="I2037" s="1">
        <f>jablka5[[#This Row],[rabat]]*jablka5[[#This Row],[sprzedaż]]/100</f>
        <v>0</v>
      </c>
    </row>
    <row r="2038" spans="1:9" x14ac:dyDescent="0.25">
      <c r="A2038" s="2">
        <v>44907</v>
      </c>
      <c r="B2038" s="1" t="s">
        <v>7</v>
      </c>
      <c r="C2038" s="1" t="s">
        <v>16</v>
      </c>
      <c r="D2038" s="1" t="s">
        <v>46</v>
      </c>
      <c r="E2038">
        <v>364</v>
      </c>
      <c r="F2038" s="1">
        <f>VLOOKUP(jablka5[[#This Row],[Nazwa]],cennik[],2,0) * jablka5[[#This Row],[sprzedaż]]</f>
        <v>1237.5999999999999</v>
      </c>
      <c r="G2038" s="1">
        <f>IF(jablka5[[#This Row],[NIP]]=D2037,jablka5[[#This Row],[sprzedaż]]+G2037,jablka5[[#This Row],[sprzedaż]])</f>
        <v>12861</v>
      </c>
      <c r="H2038" s="1">
        <f>IF(jablka5[[#This Row],[dot sprz]]&lt;15000,0,IF(jablka5[[#This Row],[dot sprz]]&lt;20000,5,10))</f>
        <v>0</v>
      </c>
      <c r="I2038" s="1">
        <f>jablka5[[#This Row],[rabat]]*jablka5[[#This Row],[sprzedaż]]/100</f>
        <v>0</v>
      </c>
    </row>
    <row r="2039" spans="1:9" x14ac:dyDescent="0.25">
      <c r="A2039" s="2">
        <v>44908</v>
      </c>
      <c r="B2039" s="1" t="s">
        <v>0</v>
      </c>
      <c r="C2039" s="1" t="s">
        <v>16</v>
      </c>
      <c r="D2039" s="1" t="s">
        <v>46</v>
      </c>
      <c r="E2039">
        <v>377</v>
      </c>
      <c r="F2039" s="1">
        <f>VLOOKUP(jablka5[[#This Row],[Nazwa]],cennik[],2,0) * jablka5[[#This Row],[sprzedaż]]</f>
        <v>1093.3</v>
      </c>
      <c r="G2039" s="1">
        <f>IF(jablka5[[#This Row],[NIP]]=D2038,jablka5[[#This Row],[sprzedaż]]+G2038,jablka5[[#This Row],[sprzedaż]])</f>
        <v>13238</v>
      </c>
      <c r="H2039" s="1">
        <f>IF(jablka5[[#This Row],[dot sprz]]&lt;15000,0,IF(jablka5[[#This Row],[dot sprz]]&lt;20000,5,10))</f>
        <v>0</v>
      </c>
      <c r="I2039" s="1">
        <f>jablka5[[#This Row],[rabat]]*jablka5[[#This Row],[sprzedaż]]/100</f>
        <v>0</v>
      </c>
    </row>
    <row r="2040" spans="1:9" x14ac:dyDescent="0.25">
      <c r="A2040" s="2">
        <v>44909</v>
      </c>
      <c r="B2040" s="1" t="s">
        <v>4</v>
      </c>
      <c r="C2040" s="1" t="s">
        <v>16</v>
      </c>
      <c r="D2040" s="1" t="s">
        <v>46</v>
      </c>
      <c r="E2040">
        <v>432</v>
      </c>
      <c r="F2040" s="1">
        <f>VLOOKUP(jablka5[[#This Row],[Nazwa]],cennik[],2,0) * jablka5[[#This Row],[sprzedaż]]</f>
        <v>1468.8</v>
      </c>
      <c r="G2040" s="1">
        <f>IF(jablka5[[#This Row],[NIP]]=D2039,jablka5[[#This Row],[sprzedaż]]+G2039,jablka5[[#This Row],[sprzedaż]])</f>
        <v>13670</v>
      </c>
      <c r="H2040" s="1">
        <f>IF(jablka5[[#This Row],[dot sprz]]&lt;15000,0,IF(jablka5[[#This Row],[dot sprz]]&lt;20000,5,10))</f>
        <v>0</v>
      </c>
      <c r="I2040" s="1">
        <f>jablka5[[#This Row],[rabat]]*jablka5[[#This Row],[sprzedaż]]/100</f>
        <v>0</v>
      </c>
    </row>
    <row r="2041" spans="1:9" x14ac:dyDescent="0.25">
      <c r="A2041" s="2">
        <v>44911</v>
      </c>
      <c r="B2041" s="1" t="s">
        <v>7</v>
      </c>
      <c r="C2041" s="1" t="s">
        <v>16</v>
      </c>
      <c r="D2041" s="1" t="s">
        <v>46</v>
      </c>
      <c r="E2041">
        <v>464</v>
      </c>
      <c r="F2041" s="1">
        <f>VLOOKUP(jablka5[[#This Row],[Nazwa]],cennik[],2,0) * jablka5[[#This Row],[sprzedaż]]</f>
        <v>1577.6</v>
      </c>
      <c r="G2041" s="1">
        <f>IF(jablka5[[#This Row],[NIP]]=D2040,jablka5[[#This Row],[sprzedaż]]+G2040,jablka5[[#This Row],[sprzedaż]])</f>
        <v>14134</v>
      </c>
      <c r="H2041" s="1">
        <f>IF(jablka5[[#This Row],[dot sprz]]&lt;15000,0,IF(jablka5[[#This Row],[dot sprz]]&lt;20000,5,10))</f>
        <v>0</v>
      </c>
      <c r="I2041" s="1">
        <f>jablka5[[#This Row],[rabat]]*jablka5[[#This Row],[sprzedaż]]/100</f>
        <v>0</v>
      </c>
    </row>
    <row r="2042" spans="1:9" x14ac:dyDescent="0.25">
      <c r="A2042" s="2">
        <v>44912</v>
      </c>
      <c r="B2042" s="1" t="s">
        <v>2</v>
      </c>
      <c r="C2042" s="1" t="s">
        <v>16</v>
      </c>
      <c r="D2042" s="1" t="s">
        <v>46</v>
      </c>
      <c r="E2042">
        <v>96</v>
      </c>
      <c r="F2042" s="1">
        <f>VLOOKUP(jablka5[[#This Row],[Nazwa]],cennik[],2,0) * jablka5[[#This Row],[sprzedaż]]</f>
        <v>307.20000000000005</v>
      </c>
      <c r="G2042" s="1">
        <f>IF(jablka5[[#This Row],[NIP]]=D2041,jablka5[[#This Row],[sprzedaż]]+G2041,jablka5[[#This Row],[sprzedaż]])</f>
        <v>14230</v>
      </c>
      <c r="H2042" s="1">
        <f>IF(jablka5[[#This Row],[dot sprz]]&lt;15000,0,IF(jablka5[[#This Row],[dot sprz]]&lt;20000,5,10))</f>
        <v>0</v>
      </c>
      <c r="I2042" s="1">
        <f>jablka5[[#This Row],[rabat]]*jablka5[[#This Row],[sprzedaż]]/100</f>
        <v>0</v>
      </c>
    </row>
    <row r="2043" spans="1:9" x14ac:dyDescent="0.25">
      <c r="A2043" s="2">
        <v>44914</v>
      </c>
      <c r="B2043" s="1" t="s">
        <v>8</v>
      </c>
      <c r="C2043" s="1" t="s">
        <v>16</v>
      </c>
      <c r="D2043" s="1" t="s">
        <v>46</v>
      </c>
      <c r="E2043">
        <v>221</v>
      </c>
      <c r="F2043" s="1">
        <f>VLOOKUP(jablka5[[#This Row],[Nazwa]],cennik[],2,0) * jablka5[[#This Row],[sprzedaż]]</f>
        <v>773.5</v>
      </c>
      <c r="G2043" s="1">
        <f>IF(jablka5[[#This Row],[NIP]]=D2042,jablka5[[#This Row],[sprzedaż]]+G2042,jablka5[[#This Row],[sprzedaż]])</f>
        <v>14451</v>
      </c>
      <c r="H2043" s="1">
        <f>IF(jablka5[[#This Row],[dot sprz]]&lt;15000,0,IF(jablka5[[#This Row],[dot sprz]]&lt;20000,5,10))</f>
        <v>0</v>
      </c>
      <c r="I2043" s="1">
        <f>jablka5[[#This Row],[rabat]]*jablka5[[#This Row],[sprzedaż]]/100</f>
        <v>0</v>
      </c>
    </row>
    <row r="2044" spans="1:9" x14ac:dyDescent="0.25">
      <c r="A2044" s="2">
        <v>44921</v>
      </c>
      <c r="B2044" s="1" t="s">
        <v>10</v>
      </c>
      <c r="C2044" s="1" t="s">
        <v>16</v>
      </c>
      <c r="D2044" s="1" t="s">
        <v>46</v>
      </c>
      <c r="E2044">
        <v>311</v>
      </c>
      <c r="F2044" s="1">
        <f>VLOOKUP(jablka5[[#This Row],[Nazwa]],cennik[],2,0) * jablka5[[#This Row],[sprzedaż]]</f>
        <v>1057.3999999999999</v>
      </c>
      <c r="G2044" s="1">
        <f>IF(jablka5[[#This Row],[NIP]]=D2043,jablka5[[#This Row],[sprzedaż]]+G2043,jablka5[[#This Row],[sprzedaż]])</f>
        <v>14762</v>
      </c>
      <c r="H2044" s="1">
        <f>IF(jablka5[[#This Row],[dot sprz]]&lt;15000,0,IF(jablka5[[#This Row],[dot sprz]]&lt;20000,5,10))</f>
        <v>0</v>
      </c>
      <c r="I2044" s="1">
        <f>jablka5[[#This Row],[rabat]]*jablka5[[#This Row],[sprzedaż]]/100</f>
        <v>0</v>
      </c>
    </row>
    <row r="2045" spans="1:9" x14ac:dyDescent="0.25">
      <c r="A2045" s="2">
        <v>44922</v>
      </c>
      <c r="B2045" s="1" t="s">
        <v>10</v>
      </c>
      <c r="C2045" s="1" t="s">
        <v>16</v>
      </c>
      <c r="D2045" s="1" t="s">
        <v>46</v>
      </c>
      <c r="E2045">
        <v>407</v>
      </c>
      <c r="F2045" s="1">
        <f>VLOOKUP(jablka5[[#This Row],[Nazwa]],cennik[],2,0) * jablka5[[#This Row],[sprzedaż]]</f>
        <v>1383.8</v>
      </c>
      <c r="G2045" s="1">
        <f>IF(jablka5[[#This Row],[NIP]]=D2044,jablka5[[#This Row],[sprzedaż]]+G2044,jablka5[[#This Row],[sprzedaż]])</f>
        <v>15169</v>
      </c>
      <c r="H2045" s="1">
        <f>IF(jablka5[[#This Row],[dot sprz]]&lt;15000,0,IF(jablka5[[#This Row],[dot sprz]]&lt;20000,5,10))</f>
        <v>5</v>
      </c>
      <c r="I2045" s="1">
        <f>jablka5[[#This Row],[rabat]]*jablka5[[#This Row],[sprzedaż]]/100</f>
        <v>20.350000000000001</v>
      </c>
    </row>
    <row r="2046" spans="1:9" x14ac:dyDescent="0.25">
      <c r="A2046" s="2">
        <v>44566</v>
      </c>
      <c r="B2046" s="1" t="s">
        <v>8</v>
      </c>
      <c r="C2046" s="1" t="s">
        <v>16</v>
      </c>
      <c r="D2046" s="1" t="s">
        <v>38</v>
      </c>
      <c r="E2046">
        <v>657</v>
      </c>
      <c r="F2046" s="1">
        <f>VLOOKUP(jablka5[[#This Row],[Nazwa]],cennik[],2,0) * jablka5[[#This Row],[sprzedaż]]</f>
        <v>2299.5</v>
      </c>
      <c r="G2046" s="1">
        <f>IF(jablka5[[#This Row],[NIP]]=D2045,jablka5[[#This Row],[sprzedaż]]+G2045,jablka5[[#This Row],[sprzedaż]])</f>
        <v>657</v>
      </c>
      <c r="H2046" s="1">
        <f>IF(jablka5[[#This Row],[dot sprz]]&lt;15000,0,IF(jablka5[[#This Row],[dot sprz]]&lt;20000,5,10))</f>
        <v>0</v>
      </c>
      <c r="I2046" s="1">
        <f>jablka5[[#This Row],[rabat]]*jablka5[[#This Row],[sprzedaż]]/100</f>
        <v>0</v>
      </c>
    </row>
    <row r="2047" spans="1:9" x14ac:dyDescent="0.25">
      <c r="A2047" s="2">
        <v>44568</v>
      </c>
      <c r="B2047" s="1" t="s">
        <v>4</v>
      </c>
      <c r="C2047" s="1" t="s">
        <v>16</v>
      </c>
      <c r="D2047" s="1" t="s">
        <v>38</v>
      </c>
      <c r="E2047">
        <v>323</v>
      </c>
      <c r="F2047" s="1">
        <f>VLOOKUP(jablka5[[#This Row],[Nazwa]],cennik[],2,0) * jablka5[[#This Row],[sprzedaż]]</f>
        <v>1098.2</v>
      </c>
      <c r="G2047" s="1">
        <f>IF(jablka5[[#This Row],[NIP]]=D2046,jablka5[[#This Row],[sprzedaż]]+G2046,jablka5[[#This Row],[sprzedaż]])</f>
        <v>980</v>
      </c>
      <c r="H2047" s="1">
        <f>IF(jablka5[[#This Row],[dot sprz]]&lt;15000,0,IF(jablka5[[#This Row],[dot sprz]]&lt;20000,5,10))</f>
        <v>0</v>
      </c>
      <c r="I2047" s="1">
        <f>jablka5[[#This Row],[rabat]]*jablka5[[#This Row],[sprzedaż]]/100</f>
        <v>0</v>
      </c>
    </row>
    <row r="2048" spans="1:9" x14ac:dyDescent="0.25">
      <c r="A2048" s="2">
        <v>44569</v>
      </c>
      <c r="B2048" s="1" t="s">
        <v>0</v>
      </c>
      <c r="C2048" s="1" t="s">
        <v>16</v>
      </c>
      <c r="D2048" s="1" t="s">
        <v>38</v>
      </c>
      <c r="E2048">
        <v>270</v>
      </c>
      <c r="F2048" s="1">
        <f>VLOOKUP(jablka5[[#This Row],[Nazwa]],cennik[],2,0) * jablka5[[#This Row],[sprzedaż]]</f>
        <v>783</v>
      </c>
      <c r="G2048" s="1">
        <f>IF(jablka5[[#This Row],[NIP]]=D2047,jablka5[[#This Row],[sprzedaż]]+G2047,jablka5[[#This Row],[sprzedaż]])</f>
        <v>1250</v>
      </c>
      <c r="H2048" s="1">
        <f>IF(jablka5[[#This Row],[dot sprz]]&lt;15000,0,IF(jablka5[[#This Row],[dot sprz]]&lt;20000,5,10))</f>
        <v>0</v>
      </c>
      <c r="I2048" s="1">
        <f>jablka5[[#This Row],[rabat]]*jablka5[[#This Row],[sprzedaż]]/100</f>
        <v>0</v>
      </c>
    </row>
    <row r="2049" spans="1:9" x14ac:dyDescent="0.25">
      <c r="A2049" s="2">
        <v>44571</v>
      </c>
      <c r="B2049" s="1" t="s">
        <v>6</v>
      </c>
      <c r="C2049" s="1" t="s">
        <v>16</v>
      </c>
      <c r="D2049" s="1" t="s">
        <v>38</v>
      </c>
      <c r="E2049">
        <v>103</v>
      </c>
      <c r="F2049" s="1">
        <f>VLOOKUP(jablka5[[#This Row],[Nazwa]],cennik[],2,0) * jablka5[[#This Row],[sprzedaż]]</f>
        <v>350.2</v>
      </c>
      <c r="G2049" s="1">
        <f>IF(jablka5[[#This Row],[NIP]]=D2048,jablka5[[#This Row],[sprzedaż]]+G2048,jablka5[[#This Row],[sprzedaż]])</f>
        <v>1353</v>
      </c>
      <c r="H2049" s="1">
        <f>IF(jablka5[[#This Row],[dot sprz]]&lt;15000,0,IF(jablka5[[#This Row],[dot sprz]]&lt;20000,5,10))</f>
        <v>0</v>
      </c>
      <c r="I2049" s="1">
        <f>jablka5[[#This Row],[rabat]]*jablka5[[#This Row],[sprzedaż]]/100</f>
        <v>0</v>
      </c>
    </row>
    <row r="2050" spans="1:9" x14ac:dyDescent="0.25">
      <c r="A2050" s="2">
        <v>44578</v>
      </c>
      <c r="B2050" s="1" t="s">
        <v>2</v>
      </c>
      <c r="C2050" s="1" t="s">
        <v>16</v>
      </c>
      <c r="D2050" s="1" t="s">
        <v>38</v>
      </c>
      <c r="E2050">
        <v>19</v>
      </c>
      <c r="F2050" s="1">
        <f>VLOOKUP(jablka5[[#This Row],[Nazwa]],cennik[],2,0) * jablka5[[#This Row],[sprzedaż]]</f>
        <v>60.800000000000004</v>
      </c>
      <c r="G2050" s="1">
        <f>IF(jablka5[[#This Row],[NIP]]=D2049,jablka5[[#This Row],[sprzedaż]]+G2049,jablka5[[#This Row],[sprzedaż]])</f>
        <v>1372</v>
      </c>
      <c r="H2050" s="1">
        <f>IF(jablka5[[#This Row],[dot sprz]]&lt;15000,0,IF(jablka5[[#This Row],[dot sprz]]&lt;20000,5,10))</f>
        <v>0</v>
      </c>
      <c r="I2050" s="1">
        <f>jablka5[[#This Row],[rabat]]*jablka5[[#This Row],[sprzedaż]]/100</f>
        <v>0</v>
      </c>
    </row>
    <row r="2051" spans="1:9" x14ac:dyDescent="0.25">
      <c r="A2051" s="2">
        <v>44581</v>
      </c>
      <c r="B2051" s="1" t="s">
        <v>0</v>
      </c>
      <c r="C2051" s="1" t="s">
        <v>16</v>
      </c>
      <c r="D2051" s="1" t="s">
        <v>38</v>
      </c>
      <c r="E2051">
        <v>497</v>
      </c>
      <c r="F2051" s="1">
        <f>VLOOKUP(jablka5[[#This Row],[Nazwa]],cennik[],2,0) * jablka5[[#This Row],[sprzedaż]]</f>
        <v>1441.3</v>
      </c>
      <c r="G2051" s="1">
        <f>IF(jablka5[[#This Row],[NIP]]=D2050,jablka5[[#This Row],[sprzedaż]]+G2050,jablka5[[#This Row],[sprzedaż]])</f>
        <v>1869</v>
      </c>
      <c r="H2051" s="1">
        <f>IF(jablka5[[#This Row],[dot sprz]]&lt;15000,0,IF(jablka5[[#This Row],[dot sprz]]&lt;20000,5,10))</f>
        <v>0</v>
      </c>
      <c r="I2051" s="1">
        <f>jablka5[[#This Row],[rabat]]*jablka5[[#This Row],[sprzedaż]]/100</f>
        <v>0</v>
      </c>
    </row>
    <row r="2052" spans="1:9" x14ac:dyDescent="0.25">
      <c r="A2052" s="2">
        <v>44590</v>
      </c>
      <c r="B2052" s="1" t="s">
        <v>6</v>
      </c>
      <c r="C2052" s="1" t="s">
        <v>16</v>
      </c>
      <c r="D2052" s="1" t="s">
        <v>38</v>
      </c>
      <c r="E2052">
        <v>145</v>
      </c>
      <c r="F2052" s="1">
        <f>VLOOKUP(jablka5[[#This Row],[Nazwa]],cennik[],2,0) * jablka5[[#This Row],[sprzedaż]]</f>
        <v>493</v>
      </c>
      <c r="G2052" s="1">
        <f>IF(jablka5[[#This Row],[NIP]]=D2051,jablka5[[#This Row],[sprzedaż]]+G2051,jablka5[[#This Row],[sprzedaż]])</f>
        <v>2014</v>
      </c>
      <c r="H2052" s="1">
        <f>IF(jablka5[[#This Row],[dot sprz]]&lt;15000,0,IF(jablka5[[#This Row],[dot sprz]]&lt;20000,5,10))</f>
        <v>0</v>
      </c>
      <c r="I2052" s="1">
        <f>jablka5[[#This Row],[rabat]]*jablka5[[#This Row],[sprzedaż]]/100</f>
        <v>0</v>
      </c>
    </row>
    <row r="2053" spans="1:9" x14ac:dyDescent="0.25">
      <c r="A2053" s="2">
        <v>44593</v>
      </c>
      <c r="B2053" s="1" t="s">
        <v>6</v>
      </c>
      <c r="C2053" s="1" t="s">
        <v>16</v>
      </c>
      <c r="D2053" s="1" t="s">
        <v>38</v>
      </c>
      <c r="E2053">
        <v>341</v>
      </c>
      <c r="F2053" s="1">
        <f>VLOOKUP(jablka5[[#This Row],[Nazwa]],cennik[],2,0) * jablka5[[#This Row],[sprzedaż]]</f>
        <v>1159.3999999999999</v>
      </c>
      <c r="G2053" s="1">
        <f>IF(jablka5[[#This Row],[NIP]]=D2052,jablka5[[#This Row],[sprzedaż]]+G2052,jablka5[[#This Row],[sprzedaż]])</f>
        <v>2355</v>
      </c>
      <c r="H2053" s="1">
        <f>IF(jablka5[[#This Row],[dot sprz]]&lt;15000,0,IF(jablka5[[#This Row],[dot sprz]]&lt;20000,5,10))</f>
        <v>0</v>
      </c>
      <c r="I2053" s="1">
        <f>jablka5[[#This Row],[rabat]]*jablka5[[#This Row],[sprzedaż]]/100</f>
        <v>0</v>
      </c>
    </row>
    <row r="2054" spans="1:9" x14ac:dyDescent="0.25">
      <c r="A2054" s="2">
        <v>44593</v>
      </c>
      <c r="B2054" s="1" t="s">
        <v>5</v>
      </c>
      <c r="C2054" s="1" t="s">
        <v>16</v>
      </c>
      <c r="D2054" s="1" t="s">
        <v>38</v>
      </c>
      <c r="E2054">
        <v>25</v>
      </c>
      <c r="F2054" s="1">
        <f>VLOOKUP(jablka5[[#This Row],[Nazwa]],cennik[],2,0) * jablka5[[#This Row],[sprzedaż]]</f>
        <v>85</v>
      </c>
      <c r="G2054" s="1">
        <f>IF(jablka5[[#This Row],[NIP]]=D2053,jablka5[[#This Row],[sprzedaż]]+G2053,jablka5[[#This Row],[sprzedaż]])</f>
        <v>2380</v>
      </c>
      <c r="H2054" s="1">
        <f>IF(jablka5[[#This Row],[dot sprz]]&lt;15000,0,IF(jablka5[[#This Row],[dot sprz]]&lt;20000,5,10))</f>
        <v>0</v>
      </c>
      <c r="I2054" s="1">
        <f>jablka5[[#This Row],[rabat]]*jablka5[[#This Row],[sprzedaż]]/100</f>
        <v>0</v>
      </c>
    </row>
    <row r="2055" spans="1:9" x14ac:dyDescent="0.25">
      <c r="A2055" s="2">
        <v>44599</v>
      </c>
      <c r="B2055" s="1" t="s">
        <v>8</v>
      </c>
      <c r="C2055" s="1" t="s">
        <v>16</v>
      </c>
      <c r="D2055" s="1" t="s">
        <v>38</v>
      </c>
      <c r="E2055">
        <v>413</v>
      </c>
      <c r="F2055" s="1">
        <f>VLOOKUP(jablka5[[#This Row],[Nazwa]],cennik[],2,0) * jablka5[[#This Row],[sprzedaż]]</f>
        <v>1445.5</v>
      </c>
      <c r="G2055" s="1">
        <f>IF(jablka5[[#This Row],[NIP]]=D2054,jablka5[[#This Row],[sprzedaż]]+G2054,jablka5[[#This Row],[sprzedaż]])</f>
        <v>2793</v>
      </c>
      <c r="H2055" s="1">
        <f>IF(jablka5[[#This Row],[dot sprz]]&lt;15000,0,IF(jablka5[[#This Row],[dot sprz]]&lt;20000,5,10))</f>
        <v>0</v>
      </c>
      <c r="I2055" s="1">
        <f>jablka5[[#This Row],[rabat]]*jablka5[[#This Row],[sprzedaż]]/100</f>
        <v>0</v>
      </c>
    </row>
    <row r="2056" spans="1:9" x14ac:dyDescent="0.25">
      <c r="A2056" s="2">
        <v>44611</v>
      </c>
      <c r="B2056" s="1" t="s">
        <v>2</v>
      </c>
      <c r="C2056" s="1" t="s">
        <v>16</v>
      </c>
      <c r="D2056" s="1" t="s">
        <v>38</v>
      </c>
      <c r="E2056">
        <v>176</v>
      </c>
      <c r="F2056" s="1">
        <f>VLOOKUP(jablka5[[#This Row],[Nazwa]],cennik[],2,0) * jablka5[[#This Row],[sprzedaż]]</f>
        <v>563.20000000000005</v>
      </c>
      <c r="G2056" s="1">
        <f>IF(jablka5[[#This Row],[NIP]]=D2055,jablka5[[#This Row],[sprzedaż]]+G2055,jablka5[[#This Row],[sprzedaż]])</f>
        <v>2969</v>
      </c>
      <c r="H2056" s="1">
        <f>IF(jablka5[[#This Row],[dot sprz]]&lt;15000,0,IF(jablka5[[#This Row],[dot sprz]]&lt;20000,5,10))</f>
        <v>0</v>
      </c>
      <c r="I2056" s="1">
        <f>jablka5[[#This Row],[rabat]]*jablka5[[#This Row],[sprzedaż]]/100</f>
        <v>0</v>
      </c>
    </row>
    <row r="2057" spans="1:9" x14ac:dyDescent="0.25">
      <c r="A2057" s="2">
        <v>44613</v>
      </c>
      <c r="B2057" s="1" t="s">
        <v>0</v>
      </c>
      <c r="C2057" s="1" t="s">
        <v>16</v>
      </c>
      <c r="D2057" s="1" t="s">
        <v>38</v>
      </c>
      <c r="E2057">
        <v>435</v>
      </c>
      <c r="F2057" s="1">
        <f>VLOOKUP(jablka5[[#This Row],[Nazwa]],cennik[],2,0) * jablka5[[#This Row],[sprzedaż]]</f>
        <v>1261.5</v>
      </c>
      <c r="G2057" s="1">
        <f>IF(jablka5[[#This Row],[NIP]]=D2056,jablka5[[#This Row],[sprzedaż]]+G2056,jablka5[[#This Row],[sprzedaż]])</f>
        <v>3404</v>
      </c>
      <c r="H2057" s="1">
        <f>IF(jablka5[[#This Row],[dot sprz]]&lt;15000,0,IF(jablka5[[#This Row],[dot sprz]]&lt;20000,5,10))</f>
        <v>0</v>
      </c>
      <c r="I2057" s="1">
        <f>jablka5[[#This Row],[rabat]]*jablka5[[#This Row],[sprzedaż]]/100</f>
        <v>0</v>
      </c>
    </row>
    <row r="2058" spans="1:9" x14ac:dyDescent="0.25">
      <c r="A2058" s="2">
        <v>44620</v>
      </c>
      <c r="B2058" s="1" t="s">
        <v>6</v>
      </c>
      <c r="C2058" s="1" t="s">
        <v>16</v>
      </c>
      <c r="D2058" s="1" t="s">
        <v>38</v>
      </c>
      <c r="E2058">
        <v>209</v>
      </c>
      <c r="F2058" s="1">
        <f>VLOOKUP(jablka5[[#This Row],[Nazwa]],cennik[],2,0) * jablka5[[#This Row],[sprzedaż]]</f>
        <v>710.6</v>
      </c>
      <c r="G2058" s="1">
        <f>IF(jablka5[[#This Row],[NIP]]=D2057,jablka5[[#This Row],[sprzedaż]]+G2057,jablka5[[#This Row],[sprzedaż]])</f>
        <v>3613</v>
      </c>
      <c r="H2058" s="1">
        <f>IF(jablka5[[#This Row],[dot sprz]]&lt;15000,0,IF(jablka5[[#This Row],[dot sprz]]&lt;20000,5,10))</f>
        <v>0</v>
      </c>
      <c r="I2058" s="1">
        <f>jablka5[[#This Row],[rabat]]*jablka5[[#This Row],[sprzedaż]]/100</f>
        <v>0</v>
      </c>
    </row>
    <row r="2059" spans="1:9" x14ac:dyDescent="0.25">
      <c r="A2059" s="2">
        <v>44624</v>
      </c>
      <c r="B2059" s="1" t="s">
        <v>8</v>
      </c>
      <c r="C2059" s="1" t="s">
        <v>16</v>
      </c>
      <c r="D2059" s="1" t="s">
        <v>38</v>
      </c>
      <c r="E2059">
        <v>436</v>
      </c>
      <c r="F2059" s="1">
        <f>VLOOKUP(jablka5[[#This Row],[Nazwa]],cennik[],2,0) * jablka5[[#This Row],[sprzedaż]]</f>
        <v>1526</v>
      </c>
      <c r="G2059" s="1">
        <f>IF(jablka5[[#This Row],[NIP]]=D2058,jablka5[[#This Row],[sprzedaż]]+G2058,jablka5[[#This Row],[sprzedaż]])</f>
        <v>4049</v>
      </c>
      <c r="H2059" s="1">
        <f>IF(jablka5[[#This Row],[dot sprz]]&lt;15000,0,IF(jablka5[[#This Row],[dot sprz]]&lt;20000,5,10))</f>
        <v>0</v>
      </c>
      <c r="I2059" s="1">
        <f>jablka5[[#This Row],[rabat]]*jablka5[[#This Row],[sprzedaż]]/100</f>
        <v>0</v>
      </c>
    </row>
    <row r="2060" spans="1:9" x14ac:dyDescent="0.25">
      <c r="A2060" s="2">
        <v>44627</v>
      </c>
      <c r="B2060" s="1" t="s">
        <v>0</v>
      </c>
      <c r="C2060" s="1" t="s">
        <v>16</v>
      </c>
      <c r="D2060" s="1" t="s">
        <v>38</v>
      </c>
      <c r="E2060">
        <v>405</v>
      </c>
      <c r="F2060" s="1">
        <f>VLOOKUP(jablka5[[#This Row],[Nazwa]],cennik[],2,0) * jablka5[[#This Row],[sprzedaż]]</f>
        <v>1174.5</v>
      </c>
      <c r="G2060" s="1">
        <f>IF(jablka5[[#This Row],[NIP]]=D2059,jablka5[[#This Row],[sprzedaż]]+G2059,jablka5[[#This Row],[sprzedaż]])</f>
        <v>4454</v>
      </c>
      <c r="H2060" s="1">
        <f>IF(jablka5[[#This Row],[dot sprz]]&lt;15000,0,IF(jablka5[[#This Row],[dot sprz]]&lt;20000,5,10))</f>
        <v>0</v>
      </c>
      <c r="I2060" s="1">
        <f>jablka5[[#This Row],[rabat]]*jablka5[[#This Row],[sprzedaż]]/100</f>
        <v>0</v>
      </c>
    </row>
    <row r="2061" spans="1:9" x14ac:dyDescent="0.25">
      <c r="A2061" s="2">
        <v>44636</v>
      </c>
      <c r="B2061" s="1" t="s">
        <v>5</v>
      </c>
      <c r="C2061" s="1" t="s">
        <v>16</v>
      </c>
      <c r="D2061" s="1" t="s">
        <v>38</v>
      </c>
      <c r="E2061">
        <v>40</v>
      </c>
      <c r="F2061" s="1">
        <f>VLOOKUP(jablka5[[#This Row],[Nazwa]],cennik[],2,0) * jablka5[[#This Row],[sprzedaż]]</f>
        <v>136</v>
      </c>
      <c r="G2061" s="1">
        <f>IF(jablka5[[#This Row],[NIP]]=D2060,jablka5[[#This Row],[sprzedaż]]+G2060,jablka5[[#This Row],[sprzedaż]])</f>
        <v>4494</v>
      </c>
      <c r="H2061" s="1">
        <f>IF(jablka5[[#This Row],[dot sprz]]&lt;15000,0,IF(jablka5[[#This Row],[dot sprz]]&lt;20000,5,10))</f>
        <v>0</v>
      </c>
      <c r="I2061" s="1">
        <f>jablka5[[#This Row],[rabat]]*jablka5[[#This Row],[sprzedaż]]/100</f>
        <v>0</v>
      </c>
    </row>
    <row r="2062" spans="1:9" x14ac:dyDescent="0.25">
      <c r="A2062" s="2">
        <v>44641</v>
      </c>
      <c r="B2062" s="1" t="s">
        <v>10</v>
      </c>
      <c r="C2062" s="1" t="s">
        <v>16</v>
      </c>
      <c r="D2062" s="1" t="s">
        <v>38</v>
      </c>
      <c r="E2062">
        <v>276</v>
      </c>
      <c r="F2062" s="1">
        <f>VLOOKUP(jablka5[[#This Row],[Nazwa]],cennik[],2,0) * jablka5[[#This Row],[sprzedaż]]</f>
        <v>938.4</v>
      </c>
      <c r="G2062" s="1">
        <f>IF(jablka5[[#This Row],[NIP]]=D2061,jablka5[[#This Row],[sprzedaż]]+G2061,jablka5[[#This Row],[sprzedaż]])</f>
        <v>4770</v>
      </c>
      <c r="H2062" s="1">
        <f>IF(jablka5[[#This Row],[dot sprz]]&lt;15000,0,IF(jablka5[[#This Row],[dot sprz]]&lt;20000,5,10))</f>
        <v>0</v>
      </c>
      <c r="I2062" s="1">
        <f>jablka5[[#This Row],[rabat]]*jablka5[[#This Row],[sprzedaż]]/100</f>
        <v>0</v>
      </c>
    </row>
    <row r="2063" spans="1:9" x14ac:dyDescent="0.25">
      <c r="A2063" s="2">
        <v>44644</v>
      </c>
      <c r="B2063" s="1" t="s">
        <v>8</v>
      </c>
      <c r="C2063" s="1" t="s">
        <v>16</v>
      </c>
      <c r="D2063" s="1" t="s">
        <v>38</v>
      </c>
      <c r="E2063">
        <v>281</v>
      </c>
      <c r="F2063" s="1">
        <f>VLOOKUP(jablka5[[#This Row],[Nazwa]],cennik[],2,0) * jablka5[[#This Row],[sprzedaż]]</f>
        <v>983.5</v>
      </c>
      <c r="G2063" s="1">
        <f>IF(jablka5[[#This Row],[NIP]]=D2062,jablka5[[#This Row],[sprzedaż]]+G2062,jablka5[[#This Row],[sprzedaż]])</f>
        <v>5051</v>
      </c>
      <c r="H2063" s="1">
        <f>IF(jablka5[[#This Row],[dot sprz]]&lt;15000,0,IF(jablka5[[#This Row],[dot sprz]]&lt;20000,5,10))</f>
        <v>0</v>
      </c>
      <c r="I2063" s="1">
        <f>jablka5[[#This Row],[rabat]]*jablka5[[#This Row],[sprzedaż]]/100</f>
        <v>0</v>
      </c>
    </row>
    <row r="2064" spans="1:9" x14ac:dyDescent="0.25">
      <c r="A2064" s="2">
        <v>44657</v>
      </c>
      <c r="B2064" s="1" t="s">
        <v>2</v>
      </c>
      <c r="C2064" s="1" t="s">
        <v>16</v>
      </c>
      <c r="D2064" s="1" t="s">
        <v>38</v>
      </c>
      <c r="E2064">
        <v>217</v>
      </c>
      <c r="F2064" s="1">
        <f>VLOOKUP(jablka5[[#This Row],[Nazwa]],cennik[],2,0) * jablka5[[#This Row],[sprzedaż]]</f>
        <v>694.40000000000009</v>
      </c>
      <c r="G2064" s="1">
        <f>IF(jablka5[[#This Row],[NIP]]=D2063,jablka5[[#This Row],[sprzedaż]]+G2063,jablka5[[#This Row],[sprzedaż]])</f>
        <v>5268</v>
      </c>
      <c r="H2064" s="1">
        <f>IF(jablka5[[#This Row],[dot sprz]]&lt;15000,0,IF(jablka5[[#This Row],[dot sprz]]&lt;20000,5,10))</f>
        <v>0</v>
      </c>
      <c r="I2064" s="1">
        <f>jablka5[[#This Row],[rabat]]*jablka5[[#This Row],[sprzedaż]]/100</f>
        <v>0</v>
      </c>
    </row>
    <row r="2065" spans="1:9" x14ac:dyDescent="0.25">
      <c r="A2065" s="2">
        <v>44664</v>
      </c>
      <c r="B2065" s="1" t="s">
        <v>8</v>
      </c>
      <c r="C2065" s="1" t="s">
        <v>16</v>
      </c>
      <c r="D2065" s="1" t="s">
        <v>38</v>
      </c>
      <c r="E2065">
        <v>579</v>
      </c>
      <c r="F2065" s="1">
        <f>VLOOKUP(jablka5[[#This Row],[Nazwa]],cennik[],2,0) * jablka5[[#This Row],[sprzedaż]]</f>
        <v>2026.5</v>
      </c>
      <c r="G2065" s="1">
        <f>IF(jablka5[[#This Row],[NIP]]=D2064,jablka5[[#This Row],[sprzedaż]]+G2064,jablka5[[#This Row],[sprzedaż]])</f>
        <v>5847</v>
      </c>
      <c r="H2065" s="1">
        <f>IF(jablka5[[#This Row],[dot sprz]]&lt;15000,0,IF(jablka5[[#This Row],[dot sprz]]&lt;20000,5,10))</f>
        <v>0</v>
      </c>
      <c r="I2065" s="1">
        <f>jablka5[[#This Row],[rabat]]*jablka5[[#This Row],[sprzedaż]]/100</f>
        <v>0</v>
      </c>
    </row>
    <row r="2066" spans="1:9" x14ac:dyDescent="0.25">
      <c r="A2066" s="2">
        <v>44666</v>
      </c>
      <c r="B2066" s="1" t="s">
        <v>7</v>
      </c>
      <c r="C2066" s="1" t="s">
        <v>16</v>
      </c>
      <c r="D2066" s="1" t="s">
        <v>38</v>
      </c>
      <c r="E2066">
        <v>682</v>
      </c>
      <c r="F2066" s="1">
        <f>VLOOKUP(jablka5[[#This Row],[Nazwa]],cennik[],2,0) * jablka5[[#This Row],[sprzedaż]]</f>
        <v>2318.7999999999997</v>
      </c>
      <c r="G2066" s="1">
        <f>IF(jablka5[[#This Row],[NIP]]=D2065,jablka5[[#This Row],[sprzedaż]]+G2065,jablka5[[#This Row],[sprzedaż]])</f>
        <v>6529</v>
      </c>
      <c r="H2066" s="1">
        <f>IF(jablka5[[#This Row],[dot sprz]]&lt;15000,0,IF(jablka5[[#This Row],[dot sprz]]&lt;20000,5,10))</f>
        <v>0</v>
      </c>
      <c r="I2066" s="1">
        <f>jablka5[[#This Row],[rabat]]*jablka5[[#This Row],[sprzedaż]]/100</f>
        <v>0</v>
      </c>
    </row>
    <row r="2067" spans="1:9" x14ac:dyDescent="0.25">
      <c r="A2067" s="2">
        <v>44669</v>
      </c>
      <c r="B2067" s="1" t="s">
        <v>2</v>
      </c>
      <c r="C2067" s="1" t="s">
        <v>16</v>
      </c>
      <c r="D2067" s="1" t="s">
        <v>38</v>
      </c>
      <c r="E2067">
        <v>169</v>
      </c>
      <c r="F2067" s="1">
        <f>VLOOKUP(jablka5[[#This Row],[Nazwa]],cennik[],2,0) * jablka5[[#This Row],[sprzedaż]]</f>
        <v>540.80000000000007</v>
      </c>
      <c r="G2067" s="1">
        <f>IF(jablka5[[#This Row],[NIP]]=D2066,jablka5[[#This Row],[sprzedaż]]+G2066,jablka5[[#This Row],[sprzedaż]])</f>
        <v>6698</v>
      </c>
      <c r="H2067" s="1">
        <f>IF(jablka5[[#This Row],[dot sprz]]&lt;15000,0,IF(jablka5[[#This Row],[dot sprz]]&lt;20000,5,10))</f>
        <v>0</v>
      </c>
      <c r="I2067" s="1">
        <f>jablka5[[#This Row],[rabat]]*jablka5[[#This Row],[sprzedaż]]/100</f>
        <v>0</v>
      </c>
    </row>
    <row r="2068" spans="1:9" x14ac:dyDescent="0.25">
      <c r="A2068" s="2">
        <v>44704</v>
      </c>
      <c r="B2068" s="1" t="s">
        <v>4</v>
      </c>
      <c r="C2068" s="1" t="s">
        <v>16</v>
      </c>
      <c r="D2068" s="1" t="s">
        <v>38</v>
      </c>
      <c r="E2068">
        <v>379</v>
      </c>
      <c r="F2068" s="1">
        <f>VLOOKUP(jablka5[[#This Row],[Nazwa]],cennik[],2,0) * jablka5[[#This Row],[sprzedaż]]</f>
        <v>1288.5999999999999</v>
      </c>
      <c r="G2068" s="1">
        <f>IF(jablka5[[#This Row],[NIP]]=D2067,jablka5[[#This Row],[sprzedaż]]+G2067,jablka5[[#This Row],[sprzedaż]])</f>
        <v>7077</v>
      </c>
      <c r="H2068" s="1">
        <f>IF(jablka5[[#This Row],[dot sprz]]&lt;15000,0,IF(jablka5[[#This Row],[dot sprz]]&lt;20000,5,10))</f>
        <v>0</v>
      </c>
      <c r="I2068" s="1">
        <f>jablka5[[#This Row],[rabat]]*jablka5[[#This Row],[sprzedaż]]/100</f>
        <v>0</v>
      </c>
    </row>
    <row r="2069" spans="1:9" x14ac:dyDescent="0.25">
      <c r="A2069" s="2">
        <v>44712</v>
      </c>
      <c r="B2069" s="1" t="s">
        <v>4</v>
      </c>
      <c r="C2069" s="1" t="s">
        <v>16</v>
      </c>
      <c r="D2069" s="1" t="s">
        <v>38</v>
      </c>
      <c r="E2069">
        <v>409</v>
      </c>
      <c r="F2069" s="1">
        <f>VLOOKUP(jablka5[[#This Row],[Nazwa]],cennik[],2,0) * jablka5[[#This Row],[sprzedaż]]</f>
        <v>1390.6</v>
      </c>
      <c r="G2069" s="1">
        <f>IF(jablka5[[#This Row],[NIP]]=D2068,jablka5[[#This Row],[sprzedaż]]+G2068,jablka5[[#This Row],[sprzedaż]])</f>
        <v>7486</v>
      </c>
      <c r="H2069" s="1">
        <f>IF(jablka5[[#This Row],[dot sprz]]&lt;15000,0,IF(jablka5[[#This Row],[dot sprz]]&lt;20000,5,10))</f>
        <v>0</v>
      </c>
      <c r="I2069" s="1">
        <f>jablka5[[#This Row],[rabat]]*jablka5[[#This Row],[sprzedaż]]/100</f>
        <v>0</v>
      </c>
    </row>
    <row r="2070" spans="1:9" x14ac:dyDescent="0.25">
      <c r="A2070" s="2">
        <v>44718</v>
      </c>
      <c r="B2070" s="1" t="s">
        <v>14</v>
      </c>
      <c r="C2070" s="1" t="s">
        <v>67</v>
      </c>
      <c r="D2070" s="1" t="s">
        <v>38</v>
      </c>
      <c r="E2070">
        <v>204</v>
      </c>
      <c r="F2070" s="1">
        <f>VLOOKUP(jablka5[[#This Row],[Nazwa]],cennik[],2,0) * jablka5[[#This Row],[sprzedaż]]</f>
        <v>714</v>
      </c>
      <c r="G2070" s="1">
        <f>IF(jablka5[[#This Row],[NIP]]=D2069,jablka5[[#This Row],[sprzedaż]]+G2069,jablka5[[#This Row],[sprzedaż]])</f>
        <v>7690</v>
      </c>
      <c r="H2070" s="1">
        <f>IF(jablka5[[#This Row],[dot sprz]]&lt;15000,0,IF(jablka5[[#This Row],[dot sprz]]&lt;20000,5,10))</f>
        <v>0</v>
      </c>
      <c r="I2070" s="1">
        <f>jablka5[[#This Row],[rabat]]*jablka5[[#This Row],[sprzedaż]]/100</f>
        <v>0</v>
      </c>
    </row>
    <row r="2071" spans="1:9" x14ac:dyDescent="0.25">
      <c r="A2071" s="2">
        <v>44727</v>
      </c>
      <c r="B2071" s="1" t="s">
        <v>13</v>
      </c>
      <c r="C2071" s="1" t="s">
        <v>68</v>
      </c>
      <c r="D2071" s="1" t="s">
        <v>38</v>
      </c>
      <c r="E2071">
        <v>35</v>
      </c>
      <c r="F2071" s="1">
        <f>VLOOKUP(jablka5[[#This Row],[Nazwa]],cennik[],2,0) * jablka5[[#This Row],[sprzedaż]]</f>
        <v>112</v>
      </c>
      <c r="G2071" s="1">
        <f>IF(jablka5[[#This Row],[NIP]]=D2070,jablka5[[#This Row],[sprzedaż]]+G2070,jablka5[[#This Row],[sprzedaż]])</f>
        <v>7725</v>
      </c>
      <c r="H2071" s="1">
        <f>IF(jablka5[[#This Row],[dot sprz]]&lt;15000,0,IF(jablka5[[#This Row],[dot sprz]]&lt;20000,5,10))</f>
        <v>0</v>
      </c>
      <c r="I2071" s="1">
        <f>jablka5[[#This Row],[rabat]]*jablka5[[#This Row],[sprzedaż]]/100</f>
        <v>0</v>
      </c>
    </row>
    <row r="2072" spans="1:9" x14ac:dyDescent="0.25">
      <c r="A2072" s="2">
        <v>44739</v>
      </c>
      <c r="B2072" s="1" t="s">
        <v>12</v>
      </c>
      <c r="C2072" s="1" t="s">
        <v>68</v>
      </c>
      <c r="D2072" s="1" t="s">
        <v>38</v>
      </c>
      <c r="E2072">
        <v>20</v>
      </c>
      <c r="F2072" s="1">
        <f>VLOOKUP(jablka5[[#This Row],[Nazwa]],cennik[],2,0) * jablka5[[#This Row],[sprzedaż]]</f>
        <v>54</v>
      </c>
      <c r="G2072" s="1">
        <f>IF(jablka5[[#This Row],[NIP]]=D2071,jablka5[[#This Row],[sprzedaż]]+G2071,jablka5[[#This Row],[sprzedaż]])</f>
        <v>7745</v>
      </c>
      <c r="H2072" s="1">
        <f>IF(jablka5[[#This Row],[dot sprz]]&lt;15000,0,IF(jablka5[[#This Row],[dot sprz]]&lt;20000,5,10))</f>
        <v>0</v>
      </c>
      <c r="I2072" s="1">
        <f>jablka5[[#This Row],[rabat]]*jablka5[[#This Row],[sprzedaż]]/100</f>
        <v>0</v>
      </c>
    </row>
    <row r="2073" spans="1:9" x14ac:dyDescent="0.25">
      <c r="A2073" s="2">
        <v>44741</v>
      </c>
      <c r="B2073" s="1" t="s">
        <v>12</v>
      </c>
      <c r="C2073" s="1" t="s">
        <v>68</v>
      </c>
      <c r="D2073" s="1" t="s">
        <v>38</v>
      </c>
      <c r="E2073">
        <v>330</v>
      </c>
      <c r="F2073" s="1">
        <f>VLOOKUP(jablka5[[#This Row],[Nazwa]],cennik[],2,0) * jablka5[[#This Row],[sprzedaż]]</f>
        <v>891.00000000000011</v>
      </c>
      <c r="G2073" s="1">
        <f>IF(jablka5[[#This Row],[NIP]]=D2072,jablka5[[#This Row],[sprzedaż]]+G2072,jablka5[[#This Row],[sprzedaż]])</f>
        <v>8075</v>
      </c>
      <c r="H2073" s="1">
        <f>IF(jablka5[[#This Row],[dot sprz]]&lt;15000,0,IF(jablka5[[#This Row],[dot sprz]]&lt;20000,5,10))</f>
        <v>0</v>
      </c>
      <c r="I2073" s="1">
        <f>jablka5[[#This Row],[rabat]]*jablka5[[#This Row],[sprzedaż]]/100</f>
        <v>0</v>
      </c>
    </row>
    <row r="2074" spans="1:9" x14ac:dyDescent="0.25">
      <c r="A2074" s="2">
        <v>44747</v>
      </c>
      <c r="B2074" s="1" t="s">
        <v>12</v>
      </c>
      <c r="C2074" s="1" t="s">
        <v>68</v>
      </c>
      <c r="D2074" s="1" t="s">
        <v>38</v>
      </c>
      <c r="E2074">
        <v>151</v>
      </c>
      <c r="F2074" s="1">
        <f>VLOOKUP(jablka5[[#This Row],[Nazwa]],cennik[],2,0) * jablka5[[#This Row],[sprzedaż]]</f>
        <v>407.70000000000005</v>
      </c>
      <c r="G2074" s="1">
        <f>IF(jablka5[[#This Row],[NIP]]=D2073,jablka5[[#This Row],[sprzedaż]]+G2073,jablka5[[#This Row],[sprzedaż]])</f>
        <v>8226</v>
      </c>
      <c r="H2074" s="1">
        <f>IF(jablka5[[#This Row],[dot sprz]]&lt;15000,0,IF(jablka5[[#This Row],[dot sprz]]&lt;20000,5,10))</f>
        <v>0</v>
      </c>
      <c r="I2074" s="1">
        <f>jablka5[[#This Row],[rabat]]*jablka5[[#This Row],[sprzedaż]]/100</f>
        <v>0</v>
      </c>
    </row>
    <row r="2075" spans="1:9" x14ac:dyDescent="0.25">
      <c r="A2075" s="2">
        <v>44765</v>
      </c>
      <c r="B2075" s="1" t="s">
        <v>12</v>
      </c>
      <c r="C2075" s="1" t="s">
        <v>68</v>
      </c>
      <c r="D2075" s="1" t="s">
        <v>38</v>
      </c>
      <c r="E2075">
        <v>500</v>
      </c>
      <c r="F2075" s="1">
        <f>VLOOKUP(jablka5[[#This Row],[Nazwa]],cennik[],2,0) * jablka5[[#This Row],[sprzedaż]]</f>
        <v>1350</v>
      </c>
      <c r="G2075" s="1">
        <f>IF(jablka5[[#This Row],[NIP]]=D2074,jablka5[[#This Row],[sprzedaż]]+G2074,jablka5[[#This Row],[sprzedaż]])</f>
        <v>8726</v>
      </c>
      <c r="H2075" s="1">
        <f>IF(jablka5[[#This Row],[dot sprz]]&lt;15000,0,IF(jablka5[[#This Row],[dot sprz]]&lt;20000,5,10))</f>
        <v>0</v>
      </c>
      <c r="I2075" s="1">
        <f>jablka5[[#This Row],[rabat]]*jablka5[[#This Row],[sprzedaż]]/100</f>
        <v>0</v>
      </c>
    </row>
    <row r="2076" spans="1:9" x14ac:dyDescent="0.25">
      <c r="A2076" s="2">
        <v>44774</v>
      </c>
      <c r="B2076" s="1" t="s">
        <v>12</v>
      </c>
      <c r="C2076" s="1" t="s">
        <v>68</v>
      </c>
      <c r="D2076" s="1" t="s">
        <v>38</v>
      </c>
      <c r="E2076">
        <v>450</v>
      </c>
      <c r="F2076" s="1">
        <f>VLOOKUP(jablka5[[#This Row],[Nazwa]],cennik[],2,0) * jablka5[[#This Row],[sprzedaż]]</f>
        <v>1215</v>
      </c>
      <c r="G2076" s="1">
        <f>IF(jablka5[[#This Row],[NIP]]=D2075,jablka5[[#This Row],[sprzedaż]]+G2075,jablka5[[#This Row],[sprzedaż]])</f>
        <v>9176</v>
      </c>
      <c r="H2076" s="1">
        <f>IF(jablka5[[#This Row],[dot sprz]]&lt;15000,0,IF(jablka5[[#This Row],[dot sprz]]&lt;20000,5,10))</f>
        <v>0</v>
      </c>
      <c r="I2076" s="1">
        <f>jablka5[[#This Row],[rabat]]*jablka5[[#This Row],[sprzedaż]]/100</f>
        <v>0</v>
      </c>
    </row>
    <row r="2077" spans="1:9" x14ac:dyDescent="0.25">
      <c r="A2077" s="2">
        <v>44781</v>
      </c>
      <c r="B2077" s="1" t="s">
        <v>14</v>
      </c>
      <c r="C2077" s="1" t="s">
        <v>67</v>
      </c>
      <c r="D2077" s="1" t="s">
        <v>38</v>
      </c>
      <c r="E2077">
        <v>459</v>
      </c>
      <c r="F2077" s="1">
        <f>VLOOKUP(jablka5[[#This Row],[Nazwa]],cennik[],2,0) * jablka5[[#This Row],[sprzedaż]]</f>
        <v>1606.5</v>
      </c>
      <c r="G2077" s="1">
        <f>IF(jablka5[[#This Row],[NIP]]=D2076,jablka5[[#This Row],[sprzedaż]]+G2076,jablka5[[#This Row],[sprzedaż]])</f>
        <v>9635</v>
      </c>
      <c r="H2077" s="1">
        <f>IF(jablka5[[#This Row],[dot sprz]]&lt;15000,0,IF(jablka5[[#This Row],[dot sprz]]&lt;20000,5,10))</f>
        <v>0</v>
      </c>
      <c r="I2077" s="1">
        <f>jablka5[[#This Row],[rabat]]*jablka5[[#This Row],[sprzedaż]]/100</f>
        <v>0</v>
      </c>
    </row>
    <row r="2078" spans="1:9" x14ac:dyDescent="0.25">
      <c r="A2078" s="2">
        <v>44788</v>
      </c>
      <c r="B2078" s="1" t="s">
        <v>12</v>
      </c>
      <c r="C2078" s="1" t="s">
        <v>68</v>
      </c>
      <c r="D2078" s="1" t="s">
        <v>38</v>
      </c>
      <c r="E2078">
        <v>285</v>
      </c>
      <c r="F2078" s="1">
        <f>VLOOKUP(jablka5[[#This Row],[Nazwa]],cennik[],2,0) * jablka5[[#This Row],[sprzedaż]]</f>
        <v>769.5</v>
      </c>
      <c r="G2078" s="1">
        <f>IF(jablka5[[#This Row],[NIP]]=D2077,jablka5[[#This Row],[sprzedaż]]+G2077,jablka5[[#This Row],[sprzedaż]])</f>
        <v>9920</v>
      </c>
      <c r="H2078" s="1">
        <f>IF(jablka5[[#This Row],[dot sprz]]&lt;15000,0,IF(jablka5[[#This Row],[dot sprz]]&lt;20000,5,10))</f>
        <v>0</v>
      </c>
      <c r="I2078" s="1">
        <f>jablka5[[#This Row],[rabat]]*jablka5[[#This Row],[sprzedaż]]/100</f>
        <v>0</v>
      </c>
    </row>
    <row r="2079" spans="1:9" x14ac:dyDescent="0.25">
      <c r="A2079" s="2">
        <v>44792</v>
      </c>
      <c r="B2079" s="1" t="s">
        <v>14</v>
      </c>
      <c r="C2079" s="1" t="s">
        <v>67</v>
      </c>
      <c r="D2079" s="1" t="s">
        <v>38</v>
      </c>
      <c r="E2079">
        <v>66</v>
      </c>
      <c r="F2079" s="1">
        <f>VLOOKUP(jablka5[[#This Row],[Nazwa]],cennik[],2,0) * jablka5[[#This Row],[sprzedaż]]</f>
        <v>231</v>
      </c>
      <c r="G2079" s="1">
        <f>IF(jablka5[[#This Row],[NIP]]=D2078,jablka5[[#This Row],[sprzedaż]]+G2078,jablka5[[#This Row],[sprzedaż]])</f>
        <v>9986</v>
      </c>
      <c r="H2079" s="1">
        <f>IF(jablka5[[#This Row],[dot sprz]]&lt;15000,0,IF(jablka5[[#This Row],[dot sprz]]&lt;20000,5,10))</f>
        <v>0</v>
      </c>
      <c r="I2079" s="1">
        <f>jablka5[[#This Row],[rabat]]*jablka5[[#This Row],[sprzedaż]]/100</f>
        <v>0</v>
      </c>
    </row>
    <row r="2080" spans="1:9" x14ac:dyDescent="0.25">
      <c r="A2080" s="2">
        <v>44798</v>
      </c>
      <c r="B2080" s="1" t="s">
        <v>14</v>
      </c>
      <c r="C2080" s="1" t="s">
        <v>67</v>
      </c>
      <c r="D2080" s="1" t="s">
        <v>38</v>
      </c>
      <c r="E2080">
        <v>435</v>
      </c>
      <c r="F2080" s="1">
        <f>VLOOKUP(jablka5[[#This Row],[Nazwa]],cennik[],2,0) * jablka5[[#This Row],[sprzedaż]]</f>
        <v>1522.5</v>
      </c>
      <c r="G2080" s="1">
        <f>IF(jablka5[[#This Row],[NIP]]=D2079,jablka5[[#This Row],[sprzedaż]]+G2079,jablka5[[#This Row],[sprzedaż]])</f>
        <v>10421</v>
      </c>
      <c r="H2080" s="1">
        <f>IF(jablka5[[#This Row],[dot sprz]]&lt;15000,0,IF(jablka5[[#This Row],[dot sprz]]&lt;20000,5,10))</f>
        <v>0</v>
      </c>
      <c r="I2080" s="1">
        <f>jablka5[[#This Row],[rabat]]*jablka5[[#This Row],[sprzedaż]]/100</f>
        <v>0</v>
      </c>
    </row>
    <row r="2081" spans="1:9" x14ac:dyDescent="0.25">
      <c r="A2081" s="2">
        <v>44847</v>
      </c>
      <c r="B2081" s="1" t="s">
        <v>9</v>
      </c>
      <c r="C2081" s="1" t="s">
        <v>67</v>
      </c>
      <c r="D2081" s="1" t="s">
        <v>38</v>
      </c>
      <c r="E2081">
        <v>234</v>
      </c>
      <c r="F2081" s="1">
        <f>VLOOKUP(jablka5[[#This Row],[Nazwa]],cennik[],2,0) * jablka5[[#This Row],[sprzedaż]]</f>
        <v>585</v>
      </c>
      <c r="G2081" s="1">
        <f>IF(jablka5[[#This Row],[NIP]]=D2080,jablka5[[#This Row],[sprzedaż]]+G2080,jablka5[[#This Row],[sprzedaż]])</f>
        <v>10655</v>
      </c>
      <c r="H2081" s="1">
        <f>IF(jablka5[[#This Row],[dot sprz]]&lt;15000,0,IF(jablka5[[#This Row],[dot sprz]]&lt;20000,5,10))</f>
        <v>0</v>
      </c>
      <c r="I2081" s="1">
        <f>jablka5[[#This Row],[rabat]]*jablka5[[#This Row],[sprzedaż]]/100</f>
        <v>0</v>
      </c>
    </row>
    <row r="2082" spans="1:9" x14ac:dyDescent="0.25">
      <c r="A2082" s="2">
        <v>44858</v>
      </c>
      <c r="B2082" s="1" t="s">
        <v>3</v>
      </c>
      <c r="C2082" s="1" t="s">
        <v>67</v>
      </c>
      <c r="D2082" s="1" t="s">
        <v>38</v>
      </c>
      <c r="E2082">
        <v>336</v>
      </c>
      <c r="F2082" s="1">
        <f>VLOOKUP(jablka5[[#This Row],[Nazwa]],cennik[],2,0) * jablka5[[#This Row],[sprzedaż]]</f>
        <v>1075.2</v>
      </c>
      <c r="G2082" s="1">
        <f>IF(jablka5[[#This Row],[NIP]]=D2081,jablka5[[#This Row],[sprzedaż]]+G2081,jablka5[[#This Row],[sprzedaż]])</f>
        <v>10991</v>
      </c>
      <c r="H2082" s="1">
        <f>IF(jablka5[[#This Row],[dot sprz]]&lt;15000,0,IF(jablka5[[#This Row],[dot sprz]]&lt;20000,5,10))</f>
        <v>0</v>
      </c>
      <c r="I2082" s="1">
        <f>jablka5[[#This Row],[rabat]]*jablka5[[#This Row],[sprzedaż]]/100</f>
        <v>0</v>
      </c>
    </row>
    <row r="2083" spans="1:9" x14ac:dyDescent="0.25">
      <c r="A2083" s="2">
        <v>44886</v>
      </c>
      <c r="B2083" s="1" t="s">
        <v>14</v>
      </c>
      <c r="C2083" s="1" t="s">
        <v>67</v>
      </c>
      <c r="D2083" s="1" t="s">
        <v>38</v>
      </c>
      <c r="E2083">
        <v>387</v>
      </c>
      <c r="F2083" s="1">
        <f>VLOOKUP(jablka5[[#This Row],[Nazwa]],cennik[],2,0) * jablka5[[#This Row],[sprzedaż]]</f>
        <v>1354.5</v>
      </c>
      <c r="G2083" s="1">
        <f>IF(jablka5[[#This Row],[NIP]]=D2082,jablka5[[#This Row],[sprzedaż]]+G2082,jablka5[[#This Row],[sprzedaż]])</f>
        <v>11378</v>
      </c>
      <c r="H2083" s="1">
        <f>IF(jablka5[[#This Row],[dot sprz]]&lt;15000,0,IF(jablka5[[#This Row],[dot sprz]]&lt;20000,5,10))</f>
        <v>0</v>
      </c>
      <c r="I2083" s="1">
        <f>jablka5[[#This Row],[rabat]]*jablka5[[#This Row],[sprzedaż]]/100</f>
        <v>0</v>
      </c>
    </row>
    <row r="2084" spans="1:9" x14ac:dyDescent="0.25">
      <c r="A2084" s="2">
        <v>44887</v>
      </c>
      <c r="B2084" s="1" t="s">
        <v>14</v>
      </c>
      <c r="C2084" s="1" t="s">
        <v>67</v>
      </c>
      <c r="D2084" s="1" t="s">
        <v>38</v>
      </c>
      <c r="E2084">
        <v>453</v>
      </c>
      <c r="F2084" s="1">
        <f>VLOOKUP(jablka5[[#This Row],[Nazwa]],cennik[],2,0) * jablka5[[#This Row],[sprzedaż]]</f>
        <v>1585.5</v>
      </c>
      <c r="G2084" s="1">
        <f>IF(jablka5[[#This Row],[NIP]]=D2083,jablka5[[#This Row],[sprzedaż]]+G2083,jablka5[[#This Row],[sprzedaż]])</f>
        <v>11831</v>
      </c>
      <c r="H2084" s="1">
        <f>IF(jablka5[[#This Row],[dot sprz]]&lt;15000,0,IF(jablka5[[#This Row],[dot sprz]]&lt;20000,5,10))</f>
        <v>0</v>
      </c>
      <c r="I2084" s="1">
        <f>jablka5[[#This Row],[rabat]]*jablka5[[#This Row],[sprzedaż]]/100</f>
        <v>0</v>
      </c>
    </row>
    <row r="2085" spans="1:9" x14ac:dyDescent="0.25">
      <c r="A2085" s="2">
        <v>44891</v>
      </c>
      <c r="B2085" s="1" t="s">
        <v>11</v>
      </c>
      <c r="C2085" s="1" t="s">
        <v>67</v>
      </c>
      <c r="D2085" s="1" t="s">
        <v>38</v>
      </c>
      <c r="E2085">
        <v>173</v>
      </c>
      <c r="F2085" s="1">
        <f>VLOOKUP(jablka5[[#This Row],[Nazwa]],cennik[],2,0) * jablka5[[#This Row],[sprzedaż]]</f>
        <v>432.5</v>
      </c>
      <c r="G2085" s="1">
        <f>IF(jablka5[[#This Row],[NIP]]=D2084,jablka5[[#This Row],[sprzedaż]]+G2084,jablka5[[#This Row],[sprzedaż]])</f>
        <v>12004</v>
      </c>
      <c r="H2085" s="1">
        <f>IF(jablka5[[#This Row],[dot sprz]]&lt;15000,0,IF(jablka5[[#This Row],[dot sprz]]&lt;20000,5,10))</f>
        <v>0</v>
      </c>
      <c r="I2085" s="1">
        <f>jablka5[[#This Row],[rabat]]*jablka5[[#This Row],[sprzedaż]]/100</f>
        <v>0</v>
      </c>
    </row>
    <row r="2086" spans="1:9" x14ac:dyDescent="0.25">
      <c r="A2086" s="2">
        <v>44896</v>
      </c>
      <c r="B2086" s="1" t="s">
        <v>5</v>
      </c>
      <c r="C2086" s="1" t="s">
        <v>16</v>
      </c>
      <c r="D2086" s="1" t="s">
        <v>38</v>
      </c>
      <c r="E2086">
        <v>377</v>
      </c>
      <c r="F2086" s="1">
        <f>VLOOKUP(jablka5[[#This Row],[Nazwa]],cennik[],2,0) * jablka5[[#This Row],[sprzedaż]]</f>
        <v>1281.8</v>
      </c>
      <c r="G2086" s="1">
        <f>IF(jablka5[[#This Row],[NIP]]=D2085,jablka5[[#This Row],[sprzedaż]]+G2085,jablka5[[#This Row],[sprzedaż]])</f>
        <v>12381</v>
      </c>
      <c r="H2086" s="1">
        <f>IF(jablka5[[#This Row],[dot sprz]]&lt;15000,0,IF(jablka5[[#This Row],[dot sprz]]&lt;20000,5,10))</f>
        <v>0</v>
      </c>
      <c r="I2086" s="1">
        <f>jablka5[[#This Row],[rabat]]*jablka5[[#This Row],[sprzedaż]]/100</f>
        <v>0</v>
      </c>
    </row>
    <row r="2087" spans="1:9" x14ac:dyDescent="0.25">
      <c r="A2087" s="2">
        <v>44907</v>
      </c>
      <c r="B2087" s="1" t="s">
        <v>0</v>
      </c>
      <c r="C2087" s="1" t="s">
        <v>16</v>
      </c>
      <c r="D2087" s="1" t="s">
        <v>38</v>
      </c>
      <c r="E2087">
        <v>161</v>
      </c>
      <c r="F2087" s="1">
        <f>VLOOKUP(jablka5[[#This Row],[Nazwa]],cennik[],2,0) * jablka5[[#This Row],[sprzedaż]]</f>
        <v>466.9</v>
      </c>
      <c r="G2087" s="1">
        <f>IF(jablka5[[#This Row],[NIP]]=D2086,jablka5[[#This Row],[sprzedaż]]+G2086,jablka5[[#This Row],[sprzedaż]])</f>
        <v>12542</v>
      </c>
      <c r="H2087" s="1">
        <f>IF(jablka5[[#This Row],[dot sprz]]&lt;15000,0,IF(jablka5[[#This Row],[dot sprz]]&lt;20000,5,10))</f>
        <v>0</v>
      </c>
      <c r="I2087" s="1">
        <f>jablka5[[#This Row],[rabat]]*jablka5[[#This Row],[sprzedaż]]/100</f>
        <v>0</v>
      </c>
    </row>
    <row r="2088" spans="1:9" x14ac:dyDescent="0.25">
      <c r="A2088" s="2">
        <v>44914</v>
      </c>
      <c r="B2088" s="1" t="s">
        <v>8</v>
      </c>
      <c r="C2088" s="1" t="s">
        <v>16</v>
      </c>
      <c r="D2088" s="1" t="s">
        <v>38</v>
      </c>
      <c r="E2088">
        <v>512</v>
      </c>
      <c r="F2088" s="1">
        <f>VLOOKUP(jablka5[[#This Row],[Nazwa]],cennik[],2,0) * jablka5[[#This Row],[sprzedaż]]</f>
        <v>1792</v>
      </c>
      <c r="G2088" s="1">
        <f>IF(jablka5[[#This Row],[NIP]]=D2087,jablka5[[#This Row],[sprzedaż]]+G2087,jablka5[[#This Row],[sprzedaż]])</f>
        <v>13054</v>
      </c>
      <c r="H2088" s="1">
        <f>IF(jablka5[[#This Row],[dot sprz]]&lt;15000,0,IF(jablka5[[#This Row],[dot sprz]]&lt;20000,5,10))</f>
        <v>0</v>
      </c>
      <c r="I2088" s="1">
        <f>jablka5[[#This Row],[rabat]]*jablka5[[#This Row],[sprzedaż]]/100</f>
        <v>0</v>
      </c>
    </row>
    <row r="2089" spans="1:9" x14ac:dyDescent="0.25">
      <c r="A2089" s="2">
        <v>44914</v>
      </c>
      <c r="B2089" s="1" t="s">
        <v>0</v>
      </c>
      <c r="C2089" s="1" t="s">
        <v>16</v>
      </c>
      <c r="D2089" s="1" t="s">
        <v>38</v>
      </c>
      <c r="E2089">
        <v>137</v>
      </c>
      <c r="F2089" s="1">
        <f>VLOOKUP(jablka5[[#This Row],[Nazwa]],cennik[],2,0) * jablka5[[#This Row],[sprzedaż]]</f>
        <v>397.3</v>
      </c>
      <c r="G2089" s="1">
        <f>IF(jablka5[[#This Row],[NIP]]=D2088,jablka5[[#This Row],[sprzedaż]]+G2088,jablka5[[#This Row],[sprzedaż]])</f>
        <v>13191</v>
      </c>
      <c r="H2089" s="1">
        <f>IF(jablka5[[#This Row],[dot sprz]]&lt;15000,0,IF(jablka5[[#This Row],[dot sprz]]&lt;20000,5,10))</f>
        <v>0</v>
      </c>
      <c r="I2089" s="1">
        <f>jablka5[[#This Row],[rabat]]*jablka5[[#This Row],[sprzedaż]]/100</f>
        <v>0</v>
      </c>
    </row>
    <row r="2090" spans="1:9" x14ac:dyDescent="0.25">
      <c r="A2090" s="2">
        <v>44914</v>
      </c>
      <c r="B2090" s="1" t="s">
        <v>10</v>
      </c>
      <c r="C2090" s="1" t="s">
        <v>16</v>
      </c>
      <c r="D2090" s="1" t="s">
        <v>38</v>
      </c>
      <c r="E2090">
        <v>204</v>
      </c>
      <c r="F2090" s="1">
        <f>VLOOKUP(jablka5[[#This Row],[Nazwa]],cennik[],2,0) * jablka5[[#This Row],[sprzedaż]]</f>
        <v>693.6</v>
      </c>
      <c r="G2090" s="1">
        <f>IF(jablka5[[#This Row],[NIP]]=D2089,jablka5[[#This Row],[sprzedaż]]+G2089,jablka5[[#This Row],[sprzedaż]])</f>
        <v>13395</v>
      </c>
      <c r="H2090" s="1">
        <f>IF(jablka5[[#This Row],[dot sprz]]&lt;15000,0,IF(jablka5[[#This Row],[dot sprz]]&lt;20000,5,10))</f>
        <v>0</v>
      </c>
      <c r="I2090" s="1">
        <f>jablka5[[#This Row],[rabat]]*jablka5[[#This Row],[sprzedaż]]/100</f>
        <v>0</v>
      </c>
    </row>
    <row r="2091" spans="1:9" x14ac:dyDescent="0.25">
      <c r="A2091" s="2">
        <v>44914</v>
      </c>
      <c r="B2091" s="1" t="s">
        <v>7</v>
      </c>
      <c r="C2091" s="1" t="s">
        <v>16</v>
      </c>
      <c r="D2091" s="1" t="s">
        <v>38</v>
      </c>
      <c r="E2091">
        <v>430</v>
      </c>
      <c r="F2091" s="1">
        <f>VLOOKUP(jablka5[[#This Row],[Nazwa]],cennik[],2,0) * jablka5[[#This Row],[sprzedaż]]</f>
        <v>1462</v>
      </c>
      <c r="G2091" s="1">
        <f>IF(jablka5[[#This Row],[NIP]]=D2090,jablka5[[#This Row],[sprzedaż]]+G2090,jablka5[[#This Row],[sprzedaż]])</f>
        <v>13825</v>
      </c>
      <c r="H2091" s="1">
        <f>IF(jablka5[[#This Row],[dot sprz]]&lt;15000,0,IF(jablka5[[#This Row],[dot sprz]]&lt;20000,5,10))</f>
        <v>0</v>
      </c>
      <c r="I2091" s="1">
        <f>jablka5[[#This Row],[rabat]]*jablka5[[#This Row],[sprzedaż]]/100</f>
        <v>0</v>
      </c>
    </row>
    <row r="2092" spans="1:9" x14ac:dyDescent="0.25">
      <c r="A2092" s="2">
        <v>44925</v>
      </c>
      <c r="B2092" s="1" t="s">
        <v>5</v>
      </c>
      <c r="C2092" s="1" t="s">
        <v>16</v>
      </c>
      <c r="D2092" s="1" t="s">
        <v>38</v>
      </c>
      <c r="E2092">
        <v>389</v>
      </c>
      <c r="F2092" s="1">
        <f>VLOOKUP(jablka5[[#This Row],[Nazwa]],cennik[],2,0) * jablka5[[#This Row],[sprzedaż]]</f>
        <v>1322.6</v>
      </c>
      <c r="G2092" s="1">
        <f>IF(jablka5[[#This Row],[NIP]]=D2091,jablka5[[#This Row],[sprzedaż]]+G2091,jablka5[[#This Row],[sprzedaż]])</f>
        <v>14214</v>
      </c>
      <c r="H2092" s="1">
        <f>IF(jablka5[[#This Row],[dot sprz]]&lt;15000,0,IF(jablka5[[#This Row],[dot sprz]]&lt;20000,5,10))</f>
        <v>0</v>
      </c>
      <c r="I2092" s="1">
        <f>jablka5[[#This Row],[rabat]]*jablka5[[#This Row],[sprzedaż]]/100</f>
        <v>0</v>
      </c>
    </row>
    <row r="2093" spans="1:9" x14ac:dyDescent="0.25">
      <c r="A2093" s="2">
        <v>44594</v>
      </c>
      <c r="B2093" s="1" t="s">
        <v>4</v>
      </c>
      <c r="C2093" s="1" t="s">
        <v>16</v>
      </c>
      <c r="D2093" s="1" t="s">
        <v>65</v>
      </c>
      <c r="E2093">
        <v>481</v>
      </c>
      <c r="F2093" s="1">
        <f>VLOOKUP(jablka5[[#This Row],[Nazwa]],cennik[],2,0) * jablka5[[#This Row],[sprzedaż]]</f>
        <v>1635.3999999999999</v>
      </c>
      <c r="G2093" s="1">
        <f>IF(jablka5[[#This Row],[NIP]]=D2092,jablka5[[#This Row],[sprzedaż]]+G2092,jablka5[[#This Row],[sprzedaż]])</f>
        <v>481</v>
      </c>
      <c r="H2093" s="1">
        <f>IF(jablka5[[#This Row],[dot sprz]]&lt;15000,0,IF(jablka5[[#This Row],[dot sprz]]&lt;20000,5,10))</f>
        <v>0</v>
      </c>
      <c r="I2093" s="1">
        <f>jablka5[[#This Row],[rabat]]*jablka5[[#This Row],[sprzedaż]]/100</f>
        <v>0</v>
      </c>
    </row>
    <row r="2094" spans="1:9" x14ac:dyDescent="0.25">
      <c r="A2094" s="2">
        <v>44606</v>
      </c>
      <c r="B2094" s="1" t="s">
        <v>0</v>
      </c>
      <c r="C2094" s="1" t="s">
        <v>16</v>
      </c>
      <c r="D2094" s="1" t="s">
        <v>65</v>
      </c>
      <c r="E2094">
        <v>128</v>
      </c>
      <c r="F2094" s="1">
        <f>VLOOKUP(jablka5[[#This Row],[Nazwa]],cennik[],2,0) * jablka5[[#This Row],[sprzedaż]]</f>
        <v>371.2</v>
      </c>
      <c r="G2094" s="1">
        <f>IF(jablka5[[#This Row],[NIP]]=D2093,jablka5[[#This Row],[sprzedaż]]+G2093,jablka5[[#This Row],[sprzedaż]])</f>
        <v>609</v>
      </c>
      <c r="H2094" s="1">
        <f>IF(jablka5[[#This Row],[dot sprz]]&lt;15000,0,IF(jablka5[[#This Row],[dot sprz]]&lt;20000,5,10))</f>
        <v>0</v>
      </c>
      <c r="I2094" s="1">
        <f>jablka5[[#This Row],[rabat]]*jablka5[[#This Row],[sprzedaż]]/100</f>
        <v>0</v>
      </c>
    </row>
    <row r="2095" spans="1:9" x14ac:dyDescent="0.25">
      <c r="A2095" s="2">
        <v>44617</v>
      </c>
      <c r="B2095" s="1" t="s">
        <v>7</v>
      </c>
      <c r="C2095" s="1" t="s">
        <v>16</v>
      </c>
      <c r="D2095" s="1" t="s">
        <v>65</v>
      </c>
      <c r="E2095">
        <v>685</v>
      </c>
      <c r="F2095" s="1">
        <f>VLOOKUP(jablka5[[#This Row],[Nazwa]],cennik[],2,0) * jablka5[[#This Row],[sprzedaż]]</f>
        <v>2329</v>
      </c>
      <c r="G2095" s="1">
        <f>IF(jablka5[[#This Row],[NIP]]=D2094,jablka5[[#This Row],[sprzedaż]]+G2094,jablka5[[#This Row],[sprzedaż]])</f>
        <v>1294</v>
      </c>
      <c r="H2095" s="1">
        <f>IF(jablka5[[#This Row],[dot sprz]]&lt;15000,0,IF(jablka5[[#This Row],[dot sprz]]&lt;20000,5,10))</f>
        <v>0</v>
      </c>
      <c r="I2095" s="1">
        <f>jablka5[[#This Row],[rabat]]*jablka5[[#This Row],[sprzedaż]]/100</f>
        <v>0</v>
      </c>
    </row>
    <row r="2096" spans="1:9" x14ac:dyDescent="0.25">
      <c r="A2096" s="2">
        <v>44632</v>
      </c>
      <c r="B2096" s="1" t="s">
        <v>15</v>
      </c>
      <c r="C2096" s="1" t="s">
        <v>16</v>
      </c>
      <c r="D2096" s="1" t="s">
        <v>65</v>
      </c>
      <c r="E2096">
        <v>437</v>
      </c>
      <c r="F2096" s="1">
        <f>VLOOKUP(jablka5[[#This Row],[Nazwa]],cennik[],2,0) * jablka5[[#This Row],[sprzedaż]]</f>
        <v>1048.8</v>
      </c>
      <c r="G2096" s="1">
        <f>IF(jablka5[[#This Row],[NIP]]=D2095,jablka5[[#This Row],[sprzedaż]]+G2095,jablka5[[#This Row],[sprzedaż]])</f>
        <v>1731</v>
      </c>
      <c r="H2096" s="1">
        <f>IF(jablka5[[#This Row],[dot sprz]]&lt;15000,0,IF(jablka5[[#This Row],[dot sprz]]&lt;20000,5,10))</f>
        <v>0</v>
      </c>
      <c r="I2096" s="1">
        <f>jablka5[[#This Row],[rabat]]*jablka5[[#This Row],[sprzedaż]]/100</f>
        <v>0</v>
      </c>
    </row>
    <row r="2097" spans="1:9" x14ac:dyDescent="0.25">
      <c r="A2097" s="2">
        <v>44634</v>
      </c>
      <c r="B2097" s="1" t="s">
        <v>2</v>
      </c>
      <c r="C2097" s="1" t="s">
        <v>16</v>
      </c>
      <c r="D2097" s="1" t="s">
        <v>65</v>
      </c>
      <c r="E2097">
        <v>223</v>
      </c>
      <c r="F2097" s="1">
        <f>VLOOKUP(jablka5[[#This Row],[Nazwa]],cennik[],2,0) * jablka5[[#This Row],[sprzedaż]]</f>
        <v>713.6</v>
      </c>
      <c r="G2097" s="1">
        <f>IF(jablka5[[#This Row],[NIP]]=D2096,jablka5[[#This Row],[sprzedaż]]+G2096,jablka5[[#This Row],[sprzedaż]])</f>
        <v>1954</v>
      </c>
      <c r="H2097" s="1">
        <f>IF(jablka5[[#This Row],[dot sprz]]&lt;15000,0,IF(jablka5[[#This Row],[dot sprz]]&lt;20000,5,10))</f>
        <v>0</v>
      </c>
      <c r="I2097" s="1">
        <f>jablka5[[#This Row],[rabat]]*jablka5[[#This Row],[sprzedaż]]/100</f>
        <v>0</v>
      </c>
    </row>
    <row r="2098" spans="1:9" x14ac:dyDescent="0.25">
      <c r="A2098" s="2">
        <v>44642</v>
      </c>
      <c r="B2098" s="1" t="s">
        <v>8</v>
      </c>
      <c r="C2098" s="1" t="s">
        <v>16</v>
      </c>
      <c r="D2098" s="1" t="s">
        <v>65</v>
      </c>
      <c r="E2098">
        <v>465</v>
      </c>
      <c r="F2098" s="1">
        <f>VLOOKUP(jablka5[[#This Row],[Nazwa]],cennik[],2,0) * jablka5[[#This Row],[sprzedaż]]</f>
        <v>1627.5</v>
      </c>
      <c r="G2098" s="1">
        <f>IF(jablka5[[#This Row],[NIP]]=D2097,jablka5[[#This Row],[sprzedaż]]+G2097,jablka5[[#This Row],[sprzedaż]])</f>
        <v>2419</v>
      </c>
      <c r="H2098" s="1">
        <f>IF(jablka5[[#This Row],[dot sprz]]&lt;15000,0,IF(jablka5[[#This Row],[dot sprz]]&lt;20000,5,10))</f>
        <v>0</v>
      </c>
      <c r="I2098" s="1">
        <f>jablka5[[#This Row],[rabat]]*jablka5[[#This Row],[sprzedaż]]/100</f>
        <v>0</v>
      </c>
    </row>
    <row r="2099" spans="1:9" x14ac:dyDescent="0.25">
      <c r="A2099" s="2">
        <v>44645</v>
      </c>
      <c r="B2099" s="1" t="s">
        <v>2</v>
      </c>
      <c r="C2099" s="1" t="s">
        <v>16</v>
      </c>
      <c r="D2099" s="1" t="s">
        <v>65</v>
      </c>
      <c r="E2099">
        <v>314</v>
      </c>
      <c r="F2099" s="1">
        <f>VLOOKUP(jablka5[[#This Row],[Nazwa]],cennik[],2,0) * jablka5[[#This Row],[sprzedaż]]</f>
        <v>1004.8000000000001</v>
      </c>
      <c r="G2099" s="1">
        <f>IF(jablka5[[#This Row],[NIP]]=D2098,jablka5[[#This Row],[sprzedaż]]+G2098,jablka5[[#This Row],[sprzedaż]])</f>
        <v>2733</v>
      </c>
      <c r="H2099" s="1">
        <f>IF(jablka5[[#This Row],[dot sprz]]&lt;15000,0,IF(jablka5[[#This Row],[dot sprz]]&lt;20000,5,10))</f>
        <v>0</v>
      </c>
      <c r="I2099" s="1">
        <f>jablka5[[#This Row],[rabat]]*jablka5[[#This Row],[sprzedaż]]/100</f>
        <v>0</v>
      </c>
    </row>
    <row r="2100" spans="1:9" x14ac:dyDescent="0.25">
      <c r="A2100" s="2">
        <v>44649</v>
      </c>
      <c r="B2100" s="1" t="s">
        <v>8</v>
      </c>
      <c r="C2100" s="1" t="s">
        <v>16</v>
      </c>
      <c r="D2100" s="1" t="s">
        <v>65</v>
      </c>
      <c r="E2100">
        <v>229</v>
      </c>
      <c r="F2100" s="1">
        <f>VLOOKUP(jablka5[[#This Row],[Nazwa]],cennik[],2,0) * jablka5[[#This Row],[sprzedaż]]</f>
        <v>801.5</v>
      </c>
      <c r="G2100" s="1">
        <f>IF(jablka5[[#This Row],[NIP]]=D2099,jablka5[[#This Row],[sprzedaż]]+G2099,jablka5[[#This Row],[sprzedaż]])</f>
        <v>2962</v>
      </c>
      <c r="H2100" s="1">
        <f>IF(jablka5[[#This Row],[dot sprz]]&lt;15000,0,IF(jablka5[[#This Row],[dot sprz]]&lt;20000,5,10))</f>
        <v>0</v>
      </c>
      <c r="I2100" s="1">
        <f>jablka5[[#This Row],[rabat]]*jablka5[[#This Row],[sprzedaż]]/100</f>
        <v>0</v>
      </c>
    </row>
    <row r="2101" spans="1:9" x14ac:dyDescent="0.25">
      <c r="A2101" s="2">
        <v>44651</v>
      </c>
      <c r="B2101" s="1" t="s">
        <v>5</v>
      </c>
      <c r="C2101" s="1" t="s">
        <v>16</v>
      </c>
      <c r="D2101" s="1" t="s">
        <v>65</v>
      </c>
      <c r="E2101">
        <v>399</v>
      </c>
      <c r="F2101" s="1">
        <f>VLOOKUP(jablka5[[#This Row],[Nazwa]],cennik[],2,0) * jablka5[[#This Row],[sprzedaż]]</f>
        <v>1356.6</v>
      </c>
      <c r="G2101" s="1">
        <f>IF(jablka5[[#This Row],[NIP]]=D2100,jablka5[[#This Row],[sprzedaż]]+G2100,jablka5[[#This Row],[sprzedaż]])</f>
        <v>3361</v>
      </c>
      <c r="H2101" s="1">
        <f>IF(jablka5[[#This Row],[dot sprz]]&lt;15000,0,IF(jablka5[[#This Row],[dot sprz]]&lt;20000,5,10))</f>
        <v>0</v>
      </c>
      <c r="I2101" s="1">
        <f>jablka5[[#This Row],[rabat]]*jablka5[[#This Row],[sprzedaż]]/100</f>
        <v>0</v>
      </c>
    </row>
    <row r="2102" spans="1:9" x14ac:dyDescent="0.25">
      <c r="A2102" s="2">
        <v>44655</v>
      </c>
      <c r="B2102" s="1" t="s">
        <v>4</v>
      </c>
      <c r="C2102" s="1" t="s">
        <v>16</v>
      </c>
      <c r="D2102" s="1" t="s">
        <v>65</v>
      </c>
      <c r="E2102">
        <v>624</v>
      </c>
      <c r="F2102" s="1">
        <f>VLOOKUP(jablka5[[#This Row],[Nazwa]],cennik[],2,0) * jablka5[[#This Row],[sprzedaż]]</f>
        <v>2121.6</v>
      </c>
      <c r="G2102" s="1">
        <f>IF(jablka5[[#This Row],[NIP]]=D2101,jablka5[[#This Row],[sprzedaż]]+G2101,jablka5[[#This Row],[sprzedaż]])</f>
        <v>3985</v>
      </c>
      <c r="H2102" s="1">
        <f>IF(jablka5[[#This Row],[dot sprz]]&lt;15000,0,IF(jablka5[[#This Row],[dot sprz]]&lt;20000,5,10))</f>
        <v>0</v>
      </c>
      <c r="I2102" s="1">
        <f>jablka5[[#This Row],[rabat]]*jablka5[[#This Row],[sprzedaż]]/100</f>
        <v>0</v>
      </c>
    </row>
    <row r="2103" spans="1:9" x14ac:dyDescent="0.25">
      <c r="A2103" s="2">
        <v>44669</v>
      </c>
      <c r="B2103" s="1" t="s">
        <v>4</v>
      </c>
      <c r="C2103" s="1" t="s">
        <v>16</v>
      </c>
      <c r="D2103" s="1" t="s">
        <v>65</v>
      </c>
      <c r="E2103">
        <v>426</v>
      </c>
      <c r="F2103" s="1">
        <f>VLOOKUP(jablka5[[#This Row],[Nazwa]],cennik[],2,0) * jablka5[[#This Row],[sprzedaż]]</f>
        <v>1448.3999999999999</v>
      </c>
      <c r="G2103" s="1">
        <f>IF(jablka5[[#This Row],[NIP]]=D2102,jablka5[[#This Row],[sprzedaż]]+G2102,jablka5[[#This Row],[sprzedaż]])</f>
        <v>4411</v>
      </c>
      <c r="H2103" s="1">
        <f>IF(jablka5[[#This Row],[dot sprz]]&lt;15000,0,IF(jablka5[[#This Row],[dot sprz]]&lt;20000,5,10))</f>
        <v>0</v>
      </c>
      <c r="I2103" s="1">
        <f>jablka5[[#This Row],[rabat]]*jablka5[[#This Row],[sprzedaż]]/100</f>
        <v>0</v>
      </c>
    </row>
    <row r="2104" spans="1:9" x14ac:dyDescent="0.25">
      <c r="A2104" s="2">
        <v>44674</v>
      </c>
      <c r="B2104" s="1" t="s">
        <v>4</v>
      </c>
      <c r="C2104" s="1" t="s">
        <v>16</v>
      </c>
      <c r="D2104" s="1" t="s">
        <v>65</v>
      </c>
      <c r="E2104">
        <v>710</v>
      </c>
      <c r="F2104" s="1">
        <f>VLOOKUP(jablka5[[#This Row],[Nazwa]],cennik[],2,0) * jablka5[[#This Row],[sprzedaż]]</f>
        <v>2414</v>
      </c>
      <c r="G2104" s="1">
        <f>IF(jablka5[[#This Row],[NIP]]=D2103,jablka5[[#This Row],[sprzedaż]]+G2103,jablka5[[#This Row],[sprzedaż]])</f>
        <v>5121</v>
      </c>
      <c r="H2104" s="1">
        <f>IF(jablka5[[#This Row],[dot sprz]]&lt;15000,0,IF(jablka5[[#This Row],[dot sprz]]&lt;20000,5,10))</f>
        <v>0</v>
      </c>
      <c r="I2104" s="1">
        <f>jablka5[[#This Row],[rabat]]*jablka5[[#This Row],[sprzedaż]]/100</f>
        <v>0</v>
      </c>
    </row>
    <row r="2105" spans="1:9" x14ac:dyDescent="0.25">
      <c r="A2105" s="2">
        <v>44676</v>
      </c>
      <c r="B2105" s="1" t="s">
        <v>2</v>
      </c>
      <c r="C2105" s="1" t="s">
        <v>16</v>
      </c>
      <c r="D2105" s="1" t="s">
        <v>65</v>
      </c>
      <c r="E2105">
        <v>415</v>
      </c>
      <c r="F2105" s="1">
        <f>VLOOKUP(jablka5[[#This Row],[Nazwa]],cennik[],2,0) * jablka5[[#This Row],[sprzedaż]]</f>
        <v>1328</v>
      </c>
      <c r="G2105" s="1">
        <f>IF(jablka5[[#This Row],[NIP]]=D2104,jablka5[[#This Row],[sprzedaż]]+G2104,jablka5[[#This Row],[sprzedaż]])</f>
        <v>5536</v>
      </c>
      <c r="H2105" s="1">
        <f>IF(jablka5[[#This Row],[dot sprz]]&lt;15000,0,IF(jablka5[[#This Row],[dot sprz]]&lt;20000,5,10))</f>
        <v>0</v>
      </c>
      <c r="I2105" s="1">
        <f>jablka5[[#This Row],[rabat]]*jablka5[[#This Row],[sprzedaż]]/100</f>
        <v>0</v>
      </c>
    </row>
    <row r="2106" spans="1:9" x14ac:dyDescent="0.25">
      <c r="A2106" s="2">
        <v>44680</v>
      </c>
      <c r="B2106" s="1" t="s">
        <v>0</v>
      </c>
      <c r="C2106" s="1" t="s">
        <v>16</v>
      </c>
      <c r="D2106" s="1" t="s">
        <v>65</v>
      </c>
      <c r="E2106">
        <v>358</v>
      </c>
      <c r="F2106" s="1">
        <f>VLOOKUP(jablka5[[#This Row],[Nazwa]],cennik[],2,0) * jablka5[[#This Row],[sprzedaż]]</f>
        <v>1038.2</v>
      </c>
      <c r="G2106" s="1">
        <f>IF(jablka5[[#This Row],[NIP]]=D2105,jablka5[[#This Row],[sprzedaż]]+G2105,jablka5[[#This Row],[sprzedaż]])</f>
        <v>5894</v>
      </c>
      <c r="H2106" s="1">
        <f>IF(jablka5[[#This Row],[dot sprz]]&lt;15000,0,IF(jablka5[[#This Row],[dot sprz]]&lt;20000,5,10))</f>
        <v>0</v>
      </c>
      <c r="I2106" s="1">
        <f>jablka5[[#This Row],[rabat]]*jablka5[[#This Row],[sprzedaż]]/100</f>
        <v>0</v>
      </c>
    </row>
    <row r="2107" spans="1:9" x14ac:dyDescent="0.25">
      <c r="A2107" s="2">
        <v>44683</v>
      </c>
      <c r="B2107" s="1" t="s">
        <v>0</v>
      </c>
      <c r="C2107" s="1" t="s">
        <v>16</v>
      </c>
      <c r="D2107" s="1" t="s">
        <v>65</v>
      </c>
      <c r="E2107">
        <v>421</v>
      </c>
      <c r="F2107" s="1">
        <f>VLOOKUP(jablka5[[#This Row],[Nazwa]],cennik[],2,0) * jablka5[[#This Row],[sprzedaż]]</f>
        <v>1220.8999999999999</v>
      </c>
      <c r="G2107" s="1">
        <f>IF(jablka5[[#This Row],[NIP]]=D2106,jablka5[[#This Row],[sprzedaż]]+G2106,jablka5[[#This Row],[sprzedaż]])</f>
        <v>6315</v>
      </c>
      <c r="H2107" s="1">
        <f>IF(jablka5[[#This Row],[dot sprz]]&lt;15000,0,IF(jablka5[[#This Row],[dot sprz]]&lt;20000,5,10))</f>
        <v>0</v>
      </c>
      <c r="I2107" s="1">
        <f>jablka5[[#This Row],[rabat]]*jablka5[[#This Row],[sprzedaż]]/100</f>
        <v>0</v>
      </c>
    </row>
    <row r="2108" spans="1:9" x14ac:dyDescent="0.25">
      <c r="A2108" s="2">
        <v>44684</v>
      </c>
      <c r="B2108" s="1" t="s">
        <v>0</v>
      </c>
      <c r="C2108" s="1" t="s">
        <v>16</v>
      </c>
      <c r="D2108" s="1" t="s">
        <v>65</v>
      </c>
      <c r="E2108">
        <v>410</v>
      </c>
      <c r="F2108" s="1">
        <f>VLOOKUP(jablka5[[#This Row],[Nazwa]],cennik[],2,0) * jablka5[[#This Row],[sprzedaż]]</f>
        <v>1189</v>
      </c>
      <c r="G2108" s="1">
        <f>IF(jablka5[[#This Row],[NIP]]=D2107,jablka5[[#This Row],[sprzedaż]]+G2107,jablka5[[#This Row],[sprzedaż]])</f>
        <v>6725</v>
      </c>
      <c r="H2108" s="1">
        <f>IF(jablka5[[#This Row],[dot sprz]]&lt;15000,0,IF(jablka5[[#This Row],[dot sprz]]&lt;20000,5,10))</f>
        <v>0</v>
      </c>
      <c r="I2108" s="1">
        <f>jablka5[[#This Row],[rabat]]*jablka5[[#This Row],[sprzedaż]]/100</f>
        <v>0</v>
      </c>
    </row>
    <row r="2109" spans="1:9" x14ac:dyDescent="0.25">
      <c r="A2109" s="2">
        <v>44702</v>
      </c>
      <c r="B2109" s="1" t="s">
        <v>0</v>
      </c>
      <c r="C2109" s="1" t="s">
        <v>16</v>
      </c>
      <c r="D2109" s="1" t="s">
        <v>65</v>
      </c>
      <c r="E2109">
        <v>355</v>
      </c>
      <c r="F2109" s="1">
        <f>VLOOKUP(jablka5[[#This Row],[Nazwa]],cennik[],2,0) * jablka5[[#This Row],[sprzedaż]]</f>
        <v>1029.5</v>
      </c>
      <c r="G2109" s="1">
        <f>IF(jablka5[[#This Row],[NIP]]=D2108,jablka5[[#This Row],[sprzedaż]]+G2108,jablka5[[#This Row],[sprzedaż]])</f>
        <v>7080</v>
      </c>
      <c r="H2109" s="1">
        <f>IF(jablka5[[#This Row],[dot sprz]]&lt;15000,0,IF(jablka5[[#This Row],[dot sprz]]&lt;20000,5,10))</f>
        <v>0</v>
      </c>
      <c r="I2109" s="1">
        <f>jablka5[[#This Row],[rabat]]*jablka5[[#This Row],[sprzedaż]]/100</f>
        <v>0</v>
      </c>
    </row>
    <row r="2110" spans="1:9" x14ac:dyDescent="0.25">
      <c r="A2110" s="2">
        <v>44704</v>
      </c>
      <c r="B2110" s="1" t="s">
        <v>8</v>
      </c>
      <c r="C2110" s="1" t="s">
        <v>16</v>
      </c>
      <c r="D2110" s="1" t="s">
        <v>65</v>
      </c>
      <c r="E2110">
        <v>441</v>
      </c>
      <c r="F2110" s="1">
        <f>VLOOKUP(jablka5[[#This Row],[Nazwa]],cennik[],2,0) * jablka5[[#This Row],[sprzedaż]]</f>
        <v>1543.5</v>
      </c>
      <c r="G2110" s="1">
        <f>IF(jablka5[[#This Row],[NIP]]=D2109,jablka5[[#This Row],[sprzedaż]]+G2109,jablka5[[#This Row],[sprzedaż]])</f>
        <v>7521</v>
      </c>
      <c r="H2110" s="1">
        <f>IF(jablka5[[#This Row],[dot sprz]]&lt;15000,0,IF(jablka5[[#This Row],[dot sprz]]&lt;20000,5,10))</f>
        <v>0</v>
      </c>
      <c r="I2110" s="1">
        <f>jablka5[[#This Row],[rabat]]*jablka5[[#This Row],[sprzedaż]]/100</f>
        <v>0</v>
      </c>
    </row>
    <row r="2111" spans="1:9" x14ac:dyDescent="0.25">
      <c r="A2111" s="2">
        <v>44725</v>
      </c>
      <c r="B2111" s="1" t="s">
        <v>12</v>
      </c>
      <c r="C2111" s="1" t="s">
        <v>68</v>
      </c>
      <c r="D2111" s="1" t="s">
        <v>65</v>
      </c>
      <c r="E2111">
        <v>392</v>
      </c>
      <c r="F2111" s="1">
        <f>VLOOKUP(jablka5[[#This Row],[Nazwa]],cennik[],2,0) * jablka5[[#This Row],[sprzedaż]]</f>
        <v>1058.4000000000001</v>
      </c>
      <c r="G2111" s="1">
        <f>IF(jablka5[[#This Row],[NIP]]=D2110,jablka5[[#This Row],[sprzedaż]]+G2110,jablka5[[#This Row],[sprzedaż]])</f>
        <v>7913</v>
      </c>
      <c r="H2111" s="1">
        <f>IF(jablka5[[#This Row],[dot sprz]]&lt;15000,0,IF(jablka5[[#This Row],[dot sprz]]&lt;20000,5,10))</f>
        <v>0</v>
      </c>
      <c r="I2111" s="1">
        <f>jablka5[[#This Row],[rabat]]*jablka5[[#This Row],[sprzedaż]]/100</f>
        <v>0</v>
      </c>
    </row>
    <row r="2112" spans="1:9" x14ac:dyDescent="0.25">
      <c r="A2112" s="2">
        <v>44743</v>
      </c>
      <c r="B2112" s="1" t="s">
        <v>14</v>
      </c>
      <c r="C2112" s="1" t="s">
        <v>67</v>
      </c>
      <c r="D2112" s="1" t="s">
        <v>65</v>
      </c>
      <c r="E2112">
        <v>338</v>
      </c>
      <c r="F2112" s="1">
        <f>VLOOKUP(jablka5[[#This Row],[Nazwa]],cennik[],2,0) * jablka5[[#This Row],[sprzedaż]]</f>
        <v>1183</v>
      </c>
      <c r="G2112" s="1">
        <f>IF(jablka5[[#This Row],[NIP]]=D2111,jablka5[[#This Row],[sprzedaż]]+G2111,jablka5[[#This Row],[sprzedaż]])</f>
        <v>8251</v>
      </c>
      <c r="H2112" s="1">
        <f>IF(jablka5[[#This Row],[dot sprz]]&lt;15000,0,IF(jablka5[[#This Row],[dot sprz]]&lt;20000,5,10))</f>
        <v>0</v>
      </c>
      <c r="I2112" s="1">
        <f>jablka5[[#This Row],[rabat]]*jablka5[[#This Row],[sprzedaż]]/100</f>
        <v>0</v>
      </c>
    </row>
    <row r="2113" spans="1:9" x14ac:dyDescent="0.25">
      <c r="A2113" s="2">
        <v>44755</v>
      </c>
      <c r="B2113" s="1" t="s">
        <v>14</v>
      </c>
      <c r="C2113" s="1" t="s">
        <v>67</v>
      </c>
      <c r="D2113" s="1" t="s">
        <v>65</v>
      </c>
      <c r="E2113">
        <v>233</v>
      </c>
      <c r="F2113" s="1">
        <f>VLOOKUP(jablka5[[#This Row],[Nazwa]],cennik[],2,0) * jablka5[[#This Row],[sprzedaż]]</f>
        <v>815.5</v>
      </c>
      <c r="G2113" s="1">
        <f>IF(jablka5[[#This Row],[NIP]]=D2112,jablka5[[#This Row],[sprzedaż]]+G2112,jablka5[[#This Row],[sprzedaż]])</f>
        <v>8484</v>
      </c>
      <c r="H2113" s="1">
        <f>IF(jablka5[[#This Row],[dot sprz]]&lt;15000,0,IF(jablka5[[#This Row],[dot sprz]]&lt;20000,5,10))</f>
        <v>0</v>
      </c>
      <c r="I2113" s="1">
        <f>jablka5[[#This Row],[rabat]]*jablka5[[#This Row],[sprzedaż]]/100</f>
        <v>0</v>
      </c>
    </row>
    <row r="2114" spans="1:9" x14ac:dyDescent="0.25">
      <c r="A2114" s="2">
        <v>44782</v>
      </c>
      <c r="B2114" s="1" t="s">
        <v>13</v>
      </c>
      <c r="C2114" s="1" t="s">
        <v>68</v>
      </c>
      <c r="D2114" s="1" t="s">
        <v>65</v>
      </c>
      <c r="E2114">
        <v>54</v>
      </c>
      <c r="F2114" s="1">
        <f>VLOOKUP(jablka5[[#This Row],[Nazwa]],cennik[],2,0) * jablka5[[#This Row],[sprzedaż]]</f>
        <v>172.8</v>
      </c>
      <c r="G2114" s="1">
        <f>IF(jablka5[[#This Row],[NIP]]=D2113,jablka5[[#This Row],[sprzedaż]]+G2113,jablka5[[#This Row],[sprzedaż]])</f>
        <v>8538</v>
      </c>
      <c r="H2114" s="1">
        <f>IF(jablka5[[#This Row],[dot sprz]]&lt;15000,0,IF(jablka5[[#This Row],[dot sprz]]&lt;20000,5,10))</f>
        <v>0</v>
      </c>
      <c r="I2114" s="1">
        <f>jablka5[[#This Row],[rabat]]*jablka5[[#This Row],[sprzedaż]]/100</f>
        <v>0</v>
      </c>
    </row>
    <row r="2115" spans="1:9" x14ac:dyDescent="0.25">
      <c r="A2115" s="2">
        <v>44783</v>
      </c>
      <c r="B2115" s="1" t="s">
        <v>12</v>
      </c>
      <c r="C2115" s="1" t="s">
        <v>68</v>
      </c>
      <c r="D2115" s="1" t="s">
        <v>65</v>
      </c>
      <c r="E2115">
        <v>57</v>
      </c>
      <c r="F2115" s="1">
        <f>VLOOKUP(jablka5[[#This Row],[Nazwa]],cennik[],2,0) * jablka5[[#This Row],[sprzedaż]]</f>
        <v>153.9</v>
      </c>
      <c r="G2115" s="1">
        <f>IF(jablka5[[#This Row],[NIP]]=D2114,jablka5[[#This Row],[sprzedaż]]+G2114,jablka5[[#This Row],[sprzedaż]])</f>
        <v>8595</v>
      </c>
      <c r="H2115" s="1">
        <f>IF(jablka5[[#This Row],[dot sprz]]&lt;15000,0,IF(jablka5[[#This Row],[dot sprz]]&lt;20000,5,10))</f>
        <v>0</v>
      </c>
      <c r="I2115" s="1">
        <f>jablka5[[#This Row],[rabat]]*jablka5[[#This Row],[sprzedaż]]/100</f>
        <v>0</v>
      </c>
    </row>
    <row r="2116" spans="1:9" x14ac:dyDescent="0.25">
      <c r="A2116" s="2">
        <v>44793</v>
      </c>
      <c r="B2116" s="1" t="s">
        <v>12</v>
      </c>
      <c r="C2116" s="1" t="s">
        <v>68</v>
      </c>
      <c r="D2116" s="1" t="s">
        <v>65</v>
      </c>
      <c r="E2116">
        <v>466</v>
      </c>
      <c r="F2116" s="1">
        <f>VLOOKUP(jablka5[[#This Row],[Nazwa]],cennik[],2,0) * jablka5[[#This Row],[sprzedaż]]</f>
        <v>1258.2</v>
      </c>
      <c r="G2116" s="1">
        <f>IF(jablka5[[#This Row],[NIP]]=D2115,jablka5[[#This Row],[sprzedaż]]+G2115,jablka5[[#This Row],[sprzedaż]])</f>
        <v>9061</v>
      </c>
      <c r="H2116" s="1">
        <f>IF(jablka5[[#This Row],[dot sprz]]&lt;15000,0,IF(jablka5[[#This Row],[dot sprz]]&lt;20000,5,10))</f>
        <v>0</v>
      </c>
      <c r="I2116" s="1">
        <f>jablka5[[#This Row],[rabat]]*jablka5[[#This Row],[sprzedaż]]/100</f>
        <v>0</v>
      </c>
    </row>
    <row r="2117" spans="1:9" x14ac:dyDescent="0.25">
      <c r="A2117" s="2">
        <v>44806</v>
      </c>
      <c r="B2117" s="1" t="s">
        <v>11</v>
      </c>
      <c r="C2117" s="1" t="s">
        <v>67</v>
      </c>
      <c r="D2117" s="1" t="s">
        <v>65</v>
      </c>
      <c r="E2117">
        <v>136</v>
      </c>
      <c r="F2117" s="1">
        <f>VLOOKUP(jablka5[[#This Row],[Nazwa]],cennik[],2,0) * jablka5[[#This Row],[sprzedaż]]</f>
        <v>340</v>
      </c>
      <c r="G2117" s="1">
        <f>IF(jablka5[[#This Row],[NIP]]=D2116,jablka5[[#This Row],[sprzedaż]]+G2116,jablka5[[#This Row],[sprzedaż]])</f>
        <v>9197</v>
      </c>
      <c r="H2117" s="1">
        <f>IF(jablka5[[#This Row],[dot sprz]]&lt;15000,0,IF(jablka5[[#This Row],[dot sprz]]&lt;20000,5,10))</f>
        <v>0</v>
      </c>
      <c r="I2117" s="1">
        <f>jablka5[[#This Row],[rabat]]*jablka5[[#This Row],[sprzedaż]]/100</f>
        <v>0</v>
      </c>
    </row>
    <row r="2118" spans="1:9" x14ac:dyDescent="0.25">
      <c r="A2118" s="2">
        <v>44809</v>
      </c>
      <c r="B2118" s="1" t="s">
        <v>3</v>
      </c>
      <c r="C2118" s="1" t="s">
        <v>67</v>
      </c>
      <c r="D2118" s="1" t="s">
        <v>65</v>
      </c>
      <c r="E2118">
        <v>471</v>
      </c>
      <c r="F2118" s="1">
        <f>VLOOKUP(jablka5[[#This Row],[Nazwa]],cennik[],2,0) * jablka5[[#This Row],[sprzedaż]]</f>
        <v>1507.2</v>
      </c>
      <c r="G2118" s="1">
        <f>IF(jablka5[[#This Row],[NIP]]=D2117,jablka5[[#This Row],[sprzedaż]]+G2117,jablka5[[#This Row],[sprzedaż]])</f>
        <v>9668</v>
      </c>
      <c r="H2118" s="1">
        <f>IF(jablka5[[#This Row],[dot sprz]]&lt;15000,0,IF(jablka5[[#This Row],[dot sprz]]&lt;20000,5,10))</f>
        <v>0</v>
      </c>
      <c r="I2118" s="1">
        <f>jablka5[[#This Row],[rabat]]*jablka5[[#This Row],[sprzedaż]]/100</f>
        <v>0</v>
      </c>
    </row>
    <row r="2119" spans="1:9" x14ac:dyDescent="0.25">
      <c r="A2119" s="2">
        <v>44810</v>
      </c>
      <c r="B2119" s="1" t="s">
        <v>9</v>
      </c>
      <c r="C2119" s="1" t="s">
        <v>67</v>
      </c>
      <c r="D2119" s="1" t="s">
        <v>65</v>
      </c>
      <c r="E2119">
        <v>167</v>
      </c>
      <c r="F2119" s="1">
        <f>VLOOKUP(jablka5[[#This Row],[Nazwa]],cennik[],2,0) * jablka5[[#This Row],[sprzedaż]]</f>
        <v>417.5</v>
      </c>
      <c r="G2119" s="1">
        <f>IF(jablka5[[#This Row],[NIP]]=D2118,jablka5[[#This Row],[sprzedaż]]+G2118,jablka5[[#This Row],[sprzedaż]])</f>
        <v>9835</v>
      </c>
      <c r="H2119" s="1">
        <f>IF(jablka5[[#This Row],[dot sprz]]&lt;15000,0,IF(jablka5[[#This Row],[dot sprz]]&lt;20000,5,10))</f>
        <v>0</v>
      </c>
      <c r="I2119" s="1">
        <f>jablka5[[#This Row],[rabat]]*jablka5[[#This Row],[sprzedaż]]/100</f>
        <v>0</v>
      </c>
    </row>
    <row r="2120" spans="1:9" x14ac:dyDescent="0.25">
      <c r="A2120" s="2">
        <v>44811</v>
      </c>
      <c r="B2120" s="1" t="s">
        <v>14</v>
      </c>
      <c r="C2120" s="1" t="s">
        <v>67</v>
      </c>
      <c r="D2120" s="1" t="s">
        <v>65</v>
      </c>
      <c r="E2120">
        <v>266</v>
      </c>
      <c r="F2120" s="1">
        <f>VLOOKUP(jablka5[[#This Row],[Nazwa]],cennik[],2,0) * jablka5[[#This Row],[sprzedaż]]</f>
        <v>931</v>
      </c>
      <c r="G2120" s="1">
        <f>IF(jablka5[[#This Row],[NIP]]=D2119,jablka5[[#This Row],[sprzedaż]]+G2119,jablka5[[#This Row],[sprzedaż]])</f>
        <v>10101</v>
      </c>
      <c r="H2120" s="1">
        <f>IF(jablka5[[#This Row],[dot sprz]]&lt;15000,0,IF(jablka5[[#This Row],[dot sprz]]&lt;20000,5,10))</f>
        <v>0</v>
      </c>
      <c r="I2120" s="1">
        <f>jablka5[[#This Row],[rabat]]*jablka5[[#This Row],[sprzedaż]]/100</f>
        <v>0</v>
      </c>
    </row>
    <row r="2121" spans="1:9" x14ac:dyDescent="0.25">
      <c r="A2121" s="2">
        <v>44819</v>
      </c>
      <c r="B2121" s="1" t="s">
        <v>14</v>
      </c>
      <c r="C2121" s="1" t="s">
        <v>67</v>
      </c>
      <c r="D2121" s="1" t="s">
        <v>65</v>
      </c>
      <c r="E2121">
        <v>487</v>
      </c>
      <c r="F2121" s="1">
        <f>VLOOKUP(jablka5[[#This Row],[Nazwa]],cennik[],2,0) * jablka5[[#This Row],[sprzedaż]]</f>
        <v>1704.5</v>
      </c>
      <c r="G2121" s="1">
        <f>IF(jablka5[[#This Row],[NIP]]=D2120,jablka5[[#This Row],[sprzedaż]]+G2120,jablka5[[#This Row],[sprzedaż]])</f>
        <v>10588</v>
      </c>
      <c r="H2121" s="1">
        <f>IF(jablka5[[#This Row],[dot sprz]]&lt;15000,0,IF(jablka5[[#This Row],[dot sprz]]&lt;20000,5,10))</f>
        <v>0</v>
      </c>
      <c r="I2121" s="1">
        <f>jablka5[[#This Row],[rabat]]*jablka5[[#This Row],[sprzedaż]]/100</f>
        <v>0</v>
      </c>
    </row>
    <row r="2122" spans="1:9" x14ac:dyDescent="0.25">
      <c r="A2122" s="2">
        <v>44827</v>
      </c>
      <c r="B2122" s="1" t="s">
        <v>11</v>
      </c>
      <c r="C2122" s="1" t="s">
        <v>67</v>
      </c>
      <c r="D2122" s="1" t="s">
        <v>65</v>
      </c>
      <c r="E2122">
        <v>32</v>
      </c>
      <c r="F2122" s="1">
        <f>VLOOKUP(jablka5[[#This Row],[Nazwa]],cennik[],2,0) * jablka5[[#This Row],[sprzedaż]]</f>
        <v>80</v>
      </c>
      <c r="G2122" s="1">
        <f>IF(jablka5[[#This Row],[NIP]]=D2121,jablka5[[#This Row],[sprzedaż]]+G2121,jablka5[[#This Row],[sprzedaż]])</f>
        <v>10620</v>
      </c>
      <c r="H2122" s="1">
        <f>IF(jablka5[[#This Row],[dot sprz]]&lt;15000,0,IF(jablka5[[#This Row],[dot sprz]]&lt;20000,5,10))</f>
        <v>0</v>
      </c>
      <c r="I2122" s="1">
        <f>jablka5[[#This Row],[rabat]]*jablka5[[#This Row],[sprzedaż]]/100</f>
        <v>0</v>
      </c>
    </row>
    <row r="2123" spans="1:9" x14ac:dyDescent="0.25">
      <c r="A2123" s="2">
        <v>44830</v>
      </c>
      <c r="B2123" s="1" t="s">
        <v>9</v>
      </c>
      <c r="C2123" s="1" t="s">
        <v>67</v>
      </c>
      <c r="D2123" s="1" t="s">
        <v>65</v>
      </c>
      <c r="E2123">
        <v>21</v>
      </c>
      <c r="F2123" s="1">
        <f>VLOOKUP(jablka5[[#This Row],[Nazwa]],cennik[],2,0) * jablka5[[#This Row],[sprzedaż]]</f>
        <v>52.5</v>
      </c>
      <c r="G2123" s="1">
        <f>IF(jablka5[[#This Row],[NIP]]=D2122,jablka5[[#This Row],[sprzedaż]]+G2122,jablka5[[#This Row],[sprzedaż]])</f>
        <v>10641</v>
      </c>
      <c r="H2123" s="1">
        <f>IF(jablka5[[#This Row],[dot sprz]]&lt;15000,0,IF(jablka5[[#This Row],[dot sprz]]&lt;20000,5,10))</f>
        <v>0</v>
      </c>
      <c r="I2123" s="1">
        <f>jablka5[[#This Row],[rabat]]*jablka5[[#This Row],[sprzedaż]]/100</f>
        <v>0</v>
      </c>
    </row>
    <row r="2124" spans="1:9" x14ac:dyDescent="0.25">
      <c r="A2124" s="2">
        <v>44830</v>
      </c>
      <c r="B2124" s="1" t="s">
        <v>3</v>
      </c>
      <c r="C2124" s="1" t="s">
        <v>67</v>
      </c>
      <c r="D2124" s="1" t="s">
        <v>65</v>
      </c>
      <c r="E2124">
        <v>104</v>
      </c>
      <c r="F2124" s="1">
        <f>VLOOKUP(jablka5[[#This Row],[Nazwa]],cennik[],2,0) * jablka5[[#This Row],[sprzedaż]]</f>
        <v>332.8</v>
      </c>
      <c r="G2124" s="1">
        <f>IF(jablka5[[#This Row],[NIP]]=D2123,jablka5[[#This Row],[sprzedaż]]+G2123,jablka5[[#This Row],[sprzedaż]])</f>
        <v>10745</v>
      </c>
      <c r="H2124" s="1">
        <f>IF(jablka5[[#This Row],[dot sprz]]&lt;15000,0,IF(jablka5[[#This Row],[dot sprz]]&lt;20000,5,10))</f>
        <v>0</v>
      </c>
      <c r="I2124" s="1">
        <f>jablka5[[#This Row],[rabat]]*jablka5[[#This Row],[sprzedaż]]/100</f>
        <v>0</v>
      </c>
    </row>
    <row r="2125" spans="1:9" x14ac:dyDescent="0.25">
      <c r="A2125" s="2">
        <v>44831</v>
      </c>
      <c r="B2125" s="1" t="s">
        <v>14</v>
      </c>
      <c r="C2125" s="1" t="s">
        <v>67</v>
      </c>
      <c r="D2125" s="1" t="s">
        <v>65</v>
      </c>
      <c r="E2125">
        <v>484</v>
      </c>
      <c r="F2125" s="1">
        <f>VLOOKUP(jablka5[[#This Row],[Nazwa]],cennik[],2,0) * jablka5[[#This Row],[sprzedaż]]</f>
        <v>1694</v>
      </c>
      <c r="G2125" s="1">
        <f>IF(jablka5[[#This Row],[NIP]]=D2124,jablka5[[#This Row],[sprzedaż]]+G2124,jablka5[[#This Row],[sprzedaż]])</f>
        <v>11229</v>
      </c>
      <c r="H2125" s="1">
        <f>IF(jablka5[[#This Row],[dot sprz]]&lt;15000,0,IF(jablka5[[#This Row],[dot sprz]]&lt;20000,5,10))</f>
        <v>0</v>
      </c>
      <c r="I2125" s="1">
        <f>jablka5[[#This Row],[rabat]]*jablka5[[#This Row],[sprzedaż]]/100</f>
        <v>0</v>
      </c>
    </row>
    <row r="2126" spans="1:9" x14ac:dyDescent="0.25">
      <c r="A2126" s="2">
        <v>44833</v>
      </c>
      <c r="B2126" s="1" t="s">
        <v>3</v>
      </c>
      <c r="C2126" s="1" t="s">
        <v>67</v>
      </c>
      <c r="D2126" s="1" t="s">
        <v>65</v>
      </c>
      <c r="E2126">
        <v>29</v>
      </c>
      <c r="F2126" s="1">
        <f>VLOOKUP(jablka5[[#This Row],[Nazwa]],cennik[],2,0) * jablka5[[#This Row],[sprzedaż]]</f>
        <v>92.800000000000011</v>
      </c>
      <c r="G2126" s="1">
        <f>IF(jablka5[[#This Row],[NIP]]=D2125,jablka5[[#This Row],[sprzedaż]]+G2125,jablka5[[#This Row],[sprzedaż]])</f>
        <v>11258</v>
      </c>
      <c r="H2126" s="1">
        <f>IF(jablka5[[#This Row],[dot sprz]]&lt;15000,0,IF(jablka5[[#This Row],[dot sprz]]&lt;20000,5,10))</f>
        <v>0</v>
      </c>
      <c r="I2126" s="1">
        <f>jablka5[[#This Row],[rabat]]*jablka5[[#This Row],[sprzedaż]]/100</f>
        <v>0</v>
      </c>
    </row>
    <row r="2127" spans="1:9" x14ac:dyDescent="0.25">
      <c r="A2127" s="2">
        <v>44835</v>
      </c>
      <c r="B2127" s="1" t="s">
        <v>14</v>
      </c>
      <c r="C2127" s="1" t="s">
        <v>67</v>
      </c>
      <c r="D2127" s="1" t="s">
        <v>65</v>
      </c>
      <c r="E2127">
        <v>137</v>
      </c>
      <c r="F2127" s="1">
        <f>VLOOKUP(jablka5[[#This Row],[Nazwa]],cennik[],2,0) * jablka5[[#This Row],[sprzedaż]]</f>
        <v>479.5</v>
      </c>
      <c r="G2127" s="1">
        <f>IF(jablka5[[#This Row],[NIP]]=D2126,jablka5[[#This Row],[sprzedaż]]+G2126,jablka5[[#This Row],[sprzedaż]])</f>
        <v>11395</v>
      </c>
      <c r="H2127" s="1">
        <f>IF(jablka5[[#This Row],[dot sprz]]&lt;15000,0,IF(jablka5[[#This Row],[dot sprz]]&lt;20000,5,10))</f>
        <v>0</v>
      </c>
      <c r="I2127" s="1">
        <f>jablka5[[#This Row],[rabat]]*jablka5[[#This Row],[sprzedaż]]/100</f>
        <v>0</v>
      </c>
    </row>
    <row r="2128" spans="1:9" x14ac:dyDescent="0.25">
      <c r="A2128" s="2">
        <v>44835</v>
      </c>
      <c r="B2128" s="1" t="s">
        <v>3</v>
      </c>
      <c r="C2128" s="1" t="s">
        <v>67</v>
      </c>
      <c r="D2128" s="1" t="s">
        <v>65</v>
      </c>
      <c r="E2128">
        <v>415</v>
      </c>
      <c r="F2128" s="1">
        <f>VLOOKUP(jablka5[[#This Row],[Nazwa]],cennik[],2,0) * jablka5[[#This Row],[sprzedaż]]</f>
        <v>1328</v>
      </c>
      <c r="G2128" s="1">
        <f>IF(jablka5[[#This Row],[NIP]]=D2127,jablka5[[#This Row],[sprzedaż]]+G2127,jablka5[[#This Row],[sprzedaż]])</f>
        <v>11810</v>
      </c>
      <c r="H2128" s="1">
        <f>IF(jablka5[[#This Row],[dot sprz]]&lt;15000,0,IF(jablka5[[#This Row],[dot sprz]]&lt;20000,5,10))</f>
        <v>0</v>
      </c>
      <c r="I2128" s="1">
        <f>jablka5[[#This Row],[rabat]]*jablka5[[#This Row],[sprzedaż]]/100</f>
        <v>0</v>
      </c>
    </row>
    <row r="2129" spans="1:9" x14ac:dyDescent="0.25">
      <c r="A2129" s="2">
        <v>44853</v>
      </c>
      <c r="B2129" s="1" t="s">
        <v>3</v>
      </c>
      <c r="C2129" s="1" t="s">
        <v>67</v>
      </c>
      <c r="D2129" s="1" t="s">
        <v>65</v>
      </c>
      <c r="E2129">
        <v>457</v>
      </c>
      <c r="F2129" s="1">
        <f>VLOOKUP(jablka5[[#This Row],[Nazwa]],cennik[],2,0) * jablka5[[#This Row],[sprzedaż]]</f>
        <v>1462.4</v>
      </c>
      <c r="G2129" s="1">
        <f>IF(jablka5[[#This Row],[NIP]]=D2128,jablka5[[#This Row],[sprzedaż]]+G2128,jablka5[[#This Row],[sprzedaż]])</f>
        <v>12267</v>
      </c>
      <c r="H2129" s="1">
        <f>IF(jablka5[[#This Row],[dot sprz]]&lt;15000,0,IF(jablka5[[#This Row],[dot sprz]]&lt;20000,5,10))</f>
        <v>0</v>
      </c>
      <c r="I2129" s="1">
        <f>jablka5[[#This Row],[rabat]]*jablka5[[#This Row],[sprzedaż]]/100</f>
        <v>0</v>
      </c>
    </row>
    <row r="2130" spans="1:9" x14ac:dyDescent="0.25">
      <c r="A2130" s="2">
        <v>44863</v>
      </c>
      <c r="B2130" s="1" t="s">
        <v>3</v>
      </c>
      <c r="C2130" s="1" t="s">
        <v>67</v>
      </c>
      <c r="D2130" s="1" t="s">
        <v>65</v>
      </c>
      <c r="E2130">
        <v>403</v>
      </c>
      <c r="F2130" s="1">
        <f>VLOOKUP(jablka5[[#This Row],[Nazwa]],cennik[],2,0) * jablka5[[#This Row],[sprzedaż]]</f>
        <v>1289.6000000000001</v>
      </c>
      <c r="G2130" s="1">
        <f>IF(jablka5[[#This Row],[NIP]]=D2129,jablka5[[#This Row],[sprzedaż]]+G2129,jablka5[[#This Row],[sprzedaż]])</f>
        <v>12670</v>
      </c>
      <c r="H2130" s="1">
        <f>IF(jablka5[[#This Row],[dot sprz]]&lt;15000,0,IF(jablka5[[#This Row],[dot sprz]]&lt;20000,5,10))</f>
        <v>0</v>
      </c>
      <c r="I2130" s="1">
        <f>jablka5[[#This Row],[rabat]]*jablka5[[#This Row],[sprzedaż]]/100</f>
        <v>0</v>
      </c>
    </row>
    <row r="2131" spans="1:9" x14ac:dyDescent="0.25">
      <c r="A2131" s="2">
        <v>44868</v>
      </c>
      <c r="B2131" s="1" t="s">
        <v>3</v>
      </c>
      <c r="C2131" s="1" t="s">
        <v>67</v>
      </c>
      <c r="D2131" s="1" t="s">
        <v>65</v>
      </c>
      <c r="E2131">
        <v>68</v>
      </c>
      <c r="F2131" s="1">
        <f>VLOOKUP(jablka5[[#This Row],[Nazwa]],cennik[],2,0) * jablka5[[#This Row],[sprzedaż]]</f>
        <v>217.60000000000002</v>
      </c>
      <c r="G2131" s="1">
        <f>IF(jablka5[[#This Row],[NIP]]=D2130,jablka5[[#This Row],[sprzedaż]]+G2130,jablka5[[#This Row],[sprzedaż]])</f>
        <v>12738</v>
      </c>
      <c r="H2131" s="1">
        <f>IF(jablka5[[#This Row],[dot sprz]]&lt;15000,0,IF(jablka5[[#This Row],[dot sprz]]&lt;20000,5,10))</f>
        <v>0</v>
      </c>
      <c r="I2131" s="1">
        <f>jablka5[[#This Row],[rabat]]*jablka5[[#This Row],[sprzedaż]]/100</f>
        <v>0</v>
      </c>
    </row>
    <row r="2132" spans="1:9" x14ac:dyDescent="0.25">
      <c r="A2132" s="2">
        <v>44869</v>
      </c>
      <c r="B2132" s="1" t="s">
        <v>3</v>
      </c>
      <c r="C2132" s="1" t="s">
        <v>67</v>
      </c>
      <c r="D2132" s="1" t="s">
        <v>65</v>
      </c>
      <c r="E2132">
        <v>178</v>
      </c>
      <c r="F2132" s="1">
        <f>VLOOKUP(jablka5[[#This Row],[Nazwa]],cennik[],2,0) * jablka5[[#This Row],[sprzedaż]]</f>
        <v>569.6</v>
      </c>
      <c r="G2132" s="1">
        <f>IF(jablka5[[#This Row],[NIP]]=D2131,jablka5[[#This Row],[sprzedaż]]+G2131,jablka5[[#This Row],[sprzedaż]])</f>
        <v>12916</v>
      </c>
      <c r="H2132" s="1">
        <f>IF(jablka5[[#This Row],[dot sprz]]&lt;15000,0,IF(jablka5[[#This Row],[dot sprz]]&lt;20000,5,10))</f>
        <v>0</v>
      </c>
      <c r="I2132" s="1">
        <f>jablka5[[#This Row],[rabat]]*jablka5[[#This Row],[sprzedaż]]/100</f>
        <v>0</v>
      </c>
    </row>
    <row r="2133" spans="1:9" x14ac:dyDescent="0.25">
      <c r="A2133" s="2">
        <v>44872</v>
      </c>
      <c r="B2133" s="1" t="s">
        <v>11</v>
      </c>
      <c r="C2133" s="1" t="s">
        <v>67</v>
      </c>
      <c r="D2133" s="1" t="s">
        <v>65</v>
      </c>
      <c r="E2133">
        <v>435</v>
      </c>
      <c r="F2133" s="1">
        <f>VLOOKUP(jablka5[[#This Row],[Nazwa]],cennik[],2,0) * jablka5[[#This Row],[sprzedaż]]</f>
        <v>1087.5</v>
      </c>
      <c r="G2133" s="1">
        <f>IF(jablka5[[#This Row],[NIP]]=D2132,jablka5[[#This Row],[sprzedaż]]+G2132,jablka5[[#This Row],[sprzedaż]])</f>
        <v>13351</v>
      </c>
      <c r="H2133" s="1">
        <f>IF(jablka5[[#This Row],[dot sprz]]&lt;15000,0,IF(jablka5[[#This Row],[dot sprz]]&lt;20000,5,10))</f>
        <v>0</v>
      </c>
      <c r="I2133" s="1">
        <f>jablka5[[#This Row],[rabat]]*jablka5[[#This Row],[sprzedaż]]/100</f>
        <v>0</v>
      </c>
    </row>
    <row r="2134" spans="1:9" x14ac:dyDescent="0.25">
      <c r="A2134" s="2">
        <v>44883</v>
      </c>
      <c r="B2134" s="1" t="s">
        <v>11</v>
      </c>
      <c r="C2134" s="1" t="s">
        <v>67</v>
      </c>
      <c r="D2134" s="1" t="s">
        <v>65</v>
      </c>
      <c r="E2134">
        <v>238</v>
      </c>
      <c r="F2134" s="1">
        <f>VLOOKUP(jablka5[[#This Row],[Nazwa]],cennik[],2,0) * jablka5[[#This Row],[sprzedaż]]</f>
        <v>595</v>
      </c>
      <c r="G2134" s="1">
        <f>IF(jablka5[[#This Row],[NIP]]=D2133,jablka5[[#This Row],[sprzedaż]]+G2133,jablka5[[#This Row],[sprzedaż]])</f>
        <v>13589</v>
      </c>
      <c r="H2134" s="1">
        <f>IF(jablka5[[#This Row],[dot sprz]]&lt;15000,0,IF(jablka5[[#This Row],[dot sprz]]&lt;20000,5,10))</f>
        <v>0</v>
      </c>
      <c r="I2134" s="1">
        <f>jablka5[[#This Row],[rabat]]*jablka5[[#This Row],[sprzedaż]]/100</f>
        <v>0</v>
      </c>
    </row>
    <row r="2135" spans="1:9" x14ac:dyDescent="0.25">
      <c r="A2135" s="2">
        <v>44889</v>
      </c>
      <c r="B2135" s="1" t="s">
        <v>3</v>
      </c>
      <c r="C2135" s="1" t="s">
        <v>67</v>
      </c>
      <c r="D2135" s="1" t="s">
        <v>65</v>
      </c>
      <c r="E2135">
        <v>150</v>
      </c>
      <c r="F2135" s="1">
        <f>VLOOKUP(jablka5[[#This Row],[Nazwa]],cennik[],2,0) * jablka5[[#This Row],[sprzedaż]]</f>
        <v>480</v>
      </c>
      <c r="G2135" s="1">
        <f>IF(jablka5[[#This Row],[NIP]]=D2134,jablka5[[#This Row],[sprzedaż]]+G2134,jablka5[[#This Row],[sprzedaż]])</f>
        <v>13739</v>
      </c>
      <c r="H2135" s="1">
        <f>IF(jablka5[[#This Row],[dot sprz]]&lt;15000,0,IF(jablka5[[#This Row],[dot sprz]]&lt;20000,5,10))</f>
        <v>0</v>
      </c>
      <c r="I2135" s="1">
        <f>jablka5[[#This Row],[rabat]]*jablka5[[#This Row],[sprzedaż]]/100</f>
        <v>0</v>
      </c>
    </row>
    <row r="2136" spans="1:9" x14ac:dyDescent="0.25">
      <c r="A2136" s="2">
        <v>44893</v>
      </c>
      <c r="B2136" s="1" t="s">
        <v>14</v>
      </c>
      <c r="C2136" s="1" t="s">
        <v>67</v>
      </c>
      <c r="D2136" s="1" t="s">
        <v>65</v>
      </c>
      <c r="E2136">
        <v>205</v>
      </c>
      <c r="F2136" s="1">
        <f>VLOOKUP(jablka5[[#This Row],[Nazwa]],cennik[],2,0) * jablka5[[#This Row],[sprzedaż]]</f>
        <v>717.5</v>
      </c>
      <c r="G2136" s="1">
        <f>IF(jablka5[[#This Row],[NIP]]=D2135,jablka5[[#This Row],[sprzedaż]]+G2135,jablka5[[#This Row],[sprzedaż]])</f>
        <v>13944</v>
      </c>
      <c r="H2136" s="1">
        <f>IF(jablka5[[#This Row],[dot sprz]]&lt;15000,0,IF(jablka5[[#This Row],[dot sprz]]&lt;20000,5,10))</f>
        <v>0</v>
      </c>
      <c r="I2136" s="1">
        <f>jablka5[[#This Row],[rabat]]*jablka5[[#This Row],[sprzedaż]]/100</f>
        <v>0</v>
      </c>
    </row>
    <row r="2137" spans="1:9" x14ac:dyDescent="0.25">
      <c r="A2137" s="2">
        <v>44902</v>
      </c>
      <c r="B2137" s="1" t="s">
        <v>2</v>
      </c>
      <c r="C2137" s="1" t="s">
        <v>16</v>
      </c>
      <c r="D2137" s="1" t="s">
        <v>65</v>
      </c>
      <c r="E2137">
        <v>279</v>
      </c>
      <c r="F2137" s="1">
        <f>VLOOKUP(jablka5[[#This Row],[Nazwa]],cennik[],2,0) * jablka5[[#This Row],[sprzedaż]]</f>
        <v>892.80000000000007</v>
      </c>
      <c r="G2137" s="1">
        <f>IF(jablka5[[#This Row],[NIP]]=D2136,jablka5[[#This Row],[sprzedaż]]+G2136,jablka5[[#This Row],[sprzedaż]])</f>
        <v>14223</v>
      </c>
      <c r="H2137" s="1">
        <f>IF(jablka5[[#This Row],[dot sprz]]&lt;15000,0,IF(jablka5[[#This Row],[dot sprz]]&lt;20000,5,10))</f>
        <v>0</v>
      </c>
      <c r="I2137" s="1">
        <f>jablka5[[#This Row],[rabat]]*jablka5[[#This Row],[sprzedaż]]/100</f>
        <v>0</v>
      </c>
    </row>
    <row r="2138" spans="1:9" x14ac:dyDescent="0.25">
      <c r="A2138" s="2">
        <v>44902</v>
      </c>
      <c r="B2138" s="1" t="s">
        <v>6</v>
      </c>
      <c r="C2138" s="1" t="s">
        <v>16</v>
      </c>
      <c r="D2138" s="1" t="s">
        <v>65</v>
      </c>
      <c r="E2138">
        <v>36</v>
      </c>
      <c r="F2138" s="1">
        <f>VLOOKUP(jablka5[[#This Row],[Nazwa]],cennik[],2,0) * jablka5[[#This Row],[sprzedaż]]</f>
        <v>122.39999999999999</v>
      </c>
      <c r="G2138" s="1">
        <f>IF(jablka5[[#This Row],[NIP]]=D2137,jablka5[[#This Row],[sprzedaż]]+G2137,jablka5[[#This Row],[sprzedaż]])</f>
        <v>14259</v>
      </c>
      <c r="H2138" s="1">
        <f>IF(jablka5[[#This Row],[dot sprz]]&lt;15000,0,IF(jablka5[[#This Row],[dot sprz]]&lt;20000,5,10))</f>
        <v>0</v>
      </c>
      <c r="I2138" s="1">
        <f>jablka5[[#This Row],[rabat]]*jablka5[[#This Row],[sprzedaż]]/100</f>
        <v>0</v>
      </c>
    </row>
    <row r="2139" spans="1:9" x14ac:dyDescent="0.25">
      <c r="A2139" s="2">
        <v>44908</v>
      </c>
      <c r="B2139" s="1" t="s">
        <v>0</v>
      </c>
      <c r="C2139" s="1" t="s">
        <v>16</v>
      </c>
      <c r="D2139" s="1" t="s">
        <v>65</v>
      </c>
      <c r="E2139">
        <v>333</v>
      </c>
      <c r="F2139" s="1">
        <f>VLOOKUP(jablka5[[#This Row],[Nazwa]],cennik[],2,0) * jablka5[[#This Row],[sprzedaż]]</f>
        <v>965.69999999999993</v>
      </c>
      <c r="G2139" s="1">
        <f>IF(jablka5[[#This Row],[NIP]]=D2138,jablka5[[#This Row],[sprzedaż]]+G2138,jablka5[[#This Row],[sprzedaż]])</f>
        <v>14592</v>
      </c>
      <c r="H2139" s="1">
        <f>IF(jablka5[[#This Row],[dot sprz]]&lt;15000,0,IF(jablka5[[#This Row],[dot sprz]]&lt;20000,5,10))</f>
        <v>0</v>
      </c>
      <c r="I2139" s="1">
        <f>jablka5[[#This Row],[rabat]]*jablka5[[#This Row],[sprzedaż]]/100</f>
        <v>0</v>
      </c>
    </row>
    <row r="2140" spans="1:9" x14ac:dyDescent="0.25">
      <c r="A2140" s="2">
        <v>44914</v>
      </c>
      <c r="B2140" s="1" t="s">
        <v>0</v>
      </c>
      <c r="C2140" s="1" t="s">
        <v>16</v>
      </c>
      <c r="D2140" s="1" t="s">
        <v>65</v>
      </c>
      <c r="E2140">
        <v>417</v>
      </c>
      <c r="F2140" s="1">
        <f>VLOOKUP(jablka5[[#This Row],[Nazwa]],cennik[],2,0) * jablka5[[#This Row],[sprzedaż]]</f>
        <v>1209.3</v>
      </c>
      <c r="G2140" s="1">
        <f>IF(jablka5[[#This Row],[NIP]]=D2139,jablka5[[#This Row],[sprzedaż]]+G2139,jablka5[[#This Row],[sprzedaż]])</f>
        <v>15009</v>
      </c>
      <c r="H2140" s="1">
        <f>IF(jablka5[[#This Row],[dot sprz]]&lt;15000,0,IF(jablka5[[#This Row],[dot sprz]]&lt;20000,5,10))</f>
        <v>5</v>
      </c>
      <c r="I2140" s="1">
        <f>jablka5[[#This Row],[rabat]]*jablka5[[#This Row],[sprzedaż]]/100</f>
        <v>20.85</v>
      </c>
    </row>
    <row r="2141" spans="1:9" x14ac:dyDescent="0.25">
      <c r="A2141" s="2">
        <v>44921</v>
      </c>
      <c r="B2141" s="1" t="s">
        <v>4</v>
      </c>
      <c r="C2141" s="1" t="s">
        <v>16</v>
      </c>
      <c r="D2141" s="1" t="s">
        <v>65</v>
      </c>
      <c r="E2141">
        <v>662</v>
      </c>
      <c r="F2141" s="1">
        <f>VLOOKUP(jablka5[[#This Row],[Nazwa]],cennik[],2,0) * jablka5[[#This Row],[sprzedaż]]</f>
        <v>2250.7999999999997</v>
      </c>
      <c r="G2141" s="1">
        <f>IF(jablka5[[#This Row],[NIP]]=D2140,jablka5[[#This Row],[sprzedaż]]+G2140,jablka5[[#This Row],[sprzedaż]])</f>
        <v>15671</v>
      </c>
      <c r="H2141" s="1">
        <f>IF(jablka5[[#This Row],[dot sprz]]&lt;15000,0,IF(jablka5[[#This Row],[dot sprz]]&lt;20000,5,10))</f>
        <v>5</v>
      </c>
      <c r="I2141" s="1">
        <f>jablka5[[#This Row],[rabat]]*jablka5[[#This Row],[sprzedaż]]/100</f>
        <v>33.1</v>
      </c>
    </row>
    <row r="2142" spans="1:9" x14ac:dyDescent="0.25">
      <c r="A2142" s="2">
        <v>44566</v>
      </c>
      <c r="B2142" s="1" t="s">
        <v>8</v>
      </c>
      <c r="C2142" s="1" t="s">
        <v>16</v>
      </c>
      <c r="D2142" s="1" t="s">
        <v>37</v>
      </c>
      <c r="E2142">
        <v>318</v>
      </c>
      <c r="F2142" s="1">
        <f>VLOOKUP(jablka5[[#This Row],[Nazwa]],cennik[],2,0) * jablka5[[#This Row],[sprzedaż]]</f>
        <v>1113</v>
      </c>
      <c r="G2142" s="1">
        <f>IF(jablka5[[#This Row],[NIP]]=D2141,jablka5[[#This Row],[sprzedaż]]+G2141,jablka5[[#This Row],[sprzedaż]])</f>
        <v>318</v>
      </c>
      <c r="H2142" s="1">
        <f>IF(jablka5[[#This Row],[dot sprz]]&lt;15000,0,IF(jablka5[[#This Row],[dot sprz]]&lt;20000,5,10))</f>
        <v>0</v>
      </c>
      <c r="I2142" s="1">
        <f>jablka5[[#This Row],[rabat]]*jablka5[[#This Row],[sprzedaż]]/100</f>
        <v>0</v>
      </c>
    </row>
    <row r="2143" spans="1:9" x14ac:dyDescent="0.25">
      <c r="A2143" s="2">
        <v>44567</v>
      </c>
      <c r="B2143" s="1" t="s">
        <v>10</v>
      </c>
      <c r="C2143" s="1" t="s">
        <v>16</v>
      </c>
      <c r="D2143" s="1" t="s">
        <v>37</v>
      </c>
      <c r="E2143">
        <v>69</v>
      </c>
      <c r="F2143" s="1">
        <f>VLOOKUP(jablka5[[#This Row],[Nazwa]],cennik[],2,0) * jablka5[[#This Row],[sprzedaż]]</f>
        <v>234.6</v>
      </c>
      <c r="G2143" s="1">
        <f>IF(jablka5[[#This Row],[NIP]]=D2142,jablka5[[#This Row],[sprzedaż]]+G2142,jablka5[[#This Row],[sprzedaż]])</f>
        <v>387</v>
      </c>
      <c r="H2143" s="1">
        <f>IF(jablka5[[#This Row],[dot sprz]]&lt;15000,0,IF(jablka5[[#This Row],[dot sprz]]&lt;20000,5,10))</f>
        <v>0</v>
      </c>
      <c r="I2143" s="1">
        <f>jablka5[[#This Row],[rabat]]*jablka5[[#This Row],[sprzedaż]]/100</f>
        <v>0</v>
      </c>
    </row>
    <row r="2144" spans="1:9" x14ac:dyDescent="0.25">
      <c r="A2144" s="2">
        <v>44568</v>
      </c>
      <c r="B2144" s="1" t="s">
        <v>0</v>
      </c>
      <c r="C2144" s="1" t="s">
        <v>16</v>
      </c>
      <c r="D2144" s="1" t="s">
        <v>37</v>
      </c>
      <c r="E2144">
        <v>455</v>
      </c>
      <c r="F2144" s="1">
        <f>VLOOKUP(jablka5[[#This Row],[Nazwa]],cennik[],2,0) * jablka5[[#This Row],[sprzedaż]]</f>
        <v>1319.5</v>
      </c>
      <c r="G2144" s="1">
        <f>IF(jablka5[[#This Row],[NIP]]=D2143,jablka5[[#This Row],[sprzedaż]]+G2143,jablka5[[#This Row],[sprzedaż]])</f>
        <v>842</v>
      </c>
      <c r="H2144" s="1">
        <f>IF(jablka5[[#This Row],[dot sprz]]&lt;15000,0,IF(jablka5[[#This Row],[dot sprz]]&lt;20000,5,10))</f>
        <v>0</v>
      </c>
      <c r="I2144" s="1">
        <f>jablka5[[#This Row],[rabat]]*jablka5[[#This Row],[sprzedaż]]/100</f>
        <v>0</v>
      </c>
    </row>
    <row r="2145" spans="1:9" x14ac:dyDescent="0.25">
      <c r="A2145" s="2">
        <v>44573</v>
      </c>
      <c r="B2145" s="1" t="s">
        <v>10</v>
      </c>
      <c r="C2145" s="1" t="s">
        <v>16</v>
      </c>
      <c r="D2145" s="1" t="s">
        <v>37</v>
      </c>
      <c r="E2145">
        <v>369</v>
      </c>
      <c r="F2145" s="1">
        <f>VLOOKUP(jablka5[[#This Row],[Nazwa]],cennik[],2,0) * jablka5[[#This Row],[sprzedaż]]</f>
        <v>1254.5999999999999</v>
      </c>
      <c r="G2145" s="1">
        <f>IF(jablka5[[#This Row],[NIP]]=D2144,jablka5[[#This Row],[sprzedaż]]+G2144,jablka5[[#This Row],[sprzedaż]])</f>
        <v>1211</v>
      </c>
      <c r="H2145" s="1">
        <f>IF(jablka5[[#This Row],[dot sprz]]&lt;15000,0,IF(jablka5[[#This Row],[dot sprz]]&lt;20000,5,10))</f>
        <v>0</v>
      </c>
      <c r="I2145" s="1">
        <f>jablka5[[#This Row],[rabat]]*jablka5[[#This Row],[sprzedaż]]/100</f>
        <v>0</v>
      </c>
    </row>
    <row r="2146" spans="1:9" x14ac:dyDescent="0.25">
      <c r="A2146" s="2">
        <v>44587</v>
      </c>
      <c r="B2146" s="1" t="s">
        <v>4</v>
      </c>
      <c r="C2146" s="1" t="s">
        <v>16</v>
      </c>
      <c r="D2146" s="1" t="s">
        <v>37</v>
      </c>
      <c r="E2146">
        <v>646</v>
      </c>
      <c r="F2146" s="1">
        <f>VLOOKUP(jablka5[[#This Row],[Nazwa]],cennik[],2,0) * jablka5[[#This Row],[sprzedaż]]</f>
        <v>2196.4</v>
      </c>
      <c r="G2146" s="1">
        <f>IF(jablka5[[#This Row],[NIP]]=D2145,jablka5[[#This Row],[sprzedaż]]+G2145,jablka5[[#This Row],[sprzedaż]])</f>
        <v>1857</v>
      </c>
      <c r="H2146" s="1">
        <f>IF(jablka5[[#This Row],[dot sprz]]&lt;15000,0,IF(jablka5[[#This Row],[dot sprz]]&lt;20000,5,10))</f>
        <v>0</v>
      </c>
      <c r="I2146" s="1">
        <f>jablka5[[#This Row],[rabat]]*jablka5[[#This Row],[sprzedaż]]/100</f>
        <v>0</v>
      </c>
    </row>
    <row r="2147" spans="1:9" x14ac:dyDescent="0.25">
      <c r="A2147" s="2">
        <v>44592</v>
      </c>
      <c r="B2147" s="1" t="s">
        <v>0</v>
      </c>
      <c r="C2147" s="1" t="s">
        <v>16</v>
      </c>
      <c r="D2147" s="1" t="s">
        <v>37</v>
      </c>
      <c r="E2147">
        <v>148</v>
      </c>
      <c r="F2147" s="1">
        <f>VLOOKUP(jablka5[[#This Row],[Nazwa]],cennik[],2,0) * jablka5[[#This Row],[sprzedaż]]</f>
        <v>429.2</v>
      </c>
      <c r="G2147" s="1">
        <f>IF(jablka5[[#This Row],[NIP]]=D2146,jablka5[[#This Row],[sprzedaż]]+G2146,jablka5[[#This Row],[sprzedaż]])</f>
        <v>2005</v>
      </c>
      <c r="H2147" s="1">
        <f>IF(jablka5[[#This Row],[dot sprz]]&lt;15000,0,IF(jablka5[[#This Row],[dot sprz]]&lt;20000,5,10))</f>
        <v>0</v>
      </c>
      <c r="I2147" s="1">
        <f>jablka5[[#This Row],[rabat]]*jablka5[[#This Row],[sprzedaż]]/100</f>
        <v>0</v>
      </c>
    </row>
    <row r="2148" spans="1:9" x14ac:dyDescent="0.25">
      <c r="A2148" s="2">
        <v>44620</v>
      </c>
      <c r="B2148" s="1" t="s">
        <v>7</v>
      </c>
      <c r="C2148" s="1" t="s">
        <v>16</v>
      </c>
      <c r="D2148" s="1" t="s">
        <v>37</v>
      </c>
      <c r="E2148">
        <v>674</v>
      </c>
      <c r="F2148" s="1">
        <f>VLOOKUP(jablka5[[#This Row],[Nazwa]],cennik[],2,0) * jablka5[[#This Row],[sprzedaż]]</f>
        <v>2291.6</v>
      </c>
      <c r="G2148" s="1">
        <f>IF(jablka5[[#This Row],[NIP]]=D2147,jablka5[[#This Row],[sprzedaż]]+G2147,jablka5[[#This Row],[sprzedaż]])</f>
        <v>2679</v>
      </c>
      <c r="H2148" s="1">
        <f>IF(jablka5[[#This Row],[dot sprz]]&lt;15000,0,IF(jablka5[[#This Row],[dot sprz]]&lt;20000,5,10))</f>
        <v>0</v>
      </c>
      <c r="I2148" s="1">
        <f>jablka5[[#This Row],[rabat]]*jablka5[[#This Row],[sprzedaż]]/100</f>
        <v>0</v>
      </c>
    </row>
    <row r="2149" spans="1:9" x14ac:dyDescent="0.25">
      <c r="A2149" s="2">
        <v>44631</v>
      </c>
      <c r="B2149" s="1" t="s">
        <v>8</v>
      </c>
      <c r="C2149" s="1" t="s">
        <v>16</v>
      </c>
      <c r="D2149" s="1" t="s">
        <v>37</v>
      </c>
      <c r="E2149">
        <v>322</v>
      </c>
      <c r="F2149" s="1">
        <f>VLOOKUP(jablka5[[#This Row],[Nazwa]],cennik[],2,0) * jablka5[[#This Row],[sprzedaż]]</f>
        <v>1127</v>
      </c>
      <c r="G2149" s="1">
        <f>IF(jablka5[[#This Row],[NIP]]=D2148,jablka5[[#This Row],[sprzedaż]]+G2148,jablka5[[#This Row],[sprzedaż]])</f>
        <v>3001</v>
      </c>
      <c r="H2149" s="1">
        <f>IF(jablka5[[#This Row],[dot sprz]]&lt;15000,0,IF(jablka5[[#This Row],[dot sprz]]&lt;20000,5,10))</f>
        <v>0</v>
      </c>
      <c r="I2149" s="1">
        <f>jablka5[[#This Row],[rabat]]*jablka5[[#This Row],[sprzedaż]]/100</f>
        <v>0</v>
      </c>
    </row>
    <row r="2150" spans="1:9" x14ac:dyDescent="0.25">
      <c r="A2150" s="2">
        <v>44636</v>
      </c>
      <c r="B2150" s="1" t="s">
        <v>4</v>
      </c>
      <c r="C2150" s="1" t="s">
        <v>16</v>
      </c>
      <c r="D2150" s="1" t="s">
        <v>37</v>
      </c>
      <c r="E2150">
        <v>405</v>
      </c>
      <c r="F2150" s="1">
        <f>VLOOKUP(jablka5[[#This Row],[Nazwa]],cennik[],2,0) * jablka5[[#This Row],[sprzedaż]]</f>
        <v>1377</v>
      </c>
      <c r="G2150" s="1">
        <f>IF(jablka5[[#This Row],[NIP]]=D2149,jablka5[[#This Row],[sprzedaż]]+G2149,jablka5[[#This Row],[sprzedaż]])</f>
        <v>3406</v>
      </c>
      <c r="H2150" s="1">
        <f>IF(jablka5[[#This Row],[dot sprz]]&lt;15000,0,IF(jablka5[[#This Row],[dot sprz]]&lt;20000,5,10))</f>
        <v>0</v>
      </c>
      <c r="I2150" s="1">
        <f>jablka5[[#This Row],[rabat]]*jablka5[[#This Row],[sprzedaż]]/100</f>
        <v>0</v>
      </c>
    </row>
    <row r="2151" spans="1:9" x14ac:dyDescent="0.25">
      <c r="A2151" s="2">
        <v>44648</v>
      </c>
      <c r="B2151" s="1" t="s">
        <v>5</v>
      </c>
      <c r="C2151" s="1" t="s">
        <v>16</v>
      </c>
      <c r="D2151" s="1" t="s">
        <v>37</v>
      </c>
      <c r="E2151">
        <v>407</v>
      </c>
      <c r="F2151" s="1">
        <f>VLOOKUP(jablka5[[#This Row],[Nazwa]],cennik[],2,0) * jablka5[[#This Row],[sprzedaż]]</f>
        <v>1383.8</v>
      </c>
      <c r="G2151" s="1">
        <f>IF(jablka5[[#This Row],[NIP]]=D2150,jablka5[[#This Row],[sprzedaż]]+G2150,jablka5[[#This Row],[sprzedaż]])</f>
        <v>3813</v>
      </c>
      <c r="H2151" s="1">
        <f>IF(jablka5[[#This Row],[dot sprz]]&lt;15000,0,IF(jablka5[[#This Row],[dot sprz]]&lt;20000,5,10))</f>
        <v>0</v>
      </c>
      <c r="I2151" s="1">
        <f>jablka5[[#This Row],[rabat]]*jablka5[[#This Row],[sprzedaż]]/100</f>
        <v>0</v>
      </c>
    </row>
    <row r="2152" spans="1:9" x14ac:dyDescent="0.25">
      <c r="A2152" s="2">
        <v>44660</v>
      </c>
      <c r="B2152" s="1" t="s">
        <v>7</v>
      </c>
      <c r="C2152" s="1" t="s">
        <v>16</v>
      </c>
      <c r="D2152" s="1" t="s">
        <v>37</v>
      </c>
      <c r="E2152">
        <v>541</v>
      </c>
      <c r="F2152" s="1">
        <f>VLOOKUP(jablka5[[#This Row],[Nazwa]],cennik[],2,0) * jablka5[[#This Row],[sprzedaż]]</f>
        <v>1839.3999999999999</v>
      </c>
      <c r="G2152" s="1">
        <f>IF(jablka5[[#This Row],[NIP]]=D2151,jablka5[[#This Row],[sprzedaż]]+G2151,jablka5[[#This Row],[sprzedaż]])</f>
        <v>4354</v>
      </c>
      <c r="H2152" s="1">
        <f>IF(jablka5[[#This Row],[dot sprz]]&lt;15000,0,IF(jablka5[[#This Row],[dot sprz]]&lt;20000,5,10))</f>
        <v>0</v>
      </c>
      <c r="I2152" s="1">
        <f>jablka5[[#This Row],[rabat]]*jablka5[[#This Row],[sprzedaż]]/100</f>
        <v>0</v>
      </c>
    </row>
    <row r="2153" spans="1:9" x14ac:dyDescent="0.25">
      <c r="A2153" s="2">
        <v>44663</v>
      </c>
      <c r="B2153" s="1" t="s">
        <v>4</v>
      </c>
      <c r="C2153" s="1" t="s">
        <v>16</v>
      </c>
      <c r="D2153" s="1" t="s">
        <v>37</v>
      </c>
      <c r="E2153">
        <v>489</v>
      </c>
      <c r="F2153" s="1">
        <f>VLOOKUP(jablka5[[#This Row],[Nazwa]],cennik[],2,0) * jablka5[[#This Row],[sprzedaż]]</f>
        <v>1662.6</v>
      </c>
      <c r="G2153" s="1">
        <f>IF(jablka5[[#This Row],[NIP]]=D2152,jablka5[[#This Row],[sprzedaż]]+G2152,jablka5[[#This Row],[sprzedaż]])</f>
        <v>4843</v>
      </c>
      <c r="H2153" s="1">
        <f>IF(jablka5[[#This Row],[dot sprz]]&lt;15000,0,IF(jablka5[[#This Row],[dot sprz]]&lt;20000,5,10))</f>
        <v>0</v>
      </c>
      <c r="I2153" s="1">
        <f>jablka5[[#This Row],[rabat]]*jablka5[[#This Row],[sprzedaż]]/100</f>
        <v>0</v>
      </c>
    </row>
    <row r="2154" spans="1:9" x14ac:dyDescent="0.25">
      <c r="A2154" s="2">
        <v>44686</v>
      </c>
      <c r="B2154" s="1" t="s">
        <v>10</v>
      </c>
      <c r="C2154" s="1" t="s">
        <v>16</v>
      </c>
      <c r="D2154" s="1" t="s">
        <v>37</v>
      </c>
      <c r="E2154">
        <v>438</v>
      </c>
      <c r="F2154" s="1">
        <f>VLOOKUP(jablka5[[#This Row],[Nazwa]],cennik[],2,0) * jablka5[[#This Row],[sprzedaż]]</f>
        <v>1489.2</v>
      </c>
      <c r="G2154" s="1">
        <f>IF(jablka5[[#This Row],[NIP]]=D2153,jablka5[[#This Row],[sprzedaż]]+G2153,jablka5[[#This Row],[sprzedaż]])</f>
        <v>5281</v>
      </c>
      <c r="H2154" s="1">
        <f>IF(jablka5[[#This Row],[dot sprz]]&lt;15000,0,IF(jablka5[[#This Row],[dot sprz]]&lt;20000,5,10))</f>
        <v>0</v>
      </c>
      <c r="I2154" s="1">
        <f>jablka5[[#This Row],[rabat]]*jablka5[[#This Row],[sprzedaż]]/100</f>
        <v>0</v>
      </c>
    </row>
    <row r="2155" spans="1:9" x14ac:dyDescent="0.25">
      <c r="A2155" s="2">
        <v>44692</v>
      </c>
      <c r="B2155" s="1" t="s">
        <v>15</v>
      </c>
      <c r="C2155" s="1" t="s">
        <v>16</v>
      </c>
      <c r="D2155" s="1" t="s">
        <v>37</v>
      </c>
      <c r="E2155">
        <v>259</v>
      </c>
      <c r="F2155" s="1">
        <f>VLOOKUP(jablka5[[#This Row],[Nazwa]],cennik[],2,0) * jablka5[[#This Row],[sprzedaż]]</f>
        <v>621.6</v>
      </c>
      <c r="G2155" s="1">
        <f>IF(jablka5[[#This Row],[NIP]]=D2154,jablka5[[#This Row],[sprzedaż]]+G2154,jablka5[[#This Row],[sprzedaż]])</f>
        <v>5540</v>
      </c>
      <c r="H2155" s="1">
        <f>IF(jablka5[[#This Row],[dot sprz]]&lt;15000,0,IF(jablka5[[#This Row],[dot sprz]]&lt;20000,5,10))</f>
        <v>0</v>
      </c>
      <c r="I2155" s="1">
        <f>jablka5[[#This Row],[rabat]]*jablka5[[#This Row],[sprzedaż]]/100</f>
        <v>0</v>
      </c>
    </row>
    <row r="2156" spans="1:9" x14ac:dyDescent="0.25">
      <c r="A2156" s="2">
        <v>44698</v>
      </c>
      <c r="B2156" s="1" t="s">
        <v>7</v>
      </c>
      <c r="C2156" s="1" t="s">
        <v>16</v>
      </c>
      <c r="D2156" s="1" t="s">
        <v>37</v>
      </c>
      <c r="E2156">
        <v>490</v>
      </c>
      <c r="F2156" s="1">
        <f>VLOOKUP(jablka5[[#This Row],[Nazwa]],cennik[],2,0) * jablka5[[#This Row],[sprzedaż]]</f>
        <v>1666</v>
      </c>
      <c r="G2156" s="1">
        <f>IF(jablka5[[#This Row],[NIP]]=D2155,jablka5[[#This Row],[sprzedaż]]+G2155,jablka5[[#This Row],[sprzedaż]])</f>
        <v>6030</v>
      </c>
      <c r="H2156" s="1">
        <f>IF(jablka5[[#This Row],[dot sprz]]&lt;15000,0,IF(jablka5[[#This Row],[dot sprz]]&lt;20000,5,10))</f>
        <v>0</v>
      </c>
      <c r="I2156" s="1">
        <f>jablka5[[#This Row],[rabat]]*jablka5[[#This Row],[sprzedaż]]/100</f>
        <v>0</v>
      </c>
    </row>
    <row r="2157" spans="1:9" x14ac:dyDescent="0.25">
      <c r="A2157" s="2">
        <v>44699</v>
      </c>
      <c r="B2157" s="1" t="s">
        <v>15</v>
      </c>
      <c r="C2157" s="1" t="s">
        <v>16</v>
      </c>
      <c r="D2157" s="1" t="s">
        <v>37</v>
      </c>
      <c r="E2157">
        <v>585</v>
      </c>
      <c r="F2157" s="1">
        <f>VLOOKUP(jablka5[[#This Row],[Nazwa]],cennik[],2,0) * jablka5[[#This Row],[sprzedaż]]</f>
        <v>1404</v>
      </c>
      <c r="G2157" s="1">
        <f>IF(jablka5[[#This Row],[NIP]]=D2156,jablka5[[#This Row],[sprzedaż]]+G2156,jablka5[[#This Row],[sprzedaż]])</f>
        <v>6615</v>
      </c>
      <c r="H2157" s="1">
        <f>IF(jablka5[[#This Row],[dot sprz]]&lt;15000,0,IF(jablka5[[#This Row],[dot sprz]]&lt;20000,5,10))</f>
        <v>0</v>
      </c>
      <c r="I2157" s="1">
        <f>jablka5[[#This Row],[rabat]]*jablka5[[#This Row],[sprzedaż]]/100</f>
        <v>0</v>
      </c>
    </row>
    <row r="2158" spans="1:9" x14ac:dyDescent="0.25">
      <c r="A2158" s="2">
        <v>44715</v>
      </c>
      <c r="B2158" s="1" t="s">
        <v>13</v>
      </c>
      <c r="C2158" s="1" t="s">
        <v>68</v>
      </c>
      <c r="D2158" s="1" t="s">
        <v>37</v>
      </c>
      <c r="E2158">
        <v>303</v>
      </c>
      <c r="F2158" s="1">
        <f>VLOOKUP(jablka5[[#This Row],[Nazwa]],cennik[],2,0) * jablka5[[#This Row],[sprzedaż]]</f>
        <v>969.6</v>
      </c>
      <c r="G2158" s="1">
        <f>IF(jablka5[[#This Row],[NIP]]=D2157,jablka5[[#This Row],[sprzedaż]]+G2157,jablka5[[#This Row],[sprzedaż]])</f>
        <v>6918</v>
      </c>
      <c r="H2158" s="1">
        <f>IF(jablka5[[#This Row],[dot sprz]]&lt;15000,0,IF(jablka5[[#This Row],[dot sprz]]&lt;20000,5,10))</f>
        <v>0</v>
      </c>
      <c r="I2158" s="1">
        <f>jablka5[[#This Row],[rabat]]*jablka5[[#This Row],[sprzedaż]]/100</f>
        <v>0</v>
      </c>
    </row>
    <row r="2159" spans="1:9" x14ac:dyDescent="0.25">
      <c r="A2159" s="2">
        <v>44718</v>
      </c>
      <c r="B2159" s="1" t="s">
        <v>12</v>
      </c>
      <c r="C2159" s="1" t="s">
        <v>68</v>
      </c>
      <c r="D2159" s="1" t="s">
        <v>37</v>
      </c>
      <c r="E2159">
        <v>258</v>
      </c>
      <c r="F2159" s="1">
        <f>VLOOKUP(jablka5[[#This Row],[Nazwa]],cennik[],2,0) * jablka5[[#This Row],[sprzedaż]]</f>
        <v>696.6</v>
      </c>
      <c r="G2159" s="1">
        <f>IF(jablka5[[#This Row],[NIP]]=D2158,jablka5[[#This Row],[sprzedaż]]+G2158,jablka5[[#This Row],[sprzedaż]])</f>
        <v>7176</v>
      </c>
      <c r="H2159" s="1">
        <f>IF(jablka5[[#This Row],[dot sprz]]&lt;15000,0,IF(jablka5[[#This Row],[dot sprz]]&lt;20000,5,10))</f>
        <v>0</v>
      </c>
      <c r="I2159" s="1">
        <f>jablka5[[#This Row],[rabat]]*jablka5[[#This Row],[sprzedaż]]/100</f>
        <v>0</v>
      </c>
    </row>
    <row r="2160" spans="1:9" x14ac:dyDescent="0.25">
      <c r="A2160" s="2">
        <v>44723</v>
      </c>
      <c r="B2160" s="1" t="s">
        <v>14</v>
      </c>
      <c r="C2160" s="1" t="s">
        <v>67</v>
      </c>
      <c r="D2160" s="1" t="s">
        <v>37</v>
      </c>
      <c r="E2160">
        <v>221</v>
      </c>
      <c r="F2160" s="1">
        <f>VLOOKUP(jablka5[[#This Row],[Nazwa]],cennik[],2,0) * jablka5[[#This Row],[sprzedaż]]</f>
        <v>773.5</v>
      </c>
      <c r="G2160" s="1">
        <f>IF(jablka5[[#This Row],[NIP]]=D2159,jablka5[[#This Row],[sprzedaż]]+G2159,jablka5[[#This Row],[sprzedaż]])</f>
        <v>7397</v>
      </c>
      <c r="H2160" s="1">
        <f>IF(jablka5[[#This Row],[dot sprz]]&lt;15000,0,IF(jablka5[[#This Row],[dot sprz]]&lt;20000,5,10))</f>
        <v>0</v>
      </c>
      <c r="I2160" s="1">
        <f>jablka5[[#This Row],[rabat]]*jablka5[[#This Row],[sprzedaż]]/100</f>
        <v>0</v>
      </c>
    </row>
    <row r="2161" spans="1:9" x14ac:dyDescent="0.25">
      <c r="A2161" s="2">
        <v>44748</v>
      </c>
      <c r="B2161" s="1" t="s">
        <v>13</v>
      </c>
      <c r="C2161" s="1" t="s">
        <v>68</v>
      </c>
      <c r="D2161" s="1" t="s">
        <v>37</v>
      </c>
      <c r="E2161">
        <v>329</v>
      </c>
      <c r="F2161" s="1">
        <f>VLOOKUP(jablka5[[#This Row],[Nazwa]],cennik[],2,0) * jablka5[[#This Row],[sprzedaż]]</f>
        <v>1052.8</v>
      </c>
      <c r="G2161" s="1">
        <f>IF(jablka5[[#This Row],[NIP]]=D2160,jablka5[[#This Row],[sprzedaż]]+G2160,jablka5[[#This Row],[sprzedaż]])</f>
        <v>7726</v>
      </c>
      <c r="H2161" s="1">
        <f>IF(jablka5[[#This Row],[dot sprz]]&lt;15000,0,IF(jablka5[[#This Row],[dot sprz]]&lt;20000,5,10))</f>
        <v>0</v>
      </c>
      <c r="I2161" s="1">
        <f>jablka5[[#This Row],[rabat]]*jablka5[[#This Row],[sprzedaż]]/100</f>
        <v>0</v>
      </c>
    </row>
    <row r="2162" spans="1:9" x14ac:dyDescent="0.25">
      <c r="A2162" s="2">
        <v>44753</v>
      </c>
      <c r="B2162" s="1" t="s">
        <v>14</v>
      </c>
      <c r="C2162" s="1" t="s">
        <v>67</v>
      </c>
      <c r="D2162" s="1" t="s">
        <v>37</v>
      </c>
      <c r="E2162">
        <v>69</v>
      </c>
      <c r="F2162" s="1">
        <f>VLOOKUP(jablka5[[#This Row],[Nazwa]],cennik[],2,0) * jablka5[[#This Row],[sprzedaż]]</f>
        <v>241.5</v>
      </c>
      <c r="G2162" s="1">
        <f>IF(jablka5[[#This Row],[NIP]]=D2161,jablka5[[#This Row],[sprzedaż]]+G2161,jablka5[[#This Row],[sprzedaż]])</f>
        <v>7795</v>
      </c>
      <c r="H2162" s="1">
        <f>IF(jablka5[[#This Row],[dot sprz]]&lt;15000,0,IF(jablka5[[#This Row],[dot sprz]]&lt;20000,5,10))</f>
        <v>0</v>
      </c>
      <c r="I2162" s="1">
        <f>jablka5[[#This Row],[rabat]]*jablka5[[#This Row],[sprzedaż]]/100</f>
        <v>0</v>
      </c>
    </row>
    <row r="2163" spans="1:9" x14ac:dyDescent="0.25">
      <c r="A2163" s="2">
        <v>44771</v>
      </c>
      <c r="B2163" s="1" t="s">
        <v>12</v>
      </c>
      <c r="C2163" s="1" t="s">
        <v>68</v>
      </c>
      <c r="D2163" s="1" t="s">
        <v>37</v>
      </c>
      <c r="E2163">
        <v>420</v>
      </c>
      <c r="F2163" s="1">
        <f>VLOOKUP(jablka5[[#This Row],[Nazwa]],cennik[],2,0) * jablka5[[#This Row],[sprzedaż]]</f>
        <v>1134</v>
      </c>
      <c r="G2163" s="1">
        <f>IF(jablka5[[#This Row],[NIP]]=D2162,jablka5[[#This Row],[sprzedaż]]+G2162,jablka5[[#This Row],[sprzedaż]])</f>
        <v>8215</v>
      </c>
      <c r="H2163" s="1">
        <f>IF(jablka5[[#This Row],[dot sprz]]&lt;15000,0,IF(jablka5[[#This Row],[dot sprz]]&lt;20000,5,10))</f>
        <v>0</v>
      </c>
      <c r="I2163" s="1">
        <f>jablka5[[#This Row],[rabat]]*jablka5[[#This Row],[sprzedaż]]/100</f>
        <v>0</v>
      </c>
    </row>
    <row r="2164" spans="1:9" x14ac:dyDescent="0.25">
      <c r="A2164" s="2">
        <v>44777</v>
      </c>
      <c r="B2164" s="1" t="s">
        <v>12</v>
      </c>
      <c r="C2164" s="1" t="s">
        <v>68</v>
      </c>
      <c r="D2164" s="1" t="s">
        <v>37</v>
      </c>
      <c r="E2164">
        <v>465</v>
      </c>
      <c r="F2164" s="1">
        <f>VLOOKUP(jablka5[[#This Row],[Nazwa]],cennik[],2,0) * jablka5[[#This Row],[sprzedaż]]</f>
        <v>1255.5</v>
      </c>
      <c r="G2164" s="1">
        <f>IF(jablka5[[#This Row],[NIP]]=D2163,jablka5[[#This Row],[sprzedaż]]+G2163,jablka5[[#This Row],[sprzedaż]])</f>
        <v>8680</v>
      </c>
      <c r="H2164" s="1">
        <f>IF(jablka5[[#This Row],[dot sprz]]&lt;15000,0,IF(jablka5[[#This Row],[dot sprz]]&lt;20000,5,10))</f>
        <v>0</v>
      </c>
      <c r="I2164" s="1">
        <f>jablka5[[#This Row],[rabat]]*jablka5[[#This Row],[sprzedaż]]/100</f>
        <v>0</v>
      </c>
    </row>
    <row r="2165" spans="1:9" x14ac:dyDescent="0.25">
      <c r="A2165" s="2">
        <v>44781</v>
      </c>
      <c r="B2165" s="1" t="s">
        <v>12</v>
      </c>
      <c r="C2165" s="1" t="s">
        <v>68</v>
      </c>
      <c r="D2165" s="1" t="s">
        <v>37</v>
      </c>
      <c r="E2165">
        <v>499</v>
      </c>
      <c r="F2165" s="1">
        <f>VLOOKUP(jablka5[[#This Row],[Nazwa]],cennik[],2,0) * jablka5[[#This Row],[sprzedaż]]</f>
        <v>1347.3000000000002</v>
      </c>
      <c r="G2165" s="1">
        <f>IF(jablka5[[#This Row],[NIP]]=D2164,jablka5[[#This Row],[sprzedaż]]+G2164,jablka5[[#This Row],[sprzedaż]])</f>
        <v>9179</v>
      </c>
      <c r="H2165" s="1">
        <f>IF(jablka5[[#This Row],[dot sprz]]&lt;15000,0,IF(jablka5[[#This Row],[dot sprz]]&lt;20000,5,10))</f>
        <v>0</v>
      </c>
      <c r="I2165" s="1">
        <f>jablka5[[#This Row],[rabat]]*jablka5[[#This Row],[sprzedaż]]/100</f>
        <v>0</v>
      </c>
    </row>
    <row r="2166" spans="1:9" x14ac:dyDescent="0.25">
      <c r="A2166" s="2">
        <v>44795</v>
      </c>
      <c r="B2166" s="1" t="s">
        <v>14</v>
      </c>
      <c r="C2166" s="1" t="s">
        <v>67</v>
      </c>
      <c r="D2166" s="1" t="s">
        <v>37</v>
      </c>
      <c r="E2166">
        <v>285</v>
      </c>
      <c r="F2166" s="1">
        <f>VLOOKUP(jablka5[[#This Row],[Nazwa]],cennik[],2,0) * jablka5[[#This Row],[sprzedaż]]</f>
        <v>997.5</v>
      </c>
      <c r="G2166" s="1">
        <f>IF(jablka5[[#This Row],[NIP]]=D2165,jablka5[[#This Row],[sprzedaż]]+G2165,jablka5[[#This Row],[sprzedaż]])</f>
        <v>9464</v>
      </c>
      <c r="H2166" s="1">
        <f>IF(jablka5[[#This Row],[dot sprz]]&lt;15000,0,IF(jablka5[[#This Row],[dot sprz]]&lt;20000,5,10))</f>
        <v>0</v>
      </c>
      <c r="I2166" s="1">
        <f>jablka5[[#This Row],[rabat]]*jablka5[[#This Row],[sprzedaż]]/100</f>
        <v>0</v>
      </c>
    </row>
    <row r="2167" spans="1:9" x14ac:dyDescent="0.25">
      <c r="A2167" s="2">
        <v>44811</v>
      </c>
      <c r="B2167" s="1" t="s">
        <v>14</v>
      </c>
      <c r="C2167" s="1" t="s">
        <v>67</v>
      </c>
      <c r="D2167" s="1" t="s">
        <v>37</v>
      </c>
      <c r="E2167">
        <v>416</v>
      </c>
      <c r="F2167" s="1">
        <f>VLOOKUP(jablka5[[#This Row],[Nazwa]],cennik[],2,0) * jablka5[[#This Row],[sprzedaż]]</f>
        <v>1456</v>
      </c>
      <c r="G2167" s="1">
        <f>IF(jablka5[[#This Row],[NIP]]=D2166,jablka5[[#This Row],[sprzedaż]]+G2166,jablka5[[#This Row],[sprzedaż]])</f>
        <v>9880</v>
      </c>
      <c r="H2167" s="1">
        <f>IF(jablka5[[#This Row],[dot sprz]]&lt;15000,0,IF(jablka5[[#This Row],[dot sprz]]&lt;20000,5,10))</f>
        <v>0</v>
      </c>
      <c r="I2167" s="1">
        <f>jablka5[[#This Row],[rabat]]*jablka5[[#This Row],[sprzedaż]]/100</f>
        <v>0</v>
      </c>
    </row>
    <row r="2168" spans="1:9" x14ac:dyDescent="0.25">
      <c r="A2168" s="2">
        <v>44813</v>
      </c>
      <c r="B2168" s="1" t="s">
        <v>11</v>
      </c>
      <c r="C2168" s="1" t="s">
        <v>67</v>
      </c>
      <c r="D2168" s="1" t="s">
        <v>37</v>
      </c>
      <c r="E2168">
        <v>203</v>
      </c>
      <c r="F2168" s="1">
        <f>VLOOKUP(jablka5[[#This Row],[Nazwa]],cennik[],2,0) * jablka5[[#This Row],[sprzedaż]]</f>
        <v>507.5</v>
      </c>
      <c r="G2168" s="1">
        <f>IF(jablka5[[#This Row],[NIP]]=D2167,jablka5[[#This Row],[sprzedaż]]+G2167,jablka5[[#This Row],[sprzedaż]])</f>
        <v>10083</v>
      </c>
      <c r="H2168" s="1">
        <f>IF(jablka5[[#This Row],[dot sprz]]&lt;15000,0,IF(jablka5[[#This Row],[dot sprz]]&lt;20000,5,10))</f>
        <v>0</v>
      </c>
      <c r="I2168" s="1">
        <f>jablka5[[#This Row],[rabat]]*jablka5[[#This Row],[sprzedaż]]/100</f>
        <v>0</v>
      </c>
    </row>
    <row r="2169" spans="1:9" x14ac:dyDescent="0.25">
      <c r="A2169" s="2">
        <v>44823</v>
      </c>
      <c r="B2169" s="1" t="s">
        <v>11</v>
      </c>
      <c r="C2169" s="1" t="s">
        <v>67</v>
      </c>
      <c r="D2169" s="1" t="s">
        <v>37</v>
      </c>
      <c r="E2169">
        <v>394</v>
      </c>
      <c r="F2169" s="1">
        <f>VLOOKUP(jablka5[[#This Row],[Nazwa]],cennik[],2,0) * jablka5[[#This Row],[sprzedaż]]</f>
        <v>985</v>
      </c>
      <c r="G2169" s="1">
        <f>IF(jablka5[[#This Row],[NIP]]=D2168,jablka5[[#This Row],[sprzedaż]]+G2168,jablka5[[#This Row],[sprzedaż]])</f>
        <v>10477</v>
      </c>
      <c r="H2169" s="1">
        <f>IF(jablka5[[#This Row],[dot sprz]]&lt;15000,0,IF(jablka5[[#This Row],[dot sprz]]&lt;20000,5,10))</f>
        <v>0</v>
      </c>
      <c r="I2169" s="1">
        <f>jablka5[[#This Row],[rabat]]*jablka5[[#This Row],[sprzedaż]]/100</f>
        <v>0</v>
      </c>
    </row>
    <row r="2170" spans="1:9" x14ac:dyDescent="0.25">
      <c r="A2170" s="2">
        <v>44827</v>
      </c>
      <c r="B2170" s="1" t="s">
        <v>14</v>
      </c>
      <c r="C2170" s="1" t="s">
        <v>67</v>
      </c>
      <c r="D2170" s="1" t="s">
        <v>37</v>
      </c>
      <c r="E2170">
        <v>364</v>
      </c>
      <c r="F2170" s="1">
        <f>VLOOKUP(jablka5[[#This Row],[Nazwa]],cennik[],2,0) * jablka5[[#This Row],[sprzedaż]]</f>
        <v>1274</v>
      </c>
      <c r="G2170" s="1">
        <f>IF(jablka5[[#This Row],[NIP]]=D2169,jablka5[[#This Row],[sprzedaż]]+G2169,jablka5[[#This Row],[sprzedaż]])</f>
        <v>10841</v>
      </c>
      <c r="H2170" s="1">
        <f>IF(jablka5[[#This Row],[dot sprz]]&lt;15000,0,IF(jablka5[[#This Row],[dot sprz]]&lt;20000,5,10))</f>
        <v>0</v>
      </c>
      <c r="I2170" s="1">
        <f>jablka5[[#This Row],[rabat]]*jablka5[[#This Row],[sprzedaż]]/100</f>
        <v>0</v>
      </c>
    </row>
    <row r="2171" spans="1:9" x14ac:dyDescent="0.25">
      <c r="A2171" s="2">
        <v>44847</v>
      </c>
      <c r="B2171" s="1" t="s">
        <v>9</v>
      </c>
      <c r="C2171" s="1" t="s">
        <v>67</v>
      </c>
      <c r="D2171" s="1" t="s">
        <v>37</v>
      </c>
      <c r="E2171">
        <v>454</v>
      </c>
      <c r="F2171" s="1">
        <f>VLOOKUP(jablka5[[#This Row],[Nazwa]],cennik[],2,0) * jablka5[[#This Row],[sprzedaż]]</f>
        <v>1135</v>
      </c>
      <c r="G2171" s="1">
        <f>IF(jablka5[[#This Row],[NIP]]=D2170,jablka5[[#This Row],[sprzedaż]]+G2170,jablka5[[#This Row],[sprzedaż]])</f>
        <v>11295</v>
      </c>
      <c r="H2171" s="1">
        <f>IF(jablka5[[#This Row],[dot sprz]]&lt;15000,0,IF(jablka5[[#This Row],[dot sprz]]&lt;20000,5,10))</f>
        <v>0</v>
      </c>
      <c r="I2171" s="1">
        <f>jablka5[[#This Row],[rabat]]*jablka5[[#This Row],[sprzedaż]]/100</f>
        <v>0</v>
      </c>
    </row>
    <row r="2172" spans="1:9" x14ac:dyDescent="0.25">
      <c r="A2172" s="2">
        <v>44856</v>
      </c>
      <c r="B2172" s="1" t="s">
        <v>14</v>
      </c>
      <c r="C2172" s="1" t="s">
        <v>67</v>
      </c>
      <c r="D2172" s="1" t="s">
        <v>37</v>
      </c>
      <c r="E2172">
        <v>102</v>
      </c>
      <c r="F2172" s="1">
        <f>VLOOKUP(jablka5[[#This Row],[Nazwa]],cennik[],2,0) * jablka5[[#This Row],[sprzedaż]]</f>
        <v>357</v>
      </c>
      <c r="G2172" s="1">
        <f>IF(jablka5[[#This Row],[NIP]]=D2171,jablka5[[#This Row],[sprzedaż]]+G2171,jablka5[[#This Row],[sprzedaż]])</f>
        <v>11397</v>
      </c>
      <c r="H2172" s="1">
        <f>IF(jablka5[[#This Row],[dot sprz]]&lt;15000,0,IF(jablka5[[#This Row],[dot sprz]]&lt;20000,5,10))</f>
        <v>0</v>
      </c>
      <c r="I2172" s="1">
        <f>jablka5[[#This Row],[rabat]]*jablka5[[#This Row],[sprzedaż]]/100</f>
        <v>0</v>
      </c>
    </row>
    <row r="2173" spans="1:9" x14ac:dyDescent="0.25">
      <c r="A2173" s="2">
        <v>44865</v>
      </c>
      <c r="B2173" s="1" t="s">
        <v>11</v>
      </c>
      <c r="C2173" s="1" t="s">
        <v>67</v>
      </c>
      <c r="D2173" s="1" t="s">
        <v>37</v>
      </c>
      <c r="E2173">
        <v>475</v>
      </c>
      <c r="F2173" s="1">
        <f>VLOOKUP(jablka5[[#This Row],[Nazwa]],cennik[],2,0) * jablka5[[#This Row],[sprzedaż]]</f>
        <v>1187.5</v>
      </c>
      <c r="G2173" s="1">
        <f>IF(jablka5[[#This Row],[NIP]]=D2172,jablka5[[#This Row],[sprzedaż]]+G2172,jablka5[[#This Row],[sprzedaż]])</f>
        <v>11872</v>
      </c>
      <c r="H2173" s="1">
        <f>IF(jablka5[[#This Row],[dot sprz]]&lt;15000,0,IF(jablka5[[#This Row],[dot sprz]]&lt;20000,5,10))</f>
        <v>0</v>
      </c>
      <c r="I2173" s="1">
        <f>jablka5[[#This Row],[rabat]]*jablka5[[#This Row],[sprzedaż]]/100</f>
        <v>0</v>
      </c>
    </row>
    <row r="2174" spans="1:9" x14ac:dyDescent="0.25">
      <c r="A2174" s="2">
        <v>44872</v>
      </c>
      <c r="B2174" s="1" t="s">
        <v>9</v>
      </c>
      <c r="C2174" s="1" t="s">
        <v>67</v>
      </c>
      <c r="D2174" s="1" t="s">
        <v>37</v>
      </c>
      <c r="E2174">
        <v>70</v>
      </c>
      <c r="F2174" s="1">
        <f>VLOOKUP(jablka5[[#This Row],[Nazwa]],cennik[],2,0) * jablka5[[#This Row],[sprzedaż]]</f>
        <v>175</v>
      </c>
      <c r="G2174" s="1">
        <f>IF(jablka5[[#This Row],[NIP]]=D2173,jablka5[[#This Row],[sprzedaż]]+G2173,jablka5[[#This Row],[sprzedaż]])</f>
        <v>11942</v>
      </c>
      <c r="H2174" s="1">
        <f>IF(jablka5[[#This Row],[dot sprz]]&lt;15000,0,IF(jablka5[[#This Row],[dot sprz]]&lt;20000,5,10))</f>
        <v>0</v>
      </c>
      <c r="I2174" s="1">
        <f>jablka5[[#This Row],[rabat]]*jablka5[[#This Row],[sprzedaż]]/100</f>
        <v>0</v>
      </c>
    </row>
    <row r="2175" spans="1:9" x14ac:dyDescent="0.25">
      <c r="A2175" s="2">
        <v>44886</v>
      </c>
      <c r="B2175" s="1" t="s">
        <v>3</v>
      </c>
      <c r="C2175" s="1" t="s">
        <v>67</v>
      </c>
      <c r="D2175" s="1" t="s">
        <v>37</v>
      </c>
      <c r="E2175">
        <v>435</v>
      </c>
      <c r="F2175" s="1">
        <f>VLOOKUP(jablka5[[#This Row],[Nazwa]],cennik[],2,0) * jablka5[[#This Row],[sprzedaż]]</f>
        <v>1392</v>
      </c>
      <c r="G2175" s="1">
        <f>IF(jablka5[[#This Row],[NIP]]=D2174,jablka5[[#This Row],[sprzedaż]]+G2174,jablka5[[#This Row],[sprzedaż]])</f>
        <v>12377</v>
      </c>
      <c r="H2175" s="1">
        <f>IF(jablka5[[#This Row],[dot sprz]]&lt;15000,0,IF(jablka5[[#This Row],[dot sprz]]&lt;20000,5,10))</f>
        <v>0</v>
      </c>
      <c r="I2175" s="1">
        <f>jablka5[[#This Row],[rabat]]*jablka5[[#This Row],[sprzedaż]]/100</f>
        <v>0</v>
      </c>
    </row>
    <row r="2176" spans="1:9" x14ac:dyDescent="0.25">
      <c r="A2176" s="2">
        <v>44888</v>
      </c>
      <c r="B2176" s="1" t="s">
        <v>1</v>
      </c>
      <c r="C2176" s="1" t="s">
        <v>67</v>
      </c>
      <c r="D2176" s="1" t="s">
        <v>37</v>
      </c>
      <c r="E2176">
        <v>149</v>
      </c>
      <c r="F2176" s="1">
        <f>VLOOKUP(jablka5[[#This Row],[Nazwa]],cennik[],2,0) * jablka5[[#This Row],[sprzedaż]]</f>
        <v>476.8</v>
      </c>
      <c r="G2176" s="1">
        <f>IF(jablka5[[#This Row],[NIP]]=D2175,jablka5[[#This Row],[sprzedaż]]+G2175,jablka5[[#This Row],[sprzedaż]])</f>
        <v>12526</v>
      </c>
      <c r="H2176" s="1">
        <f>IF(jablka5[[#This Row],[dot sprz]]&lt;15000,0,IF(jablka5[[#This Row],[dot sprz]]&lt;20000,5,10))</f>
        <v>0</v>
      </c>
      <c r="I2176" s="1">
        <f>jablka5[[#This Row],[rabat]]*jablka5[[#This Row],[sprzedaż]]/100</f>
        <v>0</v>
      </c>
    </row>
    <row r="2177" spans="1:9" x14ac:dyDescent="0.25">
      <c r="A2177" s="2">
        <v>44900</v>
      </c>
      <c r="B2177" s="1" t="s">
        <v>7</v>
      </c>
      <c r="C2177" s="1" t="s">
        <v>16</v>
      </c>
      <c r="D2177" s="1" t="s">
        <v>37</v>
      </c>
      <c r="E2177">
        <v>222</v>
      </c>
      <c r="F2177" s="1">
        <f>VLOOKUP(jablka5[[#This Row],[Nazwa]],cennik[],2,0) * jablka5[[#This Row],[sprzedaż]]</f>
        <v>754.8</v>
      </c>
      <c r="G2177" s="1">
        <f>IF(jablka5[[#This Row],[NIP]]=D2176,jablka5[[#This Row],[sprzedaż]]+G2176,jablka5[[#This Row],[sprzedaż]])</f>
        <v>12748</v>
      </c>
      <c r="H2177" s="1">
        <f>IF(jablka5[[#This Row],[dot sprz]]&lt;15000,0,IF(jablka5[[#This Row],[dot sprz]]&lt;20000,5,10))</f>
        <v>0</v>
      </c>
      <c r="I2177" s="1">
        <f>jablka5[[#This Row],[rabat]]*jablka5[[#This Row],[sprzedaż]]/100</f>
        <v>0</v>
      </c>
    </row>
    <row r="2178" spans="1:9" x14ac:dyDescent="0.25">
      <c r="A2178" s="2">
        <v>44903</v>
      </c>
      <c r="B2178" s="1" t="s">
        <v>6</v>
      </c>
      <c r="C2178" s="1" t="s">
        <v>16</v>
      </c>
      <c r="D2178" s="1" t="s">
        <v>37</v>
      </c>
      <c r="E2178">
        <v>393</v>
      </c>
      <c r="F2178" s="1">
        <f>VLOOKUP(jablka5[[#This Row],[Nazwa]],cennik[],2,0) * jablka5[[#This Row],[sprzedaż]]</f>
        <v>1336.2</v>
      </c>
      <c r="G2178" s="1">
        <f>IF(jablka5[[#This Row],[NIP]]=D2177,jablka5[[#This Row],[sprzedaż]]+G2177,jablka5[[#This Row],[sprzedaż]])</f>
        <v>13141</v>
      </c>
      <c r="H2178" s="1">
        <f>IF(jablka5[[#This Row],[dot sprz]]&lt;15000,0,IF(jablka5[[#This Row],[dot sprz]]&lt;20000,5,10))</f>
        <v>0</v>
      </c>
      <c r="I2178" s="1">
        <f>jablka5[[#This Row],[rabat]]*jablka5[[#This Row],[sprzedaż]]/100</f>
        <v>0</v>
      </c>
    </row>
    <row r="2179" spans="1:9" x14ac:dyDescent="0.25">
      <c r="A2179" s="2">
        <v>44919</v>
      </c>
      <c r="B2179" s="1" t="s">
        <v>5</v>
      </c>
      <c r="C2179" s="1" t="s">
        <v>16</v>
      </c>
      <c r="D2179" s="1" t="s">
        <v>37</v>
      </c>
      <c r="E2179">
        <v>91</v>
      </c>
      <c r="F2179" s="1">
        <f>VLOOKUP(jablka5[[#This Row],[Nazwa]],cennik[],2,0) * jablka5[[#This Row],[sprzedaż]]</f>
        <v>309.39999999999998</v>
      </c>
      <c r="G2179" s="1">
        <f>IF(jablka5[[#This Row],[NIP]]=D2178,jablka5[[#This Row],[sprzedaż]]+G2178,jablka5[[#This Row],[sprzedaż]])</f>
        <v>13232</v>
      </c>
      <c r="H2179" s="1">
        <f>IF(jablka5[[#This Row],[dot sprz]]&lt;15000,0,IF(jablka5[[#This Row],[dot sprz]]&lt;20000,5,10))</f>
        <v>0</v>
      </c>
      <c r="I2179" s="1">
        <f>jablka5[[#This Row],[rabat]]*jablka5[[#This Row],[sprzedaż]]/100</f>
        <v>0</v>
      </c>
    </row>
    <row r="2180" spans="1:9" x14ac:dyDescent="0.25">
      <c r="A2180" s="2">
        <v>44921</v>
      </c>
      <c r="B2180" s="1" t="s">
        <v>10</v>
      </c>
      <c r="C2180" s="1" t="s">
        <v>16</v>
      </c>
      <c r="D2180" s="1" t="s">
        <v>37</v>
      </c>
      <c r="E2180">
        <v>312</v>
      </c>
      <c r="F2180" s="1">
        <f>VLOOKUP(jablka5[[#This Row],[Nazwa]],cennik[],2,0) * jablka5[[#This Row],[sprzedaż]]</f>
        <v>1060.8</v>
      </c>
      <c r="G2180" s="1">
        <f>IF(jablka5[[#This Row],[NIP]]=D2179,jablka5[[#This Row],[sprzedaż]]+G2179,jablka5[[#This Row],[sprzedaż]])</f>
        <v>13544</v>
      </c>
      <c r="H2180" s="1">
        <f>IF(jablka5[[#This Row],[dot sprz]]&lt;15000,0,IF(jablka5[[#This Row],[dot sprz]]&lt;20000,5,10))</f>
        <v>0</v>
      </c>
      <c r="I2180" s="1">
        <f>jablka5[[#This Row],[rabat]]*jablka5[[#This Row],[sprzedaż]]/100</f>
        <v>0</v>
      </c>
    </row>
    <row r="2181" spans="1:9" x14ac:dyDescent="0.25">
      <c r="A2181" s="2">
        <v>44923</v>
      </c>
      <c r="B2181" s="1" t="s">
        <v>0</v>
      </c>
      <c r="C2181" s="1" t="s">
        <v>16</v>
      </c>
      <c r="D2181" s="1" t="s">
        <v>37</v>
      </c>
      <c r="E2181">
        <v>33</v>
      </c>
      <c r="F2181" s="1">
        <f>VLOOKUP(jablka5[[#This Row],[Nazwa]],cennik[],2,0) * jablka5[[#This Row],[sprzedaż]]</f>
        <v>95.7</v>
      </c>
      <c r="G2181" s="1">
        <f>IF(jablka5[[#This Row],[NIP]]=D2180,jablka5[[#This Row],[sprzedaż]]+G2180,jablka5[[#This Row],[sprzedaż]])</f>
        <v>13577</v>
      </c>
      <c r="H2181" s="1">
        <f>IF(jablka5[[#This Row],[dot sprz]]&lt;15000,0,IF(jablka5[[#This Row],[dot sprz]]&lt;20000,5,10))</f>
        <v>0</v>
      </c>
      <c r="I2181" s="1">
        <f>jablka5[[#This Row],[rabat]]*jablka5[[#This Row],[sprzedaż]]/100</f>
        <v>0</v>
      </c>
    </row>
    <row r="2182" spans="1:9" x14ac:dyDescent="0.25">
      <c r="A2182" s="2">
        <v>44571</v>
      </c>
      <c r="B2182" s="1" t="s">
        <v>15</v>
      </c>
      <c r="C2182" s="1" t="s">
        <v>16</v>
      </c>
      <c r="D2182" s="1" t="s">
        <v>51</v>
      </c>
      <c r="E2182">
        <v>577</v>
      </c>
      <c r="F2182" s="1">
        <f>VLOOKUP(jablka5[[#This Row],[Nazwa]],cennik[],2,0) * jablka5[[#This Row],[sprzedaż]]</f>
        <v>1384.8</v>
      </c>
      <c r="G2182" s="1">
        <f>IF(jablka5[[#This Row],[NIP]]=D2181,jablka5[[#This Row],[sprzedaż]]+G2181,jablka5[[#This Row],[sprzedaż]])</f>
        <v>577</v>
      </c>
      <c r="H2182" s="1">
        <f>IF(jablka5[[#This Row],[dot sprz]]&lt;15000,0,IF(jablka5[[#This Row],[dot sprz]]&lt;20000,5,10))</f>
        <v>0</v>
      </c>
      <c r="I2182" s="1">
        <f>jablka5[[#This Row],[rabat]]*jablka5[[#This Row],[sprzedaż]]/100</f>
        <v>0</v>
      </c>
    </row>
    <row r="2183" spans="1:9" x14ac:dyDescent="0.25">
      <c r="A2183" s="2">
        <v>44603</v>
      </c>
      <c r="B2183" s="1" t="s">
        <v>5</v>
      </c>
      <c r="C2183" s="1" t="s">
        <v>16</v>
      </c>
      <c r="D2183" s="1" t="s">
        <v>51</v>
      </c>
      <c r="E2183">
        <v>71</v>
      </c>
      <c r="F2183" s="1">
        <f>VLOOKUP(jablka5[[#This Row],[Nazwa]],cennik[],2,0) * jablka5[[#This Row],[sprzedaż]]</f>
        <v>241.4</v>
      </c>
      <c r="G2183" s="1">
        <f>IF(jablka5[[#This Row],[NIP]]=D2182,jablka5[[#This Row],[sprzedaż]]+G2182,jablka5[[#This Row],[sprzedaż]])</f>
        <v>648</v>
      </c>
      <c r="H2183" s="1">
        <f>IF(jablka5[[#This Row],[dot sprz]]&lt;15000,0,IF(jablka5[[#This Row],[dot sprz]]&lt;20000,5,10))</f>
        <v>0</v>
      </c>
      <c r="I2183" s="1">
        <f>jablka5[[#This Row],[rabat]]*jablka5[[#This Row],[sprzedaż]]/100</f>
        <v>0</v>
      </c>
    </row>
    <row r="2184" spans="1:9" x14ac:dyDescent="0.25">
      <c r="A2184" s="2">
        <v>44609</v>
      </c>
      <c r="B2184" s="1" t="s">
        <v>7</v>
      </c>
      <c r="C2184" s="1" t="s">
        <v>16</v>
      </c>
      <c r="D2184" s="1" t="s">
        <v>51</v>
      </c>
      <c r="E2184">
        <v>543</v>
      </c>
      <c r="F2184" s="1">
        <f>VLOOKUP(jablka5[[#This Row],[Nazwa]],cennik[],2,0) * jablka5[[#This Row],[sprzedaż]]</f>
        <v>1846.2</v>
      </c>
      <c r="G2184" s="1">
        <f>IF(jablka5[[#This Row],[NIP]]=D2183,jablka5[[#This Row],[sprzedaż]]+G2183,jablka5[[#This Row],[sprzedaż]])</f>
        <v>1191</v>
      </c>
      <c r="H2184" s="1">
        <f>IF(jablka5[[#This Row],[dot sprz]]&lt;15000,0,IF(jablka5[[#This Row],[dot sprz]]&lt;20000,5,10))</f>
        <v>0</v>
      </c>
      <c r="I2184" s="1">
        <f>jablka5[[#This Row],[rabat]]*jablka5[[#This Row],[sprzedaż]]/100</f>
        <v>0</v>
      </c>
    </row>
    <row r="2185" spans="1:9" x14ac:dyDescent="0.25">
      <c r="A2185" s="2">
        <v>44609</v>
      </c>
      <c r="B2185" s="1" t="s">
        <v>2</v>
      </c>
      <c r="C2185" s="1" t="s">
        <v>16</v>
      </c>
      <c r="D2185" s="1" t="s">
        <v>51</v>
      </c>
      <c r="E2185">
        <v>293</v>
      </c>
      <c r="F2185" s="1">
        <f>VLOOKUP(jablka5[[#This Row],[Nazwa]],cennik[],2,0) * jablka5[[#This Row],[sprzedaż]]</f>
        <v>937.6</v>
      </c>
      <c r="G2185" s="1">
        <f>IF(jablka5[[#This Row],[NIP]]=D2184,jablka5[[#This Row],[sprzedaż]]+G2184,jablka5[[#This Row],[sprzedaż]])</f>
        <v>1484</v>
      </c>
      <c r="H2185" s="1">
        <f>IF(jablka5[[#This Row],[dot sprz]]&lt;15000,0,IF(jablka5[[#This Row],[dot sprz]]&lt;20000,5,10))</f>
        <v>0</v>
      </c>
      <c r="I2185" s="1">
        <f>jablka5[[#This Row],[rabat]]*jablka5[[#This Row],[sprzedaż]]/100</f>
        <v>0</v>
      </c>
    </row>
    <row r="2186" spans="1:9" x14ac:dyDescent="0.25">
      <c r="A2186" s="2">
        <v>44614</v>
      </c>
      <c r="B2186" s="1" t="s">
        <v>15</v>
      </c>
      <c r="C2186" s="1" t="s">
        <v>16</v>
      </c>
      <c r="D2186" s="1" t="s">
        <v>51</v>
      </c>
      <c r="E2186">
        <v>155</v>
      </c>
      <c r="F2186" s="1">
        <f>VLOOKUP(jablka5[[#This Row],[Nazwa]],cennik[],2,0) * jablka5[[#This Row],[sprzedaż]]</f>
        <v>372</v>
      </c>
      <c r="G2186" s="1">
        <f>IF(jablka5[[#This Row],[NIP]]=D2185,jablka5[[#This Row],[sprzedaż]]+G2185,jablka5[[#This Row],[sprzedaż]])</f>
        <v>1639</v>
      </c>
      <c r="H2186" s="1">
        <f>IF(jablka5[[#This Row],[dot sprz]]&lt;15000,0,IF(jablka5[[#This Row],[dot sprz]]&lt;20000,5,10))</f>
        <v>0</v>
      </c>
      <c r="I2186" s="1">
        <f>jablka5[[#This Row],[rabat]]*jablka5[[#This Row],[sprzedaż]]/100</f>
        <v>0</v>
      </c>
    </row>
    <row r="2187" spans="1:9" x14ac:dyDescent="0.25">
      <c r="A2187" s="2">
        <v>44622</v>
      </c>
      <c r="B2187" s="1" t="s">
        <v>15</v>
      </c>
      <c r="C2187" s="1" t="s">
        <v>16</v>
      </c>
      <c r="D2187" s="1" t="s">
        <v>51</v>
      </c>
      <c r="E2187">
        <v>488</v>
      </c>
      <c r="F2187" s="1">
        <f>VLOOKUP(jablka5[[#This Row],[Nazwa]],cennik[],2,0) * jablka5[[#This Row],[sprzedaż]]</f>
        <v>1171.2</v>
      </c>
      <c r="G2187" s="1">
        <f>IF(jablka5[[#This Row],[NIP]]=D2186,jablka5[[#This Row],[sprzedaż]]+G2186,jablka5[[#This Row],[sprzedaż]])</f>
        <v>2127</v>
      </c>
      <c r="H2187" s="1">
        <f>IF(jablka5[[#This Row],[dot sprz]]&lt;15000,0,IF(jablka5[[#This Row],[dot sprz]]&lt;20000,5,10))</f>
        <v>0</v>
      </c>
      <c r="I2187" s="1">
        <f>jablka5[[#This Row],[rabat]]*jablka5[[#This Row],[sprzedaż]]/100</f>
        <v>0</v>
      </c>
    </row>
    <row r="2188" spans="1:9" x14ac:dyDescent="0.25">
      <c r="A2188" s="2">
        <v>44623</v>
      </c>
      <c r="B2188" s="1" t="s">
        <v>15</v>
      </c>
      <c r="C2188" s="1" t="s">
        <v>16</v>
      </c>
      <c r="D2188" s="1" t="s">
        <v>51</v>
      </c>
      <c r="E2188">
        <v>263</v>
      </c>
      <c r="F2188" s="1">
        <f>VLOOKUP(jablka5[[#This Row],[Nazwa]],cennik[],2,0) * jablka5[[#This Row],[sprzedaż]]</f>
        <v>631.19999999999993</v>
      </c>
      <c r="G2188" s="1">
        <f>IF(jablka5[[#This Row],[NIP]]=D2187,jablka5[[#This Row],[sprzedaż]]+G2187,jablka5[[#This Row],[sprzedaż]])</f>
        <v>2390</v>
      </c>
      <c r="H2188" s="1">
        <f>IF(jablka5[[#This Row],[dot sprz]]&lt;15000,0,IF(jablka5[[#This Row],[dot sprz]]&lt;20000,5,10))</f>
        <v>0</v>
      </c>
      <c r="I2188" s="1">
        <f>jablka5[[#This Row],[rabat]]*jablka5[[#This Row],[sprzedaż]]/100</f>
        <v>0</v>
      </c>
    </row>
    <row r="2189" spans="1:9" x14ac:dyDescent="0.25">
      <c r="A2189" s="2">
        <v>44637</v>
      </c>
      <c r="B2189" s="1" t="s">
        <v>6</v>
      </c>
      <c r="C2189" s="1" t="s">
        <v>16</v>
      </c>
      <c r="D2189" s="1" t="s">
        <v>51</v>
      </c>
      <c r="E2189">
        <v>495</v>
      </c>
      <c r="F2189" s="1">
        <f>VLOOKUP(jablka5[[#This Row],[Nazwa]],cennik[],2,0) * jablka5[[#This Row],[sprzedaż]]</f>
        <v>1683</v>
      </c>
      <c r="G2189" s="1">
        <f>IF(jablka5[[#This Row],[NIP]]=D2188,jablka5[[#This Row],[sprzedaż]]+G2188,jablka5[[#This Row],[sprzedaż]])</f>
        <v>2885</v>
      </c>
      <c r="H2189" s="1">
        <f>IF(jablka5[[#This Row],[dot sprz]]&lt;15000,0,IF(jablka5[[#This Row],[dot sprz]]&lt;20000,5,10))</f>
        <v>0</v>
      </c>
      <c r="I2189" s="1">
        <f>jablka5[[#This Row],[rabat]]*jablka5[[#This Row],[sprzedaż]]/100</f>
        <v>0</v>
      </c>
    </row>
    <row r="2190" spans="1:9" x14ac:dyDescent="0.25">
      <c r="A2190" s="2">
        <v>44641</v>
      </c>
      <c r="B2190" s="1" t="s">
        <v>7</v>
      </c>
      <c r="C2190" s="1" t="s">
        <v>16</v>
      </c>
      <c r="D2190" s="1" t="s">
        <v>51</v>
      </c>
      <c r="E2190">
        <v>627</v>
      </c>
      <c r="F2190" s="1">
        <f>VLOOKUP(jablka5[[#This Row],[Nazwa]],cennik[],2,0) * jablka5[[#This Row],[sprzedaż]]</f>
        <v>2131.7999999999997</v>
      </c>
      <c r="G2190" s="1">
        <f>IF(jablka5[[#This Row],[NIP]]=D2189,jablka5[[#This Row],[sprzedaż]]+G2189,jablka5[[#This Row],[sprzedaż]])</f>
        <v>3512</v>
      </c>
      <c r="H2190" s="1">
        <f>IF(jablka5[[#This Row],[dot sprz]]&lt;15000,0,IF(jablka5[[#This Row],[dot sprz]]&lt;20000,5,10))</f>
        <v>0</v>
      </c>
      <c r="I2190" s="1">
        <f>jablka5[[#This Row],[rabat]]*jablka5[[#This Row],[sprzedaż]]/100</f>
        <v>0</v>
      </c>
    </row>
    <row r="2191" spans="1:9" x14ac:dyDescent="0.25">
      <c r="A2191" s="2">
        <v>44642</v>
      </c>
      <c r="B2191" s="1" t="s">
        <v>5</v>
      </c>
      <c r="C2191" s="1" t="s">
        <v>16</v>
      </c>
      <c r="D2191" s="1" t="s">
        <v>51</v>
      </c>
      <c r="E2191">
        <v>336</v>
      </c>
      <c r="F2191" s="1">
        <f>VLOOKUP(jablka5[[#This Row],[Nazwa]],cennik[],2,0) * jablka5[[#This Row],[sprzedaż]]</f>
        <v>1142.3999999999999</v>
      </c>
      <c r="G2191" s="1">
        <f>IF(jablka5[[#This Row],[NIP]]=D2190,jablka5[[#This Row],[sprzedaż]]+G2190,jablka5[[#This Row],[sprzedaż]])</f>
        <v>3848</v>
      </c>
      <c r="H2191" s="1">
        <f>IF(jablka5[[#This Row],[dot sprz]]&lt;15000,0,IF(jablka5[[#This Row],[dot sprz]]&lt;20000,5,10))</f>
        <v>0</v>
      </c>
      <c r="I2191" s="1">
        <f>jablka5[[#This Row],[rabat]]*jablka5[[#This Row],[sprzedaż]]/100</f>
        <v>0</v>
      </c>
    </row>
    <row r="2192" spans="1:9" x14ac:dyDescent="0.25">
      <c r="A2192" s="2">
        <v>44648</v>
      </c>
      <c r="B2192" s="1" t="s">
        <v>4</v>
      </c>
      <c r="C2192" s="1" t="s">
        <v>16</v>
      </c>
      <c r="D2192" s="1" t="s">
        <v>51</v>
      </c>
      <c r="E2192">
        <v>682</v>
      </c>
      <c r="F2192" s="1">
        <f>VLOOKUP(jablka5[[#This Row],[Nazwa]],cennik[],2,0) * jablka5[[#This Row],[sprzedaż]]</f>
        <v>2318.7999999999997</v>
      </c>
      <c r="G2192" s="1">
        <f>IF(jablka5[[#This Row],[NIP]]=D2191,jablka5[[#This Row],[sprzedaż]]+G2191,jablka5[[#This Row],[sprzedaż]])</f>
        <v>4530</v>
      </c>
      <c r="H2192" s="1">
        <f>IF(jablka5[[#This Row],[dot sprz]]&lt;15000,0,IF(jablka5[[#This Row],[dot sprz]]&lt;20000,5,10))</f>
        <v>0</v>
      </c>
      <c r="I2192" s="1">
        <f>jablka5[[#This Row],[rabat]]*jablka5[[#This Row],[sprzedaż]]/100</f>
        <v>0</v>
      </c>
    </row>
    <row r="2193" spans="1:9" x14ac:dyDescent="0.25">
      <c r="A2193" s="2">
        <v>44655</v>
      </c>
      <c r="B2193" s="1" t="s">
        <v>8</v>
      </c>
      <c r="C2193" s="1" t="s">
        <v>16</v>
      </c>
      <c r="D2193" s="1" t="s">
        <v>51</v>
      </c>
      <c r="E2193">
        <v>517</v>
      </c>
      <c r="F2193" s="1">
        <f>VLOOKUP(jablka5[[#This Row],[Nazwa]],cennik[],2,0) * jablka5[[#This Row],[sprzedaż]]</f>
        <v>1809.5</v>
      </c>
      <c r="G2193" s="1">
        <f>IF(jablka5[[#This Row],[NIP]]=D2192,jablka5[[#This Row],[sprzedaż]]+G2192,jablka5[[#This Row],[sprzedaż]])</f>
        <v>5047</v>
      </c>
      <c r="H2193" s="1">
        <f>IF(jablka5[[#This Row],[dot sprz]]&lt;15000,0,IF(jablka5[[#This Row],[dot sprz]]&lt;20000,5,10))</f>
        <v>0</v>
      </c>
      <c r="I2193" s="1">
        <f>jablka5[[#This Row],[rabat]]*jablka5[[#This Row],[sprzedaż]]/100</f>
        <v>0</v>
      </c>
    </row>
    <row r="2194" spans="1:9" x14ac:dyDescent="0.25">
      <c r="A2194" s="2">
        <v>44659</v>
      </c>
      <c r="B2194" s="1" t="s">
        <v>4</v>
      </c>
      <c r="C2194" s="1" t="s">
        <v>16</v>
      </c>
      <c r="D2194" s="1" t="s">
        <v>51</v>
      </c>
      <c r="E2194">
        <v>620</v>
      </c>
      <c r="F2194" s="1">
        <f>VLOOKUP(jablka5[[#This Row],[Nazwa]],cennik[],2,0) * jablka5[[#This Row],[sprzedaż]]</f>
        <v>2108</v>
      </c>
      <c r="G2194" s="1">
        <f>IF(jablka5[[#This Row],[NIP]]=D2193,jablka5[[#This Row],[sprzedaż]]+G2193,jablka5[[#This Row],[sprzedaż]])</f>
        <v>5667</v>
      </c>
      <c r="H2194" s="1">
        <f>IF(jablka5[[#This Row],[dot sprz]]&lt;15000,0,IF(jablka5[[#This Row],[dot sprz]]&lt;20000,5,10))</f>
        <v>0</v>
      </c>
      <c r="I2194" s="1">
        <f>jablka5[[#This Row],[rabat]]*jablka5[[#This Row],[sprzedaż]]/100</f>
        <v>0</v>
      </c>
    </row>
    <row r="2195" spans="1:9" x14ac:dyDescent="0.25">
      <c r="A2195" s="2">
        <v>44670</v>
      </c>
      <c r="B2195" s="1" t="s">
        <v>4</v>
      </c>
      <c r="C2195" s="1" t="s">
        <v>16</v>
      </c>
      <c r="D2195" s="1" t="s">
        <v>51</v>
      </c>
      <c r="E2195">
        <v>591</v>
      </c>
      <c r="F2195" s="1">
        <f>VLOOKUP(jablka5[[#This Row],[Nazwa]],cennik[],2,0) * jablka5[[#This Row],[sprzedaż]]</f>
        <v>2009.3999999999999</v>
      </c>
      <c r="G2195" s="1">
        <f>IF(jablka5[[#This Row],[NIP]]=D2194,jablka5[[#This Row],[sprzedaż]]+G2194,jablka5[[#This Row],[sprzedaż]])</f>
        <v>6258</v>
      </c>
      <c r="H2195" s="1">
        <f>IF(jablka5[[#This Row],[dot sprz]]&lt;15000,0,IF(jablka5[[#This Row],[dot sprz]]&lt;20000,5,10))</f>
        <v>0</v>
      </c>
      <c r="I2195" s="1">
        <f>jablka5[[#This Row],[rabat]]*jablka5[[#This Row],[sprzedaż]]/100</f>
        <v>0</v>
      </c>
    </row>
    <row r="2196" spans="1:9" x14ac:dyDescent="0.25">
      <c r="A2196" s="2">
        <v>44683</v>
      </c>
      <c r="B2196" s="1" t="s">
        <v>8</v>
      </c>
      <c r="C2196" s="1" t="s">
        <v>16</v>
      </c>
      <c r="D2196" s="1" t="s">
        <v>51</v>
      </c>
      <c r="E2196">
        <v>516</v>
      </c>
      <c r="F2196" s="1">
        <f>VLOOKUP(jablka5[[#This Row],[Nazwa]],cennik[],2,0) * jablka5[[#This Row],[sprzedaż]]</f>
        <v>1806</v>
      </c>
      <c r="G2196" s="1">
        <f>IF(jablka5[[#This Row],[NIP]]=D2195,jablka5[[#This Row],[sprzedaż]]+G2195,jablka5[[#This Row],[sprzedaż]])</f>
        <v>6774</v>
      </c>
      <c r="H2196" s="1">
        <f>IF(jablka5[[#This Row],[dot sprz]]&lt;15000,0,IF(jablka5[[#This Row],[dot sprz]]&lt;20000,5,10))</f>
        <v>0</v>
      </c>
      <c r="I2196" s="1">
        <f>jablka5[[#This Row],[rabat]]*jablka5[[#This Row],[sprzedaż]]/100</f>
        <v>0</v>
      </c>
    </row>
    <row r="2197" spans="1:9" x14ac:dyDescent="0.25">
      <c r="A2197" s="2">
        <v>44695</v>
      </c>
      <c r="B2197" s="1" t="s">
        <v>8</v>
      </c>
      <c r="C2197" s="1" t="s">
        <v>16</v>
      </c>
      <c r="D2197" s="1" t="s">
        <v>51</v>
      </c>
      <c r="E2197">
        <v>346</v>
      </c>
      <c r="F2197" s="1">
        <f>VLOOKUP(jablka5[[#This Row],[Nazwa]],cennik[],2,0) * jablka5[[#This Row],[sprzedaż]]</f>
        <v>1211</v>
      </c>
      <c r="G2197" s="1">
        <f>IF(jablka5[[#This Row],[NIP]]=D2196,jablka5[[#This Row],[sprzedaż]]+G2196,jablka5[[#This Row],[sprzedaż]])</f>
        <v>7120</v>
      </c>
      <c r="H2197" s="1">
        <f>IF(jablka5[[#This Row],[dot sprz]]&lt;15000,0,IF(jablka5[[#This Row],[dot sprz]]&lt;20000,5,10))</f>
        <v>0</v>
      </c>
      <c r="I2197" s="1">
        <f>jablka5[[#This Row],[rabat]]*jablka5[[#This Row],[sprzedaż]]/100</f>
        <v>0</v>
      </c>
    </row>
    <row r="2198" spans="1:9" x14ac:dyDescent="0.25">
      <c r="A2198" s="2">
        <v>44699</v>
      </c>
      <c r="B2198" s="1" t="s">
        <v>5</v>
      </c>
      <c r="C2198" s="1" t="s">
        <v>16</v>
      </c>
      <c r="D2198" s="1" t="s">
        <v>51</v>
      </c>
      <c r="E2198">
        <v>176</v>
      </c>
      <c r="F2198" s="1">
        <f>VLOOKUP(jablka5[[#This Row],[Nazwa]],cennik[],2,0) * jablka5[[#This Row],[sprzedaż]]</f>
        <v>598.4</v>
      </c>
      <c r="G2198" s="1">
        <f>IF(jablka5[[#This Row],[NIP]]=D2197,jablka5[[#This Row],[sprzedaż]]+G2197,jablka5[[#This Row],[sprzedaż]])</f>
        <v>7296</v>
      </c>
      <c r="H2198" s="1">
        <f>IF(jablka5[[#This Row],[dot sprz]]&lt;15000,0,IF(jablka5[[#This Row],[dot sprz]]&lt;20000,5,10))</f>
        <v>0</v>
      </c>
      <c r="I2198" s="1">
        <f>jablka5[[#This Row],[rabat]]*jablka5[[#This Row],[sprzedaż]]/100</f>
        <v>0</v>
      </c>
    </row>
    <row r="2199" spans="1:9" x14ac:dyDescent="0.25">
      <c r="A2199" s="2">
        <v>44718</v>
      </c>
      <c r="B2199" s="1" t="s">
        <v>12</v>
      </c>
      <c r="C2199" s="1" t="s">
        <v>68</v>
      </c>
      <c r="D2199" s="1" t="s">
        <v>51</v>
      </c>
      <c r="E2199">
        <v>384</v>
      </c>
      <c r="F2199" s="1">
        <f>VLOOKUP(jablka5[[#This Row],[Nazwa]],cennik[],2,0) * jablka5[[#This Row],[sprzedaż]]</f>
        <v>1036.8000000000002</v>
      </c>
      <c r="G2199" s="1">
        <f>IF(jablka5[[#This Row],[NIP]]=D2198,jablka5[[#This Row],[sprzedaż]]+G2198,jablka5[[#This Row],[sprzedaż]])</f>
        <v>7680</v>
      </c>
      <c r="H2199" s="1">
        <f>IF(jablka5[[#This Row],[dot sprz]]&lt;15000,0,IF(jablka5[[#This Row],[dot sprz]]&lt;20000,5,10))</f>
        <v>0</v>
      </c>
      <c r="I2199" s="1">
        <f>jablka5[[#This Row],[rabat]]*jablka5[[#This Row],[sprzedaż]]/100</f>
        <v>0</v>
      </c>
    </row>
    <row r="2200" spans="1:9" x14ac:dyDescent="0.25">
      <c r="A2200" s="2">
        <v>44734</v>
      </c>
      <c r="B2200" s="1" t="s">
        <v>14</v>
      </c>
      <c r="C2200" s="1" t="s">
        <v>67</v>
      </c>
      <c r="D2200" s="1" t="s">
        <v>51</v>
      </c>
      <c r="E2200">
        <v>174</v>
      </c>
      <c r="F2200" s="1">
        <f>VLOOKUP(jablka5[[#This Row],[Nazwa]],cennik[],2,0) * jablka5[[#This Row],[sprzedaż]]</f>
        <v>609</v>
      </c>
      <c r="G2200" s="1">
        <f>IF(jablka5[[#This Row],[NIP]]=D2199,jablka5[[#This Row],[sprzedaż]]+G2199,jablka5[[#This Row],[sprzedaż]])</f>
        <v>7854</v>
      </c>
      <c r="H2200" s="1">
        <f>IF(jablka5[[#This Row],[dot sprz]]&lt;15000,0,IF(jablka5[[#This Row],[dot sprz]]&lt;20000,5,10))</f>
        <v>0</v>
      </c>
      <c r="I2200" s="1">
        <f>jablka5[[#This Row],[rabat]]*jablka5[[#This Row],[sprzedaż]]/100</f>
        <v>0</v>
      </c>
    </row>
    <row r="2201" spans="1:9" x14ac:dyDescent="0.25">
      <c r="A2201" s="2">
        <v>44736</v>
      </c>
      <c r="B2201" s="1" t="s">
        <v>12</v>
      </c>
      <c r="C2201" s="1" t="s">
        <v>68</v>
      </c>
      <c r="D2201" s="1" t="s">
        <v>51</v>
      </c>
      <c r="E2201">
        <v>277</v>
      </c>
      <c r="F2201" s="1">
        <f>VLOOKUP(jablka5[[#This Row],[Nazwa]],cennik[],2,0) * jablka5[[#This Row],[sprzedaż]]</f>
        <v>747.90000000000009</v>
      </c>
      <c r="G2201" s="1">
        <f>IF(jablka5[[#This Row],[NIP]]=D2200,jablka5[[#This Row],[sprzedaż]]+G2200,jablka5[[#This Row],[sprzedaż]])</f>
        <v>8131</v>
      </c>
      <c r="H2201" s="1">
        <f>IF(jablka5[[#This Row],[dot sprz]]&lt;15000,0,IF(jablka5[[#This Row],[dot sprz]]&lt;20000,5,10))</f>
        <v>0</v>
      </c>
      <c r="I2201" s="1">
        <f>jablka5[[#This Row],[rabat]]*jablka5[[#This Row],[sprzedaż]]/100</f>
        <v>0</v>
      </c>
    </row>
    <row r="2202" spans="1:9" x14ac:dyDescent="0.25">
      <c r="A2202" s="2">
        <v>44743</v>
      </c>
      <c r="B2202" s="1" t="s">
        <v>12</v>
      </c>
      <c r="C2202" s="1" t="s">
        <v>68</v>
      </c>
      <c r="D2202" s="1" t="s">
        <v>51</v>
      </c>
      <c r="E2202">
        <v>126</v>
      </c>
      <c r="F2202" s="1">
        <f>VLOOKUP(jablka5[[#This Row],[Nazwa]],cennik[],2,0) * jablka5[[#This Row],[sprzedaż]]</f>
        <v>340.20000000000005</v>
      </c>
      <c r="G2202" s="1">
        <f>IF(jablka5[[#This Row],[NIP]]=D2201,jablka5[[#This Row],[sprzedaż]]+G2201,jablka5[[#This Row],[sprzedaż]])</f>
        <v>8257</v>
      </c>
      <c r="H2202" s="1">
        <f>IF(jablka5[[#This Row],[dot sprz]]&lt;15000,0,IF(jablka5[[#This Row],[dot sprz]]&lt;20000,5,10))</f>
        <v>0</v>
      </c>
      <c r="I2202" s="1">
        <f>jablka5[[#This Row],[rabat]]*jablka5[[#This Row],[sprzedaż]]/100</f>
        <v>0</v>
      </c>
    </row>
    <row r="2203" spans="1:9" x14ac:dyDescent="0.25">
      <c r="A2203" s="2">
        <v>44744</v>
      </c>
      <c r="B2203" s="1" t="s">
        <v>13</v>
      </c>
      <c r="C2203" s="1" t="s">
        <v>68</v>
      </c>
      <c r="D2203" s="1" t="s">
        <v>51</v>
      </c>
      <c r="E2203">
        <v>128</v>
      </c>
      <c r="F2203" s="1">
        <f>VLOOKUP(jablka5[[#This Row],[Nazwa]],cennik[],2,0) * jablka5[[#This Row],[sprzedaż]]</f>
        <v>409.6</v>
      </c>
      <c r="G2203" s="1">
        <f>IF(jablka5[[#This Row],[NIP]]=D2202,jablka5[[#This Row],[sprzedaż]]+G2202,jablka5[[#This Row],[sprzedaż]])</f>
        <v>8385</v>
      </c>
      <c r="H2203" s="1">
        <f>IF(jablka5[[#This Row],[dot sprz]]&lt;15000,0,IF(jablka5[[#This Row],[dot sprz]]&lt;20000,5,10))</f>
        <v>0</v>
      </c>
      <c r="I2203" s="1">
        <f>jablka5[[#This Row],[rabat]]*jablka5[[#This Row],[sprzedaż]]/100</f>
        <v>0</v>
      </c>
    </row>
    <row r="2204" spans="1:9" x14ac:dyDescent="0.25">
      <c r="A2204" s="2">
        <v>44744</v>
      </c>
      <c r="B2204" s="1" t="s">
        <v>14</v>
      </c>
      <c r="C2204" s="1" t="s">
        <v>67</v>
      </c>
      <c r="D2204" s="1" t="s">
        <v>51</v>
      </c>
      <c r="E2204">
        <v>27</v>
      </c>
      <c r="F2204" s="1">
        <f>VLOOKUP(jablka5[[#This Row],[Nazwa]],cennik[],2,0) * jablka5[[#This Row],[sprzedaż]]</f>
        <v>94.5</v>
      </c>
      <c r="G2204" s="1">
        <f>IF(jablka5[[#This Row],[NIP]]=D2203,jablka5[[#This Row],[sprzedaż]]+G2203,jablka5[[#This Row],[sprzedaż]])</f>
        <v>8412</v>
      </c>
      <c r="H2204" s="1">
        <f>IF(jablka5[[#This Row],[dot sprz]]&lt;15000,0,IF(jablka5[[#This Row],[dot sprz]]&lt;20000,5,10))</f>
        <v>0</v>
      </c>
      <c r="I2204" s="1">
        <f>jablka5[[#This Row],[rabat]]*jablka5[[#This Row],[sprzedaż]]/100</f>
        <v>0</v>
      </c>
    </row>
    <row r="2205" spans="1:9" x14ac:dyDescent="0.25">
      <c r="A2205" s="2">
        <v>44744</v>
      </c>
      <c r="B2205" s="1" t="s">
        <v>13</v>
      </c>
      <c r="C2205" s="1" t="s">
        <v>68</v>
      </c>
      <c r="D2205" s="1" t="s">
        <v>51</v>
      </c>
      <c r="E2205">
        <v>363</v>
      </c>
      <c r="F2205" s="1">
        <f>VLOOKUP(jablka5[[#This Row],[Nazwa]],cennik[],2,0) * jablka5[[#This Row],[sprzedaż]]</f>
        <v>1161.6000000000001</v>
      </c>
      <c r="G2205" s="1">
        <f>IF(jablka5[[#This Row],[NIP]]=D2204,jablka5[[#This Row],[sprzedaż]]+G2204,jablka5[[#This Row],[sprzedaż]])</f>
        <v>8775</v>
      </c>
      <c r="H2205" s="1">
        <f>IF(jablka5[[#This Row],[dot sprz]]&lt;15000,0,IF(jablka5[[#This Row],[dot sprz]]&lt;20000,5,10))</f>
        <v>0</v>
      </c>
      <c r="I2205" s="1">
        <f>jablka5[[#This Row],[rabat]]*jablka5[[#This Row],[sprzedaż]]/100</f>
        <v>0</v>
      </c>
    </row>
    <row r="2206" spans="1:9" x14ac:dyDescent="0.25">
      <c r="A2206" s="2">
        <v>44746</v>
      </c>
      <c r="B2206" s="1" t="s">
        <v>14</v>
      </c>
      <c r="C2206" s="1" t="s">
        <v>67</v>
      </c>
      <c r="D2206" s="1" t="s">
        <v>51</v>
      </c>
      <c r="E2206">
        <v>183</v>
      </c>
      <c r="F2206" s="1">
        <f>VLOOKUP(jablka5[[#This Row],[Nazwa]],cennik[],2,0) * jablka5[[#This Row],[sprzedaż]]</f>
        <v>640.5</v>
      </c>
      <c r="G2206" s="1">
        <f>IF(jablka5[[#This Row],[NIP]]=D2205,jablka5[[#This Row],[sprzedaż]]+G2205,jablka5[[#This Row],[sprzedaż]])</f>
        <v>8958</v>
      </c>
      <c r="H2206" s="1">
        <f>IF(jablka5[[#This Row],[dot sprz]]&lt;15000,0,IF(jablka5[[#This Row],[dot sprz]]&lt;20000,5,10))</f>
        <v>0</v>
      </c>
      <c r="I2206" s="1">
        <f>jablka5[[#This Row],[rabat]]*jablka5[[#This Row],[sprzedaż]]/100</f>
        <v>0</v>
      </c>
    </row>
    <row r="2207" spans="1:9" x14ac:dyDescent="0.25">
      <c r="A2207" s="2">
        <v>44747</v>
      </c>
      <c r="B2207" s="1" t="s">
        <v>13</v>
      </c>
      <c r="C2207" s="1" t="s">
        <v>68</v>
      </c>
      <c r="D2207" s="1" t="s">
        <v>51</v>
      </c>
      <c r="E2207">
        <v>83</v>
      </c>
      <c r="F2207" s="1">
        <f>VLOOKUP(jablka5[[#This Row],[Nazwa]],cennik[],2,0) * jablka5[[#This Row],[sprzedaż]]</f>
        <v>265.60000000000002</v>
      </c>
      <c r="G2207" s="1">
        <f>IF(jablka5[[#This Row],[NIP]]=D2206,jablka5[[#This Row],[sprzedaż]]+G2206,jablka5[[#This Row],[sprzedaż]])</f>
        <v>9041</v>
      </c>
      <c r="H2207" s="1">
        <f>IF(jablka5[[#This Row],[dot sprz]]&lt;15000,0,IF(jablka5[[#This Row],[dot sprz]]&lt;20000,5,10))</f>
        <v>0</v>
      </c>
      <c r="I2207" s="1">
        <f>jablka5[[#This Row],[rabat]]*jablka5[[#This Row],[sprzedaż]]/100</f>
        <v>0</v>
      </c>
    </row>
    <row r="2208" spans="1:9" x14ac:dyDescent="0.25">
      <c r="A2208" s="2">
        <v>44756</v>
      </c>
      <c r="B2208" s="1" t="s">
        <v>14</v>
      </c>
      <c r="C2208" s="1" t="s">
        <v>67</v>
      </c>
      <c r="D2208" s="1" t="s">
        <v>51</v>
      </c>
      <c r="E2208">
        <v>408</v>
      </c>
      <c r="F2208" s="1">
        <f>VLOOKUP(jablka5[[#This Row],[Nazwa]],cennik[],2,0) * jablka5[[#This Row],[sprzedaż]]</f>
        <v>1428</v>
      </c>
      <c r="G2208" s="1">
        <f>IF(jablka5[[#This Row],[NIP]]=D2207,jablka5[[#This Row],[sprzedaż]]+G2207,jablka5[[#This Row],[sprzedaż]])</f>
        <v>9449</v>
      </c>
      <c r="H2208" s="1">
        <f>IF(jablka5[[#This Row],[dot sprz]]&lt;15000,0,IF(jablka5[[#This Row],[dot sprz]]&lt;20000,5,10))</f>
        <v>0</v>
      </c>
      <c r="I2208" s="1">
        <f>jablka5[[#This Row],[rabat]]*jablka5[[#This Row],[sprzedaż]]/100</f>
        <v>0</v>
      </c>
    </row>
    <row r="2209" spans="1:9" x14ac:dyDescent="0.25">
      <c r="A2209" s="2">
        <v>44760</v>
      </c>
      <c r="B2209" s="1" t="s">
        <v>12</v>
      </c>
      <c r="C2209" s="1" t="s">
        <v>68</v>
      </c>
      <c r="D2209" s="1" t="s">
        <v>51</v>
      </c>
      <c r="E2209">
        <v>224</v>
      </c>
      <c r="F2209" s="1">
        <f>VLOOKUP(jablka5[[#This Row],[Nazwa]],cennik[],2,0) * jablka5[[#This Row],[sprzedaż]]</f>
        <v>604.80000000000007</v>
      </c>
      <c r="G2209" s="1">
        <f>IF(jablka5[[#This Row],[NIP]]=D2208,jablka5[[#This Row],[sprzedaż]]+G2208,jablka5[[#This Row],[sprzedaż]])</f>
        <v>9673</v>
      </c>
      <c r="H2209" s="1">
        <f>IF(jablka5[[#This Row],[dot sprz]]&lt;15000,0,IF(jablka5[[#This Row],[dot sprz]]&lt;20000,5,10))</f>
        <v>0</v>
      </c>
      <c r="I2209" s="1">
        <f>jablka5[[#This Row],[rabat]]*jablka5[[#This Row],[sprzedaż]]/100</f>
        <v>0</v>
      </c>
    </row>
    <row r="2210" spans="1:9" x14ac:dyDescent="0.25">
      <c r="A2210" s="2">
        <v>44760</v>
      </c>
      <c r="B2210" s="1" t="s">
        <v>12</v>
      </c>
      <c r="C2210" s="1" t="s">
        <v>68</v>
      </c>
      <c r="D2210" s="1" t="s">
        <v>51</v>
      </c>
      <c r="E2210">
        <v>110</v>
      </c>
      <c r="F2210" s="1">
        <f>VLOOKUP(jablka5[[#This Row],[Nazwa]],cennik[],2,0) * jablka5[[#This Row],[sprzedaż]]</f>
        <v>297</v>
      </c>
      <c r="G2210" s="1">
        <f>IF(jablka5[[#This Row],[NIP]]=D2209,jablka5[[#This Row],[sprzedaż]]+G2209,jablka5[[#This Row],[sprzedaż]])</f>
        <v>9783</v>
      </c>
      <c r="H2210" s="1">
        <f>IF(jablka5[[#This Row],[dot sprz]]&lt;15000,0,IF(jablka5[[#This Row],[dot sprz]]&lt;20000,5,10))</f>
        <v>0</v>
      </c>
      <c r="I2210" s="1">
        <f>jablka5[[#This Row],[rabat]]*jablka5[[#This Row],[sprzedaż]]/100</f>
        <v>0</v>
      </c>
    </row>
    <row r="2211" spans="1:9" x14ac:dyDescent="0.25">
      <c r="A2211" s="2">
        <v>44762</v>
      </c>
      <c r="B2211" s="1" t="s">
        <v>13</v>
      </c>
      <c r="C2211" s="1" t="s">
        <v>68</v>
      </c>
      <c r="D2211" s="1" t="s">
        <v>51</v>
      </c>
      <c r="E2211">
        <v>33</v>
      </c>
      <c r="F2211" s="1">
        <f>VLOOKUP(jablka5[[#This Row],[Nazwa]],cennik[],2,0) * jablka5[[#This Row],[sprzedaż]]</f>
        <v>105.60000000000001</v>
      </c>
      <c r="G2211" s="1">
        <f>IF(jablka5[[#This Row],[NIP]]=D2210,jablka5[[#This Row],[sprzedaż]]+G2210,jablka5[[#This Row],[sprzedaż]])</f>
        <v>9816</v>
      </c>
      <c r="H2211" s="1">
        <f>IF(jablka5[[#This Row],[dot sprz]]&lt;15000,0,IF(jablka5[[#This Row],[dot sprz]]&lt;20000,5,10))</f>
        <v>0</v>
      </c>
      <c r="I2211" s="1">
        <f>jablka5[[#This Row],[rabat]]*jablka5[[#This Row],[sprzedaż]]/100</f>
        <v>0</v>
      </c>
    </row>
    <row r="2212" spans="1:9" x14ac:dyDescent="0.25">
      <c r="A2212" s="2">
        <v>44775</v>
      </c>
      <c r="B2212" s="1" t="s">
        <v>13</v>
      </c>
      <c r="C2212" s="1" t="s">
        <v>68</v>
      </c>
      <c r="D2212" s="1" t="s">
        <v>51</v>
      </c>
      <c r="E2212">
        <v>312</v>
      </c>
      <c r="F2212" s="1">
        <f>VLOOKUP(jablka5[[#This Row],[Nazwa]],cennik[],2,0) * jablka5[[#This Row],[sprzedaż]]</f>
        <v>998.40000000000009</v>
      </c>
      <c r="G2212" s="1">
        <f>IF(jablka5[[#This Row],[NIP]]=D2211,jablka5[[#This Row],[sprzedaż]]+G2211,jablka5[[#This Row],[sprzedaż]])</f>
        <v>10128</v>
      </c>
      <c r="H2212" s="1">
        <f>IF(jablka5[[#This Row],[dot sprz]]&lt;15000,0,IF(jablka5[[#This Row],[dot sprz]]&lt;20000,5,10))</f>
        <v>0</v>
      </c>
      <c r="I2212" s="1">
        <f>jablka5[[#This Row],[rabat]]*jablka5[[#This Row],[sprzedaż]]/100</f>
        <v>0</v>
      </c>
    </row>
    <row r="2213" spans="1:9" x14ac:dyDescent="0.25">
      <c r="A2213" s="2">
        <v>44775</v>
      </c>
      <c r="B2213" s="1" t="s">
        <v>14</v>
      </c>
      <c r="C2213" s="1" t="s">
        <v>67</v>
      </c>
      <c r="D2213" s="1" t="s">
        <v>51</v>
      </c>
      <c r="E2213">
        <v>70</v>
      </c>
      <c r="F2213" s="1">
        <f>VLOOKUP(jablka5[[#This Row],[Nazwa]],cennik[],2,0) * jablka5[[#This Row],[sprzedaż]]</f>
        <v>245</v>
      </c>
      <c r="G2213" s="1">
        <f>IF(jablka5[[#This Row],[NIP]]=D2212,jablka5[[#This Row],[sprzedaż]]+G2212,jablka5[[#This Row],[sprzedaż]])</f>
        <v>10198</v>
      </c>
      <c r="H2213" s="1">
        <f>IF(jablka5[[#This Row],[dot sprz]]&lt;15000,0,IF(jablka5[[#This Row],[dot sprz]]&lt;20000,5,10))</f>
        <v>0</v>
      </c>
      <c r="I2213" s="1">
        <f>jablka5[[#This Row],[rabat]]*jablka5[[#This Row],[sprzedaż]]/100</f>
        <v>0</v>
      </c>
    </row>
    <row r="2214" spans="1:9" x14ac:dyDescent="0.25">
      <c r="A2214" s="2">
        <v>44776</v>
      </c>
      <c r="B2214" s="1" t="s">
        <v>14</v>
      </c>
      <c r="C2214" s="1" t="s">
        <v>67</v>
      </c>
      <c r="D2214" s="1" t="s">
        <v>51</v>
      </c>
      <c r="E2214">
        <v>437</v>
      </c>
      <c r="F2214" s="1">
        <f>VLOOKUP(jablka5[[#This Row],[Nazwa]],cennik[],2,0) * jablka5[[#This Row],[sprzedaż]]</f>
        <v>1529.5</v>
      </c>
      <c r="G2214" s="1">
        <f>IF(jablka5[[#This Row],[NIP]]=D2213,jablka5[[#This Row],[sprzedaż]]+G2213,jablka5[[#This Row],[sprzedaż]])</f>
        <v>10635</v>
      </c>
      <c r="H2214" s="1">
        <f>IF(jablka5[[#This Row],[dot sprz]]&lt;15000,0,IF(jablka5[[#This Row],[dot sprz]]&lt;20000,5,10))</f>
        <v>0</v>
      </c>
      <c r="I2214" s="1">
        <f>jablka5[[#This Row],[rabat]]*jablka5[[#This Row],[sprzedaż]]/100</f>
        <v>0</v>
      </c>
    </row>
    <row r="2215" spans="1:9" x14ac:dyDescent="0.25">
      <c r="A2215" s="2">
        <v>44777</v>
      </c>
      <c r="B2215" s="1" t="s">
        <v>14</v>
      </c>
      <c r="C2215" s="1" t="s">
        <v>67</v>
      </c>
      <c r="D2215" s="1" t="s">
        <v>51</v>
      </c>
      <c r="E2215">
        <v>150</v>
      </c>
      <c r="F2215" s="1">
        <f>VLOOKUP(jablka5[[#This Row],[Nazwa]],cennik[],2,0) * jablka5[[#This Row],[sprzedaż]]</f>
        <v>525</v>
      </c>
      <c r="G2215" s="1">
        <f>IF(jablka5[[#This Row],[NIP]]=D2214,jablka5[[#This Row],[sprzedaż]]+G2214,jablka5[[#This Row],[sprzedaż]])</f>
        <v>10785</v>
      </c>
      <c r="H2215" s="1">
        <f>IF(jablka5[[#This Row],[dot sprz]]&lt;15000,0,IF(jablka5[[#This Row],[dot sprz]]&lt;20000,5,10))</f>
        <v>0</v>
      </c>
      <c r="I2215" s="1">
        <f>jablka5[[#This Row],[rabat]]*jablka5[[#This Row],[sprzedaż]]/100</f>
        <v>0</v>
      </c>
    </row>
    <row r="2216" spans="1:9" x14ac:dyDescent="0.25">
      <c r="A2216" s="2">
        <v>44795</v>
      </c>
      <c r="B2216" s="1" t="s">
        <v>14</v>
      </c>
      <c r="C2216" s="1" t="s">
        <v>67</v>
      </c>
      <c r="D2216" s="1" t="s">
        <v>51</v>
      </c>
      <c r="E2216">
        <v>495</v>
      </c>
      <c r="F2216" s="1">
        <f>VLOOKUP(jablka5[[#This Row],[Nazwa]],cennik[],2,0) * jablka5[[#This Row],[sprzedaż]]</f>
        <v>1732.5</v>
      </c>
      <c r="G2216" s="1">
        <f>IF(jablka5[[#This Row],[NIP]]=D2215,jablka5[[#This Row],[sprzedaż]]+G2215,jablka5[[#This Row],[sprzedaż]])</f>
        <v>11280</v>
      </c>
      <c r="H2216" s="1">
        <f>IF(jablka5[[#This Row],[dot sprz]]&lt;15000,0,IF(jablka5[[#This Row],[dot sprz]]&lt;20000,5,10))</f>
        <v>0</v>
      </c>
      <c r="I2216" s="1">
        <f>jablka5[[#This Row],[rabat]]*jablka5[[#This Row],[sprzedaż]]/100</f>
        <v>0</v>
      </c>
    </row>
    <row r="2217" spans="1:9" x14ac:dyDescent="0.25">
      <c r="A2217" s="2">
        <v>44809</v>
      </c>
      <c r="B2217" s="1" t="s">
        <v>11</v>
      </c>
      <c r="C2217" s="1" t="s">
        <v>67</v>
      </c>
      <c r="D2217" s="1" t="s">
        <v>51</v>
      </c>
      <c r="E2217">
        <v>498</v>
      </c>
      <c r="F2217" s="1">
        <f>VLOOKUP(jablka5[[#This Row],[Nazwa]],cennik[],2,0) * jablka5[[#This Row],[sprzedaż]]</f>
        <v>1245</v>
      </c>
      <c r="G2217" s="1">
        <f>IF(jablka5[[#This Row],[NIP]]=D2216,jablka5[[#This Row],[sprzedaż]]+G2216,jablka5[[#This Row],[sprzedaż]])</f>
        <v>11778</v>
      </c>
      <c r="H2217" s="1">
        <f>IF(jablka5[[#This Row],[dot sprz]]&lt;15000,0,IF(jablka5[[#This Row],[dot sprz]]&lt;20000,5,10))</f>
        <v>0</v>
      </c>
      <c r="I2217" s="1">
        <f>jablka5[[#This Row],[rabat]]*jablka5[[#This Row],[sprzedaż]]/100</f>
        <v>0</v>
      </c>
    </row>
    <row r="2218" spans="1:9" x14ac:dyDescent="0.25">
      <c r="A2218" s="2">
        <v>44813</v>
      </c>
      <c r="B2218" s="1" t="s">
        <v>14</v>
      </c>
      <c r="C2218" s="1" t="s">
        <v>67</v>
      </c>
      <c r="D2218" s="1" t="s">
        <v>51</v>
      </c>
      <c r="E2218">
        <v>481</v>
      </c>
      <c r="F2218" s="1">
        <f>VLOOKUP(jablka5[[#This Row],[Nazwa]],cennik[],2,0) * jablka5[[#This Row],[sprzedaż]]</f>
        <v>1683.5</v>
      </c>
      <c r="G2218" s="1">
        <f>IF(jablka5[[#This Row],[NIP]]=D2217,jablka5[[#This Row],[sprzedaż]]+G2217,jablka5[[#This Row],[sprzedaż]])</f>
        <v>12259</v>
      </c>
      <c r="H2218" s="1">
        <f>IF(jablka5[[#This Row],[dot sprz]]&lt;15000,0,IF(jablka5[[#This Row],[dot sprz]]&lt;20000,5,10))</f>
        <v>0</v>
      </c>
      <c r="I2218" s="1">
        <f>jablka5[[#This Row],[rabat]]*jablka5[[#This Row],[sprzedaż]]/100</f>
        <v>0</v>
      </c>
    </row>
    <row r="2219" spans="1:9" x14ac:dyDescent="0.25">
      <c r="A2219" s="2">
        <v>44816</v>
      </c>
      <c r="B2219" s="1" t="s">
        <v>14</v>
      </c>
      <c r="C2219" s="1" t="s">
        <v>67</v>
      </c>
      <c r="D2219" s="1" t="s">
        <v>51</v>
      </c>
      <c r="E2219">
        <v>433</v>
      </c>
      <c r="F2219" s="1">
        <f>VLOOKUP(jablka5[[#This Row],[Nazwa]],cennik[],2,0) * jablka5[[#This Row],[sprzedaż]]</f>
        <v>1515.5</v>
      </c>
      <c r="G2219" s="1">
        <f>IF(jablka5[[#This Row],[NIP]]=D2218,jablka5[[#This Row],[sprzedaż]]+G2218,jablka5[[#This Row],[sprzedaż]])</f>
        <v>12692</v>
      </c>
      <c r="H2219" s="1">
        <f>IF(jablka5[[#This Row],[dot sprz]]&lt;15000,0,IF(jablka5[[#This Row],[dot sprz]]&lt;20000,5,10))</f>
        <v>0</v>
      </c>
      <c r="I2219" s="1">
        <f>jablka5[[#This Row],[rabat]]*jablka5[[#This Row],[sprzedaż]]/100</f>
        <v>0</v>
      </c>
    </row>
    <row r="2220" spans="1:9" x14ac:dyDescent="0.25">
      <c r="A2220" s="2">
        <v>44820</v>
      </c>
      <c r="B2220" s="1" t="s">
        <v>14</v>
      </c>
      <c r="C2220" s="1" t="s">
        <v>67</v>
      </c>
      <c r="D2220" s="1" t="s">
        <v>51</v>
      </c>
      <c r="E2220">
        <v>15</v>
      </c>
      <c r="F2220" s="1">
        <f>VLOOKUP(jablka5[[#This Row],[Nazwa]],cennik[],2,0) * jablka5[[#This Row],[sprzedaż]]</f>
        <v>52.5</v>
      </c>
      <c r="G2220" s="1">
        <f>IF(jablka5[[#This Row],[NIP]]=D2219,jablka5[[#This Row],[sprzedaż]]+G2219,jablka5[[#This Row],[sprzedaż]])</f>
        <v>12707</v>
      </c>
      <c r="H2220" s="1">
        <f>IF(jablka5[[#This Row],[dot sprz]]&lt;15000,0,IF(jablka5[[#This Row],[dot sprz]]&lt;20000,5,10))</f>
        <v>0</v>
      </c>
      <c r="I2220" s="1">
        <f>jablka5[[#This Row],[rabat]]*jablka5[[#This Row],[sprzedaż]]/100</f>
        <v>0</v>
      </c>
    </row>
    <row r="2221" spans="1:9" x14ac:dyDescent="0.25">
      <c r="A2221" s="2">
        <v>44821</v>
      </c>
      <c r="B2221" s="1" t="s">
        <v>14</v>
      </c>
      <c r="C2221" s="1" t="s">
        <v>67</v>
      </c>
      <c r="D2221" s="1" t="s">
        <v>51</v>
      </c>
      <c r="E2221">
        <v>324</v>
      </c>
      <c r="F2221" s="1">
        <f>VLOOKUP(jablka5[[#This Row],[Nazwa]],cennik[],2,0) * jablka5[[#This Row],[sprzedaż]]</f>
        <v>1134</v>
      </c>
      <c r="G2221" s="1">
        <f>IF(jablka5[[#This Row],[NIP]]=D2220,jablka5[[#This Row],[sprzedaż]]+G2220,jablka5[[#This Row],[sprzedaż]])</f>
        <v>13031</v>
      </c>
      <c r="H2221" s="1">
        <f>IF(jablka5[[#This Row],[dot sprz]]&lt;15000,0,IF(jablka5[[#This Row],[dot sprz]]&lt;20000,5,10))</f>
        <v>0</v>
      </c>
      <c r="I2221" s="1">
        <f>jablka5[[#This Row],[rabat]]*jablka5[[#This Row],[sprzedaż]]/100</f>
        <v>0</v>
      </c>
    </row>
    <row r="2222" spans="1:9" x14ac:dyDescent="0.25">
      <c r="A2222" s="2">
        <v>44821</v>
      </c>
      <c r="B2222" s="1" t="s">
        <v>14</v>
      </c>
      <c r="C2222" s="1" t="s">
        <v>67</v>
      </c>
      <c r="D2222" s="1" t="s">
        <v>51</v>
      </c>
      <c r="E2222">
        <v>497</v>
      </c>
      <c r="F2222" s="1">
        <f>VLOOKUP(jablka5[[#This Row],[Nazwa]],cennik[],2,0) * jablka5[[#This Row],[sprzedaż]]</f>
        <v>1739.5</v>
      </c>
      <c r="G2222" s="1">
        <f>IF(jablka5[[#This Row],[NIP]]=D2221,jablka5[[#This Row],[sprzedaż]]+G2221,jablka5[[#This Row],[sprzedaż]])</f>
        <v>13528</v>
      </c>
      <c r="H2222" s="1">
        <f>IF(jablka5[[#This Row],[dot sprz]]&lt;15000,0,IF(jablka5[[#This Row],[dot sprz]]&lt;20000,5,10))</f>
        <v>0</v>
      </c>
      <c r="I2222" s="1">
        <f>jablka5[[#This Row],[rabat]]*jablka5[[#This Row],[sprzedaż]]/100</f>
        <v>0</v>
      </c>
    </row>
    <row r="2223" spans="1:9" x14ac:dyDescent="0.25">
      <c r="A2223" s="2">
        <v>44828</v>
      </c>
      <c r="B2223" s="1" t="s">
        <v>14</v>
      </c>
      <c r="C2223" s="1" t="s">
        <v>67</v>
      </c>
      <c r="D2223" s="1" t="s">
        <v>51</v>
      </c>
      <c r="E2223">
        <v>417</v>
      </c>
      <c r="F2223" s="1">
        <f>VLOOKUP(jablka5[[#This Row],[Nazwa]],cennik[],2,0) * jablka5[[#This Row],[sprzedaż]]</f>
        <v>1459.5</v>
      </c>
      <c r="G2223" s="1">
        <f>IF(jablka5[[#This Row],[NIP]]=D2222,jablka5[[#This Row],[sprzedaż]]+G2222,jablka5[[#This Row],[sprzedaż]])</f>
        <v>13945</v>
      </c>
      <c r="H2223" s="1">
        <f>IF(jablka5[[#This Row],[dot sprz]]&lt;15000,0,IF(jablka5[[#This Row],[dot sprz]]&lt;20000,5,10))</f>
        <v>0</v>
      </c>
      <c r="I2223" s="1">
        <f>jablka5[[#This Row],[rabat]]*jablka5[[#This Row],[sprzedaż]]/100</f>
        <v>0</v>
      </c>
    </row>
    <row r="2224" spans="1:9" x14ac:dyDescent="0.25">
      <c r="A2224" s="2">
        <v>44834</v>
      </c>
      <c r="B2224" s="1" t="s">
        <v>14</v>
      </c>
      <c r="C2224" s="1" t="s">
        <v>67</v>
      </c>
      <c r="D2224" s="1" t="s">
        <v>51</v>
      </c>
      <c r="E2224">
        <v>397</v>
      </c>
      <c r="F2224" s="1">
        <f>VLOOKUP(jablka5[[#This Row],[Nazwa]],cennik[],2,0) * jablka5[[#This Row],[sprzedaż]]</f>
        <v>1389.5</v>
      </c>
      <c r="G2224" s="1">
        <f>IF(jablka5[[#This Row],[NIP]]=D2223,jablka5[[#This Row],[sprzedaż]]+G2223,jablka5[[#This Row],[sprzedaż]])</f>
        <v>14342</v>
      </c>
      <c r="H2224" s="1">
        <f>IF(jablka5[[#This Row],[dot sprz]]&lt;15000,0,IF(jablka5[[#This Row],[dot sprz]]&lt;20000,5,10))</f>
        <v>0</v>
      </c>
      <c r="I2224" s="1">
        <f>jablka5[[#This Row],[rabat]]*jablka5[[#This Row],[sprzedaż]]/100</f>
        <v>0</v>
      </c>
    </row>
    <row r="2225" spans="1:9" x14ac:dyDescent="0.25">
      <c r="A2225" s="2">
        <v>44837</v>
      </c>
      <c r="B2225" s="1" t="s">
        <v>3</v>
      </c>
      <c r="C2225" s="1" t="s">
        <v>67</v>
      </c>
      <c r="D2225" s="1" t="s">
        <v>51</v>
      </c>
      <c r="E2225">
        <v>139</v>
      </c>
      <c r="F2225" s="1">
        <f>VLOOKUP(jablka5[[#This Row],[Nazwa]],cennik[],2,0) * jablka5[[#This Row],[sprzedaż]]</f>
        <v>444.8</v>
      </c>
      <c r="G2225" s="1">
        <f>IF(jablka5[[#This Row],[NIP]]=D2224,jablka5[[#This Row],[sprzedaż]]+G2224,jablka5[[#This Row],[sprzedaż]])</f>
        <v>14481</v>
      </c>
      <c r="H2225" s="1">
        <f>IF(jablka5[[#This Row],[dot sprz]]&lt;15000,0,IF(jablka5[[#This Row],[dot sprz]]&lt;20000,5,10))</f>
        <v>0</v>
      </c>
      <c r="I2225" s="1">
        <f>jablka5[[#This Row],[rabat]]*jablka5[[#This Row],[sprzedaż]]/100</f>
        <v>0</v>
      </c>
    </row>
    <row r="2226" spans="1:9" x14ac:dyDescent="0.25">
      <c r="A2226" s="2">
        <v>44839</v>
      </c>
      <c r="B2226" s="1" t="s">
        <v>14</v>
      </c>
      <c r="C2226" s="1" t="s">
        <v>67</v>
      </c>
      <c r="D2226" s="1" t="s">
        <v>51</v>
      </c>
      <c r="E2226">
        <v>96</v>
      </c>
      <c r="F2226" s="1">
        <f>VLOOKUP(jablka5[[#This Row],[Nazwa]],cennik[],2,0) * jablka5[[#This Row],[sprzedaż]]</f>
        <v>336</v>
      </c>
      <c r="G2226" s="1">
        <f>IF(jablka5[[#This Row],[NIP]]=D2225,jablka5[[#This Row],[sprzedaż]]+G2225,jablka5[[#This Row],[sprzedaż]])</f>
        <v>14577</v>
      </c>
      <c r="H2226" s="1">
        <f>IF(jablka5[[#This Row],[dot sprz]]&lt;15000,0,IF(jablka5[[#This Row],[dot sprz]]&lt;20000,5,10))</f>
        <v>0</v>
      </c>
      <c r="I2226" s="1">
        <f>jablka5[[#This Row],[rabat]]*jablka5[[#This Row],[sprzedaż]]/100</f>
        <v>0</v>
      </c>
    </row>
    <row r="2227" spans="1:9" x14ac:dyDescent="0.25">
      <c r="A2227" s="2">
        <v>44841</v>
      </c>
      <c r="B2227" s="1" t="s">
        <v>3</v>
      </c>
      <c r="C2227" s="1" t="s">
        <v>67</v>
      </c>
      <c r="D2227" s="1" t="s">
        <v>51</v>
      </c>
      <c r="E2227">
        <v>124</v>
      </c>
      <c r="F2227" s="1">
        <f>VLOOKUP(jablka5[[#This Row],[Nazwa]],cennik[],2,0) * jablka5[[#This Row],[sprzedaż]]</f>
        <v>396.8</v>
      </c>
      <c r="G2227" s="1">
        <f>IF(jablka5[[#This Row],[NIP]]=D2226,jablka5[[#This Row],[sprzedaż]]+G2226,jablka5[[#This Row],[sprzedaż]])</f>
        <v>14701</v>
      </c>
      <c r="H2227" s="1">
        <f>IF(jablka5[[#This Row],[dot sprz]]&lt;15000,0,IF(jablka5[[#This Row],[dot sprz]]&lt;20000,5,10))</f>
        <v>0</v>
      </c>
      <c r="I2227" s="1">
        <f>jablka5[[#This Row],[rabat]]*jablka5[[#This Row],[sprzedaż]]/100</f>
        <v>0</v>
      </c>
    </row>
    <row r="2228" spans="1:9" x14ac:dyDescent="0.25">
      <c r="A2228" s="2">
        <v>44846</v>
      </c>
      <c r="B2228" s="1" t="s">
        <v>11</v>
      </c>
      <c r="C2228" s="1" t="s">
        <v>67</v>
      </c>
      <c r="D2228" s="1" t="s">
        <v>51</v>
      </c>
      <c r="E2228">
        <v>416</v>
      </c>
      <c r="F2228" s="1">
        <f>VLOOKUP(jablka5[[#This Row],[Nazwa]],cennik[],2,0) * jablka5[[#This Row],[sprzedaż]]</f>
        <v>1040</v>
      </c>
      <c r="G2228" s="1">
        <f>IF(jablka5[[#This Row],[NIP]]=D2227,jablka5[[#This Row],[sprzedaż]]+G2227,jablka5[[#This Row],[sprzedaż]])</f>
        <v>15117</v>
      </c>
      <c r="H2228" s="1">
        <f>IF(jablka5[[#This Row],[dot sprz]]&lt;15000,0,IF(jablka5[[#This Row],[dot sprz]]&lt;20000,5,10))</f>
        <v>5</v>
      </c>
      <c r="I2228" s="1">
        <f>jablka5[[#This Row],[rabat]]*jablka5[[#This Row],[sprzedaż]]/100</f>
        <v>20.8</v>
      </c>
    </row>
    <row r="2229" spans="1:9" x14ac:dyDescent="0.25">
      <c r="A2229" s="2">
        <v>44847</v>
      </c>
      <c r="B2229" s="1" t="s">
        <v>11</v>
      </c>
      <c r="C2229" s="1" t="s">
        <v>67</v>
      </c>
      <c r="D2229" s="1" t="s">
        <v>51</v>
      </c>
      <c r="E2229">
        <v>17</v>
      </c>
      <c r="F2229" s="1">
        <f>VLOOKUP(jablka5[[#This Row],[Nazwa]],cennik[],2,0) * jablka5[[#This Row],[sprzedaż]]</f>
        <v>42.5</v>
      </c>
      <c r="G2229" s="1">
        <f>IF(jablka5[[#This Row],[NIP]]=D2228,jablka5[[#This Row],[sprzedaż]]+G2228,jablka5[[#This Row],[sprzedaż]])</f>
        <v>15134</v>
      </c>
      <c r="H2229" s="1">
        <f>IF(jablka5[[#This Row],[dot sprz]]&lt;15000,0,IF(jablka5[[#This Row],[dot sprz]]&lt;20000,5,10))</f>
        <v>5</v>
      </c>
      <c r="I2229" s="1">
        <f>jablka5[[#This Row],[rabat]]*jablka5[[#This Row],[sprzedaż]]/100</f>
        <v>0.85</v>
      </c>
    </row>
    <row r="2230" spans="1:9" x14ac:dyDescent="0.25">
      <c r="A2230" s="2">
        <v>44855</v>
      </c>
      <c r="B2230" s="1" t="s">
        <v>14</v>
      </c>
      <c r="C2230" s="1" t="s">
        <v>67</v>
      </c>
      <c r="D2230" s="1" t="s">
        <v>51</v>
      </c>
      <c r="E2230">
        <v>27</v>
      </c>
      <c r="F2230" s="1">
        <f>VLOOKUP(jablka5[[#This Row],[Nazwa]],cennik[],2,0) * jablka5[[#This Row],[sprzedaż]]</f>
        <v>94.5</v>
      </c>
      <c r="G2230" s="1">
        <f>IF(jablka5[[#This Row],[NIP]]=D2229,jablka5[[#This Row],[sprzedaż]]+G2229,jablka5[[#This Row],[sprzedaż]])</f>
        <v>15161</v>
      </c>
      <c r="H2230" s="1">
        <f>IF(jablka5[[#This Row],[dot sprz]]&lt;15000,0,IF(jablka5[[#This Row],[dot sprz]]&lt;20000,5,10))</f>
        <v>5</v>
      </c>
      <c r="I2230" s="1">
        <f>jablka5[[#This Row],[rabat]]*jablka5[[#This Row],[sprzedaż]]/100</f>
        <v>1.35</v>
      </c>
    </row>
    <row r="2231" spans="1:9" x14ac:dyDescent="0.25">
      <c r="A2231" s="2">
        <v>44862</v>
      </c>
      <c r="B2231" s="1" t="s">
        <v>11</v>
      </c>
      <c r="C2231" s="1" t="s">
        <v>67</v>
      </c>
      <c r="D2231" s="1" t="s">
        <v>51</v>
      </c>
      <c r="E2231">
        <v>305</v>
      </c>
      <c r="F2231" s="1">
        <f>VLOOKUP(jablka5[[#This Row],[Nazwa]],cennik[],2,0) * jablka5[[#This Row],[sprzedaż]]</f>
        <v>762.5</v>
      </c>
      <c r="G2231" s="1">
        <f>IF(jablka5[[#This Row],[NIP]]=D2230,jablka5[[#This Row],[sprzedaż]]+G2230,jablka5[[#This Row],[sprzedaż]])</f>
        <v>15466</v>
      </c>
      <c r="H2231" s="1">
        <f>IF(jablka5[[#This Row],[dot sprz]]&lt;15000,0,IF(jablka5[[#This Row],[dot sprz]]&lt;20000,5,10))</f>
        <v>5</v>
      </c>
      <c r="I2231" s="1">
        <f>jablka5[[#This Row],[rabat]]*jablka5[[#This Row],[sprzedaż]]/100</f>
        <v>15.25</v>
      </c>
    </row>
    <row r="2232" spans="1:9" x14ac:dyDescent="0.25">
      <c r="A2232" s="2">
        <v>44867</v>
      </c>
      <c r="B2232" s="1" t="s">
        <v>9</v>
      </c>
      <c r="C2232" s="1" t="s">
        <v>67</v>
      </c>
      <c r="D2232" s="1" t="s">
        <v>51</v>
      </c>
      <c r="E2232">
        <v>236</v>
      </c>
      <c r="F2232" s="1">
        <f>VLOOKUP(jablka5[[#This Row],[Nazwa]],cennik[],2,0) * jablka5[[#This Row],[sprzedaż]]</f>
        <v>590</v>
      </c>
      <c r="G2232" s="1">
        <f>IF(jablka5[[#This Row],[NIP]]=D2231,jablka5[[#This Row],[sprzedaż]]+G2231,jablka5[[#This Row],[sprzedaż]])</f>
        <v>15702</v>
      </c>
      <c r="H2232" s="1">
        <f>IF(jablka5[[#This Row],[dot sprz]]&lt;15000,0,IF(jablka5[[#This Row],[dot sprz]]&lt;20000,5,10))</f>
        <v>5</v>
      </c>
      <c r="I2232" s="1">
        <f>jablka5[[#This Row],[rabat]]*jablka5[[#This Row],[sprzedaż]]/100</f>
        <v>11.8</v>
      </c>
    </row>
    <row r="2233" spans="1:9" x14ac:dyDescent="0.25">
      <c r="A2233" s="2">
        <v>44870</v>
      </c>
      <c r="B2233" s="1" t="s">
        <v>3</v>
      </c>
      <c r="C2233" s="1" t="s">
        <v>67</v>
      </c>
      <c r="D2233" s="1" t="s">
        <v>51</v>
      </c>
      <c r="E2233">
        <v>279</v>
      </c>
      <c r="F2233" s="1">
        <f>VLOOKUP(jablka5[[#This Row],[Nazwa]],cennik[],2,0) * jablka5[[#This Row],[sprzedaż]]</f>
        <v>892.80000000000007</v>
      </c>
      <c r="G2233" s="1">
        <f>IF(jablka5[[#This Row],[NIP]]=D2232,jablka5[[#This Row],[sprzedaż]]+G2232,jablka5[[#This Row],[sprzedaż]])</f>
        <v>15981</v>
      </c>
      <c r="H2233" s="1">
        <f>IF(jablka5[[#This Row],[dot sprz]]&lt;15000,0,IF(jablka5[[#This Row],[dot sprz]]&lt;20000,5,10))</f>
        <v>5</v>
      </c>
      <c r="I2233" s="1">
        <f>jablka5[[#This Row],[rabat]]*jablka5[[#This Row],[sprzedaż]]/100</f>
        <v>13.95</v>
      </c>
    </row>
    <row r="2234" spans="1:9" x14ac:dyDescent="0.25">
      <c r="A2234" s="2">
        <v>44888</v>
      </c>
      <c r="B2234" s="1" t="s">
        <v>3</v>
      </c>
      <c r="C2234" s="1" t="s">
        <v>67</v>
      </c>
      <c r="D2234" s="1" t="s">
        <v>51</v>
      </c>
      <c r="E2234">
        <v>418</v>
      </c>
      <c r="F2234" s="1">
        <f>VLOOKUP(jablka5[[#This Row],[Nazwa]],cennik[],2,0) * jablka5[[#This Row],[sprzedaż]]</f>
        <v>1337.6000000000001</v>
      </c>
      <c r="G2234" s="1">
        <f>IF(jablka5[[#This Row],[NIP]]=D2233,jablka5[[#This Row],[sprzedaż]]+G2233,jablka5[[#This Row],[sprzedaż]])</f>
        <v>16399</v>
      </c>
      <c r="H2234" s="1">
        <f>IF(jablka5[[#This Row],[dot sprz]]&lt;15000,0,IF(jablka5[[#This Row],[dot sprz]]&lt;20000,5,10))</f>
        <v>5</v>
      </c>
      <c r="I2234" s="1">
        <f>jablka5[[#This Row],[rabat]]*jablka5[[#This Row],[sprzedaż]]/100</f>
        <v>20.9</v>
      </c>
    </row>
    <row r="2235" spans="1:9" x14ac:dyDescent="0.25">
      <c r="A2235" s="2">
        <v>44890</v>
      </c>
      <c r="B2235" s="1" t="s">
        <v>1</v>
      </c>
      <c r="C2235" s="1" t="s">
        <v>67</v>
      </c>
      <c r="D2235" s="1" t="s">
        <v>51</v>
      </c>
      <c r="E2235">
        <v>210</v>
      </c>
      <c r="F2235" s="1">
        <f>VLOOKUP(jablka5[[#This Row],[Nazwa]],cennik[],2,0) * jablka5[[#This Row],[sprzedaż]]</f>
        <v>672</v>
      </c>
      <c r="G2235" s="1">
        <f>IF(jablka5[[#This Row],[NIP]]=D2234,jablka5[[#This Row],[sprzedaż]]+G2234,jablka5[[#This Row],[sprzedaż]])</f>
        <v>16609</v>
      </c>
      <c r="H2235" s="1">
        <f>IF(jablka5[[#This Row],[dot sprz]]&lt;15000,0,IF(jablka5[[#This Row],[dot sprz]]&lt;20000,5,10))</f>
        <v>5</v>
      </c>
      <c r="I2235" s="1">
        <f>jablka5[[#This Row],[rabat]]*jablka5[[#This Row],[sprzedaż]]/100</f>
        <v>10.5</v>
      </c>
    </row>
    <row r="2236" spans="1:9" x14ac:dyDescent="0.25">
      <c r="A2236" s="2">
        <v>44901</v>
      </c>
      <c r="B2236" s="1" t="s">
        <v>6</v>
      </c>
      <c r="C2236" s="1" t="s">
        <v>16</v>
      </c>
      <c r="D2236" s="1" t="s">
        <v>51</v>
      </c>
      <c r="E2236">
        <v>64</v>
      </c>
      <c r="F2236" s="1">
        <f>VLOOKUP(jablka5[[#This Row],[Nazwa]],cennik[],2,0) * jablka5[[#This Row],[sprzedaż]]</f>
        <v>217.6</v>
      </c>
      <c r="G2236" s="1">
        <f>IF(jablka5[[#This Row],[NIP]]=D2235,jablka5[[#This Row],[sprzedaż]]+G2235,jablka5[[#This Row],[sprzedaż]])</f>
        <v>16673</v>
      </c>
      <c r="H2236" s="1">
        <f>IF(jablka5[[#This Row],[dot sprz]]&lt;15000,0,IF(jablka5[[#This Row],[dot sprz]]&lt;20000,5,10))</f>
        <v>5</v>
      </c>
      <c r="I2236" s="1">
        <f>jablka5[[#This Row],[rabat]]*jablka5[[#This Row],[sprzedaż]]/100</f>
        <v>3.2</v>
      </c>
    </row>
    <row r="2237" spans="1:9" x14ac:dyDescent="0.25">
      <c r="A2237" s="2">
        <v>44912</v>
      </c>
      <c r="B2237" s="1" t="s">
        <v>0</v>
      </c>
      <c r="C2237" s="1" t="s">
        <v>16</v>
      </c>
      <c r="D2237" s="1" t="s">
        <v>51</v>
      </c>
      <c r="E2237">
        <v>470</v>
      </c>
      <c r="F2237" s="1">
        <f>VLOOKUP(jablka5[[#This Row],[Nazwa]],cennik[],2,0) * jablka5[[#This Row],[sprzedaż]]</f>
        <v>1363</v>
      </c>
      <c r="G2237" s="1">
        <f>IF(jablka5[[#This Row],[NIP]]=D2236,jablka5[[#This Row],[sprzedaż]]+G2236,jablka5[[#This Row],[sprzedaż]])</f>
        <v>17143</v>
      </c>
      <c r="H2237" s="1">
        <f>IF(jablka5[[#This Row],[dot sprz]]&lt;15000,0,IF(jablka5[[#This Row],[dot sprz]]&lt;20000,5,10))</f>
        <v>5</v>
      </c>
      <c r="I2237" s="1">
        <f>jablka5[[#This Row],[rabat]]*jablka5[[#This Row],[sprzedaż]]/100</f>
        <v>23.5</v>
      </c>
    </row>
    <row r="2238" spans="1:9" x14ac:dyDescent="0.25">
      <c r="A2238" s="2">
        <v>44912</v>
      </c>
      <c r="B2238" s="1" t="s">
        <v>0</v>
      </c>
      <c r="C2238" s="1" t="s">
        <v>16</v>
      </c>
      <c r="D2238" s="1" t="s">
        <v>51</v>
      </c>
      <c r="E2238">
        <v>153</v>
      </c>
      <c r="F2238" s="1">
        <f>VLOOKUP(jablka5[[#This Row],[Nazwa]],cennik[],2,0) * jablka5[[#This Row],[sprzedaż]]</f>
        <v>443.7</v>
      </c>
      <c r="G2238" s="1">
        <f>IF(jablka5[[#This Row],[NIP]]=D2237,jablka5[[#This Row],[sprzedaż]]+G2237,jablka5[[#This Row],[sprzedaż]])</f>
        <v>17296</v>
      </c>
      <c r="H2238" s="1">
        <f>IF(jablka5[[#This Row],[dot sprz]]&lt;15000,0,IF(jablka5[[#This Row],[dot sprz]]&lt;20000,5,10))</f>
        <v>5</v>
      </c>
      <c r="I2238" s="1">
        <f>jablka5[[#This Row],[rabat]]*jablka5[[#This Row],[sprzedaż]]/100</f>
        <v>7.65</v>
      </c>
    </row>
    <row r="2239" spans="1:9" x14ac:dyDescent="0.25">
      <c r="A2239" s="2">
        <v>44915</v>
      </c>
      <c r="B2239" s="1" t="s">
        <v>2</v>
      </c>
      <c r="C2239" s="1" t="s">
        <v>16</v>
      </c>
      <c r="D2239" s="1" t="s">
        <v>51</v>
      </c>
      <c r="E2239">
        <v>206</v>
      </c>
      <c r="F2239" s="1">
        <f>VLOOKUP(jablka5[[#This Row],[Nazwa]],cennik[],2,0) * jablka5[[#This Row],[sprzedaż]]</f>
        <v>659.2</v>
      </c>
      <c r="G2239" s="1">
        <f>IF(jablka5[[#This Row],[NIP]]=D2238,jablka5[[#This Row],[sprzedaż]]+G2238,jablka5[[#This Row],[sprzedaż]])</f>
        <v>17502</v>
      </c>
      <c r="H2239" s="1">
        <f>IF(jablka5[[#This Row],[dot sprz]]&lt;15000,0,IF(jablka5[[#This Row],[dot sprz]]&lt;20000,5,10))</f>
        <v>5</v>
      </c>
      <c r="I2239" s="1">
        <f>jablka5[[#This Row],[rabat]]*jablka5[[#This Row],[sprzedaż]]/100</f>
        <v>10.3</v>
      </c>
    </row>
    <row r="2240" spans="1:9" x14ac:dyDescent="0.25">
      <c r="A2240" s="2">
        <v>44917</v>
      </c>
      <c r="B2240" s="1" t="s">
        <v>5</v>
      </c>
      <c r="C2240" s="1" t="s">
        <v>16</v>
      </c>
      <c r="D2240" s="1" t="s">
        <v>51</v>
      </c>
      <c r="E2240">
        <v>69</v>
      </c>
      <c r="F2240" s="1">
        <f>VLOOKUP(jablka5[[#This Row],[Nazwa]],cennik[],2,0) * jablka5[[#This Row],[sprzedaż]]</f>
        <v>234.6</v>
      </c>
      <c r="G2240" s="1">
        <f>IF(jablka5[[#This Row],[NIP]]=D2239,jablka5[[#This Row],[sprzedaż]]+G2239,jablka5[[#This Row],[sprzedaż]])</f>
        <v>17571</v>
      </c>
      <c r="H2240" s="1">
        <f>IF(jablka5[[#This Row],[dot sprz]]&lt;15000,0,IF(jablka5[[#This Row],[dot sprz]]&lt;20000,5,10))</f>
        <v>5</v>
      </c>
      <c r="I2240" s="1">
        <f>jablka5[[#This Row],[rabat]]*jablka5[[#This Row],[sprzedaż]]/100</f>
        <v>3.45</v>
      </c>
    </row>
    <row r="2241" spans="1:9" x14ac:dyDescent="0.25">
      <c r="A2241" s="2">
        <v>44565</v>
      </c>
      <c r="B2241" s="1" t="s">
        <v>15</v>
      </c>
      <c r="C2241" s="1" t="s">
        <v>16</v>
      </c>
      <c r="D2241" s="1" t="s">
        <v>33</v>
      </c>
      <c r="E2241">
        <v>331</v>
      </c>
      <c r="F2241" s="1">
        <f>VLOOKUP(jablka5[[#This Row],[Nazwa]],cennik[],2,0) * jablka5[[#This Row],[sprzedaż]]</f>
        <v>794.4</v>
      </c>
      <c r="G2241" s="1">
        <f>IF(jablka5[[#This Row],[NIP]]=D2240,jablka5[[#This Row],[sprzedaż]]+G2240,jablka5[[#This Row],[sprzedaż]])</f>
        <v>331</v>
      </c>
      <c r="H2241" s="1">
        <f>IF(jablka5[[#This Row],[dot sprz]]&lt;15000,0,IF(jablka5[[#This Row],[dot sprz]]&lt;20000,5,10))</f>
        <v>0</v>
      </c>
      <c r="I2241" s="1">
        <f>jablka5[[#This Row],[rabat]]*jablka5[[#This Row],[sprzedaż]]/100</f>
        <v>0</v>
      </c>
    </row>
    <row r="2242" spans="1:9" x14ac:dyDescent="0.25">
      <c r="A2242" s="2">
        <v>44568</v>
      </c>
      <c r="B2242" s="1" t="s">
        <v>4</v>
      </c>
      <c r="C2242" s="1" t="s">
        <v>16</v>
      </c>
      <c r="D2242" s="1" t="s">
        <v>33</v>
      </c>
      <c r="E2242">
        <v>740</v>
      </c>
      <c r="F2242" s="1">
        <f>VLOOKUP(jablka5[[#This Row],[Nazwa]],cennik[],2,0) * jablka5[[#This Row],[sprzedaż]]</f>
        <v>2516</v>
      </c>
      <c r="G2242" s="1">
        <f>IF(jablka5[[#This Row],[NIP]]=D2241,jablka5[[#This Row],[sprzedaż]]+G2241,jablka5[[#This Row],[sprzedaż]])</f>
        <v>1071</v>
      </c>
      <c r="H2242" s="1">
        <f>IF(jablka5[[#This Row],[dot sprz]]&lt;15000,0,IF(jablka5[[#This Row],[dot sprz]]&lt;20000,5,10))</f>
        <v>0</v>
      </c>
      <c r="I2242" s="1">
        <f>jablka5[[#This Row],[rabat]]*jablka5[[#This Row],[sprzedaż]]/100</f>
        <v>0</v>
      </c>
    </row>
    <row r="2243" spans="1:9" x14ac:dyDescent="0.25">
      <c r="A2243" s="2">
        <v>44571</v>
      </c>
      <c r="B2243" s="1" t="s">
        <v>6</v>
      </c>
      <c r="C2243" s="1" t="s">
        <v>16</v>
      </c>
      <c r="D2243" s="1" t="s">
        <v>33</v>
      </c>
      <c r="E2243">
        <v>120</v>
      </c>
      <c r="F2243" s="1">
        <f>VLOOKUP(jablka5[[#This Row],[Nazwa]],cennik[],2,0) * jablka5[[#This Row],[sprzedaż]]</f>
        <v>408</v>
      </c>
      <c r="G2243" s="1">
        <f>IF(jablka5[[#This Row],[NIP]]=D2242,jablka5[[#This Row],[sprzedaż]]+G2242,jablka5[[#This Row],[sprzedaż]])</f>
        <v>1191</v>
      </c>
      <c r="H2243" s="1">
        <f>IF(jablka5[[#This Row],[dot sprz]]&lt;15000,0,IF(jablka5[[#This Row],[dot sprz]]&lt;20000,5,10))</f>
        <v>0</v>
      </c>
      <c r="I2243" s="1">
        <f>jablka5[[#This Row],[rabat]]*jablka5[[#This Row],[sprzedaż]]/100</f>
        <v>0</v>
      </c>
    </row>
    <row r="2244" spans="1:9" x14ac:dyDescent="0.25">
      <c r="A2244" s="2">
        <v>44571</v>
      </c>
      <c r="B2244" s="1" t="s">
        <v>5</v>
      </c>
      <c r="C2244" s="1" t="s">
        <v>16</v>
      </c>
      <c r="D2244" s="1" t="s">
        <v>33</v>
      </c>
      <c r="E2244">
        <v>88</v>
      </c>
      <c r="F2244" s="1">
        <f>VLOOKUP(jablka5[[#This Row],[Nazwa]],cennik[],2,0) * jablka5[[#This Row],[sprzedaż]]</f>
        <v>299.2</v>
      </c>
      <c r="G2244" s="1">
        <f>IF(jablka5[[#This Row],[NIP]]=D2243,jablka5[[#This Row],[sprzedaż]]+G2243,jablka5[[#This Row],[sprzedaż]])</f>
        <v>1279</v>
      </c>
      <c r="H2244" s="1">
        <f>IF(jablka5[[#This Row],[dot sprz]]&lt;15000,0,IF(jablka5[[#This Row],[dot sprz]]&lt;20000,5,10))</f>
        <v>0</v>
      </c>
      <c r="I2244" s="1">
        <f>jablka5[[#This Row],[rabat]]*jablka5[[#This Row],[sprzedaż]]/100</f>
        <v>0</v>
      </c>
    </row>
    <row r="2245" spans="1:9" x14ac:dyDescent="0.25">
      <c r="A2245" s="2">
        <v>44574</v>
      </c>
      <c r="B2245" s="1" t="s">
        <v>5</v>
      </c>
      <c r="C2245" s="1" t="s">
        <v>16</v>
      </c>
      <c r="D2245" s="1" t="s">
        <v>33</v>
      </c>
      <c r="E2245">
        <v>159</v>
      </c>
      <c r="F2245" s="1">
        <f>VLOOKUP(jablka5[[#This Row],[Nazwa]],cennik[],2,0) * jablka5[[#This Row],[sprzedaż]]</f>
        <v>540.6</v>
      </c>
      <c r="G2245" s="1">
        <f>IF(jablka5[[#This Row],[NIP]]=D2244,jablka5[[#This Row],[sprzedaż]]+G2244,jablka5[[#This Row],[sprzedaż]])</f>
        <v>1438</v>
      </c>
      <c r="H2245" s="1">
        <f>IF(jablka5[[#This Row],[dot sprz]]&lt;15000,0,IF(jablka5[[#This Row],[dot sprz]]&lt;20000,5,10))</f>
        <v>0</v>
      </c>
      <c r="I2245" s="1">
        <f>jablka5[[#This Row],[rabat]]*jablka5[[#This Row],[sprzedaż]]/100</f>
        <v>0</v>
      </c>
    </row>
    <row r="2246" spans="1:9" x14ac:dyDescent="0.25">
      <c r="A2246" s="2">
        <v>44578</v>
      </c>
      <c r="B2246" s="1" t="s">
        <v>7</v>
      </c>
      <c r="C2246" s="1" t="s">
        <v>16</v>
      </c>
      <c r="D2246" s="1" t="s">
        <v>33</v>
      </c>
      <c r="E2246">
        <v>396</v>
      </c>
      <c r="F2246" s="1">
        <f>VLOOKUP(jablka5[[#This Row],[Nazwa]],cennik[],2,0) * jablka5[[#This Row],[sprzedaż]]</f>
        <v>1346.3999999999999</v>
      </c>
      <c r="G2246" s="1">
        <f>IF(jablka5[[#This Row],[NIP]]=D2245,jablka5[[#This Row],[sprzedaż]]+G2245,jablka5[[#This Row],[sprzedaż]])</f>
        <v>1834</v>
      </c>
      <c r="H2246" s="1">
        <f>IF(jablka5[[#This Row],[dot sprz]]&lt;15000,0,IF(jablka5[[#This Row],[dot sprz]]&lt;20000,5,10))</f>
        <v>0</v>
      </c>
      <c r="I2246" s="1">
        <f>jablka5[[#This Row],[rabat]]*jablka5[[#This Row],[sprzedaż]]/100</f>
        <v>0</v>
      </c>
    </row>
    <row r="2247" spans="1:9" x14ac:dyDescent="0.25">
      <c r="A2247" s="2">
        <v>44589</v>
      </c>
      <c r="B2247" s="1" t="s">
        <v>7</v>
      </c>
      <c r="C2247" s="1" t="s">
        <v>16</v>
      </c>
      <c r="D2247" s="1" t="s">
        <v>33</v>
      </c>
      <c r="E2247">
        <v>337</v>
      </c>
      <c r="F2247" s="1">
        <f>VLOOKUP(jablka5[[#This Row],[Nazwa]],cennik[],2,0) * jablka5[[#This Row],[sprzedaż]]</f>
        <v>1145.8</v>
      </c>
      <c r="G2247" s="1">
        <f>IF(jablka5[[#This Row],[NIP]]=D2246,jablka5[[#This Row],[sprzedaż]]+G2246,jablka5[[#This Row],[sprzedaż]])</f>
        <v>2171</v>
      </c>
      <c r="H2247" s="1">
        <f>IF(jablka5[[#This Row],[dot sprz]]&lt;15000,0,IF(jablka5[[#This Row],[dot sprz]]&lt;20000,5,10))</f>
        <v>0</v>
      </c>
      <c r="I2247" s="1">
        <f>jablka5[[#This Row],[rabat]]*jablka5[[#This Row],[sprzedaż]]/100</f>
        <v>0</v>
      </c>
    </row>
    <row r="2248" spans="1:9" x14ac:dyDescent="0.25">
      <c r="A2248" s="2">
        <v>44594</v>
      </c>
      <c r="B2248" s="1" t="s">
        <v>8</v>
      </c>
      <c r="C2248" s="1" t="s">
        <v>16</v>
      </c>
      <c r="D2248" s="1" t="s">
        <v>33</v>
      </c>
      <c r="E2248">
        <v>344</v>
      </c>
      <c r="F2248" s="1">
        <f>VLOOKUP(jablka5[[#This Row],[Nazwa]],cennik[],2,0) * jablka5[[#This Row],[sprzedaż]]</f>
        <v>1204</v>
      </c>
      <c r="G2248" s="1">
        <f>IF(jablka5[[#This Row],[NIP]]=D2247,jablka5[[#This Row],[sprzedaż]]+G2247,jablka5[[#This Row],[sprzedaż]])</f>
        <v>2515</v>
      </c>
      <c r="H2248" s="1">
        <f>IF(jablka5[[#This Row],[dot sprz]]&lt;15000,0,IF(jablka5[[#This Row],[dot sprz]]&lt;20000,5,10))</f>
        <v>0</v>
      </c>
      <c r="I2248" s="1">
        <f>jablka5[[#This Row],[rabat]]*jablka5[[#This Row],[sprzedaż]]/100</f>
        <v>0</v>
      </c>
    </row>
    <row r="2249" spans="1:9" x14ac:dyDescent="0.25">
      <c r="A2249" s="2">
        <v>44596</v>
      </c>
      <c r="B2249" s="1" t="s">
        <v>4</v>
      </c>
      <c r="C2249" s="1" t="s">
        <v>16</v>
      </c>
      <c r="D2249" s="1" t="s">
        <v>33</v>
      </c>
      <c r="E2249">
        <v>697</v>
      </c>
      <c r="F2249" s="1">
        <f>VLOOKUP(jablka5[[#This Row],[Nazwa]],cennik[],2,0) * jablka5[[#This Row],[sprzedaż]]</f>
        <v>2369.7999999999997</v>
      </c>
      <c r="G2249" s="1">
        <f>IF(jablka5[[#This Row],[NIP]]=D2248,jablka5[[#This Row],[sprzedaż]]+G2248,jablka5[[#This Row],[sprzedaż]])</f>
        <v>3212</v>
      </c>
      <c r="H2249" s="1">
        <f>IF(jablka5[[#This Row],[dot sprz]]&lt;15000,0,IF(jablka5[[#This Row],[dot sprz]]&lt;20000,5,10))</f>
        <v>0</v>
      </c>
      <c r="I2249" s="1">
        <f>jablka5[[#This Row],[rabat]]*jablka5[[#This Row],[sprzedaż]]/100</f>
        <v>0</v>
      </c>
    </row>
    <row r="2250" spans="1:9" x14ac:dyDescent="0.25">
      <c r="A2250" s="2">
        <v>44599</v>
      </c>
      <c r="B2250" s="1" t="s">
        <v>2</v>
      </c>
      <c r="C2250" s="1" t="s">
        <v>16</v>
      </c>
      <c r="D2250" s="1" t="s">
        <v>33</v>
      </c>
      <c r="E2250">
        <v>107</v>
      </c>
      <c r="F2250" s="1">
        <f>VLOOKUP(jablka5[[#This Row],[Nazwa]],cennik[],2,0) * jablka5[[#This Row],[sprzedaż]]</f>
        <v>342.40000000000003</v>
      </c>
      <c r="G2250" s="1">
        <f>IF(jablka5[[#This Row],[NIP]]=D2249,jablka5[[#This Row],[sprzedaż]]+G2249,jablka5[[#This Row],[sprzedaż]])</f>
        <v>3319</v>
      </c>
      <c r="H2250" s="1">
        <f>IF(jablka5[[#This Row],[dot sprz]]&lt;15000,0,IF(jablka5[[#This Row],[dot sprz]]&lt;20000,5,10))</f>
        <v>0</v>
      </c>
      <c r="I2250" s="1">
        <f>jablka5[[#This Row],[rabat]]*jablka5[[#This Row],[sprzedaż]]/100</f>
        <v>0</v>
      </c>
    </row>
    <row r="2251" spans="1:9" x14ac:dyDescent="0.25">
      <c r="A2251" s="2">
        <v>44608</v>
      </c>
      <c r="B2251" s="1" t="s">
        <v>15</v>
      </c>
      <c r="C2251" s="1" t="s">
        <v>16</v>
      </c>
      <c r="D2251" s="1" t="s">
        <v>33</v>
      </c>
      <c r="E2251">
        <v>231</v>
      </c>
      <c r="F2251" s="1">
        <f>VLOOKUP(jablka5[[#This Row],[Nazwa]],cennik[],2,0) * jablka5[[#This Row],[sprzedaż]]</f>
        <v>554.4</v>
      </c>
      <c r="G2251" s="1">
        <f>IF(jablka5[[#This Row],[NIP]]=D2250,jablka5[[#This Row],[sprzedaż]]+G2250,jablka5[[#This Row],[sprzedaż]])</f>
        <v>3550</v>
      </c>
      <c r="H2251" s="1">
        <f>IF(jablka5[[#This Row],[dot sprz]]&lt;15000,0,IF(jablka5[[#This Row],[dot sprz]]&lt;20000,5,10))</f>
        <v>0</v>
      </c>
      <c r="I2251" s="1">
        <f>jablka5[[#This Row],[rabat]]*jablka5[[#This Row],[sprzedaż]]/100</f>
        <v>0</v>
      </c>
    </row>
    <row r="2252" spans="1:9" x14ac:dyDescent="0.25">
      <c r="A2252" s="2">
        <v>44608</v>
      </c>
      <c r="B2252" s="1" t="s">
        <v>2</v>
      </c>
      <c r="C2252" s="1" t="s">
        <v>16</v>
      </c>
      <c r="D2252" s="1" t="s">
        <v>33</v>
      </c>
      <c r="E2252">
        <v>241</v>
      </c>
      <c r="F2252" s="1">
        <f>VLOOKUP(jablka5[[#This Row],[Nazwa]],cennik[],2,0) * jablka5[[#This Row],[sprzedaż]]</f>
        <v>771.2</v>
      </c>
      <c r="G2252" s="1">
        <f>IF(jablka5[[#This Row],[NIP]]=D2251,jablka5[[#This Row],[sprzedaż]]+G2251,jablka5[[#This Row],[sprzedaż]])</f>
        <v>3791</v>
      </c>
      <c r="H2252" s="1">
        <f>IF(jablka5[[#This Row],[dot sprz]]&lt;15000,0,IF(jablka5[[#This Row],[dot sprz]]&lt;20000,5,10))</f>
        <v>0</v>
      </c>
      <c r="I2252" s="1">
        <f>jablka5[[#This Row],[rabat]]*jablka5[[#This Row],[sprzedaż]]/100</f>
        <v>0</v>
      </c>
    </row>
    <row r="2253" spans="1:9" x14ac:dyDescent="0.25">
      <c r="A2253" s="2">
        <v>44622</v>
      </c>
      <c r="B2253" s="1" t="s">
        <v>5</v>
      </c>
      <c r="C2253" s="1" t="s">
        <v>16</v>
      </c>
      <c r="D2253" s="1" t="s">
        <v>33</v>
      </c>
      <c r="E2253">
        <v>12</v>
      </c>
      <c r="F2253" s="1">
        <f>VLOOKUP(jablka5[[#This Row],[Nazwa]],cennik[],2,0) * jablka5[[#This Row],[sprzedaż]]</f>
        <v>40.799999999999997</v>
      </c>
      <c r="G2253" s="1">
        <f>IF(jablka5[[#This Row],[NIP]]=D2252,jablka5[[#This Row],[sprzedaż]]+G2252,jablka5[[#This Row],[sprzedaż]])</f>
        <v>3803</v>
      </c>
      <c r="H2253" s="1">
        <f>IF(jablka5[[#This Row],[dot sprz]]&lt;15000,0,IF(jablka5[[#This Row],[dot sprz]]&lt;20000,5,10))</f>
        <v>0</v>
      </c>
      <c r="I2253" s="1">
        <f>jablka5[[#This Row],[rabat]]*jablka5[[#This Row],[sprzedaż]]/100</f>
        <v>0</v>
      </c>
    </row>
    <row r="2254" spans="1:9" x14ac:dyDescent="0.25">
      <c r="A2254" s="2">
        <v>44636</v>
      </c>
      <c r="B2254" s="1" t="s">
        <v>2</v>
      </c>
      <c r="C2254" s="1" t="s">
        <v>16</v>
      </c>
      <c r="D2254" s="1" t="s">
        <v>33</v>
      </c>
      <c r="E2254">
        <v>116</v>
      </c>
      <c r="F2254" s="1">
        <f>VLOOKUP(jablka5[[#This Row],[Nazwa]],cennik[],2,0) * jablka5[[#This Row],[sprzedaż]]</f>
        <v>371.20000000000005</v>
      </c>
      <c r="G2254" s="1">
        <f>IF(jablka5[[#This Row],[NIP]]=D2253,jablka5[[#This Row],[sprzedaż]]+G2253,jablka5[[#This Row],[sprzedaż]])</f>
        <v>3919</v>
      </c>
      <c r="H2254" s="1">
        <f>IF(jablka5[[#This Row],[dot sprz]]&lt;15000,0,IF(jablka5[[#This Row],[dot sprz]]&lt;20000,5,10))</f>
        <v>0</v>
      </c>
      <c r="I2254" s="1">
        <f>jablka5[[#This Row],[rabat]]*jablka5[[#This Row],[sprzedaż]]/100</f>
        <v>0</v>
      </c>
    </row>
    <row r="2255" spans="1:9" x14ac:dyDescent="0.25">
      <c r="A2255" s="2">
        <v>44662</v>
      </c>
      <c r="B2255" s="1" t="s">
        <v>0</v>
      </c>
      <c r="C2255" s="1" t="s">
        <v>16</v>
      </c>
      <c r="D2255" s="1" t="s">
        <v>33</v>
      </c>
      <c r="E2255">
        <v>460</v>
      </c>
      <c r="F2255" s="1">
        <f>VLOOKUP(jablka5[[#This Row],[Nazwa]],cennik[],2,0) * jablka5[[#This Row],[sprzedaż]]</f>
        <v>1334</v>
      </c>
      <c r="G2255" s="1">
        <f>IF(jablka5[[#This Row],[NIP]]=D2254,jablka5[[#This Row],[sprzedaż]]+G2254,jablka5[[#This Row],[sprzedaż]])</f>
        <v>4379</v>
      </c>
      <c r="H2255" s="1">
        <f>IF(jablka5[[#This Row],[dot sprz]]&lt;15000,0,IF(jablka5[[#This Row],[dot sprz]]&lt;20000,5,10))</f>
        <v>0</v>
      </c>
      <c r="I2255" s="1">
        <f>jablka5[[#This Row],[rabat]]*jablka5[[#This Row],[sprzedaż]]/100</f>
        <v>0</v>
      </c>
    </row>
    <row r="2256" spans="1:9" x14ac:dyDescent="0.25">
      <c r="A2256" s="2">
        <v>44664</v>
      </c>
      <c r="B2256" s="1" t="s">
        <v>4</v>
      </c>
      <c r="C2256" s="1" t="s">
        <v>16</v>
      </c>
      <c r="D2256" s="1" t="s">
        <v>33</v>
      </c>
      <c r="E2256">
        <v>413</v>
      </c>
      <c r="F2256" s="1">
        <f>VLOOKUP(jablka5[[#This Row],[Nazwa]],cennik[],2,0) * jablka5[[#This Row],[sprzedaż]]</f>
        <v>1404.2</v>
      </c>
      <c r="G2256" s="1">
        <f>IF(jablka5[[#This Row],[NIP]]=D2255,jablka5[[#This Row],[sprzedaż]]+G2255,jablka5[[#This Row],[sprzedaż]])</f>
        <v>4792</v>
      </c>
      <c r="H2256" s="1">
        <f>IF(jablka5[[#This Row],[dot sprz]]&lt;15000,0,IF(jablka5[[#This Row],[dot sprz]]&lt;20000,5,10))</f>
        <v>0</v>
      </c>
      <c r="I2256" s="1">
        <f>jablka5[[#This Row],[rabat]]*jablka5[[#This Row],[sprzedaż]]/100</f>
        <v>0</v>
      </c>
    </row>
    <row r="2257" spans="1:9" x14ac:dyDescent="0.25">
      <c r="A2257" s="2">
        <v>44665</v>
      </c>
      <c r="B2257" s="1" t="s">
        <v>8</v>
      </c>
      <c r="C2257" s="1" t="s">
        <v>16</v>
      </c>
      <c r="D2257" s="1" t="s">
        <v>33</v>
      </c>
      <c r="E2257">
        <v>598</v>
      </c>
      <c r="F2257" s="1">
        <f>VLOOKUP(jablka5[[#This Row],[Nazwa]],cennik[],2,0) * jablka5[[#This Row],[sprzedaż]]</f>
        <v>2093</v>
      </c>
      <c r="G2257" s="1">
        <f>IF(jablka5[[#This Row],[NIP]]=D2256,jablka5[[#This Row],[sprzedaż]]+G2256,jablka5[[#This Row],[sprzedaż]])</f>
        <v>5390</v>
      </c>
      <c r="H2257" s="1">
        <f>IF(jablka5[[#This Row],[dot sprz]]&lt;15000,0,IF(jablka5[[#This Row],[dot sprz]]&lt;20000,5,10))</f>
        <v>0</v>
      </c>
      <c r="I2257" s="1">
        <f>jablka5[[#This Row],[rabat]]*jablka5[[#This Row],[sprzedaż]]/100</f>
        <v>0</v>
      </c>
    </row>
    <row r="2258" spans="1:9" x14ac:dyDescent="0.25">
      <c r="A2258" s="2">
        <v>44666</v>
      </c>
      <c r="B2258" s="1" t="s">
        <v>7</v>
      </c>
      <c r="C2258" s="1" t="s">
        <v>16</v>
      </c>
      <c r="D2258" s="1" t="s">
        <v>33</v>
      </c>
      <c r="E2258">
        <v>474</v>
      </c>
      <c r="F2258" s="1">
        <f>VLOOKUP(jablka5[[#This Row],[Nazwa]],cennik[],2,0) * jablka5[[#This Row],[sprzedaż]]</f>
        <v>1611.6</v>
      </c>
      <c r="G2258" s="1">
        <f>IF(jablka5[[#This Row],[NIP]]=D2257,jablka5[[#This Row],[sprzedaż]]+G2257,jablka5[[#This Row],[sprzedaż]])</f>
        <v>5864</v>
      </c>
      <c r="H2258" s="1">
        <f>IF(jablka5[[#This Row],[dot sprz]]&lt;15000,0,IF(jablka5[[#This Row],[dot sprz]]&lt;20000,5,10))</f>
        <v>0</v>
      </c>
      <c r="I2258" s="1">
        <f>jablka5[[#This Row],[rabat]]*jablka5[[#This Row],[sprzedaż]]/100</f>
        <v>0</v>
      </c>
    </row>
    <row r="2259" spans="1:9" x14ac:dyDescent="0.25">
      <c r="A2259" s="2">
        <v>44667</v>
      </c>
      <c r="B2259" s="1" t="s">
        <v>5</v>
      </c>
      <c r="C2259" s="1" t="s">
        <v>16</v>
      </c>
      <c r="D2259" s="1" t="s">
        <v>33</v>
      </c>
      <c r="E2259">
        <v>305</v>
      </c>
      <c r="F2259" s="1">
        <f>VLOOKUP(jablka5[[#This Row],[Nazwa]],cennik[],2,0) * jablka5[[#This Row],[sprzedaż]]</f>
        <v>1037</v>
      </c>
      <c r="G2259" s="1">
        <f>IF(jablka5[[#This Row],[NIP]]=D2258,jablka5[[#This Row],[sprzedaż]]+G2258,jablka5[[#This Row],[sprzedaż]])</f>
        <v>6169</v>
      </c>
      <c r="H2259" s="1">
        <f>IF(jablka5[[#This Row],[dot sprz]]&lt;15000,0,IF(jablka5[[#This Row],[dot sprz]]&lt;20000,5,10))</f>
        <v>0</v>
      </c>
      <c r="I2259" s="1">
        <f>jablka5[[#This Row],[rabat]]*jablka5[[#This Row],[sprzedaż]]/100</f>
        <v>0</v>
      </c>
    </row>
    <row r="2260" spans="1:9" x14ac:dyDescent="0.25">
      <c r="A2260" s="2">
        <v>44678</v>
      </c>
      <c r="B2260" s="1" t="s">
        <v>4</v>
      </c>
      <c r="C2260" s="1" t="s">
        <v>16</v>
      </c>
      <c r="D2260" s="1" t="s">
        <v>33</v>
      </c>
      <c r="E2260">
        <v>423</v>
      </c>
      <c r="F2260" s="1">
        <f>VLOOKUP(jablka5[[#This Row],[Nazwa]],cennik[],2,0) * jablka5[[#This Row],[sprzedaż]]</f>
        <v>1438.2</v>
      </c>
      <c r="G2260" s="1">
        <f>IF(jablka5[[#This Row],[NIP]]=D2259,jablka5[[#This Row],[sprzedaż]]+G2259,jablka5[[#This Row],[sprzedaż]])</f>
        <v>6592</v>
      </c>
      <c r="H2260" s="1">
        <f>IF(jablka5[[#This Row],[dot sprz]]&lt;15000,0,IF(jablka5[[#This Row],[dot sprz]]&lt;20000,5,10))</f>
        <v>0</v>
      </c>
      <c r="I2260" s="1">
        <f>jablka5[[#This Row],[rabat]]*jablka5[[#This Row],[sprzedaż]]/100</f>
        <v>0</v>
      </c>
    </row>
    <row r="2261" spans="1:9" x14ac:dyDescent="0.25">
      <c r="A2261" s="2">
        <v>44690</v>
      </c>
      <c r="B2261" s="1" t="s">
        <v>8</v>
      </c>
      <c r="C2261" s="1" t="s">
        <v>16</v>
      </c>
      <c r="D2261" s="1" t="s">
        <v>33</v>
      </c>
      <c r="E2261">
        <v>533</v>
      </c>
      <c r="F2261" s="1">
        <f>VLOOKUP(jablka5[[#This Row],[Nazwa]],cennik[],2,0) * jablka5[[#This Row],[sprzedaż]]</f>
        <v>1865.5</v>
      </c>
      <c r="G2261" s="1">
        <f>IF(jablka5[[#This Row],[NIP]]=D2260,jablka5[[#This Row],[sprzedaż]]+G2260,jablka5[[#This Row],[sprzedaż]])</f>
        <v>7125</v>
      </c>
      <c r="H2261" s="1">
        <f>IF(jablka5[[#This Row],[dot sprz]]&lt;15000,0,IF(jablka5[[#This Row],[dot sprz]]&lt;20000,5,10))</f>
        <v>0</v>
      </c>
      <c r="I2261" s="1">
        <f>jablka5[[#This Row],[rabat]]*jablka5[[#This Row],[sprzedaż]]/100</f>
        <v>0</v>
      </c>
    </row>
    <row r="2262" spans="1:9" x14ac:dyDescent="0.25">
      <c r="A2262" s="2">
        <v>44699</v>
      </c>
      <c r="B2262" s="1" t="s">
        <v>10</v>
      </c>
      <c r="C2262" s="1" t="s">
        <v>16</v>
      </c>
      <c r="D2262" s="1" t="s">
        <v>33</v>
      </c>
      <c r="E2262">
        <v>206</v>
      </c>
      <c r="F2262" s="1">
        <f>VLOOKUP(jablka5[[#This Row],[Nazwa]],cennik[],2,0) * jablka5[[#This Row],[sprzedaż]]</f>
        <v>700.4</v>
      </c>
      <c r="G2262" s="1">
        <f>IF(jablka5[[#This Row],[NIP]]=D2261,jablka5[[#This Row],[sprzedaż]]+G2261,jablka5[[#This Row],[sprzedaż]])</f>
        <v>7331</v>
      </c>
      <c r="H2262" s="1">
        <f>IF(jablka5[[#This Row],[dot sprz]]&lt;15000,0,IF(jablka5[[#This Row],[dot sprz]]&lt;20000,5,10))</f>
        <v>0</v>
      </c>
      <c r="I2262" s="1">
        <f>jablka5[[#This Row],[rabat]]*jablka5[[#This Row],[sprzedaż]]/100</f>
        <v>0</v>
      </c>
    </row>
    <row r="2263" spans="1:9" x14ac:dyDescent="0.25">
      <c r="A2263" s="2">
        <v>44706</v>
      </c>
      <c r="B2263" s="1" t="s">
        <v>6</v>
      </c>
      <c r="C2263" s="1" t="s">
        <v>16</v>
      </c>
      <c r="D2263" s="1" t="s">
        <v>33</v>
      </c>
      <c r="E2263">
        <v>446</v>
      </c>
      <c r="F2263" s="1">
        <f>VLOOKUP(jablka5[[#This Row],[Nazwa]],cennik[],2,0) * jablka5[[#This Row],[sprzedaż]]</f>
        <v>1516.3999999999999</v>
      </c>
      <c r="G2263" s="1">
        <f>IF(jablka5[[#This Row],[NIP]]=D2262,jablka5[[#This Row],[sprzedaż]]+G2262,jablka5[[#This Row],[sprzedaż]])</f>
        <v>7777</v>
      </c>
      <c r="H2263" s="1">
        <f>IF(jablka5[[#This Row],[dot sprz]]&lt;15000,0,IF(jablka5[[#This Row],[dot sprz]]&lt;20000,5,10))</f>
        <v>0</v>
      </c>
      <c r="I2263" s="1">
        <f>jablka5[[#This Row],[rabat]]*jablka5[[#This Row],[sprzedaż]]/100</f>
        <v>0</v>
      </c>
    </row>
    <row r="2264" spans="1:9" x14ac:dyDescent="0.25">
      <c r="A2264" s="2">
        <v>44713</v>
      </c>
      <c r="B2264" s="1" t="s">
        <v>12</v>
      </c>
      <c r="C2264" s="1" t="s">
        <v>68</v>
      </c>
      <c r="D2264" s="1" t="s">
        <v>33</v>
      </c>
      <c r="E2264">
        <v>463</v>
      </c>
      <c r="F2264" s="1">
        <f>VLOOKUP(jablka5[[#This Row],[Nazwa]],cennik[],2,0) * jablka5[[#This Row],[sprzedaż]]</f>
        <v>1250.1000000000001</v>
      </c>
      <c r="G2264" s="1">
        <f>IF(jablka5[[#This Row],[NIP]]=D2263,jablka5[[#This Row],[sprzedaż]]+G2263,jablka5[[#This Row],[sprzedaż]])</f>
        <v>8240</v>
      </c>
      <c r="H2264" s="1">
        <f>IF(jablka5[[#This Row],[dot sprz]]&lt;15000,0,IF(jablka5[[#This Row],[dot sprz]]&lt;20000,5,10))</f>
        <v>0</v>
      </c>
      <c r="I2264" s="1">
        <f>jablka5[[#This Row],[rabat]]*jablka5[[#This Row],[sprzedaż]]/100</f>
        <v>0</v>
      </c>
    </row>
    <row r="2265" spans="1:9" x14ac:dyDescent="0.25">
      <c r="A2265" s="2">
        <v>44718</v>
      </c>
      <c r="B2265" s="1" t="s">
        <v>14</v>
      </c>
      <c r="C2265" s="1" t="s">
        <v>67</v>
      </c>
      <c r="D2265" s="1" t="s">
        <v>33</v>
      </c>
      <c r="E2265">
        <v>482</v>
      </c>
      <c r="F2265" s="1">
        <f>VLOOKUP(jablka5[[#This Row],[Nazwa]],cennik[],2,0) * jablka5[[#This Row],[sprzedaż]]</f>
        <v>1687</v>
      </c>
      <c r="G2265" s="1">
        <f>IF(jablka5[[#This Row],[NIP]]=D2264,jablka5[[#This Row],[sprzedaż]]+G2264,jablka5[[#This Row],[sprzedaż]])</f>
        <v>8722</v>
      </c>
      <c r="H2265" s="1">
        <f>IF(jablka5[[#This Row],[dot sprz]]&lt;15000,0,IF(jablka5[[#This Row],[dot sprz]]&lt;20000,5,10))</f>
        <v>0</v>
      </c>
      <c r="I2265" s="1">
        <f>jablka5[[#This Row],[rabat]]*jablka5[[#This Row],[sprzedaż]]/100</f>
        <v>0</v>
      </c>
    </row>
    <row r="2266" spans="1:9" x14ac:dyDescent="0.25">
      <c r="A2266" s="2">
        <v>44742</v>
      </c>
      <c r="B2266" s="1" t="s">
        <v>12</v>
      </c>
      <c r="C2266" s="1" t="s">
        <v>68</v>
      </c>
      <c r="D2266" s="1" t="s">
        <v>33</v>
      </c>
      <c r="E2266">
        <v>25</v>
      </c>
      <c r="F2266" s="1">
        <f>VLOOKUP(jablka5[[#This Row],[Nazwa]],cennik[],2,0) * jablka5[[#This Row],[sprzedaż]]</f>
        <v>67.5</v>
      </c>
      <c r="G2266" s="1">
        <f>IF(jablka5[[#This Row],[NIP]]=D2265,jablka5[[#This Row],[sprzedaż]]+G2265,jablka5[[#This Row],[sprzedaż]])</f>
        <v>8747</v>
      </c>
      <c r="H2266" s="1">
        <f>IF(jablka5[[#This Row],[dot sprz]]&lt;15000,0,IF(jablka5[[#This Row],[dot sprz]]&lt;20000,5,10))</f>
        <v>0</v>
      </c>
      <c r="I2266" s="1">
        <f>jablka5[[#This Row],[rabat]]*jablka5[[#This Row],[sprzedaż]]/100</f>
        <v>0</v>
      </c>
    </row>
    <row r="2267" spans="1:9" x14ac:dyDescent="0.25">
      <c r="A2267" s="2">
        <v>44774</v>
      </c>
      <c r="B2267" s="1" t="s">
        <v>13</v>
      </c>
      <c r="C2267" s="1" t="s">
        <v>68</v>
      </c>
      <c r="D2267" s="1" t="s">
        <v>33</v>
      </c>
      <c r="E2267">
        <v>418</v>
      </c>
      <c r="F2267" s="1">
        <f>VLOOKUP(jablka5[[#This Row],[Nazwa]],cennik[],2,0) * jablka5[[#This Row],[sprzedaż]]</f>
        <v>1337.6000000000001</v>
      </c>
      <c r="G2267" s="1">
        <f>IF(jablka5[[#This Row],[NIP]]=D2266,jablka5[[#This Row],[sprzedaż]]+G2266,jablka5[[#This Row],[sprzedaż]])</f>
        <v>9165</v>
      </c>
      <c r="H2267" s="1">
        <f>IF(jablka5[[#This Row],[dot sprz]]&lt;15000,0,IF(jablka5[[#This Row],[dot sprz]]&lt;20000,5,10))</f>
        <v>0</v>
      </c>
      <c r="I2267" s="1">
        <f>jablka5[[#This Row],[rabat]]*jablka5[[#This Row],[sprzedaż]]/100</f>
        <v>0</v>
      </c>
    </row>
    <row r="2268" spans="1:9" x14ac:dyDescent="0.25">
      <c r="A2268" s="2">
        <v>44781</v>
      </c>
      <c r="B2268" s="1" t="s">
        <v>12</v>
      </c>
      <c r="C2268" s="1" t="s">
        <v>68</v>
      </c>
      <c r="D2268" s="1" t="s">
        <v>33</v>
      </c>
      <c r="E2268">
        <v>244</v>
      </c>
      <c r="F2268" s="1">
        <f>VLOOKUP(jablka5[[#This Row],[Nazwa]],cennik[],2,0) * jablka5[[#This Row],[sprzedaż]]</f>
        <v>658.80000000000007</v>
      </c>
      <c r="G2268" s="1">
        <f>IF(jablka5[[#This Row],[NIP]]=D2267,jablka5[[#This Row],[sprzedaż]]+G2267,jablka5[[#This Row],[sprzedaż]])</f>
        <v>9409</v>
      </c>
      <c r="H2268" s="1">
        <f>IF(jablka5[[#This Row],[dot sprz]]&lt;15000,0,IF(jablka5[[#This Row],[dot sprz]]&lt;20000,5,10))</f>
        <v>0</v>
      </c>
      <c r="I2268" s="1">
        <f>jablka5[[#This Row],[rabat]]*jablka5[[#This Row],[sprzedaż]]/100</f>
        <v>0</v>
      </c>
    </row>
    <row r="2269" spans="1:9" x14ac:dyDescent="0.25">
      <c r="A2269" s="2">
        <v>44783</v>
      </c>
      <c r="B2269" s="1" t="s">
        <v>13</v>
      </c>
      <c r="C2269" s="1" t="s">
        <v>68</v>
      </c>
      <c r="D2269" s="1" t="s">
        <v>33</v>
      </c>
      <c r="E2269">
        <v>458</v>
      </c>
      <c r="F2269" s="1">
        <f>VLOOKUP(jablka5[[#This Row],[Nazwa]],cennik[],2,0) * jablka5[[#This Row],[sprzedaż]]</f>
        <v>1465.6000000000001</v>
      </c>
      <c r="G2269" s="1">
        <f>IF(jablka5[[#This Row],[NIP]]=D2268,jablka5[[#This Row],[sprzedaż]]+G2268,jablka5[[#This Row],[sprzedaż]])</f>
        <v>9867</v>
      </c>
      <c r="H2269" s="1">
        <f>IF(jablka5[[#This Row],[dot sprz]]&lt;15000,0,IF(jablka5[[#This Row],[dot sprz]]&lt;20000,5,10))</f>
        <v>0</v>
      </c>
      <c r="I2269" s="1">
        <f>jablka5[[#This Row],[rabat]]*jablka5[[#This Row],[sprzedaż]]/100</f>
        <v>0</v>
      </c>
    </row>
    <row r="2270" spans="1:9" x14ac:dyDescent="0.25">
      <c r="A2270" s="2">
        <v>44788</v>
      </c>
      <c r="B2270" s="1" t="s">
        <v>13</v>
      </c>
      <c r="C2270" s="1" t="s">
        <v>68</v>
      </c>
      <c r="D2270" s="1" t="s">
        <v>33</v>
      </c>
      <c r="E2270">
        <v>270</v>
      </c>
      <c r="F2270" s="1">
        <f>VLOOKUP(jablka5[[#This Row],[Nazwa]],cennik[],2,0) * jablka5[[#This Row],[sprzedaż]]</f>
        <v>864</v>
      </c>
      <c r="G2270" s="1">
        <f>IF(jablka5[[#This Row],[NIP]]=D2269,jablka5[[#This Row],[sprzedaż]]+G2269,jablka5[[#This Row],[sprzedaż]])</f>
        <v>10137</v>
      </c>
      <c r="H2270" s="1">
        <f>IF(jablka5[[#This Row],[dot sprz]]&lt;15000,0,IF(jablka5[[#This Row],[dot sprz]]&lt;20000,5,10))</f>
        <v>0</v>
      </c>
      <c r="I2270" s="1">
        <f>jablka5[[#This Row],[rabat]]*jablka5[[#This Row],[sprzedaż]]/100</f>
        <v>0</v>
      </c>
    </row>
    <row r="2271" spans="1:9" x14ac:dyDescent="0.25">
      <c r="A2271" s="2">
        <v>44788</v>
      </c>
      <c r="B2271" s="1" t="s">
        <v>12</v>
      </c>
      <c r="C2271" s="1" t="s">
        <v>68</v>
      </c>
      <c r="D2271" s="1" t="s">
        <v>33</v>
      </c>
      <c r="E2271">
        <v>292</v>
      </c>
      <c r="F2271" s="1">
        <f>VLOOKUP(jablka5[[#This Row],[Nazwa]],cennik[],2,0) * jablka5[[#This Row],[sprzedaż]]</f>
        <v>788.40000000000009</v>
      </c>
      <c r="G2271" s="1">
        <f>IF(jablka5[[#This Row],[NIP]]=D2270,jablka5[[#This Row],[sprzedaż]]+G2270,jablka5[[#This Row],[sprzedaż]])</f>
        <v>10429</v>
      </c>
      <c r="H2271" s="1">
        <f>IF(jablka5[[#This Row],[dot sprz]]&lt;15000,0,IF(jablka5[[#This Row],[dot sprz]]&lt;20000,5,10))</f>
        <v>0</v>
      </c>
      <c r="I2271" s="1">
        <f>jablka5[[#This Row],[rabat]]*jablka5[[#This Row],[sprzedaż]]/100</f>
        <v>0</v>
      </c>
    </row>
    <row r="2272" spans="1:9" x14ac:dyDescent="0.25">
      <c r="A2272" s="2">
        <v>44792</v>
      </c>
      <c r="B2272" s="1" t="s">
        <v>14</v>
      </c>
      <c r="C2272" s="1" t="s">
        <v>67</v>
      </c>
      <c r="D2272" s="1" t="s">
        <v>33</v>
      </c>
      <c r="E2272">
        <v>244</v>
      </c>
      <c r="F2272" s="1">
        <f>VLOOKUP(jablka5[[#This Row],[Nazwa]],cennik[],2,0) * jablka5[[#This Row],[sprzedaż]]</f>
        <v>854</v>
      </c>
      <c r="G2272" s="1">
        <f>IF(jablka5[[#This Row],[NIP]]=D2271,jablka5[[#This Row],[sprzedaż]]+G2271,jablka5[[#This Row],[sprzedaż]])</f>
        <v>10673</v>
      </c>
      <c r="H2272" s="1">
        <f>IF(jablka5[[#This Row],[dot sprz]]&lt;15000,0,IF(jablka5[[#This Row],[dot sprz]]&lt;20000,5,10))</f>
        <v>0</v>
      </c>
      <c r="I2272" s="1">
        <f>jablka5[[#This Row],[rabat]]*jablka5[[#This Row],[sprzedaż]]/100</f>
        <v>0</v>
      </c>
    </row>
    <row r="2273" spans="1:9" x14ac:dyDescent="0.25">
      <c r="A2273" s="2">
        <v>44797</v>
      </c>
      <c r="B2273" s="1" t="s">
        <v>13</v>
      </c>
      <c r="C2273" s="1" t="s">
        <v>68</v>
      </c>
      <c r="D2273" s="1" t="s">
        <v>33</v>
      </c>
      <c r="E2273">
        <v>356</v>
      </c>
      <c r="F2273" s="1">
        <f>VLOOKUP(jablka5[[#This Row],[Nazwa]],cennik[],2,0) * jablka5[[#This Row],[sprzedaż]]</f>
        <v>1139.2</v>
      </c>
      <c r="G2273" s="1">
        <f>IF(jablka5[[#This Row],[NIP]]=D2272,jablka5[[#This Row],[sprzedaż]]+G2272,jablka5[[#This Row],[sprzedaż]])</f>
        <v>11029</v>
      </c>
      <c r="H2273" s="1">
        <f>IF(jablka5[[#This Row],[dot sprz]]&lt;15000,0,IF(jablka5[[#This Row],[dot sprz]]&lt;20000,5,10))</f>
        <v>0</v>
      </c>
      <c r="I2273" s="1">
        <f>jablka5[[#This Row],[rabat]]*jablka5[[#This Row],[sprzedaż]]/100</f>
        <v>0</v>
      </c>
    </row>
    <row r="2274" spans="1:9" x14ac:dyDescent="0.25">
      <c r="A2274" s="2">
        <v>44799</v>
      </c>
      <c r="B2274" s="1" t="s">
        <v>13</v>
      </c>
      <c r="C2274" s="1" t="s">
        <v>68</v>
      </c>
      <c r="D2274" s="1" t="s">
        <v>33</v>
      </c>
      <c r="E2274">
        <v>332</v>
      </c>
      <c r="F2274" s="1">
        <f>VLOOKUP(jablka5[[#This Row],[Nazwa]],cennik[],2,0) * jablka5[[#This Row],[sprzedaż]]</f>
        <v>1062.4000000000001</v>
      </c>
      <c r="G2274" s="1">
        <f>IF(jablka5[[#This Row],[NIP]]=D2273,jablka5[[#This Row],[sprzedaż]]+G2273,jablka5[[#This Row],[sprzedaż]])</f>
        <v>11361</v>
      </c>
      <c r="H2274" s="1">
        <f>IF(jablka5[[#This Row],[dot sprz]]&lt;15000,0,IF(jablka5[[#This Row],[dot sprz]]&lt;20000,5,10))</f>
        <v>0</v>
      </c>
      <c r="I2274" s="1">
        <f>jablka5[[#This Row],[rabat]]*jablka5[[#This Row],[sprzedaż]]/100</f>
        <v>0</v>
      </c>
    </row>
    <row r="2275" spans="1:9" x14ac:dyDescent="0.25">
      <c r="A2275" s="2">
        <v>44802</v>
      </c>
      <c r="B2275" s="1" t="s">
        <v>12</v>
      </c>
      <c r="C2275" s="1" t="s">
        <v>68</v>
      </c>
      <c r="D2275" s="1" t="s">
        <v>33</v>
      </c>
      <c r="E2275">
        <v>429</v>
      </c>
      <c r="F2275" s="1">
        <f>VLOOKUP(jablka5[[#This Row],[Nazwa]],cennik[],2,0) * jablka5[[#This Row],[sprzedaż]]</f>
        <v>1158.3000000000002</v>
      </c>
      <c r="G2275" s="1">
        <f>IF(jablka5[[#This Row],[NIP]]=D2274,jablka5[[#This Row],[sprzedaż]]+G2274,jablka5[[#This Row],[sprzedaż]])</f>
        <v>11790</v>
      </c>
      <c r="H2275" s="1">
        <f>IF(jablka5[[#This Row],[dot sprz]]&lt;15000,0,IF(jablka5[[#This Row],[dot sprz]]&lt;20000,5,10))</f>
        <v>0</v>
      </c>
      <c r="I2275" s="1">
        <f>jablka5[[#This Row],[rabat]]*jablka5[[#This Row],[sprzedaż]]/100</f>
        <v>0</v>
      </c>
    </row>
    <row r="2276" spans="1:9" x14ac:dyDescent="0.25">
      <c r="A2276" s="2">
        <v>44809</v>
      </c>
      <c r="B2276" s="1" t="s">
        <v>9</v>
      </c>
      <c r="C2276" s="1" t="s">
        <v>67</v>
      </c>
      <c r="D2276" s="1" t="s">
        <v>33</v>
      </c>
      <c r="E2276">
        <v>470</v>
      </c>
      <c r="F2276" s="1">
        <f>VLOOKUP(jablka5[[#This Row],[Nazwa]],cennik[],2,0) * jablka5[[#This Row],[sprzedaż]]</f>
        <v>1175</v>
      </c>
      <c r="G2276" s="1">
        <f>IF(jablka5[[#This Row],[NIP]]=D2275,jablka5[[#This Row],[sprzedaż]]+G2275,jablka5[[#This Row],[sprzedaż]])</f>
        <v>12260</v>
      </c>
      <c r="H2276" s="1">
        <f>IF(jablka5[[#This Row],[dot sprz]]&lt;15000,0,IF(jablka5[[#This Row],[dot sprz]]&lt;20000,5,10))</f>
        <v>0</v>
      </c>
      <c r="I2276" s="1">
        <f>jablka5[[#This Row],[rabat]]*jablka5[[#This Row],[sprzedaż]]/100</f>
        <v>0</v>
      </c>
    </row>
    <row r="2277" spans="1:9" x14ac:dyDescent="0.25">
      <c r="A2277" s="2">
        <v>44816</v>
      </c>
      <c r="B2277" s="1" t="s">
        <v>1</v>
      </c>
      <c r="C2277" s="1" t="s">
        <v>67</v>
      </c>
      <c r="D2277" s="1" t="s">
        <v>33</v>
      </c>
      <c r="E2277">
        <v>18</v>
      </c>
      <c r="F2277" s="1">
        <f>VLOOKUP(jablka5[[#This Row],[Nazwa]],cennik[],2,0) * jablka5[[#This Row],[sprzedaż]]</f>
        <v>57.6</v>
      </c>
      <c r="G2277" s="1">
        <f>IF(jablka5[[#This Row],[NIP]]=D2276,jablka5[[#This Row],[sprzedaż]]+G2276,jablka5[[#This Row],[sprzedaż]])</f>
        <v>12278</v>
      </c>
      <c r="H2277" s="1">
        <f>IF(jablka5[[#This Row],[dot sprz]]&lt;15000,0,IF(jablka5[[#This Row],[dot sprz]]&lt;20000,5,10))</f>
        <v>0</v>
      </c>
      <c r="I2277" s="1">
        <f>jablka5[[#This Row],[rabat]]*jablka5[[#This Row],[sprzedaż]]/100</f>
        <v>0</v>
      </c>
    </row>
    <row r="2278" spans="1:9" x14ac:dyDescent="0.25">
      <c r="A2278" s="2">
        <v>44816</v>
      </c>
      <c r="B2278" s="1" t="s">
        <v>3</v>
      </c>
      <c r="C2278" s="1" t="s">
        <v>67</v>
      </c>
      <c r="D2278" s="1" t="s">
        <v>33</v>
      </c>
      <c r="E2278">
        <v>443</v>
      </c>
      <c r="F2278" s="1">
        <f>VLOOKUP(jablka5[[#This Row],[Nazwa]],cennik[],2,0) * jablka5[[#This Row],[sprzedaż]]</f>
        <v>1417.6000000000001</v>
      </c>
      <c r="G2278" s="1">
        <f>IF(jablka5[[#This Row],[NIP]]=D2277,jablka5[[#This Row],[sprzedaż]]+G2277,jablka5[[#This Row],[sprzedaż]])</f>
        <v>12721</v>
      </c>
      <c r="H2278" s="1">
        <f>IF(jablka5[[#This Row],[dot sprz]]&lt;15000,0,IF(jablka5[[#This Row],[dot sprz]]&lt;20000,5,10))</f>
        <v>0</v>
      </c>
      <c r="I2278" s="1">
        <f>jablka5[[#This Row],[rabat]]*jablka5[[#This Row],[sprzedaż]]/100</f>
        <v>0</v>
      </c>
    </row>
    <row r="2279" spans="1:9" x14ac:dyDescent="0.25">
      <c r="A2279" s="2">
        <v>44816</v>
      </c>
      <c r="B2279" s="1" t="s">
        <v>3</v>
      </c>
      <c r="C2279" s="1" t="s">
        <v>67</v>
      </c>
      <c r="D2279" s="1" t="s">
        <v>33</v>
      </c>
      <c r="E2279">
        <v>83</v>
      </c>
      <c r="F2279" s="1">
        <f>VLOOKUP(jablka5[[#This Row],[Nazwa]],cennik[],2,0) * jablka5[[#This Row],[sprzedaż]]</f>
        <v>265.60000000000002</v>
      </c>
      <c r="G2279" s="1">
        <f>IF(jablka5[[#This Row],[NIP]]=D2278,jablka5[[#This Row],[sprzedaż]]+G2278,jablka5[[#This Row],[sprzedaż]])</f>
        <v>12804</v>
      </c>
      <c r="H2279" s="1">
        <f>IF(jablka5[[#This Row],[dot sprz]]&lt;15000,0,IF(jablka5[[#This Row],[dot sprz]]&lt;20000,5,10))</f>
        <v>0</v>
      </c>
      <c r="I2279" s="1">
        <f>jablka5[[#This Row],[rabat]]*jablka5[[#This Row],[sprzedaż]]/100</f>
        <v>0</v>
      </c>
    </row>
    <row r="2280" spans="1:9" x14ac:dyDescent="0.25">
      <c r="A2280" s="2">
        <v>44821</v>
      </c>
      <c r="B2280" s="1" t="s">
        <v>14</v>
      </c>
      <c r="C2280" s="1" t="s">
        <v>67</v>
      </c>
      <c r="D2280" s="1" t="s">
        <v>33</v>
      </c>
      <c r="E2280">
        <v>459</v>
      </c>
      <c r="F2280" s="1">
        <f>VLOOKUP(jablka5[[#This Row],[Nazwa]],cennik[],2,0) * jablka5[[#This Row],[sprzedaż]]</f>
        <v>1606.5</v>
      </c>
      <c r="G2280" s="1">
        <f>IF(jablka5[[#This Row],[NIP]]=D2279,jablka5[[#This Row],[sprzedaż]]+G2279,jablka5[[#This Row],[sprzedaż]])</f>
        <v>13263</v>
      </c>
      <c r="H2280" s="1">
        <f>IF(jablka5[[#This Row],[dot sprz]]&lt;15000,0,IF(jablka5[[#This Row],[dot sprz]]&lt;20000,5,10))</f>
        <v>0</v>
      </c>
      <c r="I2280" s="1">
        <f>jablka5[[#This Row],[rabat]]*jablka5[[#This Row],[sprzedaż]]/100</f>
        <v>0</v>
      </c>
    </row>
    <row r="2281" spans="1:9" x14ac:dyDescent="0.25">
      <c r="A2281" s="2">
        <v>44831</v>
      </c>
      <c r="B2281" s="1" t="s">
        <v>14</v>
      </c>
      <c r="C2281" s="1" t="s">
        <v>67</v>
      </c>
      <c r="D2281" s="1" t="s">
        <v>33</v>
      </c>
      <c r="E2281">
        <v>367</v>
      </c>
      <c r="F2281" s="1">
        <f>VLOOKUP(jablka5[[#This Row],[Nazwa]],cennik[],2,0) * jablka5[[#This Row],[sprzedaż]]</f>
        <v>1284.5</v>
      </c>
      <c r="G2281" s="1">
        <f>IF(jablka5[[#This Row],[NIP]]=D2280,jablka5[[#This Row],[sprzedaż]]+G2280,jablka5[[#This Row],[sprzedaż]])</f>
        <v>13630</v>
      </c>
      <c r="H2281" s="1">
        <f>IF(jablka5[[#This Row],[dot sprz]]&lt;15000,0,IF(jablka5[[#This Row],[dot sprz]]&lt;20000,5,10))</f>
        <v>0</v>
      </c>
      <c r="I2281" s="1">
        <f>jablka5[[#This Row],[rabat]]*jablka5[[#This Row],[sprzedaż]]/100</f>
        <v>0</v>
      </c>
    </row>
    <row r="2282" spans="1:9" x14ac:dyDescent="0.25">
      <c r="A2282" s="2">
        <v>44835</v>
      </c>
      <c r="B2282" s="1" t="s">
        <v>1</v>
      </c>
      <c r="C2282" s="1" t="s">
        <v>67</v>
      </c>
      <c r="D2282" s="1" t="s">
        <v>33</v>
      </c>
      <c r="E2282">
        <v>280</v>
      </c>
      <c r="F2282" s="1">
        <f>VLOOKUP(jablka5[[#This Row],[Nazwa]],cennik[],2,0) * jablka5[[#This Row],[sprzedaż]]</f>
        <v>896</v>
      </c>
      <c r="G2282" s="1">
        <f>IF(jablka5[[#This Row],[NIP]]=D2281,jablka5[[#This Row],[sprzedaż]]+G2281,jablka5[[#This Row],[sprzedaż]])</f>
        <v>13910</v>
      </c>
      <c r="H2282" s="1">
        <f>IF(jablka5[[#This Row],[dot sprz]]&lt;15000,0,IF(jablka5[[#This Row],[dot sprz]]&lt;20000,5,10))</f>
        <v>0</v>
      </c>
      <c r="I2282" s="1">
        <f>jablka5[[#This Row],[rabat]]*jablka5[[#This Row],[sprzedaż]]/100</f>
        <v>0</v>
      </c>
    </row>
    <row r="2283" spans="1:9" x14ac:dyDescent="0.25">
      <c r="A2283" s="2">
        <v>44837</v>
      </c>
      <c r="B2283" s="1" t="s">
        <v>3</v>
      </c>
      <c r="C2283" s="1" t="s">
        <v>67</v>
      </c>
      <c r="D2283" s="1" t="s">
        <v>33</v>
      </c>
      <c r="E2283">
        <v>408</v>
      </c>
      <c r="F2283" s="1">
        <f>VLOOKUP(jablka5[[#This Row],[Nazwa]],cennik[],2,0) * jablka5[[#This Row],[sprzedaż]]</f>
        <v>1305.6000000000001</v>
      </c>
      <c r="G2283" s="1">
        <f>IF(jablka5[[#This Row],[NIP]]=D2282,jablka5[[#This Row],[sprzedaż]]+G2282,jablka5[[#This Row],[sprzedaż]])</f>
        <v>14318</v>
      </c>
      <c r="H2283" s="1">
        <f>IF(jablka5[[#This Row],[dot sprz]]&lt;15000,0,IF(jablka5[[#This Row],[dot sprz]]&lt;20000,5,10))</f>
        <v>0</v>
      </c>
      <c r="I2283" s="1">
        <f>jablka5[[#This Row],[rabat]]*jablka5[[#This Row],[sprzedaż]]/100</f>
        <v>0</v>
      </c>
    </row>
    <row r="2284" spans="1:9" x14ac:dyDescent="0.25">
      <c r="A2284" s="2">
        <v>44870</v>
      </c>
      <c r="B2284" s="1" t="s">
        <v>1</v>
      </c>
      <c r="C2284" s="1" t="s">
        <v>67</v>
      </c>
      <c r="D2284" s="1" t="s">
        <v>33</v>
      </c>
      <c r="E2284">
        <v>443</v>
      </c>
      <c r="F2284" s="1">
        <f>VLOOKUP(jablka5[[#This Row],[Nazwa]],cennik[],2,0) * jablka5[[#This Row],[sprzedaż]]</f>
        <v>1417.6000000000001</v>
      </c>
      <c r="G2284" s="1">
        <f>IF(jablka5[[#This Row],[NIP]]=D2283,jablka5[[#This Row],[sprzedaż]]+G2283,jablka5[[#This Row],[sprzedaż]])</f>
        <v>14761</v>
      </c>
      <c r="H2284" s="1">
        <f>IF(jablka5[[#This Row],[dot sprz]]&lt;15000,0,IF(jablka5[[#This Row],[dot sprz]]&lt;20000,5,10))</f>
        <v>0</v>
      </c>
      <c r="I2284" s="1">
        <f>jablka5[[#This Row],[rabat]]*jablka5[[#This Row],[sprzedaż]]/100</f>
        <v>0</v>
      </c>
    </row>
    <row r="2285" spans="1:9" x14ac:dyDescent="0.25">
      <c r="A2285" s="2">
        <v>44872</v>
      </c>
      <c r="B2285" s="1" t="s">
        <v>9</v>
      </c>
      <c r="C2285" s="1" t="s">
        <v>67</v>
      </c>
      <c r="D2285" s="1" t="s">
        <v>33</v>
      </c>
      <c r="E2285">
        <v>454</v>
      </c>
      <c r="F2285" s="1">
        <f>VLOOKUP(jablka5[[#This Row],[Nazwa]],cennik[],2,0) * jablka5[[#This Row],[sprzedaż]]</f>
        <v>1135</v>
      </c>
      <c r="G2285" s="1">
        <f>IF(jablka5[[#This Row],[NIP]]=D2284,jablka5[[#This Row],[sprzedaż]]+G2284,jablka5[[#This Row],[sprzedaż]])</f>
        <v>15215</v>
      </c>
      <c r="H2285" s="1">
        <f>IF(jablka5[[#This Row],[dot sprz]]&lt;15000,0,IF(jablka5[[#This Row],[dot sprz]]&lt;20000,5,10))</f>
        <v>5</v>
      </c>
      <c r="I2285" s="1">
        <f>jablka5[[#This Row],[rabat]]*jablka5[[#This Row],[sprzedaż]]/100</f>
        <v>22.7</v>
      </c>
    </row>
    <row r="2286" spans="1:9" x14ac:dyDescent="0.25">
      <c r="A2286" s="2">
        <v>44575</v>
      </c>
      <c r="B2286" s="1" t="s">
        <v>2</v>
      </c>
      <c r="C2286" s="1" t="s">
        <v>16</v>
      </c>
      <c r="D2286" s="1" t="s">
        <v>58</v>
      </c>
      <c r="E2286">
        <v>249</v>
      </c>
      <c r="F2286" s="1">
        <f>VLOOKUP(jablka5[[#This Row],[Nazwa]],cennik[],2,0) * jablka5[[#This Row],[sprzedaż]]</f>
        <v>796.80000000000007</v>
      </c>
      <c r="G2286" s="1">
        <f>IF(jablka5[[#This Row],[NIP]]=D2285,jablka5[[#This Row],[sprzedaż]]+G2285,jablka5[[#This Row],[sprzedaż]])</f>
        <v>249</v>
      </c>
      <c r="H2286" s="1">
        <f>IF(jablka5[[#This Row],[dot sprz]]&lt;15000,0,IF(jablka5[[#This Row],[dot sprz]]&lt;20000,5,10))</f>
        <v>0</v>
      </c>
      <c r="I2286" s="1">
        <f>jablka5[[#This Row],[rabat]]*jablka5[[#This Row],[sprzedaż]]/100</f>
        <v>0</v>
      </c>
    </row>
    <row r="2287" spans="1:9" x14ac:dyDescent="0.25">
      <c r="A2287" s="2">
        <v>44576</v>
      </c>
      <c r="B2287" s="1" t="s">
        <v>15</v>
      </c>
      <c r="C2287" s="1" t="s">
        <v>16</v>
      </c>
      <c r="D2287" s="1" t="s">
        <v>58</v>
      </c>
      <c r="E2287">
        <v>556</v>
      </c>
      <c r="F2287" s="1">
        <f>VLOOKUP(jablka5[[#This Row],[Nazwa]],cennik[],2,0) * jablka5[[#This Row],[sprzedaż]]</f>
        <v>1334.3999999999999</v>
      </c>
      <c r="G2287" s="1">
        <f>IF(jablka5[[#This Row],[NIP]]=D2286,jablka5[[#This Row],[sprzedaż]]+G2286,jablka5[[#This Row],[sprzedaż]])</f>
        <v>805</v>
      </c>
      <c r="H2287" s="1">
        <f>IF(jablka5[[#This Row],[dot sprz]]&lt;15000,0,IF(jablka5[[#This Row],[dot sprz]]&lt;20000,5,10))</f>
        <v>0</v>
      </c>
      <c r="I2287" s="1">
        <f>jablka5[[#This Row],[rabat]]*jablka5[[#This Row],[sprzedaż]]/100</f>
        <v>0</v>
      </c>
    </row>
    <row r="2288" spans="1:9" x14ac:dyDescent="0.25">
      <c r="A2288" s="2">
        <v>44578</v>
      </c>
      <c r="B2288" s="1" t="s">
        <v>10</v>
      </c>
      <c r="C2288" s="1" t="s">
        <v>16</v>
      </c>
      <c r="D2288" s="1" t="s">
        <v>58</v>
      </c>
      <c r="E2288">
        <v>272</v>
      </c>
      <c r="F2288" s="1">
        <f>VLOOKUP(jablka5[[#This Row],[Nazwa]],cennik[],2,0) * jablka5[[#This Row],[sprzedaż]]</f>
        <v>924.8</v>
      </c>
      <c r="G2288" s="1">
        <f>IF(jablka5[[#This Row],[NIP]]=D2287,jablka5[[#This Row],[sprzedaż]]+G2287,jablka5[[#This Row],[sprzedaż]])</f>
        <v>1077</v>
      </c>
      <c r="H2288" s="1">
        <f>IF(jablka5[[#This Row],[dot sprz]]&lt;15000,0,IF(jablka5[[#This Row],[dot sprz]]&lt;20000,5,10))</f>
        <v>0</v>
      </c>
      <c r="I2288" s="1">
        <f>jablka5[[#This Row],[rabat]]*jablka5[[#This Row],[sprzedaż]]/100</f>
        <v>0</v>
      </c>
    </row>
    <row r="2289" spans="1:9" x14ac:dyDescent="0.25">
      <c r="A2289" s="2">
        <v>44599</v>
      </c>
      <c r="B2289" s="1" t="s">
        <v>6</v>
      </c>
      <c r="C2289" s="1" t="s">
        <v>16</v>
      </c>
      <c r="D2289" s="1" t="s">
        <v>58</v>
      </c>
      <c r="E2289">
        <v>238</v>
      </c>
      <c r="F2289" s="1">
        <f>VLOOKUP(jablka5[[#This Row],[Nazwa]],cennik[],2,0) * jablka5[[#This Row],[sprzedaż]]</f>
        <v>809.19999999999993</v>
      </c>
      <c r="G2289" s="1">
        <f>IF(jablka5[[#This Row],[NIP]]=D2288,jablka5[[#This Row],[sprzedaż]]+G2288,jablka5[[#This Row],[sprzedaż]])</f>
        <v>1315</v>
      </c>
      <c r="H2289" s="1">
        <f>IF(jablka5[[#This Row],[dot sprz]]&lt;15000,0,IF(jablka5[[#This Row],[dot sprz]]&lt;20000,5,10))</f>
        <v>0</v>
      </c>
      <c r="I2289" s="1">
        <f>jablka5[[#This Row],[rabat]]*jablka5[[#This Row],[sprzedaż]]/100</f>
        <v>0</v>
      </c>
    </row>
    <row r="2290" spans="1:9" x14ac:dyDescent="0.25">
      <c r="A2290" s="2">
        <v>44600</v>
      </c>
      <c r="B2290" s="1" t="s">
        <v>4</v>
      </c>
      <c r="C2290" s="1" t="s">
        <v>16</v>
      </c>
      <c r="D2290" s="1" t="s">
        <v>58</v>
      </c>
      <c r="E2290">
        <v>353</v>
      </c>
      <c r="F2290" s="1">
        <f>VLOOKUP(jablka5[[#This Row],[Nazwa]],cennik[],2,0) * jablka5[[#This Row],[sprzedaż]]</f>
        <v>1200.2</v>
      </c>
      <c r="G2290" s="1">
        <f>IF(jablka5[[#This Row],[NIP]]=D2289,jablka5[[#This Row],[sprzedaż]]+G2289,jablka5[[#This Row],[sprzedaż]])</f>
        <v>1668</v>
      </c>
      <c r="H2290" s="1">
        <f>IF(jablka5[[#This Row],[dot sprz]]&lt;15000,0,IF(jablka5[[#This Row],[dot sprz]]&lt;20000,5,10))</f>
        <v>0</v>
      </c>
      <c r="I2290" s="1">
        <f>jablka5[[#This Row],[rabat]]*jablka5[[#This Row],[sprzedaż]]/100</f>
        <v>0</v>
      </c>
    </row>
    <row r="2291" spans="1:9" x14ac:dyDescent="0.25">
      <c r="A2291" s="2">
        <v>44603</v>
      </c>
      <c r="B2291" s="1" t="s">
        <v>8</v>
      </c>
      <c r="C2291" s="1" t="s">
        <v>16</v>
      </c>
      <c r="D2291" s="1" t="s">
        <v>58</v>
      </c>
      <c r="E2291">
        <v>573</v>
      </c>
      <c r="F2291" s="1">
        <f>VLOOKUP(jablka5[[#This Row],[Nazwa]],cennik[],2,0) * jablka5[[#This Row],[sprzedaż]]</f>
        <v>2005.5</v>
      </c>
      <c r="G2291" s="1">
        <f>IF(jablka5[[#This Row],[NIP]]=D2290,jablka5[[#This Row],[sprzedaż]]+G2290,jablka5[[#This Row],[sprzedaż]])</f>
        <v>2241</v>
      </c>
      <c r="H2291" s="1">
        <f>IF(jablka5[[#This Row],[dot sprz]]&lt;15000,0,IF(jablka5[[#This Row],[dot sprz]]&lt;20000,5,10))</f>
        <v>0</v>
      </c>
      <c r="I2291" s="1">
        <f>jablka5[[#This Row],[rabat]]*jablka5[[#This Row],[sprzedaż]]/100</f>
        <v>0</v>
      </c>
    </row>
    <row r="2292" spans="1:9" x14ac:dyDescent="0.25">
      <c r="A2292" s="2">
        <v>44608</v>
      </c>
      <c r="B2292" s="1" t="s">
        <v>4</v>
      </c>
      <c r="C2292" s="1" t="s">
        <v>16</v>
      </c>
      <c r="D2292" s="1" t="s">
        <v>58</v>
      </c>
      <c r="E2292">
        <v>780</v>
      </c>
      <c r="F2292" s="1">
        <f>VLOOKUP(jablka5[[#This Row],[Nazwa]],cennik[],2,0) * jablka5[[#This Row],[sprzedaż]]</f>
        <v>2652</v>
      </c>
      <c r="G2292" s="1">
        <f>IF(jablka5[[#This Row],[NIP]]=D2291,jablka5[[#This Row],[sprzedaż]]+G2291,jablka5[[#This Row],[sprzedaż]])</f>
        <v>3021</v>
      </c>
      <c r="H2292" s="1">
        <f>IF(jablka5[[#This Row],[dot sprz]]&lt;15000,0,IF(jablka5[[#This Row],[dot sprz]]&lt;20000,5,10))</f>
        <v>0</v>
      </c>
      <c r="I2292" s="1">
        <f>jablka5[[#This Row],[rabat]]*jablka5[[#This Row],[sprzedaż]]/100</f>
        <v>0</v>
      </c>
    </row>
    <row r="2293" spans="1:9" x14ac:dyDescent="0.25">
      <c r="A2293" s="2">
        <v>44613</v>
      </c>
      <c r="B2293" s="1" t="s">
        <v>10</v>
      </c>
      <c r="C2293" s="1" t="s">
        <v>16</v>
      </c>
      <c r="D2293" s="1" t="s">
        <v>58</v>
      </c>
      <c r="E2293">
        <v>74</v>
      </c>
      <c r="F2293" s="1">
        <f>VLOOKUP(jablka5[[#This Row],[Nazwa]],cennik[],2,0) * jablka5[[#This Row],[sprzedaż]]</f>
        <v>251.6</v>
      </c>
      <c r="G2293" s="1">
        <f>IF(jablka5[[#This Row],[NIP]]=D2292,jablka5[[#This Row],[sprzedaż]]+G2292,jablka5[[#This Row],[sprzedaż]])</f>
        <v>3095</v>
      </c>
      <c r="H2293" s="1">
        <f>IF(jablka5[[#This Row],[dot sprz]]&lt;15000,0,IF(jablka5[[#This Row],[dot sprz]]&lt;20000,5,10))</f>
        <v>0</v>
      </c>
      <c r="I2293" s="1">
        <f>jablka5[[#This Row],[rabat]]*jablka5[[#This Row],[sprzedaż]]/100</f>
        <v>0</v>
      </c>
    </row>
    <row r="2294" spans="1:9" x14ac:dyDescent="0.25">
      <c r="A2294" s="2">
        <v>44615</v>
      </c>
      <c r="B2294" s="1" t="s">
        <v>8</v>
      </c>
      <c r="C2294" s="1" t="s">
        <v>16</v>
      </c>
      <c r="D2294" s="1" t="s">
        <v>58</v>
      </c>
      <c r="E2294">
        <v>510</v>
      </c>
      <c r="F2294" s="1">
        <f>VLOOKUP(jablka5[[#This Row],[Nazwa]],cennik[],2,0) * jablka5[[#This Row],[sprzedaż]]</f>
        <v>1785</v>
      </c>
      <c r="G2294" s="1">
        <f>IF(jablka5[[#This Row],[NIP]]=D2293,jablka5[[#This Row],[sprzedaż]]+G2293,jablka5[[#This Row],[sprzedaż]])</f>
        <v>3605</v>
      </c>
      <c r="H2294" s="1">
        <f>IF(jablka5[[#This Row],[dot sprz]]&lt;15000,0,IF(jablka5[[#This Row],[dot sprz]]&lt;20000,5,10))</f>
        <v>0</v>
      </c>
      <c r="I2294" s="1">
        <f>jablka5[[#This Row],[rabat]]*jablka5[[#This Row],[sprzedaż]]/100</f>
        <v>0</v>
      </c>
    </row>
    <row r="2295" spans="1:9" x14ac:dyDescent="0.25">
      <c r="A2295" s="2">
        <v>44620</v>
      </c>
      <c r="B2295" s="1" t="s">
        <v>7</v>
      </c>
      <c r="C2295" s="1" t="s">
        <v>16</v>
      </c>
      <c r="D2295" s="1" t="s">
        <v>58</v>
      </c>
      <c r="E2295">
        <v>332</v>
      </c>
      <c r="F2295" s="1">
        <f>VLOOKUP(jablka5[[#This Row],[Nazwa]],cennik[],2,0) * jablka5[[#This Row],[sprzedaż]]</f>
        <v>1128.8</v>
      </c>
      <c r="G2295" s="1">
        <f>IF(jablka5[[#This Row],[NIP]]=D2294,jablka5[[#This Row],[sprzedaż]]+G2294,jablka5[[#This Row],[sprzedaż]])</f>
        <v>3937</v>
      </c>
      <c r="H2295" s="1">
        <f>IF(jablka5[[#This Row],[dot sprz]]&lt;15000,0,IF(jablka5[[#This Row],[dot sprz]]&lt;20000,5,10))</f>
        <v>0</v>
      </c>
      <c r="I2295" s="1">
        <f>jablka5[[#This Row],[rabat]]*jablka5[[#This Row],[sprzedaż]]/100</f>
        <v>0</v>
      </c>
    </row>
    <row r="2296" spans="1:9" x14ac:dyDescent="0.25">
      <c r="A2296" s="2">
        <v>44620</v>
      </c>
      <c r="B2296" s="1" t="s">
        <v>15</v>
      </c>
      <c r="C2296" s="1" t="s">
        <v>16</v>
      </c>
      <c r="D2296" s="1" t="s">
        <v>58</v>
      </c>
      <c r="E2296">
        <v>172</v>
      </c>
      <c r="F2296" s="1">
        <f>VLOOKUP(jablka5[[#This Row],[Nazwa]],cennik[],2,0) * jablka5[[#This Row],[sprzedaż]]</f>
        <v>412.8</v>
      </c>
      <c r="G2296" s="1">
        <f>IF(jablka5[[#This Row],[NIP]]=D2295,jablka5[[#This Row],[sprzedaż]]+G2295,jablka5[[#This Row],[sprzedaż]])</f>
        <v>4109</v>
      </c>
      <c r="H2296" s="1">
        <f>IF(jablka5[[#This Row],[dot sprz]]&lt;15000,0,IF(jablka5[[#This Row],[dot sprz]]&lt;20000,5,10))</f>
        <v>0</v>
      </c>
      <c r="I2296" s="1">
        <f>jablka5[[#This Row],[rabat]]*jablka5[[#This Row],[sprzedaż]]/100</f>
        <v>0</v>
      </c>
    </row>
    <row r="2297" spans="1:9" x14ac:dyDescent="0.25">
      <c r="A2297" s="2">
        <v>44621</v>
      </c>
      <c r="B2297" s="1" t="s">
        <v>2</v>
      </c>
      <c r="C2297" s="1" t="s">
        <v>16</v>
      </c>
      <c r="D2297" s="1" t="s">
        <v>58</v>
      </c>
      <c r="E2297">
        <v>123</v>
      </c>
      <c r="F2297" s="1">
        <f>VLOOKUP(jablka5[[#This Row],[Nazwa]],cennik[],2,0) * jablka5[[#This Row],[sprzedaż]]</f>
        <v>393.6</v>
      </c>
      <c r="G2297" s="1">
        <f>IF(jablka5[[#This Row],[NIP]]=D2296,jablka5[[#This Row],[sprzedaż]]+G2296,jablka5[[#This Row],[sprzedaż]])</f>
        <v>4232</v>
      </c>
      <c r="H2297" s="1">
        <f>IF(jablka5[[#This Row],[dot sprz]]&lt;15000,0,IF(jablka5[[#This Row],[dot sprz]]&lt;20000,5,10))</f>
        <v>0</v>
      </c>
      <c r="I2297" s="1">
        <f>jablka5[[#This Row],[rabat]]*jablka5[[#This Row],[sprzedaż]]/100</f>
        <v>0</v>
      </c>
    </row>
    <row r="2298" spans="1:9" x14ac:dyDescent="0.25">
      <c r="A2298" s="2">
        <v>44632</v>
      </c>
      <c r="B2298" s="1" t="s">
        <v>8</v>
      </c>
      <c r="C2298" s="1" t="s">
        <v>16</v>
      </c>
      <c r="D2298" s="1" t="s">
        <v>58</v>
      </c>
      <c r="E2298">
        <v>278</v>
      </c>
      <c r="F2298" s="1">
        <f>VLOOKUP(jablka5[[#This Row],[Nazwa]],cennik[],2,0) * jablka5[[#This Row],[sprzedaż]]</f>
        <v>973</v>
      </c>
      <c r="G2298" s="1">
        <f>IF(jablka5[[#This Row],[NIP]]=D2297,jablka5[[#This Row],[sprzedaż]]+G2297,jablka5[[#This Row],[sprzedaż]])</f>
        <v>4510</v>
      </c>
      <c r="H2298" s="1">
        <f>IF(jablka5[[#This Row],[dot sprz]]&lt;15000,0,IF(jablka5[[#This Row],[dot sprz]]&lt;20000,5,10))</f>
        <v>0</v>
      </c>
      <c r="I2298" s="1">
        <f>jablka5[[#This Row],[rabat]]*jablka5[[#This Row],[sprzedaż]]/100</f>
        <v>0</v>
      </c>
    </row>
    <row r="2299" spans="1:9" x14ac:dyDescent="0.25">
      <c r="A2299" s="2">
        <v>44639</v>
      </c>
      <c r="B2299" s="1" t="s">
        <v>8</v>
      </c>
      <c r="C2299" s="1" t="s">
        <v>16</v>
      </c>
      <c r="D2299" s="1" t="s">
        <v>58</v>
      </c>
      <c r="E2299">
        <v>332</v>
      </c>
      <c r="F2299" s="1">
        <f>VLOOKUP(jablka5[[#This Row],[Nazwa]],cennik[],2,0) * jablka5[[#This Row],[sprzedaż]]</f>
        <v>1162</v>
      </c>
      <c r="G2299" s="1">
        <f>IF(jablka5[[#This Row],[NIP]]=D2298,jablka5[[#This Row],[sprzedaż]]+G2298,jablka5[[#This Row],[sprzedaż]])</f>
        <v>4842</v>
      </c>
      <c r="H2299" s="1">
        <f>IF(jablka5[[#This Row],[dot sprz]]&lt;15000,0,IF(jablka5[[#This Row],[dot sprz]]&lt;20000,5,10))</f>
        <v>0</v>
      </c>
      <c r="I2299" s="1">
        <f>jablka5[[#This Row],[rabat]]*jablka5[[#This Row],[sprzedaż]]/100</f>
        <v>0</v>
      </c>
    </row>
    <row r="2300" spans="1:9" x14ac:dyDescent="0.25">
      <c r="A2300" s="2">
        <v>44644</v>
      </c>
      <c r="B2300" s="1" t="s">
        <v>8</v>
      </c>
      <c r="C2300" s="1" t="s">
        <v>16</v>
      </c>
      <c r="D2300" s="1" t="s">
        <v>58</v>
      </c>
      <c r="E2300">
        <v>579</v>
      </c>
      <c r="F2300" s="1">
        <f>VLOOKUP(jablka5[[#This Row],[Nazwa]],cennik[],2,0) * jablka5[[#This Row],[sprzedaż]]</f>
        <v>2026.5</v>
      </c>
      <c r="G2300" s="1">
        <f>IF(jablka5[[#This Row],[NIP]]=D2299,jablka5[[#This Row],[sprzedaż]]+G2299,jablka5[[#This Row],[sprzedaż]])</f>
        <v>5421</v>
      </c>
      <c r="H2300" s="1">
        <f>IF(jablka5[[#This Row],[dot sprz]]&lt;15000,0,IF(jablka5[[#This Row],[dot sprz]]&lt;20000,5,10))</f>
        <v>0</v>
      </c>
      <c r="I2300" s="1">
        <f>jablka5[[#This Row],[rabat]]*jablka5[[#This Row],[sprzedaż]]/100</f>
        <v>0</v>
      </c>
    </row>
    <row r="2301" spans="1:9" x14ac:dyDescent="0.25">
      <c r="A2301" s="2">
        <v>44648</v>
      </c>
      <c r="B2301" s="1" t="s">
        <v>6</v>
      </c>
      <c r="C2301" s="1" t="s">
        <v>16</v>
      </c>
      <c r="D2301" s="1" t="s">
        <v>58</v>
      </c>
      <c r="E2301">
        <v>269</v>
      </c>
      <c r="F2301" s="1">
        <f>VLOOKUP(jablka5[[#This Row],[Nazwa]],cennik[],2,0) * jablka5[[#This Row],[sprzedaż]]</f>
        <v>914.6</v>
      </c>
      <c r="G2301" s="1">
        <f>IF(jablka5[[#This Row],[NIP]]=D2300,jablka5[[#This Row],[sprzedaż]]+G2300,jablka5[[#This Row],[sprzedaż]])</f>
        <v>5690</v>
      </c>
      <c r="H2301" s="1">
        <f>IF(jablka5[[#This Row],[dot sprz]]&lt;15000,0,IF(jablka5[[#This Row],[dot sprz]]&lt;20000,5,10))</f>
        <v>0</v>
      </c>
      <c r="I2301" s="1">
        <f>jablka5[[#This Row],[rabat]]*jablka5[[#This Row],[sprzedaż]]/100</f>
        <v>0</v>
      </c>
    </row>
    <row r="2302" spans="1:9" x14ac:dyDescent="0.25">
      <c r="A2302" s="2">
        <v>44658</v>
      </c>
      <c r="B2302" s="1" t="s">
        <v>0</v>
      </c>
      <c r="C2302" s="1" t="s">
        <v>16</v>
      </c>
      <c r="D2302" s="1" t="s">
        <v>58</v>
      </c>
      <c r="E2302">
        <v>498</v>
      </c>
      <c r="F2302" s="1">
        <f>VLOOKUP(jablka5[[#This Row],[Nazwa]],cennik[],2,0) * jablka5[[#This Row],[sprzedaż]]</f>
        <v>1444.2</v>
      </c>
      <c r="G2302" s="1">
        <f>IF(jablka5[[#This Row],[NIP]]=D2301,jablka5[[#This Row],[sprzedaż]]+G2301,jablka5[[#This Row],[sprzedaż]])</f>
        <v>6188</v>
      </c>
      <c r="H2302" s="1">
        <f>IF(jablka5[[#This Row],[dot sprz]]&lt;15000,0,IF(jablka5[[#This Row],[dot sprz]]&lt;20000,5,10))</f>
        <v>0</v>
      </c>
      <c r="I2302" s="1">
        <f>jablka5[[#This Row],[rabat]]*jablka5[[#This Row],[sprzedaż]]/100</f>
        <v>0</v>
      </c>
    </row>
    <row r="2303" spans="1:9" x14ac:dyDescent="0.25">
      <c r="A2303" s="2">
        <v>44673</v>
      </c>
      <c r="B2303" s="1" t="s">
        <v>2</v>
      </c>
      <c r="C2303" s="1" t="s">
        <v>16</v>
      </c>
      <c r="D2303" s="1" t="s">
        <v>58</v>
      </c>
      <c r="E2303">
        <v>383</v>
      </c>
      <c r="F2303" s="1">
        <f>VLOOKUP(jablka5[[#This Row],[Nazwa]],cennik[],2,0) * jablka5[[#This Row],[sprzedaż]]</f>
        <v>1225.6000000000001</v>
      </c>
      <c r="G2303" s="1">
        <f>IF(jablka5[[#This Row],[NIP]]=D2302,jablka5[[#This Row],[sprzedaż]]+G2302,jablka5[[#This Row],[sprzedaż]])</f>
        <v>6571</v>
      </c>
      <c r="H2303" s="1">
        <f>IF(jablka5[[#This Row],[dot sprz]]&lt;15000,0,IF(jablka5[[#This Row],[dot sprz]]&lt;20000,5,10))</f>
        <v>0</v>
      </c>
      <c r="I2303" s="1">
        <f>jablka5[[#This Row],[rabat]]*jablka5[[#This Row],[sprzedaż]]/100</f>
        <v>0</v>
      </c>
    </row>
    <row r="2304" spans="1:9" x14ac:dyDescent="0.25">
      <c r="A2304" s="2">
        <v>44715</v>
      </c>
      <c r="B2304" s="1" t="s">
        <v>13</v>
      </c>
      <c r="C2304" s="1" t="s">
        <v>68</v>
      </c>
      <c r="D2304" s="1" t="s">
        <v>58</v>
      </c>
      <c r="E2304">
        <v>256</v>
      </c>
      <c r="F2304" s="1">
        <f>VLOOKUP(jablka5[[#This Row],[Nazwa]],cennik[],2,0) * jablka5[[#This Row],[sprzedaż]]</f>
        <v>819.2</v>
      </c>
      <c r="G2304" s="1">
        <f>IF(jablka5[[#This Row],[NIP]]=D2303,jablka5[[#This Row],[sprzedaż]]+G2303,jablka5[[#This Row],[sprzedaż]])</f>
        <v>6827</v>
      </c>
      <c r="H2304" s="1">
        <f>IF(jablka5[[#This Row],[dot sprz]]&lt;15000,0,IF(jablka5[[#This Row],[dot sprz]]&lt;20000,5,10))</f>
        <v>0</v>
      </c>
      <c r="I2304" s="1">
        <f>jablka5[[#This Row],[rabat]]*jablka5[[#This Row],[sprzedaż]]/100</f>
        <v>0</v>
      </c>
    </row>
    <row r="2305" spans="1:9" x14ac:dyDescent="0.25">
      <c r="A2305" s="2">
        <v>44729</v>
      </c>
      <c r="B2305" s="1" t="s">
        <v>12</v>
      </c>
      <c r="C2305" s="1" t="s">
        <v>68</v>
      </c>
      <c r="D2305" s="1" t="s">
        <v>58</v>
      </c>
      <c r="E2305">
        <v>282</v>
      </c>
      <c r="F2305" s="1">
        <f>VLOOKUP(jablka5[[#This Row],[Nazwa]],cennik[],2,0) * jablka5[[#This Row],[sprzedaż]]</f>
        <v>761.40000000000009</v>
      </c>
      <c r="G2305" s="1">
        <f>IF(jablka5[[#This Row],[NIP]]=D2304,jablka5[[#This Row],[sprzedaż]]+G2304,jablka5[[#This Row],[sprzedaż]])</f>
        <v>7109</v>
      </c>
      <c r="H2305" s="1">
        <f>IF(jablka5[[#This Row],[dot sprz]]&lt;15000,0,IF(jablka5[[#This Row],[dot sprz]]&lt;20000,5,10))</f>
        <v>0</v>
      </c>
      <c r="I2305" s="1">
        <f>jablka5[[#This Row],[rabat]]*jablka5[[#This Row],[sprzedaż]]/100</f>
        <v>0</v>
      </c>
    </row>
    <row r="2306" spans="1:9" x14ac:dyDescent="0.25">
      <c r="A2306" s="2">
        <v>44742</v>
      </c>
      <c r="B2306" s="1" t="s">
        <v>13</v>
      </c>
      <c r="C2306" s="1" t="s">
        <v>68</v>
      </c>
      <c r="D2306" s="1" t="s">
        <v>58</v>
      </c>
      <c r="E2306">
        <v>201</v>
      </c>
      <c r="F2306" s="1">
        <f>VLOOKUP(jablka5[[#This Row],[Nazwa]],cennik[],2,0) * jablka5[[#This Row],[sprzedaż]]</f>
        <v>643.20000000000005</v>
      </c>
      <c r="G2306" s="1">
        <f>IF(jablka5[[#This Row],[NIP]]=D2305,jablka5[[#This Row],[sprzedaż]]+G2305,jablka5[[#This Row],[sprzedaż]])</f>
        <v>7310</v>
      </c>
      <c r="H2306" s="1">
        <f>IF(jablka5[[#This Row],[dot sprz]]&lt;15000,0,IF(jablka5[[#This Row],[dot sprz]]&lt;20000,5,10))</f>
        <v>0</v>
      </c>
      <c r="I2306" s="1">
        <f>jablka5[[#This Row],[rabat]]*jablka5[[#This Row],[sprzedaż]]/100</f>
        <v>0</v>
      </c>
    </row>
    <row r="2307" spans="1:9" x14ac:dyDescent="0.25">
      <c r="A2307" s="2">
        <v>44763</v>
      </c>
      <c r="B2307" s="1" t="s">
        <v>13</v>
      </c>
      <c r="C2307" s="1" t="s">
        <v>68</v>
      </c>
      <c r="D2307" s="1" t="s">
        <v>58</v>
      </c>
      <c r="E2307">
        <v>153</v>
      </c>
      <c r="F2307" s="1">
        <f>VLOOKUP(jablka5[[#This Row],[Nazwa]],cennik[],2,0) * jablka5[[#This Row],[sprzedaż]]</f>
        <v>489.6</v>
      </c>
      <c r="G2307" s="1">
        <f>IF(jablka5[[#This Row],[NIP]]=D2306,jablka5[[#This Row],[sprzedaż]]+G2306,jablka5[[#This Row],[sprzedaż]])</f>
        <v>7463</v>
      </c>
      <c r="H2307" s="1">
        <f>IF(jablka5[[#This Row],[dot sprz]]&lt;15000,0,IF(jablka5[[#This Row],[dot sprz]]&lt;20000,5,10))</f>
        <v>0</v>
      </c>
      <c r="I2307" s="1">
        <f>jablka5[[#This Row],[rabat]]*jablka5[[#This Row],[sprzedaż]]/100</f>
        <v>0</v>
      </c>
    </row>
    <row r="2308" spans="1:9" x14ac:dyDescent="0.25">
      <c r="A2308" s="2">
        <v>44767</v>
      </c>
      <c r="B2308" s="1" t="s">
        <v>13</v>
      </c>
      <c r="C2308" s="1" t="s">
        <v>68</v>
      </c>
      <c r="D2308" s="1" t="s">
        <v>58</v>
      </c>
      <c r="E2308">
        <v>380</v>
      </c>
      <c r="F2308" s="1">
        <f>VLOOKUP(jablka5[[#This Row],[Nazwa]],cennik[],2,0) * jablka5[[#This Row],[sprzedaż]]</f>
        <v>1216</v>
      </c>
      <c r="G2308" s="1">
        <f>IF(jablka5[[#This Row],[NIP]]=D2307,jablka5[[#This Row],[sprzedaż]]+G2307,jablka5[[#This Row],[sprzedaż]])</f>
        <v>7843</v>
      </c>
      <c r="H2308" s="1">
        <f>IF(jablka5[[#This Row],[dot sprz]]&lt;15000,0,IF(jablka5[[#This Row],[dot sprz]]&lt;20000,5,10))</f>
        <v>0</v>
      </c>
      <c r="I2308" s="1">
        <f>jablka5[[#This Row],[rabat]]*jablka5[[#This Row],[sprzedaż]]/100</f>
        <v>0</v>
      </c>
    </row>
    <row r="2309" spans="1:9" x14ac:dyDescent="0.25">
      <c r="A2309" s="2">
        <v>44772</v>
      </c>
      <c r="B2309" s="1" t="s">
        <v>12</v>
      </c>
      <c r="C2309" s="1" t="s">
        <v>68</v>
      </c>
      <c r="D2309" s="1" t="s">
        <v>58</v>
      </c>
      <c r="E2309">
        <v>190</v>
      </c>
      <c r="F2309" s="1">
        <f>VLOOKUP(jablka5[[#This Row],[Nazwa]],cennik[],2,0) * jablka5[[#This Row],[sprzedaż]]</f>
        <v>513</v>
      </c>
      <c r="G2309" s="1">
        <f>IF(jablka5[[#This Row],[NIP]]=D2308,jablka5[[#This Row],[sprzedaż]]+G2308,jablka5[[#This Row],[sprzedaż]])</f>
        <v>8033</v>
      </c>
      <c r="H2309" s="1">
        <f>IF(jablka5[[#This Row],[dot sprz]]&lt;15000,0,IF(jablka5[[#This Row],[dot sprz]]&lt;20000,5,10))</f>
        <v>0</v>
      </c>
      <c r="I2309" s="1">
        <f>jablka5[[#This Row],[rabat]]*jablka5[[#This Row],[sprzedaż]]/100</f>
        <v>0</v>
      </c>
    </row>
    <row r="2310" spans="1:9" x14ac:dyDescent="0.25">
      <c r="A2310" s="2">
        <v>44774</v>
      </c>
      <c r="B2310" s="1" t="s">
        <v>14</v>
      </c>
      <c r="C2310" s="1" t="s">
        <v>67</v>
      </c>
      <c r="D2310" s="1" t="s">
        <v>58</v>
      </c>
      <c r="E2310">
        <v>297</v>
      </c>
      <c r="F2310" s="1">
        <f>VLOOKUP(jablka5[[#This Row],[Nazwa]],cennik[],2,0) * jablka5[[#This Row],[sprzedaż]]</f>
        <v>1039.5</v>
      </c>
      <c r="G2310" s="1">
        <f>IF(jablka5[[#This Row],[NIP]]=D2309,jablka5[[#This Row],[sprzedaż]]+G2309,jablka5[[#This Row],[sprzedaż]])</f>
        <v>8330</v>
      </c>
      <c r="H2310" s="1">
        <f>IF(jablka5[[#This Row],[dot sprz]]&lt;15000,0,IF(jablka5[[#This Row],[dot sprz]]&lt;20000,5,10))</f>
        <v>0</v>
      </c>
      <c r="I2310" s="1">
        <f>jablka5[[#This Row],[rabat]]*jablka5[[#This Row],[sprzedaż]]/100</f>
        <v>0</v>
      </c>
    </row>
    <row r="2311" spans="1:9" x14ac:dyDescent="0.25">
      <c r="A2311" s="2">
        <v>44804</v>
      </c>
      <c r="B2311" s="1" t="s">
        <v>12</v>
      </c>
      <c r="C2311" s="1" t="s">
        <v>68</v>
      </c>
      <c r="D2311" s="1" t="s">
        <v>58</v>
      </c>
      <c r="E2311">
        <v>385</v>
      </c>
      <c r="F2311" s="1">
        <f>VLOOKUP(jablka5[[#This Row],[Nazwa]],cennik[],2,0) * jablka5[[#This Row],[sprzedaż]]</f>
        <v>1039.5</v>
      </c>
      <c r="G2311" s="1">
        <f>IF(jablka5[[#This Row],[NIP]]=D2310,jablka5[[#This Row],[sprzedaż]]+G2310,jablka5[[#This Row],[sprzedaż]])</f>
        <v>8715</v>
      </c>
      <c r="H2311" s="1">
        <f>IF(jablka5[[#This Row],[dot sprz]]&lt;15000,0,IF(jablka5[[#This Row],[dot sprz]]&lt;20000,5,10))</f>
        <v>0</v>
      </c>
      <c r="I2311" s="1">
        <f>jablka5[[#This Row],[rabat]]*jablka5[[#This Row],[sprzedaż]]/100</f>
        <v>0</v>
      </c>
    </row>
    <row r="2312" spans="1:9" x14ac:dyDescent="0.25">
      <c r="A2312" s="2">
        <v>44805</v>
      </c>
      <c r="B2312" s="1" t="s">
        <v>1</v>
      </c>
      <c r="C2312" s="1" t="s">
        <v>67</v>
      </c>
      <c r="D2312" s="1" t="s">
        <v>58</v>
      </c>
      <c r="E2312">
        <v>398</v>
      </c>
      <c r="F2312" s="1">
        <f>VLOOKUP(jablka5[[#This Row],[Nazwa]],cennik[],2,0) * jablka5[[#This Row],[sprzedaż]]</f>
        <v>1273.6000000000001</v>
      </c>
      <c r="G2312" s="1">
        <f>IF(jablka5[[#This Row],[NIP]]=D2311,jablka5[[#This Row],[sprzedaż]]+G2311,jablka5[[#This Row],[sprzedaż]])</f>
        <v>9113</v>
      </c>
      <c r="H2312" s="1">
        <f>IF(jablka5[[#This Row],[dot sprz]]&lt;15000,0,IF(jablka5[[#This Row],[dot sprz]]&lt;20000,5,10))</f>
        <v>0</v>
      </c>
      <c r="I2312" s="1">
        <f>jablka5[[#This Row],[rabat]]*jablka5[[#This Row],[sprzedaż]]/100</f>
        <v>0</v>
      </c>
    </row>
    <row r="2313" spans="1:9" x14ac:dyDescent="0.25">
      <c r="A2313" s="2">
        <v>44827</v>
      </c>
      <c r="B2313" s="1" t="s">
        <v>14</v>
      </c>
      <c r="C2313" s="1" t="s">
        <v>67</v>
      </c>
      <c r="D2313" s="1" t="s">
        <v>58</v>
      </c>
      <c r="E2313">
        <v>56</v>
      </c>
      <c r="F2313" s="1">
        <f>VLOOKUP(jablka5[[#This Row],[Nazwa]],cennik[],2,0) * jablka5[[#This Row],[sprzedaż]]</f>
        <v>196</v>
      </c>
      <c r="G2313" s="1">
        <f>IF(jablka5[[#This Row],[NIP]]=D2312,jablka5[[#This Row],[sprzedaż]]+G2312,jablka5[[#This Row],[sprzedaż]])</f>
        <v>9169</v>
      </c>
      <c r="H2313" s="1">
        <f>IF(jablka5[[#This Row],[dot sprz]]&lt;15000,0,IF(jablka5[[#This Row],[dot sprz]]&lt;20000,5,10))</f>
        <v>0</v>
      </c>
      <c r="I2313" s="1">
        <f>jablka5[[#This Row],[rabat]]*jablka5[[#This Row],[sprzedaż]]/100</f>
        <v>0</v>
      </c>
    </row>
    <row r="2314" spans="1:9" x14ac:dyDescent="0.25">
      <c r="A2314" s="2">
        <v>44837</v>
      </c>
      <c r="B2314" s="1" t="s">
        <v>3</v>
      </c>
      <c r="C2314" s="1" t="s">
        <v>67</v>
      </c>
      <c r="D2314" s="1" t="s">
        <v>58</v>
      </c>
      <c r="E2314">
        <v>400</v>
      </c>
      <c r="F2314" s="1">
        <f>VLOOKUP(jablka5[[#This Row],[Nazwa]],cennik[],2,0) * jablka5[[#This Row],[sprzedaż]]</f>
        <v>1280</v>
      </c>
      <c r="G2314" s="1">
        <f>IF(jablka5[[#This Row],[NIP]]=D2313,jablka5[[#This Row],[sprzedaż]]+G2313,jablka5[[#This Row],[sprzedaż]])</f>
        <v>9569</v>
      </c>
      <c r="H2314" s="1">
        <f>IF(jablka5[[#This Row],[dot sprz]]&lt;15000,0,IF(jablka5[[#This Row],[dot sprz]]&lt;20000,5,10))</f>
        <v>0</v>
      </c>
      <c r="I2314" s="1">
        <f>jablka5[[#This Row],[rabat]]*jablka5[[#This Row],[sprzedaż]]/100</f>
        <v>0</v>
      </c>
    </row>
    <row r="2315" spans="1:9" x14ac:dyDescent="0.25">
      <c r="A2315" s="2">
        <v>44858</v>
      </c>
      <c r="B2315" s="1" t="s">
        <v>9</v>
      </c>
      <c r="C2315" s="1" t="s">
        <v>67</v>
      </c>
      <c r="D2315" s="1" t="s">
        <v>58</v>
      </c>
      <c r="E2315">
        <v>23</v>
      </c>
      <c r="F2315" s="1">
        <f>VLOOKUP(jablka5[[#This Row],[Nazwa]],cennik[],2,0) * jablka5[[#This Row],[sprzedaż]]</f>
        <v>57.5</v>
      </c>
      <c r="G2315" s="1">
        <f>IF(jablka5[[#This Row],[NIP]]=D2314,jablka5[[#This Row],[sprzedaż]]+G2314,jablka5[[#This Row],[sprzedaż]])</f>
        <v>9592</v>
      </c>
      <c r="H2315" s="1">
        <f>IF(jablka5[[#This Row],[dot sprz]]&lt;15000,0,IF(jablka5[[#This Row],[dot sprz]]&lt;20000,5,10))</f>
        <v>0</v>
      </c>
      <c r="I2315" s="1">
        <f>jablka5[[#This Row],[rabat]]*jablka5[[#This Row],[sprzedaż]]/100</f>
        <v>0</v>
      </c>
    </row>
    <row r="2316" spans="1:9" x14ac:dyDescent="0.25">
      <c r="A2316" s="2">
        <v>44869</v>
      </c>
      <c r="B2316" s="1" t="s">
        <v>3</v>
      </c>
      <c r="C2316" s="1" t="s">
        <v>67</v>
      </c>
      <c r="D2316" s="1" t="s">
        <v>58</v>
      </c>
      <c r="E2316">
        <v>119</v>
      </c>
      <c r="F2316" s="1">
        <f>VLOOKUP(jablka5[[#This Row],[Nazwa]],cennik[],2,0) * jablka5[[#This Row],[sprzedaż]]</f>
        <v>380.8</v>
      </c>
      <c r="G2316" s="1">
        <f>IF(jablka5[[#This Row],[NIP]]=D2315,jablka5[[#This Row],[sprzedaż]]+G2315,jablka5[[#This Row],[sprzedaż]])</f>
        <v>9711</v>
      </c>
      <c r="H2316" s="1">
        <f>IF(jablka5[[#This Row],[dot sprz]]&lt;15000,0,IF(jablka5[[#This Row],[dot sprz]]&lt;20000,5,10))</f>
        <v>0</v>
      </c>
      <c r="I2316" s="1">
        <f>jablka5[[#This Row],[rabat]]*jablka5[[#This Row],[sprzedaż]]/100</f>
        <v>0</v>
      </c>
    </row>
    <row r="2317" spans="1:9" x14ac:dyDescent="0.25">
      <c r="A2317" s="2">
        <v>44873</v>
      </c>
      <c r="B2317" s="1" t="s">
        <v>3</v>
      </c>
      <c r="C2317" s="1" t="s">
        <v>67</v>
      </c>
      <c r="D2317" s="1" t="s">
        <v>58</v>
      </c>
      <c r="E2317">
        <v>127</v>
      </c>
      <c r="F2317" s="1">
        <f>VLOOKUP(jablka5[[#This Row],[Nazwa]],cennik[],2,0) * jablka5[[#This Row],[sprzedaż]]</f>
        <v>406.40000000000003</v>
      </c>
      <c r="G2317" s="1">
        <f>IF(jablka5[[#This Row],[NIP]]=D2316,jablka5[[#This Row],[sprzedaż]]+G2316,jablka5[[#This Row],[sprzedaż]])</f>
        <v>9838</v>
      </c>
      <c r="H2317" s="1">
        <f>IF(jablka5[[#This Row],[dot sprz]]&lt;15000,0,IF(jablka5[[#This Row],[dot sprz]]&lt;20000,5,10))</f>
        <v>0</v>
      </c>
      <c r="I2317" s="1">
        <f>jablka5[[#This Row],[rabat]]*jablka5[[#This Row],[sprzedaż]]/100</f>
        <v>0</v>
      </c>
    </row>
    <row r="2318" spans="1:9" x14ac:dyDescent="0.25">
      <c r="A2318" s="2">
        <v>44893</v>
      </c>
      <c r="B2318" s="1" t="s">
        <v>11</v>
      </c>
      <c r="C2318" s="1" t="s">
        <v>67</v>
      </c>
      <c r="D2318" s="1" t="s">
        <v>58</v>
      </c>
      <c r="E2318">
        <v>370</v>
      </c>
      <c r="F2318" s="1">
        <f>VLOOKUP(jablka5[[#This Row],[Nazwa]],cennik[],2,0) * jablka5[[#This Row],[sprzedaż]]</f>
        <v>925</v>
      </c>
      <c r="G2318" s="1">
        <f>IF(jablka5[[#This Row],[NIP]]=D2317,jablka5[[#This Row],[sprzedaż]]+G2317,jablka5[[#This Row],[sprzedaż]])</f>
        <v>10208</v>
      </c>
      <c r="H2318" s="1">
        <f>IF(jablka5[[#This Row],[dot sprz]]&lt;15000,0,IF(jablka5[[#This Row],[dot sprz]]&lt;20000,5,10))</f>
        <v>0</v>
      </c>
      <c r="I2318" s="1">
        <f>jablka5[[#This Row],[rabat]]*jablka5[[#This Row],[sprzedaż]]/100</f>
        <v>0</v>
      </c>
    </row>
    <row r="2319" spans="1:9" x14ac:dyDescent="0.25">
      <c r="A2319" s="2">
        <v>44895</v>
      </c>
      <c r="B2319" s="1" t="s">
        <v>3</v>
      </c>
      <c r="C2319" s="1" t="s">
        <v>67</v>
      </c>
      <c r="D2319" s="1" t="s">
        <v>58</v>
      </c>
      <c r="E2319">
        <v>372</v>
      </c>
      <c r="F2319" s="1">
        <f>VLOOKUP(jablka5[[#This Row],[Nazwa]],cennik[],2,0) * jablka5[[#This Row],[sprzedaż]]</f>
        <v>1190.4000000000001</v>
      </c>
      <c r="G2319" s="1">
        <f>IF(jablka5[[#This Row],[NIP]]=D2318,jablka5[[#This Row],[sprzedaż]]+G2318,jablka5[[#This Row],[sprzedaż]])</f>
        <v>10580</v>
      </c>
      <c r="H2319" s="1">
        <f>IF(jablka5[[#This Row],[dot sprz]]&lt;15000,0,IF(jablka5[[#This Row],[dot sprz]]&lt;20000,5,10))</f>
        <v>0</v>
      </c>
      <c r="I2319" s="1">
        <f>jablka5[[#This Row],[rabat]]*jablka5[[#This Row],[sprzedaż]]/100</f>
        <v>0</v>
      </c>
    </row>
    <row r="2320" spans="1:9" x14ac:dyDescent="0.25">
      <c r="A2320" s="2">
        <v>44896</v>
      </c>
      <c r="B2320" s="1" t="s">
        <v>0</v>
      </c>
      <c r="C2320" s="1" t="s">
        <v>16</v>
      </c>
      <c r="D2320" s="1" t="s">
        <v>58</v>
      </c>
      <c r="E2320">
        <v>296</v>
      </c>
      <c r="F2320" s="1">
        <f>VLOOKUP(jablka5[[#This Row],[Nazwa]],cennik[],2,0) * jablka5[[#This Row],[sprzedaż]]</f>
        <v>858.4</v>
      </c>
      <c r="G2320" s="1">
        <f>IF(jablka5[[#This Row],[NIP]]=D2319,jablka5[[#This Row],[sprzedaż]]+G2319,jablka5[[#This Row],[sprzedaż]])</f>
        <v>10876</v>
      </c>
      <c r="H2320" s="1">
        <f>IF(jablka5[[#This Row],[dot sprz]]&lt;15000,0,IF(jablka5[[#This Row],[dot sprz]]&lt;20000,5,10))</f>
        <v>0</v>
      </c>
      <c r="I2320" s="1">
        <f>jablka5[[#This Row],[rabat]]*jablka5[[#This Row],[sprzedaż]]/100</f>
        <v>0</v>
      </c>
    </row>
    <row r="2321" spans="1:9" x14ac:dyDescent="0.25">
      <c r="A2321" s="2">
        <v>44916</v>
      </c>
      <c r="B2321" s="1" t="s">
        <v>6</v>
      </c>
      <c r="C2321" s="1" t="s">
        <v>16</v>
      </c>
      <c r="D2321" s="1" t="s">
        <v>58</v>
      </c>
      <c r="E2321">
        <v>298</v>
      </c>
      <c r="F2321" s="1">
        <f>VLOOKUP(jablka5[[#This Row],[Nazwa]],cennik[],2,0) * jablka5[[#This Row],[sprzedaż]]</f>
        <v>1013.1999999999999</v>
      </c>
      <c r="G2321" s="1">
        <f>IF(jablka5[[#This Row],[NIP]]=D2320,jablka5[[#This Row],[sprzedaż]]+G2320,jablka5[[#This Row],[sprzedaż]])</f>
        <v>11174</v>
      </c>
      <c r="H2321" s="1">
        <f>IF(jablka5[[#This Row],[dot sprz]]&lt;15000,0,IF(jablka5[[#This Row],[dot sprz]]&lt;20000,5,10))</f>
        <v>0</v>
      </c>
      <c r="I2321" s="1">
        <f>jablka5[[#This Row],[rabat]]*jablka5[[#This Row],[sprzedaż]]/100</f>
        <v>0</v>
      </c>
    </row>
    <row r="2322" spans="1:9" x14ac:dyDescent="0.25">
      <c r="A2322" s="2">
        <v>44921</v>
      </c>
      <c r="B2322" s="1" t="s">
        <v>8</v>
      </c>
      <c r="C2322" s="1" t="s">
        <v>16</v>
      </c>
      <c r="D2322" s="1" t="s">
        <v>58</v>
      </c>
      <c r="E2322">
        <v>334</v>
      </c>
      <c r="F2322" s="1">
        <f>VLOOKUP(jablka5[[#This Row],[Nazwa]],cennik[],2,0) * jablka5[[#This Row],[sprzedaż]]</f>
        <v>1169</v>
      </c>
      <c r="G2322" s="1">
        <f>IF(jablka5[[#This Row],[NIP]]=D2321,jablka5[[#This Row],[sprzedaż]]+G2321,jablka5[[#This Row],[sprzedaż]])</f>
        <v>11508</v>
      </c>
      <c r="H2322" s="1">
        <f>IF(jablka5[[#This Row],[dot sprz]]&lt;15000,0,IF(jablka5[[#This Row],[dot sprz]]&lt;20000,5,10))</f>
        <v>0</v>
      </c>
      <c r="I2322" s="1">
        <f>jablka5[[#This Row],[rabat]]*jablka5[[#This Row],[sprzedaż]]/100</f>
        <v>0</v>
      </c>
    </row>
    <row r="2323" spans="1:9" x14ac:dyDescent="0.25">
      <c r="A2323" s="2">
        <v>44922</v>
      </c>
      <c r="B2323" s="1" t="s">
        <v>6</v>
      </c>
      <c r="C2323" s="1" t="s">
        <v>16</v>
      </c>
      <c r="D2323" s="1" t="s">
        <v>58</v>
      </c>
      <c r="E2323">
        <v>162</v>
      </c>
      <c r="F2323" s="1">
        <f>VLOOKUP(jablka5[[#This Row],[Nazwa]],cennik[],2,0) * jablka5[[#This Row],[sprzedaż]]</f>
        <v>550.79999999999995</v>
      </c>
      <c r="G2323" s="1">
        <f>IF(jablka5[[#This Row],[NIP]]=D2322,jablka5[[#This Row],[sprzedaż]]+G2322,jablka5[[#This Row],[sprzedaż]])</f>
        <v>11670</v>
      </c>
      <c r="H2323" s="1">
        <f>IF(jablka5[[#This Row],[dot sprz]]&lt;15000,0,IF(jablka5[[#This Row],[dot sprz]]&lt;20000,5,10))</f>
        <v>0</v>
      </c>
      <c r="I2323" s="1">
        <f>jablka5[[#This Row],[rabat]]*jablka5[[#This Row],[sprzedaż]]/100</f>
        <v>0</v>
      </c>
    </row>
    <row r="2324" spans="1:9" x14ac:dyDescent="0.25">
      <c r="A2324" s="2">
        <v>44566</v>
      </c>
      <c r="B2324" s="1" t="s">
        <v>0</v>
      </c>
      <c r="C2324" s="1" t="s">
        <v>16</v>
      </c>
      <c r="D2324" s="1" t="s">
        <v>34</v>
      </c>
      <c r="E2324">
        <v>114</v>
      </c>
      <c r="F2324" s="1">
        <f>VLOOKUP(jablka5[[#This Row],[Nazwa]],cennik[],2,0) * jablka5[[#This Row],[sprzedaż]]</f>
        <v>330.59999999999997</v>
      </c>
      <c r="G2324" s="1">
        <f>IF(jablka5[[#This Row],[NIP]]=D2323,jablka5[[#This Row],[sprzedaż]]+G2323,jablka5[[#This Row],[sprzedaż]])</f>
        <v>114</v>
      </c>
      <c r="H2324" s="1">
        <f>IF(jablka5[[#This Row],[dot sprz]]&lt;15000,0,IF(jablka5[[#This Row],[dot sprz]]&lt;20000,5,10))</f>
        <v>0</v>
      </c>
      <c r="I2324" s="1">
        <f>jablka5[[#This Row],[rabat]]*jablka5[[#This Row],[sprzedaż]]/100</f>
        <v>0</v>
      </c>
    </row>
    <row r="2325" spans="1:9" x14ac:dyDescent="0.25">
      <c r="A2325" s="2">
        <v>44571</v>
      </c>
      <c r="B2325" s="1" t="s">
        <v>10</v>
      </c>
      <c r="C2325" s="1" t="s">
        <v>16</v>
      </c>
      <c r="D2325" s="1" t="s">
        <v>34</v>
      </c>
      <c r="E2325">
        <v>127</v>
      </c>
      <c r="F2325" s="1">
        <f>VLOOKUP(jablka5[[#This Row],[Nazwa]],cennik[],2,0) * jablka5[[#This Row],[sprzedaż]]</f>
        <v>431.8</v>
      </c>
      <c r="G2325" s="1">
        <f>IF(jablka5[[#This Row],[NIP]]=D2324,jablka5[[#This Row],[sprzedaż]]+G2324,jablka5[[#This Row],[sprzedaż]])</f>
        <v>241</v>
      </c>
      <c r="H2325" s="1">
        <f>IF(jablka5[[#This Row],[dot sprz]]&lt;15000,0,IF(jablka5[[#This Row],[dot sprz]]&lt;20000,5,10))</f>
        <v>0</v>
      </c>
      <c r="I2325" s="1">
        <f>jablka5[[#This Row],[rabat]]*jablka5[[#This Row],[sprzedaż]]/100</f>
        <v>0</v>
      </c>
    </row>
    <row r="2326" spans="1:9" x14ac:dyDescent="0.25">
      <c r="A2326" s="2">
        <v>44594</v>
      </c>
      <c r="B2326" s="1" t="s">
        <v>7</v>
      </c>
      <c r="C2326" s="1" t="s">
        <v>16</v>
      </c>
      <c r="D2326" s="1" t="s">
        <v>34</v>
      </c>
      <c r="E2326">
        <v>650</v>
      </c>
      <c r="F2326" s="1">
        <f>VLOOKUP(jablka5[[#This Row],[Nazwa]],cennik[],2,0) * jablka5[[#This Row],[sprzedaż]]</f>
        <v>2210</v>
      </c>
      <c r="G2326" s="1">
        <f>IF(jablka5[[#This Row],[NIP]]=D2325,jablka5[[#This Row],[sprzedaż]]+G2325,jablka5[[#This Row],[sprzedaż]])</f>
        <v>891</v>
      </c>
      <c r="H2326" s="1">
        <f>IF(jablka5[[#This Row],[dot sprz]]&lt;15000,0,IF(jablka5[[#This Row],[dot sprz]]&lt;20000,5,10))</f>
        <v>0</v>
      </c>
      <c r="I2326" s="1">
        <f>jablka5[[#This Row],[rabat]]*jablka5[[#This Row],[sprzedaż]]/100</f>
        <v>0</v>
      </c>
    </row>
    <row r="2327" spans="1:9" x14ac:dyDescent="0.25">
      <c r="A2327" s="2">
        <v>44615</v>
      </c>
      <c r="B2327" s="1" t="s">
        <v>4</v>
      </c>
      <c r="C2327" s="1" t="s">
        <v>16</v>
      </c>
      <c r="D2327" s="1" t="s">
        <v>34</v>
      </c>
      <c r="E2327">
        <v>448</v>
      </c>
      <c r="F2327" s="1">
        <f>VLOOKUP(jablka5[[#This Row],[Nazwa]],cennik[],2,0) * jablka5[[#This Row],[sprzedaż]]</f>
        <v>1523.2</v>
      </c>
      <c r="G2327" s="1">
        <f>IF(jablka5[[#This Row],[NIP]]=D2326,jablka5[[#This Row],[sprzedaż]]+G2326,jablka5[[#This Row],[sprzedaż]])</f>
        <v>1339</v>
      </c>
      <c r="H2327" s="1">
        <f>IF(jablka5[[#This Row],[dot sprz]]&lt;15000,0,IF(jablka5[[#This Row],[dot sprz]]&lt;20000,5,10))</f>
        <v>0</v>
      </c>
      <c r="I2327" s="1">
        <f>jablka5[[#This Row],[rabat]]*jablka5[[#This Row],[sprzedaż]]/100</f>
        <v>0</v>
      </c>
    </row>
    <row r="2328" spans="1:9" x14ac:dyDescent="0.25">
      <c r="A2328" s="2">
        <v>44648</v>
      </c>
      <c r="B2328" s="1" t="s">
        <v>5</v>
      </c>
      <c r="C2328" s="1" t="s">
        <v>16</v>
      </c>
      <c r="D2328" s="1" t="s">
        <v>34</v>
      </c>
      <c r="E2328">
        <v>234</v>
      </c>
      <c r="F2328" s="1">
        <f>VLOOKUP(jablka5[[#This Row],[Nazwa]],cennik[],2,0) * jablka5[[#This Row],[sprzedaż]]</f>
        <v>795.6</v>
      </c>
      <c r="G2328" s="1">
        <f>IF(jablka5[[#This Row],[NIP]]=D2327,jablka5[[#This Row],[sprzedaż]]+G2327,jablka5[[#This Row],[sprzedaż]])</f>
        <v>1573</v>
      </c>
      <c r="H2328" s="1">
        <f>IF(jablka5[[#This Row],[dot sprz]]&lt;15000,0,IF(jablka5[[#This Row],[dot sprz]]&lt;20000,5,10))</f>
        <v>0</v>
      </c>
      <c r="I2328" s="1">
        <f>jablka5[[#This Row],[rabat]]*jablka5[[#This Row],[sprzedaż]]/100</f>
        <v>0</v>
      </c>
    </row>
    <row r="2329" spans="1:9" x14ac:dyDescent="0.25">
      <c r="A2329" s="2">
        <v>44648</v>
      </c>
      <c r="B2329" s="1" t="s">
        <v>5</v>
      </c>
      <c r="C2329" s="1" t="s">
        <v>16</v>
      </c>
      <c r="D2329" s="1" t="s">
        <v>34</v>
      </c>
      <c r="E2329">
        <v>22</v>
      </c>
      <c r="F2329" s="1">
        <f>VLOOKUP(jablka5[[#This Row],[Nazwa]],cennik[],2,0) * jablka5[[#This Row],[sprzedaż]]</f>
        <v>74.8</v>
      </c>
      <c r="G2329" s="1">
        <f>IF(jablka5[[#This Row],[NIP]]=D2328,jablka5[[#This Row],[sprzedaż]]+G2328,jablka5[[#This Row],[sprzedaż]])</f>
        <v>1595</v>
      </c>
      <c r="H2329" s="1">
        <f>IF(jablka5[[#This Row],[dot sprz]]&lt;15000,0,IF(jablka5[[#This Row],[dot sprz]]&lt;20000,5,10))</f>
        <v>0</v>
      </c>
      <c r="I2329" s="1">
        <f>jablka5[[#This Row],[rabat]]*jablka5[[#This Row],[sprzedaż]]/100</f>
        <v>0</v>
      </c>
    </row>
    <row r="2330" spans="1:9" x14ac:dyDescent="0.25">
      <c r="A2330" s="2">
        <v>44659</v>
      </c>
      <c r="B2330" s="1" t="s">
        <v>10</v>
      </c>
      <c r="C2330" s="1" t="s">
        <v>16</v>
      </c>
      <c r="D2330" s="1" t="s">
        <v>34</v>
      </c>
      <c r="E2330">
        <v>453</v>
      </c>
      <c r="F2330" s="1">
        <f>VLOOKUP(jablka5[[#This Row],[Nazwa]],cennik[],2,0) * jablka5[[#This Row],[sprzedaż]]</f>
        <v>1540.2</v>
      </c>
      <c r="G2330" s="1">
        <f>IF(jablka5[[#This Row],[NIP]]=D2329,jablka5[[#This Row],[sprzedaż]]+G2329,jablka5[[#This Row],[sprzedaż]])</f>
        <v>2048</v>
      </c>
      <c r="H2330" s="1">
        <f>IF(jablka5[[#This Row],[dot sprz]]&lt;15000,0,IF(jablka5[[#This Row],[dot sprz]]&lt;20000,5,10))</f>
        <v>0</v>
      </c>
      <c r="I2330" s="1">
        <f>jablka5[[#This Row],[rabat]]*jablka5[[#This Row],[sprzedaż]]/100</f>
        <v>0</v>
      </c>
    </row>
    <row r="2331" spans="1:9" x14ac:dyDescent="0.25">
      <c r="A2331" s="2">
        <v>44669</v>
      </c>
      <c r="B2331" s="1" t="s">
        <v>0</v>
      </c>
      <c r="C2331" s="1" t="s">
        <v>16</v>
      </c>
      <c r="D2331" s="1" t="s">
        <v>34</v>
      </c>
      <c r="E2331">
        <v>277</v>
      </c>
      <c r="F2331" s="1">
        <f>VLOOKUP(jablka5[[#This Row],[Nazwa]],cennik[],2,0) * jablka5[[#This Row],[sprzedaż]]</f>
        <v>803.3</v>
      </c>
      <c r="G2331" s="1">
        <f>IF(jablka5[[#This Row],[NIP]]=D2330,jablka5[[#This Row],[sprzedaż]]+G2330,jablka5[[#This Row],[sprzedaż]])</f>
        <v>2325</v>
      </c>
      <c r="H2331" s="1">
        <f>IF(jablka5[[#This Row],[dot sprz]]&lt;15000,0,IF(jablka5[[#This Row],[dot sprz]]&lt;20000,5,10))</f>
        <v>0</v>
      </c>
      <c r="I2331" s="1">
        <f>jablka5[[#This Row],[rabat]]*jablka5[[#This Row],[sprzedaż]]/100</f>
        <v>0</v>
      </c>
    </row>
    <row r="2332" spans="1:9" x14ac:dyDescent="0.25">
      <c r="A2332" s="2">
        <v>44687</v>
      </c>
      <c r="B2332" s="1" t="s">
        <v>6</v>
      </c>
      <c r="C2332" s="1" t="s">
        <v>16</v>
      </c>
      <c r="D2332" s="1" t="s">
        <v>34</v>
      </c>
      <c r="E2332">
        <v>47</v>
      </c>
      <c r="F2332" s="1">
        <f>VLOOKUP(jablka5[[#This Row],[Nazwa]],cennik[],2,0) * jablka5[[#This Row],[sprzedaż]]</f>
        <v>159.79999999999998</v>
      </c>
      <c r="G2332" s="1">
        <f>IF(jablka5[[#This Row],[NIP]]=D2331,jablka5[[#This Row],[sprzedaż]]+G2331,jablka5[[#This Row],[sprzedaż]])</f>
        <v>2372</v>
      </c>
      <c r="H2332" s="1">
        <f>IF(jablka5[[#This Row],[dot sprz]]&lt;15000,0,IF(jablka5[[#This Row],[dot sprz]]&lt;20000,5,10))</f>
        <v>0</v>
      </c>
      <c r="I2332" s="1">
        <f>jablka5[[#This Row],[rabat]]*jablka5[[#This Row],[sprzedaż]]/100</f>
        <v>0</v>
      </c>
    </row>
    <row r="2333" spans="1:9" x14ac:dyDescent="0.25">
      <c r="A2333" s="2">
        <v>44690</v>
      </c>
      <c r="B2333" s="1" t="s">
        <v>2</v>
      </c>
      <c r="C2333" s="1" t="s">
        <v>16</v>
      </c>
      <c r="D2333" s="1" t="s">
        <v>34</v>
      </c>
      <c r="E2333">
        <v>195</v>
      </c>
      <c r="F2333" s="1">
        <f>VLOOKUP(jablka5[[#This Row],[Nazwa]],cennik[],2,0) * jablka5[[#This Row],[sprzedaż]]</f>
        <v>624</v>
      </c>
      <c r="G2333" s="1">
        <f>IF(jablka5[[#This Row],[NIP]]=D2332,jablka5[[#This Row],[sprzedaż]]+G2332,jablka5[[#This Row],[sprzedaż]])</f>
        <v>2567</v>
      </c>
      <c r="H2333" s="1">
        <f>IF(jablka5[[#This Row],[dot sprz]]&lt;15000,0,IF(jablka5[[#This Row],[dot sprz]]&lt;20000,5,10))</f>
        <v>0</v>
      </c>
      <c r="I2333" s="1">
        <f>jablka5[[#This Row],[rabat]]*jablka5[[#This Row],[sprzedaż]]/100</f>
        <v>0</v>
      </c>
    </row>
    <row r="2334" spans="1:9" x14ac:dyDescent="0.25">
      <c r="A2334" s="2">
        <v>44692</v>
      </c>
      <c r="B2334" s="1" t="s">
        <v>4</v>
      </c>
      <c r="C2334" s="1" t="s">
        <v>16</v>
      </c>
      <c r="D2334" s="1" t="s">
        <v>34</v>
      </c>
      <c r="E2334">
        <v>437</v>
      </c>
      <c r="F2334" s="1">
        <f>VLOOKUP(jablka5[[#This Row],[Nazwa]],cennik[],2,0) * jablka5[[#This Row],[sprzedaż]]</f>
        <v>1485.8</v>
      </c>
      <c r="G2334" s="1">
        <f>IF(jablka5[[#This Row],[NIP]]=D2333,jablka5[[#This Row],[sprzedaż]]+G2333,jablka5[[#This Row],[sprzedaż]])</f>
        <v>3004</v>
      </c>
      <c r="H2334" s="1">
        <f>IF(jablka5[[#This Row],[dot sprz]]&lt;15000,0,IF(jablka5[[#This Row],[dot sprz]]&lt;20000,5,10))</f>
        <v>0</v>
      </c>
      <c r="I2334" s="1">
        <f>jablka5[[#This Row],[rabat]]*jablka5[[#This Row],[sprzedaż]]/100</f>
        <v>0</v>
      </c>
    </row>
    <row r="2335" spans="1:9" x14ac:dyDescent="0.25">
      <c r="A2335" s="2">
        <v>44693</v>
      </c>
      <c r="B2335" s="1" t="s">
        <v>5</v>
      </c>
      <c r="C2335" s="1" t="s">
        <v>16</v>
      </c>
      <c r="D2335" s="1" t="s">
        <v>34</v>
      </c>
      <c r="E2335">
        <v>171</v>
      </c>
      <c r="F2335" s="1">
        <f>VLOOKUP(jablka5[[#This Row],[Nazwa]],cennik[],2,0) * jablka5[[#This Row],[sprzedaż]]</f>
        <v>581.4</v>
      </c>
      <c r="G2335" s="1">
        <f>IF(jablka5[[#This Row],[NIP]]=D2334,jablka5[[#This Row],[sprzedaż]]+G2334,jablka5[[#This Row],[sprzedaż]])</f>
        <v>3175</v>
      </c>
      <c r="H2335" s="1">
        <f>IF(jablka5[[#This Row],[dot sprz]]&lt;15000,0,IF(jablka5[[#This Row],[dot sprz]]&lt;20000,5,10))</f>
        <v>0</v>
      </c>
      <c r="I2335" s="1">
        <f>jablka5[[#This Row],[rabat]]*jablka5[[#This Row],[sprzedaż]]/100</f>
        <v>0</v>
      </c>
    </row>
    <row r="2336" spans="1:9" x14ac:dyDescent="0.25">
      <c r="A2336" s="2">
        <v>44694</v>
      </c>
      <c r="B2336" s="1" t="s">
        <v>8</v>
      </c>
      <c r="C2336" s="1" t="s">
        <v>16</v>
      </c>
      <c r="D2336" s="1" t="s">
        <v>34</v>
      </c>
      <c r="E2336">
        <v>555</v>
      </c>
      <c r="F2336" s="1">
        <f>VLOOKUP(jablka5[[#This Row],[Nazwa]],cennik[],2,0) * jablka5[[#This Row],[sprzedaż]]</f>
        <v>1942.5</v>
      </c>
      <c r="G2336" s="1">
        <f>IF(jablka5[[#This Row],[NIP]]=D2335,jablka5[[#This Row],[sprzedaż]]+G2335,jablka5[[#This Row],[sprzedaż]])</f>
        <v>3730</v>
      </c>
      <c r="H2336" s="1">
        <f>IF(jablka5[[#This Row],[dot sprz]]&lt;15000,0,IF(jablka5[[#This Row],[dot sprz]]&lt;20000,5,10))</f>
        <v>0</v>
      </c>
      <c r="I2336" s="1">
        <f>jablka5[[#This Row],[rabat]]*jablka5[[#This Row],[sprzedaż]]/100</f>
        <v>0</v>
      </c>
    </row>
    <row r="2337" spans="1:9" x14ac:dyDescent="0.25">
      <c r="A2337" s="2">
        <v>44704</v>
      </c>
      <c r="B2337" s="1" t="s">
        <v>4</v>
      </c>
      <c r="C2337" s="1" t="s">
        <v>16</v>
      </c>
      <c r="D2337" s="1" t="s">
        <v>34</v>
      </c>
      <c r="E2337">
        <v>592</v>
      </c>
      <c r="F2337" s="1">
        <f>VLOOKUP(jablka5[[#This Row],[Nazwa]],cennik[],2,0) * jablka5[[#This Row],[sprzedaż]]</f>
        <v>2012.8</v>
      </c>
      <c r="G2337" s="1">
        <f>IF(jablka5[[#This Row],[NIP]]=D2336,jablka5[[#This Row],[sprzedaż]]+G2336,jablka5[[#This Row],[sprzedaż]])</f>
        <v>4322</v>
      </c>
      <c r="H2337" s="1">
        <f>IF(jablka5[[#This Row],[dot sprz]]&lt;15000,0,IF(jablka5[[#This Row],[dot sprz]]&lt;20000,5,10))</f>
        <v>0</v>
      </c>
      <c r="I2337" s="1">
        <f>jablka5[[#This Row],[rabat]]*jablka5[[#This Row],[sprzedaż]]/100</f>
        <v>0</v>
      </c>
    </row>
    <row r="2338" spans="1:9" x14ac:dyDescent="0.25">
      <c r="A2338" s="2">
        <v>44704</v>
      </c>
      <c r="B2338" s="1" t="s">
        <v>4</v>
      </c>
      <c r="C2338" s="1" t="s">
        <v>16</v>
      </c>
      <c r="D2338" s="1" t="s">
        <v>34</v>
      </c>
      <c r="E2338">
        <v>519</v>
      </c>
      <c r="F2338" s="1">
        <f>VLOOKUP(jablka5[[#This Row],[Nazwa]],cennik[],2,0) * jablka5[[#This Row],[sprzedaż]]</f>
        <v>1764.6</v>
      </c>
      <c r="G2338" s="1">
        <f>IF(jablka5[[#This Row],[NIP]]=D2337,jablka5[[#This Row],[sprzedaż]]+G2337,jablka5[[#This Row],[sprzedaż]])</f>
        <v>4841</v>
      </c>
      <c r="H2338" s="1">
        <f>IF(jablka5[[#This Row],[dot sprz]]&lt;15000,0,IF(jablka5[[#This Row],[dot sprz]]&lt;20000,5,10))</f>
        <v>0</v>
      </c>
      <c r="I2338" s="1">
        <f>jablka5[[#This Row],[rabat]]*jablka5[[#This Row],[sprzedaż]]/100</f>
        <v>0</v>
      </c>
    </row>
    <row r="2339" spans="1:9" x14ac:dyDescent="0.25">
      <c r="A2339" s="2">
        <v>44720</v>
      </c>
      <c r="B2339" s="1" t="s">
        <v>12</v>
      </c>
      <c r="C2339" s="1" t="s">
        <v>68</v>
      </c>
      <c r="D2339" s="1" t="s">
        <v>34</v>
      </c>
      <c r="E2339">
        <v>183</v>
      </c>
      <c r="F2339" s="1">
        <f>VLOOKUP(jablka5[[#This Row],[Nazwa]],cennik[],2,0) * jablka5[[#This Row],[sprzedaż]]</f>
        <v>494.1</v>
      </c>
      <c r="G2339" s="1">
        <f>IF(jablka5[[#This Row],[NIP]]=D2338,jablka5[[#This Row],[sprzedaż]]+G2338,jablka5[[#This Row],[sprzedaż]])</f>
        <v>5024</v>
      </c>
      <c r="H2339" s="1">
        <f>IF(jablka5[[#This Row],[dot sprz]]&lt;15000,0,IF(jablka5[[#This Row],[dot sprz]]&lt;20000,5,10))</f>
        <v>0</v>
      </c>
      <c r="I2339" s="1">
        <f>jablka5[[#This Row],[rabat]]*jablka5[[#This Row],[sprzedaż]]/100</f>
        <v>0</v>
      </c>
    </row>
    <row r="2340" spans="1:9" x14ac:dyDescent="0.25">
      <c r="A2340" s="2">
        <v>44728</v>
      </c>
      <c r="B2340" s="1" t="s">
        <v>13</v>
      </c>
      <c r="C2340" s="1" t="s">
        <v>68</v>
      </c>
      <c r="D2340" s="1" t="s">
        <v>34</v>
      </c>
      <c r="E2340">
        <v>345</v>
      </c>
      <c r="F2340" s="1">
        <f>VLOOKUP(jablka5[[#This Row],[Nazwa]],cennik[],2,0) * jablka5[[#This Row],[sprzedaż]]</f>
        <v>1104</v>
      </c>
      <c r="G2340" s="1">
        <f>IF(jablka5[[#This Row],[NIP]]=D2339,jablka5[[#This Row],[sprzedaż]]+G2339,jablka5[[#This Row],[sprzedaż]])</f>
        <v>5369</v>
      </c>
      <c r="H2340" s="1">
        <f>IF(jablka5[[#This Row],[dot sprz]]&lt;15000,0,IF(jablka5[[#This Row],[dot sprz]]&lt;20000,5,10))</f>
        <v>0</v>
      </c>
      <c r="I2340" s="1">
        <f>jablka5[[#This Row],[rabat]]*jablka5[[#This Row],[sprzedaż]]/100</f>
        <v>0</v>
      </c>
    </row>
    <row r="2341" spans="1:9" x14ac:dyDescent="0.25">
      <c r="A2341" s="2">
        <v>44735</v>
      </c>
      <c r="B2341" s="1" t="s">
        <v>14</v>
      </c>
      <c r="C2341" s="1" t="s">
        <v>67</v>
      </c>
      <c r="D2341" s="1" t="s">
        <v>34</v>
      </c>
      <c r="E2341">
        <v>352</v>
      </c>
      <c r="F2341" s="1">
        <f>VLOOKUP(jablka5[[#This Row],[Nazwa]],cennik[],2,0) * jablka5[[#This Row],[sprzedaż]]</f>
        <v>1232</v>
      </c>
      <c r="G2341" s="1">
        <f>IF(jablka5[[#This Row],[NIP]]=D2340,jablka5[[#This Row],[sprzedaż]]+G2340,jablka5[[#This Row],[sprzedaż]])</f>
        <v>5721</v>
      </c>
      <c r="H2341" s="1">
        <f>IF(jablka5[[#This Row],[dot sprz]]&lt;15000,0,IF(jablka5[[#This Row],[dot sprz]]&lt;20000,5,10))</f>
        <v>0</v>
      </c>
      <c r="I2341" s="1">
        <f>jablka5[[#This Row],[rabat]]*jablka5[[#This Row],[sprzedaż]]/100</f>
        <v>0</v>
      </c>
    </row>
    <row r="2342" spans="1:9" x14ac:dyDescent="0.25">
      <c r="A2342" s="2">
        <v>44741</v>
      </c>
      <c r="B2342" s="1" t="s">
        <v>13</v>
      </c>
      <c r="C2342" s="1" t="s">
        <v>68</v>
      </c>
      <c r="D2342" s="1" t="s">
        <v>34</v>
      </c>
      <c r="E2342">
        <v>19</v>
      </c>
      <c r="F2342" s="1">
        <f>VLOOKUP(jablka5[[#This Row],[Nazwa]],cennik[],2,0) * jablka5[[#This Row],[sprzedaż]]</f>
        <v>60.800000000000004</v>
      </c>
      <c r="G2342" s="1">
        <f>IF(jablka5[[#This Row],[NIP]]=D2341,jablka5[[#This Row],[sprzedaż]]+G2341,jablka5[[#This Row],[sprzedaż]])</f>
        <v>5740</v>
      </c>
      <c r="H2342" s="1">
        <f>IF(jablka5[[#This Row],[dot sprz]]&lt;15000,0,IF(jablka5[[#This Row],[dot sprz]]&lt;20000,5,10))</f>
        <v>0</v>
      </c>
      <c r="I2342" s="1">
        <f>jablka5[[#This Row],[rabat]]*jablka5[[#This Row],[sprzedaż]]/100</f>
        <v>0</v>
      </c>
    </row>
    <row r="2343" spans="1:9" x14ac:dyDescent="0.25">
      <c r="A2343" s="2">
        <v>44753</v>
      </c>
      <c r="B2343" s="1" t="s">
        <v>12</v>
      </c>
      <c r="C2343" s="1" t="s">
        <v>68</v>
      </c>
      <c r="D2343" s="1" t="s">
        <v>34</v>
      </c>
      <c r="E2343">
        <v>427</v>
      </c>
      <c r="F2343" s="1">
        <f>VLOOKUP(jablka5[[#This Row],[Nazwa]],cennik[],2,0) * jablka5[[#This Row],[sprzedaż]]</f>
        <v>1152.9000000000001</v>
      </c>
      <c r="G2343" s="1">
        <f>IF(jablka5[[#This Row],[NIP]]=D2342,jablka5[[#This Row],[sprzedaż]]+G2342,jablka5[[#This Row],[sprzedaż]])</f>
        <v>6167</v>
      </c>
      <c r="H2343" s="1">
        <f>IF(jablka5[[#This Row],[dot sprz]]&lt;15000,0,IF(jablka5[[#This Row],[dot sprz]]&lt;20000,5,10))</f>
        <v>0</v>
      </c>
      <c r="I2343" s="1">
        <f>jablka5[[#This Row],[rabat]]*jablka5[[#This Row],[sprzedaż]]/100</f>
        <v>0</v>
      </c>
    </row>
    <row r="2344" spans="1:9" x14ac:dyDescent="0.25">
      <c r="A2344" s="2">
        <v>44758</v>
      </c>
      <c r="B2344" s="1" t="s">
        <v>12</v>
      </c>
      <c r="C2344" s="1" t="s">
        <v>68</v>
      </c>
      <c r="D2344" s="1" t="s">
        <v>34</v>
      </c>
      <c r="E2344">
        <v>162</v>
      </c>
      <c r="F2344" s="1">
        <f>VLOOKUP(jablka5[[#This Row],[Nazwa]],cennik[],2,0) * jablka5[[#This Row],[sprzedaż]]</f>
        <v>437.40000000000003</v>
      </c>
      <c r="G2344" s="1">
        <f>IF(jablka5[[#This Row],[NIP]]=D2343,jablka5[[#This Row],[sprzedaż]]+G2343,jablka5[[#This Row],[sprzedaż]])</f>
        <v>6329</v>
      </c>
      <c r="H2344" s="1">
        <f>IF(jablka5[[#This Row],[dot sprz]]&lt;15000,0,IF(jablka5[[#This Row],[dot sprz]]&lt;20000,5,10))</f>
        <v>0</v>
      </c>
      <c r="I2344" s="1">
        <f>jablka5[[#This Row],[rabat]]*jablka5[[#This Row],[sprzedaż]]/100</f>
        <v>0</v>
      </c>
    </row>
    <row r="2345" spans="1:9" x14ac:dyDescent="0.25">
      <c r="A2345" s="2">
        <v>44774</v>
      </c>
      <c r="B2345" s="1" t="s">
        <v>13</v>
      </c>
      <c r="C2345" s="1" t="s">
        <v>68</v>
      </c>
      <c r="D2345" s="1" t="s">
        <v>34</v>
      </c>
      <c r="E2345">
        <v>18</v>
      </c>
      <c r="F2345" s="1">
        <f>VLOOKUP(jablka5[[#This Row],[Nazwa]],cennik[],2,0) * jablka5[[#This Row],[sprzedaż]]</f>
        <v>57.6</v>
      </c>
      <c r="G2345" s="1">
        <f>IF(jablka5[[#This Row],[NIP]]=D2344,jablka5[[#This Row],[sprzedaż]]+G2344,jablka5[[#This Row],[sprzedaż]])</f>
        <v>6347</v>
      </c>
      <c r="H2345" s="1">
        <f>IF(jablka5[[#This Row],[dot sprz]]&lt;15000,0,IF(jablka5[[#This Row],[dot sprz]]&lt;20000,5,10))</f>
        <v>0</v>
      </c>
      <c r="I2345" s="1">
        <f>jablka5[[#This Row],[rabat]]*jablka5[[#This Row],[sprzedaż]]/100</f>
        <v>0</v>
      </c>
    </row>
    <row r="2346" spans="1:9" x14ac:dyDescent="0.25">
      <c r="A2346" s="2">
        <v>44775</v>
      </c>
      <c r="B2346" s="1" t="s">
        <v>13</v>
      </c>
      <c r="C2346" s="1" t="s">
        <v>68</v>
      </c>
      <c r="D2346" s="1" t="s">
        <v>34</v>
      </c>
      <c r="E2346">
        <v>232</v>
      </c>
      <c r="F2346" s="1">
        <f>VLOOKUP(jablka5[[#This Row],[Nazwa]],cennik[],2,0) * jablka5[[#This Row],[sprzedaż]]</f>
        <v>742.40000000000009</v>
      </c>
      <c r="G2346" s="1">
        <f>IF(jablka5[[#This Row],[NIP]]=D2345,jablka5[[#This Row],[sprzedaż]]+G2345,jablka5[[#This Row],[sprzedaż]])</f>
        <v>6579</v>
      </c>
      <c r="H2346" s="1">
        <f>IF(jablka5[[#This Row],[dot sprz]]&lt;15000,0,IF(jablka5[[#This Row],[dot sprz]]&lt;20000,5,10))</f>
        <v>0</v>
      </c>
      <c r="I2346" s="1">
        <f>jablka5[[#This Row],[rabat]]*jablka5[[#This Row],[sprzedaż]]/100</f>
        <v>0</v>
      </c>
    </row>
    <row r="2347" spans="1:9" x14ac:dyDescent="0.25">
      <c r="A2347" s="2">
        <v>44782</v>
      </c>
      <c r="B2347" s="1" t="s">
        <v>13</v>
      </c>
      <c r="C2347" s="1" t="s">
        <v>68</v>
      </c>
      <c r="D2347" s="1" t="s">
        <v>34</v>
      </c>
      <c r="E2347">
        <v>277</v>
      </c>
      <c r="F2347" s="1">
        <f>VLOOKUP(jablka5[[#This Row],[Nazwa]],cennik[],2,0) * jablka5[[#This Row],[sprzedaż]]</f>
        <v>886.40000000000009</v>
      </c>
      <c r="G2347" s="1">
        <f>IF(jablka5[[#This Row],[NIP]]=D2346,jablka5[[#This Row],[sprzedaż]]+G2346,jablka5[[#This Row],[sprzedaż]])</f>
        <v>6856</v>
      </c>
      <c r="H2347" s="1">
        <f>IF(jablka5[[#This Row],[dot sprz]]&lt;15000,0,IF(jablka5[[#This Row],[dot sprz]]&lt;20000,5,10))</f>
        <v>0</v>
      </c>
      <c r="I2347" s="1">
        <f>jablka5[[#This Row],[rabat]]*jablka5[[#This Row],[sprzedaż]]/100</f>
        <v>0</v>
      </c>
    </row>
    <row r="2348" spans="1:9" x14ac:dyDescent="0.25">
      <c r="A2348" s="2">
        <v>44788</v>
      </c>
      <c r="B2348" s="1" t="s">
        <v>13</v>
      </c>
      <c r="C2348" s="1" t="s">
        <v>68</v>
      </c>
      <c r="D2348" s="1" t="s">
        <v>34</v>
      </c>
      <c r="E2348">
        <v>95</v>
      </c>
      <c r="F2348" s="1">
        <f>VLOOKUP(jablka5[[#This Row],[Nazwa]],cennik[],2,0) * jablka5[[#This Row],[sprzedaż]]</f>
        <v>304</v>
      </c>
      <c r="G2348" s="1">
        <f>IF(jablka5[[#This Row],[NIP]]=D2347,jablka5[[#This Row],[sprzedaż]]+G2347,jablka5[[#This Row],[sprzedaż]])</f>
        <v>6951</v>
      </c>
      <c r="H2348" s="1">
        <f>IF(jablka5[[#This Row],[dot sprz]]&lt;15000,0,IF(jablka5[[#This Row],[dot sprz]]&lt;20000,5,10))</f>
        <v>0</v>
      </c>
      <c r="I2348" s="1">
        <f>jablka5[[#This Row],[rabat]]*jablka5[[#This Row],[sprzedaż]]/100</f>
        <v>0</v>
      </c>
    </row>
    <row r="2349" spans="1:9" x14ac:dyDescent="0.25">
      <c r="A2349" s="2">
        <v>44799</v>
      </c>
      <c r="B2349" s="1" t="s">
        <v>14</v>
      </c>
      <c r="C2349" s="1" t="s">
        <v>67</v>
      </c>
      <c r="D2349" s="1" t="s">
        <v>34</v>
      </c>
      <c r="E2349">
        <v>234</v>
      </c>
      <c r="F2349" s="1">
        <f>VLOOKUP(jablka5[[#This Row],[Nazwa]],cennik[],2,0) * jablka5[[#This Row],[sprzedaż]]</f>
        <v>819</v>
      </c>
      <c r="G2349" s="1">
        <f>IF(jablka5[[#This Row],[NIP]]=D2348,jablka5[[#This Row],[sprzedaż]]+G2348,jablka5[[#This Row],[sprzedaż]])</f>
        <v>7185</v>
      </c>
      <c r="H2349" s="1">
        <f>IF(jablka5[[#This Row],[dot sprz]]&lt;15000,0,IF(jablka5[[#This Row],[dot sprz]]&lt;20000,5,10))</f>
        <v>0</v>
      </c>
      <c r="I2349" s="1">
        <f>jablka5[[#This Row],[rabat]]*jablka5[[#This Row],[sprzedaż]]/100</f>
        <v>0</v>
      </c>
    </row>
    <row r="2350" spans="1:9" x14ac:dyDescent="0.25">
      <c r="A2350" s="2">
        <v>44800</v>
      </c>
      <c r="B2350" s="1" t="s">
        <v>12</v>
      </c>
      <c r="C2350" s="1" t="s">
        <v>68</v>
      </c>
      <c r="D2350" s="1" t="s">
        <v>34</v>
      </c>
      <c r="E2350">
        <v>432</v>
      </c>
      <c r="F2350" s="1">
        <f>VLOOKUP(jablka5[[#This Row],[Nazwa]],cennik[],2,0) * jablka5[[#This Row],[sprzedaż]]</f>
        <v>1166.4000000000001</v>
      </c>
      <c r="G2350" s="1">
        <f>IF(jablka5[[#This Row],[NIP]]=D2349,jablka5[[#This Row],[sprzedaż]]+G2349,jablka5[[#This Row],[sprzedaż]])</f>
        <v>7617</v>
      </c>
      <c r="H2350" s="1">
        <f>IF(jablka5[[#This Row],[dot sprz]]&lt;15000,0,IF(jablka5[[#This Row],[dot sprz]]&lt;20000,5,10))</f>
        <v>0</v>
      </c>
      <c r="I2350" s="1">
        <f>jablka5[[#This Row],[rabat]]*jablka5[[#This Row],[sprzedaż]]/100</f>
        <v>0</v>
      </c>
    </row>
    <row r="2351" spans="1:9" x14ac:dyDescent="0.25">
      <c r="A2351" s="2">
        <v>44809</v>
      </c>
      <c r="B2351" s="1" t="s">
        <v>3</v>
      </c>
      <c r="C2351" s="1" t="s">
        <v>67</v>
      </c>
      <c r="D2351" s="1" t="s">
        <v>34</v>
      </c>
      <c r="E2351">
        <v>167</v>
      </c>
      <c r="F2351" s="1">
        <f>VLOOKUP(jablka5[[#This Row],[Nazwa]],cennik[],2,0) * jablka5[[#This Row],[sprzedaż]]</f>
        <v>534.4</v>
      </c>
      <c r="G2351" s="1">
        <f>IF(jablka5[[#This Row],[NIP]]=D2350,jablka5[[#This Row],[sprzedaż]]+G2350,jablka5[[#This Row],[sprzedaż]])</f>
        <v>7784</v>
      </c>
      <c r="H2351" s="1">
        <f>IF(jablka5[[#This Row],[dot sprz]]&lt;15000,0,IF(jablka5[[#This Row],[dot sprz]]&lt;20000,5,10))</f>
        <v>0</v>
      </c>
      <c r="I2351" s="1">
        <f>jablka5[[#This Row],[rabat]]*jablka5[[#This Row],[sprzedaż]]/100</f>
        <v>0</v>
      </c>
    </row>
    <row r="2352" spans="1:9" x14ac:dyDescent="0.25">
      <c r="A2352" s="2">
        <v>44823</v>
      </c>
      <c r="B2352" s="1" t="s">
        <v>1</v>
      </c>
      <c r="C2352" s="1" t="s">
        <v>67</v>
      </c>
      <c r="D2352" s="1" t="s">
        <v>34</v>
      </c>
      <c r="E2352">
        <v>101</v>
      </c>
      <c r="F2352" s="1">
        <f>VLOOKUP(jablka5[[#This Row],[Nazwa]],cennik[],2,0) * jablka5[[#This Row],[sprzedaż]]</f>
        <v>323.20000000000005</v>
      </c>
      <c r="G2352" s="1">
        <f>IF(jablka5[[#This Row],[NIP]]=D2351,jablka5[[#This Row],[sprzedaż]]+G2351,jablka5[[#This Row],[sprzedaż]])</f>
        <v>7885</v>
      </c>
      <c r="H2352" s="1">
        <f>IF(jablka5[[#This Row],[dot sprz]]&lt;15000,0,IF(jablka5[[#This Row],[dot sprz]]&lt;20000,5,10))</f>
        <v>0</v>
      </c>
      <c r="I2352" s="1">
        <f>jablka5[[#This Row],[rabat]]*jablka5[[#This Row],[sprzedaż]]/100</f>
        <v>0</v>
      </c>
    </row>
    <row r="2353" spans="1:9" x14ac:dyDescent="0.25">
      <c r="A2353" s="2">
        <v>44832</v>
      </c>
      <c r="B2353" s="1" t="s">
        <v>3</v>
      </c>
      <c r="C2353" s="1" t="s">
        <v>67</v>
      </c>
      <c r="D2353" s="1" t="s">
        <v>34</v>
      </c>
      <c r="E2353">
        <v>340</v>
      </c>
      <c r="F2353" s="1">
        <f>VLOOKUP(jablka5[[#This Row],[Nazwa]],cennik[],2,0) * jablka5[[#This Row],[sprzedaż]]</f>
        <v>1088</v>
      </c>
      <c r="G2353" s="1">
        <f>IF(jablka5[[#This Row],[NIP]]=D2352,jablka5[[#This Row],[sprzedaż]]+G2352,jablka5[[#This Row],[sprzedaż]])</f>
        <v>8225</v>
      </c>
      <c r="H2353" s="1">
        <f>IF(jablka5[[#This Row],[dot sprz]]&lt;15000,0,IF(jablka5[[#This Row],[dot sprz]]&lt;20000,5,10))</f>
        <v>0</v>
      </c>
      <c r="I2353" s="1">
        <f>jablka5[[#This Row],[rabat]]*jablka5[[#This Row],[sprzedaż]]/100</f>
        <v>0</v>
      </c>
    </row>
    <row r="2354" spans="1:9" x14ac:dyDescent="0.25">
      <c r="A2354" s="2">
        <v>44833</v>
      </c>
      <c r="B2354" s="1" t="s">
        <v>14</v>
      </c>
      <c r="C2354" s="1" t="s">
        <v>67</v>
      </c>
      <c r="D2354" s="1" t="s">
        <v>34</v>
      </c>
      <c r="E2354">
        <v>226</v>
      </c>
      <c r="F2354" s="1">
        <f>VLOOKUP(jablka5[[#This Row],[Nazwa]],cennik[],2,0) * jablka5[[#This Row],[sprzedaż]]</f>
        <v>791</v>
      </c>
      <c r="G2354" s="1">
        <f>IF(jablka5[[#This Row],[NIP]]=D2353,jablka5[[#This Row],[sprzedaż]]+G2353,jablka5[[#This Row],[sprzedaż]])</f>
        <v>8451</v>
      </c>
      <c r="H2354" s="1">
        <f>IF(jablka5[[#This Row],[dot sprz]]&lt;15000,0,IF(jablka5[[#This Row],[dot sprz]]&lt;20000,5,10))</f>
        <v>0</v>
      </c>
      <c r="I2354" s="1">
        <f>jablka5[[#This Row],[rabat]]*jablka5[[#This Row],[sprzedaż]]/100</f>
        <v>0</v>
      </c>
    </row>
    <row r="2355" spans="1:9" x14ac:dyDescent="0.25">
      <c r="A2355" s="2">
        <v>44839</v>
      </c>
      <c r="B2355" s="1" t="s">
        <v>3</v>
      </c>
      <c r="C2355" s="1" t="s">
        <v>67</v>
      </c>
      <c r="D2355" s="1" t="s">
        <v>34</v>
      </c>
      <c r="E2355">
        <v>372</v>
      </c>
      <c r="F2355" s="1">
        <f>VLOOKUP(jablka5[[#This Row],[Nazwa]],cennik[],2,0) * jablka5[[#This Row],[sprzedaż]]</f>
        <v>1190.4000000000001</v>
      </c>
      <c r="G2355" s="1">
        <f>IF(jablka5[[#This Row],[NIP]]=D2354,jablka5[[#This Row],[sprzedaż]]+G2354,jablka5[[#This Row],[sprzedaż]])</f>
        <v>8823</v>
      </c>
      <c r="H2355" s="1">
        <f>IF(jablka5[[#This Row],[dot sprz]]&lt;15000,0,IF(jablka5[[#This Row],[dot sprz]]&lt;20000,5,10))</f>
        <v>0</v>
      </c>
      <c r="I2355" s="1">
        <f>jablka5[[#This Row],[rabat]]*jablka5[[#This Row],[sprzedaż]]/100</f>
        <v>0</v>
      </c>
    </row>
    <row r="2356" spans="1:9" x14ac:dyDescent="0.25">
      <c r="A2356" s="2">
        <v>44855</v>
      </c>
      <c r="B2356" s="1" t="s">
        <v>14</v>
      </c>
      <c r="C2356" s="1" t="s">
        <v>67</v>
      </c>
      <c r="D2356" s="1" t="s">
        <v>34</v>
      </c>
      <c r="E2356">
        <v>248</v>
      </c>
      <c r="F2356" s="1">
        <f>VLOOKUP(jablka5[[#This Row],[Nazwa]],cennik[],2,0) * jablka5[[#This Row],[sprzedaż]]</f>
        <v>868</v>
      </c>
      <c r="G2356" s="1">
        <f>IF(jablka5[[#This Row],[NIP]]=D2355,jablka5[[#This Row],[sprzedaż]]+G2355,jablka5[[#This Row],[sprzedaż]])</f>
        <v>9071</v>
      </c>
      <c r="H2356" s="1">
        <f>IF(jablka5[[#This Row],[dot sprz]]&lt;15000,0,IF(jablka5[[#This Row],[dot sprz]]&lt;20000,5,10))</f>
        <v>0</v>
      </c>
      <c r="I2356" s="1">
        <f>jablka5[[#This Row],[rabat]]*jablka5[[#This Row],[sprzedaż]]/100</f>
        <v>0</v>
      </c>
    </row>
    <row r="2357" spans="1:9" x14ac:dyDescent="0.25">
      <c r="A2357" s="2">
        <v>44863</v>
      </c>
      <c r="B2357" s="1" t="s">
        <v>11</v>
      </c>
      <c r="C2357" s="1" t="s">
        <v>67</v>
      </c>
      <c r="D2357" s="1" t="s">
        <v>34</v>
      </c>
      <c r="E2357">
        <v>395</v>
      </c>
      <c r="F2357" s="1">
        <f>VLOOKUP(jablka5[[#This Row],[Nazwa]],cennik[],2,0) * jablka5[[#This Row],[sprzedaż]]</f>
        <v>987.5</v>
      </c>
      <c r="G2357" s="1">
        <f>IF(jablka5[[#This Row],[NIP]]=D2356,jablka5[[#This Row],[sprzedaż]]+G2356,jablka5[[#This Row],[sprzedaż]])</f>
        <v>9466</v>
      </c>
      <c r="H2357" s="1">
        <f>IF(jablka5[[#This Row],[dot sprz]]&lt;15000,0,IF(jablka5[[#This Row],[dot sprz]]&lt;20000,5,10))</f>
        <v>0</v>
      </c>
      <c r="I2357" s="1">
        <f>jablka5[[#This Row],[rabat]]*jablka5[[#This Row],[sprzedaż]]/100</f>
        <v>0</v>
      </c>
    </row>
    <row r="2358" spans="1:9" x14ac:dyDescent="0.25">
      <c r="A2358" s="2">
        <v>44875</v>
      </c>
      <c r="B2358" s="1" t="s">
        <v>11</v>
      </c>
      <c r="C2358" s="1" t="s">
        <v>67</v>
      </c>
      <c r="D2358" s="1" t="s">
        <v>34</v>
      </c>
      <c r="E2358">
        <v>286</v>
      </c>
      <c r="F2358" s="1">
        <f>VLOOKUP(jablka5[[#This Row],[Nazwa]],cennik[],2,0) * jablka5[[#This Row],[sprzedaż]]</f>
        <v>715</v>
      </c>
      <c r="G2358" s="1">
        <f>IF(jablka5[[#This Row],[NIP]]=D2357,jablka5[[#This Row],[sprzedaż]]+G2357,jablka5[[#This Row],[sprzedaż]])</f>
        <v>9752</v>
      </c>
      <c r="H2358" s="1">
        <f>IF(jablka5[[#This Row],[dot sprz]]&lt;15000,0,IF(jablka5[[#This Row],[dot sprz]]&lt;20000,5,10))</f>
        <v>0</v>
      </c>
      <c r="I2358" s="1">
        <f>jablka5[[#This Row],[rabat]]*jablka5[[#This Row],[sprzedaż]]/100</f>
        <v>0</v>
      </c>
    </row>
    <row r="2359" spans="1:9" x14ac:dyDescent="0.25">
      <c r="A2359" s="2">
        <v>44896</v>
      </c>
      <c r="B2359" s="1" t="s">
        <v>7</v>
      </c>
      <c r="C2359" s="1" t="s">
        <v>16</v>
      </c>
      <c r="D2359" s="1" t="s">
        <v>34</v>
      </c>
      <c r="E2359">
        <v>648</v>
      </c>
      <c r="F2359" s="1">
        <f>VLOOKUP(jablka5[[#This Row],[Nazwa]],cennik[],2,0) * jablka5[[#This Row],[sprzedaż]]</f>
        <v>2203.1999999999998</v>
      </c>
      <c r="G2359" s="1">
        <f>IF(jablka5[[#This Row],[NIP]]=D2358,jablka5[[#This Row],[sprzedaż]]+G2358,jablka5[[#This Row],[sprzedaż]])</f>
        <v>10400</v>
      </c>
      <c r="H2359" s="1">
        <f>IF(jablka5[[#This Row],[dot sprz]]&lt;15000,0,IF(jablka5[[#This Row],[dot sprz]]&lt;20000,5,10))</f>
        <v>0</v>
      </c>
      <c r="I2359" s="1">
        <f>jablka5[[#This Row],[rabat]]*jablka5[[#This Row],[sprzedaż]]/100</f>
        <v>0</v>
      </c>
    </row>
    <row r="2360" spans="1:9" x14ac:dyDescent="0.25">
      <c r="A2360" s="2">
        <v>44897</v>
      </c>
      <c r="B2360" s="1" t="s">
        <v>5</v>
      </c>
      <c r="C2360" s="1" t="s">
        <v>16</v>
      </c>
      <c r="D2360" s="1" t="s">
        <v>34</v>
      </c>
      <c r="E2360">
        <v>394</v>
      </c>
      <c r="F2360" s="1">
        <f>VLOOKUP(jablka5[[#This Row],[Nazwa]],cennik[],2,0) * jablka5[[#This Row],[sprzedaż]]</f>
        <v>1339.6</v>
      </c>
      <c r="G2360" s="1">
        <f>IF(jablka5[[#This Row],[NIP]]=D2359,jablka5[[#This Row],[sprzedaż]]+G2359,jablka5[[#This Row],[sprzedaż]])</f>
        <v>10794</v>
      </c>
      <c r="H2360" s="1">
        <f>IF(jablka5[[#This Row],[dot sprz]]&lt;15000,0,IF(jablka5[[#This Row],[dot sprz]]&lt;20000,5,10))</f>
        <v>0</v>
      </c>
      <c r="I2360" s="1">
        <f>jablka5[[#This Row],[rabat]]*jablka5[[#This Row],[sprzedaż]]/100</f>
        <v>0</v>
      </c>
    </row>
    <row r="2361" spans="1:9" x14ac:dyDescent="0.25">
      <c r="A2361" s="2">
        <v>44900</v>
      </c>
      <c r="B2361" s="1" t="s">
        <v>8</v>
      </c>
      <c r="C2361" s="1" t="s">
        <v>16</v>
      </c>
      <c r="D2361" s="1" t="s">
        <v>34</v>
      </c>
      <c r="E2361">
        <v>332</v>
      </c>
      <c r="F2361" s="1">
        <f>VLOOKUP(jablka5[[#This Row],[Nazwa]],cennik[],2,0) * jablka5[[#This Row],[sprzedaż]]</f>
        <v>1162</v>
      </c>
      <c r="G2361" s="1">
        <f>IF(jablka5[[#This Row],[NIP]]=D2360,jablka5[[#This Row],[sprzedaż]]+G2360,jablka5[[#This Row],[sprzedaż]])</f>
        <v>11126</v>
      </c>
      <c r="H2361" s="1">
        <f>IF(jablka5[[#This Row],[dot sprz]]&lt;15000,0,IF(jablka5[[#This Row],[dot sprz]]&lt;20000,5,10))</f>
        <v>0</v>
      </c>
      <c r="I2361" s="1">
        <f>jablka5[[#This Row],[rabat]]*jablka5[[#This Row],[sprzedaż]]/100</f>
        <v>0</v>
      </c>
    </row>
    <row r="2362" spans="1:9" x14ac:dyDescent="0.25">
      <c r="A2362" s="2">
        <v>44904</v>
      </c>
      <c r="B2362" s="1" t="s">
        <v>15</v>
      </c>
      <c r="C2362" s="1" t="s">
        <v>16</v>
      </c>
      <c r="D2362" s="1" t="s">
        <v>34</v>
      </c>
      <c r="E2362">
        <v>148</v>
      </c>
      <c r="F2362" s="1">
        <f>VLOOKUP(jablka5[[#This Row],[Nazwa]],cennik[],2,0) * jablka5[[#This Row],[sprzedaż]]</f>
        <v>355.2</v>
      </c>
      <c r="G2362" s="1">
        <f>IF(jablka5[[#This Row],[NIP]]=D2361,jablka5[[#This Row],[sprzedaż]]+G2361,jablka5[[#This Row],[sprzedaż]])</f>
        <v>11274</v>
      </c>
      <c r="H2362" s="1">
        <f>IF(jablka5[[#This Row],[dot sprz]]&lt;15000,0,IF(jablka5[[#This Row],[dot sprz]]&lt;20000,5,10))</f>
        <v>0</v>
      </c>
      <c r="I2362" s="1">
        <f>jablka5[[#This Row],[rabat]]*jablka5[[#This Row],[sprzedaż]]/100</f>
        <v>0</v>
      </c>
    </row>
    <row r="2363" spans="1:9" x14ac:dyDescent="0.25">
      <c r="A2363" s="2">
        <v>44905</v>
      </c>
      <c r="B2363" s="1" t="s">
        <v>15</v>
      </c>
      <c r="C2363" s="1" t="s">
        <v>16</v>
      </c>
      <c r="D2363" s="1" t="s">
        <v>34</v>
      </c>
      <c r="E2363">
        <v>579</v>
      </c>
      <c r="F2363" s="1">
        <f>VLOOKUP(jablka5[[#This Row],[Nazwa]],cennik[],2,0) * jablka5[[#This Row],[sprzedaż]]</f>
        <v>1389.6</v>
      </c>
      <c r="G2363" s="1">
        <f>IF(jablka5[[#This Row],[NIP]]=D2362,jablka5[[#This Row],[sprzedaż]]+G2362,jablka5[[#This Row],[sprzedaż]])</f>
        <v>11853</v>
      </c>
      <c r="H2363" s="1">
        <f>IF(jablka5[[#This Row],[dot sprz]]&lt;15000,0,IF(jablka5[[#This Row],[dot sprz]]&lt;20000,5,10))</f>
        <v>0</v>
      </c>
      <c r="I2363" s="1">
        <f>jablka5[[#This Row],[rabat]]*jablka5[[#This Row],[sprzedaż]]/100</f>
        <v>0</v>
      </c>
    </row>
    <row r="2364" spans="1:9" x14ac:dyDescent="0.25">
      <c r="A2364" s="2">
        <v>44908</v>
      </c>
      <c r="B2364" s="1" t="s">
        <v>6</v>
      </c>
      <c r="C2364" s="1" t="s">
        <v>16</v>
      </c>
      <c r="D2364" s="1" t="s">
        <v>34</v>
      </c>
      <c r="E2364">
        <v>275</v>
      </c>
      <c r="F2364" s="1">
        <f>VLOOKUP(jablka5[[#This Row],[Nazwa]],cennik[],2,0) * jablka5[[#This Row],[sprzedaż]]</f>
        <v>935</v>
      </c>
      <c r="G2364" s="1">
        <f>IF(jablka5[[#This Row],[NIP]]=D2363,jablka5[[#This Row],[sprzedaż]]+G2363,jablka5[[#This Row],[sprzedaż]])</f>
        <v>12128</v>
      </c>
      <c r="H2364" s="1">
        <f>IF(jablka5[[#This Row],[dot sprz]]&lt;15000,0,IF(jablka5[[#This Row],[dot sprz]]&lt;20000,5,10))</f>
        <v>0</v>
      </c>
      <c r="I2364" s="1">
        <f>jablka5[[#This Row],[rabat]]*jablka5[[#This Row],[sprzedaż]]/100</f>
        <v>0</v>
      </c>
    </row>
    <row r="2365" spans="1:9" x14ac:dyDescent="0.25">
      <c r="A2365" s="2">
        <v>44910</v>
      </c>
      <c r="B2365" s="1" t="s">
        <v>10</v>
      </c>
      <c r="C2365" s="1" t="s">
        <v>16</v>
      </c>
      <c r="D2365" s="1" t="s">
        <v>34</v>
      </c>
      <c r="E2365">
        <v>254</v>
      </c>
      <c r="F2365" s="1">
        <f>VLOOKUP(jablka5[[#This Row],[Nazwa]],cennik[],2,0) * jablka5[[#This Row],[sprzedaż]]</f>
        <v>863.6</v>
      </c>
      <c r="G2365" s="1">
        <f>IF(jablka5[[#This Row],[NIP]]=D2364,jablka5[[#This Row],[sprzedaż]]+G2364,jablka5[[#This Row],[sprzedaż]])</f>
        <v>12382</v>
      </c>
      <c r="H2365" s="1">
        <f>IF(jablka5[[#This Row],[dot sprz]]&lt;15000,0,IF(jablka5[[#This Row],[dot sprz]]&lt;20000,5,10))</f>
        <v>0</v>
      </c>
      <c r="I2365" s="1">
        <f>jablka5[[#This Row],[rabat]]*jablka5[[#This Row],[sprzedaż]]/100</f>
        <v>0</v>
      </c>
    </row>
    <row r="2366" spans="1:9" x14ac:dyDescent="0.25">
      <c r="A2366" s="2">
        <v>44569</v>
      </c>
      <c r="B2366" s="1" t="s">
        <v>6</v>
      </c>
      <c r="C2366" s="1" t="s">
        <v>16</v>
      </c>
      <c r="D2366" s="1" t="s">
        <v>45</v>
      </c>
      <c r="E2366">
        <v>139</v>
      </c>
      <c r="F2366" s="1">
        <f>VLOOKUP(jablka5[[#This Row],[Nazwa]],cennik[],2,0) * jablka5[[#This Row],[sprzedaż]]</f>
        <v>472.59999999999997</v>
      </c>
      <c r="G2366" s="1">
        <f>IF(jablka5[[#This Row],[NIP]]=D2365,jablka5[[#This Row],[sprzedaż]]+G2365,jablka5[[#This Row],[sprzedaż]])</f>
        <v>139</v>
      </c>
      <c r="H2366" s="1">
        <f>IF(jablka5[[#This Row],[dot sprz]]&lt;15000,0,IF(jablka5[[#This Row],[dot sprz]]&lt;20000,5,10))</f>
        <v>0</v>
      </c>
      <c r="I2366" s="1">
        <f>jablka5[[#This Row],[rabat]]*jablka5[[#This Row],[sprzedaż]]/100</f>
        <v>0</v>
      </c>
    </row>
    <row r="2367" spans="1:9" x14ac:dyDescent="0.25">
      <c r="A2367" s="2">
        <v>44579</v>
      </c>
      <c r="B2367" s="1" t="s">
        <v>7</v>
      </c>
      <c r="C2367" s="1" t="s">
        <v>16</v>
      </c>
      <c r="D2367" s="1" t="s">
        <v>45</v>
      </c>
      <c r="E2367">
        <v>211</v>
      </c>
      <c r="F2367" s="1">
        <f>VLOOKUP(jablka5[[#This Row],[Nazwa]],cennik[],2,0) * jablka5[[#This Row],[sprzedaż]]</f>
        <v>717.4</v>
      </c>
      <c r="G2367" s="1">
        <f>IF(jablka5[[#This Row],[NIP]]=D2366,jablka5[[#This Row],[sprzedaż]]+G2366,jablka5[[#This Row],[sprzedaż]])</f>
        <v>350</v>
      </c>
      <c r="H2367" s="1">
        <f>IF(jablka5[[#This Row],[dot sprz]]&lt;15000,0,IF(jablka5[[#This Row],[dot sprz]]&lt;20000,5,10))</f>
        <v>0</v>
      </c>
      <c r="I2367" s="1">
        <f>jablka5[[#This Row],[rabat]]*jablka5[[#This Row],[sprzedaż]]/100</f>
        <v>0</v>
      </c>
    </row>
    <row r="2368" spans="1:9" x14ac:dyDescent="0.25">
      <c r="A2368" s="2">
        <v>44582</v>
      </c>
      <c r="B2368" s="1" t="s">
        <v>10</v>
      </c>
      <c r="C2368" s="1" t="s">
        <v>16</v>
      </c>
      <c r="D2368" s="1" t="s">
        <v>45</v>
      </c>
      <c r="E2368">
        <v>247</v>
      </c>
      <c r="F2368" s="1">
        <f>VLOOKUP(jablka5[[#This Row],[Nazwa]],cennik[],2,0) * jablka5[[#This Row],[sprzedaż]]</f>
        <v>839.8</v>
      </c>
      <c r="G2368" s="1">
        <f>IF(jablka5[[#This Row],[NIP]]=D2367,jablka5[[#This Row],[sprzedaż]]+G2367,jablka5[[#This Row],[sprzedaż]])</f>
        <v>597</v>
      </c>
      <c r="H2368" s="1">
        <f>IF(jablka5[[#This Row],[dot sprz]]&lt;15000,0,IF(jablka5[[#This Row],[dot sprz]]&lt;20000,5,10))</f>
        <v>0</v>
      </c>
      <c r="I2368" s="1">
        <f>jablka5[[#This Row],[rabat]]*jablka5[[#This Row],[sprzedaż]]/100</f>
        <v>0</v>
      </c>
    </row>
    <row r="2369" spans="1:9" x14ac:dyDescent="0.25">
      <c r="A2369" s="2">
        <v>44602</v>
      </c>
      <c r="B2369" s="1" t="s">
        <v>8</v>
      </c>
      <c r="C2369" s="1" t="s">
        <v>16</v>
      </c>
      <c r="D2369" s="1" t="s">
        <v>45</v>
      </c>
      <c r="E2369">
        <v>333</v>
      </c>
      <c r="F2369" s="1">
        <f>VLOOKUP(jablka5[[#This Row],[Nazwa]],cennik[],2,0) * jablka5[[#This Row],[sprzedaż]]</f>
        <v>1165.5</v>
      </c>
      <c r="G2369" s="1">
        <f>IF(jablka5[[#This Row],[NIP]]=D2368,jablka5[[#This Row],[sprzedaż]]+G2368,jablka5[[#This Row],[sprzedaż]])</f>
        <v>930</v>
      </c>
      <c r="H2369" s="1">
        <f>IF(jablka5[[#This Row],[dot sprz]]&lt;15000,0,IF(jablka5[[#This Row],[dot sprz]]&lt;20000,5,10))</f>
        <v>0</v>
      </c>
      <c r="I2369" s="1">
        <f>jablka5[[#This Row],[rabat]]*jablka5[[#This Row],[sprzedaż]]/100</f>
        <v>0</v>
      </c>
    </row>
    <row r="2370" spans="1:9" x14ac:dyDescent="0.25">
      <c r="A2370" s="2">
        <v>44603</v>
      </c>
      <c r="B2370" s="1" t="s">
        <v>4</v>
      </c>
      <c r="C2370" s="1" t="s">
        <v>16</v>
      </c>
      <c r="D2370" s="1" t="s">
        <v>45</v>
      </c>
      <c r="E2370">
        <v>728</v>
      </c>
      <c r="F2370" s="1">
        <f>VLOOKUP(jablka5[[#This Row],[Nazwa]],cennik[],2,0) * jablka5[[#This Row],[sprzedaż]]</f>
        <v>2475.1999999999998</v>
      </c>
      <c r="G2370" s="1">
        <f>IF(jablka5[[#This Row],[NIP]]=D2369,jablka5[[#This Row],[sprzedaż]]+G2369,jablka5[[#This Row],[sprzedaż]])</f>
        <v>1658</v>
      </c>
      <c r="H2370" s="1">
        <f>IF(jablka5[[#This Row],[dot sprz]]&lt;15000,0,IF(jablka5[[#This Row],[dot sprz]]&lt;20000,5,10))</f>
        <v>0</v>
      </c>
      <c r="I2370" s="1">
        <f>jablka5[[#This Row],[rabat]]*jablka5[[#This Row],[sprzedaż]]/100</f>
        <v>0</v>
      </c>
    </row>
    <row r="2371" spans="1:9" x14ac:dyDescent="0.25">
      <c r="A2371" s="2">
        <v>44610</v>
      </c>
      <c r="B2371" s="1" t="s">
        <v>4</v>
      </c>
      <c r="C2371" s="1" t="s">
        <v>16</v>
      </c>
      <c r="D2371" s="1" t="s">
        <v>45</v>
      </c>
      <c r="E2371">
        <v>315</v>
      </c>
      <c r="F2371" s="1">
        <f>VLOOKUP(jablka5[[#This Row],[Nazwa]],cennik[],2,0) * jablka5[[#This Row],[sprzedaż]]</f>
        <v>1071</v>
      </c>
      <c r="G2371" s="1">
        <f>IF(jablka5[[#This Row],[NIP]]=D2370,jablka5[[#This Row],[sprzedaż]]+G2370,jablka5[[#This Row],[sprzedaż]])</f>
        <v>1973</v>
      </c>
      <c r="H2371" s="1">
        <f>IF(jablka5[[#This Row],[dot sprz]]&lt;15000,0,IF(jablka5[[#This Row],[dot sprz]]&lt;20000,5,10))</f>
        <v>0</v>
      </c>
      <c r="I2371" s="1">
        <f>jablka5[[#This Row],[rabat]]*jablka5[[#This Row],[sprzedaż]]/100</f>
        <v>0</v>
      </c>
    </row>
    <row r="2372" spans="1:9" x14ac:dyDescent="0.25">
      <c r="A2372" s="2">
        <v>44627</v>
      </c>
      <c r="B2372" s="1" t="s">
        <v>0</v>
      </c>
      <c r="C2372" s="1" t="s">
        <v>16</v>
      </c>
      <c r="D2372" s="1" t="s">
        <v>45</v>
      </c>
      <c r="E2372">
        <v>91</v>
      </c>
      <c r="F2372" s="1">
        <f>VLOOKUP(jablka5[[#This Row],[Nazwa]],cennik[],2,0) * jablka5[[#This Row],[sprzedaż]]</f>
        <v>263.89999999999998</v>
      </c>
      <c r="G2372" s="1">
        <f>IF(jablka5[[#This Row],[NIP]]=D2371,jablka5[[#This Row],[sprzedaż]]+G2371,jablka5[[#This Row],[sprzedaż]])</f>
        <v>2064</v>
      </c>
      <c r="H2372" s="1">
        <f>IF(jablka5[[#This Row],[dot sprz]]&lt;15000,0,IF(jablka5[[#This Row],[dot sprz]]&lt;20000,5,10))</f>
        <v>0</v>
      </c>
      <c r="I2372" s="1">
        <f>jablka5[[#This Row],[rabat]]*jablka5[[#This Row],[sprzedaż]]/100</f>
        <v>0</v>
      </c>
    </row>
    <row r="2373" spans="1:9" x14ac:dyDescent="0.25">
      <c r="A2373" s="2">
        <v>44638</v>
      </c>
      <c r="B2373" s="1" t="s">
        <v>2</v>
      </c>
      <c r="C2373" s="1" t="s">
        <v>16</v>
      </c>
      <c r="D2373" s="1" t="s">
        <v>45</v>
      </c>
      <c r="E2373">
        <v>422</v>
      </c>
      <c r="F2373" s="1">
        <f>VLOOKUP(jablka5[[#This Row],[Nazwa]],cennik[],2,0) * jablka5[[#This Row],[sprzedaż]]</f>
        <v>1350.4</v>
      </c>
      <c r="G2373" s="1">
        <f>IF(jablka5[[#This Row],[NIP]]=D2372,jablka5[[#This Row],[sprzedaż]]+G2372,jablka5[[#This Row],[sprzedaż]])</f>
        <v>2486</v>
      </c>
      <c r="H2373" s="1">
        <f>IF(jablka5[[#This Row],[dot sprz]]&lt;15000,0,IF(jablka5[[#This Row],[dot sprz]]&lt;20000,5,10))</f>
        <v>0</v>
      </c>
      <c r="I2373" s="1">
        <f>jablka5[[#This Row],[rabat]]*jablka5[[#This Row],[sprzedaż]]/100</f>
        <v>0</v>
      </c>
    </row>
    <row r="2374" spans="1:9" x14ac:dyDescent="0.25">
      <c r="A2374" s="2">
        <v>44648</v>
      </c>
      <c r="B2374" s="1" t="s">
        <v>6</v>
      </c>
      <c r="C2374" s="1" t="s">
        <v>16</v>
      </c>
      <c r="D2374" s="1" t="s">
        <v>45</v>
      </c>
      <c r="E2374">
        <v>335</v>
      </c>
      <c r="F2374" s="1">
        <f>VLOOKUP(jablka5[[#This Row],[Nazwa]],cennik[],2,0) * jablka5[[#This Row],[sprzedaż]]</f>
        <v>1139</v>
      </c>
      <c r="G2374" s="1">
        <f>IF(jablka5[[#This Row],[NIP]]=D2373,jablka5[[#This Row],[sprzedaż]]+G2373,jablka5[[#This Row],[sprzedaż]])</f>
        <v>2821</v>
      </c>
      <c r="H2374" s="1">
        <f>IF(jablka5[[#This Row],[dot sprz]]&lt;15000,0,IF(jablka5[[#This Row],[dot sprz]]&lt;20000,5,10))</f>
        <v>0</v>
      </c>
      <c r="I2374" s="1">
        <f>jablka5[[#This Row],[rabat]]*jablka5[[#This Row],[sprzedaż]]/100</f>
        <v>0</v>
      </c>
    </row>
    <row r="2375" spans="1:9" x14ac:dyDescent="0.25">
      <c r="A2375" s="2">
        <v>44656</v>
      </c>
      <c r="B2375" s="1" t="s">
        <v>2</v>
      </c>
      <c r="C2375" s="1" t="s">
        <v>16</v>
      </c>
      <c r="D2375" s="1" t="s">
        <v>45</v>
      </c>
      <c r="E2375">
        <v>392</v>
      </c>
      <c r="F2375" s="1">
        <f>VLOOKUP(jablka5[[#This Row],[Nazwa]],cennik[],2,0) * jablka5[[#This Row],[sprzedaż]]</f>
        <v>1254.4000000000001</v>
      </c>
      <c r="G2375" s="1">
        <f>IF(jablka5[[#This Row],[NIP]]=D2374,jablka5[[#This Row],[sprzedaż]]+G2374,jablka5[[#This Row],[sprzedaż]])</f>
        <v>3213</v>
      </c>
      <c r="H2375" s="1">
        <f>IF(jablka5[[#This Row],[dot sprz]]&lt;15000,0,IF(jablka5[[#This Row],[dot sprz]]&lt;20000,5,10))</f>
        <v>0</v>
      </c>
      <c r="I2375" s="1">
        <f>jablka5[[#This Row],[rabat]]*jablka5[[#This Row],[sprzedaż]]/100</f>
        <v>0</v>
      </c>
    </row>
    <row r="2376" spans="1:9" x14ac:dyDescent="0.25">
      <c r="A2376" s="2">
        <v>44657</v>
      </c>
      <c r="B2376" s="1" t="s">
        <v>0</v>
      </c>
      <c r="C2376" s="1" t="s">
        <v>16</v>
      </c>
      <c r="D2376" s="1" t="s">
        <v>45</v>
      </c>
      <c r="E2376">
        <v>399</v>
      </c>
      <c r="F2376" s="1">
        <f>VLOOKUP(jablka5[[#This Row],[Nazwa]],cennik[],2,0) * jablka5[[#This Row],[sprzedaż]]</f>
        <v>1157.0999999999999</v>
      </c>
      <c r="G2376" s="1">
        <f>IF(jablka5[[#This Row],[NIP]]=D2375,jablka5[[#This Row],[sprzedaż]]+G2375,jablka5[[#This Row],[sprzedaż]])</f>
        <v>3612</v>
      </c>
      <c r="H2376" s="1">
        <f>IF(jablka5[[#This Row],[dot sprz]]&lt;15000,0,IF(jablka5[[#This Row],[dot sprz]]&lt;20000,5,10))</f>
        <v>0</v>
      </c>
      <c r="I2376" s="1">
        <f>jablka5[[#This Row],[rabat]]*jablka5[[#This Row],[sprzedaż]]/100</f>
        <v>0</v>
      </c>
    </row>
    <row r="2377" spans="1:9" x14ac:dyDescent="0.25">
      <c r="A2377" s="2">
        <v>44659</v>
      </c>
      <c r="B2377" s="1" t="s">
        <v>4</v>
      </c>
      <c r="C2377" s="1" t="s">
        <v>16</v>
      </c>
      <c r="D2377" s="1" t="s">
        <v>45</v>
      </c>
      <c r="E2377">
        <v>582</v>
      </c>
      <c r="F2377" s="1">
        <f>VLOOKUP(jablka5[[#This Row],[Nazwa]],cennik[],2,0) * jablka5[[#This Row],[sprzedaż]]</f>
        <v>1978.8</v>
      </c>
      <c r="G2377" s="1">
        <f>IF(jablka5[[#This Row],[NIP]]=D2376,jablka5[[#This Row],[sprzedaż]]+G2376,jablka5[[#This Row],[sprzedaż]])</f>
        <v>4194</v>
      </c>
      <c r="H2377" s="1">
        <f>IF(jablka5[[#This Row],[dot sprz]]&lt;15000,0,IF(jablka5[[#This Row],[dot sprz]]&lt;20000,5,10))</f>
        <v>0</v>
      </c>
      <c r="I2377" s="1">
        <f>jablka5[[#This Row],[rabat]]*jablka5[[#This Row],[sprzedaż]]/100</f>
        <v>0</v>
      </c>
    </row>
    <row r="2378" spans="1:9" x14ac:dyDescent="0.25">
      <c r="A2378" s="2">
        <v>44680</v>
      </c>
      <c r="B2378" s="1" t="s">
        <v>10</v>
      </c>
      <c r="C2378" s="1" t="s">
        <v>16</v>
      </c>
      <c r="D2378" s="1" t="s">
        <v>45</v>
      </c>
      <c r="E2378">
        <v>51</v>
      </c>
      <c r="F2378" s="1">
        <f>VLOOKUP(jablka5[[#This Row],[Nazwa]],cennik[],2,0) * jablka5[[#This Row],[sprzedaż]]</f>
        <v>173.4</v>
      </c>
      <c r="G2378" s="1">
        <f>IF(jablka5[[#This Row],[NIP]]=D2377,jablka5[[#This Row],[sprzedaż]]+G2377,jablka5[[#This Row],[sprzedaż]])</f>
        <v>4245</v>
      </c>
      <c r="H2378" s="1">
        <f>IF(jablka5[[#This Row],[dot sprz]]&lt;15000,0,IF(jablka5[[#This Row],[dot sprz]]&lt;20000,5,10))</f>
        <v>0</v>
      </c>
      <c r="I2378" s="1">
        <f>jablka5[[#This Row],[rabat]]*jablka5[[#This Row],[sprzedaż]]/100</f>
        <v>0</v>
      </c>
    </row>
    <row r="2379" spans="1:9" x14ac:dyDescent="0.25">
      <c r="A2379" s="2">
        <v>44688</v>
      </c>
      <c r="B2379" s="1" t="s">
        <v>6</v>
      </c>
      <c r="C2379" s="1" t="s">
        <v>16</v>
      </c>
      <c r="D2379" s="1" t="s">
        <v>45</v>
      </c>
      <c r="E2379">
        <v>129</v>
      </c>
      <c r="F2379" s="1">
        <f>VLOOKUP(jablka5[[#This Row],[Nazwa]],cennik[],2,0) * jablka5[[#This Row],[sprzedaż]]</f>
        <v>438.59999999999997</v>
      </c>
      <c r="G2379" s="1">
        <f>IF(jablka5[[#This Row],[NIP]]=D2378,jablka5[[#This Row],[sprzedaż]]+G2378,jablka5[[#This Row],[sprzedaż]])</f>
        <v>4374</v>
      </c>
      <c r="H2379" s="1">
        <f>IF(jablka5[[#This Row],[dot sprz]]&lt;15000,0,IF(jablka5[[#This Row],[dot sprz]]&lt;20000,5,10))</f>
        <v>0</v>
      </c>
      <c r="I2379" s="1">
        <f>jablka5[[#This Row],[rabat]]*jablka5[[#This Row],[sprzedaż]]/100</f>
        <v>0</v>
      </c>
    </row>
    <row r="2380" spans="1:9" x14ac:dyDescent="0.25">
      <c r="A2380" s="2">
        <v>44693</v>
      </c>
      <c r="B2380" s="1" t="s">
        <v>6</v>
      </c>
      <c r="C2380" s="1" t="s">
        <v>16</v>
      </c>
      <c r="D2380" s="1" t="s">
        <v>45</v>
      </c>
      <c r="E2380">
        <v>340</v>
      </c>
      <c r="F2380" s="1">
        <f>VLOOKUP(jablka5[[#This Row],[Nazwa]],cennik[],2,0) * jablka5[[#This Row],[sprzedaż]]</f>
        <v>1156</v>
      </c>
      <c r="G2380" s="1">
        <f>IF(jablka5[[#This Row],[NIP]]=D2379,jablka5[[#This Row],[sprzedaż]]+G2379,jablka5[[#This Row],[sprzedaż]])</f>
        <v>4714</v>
      </c>
      <c r="H2380" s="1">
        <f>IF(jablka5[[#This Row],[dot sprz]]&lt;15000,0,IF(jablka5[[#This Row],[dot sprz]]&lt;20000,5,10))</f>
        <v>0</v>
      </c>
      <c r="I2380" s="1">
        <f>jablka5[[#This Row],[rabat]]*jablka5[[#This Row],[sprzedaż]]/100</f>
        <v>0</v>
      </c>
    </row>
    <row r="2381" spans="1:9" x14ac:dyDescent="0.25">
      <c r="A2381" s="2">
        <v>44693</v>
      </c>
      <c r="B2381" s="1" t="s">
        <v>4</v>
      </c>
      <c r="C2381" s="1" t="s">
        <v>16</v>
      </c>
      <c r="D2381" s="1" t="s">
        <v>45</v>
      </c>
      <c r="E2381">
        <v>794</v>
      </c>
      <c r="F2381" s="1">
        <f>VLOOKUP(jablka5[[#This Row],[Nazwa]],cennik[],2,0) * jablka5[[#This Row],[sprzedaż]]</f>
        <v>2699.6</v>
      </c>
      <c r="G2381" s="1">
        <f>IF(jablka5[[#This Row],[NIP]]=D2380,jablka5[[#This Row],[sprzedaż]]+G2380,jablka5[[#This Row],[sprzedaż]])</f>
        <v>5508</v>
      </c>
      <c r="H2381" s="1">
        <f>IF(jablka5[[#This Row],[dot sprz]]&lt;15000,0,IF(jablka5[[#This Row],[dot sprz]]&lt;20000,5,10))</f>
        <v>0</v>
      </c>
      <c r="I2381" s="1">
        <f>jablka5[[#This Row],[rabat]]*jablka5[[#This Row],[sprzedaż]]/100</f>
        <v>0</v>
      </c>
    </row>
    <row r="2382" spans="1:9" x14ac:dyDescent="0.25">
      <c r="A2382" s="2">
        <v>44701</v>
      </c>
      <c r="B2382" s="1" t="s">
        <v>10</v>
      </c>
      <c r="C2382" s="1" t="s">
        <v>16</v>
      </c>
      <c r="D2382" s="1" t="s">
        <v>45</v>
      </c>
      <c r="E2382">
        <v>280</v>
      </c>
      <c r="F2382" s="1">
        <f>VLOOKUP(jablka5[[#This Row],[Nazwa]],cennik[],2,0) * jablka5[[#This Row],[sprzedaż]]</f>
        <v>952</v>
      </c>
      <c r="G2382" s="1">
        <f>IF(jablka5[[#This Row],[NIP]]=D2381,jablka5[[#This Row],[sprzedaż]]+G2381,jablka5[[#This Row],[sprzedaż]])</f>
        <v>5788</v>
      </c>
      <c r="H2382" s="1">
        <f>IF(jablka5[[#This Row],[dot sprz]]&lt;15000,0,IF(jablka5[[#This Row],[dot sprz]]&lt;20000,5,10))</f>
        <v>0</v>
      </c>
      <c r="I2382" s="1">
        <f>jablka5[[#This Row],[rabat]]*jablka5[[#This Row],[sprzedaż]]/100</f>
        <v>0</v>
      </c>
    </row>
    <row r="2383" spans="1:9" x14ac:dyDescent="0.25">
      <c r="A2383" s="2">
        <v>44705</v>
      </c>
      <c r="B2383" s="1" t="s">
        <v>0</v>
      </c>
      <c r="C2383" s="1" t="s">
        <v>16</v>
      </c>
      <c r="D2383" s="1" t="s">
        <v>45</v>
      </c>
      <c r="E2383">
        <v>220</v>
      </c>
      <c r="F2383" s="1">
        <f>VLOOKUP(jablka5[[#This Row],[Nazwa]],cennik[],2,0) * jablka5[[#This Row],[sprzedaż]]</f>
        <v>638</v>
      </c>
      <c r="G2383" s="1">
        <f>IF(jablka5[[#This Row],[NIP]]=D2382,jablka5[[#This Row],[sprzedaż]]+G2382,jablka5[[#This Row],[sprzedaż]])</f>
        <v>6008</v>
      </c>
      <c r="H2383" s="1">
        <f>IF(jablka5[[#This Row],[dot sprz]]&lt;15000,0,IF(jablka5[[#This Row],[dot sprz]]&lt;20000,5,10))</f>
        <v>0</v>
      </c>
      <c r="I2383" s="1">
        <f>jablka5[[#This Row],[rabat]]*jablka5[[#This Row],[sprzedaż]]/100</f>
        <v>0</v>
      </c>
    </row>
    <row r="2384" spans="1:9" x14ac:dyDescent="0.25">
      <c r="A2384" s="2">
        <v>44712</v>
      </c>
      <c r="B2384" s="1" t="s">
        <v>8</v>
      </c>
      <c r="C2384" s="1" t="s">
        <v>16</v>
      </c>
      <c r="D2384" s="1" t="s">
        <v>45</v>
      </c>
      <c r="E2384">
        <v>413</v>
      </c>
      <c r="F2384" s="1">
        <f>VLOOKUP(jablka5[[#This Row],[Nazwa]],cennik[],2,0) * jablka5[[#This Row],[sprzedaż]]</f>
        <v>1445.5</v>
      </c>
      <c r="G2384" s="1">
        <f>IF(jablka5[[#This Row],[NIP]]=D2383,jablka5[[#This Row],[sprzedaż]]+G2383,jablka5[[#This Row],[sprzedaż]])</f>
        <v>6421</v>
      </c>
      <c r="H2384" s="1">
        <f>IF(jablka5[[#This Row],[dot sprz]]&lt;15000,0,IF(jablka5[[#This Row],[dot sprz]]&lt;20000,5,10))</f>
        <v>0</v>
      </c>
      <c r="I2384" s="1">
        <f>jablka5[[#This Row],[rabat]]*jablka5[[#This Row],[sprzedaż]]/100</f>
        <v>0</v>
      </c>
    </row>
    <row r="2385" spans="1:9" x14ac:dyDescent="0.25">
      <c r="A2385" s="2">
        <v>44718</v>
      </c>
      <c r="B2385" s="1" t="s">
        <v>12</v>
      </c>
      <c r="C2385" s="1" t="s">
        <v>68</v>
      </c>
      <c r="D2385" s="1" t="s">
        <v>45</v>
      </c>
      <c r="E2385">
        <v>448</v>
      </c>
      <c r="F2385" s="1">
        <f>VLOOKUP(jablka5[[#This Row],[Nazwa]],cennik[],2,0) * jablka5[[#This Row],[sprzedaż]]</f>
        <v>1209.6000000000001</v>
      </c>
      <c r="G2385" s="1">
        <f>IF(jablka5[[#This Row],[NIP]]=D2384,jablka5[[#This Row],[sprzedaż]]+G2384,jablka5[[#This Row],[sprzedaż]])</f>
        <v>6869</v>
      </c>
      <c r="H2385" s="1">
        <f>IF(jablka5[[#This Row],[dot sprz]]&lt;15000,0,IF(jablka5[[#This Row],[dot sprz]]&lt;20000,5,10))</f>
        <v>0</v>
      </c>
      <c r="I2385" s="1">
        <f>jablka5[[#This Row],[rabat]]*jablka5[[#This Row],[sprzedaż]]/100</f>
        <v>0</v>
      </c>
    </row>
    <row r="2386" spans="1:9" x14ac:dyDescent="0.25">
      <c r="A2386" s="2">
        <v>44722</v>
      </c>
      <c r="B2386" s="1" t="s">
        <v>13</v>
      </c>
      <c r="C2386" s="1" t="s">
        <v>68</v>
      </c>
      <c r="D2386" s="1" t="s">
        <v>45</v>
      </c>
      <c r="E2386">
        <v>113</v>
      </c>
      <c r="F2386" s="1">
        <f>VLOOKUP(jablka5[[#This Row],[Nazwa]],cennik[],2,0) * jablka5[[#This Row],[sprzedaż]]</f>
        <v>361.6</v>
      </c>
      <c r="G2386" s="1">
        <f>IF(jablka5[[#This Row],[NIP]]=D2385,jablka5[[#This Row],[sprzedaż]]+G2385,jablka5[[#This Row],[sprzedaż]])</f>
        <v>6982</v>
      </c>
      <c r="H2386" s="1">
        <f>IF(jablka5[[#This Row],[dot sprz]]&lt;15000,0,IF(jablka5[[#This Row],[dot sprz]]&lt;20000,5,10))</f>
        <v>0</v>
      </c>
      <c r="I2386" s="1">
        <f>jablka5[[#This Row],[rabat]]*jablka5[[#This Row],[sprzedaż]]/100</f>
        <v>0</v>
      </c>
    </row>
    <row r="2387" spans="1:9" x14ac:dyDescent="0.25">
      <c r="A2387" s="2">
        <v>44727</v>
      </c>
      <c r="B2387" s="1" t="s">
        <v>13</v>
      </c>
      <c r="C2387" s="1" t="s">
        <v>68</v>
      </c>
      <c r="D2387" s="1" t="s">
        <v>45</v>
      </c>
      <c r="E2387">
        <v>206</v>
      </c>
      <c r="F2387" s="1">
        <f>VLOOKUP(jablka5[[#This Row],[Nazwa]],cennik[],2,0) * jablka5[[#This Row],[sprzedaż]]</f>
        <v>659.2</v>
      </c>
      <c r="G2387" s="1">
        <f>IF(jablka5[[#This Row],[NIP]]=D2386,jablka5[[#This Row],[sprzedaż]]+G2386,jablka5[[#This Row],[sprzedaż]])</f>
        <v>7188</v>
      </c>
      <c r="H2387" s="1">
        <f>IF(jablka5[[#This Row],[dot sprz]]&lt;15000,0,IF(jablka5[[#This Row],[dot sprz]]&lt;20000,5,10))</f>
        <v>0</v>
      </c>
      <c r="I2387" s="1">
        <f>jablka5[[#This Row],[rabat]]*jablka5[[#This Row],[sprzedaż]]/100</f>
        <v>0</v>
      </c>
    </row>
    <row r="2388" spans="1:9" x14ac:dyDescent="0.25">
      <c r="A2388" s="2">
        <v>44737</v>
      </c>
      <c r="B2388" s="1" t="s">
        <v>12</v>
      </c>
      <c r="C2388" s="1" t="s">
        <v>68</v>
      </c>
      <c r="D2388" s="1" t="s">
        <v>45</v>
      </c>
      <c r="E2388">
        <v>61</v>
      </c>
      <c r="F2388" s="1">
        <f>VLOOKUP(jablka5[[#This Row],[Nazwa]],cennik[],2,0) * jablka5[[#This Row],[sprzedaż]]</f>
        <v>164.70000000000002</v>
      </c>
      <c r="G2388" s="1">
        <f>IF(jablka5[[#This Row],[NIP]]=D2387,jablka5[[#This Row],[sprzedaż]]+G2387,jablka5[[#This Row],[sprzedaż]])</f>
        <v>7249</v>
      </c>
      <c r="H2388" s="1">
        <f>IF(jablka5[[#This Row],[dot sprz]]&lt;15000,0,IF(jablka5[[#This Row],[dot sprz]]&lt;20000,5,10))</f>
        <v>0</v>
      </c>
      <c r="I2388" s="1">
        <f>jablka5[[#This Row],[rabat]]*jablka5[[#This Row],[sprzedaż]]/100</f>
        <v>0</v>
      </c>
    </row>
    <row r="2389" spans="1:9" x14ac:dyDescent="0.25">
      <c r="A2389" s="2">
        <v>44744</v>
      </c>
      <c r="B2389" s="1" t="s">
        <v>12</v>
      </c>
      <c r="C2389" s="1" t="s">
        <v>68</v>
      </c>
      <c r="D2389" s="1" t="s">
        <v>45</v>
      </c>
      <c r="E2389">
        <v>392</v>
      </c>
      <c r="F2389" s="1">
        <f>VLOOKUP(jablka5[[#This Row],[Nazwa]],cennik[],2,0) * jablka5[[#This Row],[sprzedaż]]</f>
        <v>1058.4000000000001</v>
      </c>
      <c r="G2389" s="1">
        <f>IF(jablka5[[#This Row],[NIP]]=D2388,jablka5[[#This Row],[sprzedaż]]+G2388,jablka5[[#This Row],[sprzedaż]])</f>
        <v>7641</v>
      </c>
      <c r="H2389" s="1">
        <f>IF(jablka5[[#This Row],[dot sprz]]&lt;15000,0,IF(jablka5[[#This Row],[dot sprz]]&lt;20000,5,10))</f>
        <v>0</v>
      </c>
      <c r="I2389" s="1">
        <f>jablka5[[#This Row],[rabat]]*jablka5[[#This Row],[sprzedaż]]/100</f>
        <v>0</v>
      </c>
    </row>
    <row r="2390" spans="1:9" x14ac:dyDescent="0.25">
      <c r="A2390" s="2">
        <v>44760</v>
      </c>
      <c r="B2390" s="1" t="s">
        <v>12</v>
      </c>
      <c r="C2390" s="1" t="s">
        <v>68</v>
      </c>
      <c r="D2390" s="1" t="s">
        <v>45</v>
      </c>
      <c r="E2390">
        <v>230</v>
      </c>
      <c r="F2390" s="1">
        <f>VLOOKUP(jablka5[[#This Row],[Nazwa]],cennik[],2,0) * jablka5[[#This Row],[sprzedaż]]</f>
        <v>621</v>
      </c>
      <c r="G2390" s="1">
        <f>IF(jablka5[[#This Row],[NIP]]=D2389,jablka5[[#This Row],[sprzedaż]]+G2389,jablka5[[#This Row],[sprzedaż]])</f>
        <v>7871</v>
      </c>
      <c r="H2390" s="1">
        <f>IF(jablka5[[#This Row],[dot sprz]]&lt;15000,0,IF(jablka5[[#This Row],[dot sprz]]&lt;20000,5,10))</f>
        <v>0</v>
      </c>
      <c r="I2390" s="1">
        <f>jablka5[[#This Row],[rabat]]*jablka5[[#This Row],[sprzedaż]]/100</f>
        <v>0</v>
      </c>
    </row>
    <row r="2391" spans="1:9" x14ac:dyDescent="0.25">
      <c r="A2391" s="2">
        <v>44767</v>
      </c>
      <c r="B2391" s="1" t="s">
        <v>12</v>
      </c>
      <c r="C2391" s="1" t="s">
        <v>68</v>
      </c>
      <c r="D2391" s="1" t="s">
        <v>45</v>
      </c>
      <c r="E2391">
        <v>81</v>
      </c>
      <c r="F2391" s="1">
        <f>VLOOKUP(jablka5[[#This Row],[Nazwa]],cennik[],2,0) * jablka5[[#This Row],[sprzedaż]]</f>
        <v>218.70000000000002</v>
      </c>
      <c r="G2391" s="1">
        <f>IF(jablka5[[#This Row],[NIP]]=D2390,jablka5[[#This Row],[sprzedaż]]+G2390,jablka5[[#This Row],[sprzedaż]])</f>
        <v>7952</v>
      </c>
      <c r="H2391" s="1">
        <f>IF(jablka5[[#This Row],[dot sprz]]&lt;15000,0,IF(jablka5[[#This Row],[dot sprz]]&lt;20000,5,10))</f>
        <v>0</v>
      </c>
      <c r="I2391" s="1">
        <f>jablka5[[#This Row],[rabat]]*jablka5[[#This Row],[sprzedaż]]/100</f>
        <v>0</v>
      </c>
    </row>
    <row r="2392" spans="1:9" x14ac:dyDescent="0.25">
      <c r="A2392" s="2">
        <v>44772</v>
      </c>
      <c r="B2392" s="1" t="s">
        <v>14</v>
      </c>
      <c r="C2392" s="1" t="s">
        <v>67</v>
      </c>
      <c r="D2392" s="1" t="s">
        <v>45</v>
      </c>
      <c r="E2392">
        <v>66</v>
      </c>
      <c r="F2392" s="1">
        <f>VLOOKUP(jablka5[[#This Row],[Nazwa]],cennik[],2,0) * jablka5[[#This Row],[sprzedaż]]</f>
        <v>231</v>
      </c>
      <c r="G2392" s="1">
        <f>IF(jablka5[[#This Row],[NIP]]=D2391,jablka5[[#This Row],[sprzedaż]]+G2391,jablka5[[#This Row],[sprzedaż]])</f>
        <v>8018</v>
      </c>
      <c r="H2392" s="1">
        <f>IF(jablka5[[#This Row],[dot sprz]]&lt;15000,0,IF(jablka5[[#This Row],[dot sprz]]&lt;20000,5,10))</f>
        <v>0</v>
      </c>
      <c r="I2392" s="1">
        <f>jablka5[[#This Row],[rabat]]*jablka5[[#This Row],[sprzedaż]]/100</f>
        <v>0</v>
      </c>
    </row>
    <row r="2393" spans="1:9" x14ac:dyDescent="0.25">
      <c r="A2393" s="2">
        <v>44774</v>
      </c>
      <c r="B2393" s="1" t="s">
        <v>14</v>
      </c>
      <c r="C2393" s="1" t="s">
        <v>67</v>
      </c>
      <c r="D2393" s="1" t="s">
        <v>45</v>
      </c>
      <c r="E2393">
        <v>284</v>
      </c>
      <c r="F2393" s="1">
        <f>VLOOKUP(jablka5[[#This Row],[Nazwa]],cennik[],2,0) * jablka5[[#This Row],[sprzedaż]]</f>
        <v>994</v>
      </c>
      <c r="G2393" s="1">
        <f>IF(jablka5[[#This Row],[NIP]]=D2392,jablka5[[#This Row],[sprzedaż]]+G2392,jablka5[[#This Row],[sprzedaż]])</f>
        <v>8302</v>
      </c>
      <c r="H2393" s="1">
        <f>IF(jablka5[[#This Row],[dot sprz]]&lt;15000,0,IF(jablka5[[#This Row],[dot sprz]]&lt;20000,5,10))</f>
        <v>0</v>
      </c>
      <c r="I2393" s="1">
        <f>jablka5[[#This Row],[rabat]]*jablka5[[#This Row],[sprzedaż]]/100</f>
        <v>0</v>
      </c>
    </row>
    <row r="2394" spans="1:9" x14ac:dyDescent="0.25">
      <c r="A2394" s="2">
        <v>44784</v>
      </c>
      <c r="B2394" s="1" t="s">
        <v>13</v>
      </c>
      <c r="C2394" s="1" t="s">
        <v>68</v>
      </c>
      <c r="D2394" s="1" t="s">
        <v>45</v>
      </c>
      <c r="E2394">
        <v>271</v>
      </c>
      <c r="F2394" s="1">
        <f>VLOOKUP(jablka5[[#This Row],[Nazwa]],cennik[],2,0) * jablka5[[#This Row],[sprzedaż]]</f>
        <v>867.2</v>
      </c>
      <c r="G2394" s="1">
        <f>IF(jablka5[[#This Row],[NIP]]=D2393,jablka5[[#This Row],[sprzedaż]]+G2393,jablka5[[#This Row],[sprzedaż]])</f>
        <v>8573</v>
      </c>
      <c r="H2394" s="1">
        <f>IF(jablka5[[#This Row],[dot sprz]]&lt;15000,0,IF(jablka5[[#This Row],[dot sprz]]&lt;20000,5,10))</f>
        <v>0</v>
      </c>
      <c r="I2394" s="1">
        <f>jablka5[[#This Row],[rabat]]*jablka5[[#This Row],[sprzedaż]]/100</f>
        <v>0</v>
      </c>
    </row>
    <row r="2395" spans="1:9" x14ac:dyDescent="0.25">
      <c r="A2395" s="2">
        <v>44786</v>
      </c>
      <c r="B2395" s="1" t="s">
        <v>14</v>
      </c>
      <c r="C2395" s="1" t="s">
        <v>67</v>
      </c>
      <c r="D2395" s="1" t="s">
        <v>45</v>
      </c>
      <c r="E2395">
        <v>56</v>
      </c>
      <c r="F2395" s="1">
        <f>VLOOKUP(jablka5[[#This Row],[Nazwa]],cennik[],2,0) * jablka5[[#This Row],[sprzedaż]]</f>
        <v>196</v>
      </c>
      <c r="G2395" s="1">
        <f>IF(jablka5[[#This Row],[NIP]]=D2394,jablka5[[#This Row],[sprzedaż]]+G2394,jablka5[[#This Row],[sprzedaż]])</f>
        <v>8629</v>
      </c>
      <c r="H2395" s="1">
        <f>IF(jablka5[[#This Row],[dot sprz]]&lt;15000,0,IF(jablka5[[#This Row],[dot sprz]]&lt;20000,5,10))</f>
        <v>0</v>
      </c>
      <c r="I2395" s="1">
        <f>jablka5[[#This Row],[rabat]]*jablka5[[#This Row],[sprzedaż]]/100</f>
        <v>0</v>
      </c>
    </row>
    <row r="2396" spans="1:9" x14ac:dyDescent="0.25">
      <c r="A2396" s="2">
        <v>44807</v>
      </c>
      <c r="B2396" s="1" t="s">
        <v>14</v>
      </c>
      <c r="C2396" s="1" t="s">
        <v>67</v>
      </c>
      <c r="D2396" s="1" t="s">
        <v>45</v>
      </c>
      <c r="E2396">
        <v>99</v>
      </c>
      <c r="F2396" s="1">
        <f>VLOOKUP(jablka5[[#This Row],[Nazwa]],cennik[],2,0) * jablka5[[#This Row],[sprzedaż]]</f>
        <v>346.5</v>
      </c>
      <c r="G2396" s="1">
        <f>IF(jablka5[[#This Row],[NIP]]=D2395,jablka5[[#This Row],[sprzedaż]]+G2395,jablka5[[#This Row],[sprzedaż]])</f>
        <v>8728</v>
      </c>
      <c r="H2396" s="1">
        <f>IF(jablka5[[#This Row],[dot sprz]]&lt;15000,0,IF(jablka5[[#This Row],[dot sprz]]&lt;20000,5,10))</f>
        <v>0</v>
      </c>
      <c r="I2396" s="1">
        <f>jablka5[[#This Row],[rabat]]*jablka5[[#This Row],[sprzedaż]]/100</f>
        <v>0</v>
      </c>
    </row>
    <row r="2397" spans="1:9" x14ac:dyDescent="0.25">
      <c r="A2397" s="2">
        <v>44812</v>
      </c>
      <c r="B2397" s="1" t="s">
        <v>9</v>
      </c>
      <c r="C2397" s="1" t="s">
        <v>67</v>
      </c>
      <c r="D2397" s="1" t="s">
        <v>45</v>
      </c>
      <c r="E2397">
        <v>53</v>
      </c>
      <c r="F2397" s="1">
        <f>VLOOKUP(jablka5[[#This Row],[Nazwa]],cennik[],2,0) * jablka5[[#This Row],[sprzedaż]]</f>
        <v>132.5</v>
      </c>
      <c r="G2397" s="1">
        <f>IF(jablka5[[#This Row],[NIP]]=D2396,jablka5[[#This Row],[sprzedaż]]+G2396,jablka5[[#This Row],[sprzedaż]])</f>
        <v>8781</v>
      </c>
      <c r="H2397" s="1">
        <f>IF(jablka5[[#This Row],[dot sprz]]&lt;15000,0,IF(jablka5[[#This Row],[dot sprz]]&lt;20000,5,10))</f>
        <v>0</v>
      </c>
      <c r="I2397" s="1">
        <f>jablka5[[#This Row],[rabat]]*jablka5[[#This Row],[sprzedaż]]/100</f>
        <v>0</v>
      </c>
    </row>
    <row r="2398" spans="1:9" x14ac:dyDescent="0.25">
      <c r="A2398" s="2">
        <v>44819</v>
      </c>
      <c r="B2398" s="1" t="s">
        <v>9</v>
      </c>
      <c r="C2398" s="1" t="s">
        <v>67</v>
      </c>
      <c r="D2398" s="1" t="s">
        <v>45</v>
      </c>
      <c r="E2398">
        <v>260</v>
      </c>
      <c r="F2398" s="1">
        <f>VLOOKUP(jablka5[[#This Row],[Nazwa]],cennik[],2,0) * jablka5[[#This Row],[sprzedaż]]</f>
        <v>650</v>
      </c>
      <c r="G2398" s="1">
        <f>IF(jablka5[[#This Row],[NIP]]=D2397,jablka5[[#This Row],[sprzedaż]]+G2397,jablka5[[#This Row],[sprzedaż]])</f>
        <v>9041</v>
      </c>
      <c r="H2398" s="1">
        <f>IF(jablka5[[#This Row],[dot sprz]]&lt;15000,0,IF(jablka5[[#This Row],[dot sprz]]&lt;20000,5,10))</f>
        <v>0</v>
      </c>
      <c r="I2398" s="1">
        <f>jablka5[[#This Row],[rabat]]*jablka5[[#This Row],[sprzedaż]]/100</f>
        <v>0</v>
      </c>
    </row>
    <row r="2399" spans="1:9" x14ac:dyDescent="0.25">
      <c r="A2399" s="2">
        <v>44823</v>
      </c>
      <c r="B2399" s="1" t="s">
        <v>9</v>
      </c>
      <c r="C2399" s="1" t="s">
        <v>67</v>
      </c>
      <c r="D2399" s="1" t="s">
        <v>45</v>
      </c>
      <c r="E2399">
        <v>164</v>
      </c>
      <c r="F2399" s="1">
        <f>VLOOKUP(jablka5[[#This Row],[Nazwa]],cennik[],2,0) * jablka5[[#This Row],[sprzedaż]]</f>
        <v>410</v>
      </c>
      <c r="G2399" s="1">
        <f>IF(jablka5[[#This Row],[NIP]]=D2398,jablka5[[#This Row],[sprzedaż]]+G2398,jablka5[[#This Row],[sprzedaż]])</f>
        <v>9205</v>
      </c>
      <c r="H2399" s="1">
        <f>IF(jablka5[[#This Row],[dot sprz]]&lt;15000,0,IF(jablka5[[#This Row],[dot sprz]]&lt;20000,5,10))</f>
        <v>0</v>
      </c>
      <c r="I2399" s="1">
        <f>jablka5[[#This Row],[rabat]]*jablka5[[#This Row],[sprzedaż]]/100</f>
        <v>0</v>
      </c>
    </row>
    <row r="2400" spans="1:9" x14ac:dyDescent="0.25">
      <c r="A2400" s="2">
        <v>44824</v>
      </c>
      <c r="B2400" s="1" t="s">
        <v>11</v>
      </c>
      <c r="C2400" s="1" t="s">
        <v>67</v>
      </c>
      <c r="D2400" s="1" t="s">
        <v>45</v>
      </c>
      <c r="E2400">
        <v>498</v>
      </c>
      <c r="F2400" s="1">
        <f>VLOOKUP(jablka5[[#This Row],[Nazwa]],cennik[],2,0) * jablka5[[#This Row],[sprzedaż]]</f>
        <v>1245</v>
      </c>
      <c r="G2400" s="1">
        <f>IF(jablka5[[#This Row],[NIP]]=D2399,jablka5[[#This Row],[sprzedaż]]+G2399,jablka5[[#This Row],[sprzedaż]])</f>
        <v>9703</v>
      </c>
      <c r="H2400" s="1">
        <f>IF(jablka5[[#This Row],[dot sprz]]&lt;15000,0,IF(jablka5[[#This Row],[dot sprz]]&lt;20000,5,10))</f>
        <v>0</v>
      </c>
      <c r="I2400" s="1">
        <f>jablka5[[#This Row],[rabat]]*jablka5[[#This Row],[sprzedaż]]/100</f>
        <v>0</v>
      </c>
    </row>
    <row r="2401" spans="1:9" x14ac:dyDescent="0.25">
      <c r="A2401" s="2">
        <v>44825</v>
      </c>
      <c r="B2401" s="1" t="s">
        <v>1</v>
      </c>
      <c r="C2401" s="1" t="s">
        <v>67</v>
      </c>
      <c r="D2401" s="1" t="s">
        <v>45</v>
      </c>
      <c r="E2401">
        <v>307</v>
      </c>
      <c r="F2401" s="1">
        <f>VLOOKUP(jablka5[[#This Row],[Nazwa]],cennik[],2,0) * jablka5[[#This Row],[sprzedaż]]</f>
        <v>982.40000000000009</v>
      </c>
      <c r="G2401" s="1">
        <f>IF(jablka5[[#This Row],[NIP]]=D2400,jablka5[[#This Row],[sprzedaż]]+G2400,jablka5[[#This Row],[sprzedaż]])</f>
        <v>10010</v>
      </c>
      <c r="H2401" s="1">
        <f>IF(jablka5[[#This Row],[dot sprz]]&lt;15000,0,IF(jablka5[[#This Row],[dot sprz]]&lt;20000,5,10))</f>
        <v>0</v>
      </c>
      <c r="I2401" s="1">
        <f>jablka5[[#This Row],[rabat]]*jablka5[[#This Row],[sprzedaż]]/100</f>
        <v>0</v>
      </c>
    </row>
    <row r="2402" spans="1:9" x14ac:dyDescent="0.25">
      <c r="A2402" s="2">
        <v>44853</v>
      </c>
      <c r="B2402" s="1" t="s">
        <v>14</v>
      </c>
      <c r="C2402" s="1" t="s">
        <v>67</v>
      </c>
      <c r="D2402" s="1" t="s">
        <v>45</v>
      </c>
      <c r="E2402">
        <v>490</v>
      </c>
      <c r="F2402" s="1">
        <f>VLOOKUP(jablka5[[#This Row],[Nazwa]],cennik[],2,0) * jablka5[[#This Row],[sprzedaż]]</f>
        <v>1715</v>
      </c>
      <c r="G2402" s="1">
        <f>IF(jablka5[[#This Row],[NIP]]=D2401,jablka5[[#This Row],[sprzedaż]]+G2401,jablka5[[#This Row],[sprzedaż]])</f>
        <v>10500</v>
      </c>
      <c r="H2402" s="1">
        <f>IF(jablka5[[#This Row],[dot sprz]]&lt;15000,0,IF(jablka5[[#This Row],[dot sprz]]&lt;20000,5,10))</f>
        <v>0</v>
      </c>
      <c r="I2402" s="1">
        <f>jablka5[[#This Row],[rabat]]*jablka5[[#This Row],[sprzedaż]]/100</f>
        <v>0</v>
      </c>
    </row>
    <row r="2403" spans="1:9" x14ac:dyDescent="0.25">
      <c r="A2403" s="2">
        <v>44859</v>
      </c>
      <c r="B2403" s="1" t="s">
        <v>14</v>
      </c>
      <c r="C2403" s="1" t="s">
        <v>67</v>
      </c>
      <c r="D2403" s="1" t="s">
        <v>45</v>
      </c>
      <c r="E2403">
        <v>339</v>
      </c>
      <c r="F2403" s="1">
        <f>VLOOKUP(jablka5[[#This Row],[Nazwa]],cennik[],2,0) * jablka5[[#This Row],[sprzedaż]]</f>
        <v>1186.5</v>
      </c>
      <c r="G2403" s="1">
        <f>IF(jablka5[[#This Row],[NIP]]=D2402,jablka5[[#This Row],[sprzedaż]]+G2402,jablka5[[#This Row],[sprzedaż]])</f>
        <v>10839</v>
      </c>
      <c r="H2403" s="1">
        <f>IF(jablka5[[#This Row],[dot sprz]]&lt;15000,0,IF(jablka5[[#This Row],[dot sprz]]&lt;20000,5,10))</f>
        <v>0</v>
      </c>
      <c r="I2403" s="1">
        <f>jablka5[[#This Row],[rabat]]*jablka5[[#This Row],[sprzedaż]]/100</f>
        <v>0</v>
      </c>
    </row>
    <row r="2404" spans="1:9" x14ac:dyDescent="0.25">
      <c r="A2404" s="2">
        <v>44861</v>
      </c>
      <c r="B2404" s="1" t="s">
        <v>14</v>
      </c>
      <c r="C2404" s="1" t="s">
        <v>67</v>
      </c>
      <c r="D2404" s="1" t="s">
        <v>45</v>
      </c>
      <c r="E2404">
        <v>251</v>
      </c>
      <c r="F2404" s="1">
        <f>VLOOKUP(jablka5[[#This Row],[Nazwa]],cennik[],2,0) * jablka5[[#This Row],[sprzedaż]]</f>
        <v>878.5</v>
      </c>
      <c r="G2404" s="1">
        <f>IF(jablka5[[#This Row],[NIP]]=D2403,jablka5[[#This Row],[sprzedaż]]+G2403,jablka5[[#This Row],[sprzedaż]])</f>
        <v>11090</v>
      </c>
      <c r="H2404" s="1">
        <f>IF(jablka5[[#This Row],[dot sprz]]&lt;15000,0,IF(jablka5[[#This Row],[dot sprz]]&lt;20000,5,10))</f>
        <v>0</v>
      </c>
      <c r="I2404" s="1">
        <f>jablka5[[#This Row],[rabat]]*jablka5[[#This Row],[sprzedaż]]/100</f>
        <v>0</v>
      </c>
    </row>
    <row r="2405" spans="1:9" x14ac:dyDescent="0.25">
      <c r="A2405" s="2">
        <v>44872</v>
      </c>
      <c r="B2405" s="1" t="s">
        <v>1</v>
      </c>
      <c r="C2405" s="1" t="s">
        <v>67</v>
      </c>
      <c r="D2405" s="1" t="s">
        <v>45</v>
      </c>
      <c r="E2405">
        <v>23</v>
      </c>
      <c r="F2405" s="1">
        <f>VLOOKUP(jablka5[[#This Row],[Nazwa]],cennik[],2,0) * jablka5[[#This Row],[sprzedaż]]</f>
        <v>73.600000000000009</v>
      </c>
      <c r="G2405" s="1">
        <f>IF(jablka5[[#This Row],[NIP]]=D2404,jablka5[[#This Row],[sprzedaż]]+G2404,jablka5[[#This Row],[sprzedaż]])</f>
        <v>11113</v>
      </c>
      <c r="H2405" s="1">
        <f>IF(jablka5[[#This Row],[dot sprz]]&lt;15000,0,IF(jablka5[[#This Row],[dot sprz]]&lt;20000,5,10))</f>
        <v>0</v>
      </c>
      <c r="I2405" s="1">
        <f>jablka5[[#This Row],[rabat]]*jablka5[[#This Row],[sprzedaż]]/100</f>
        <v>0</v>
      </c>
    </row>
    <row r="2406" spans="1:9" x14ac:dyDescent="0.25">
      <c r="A2406" s="2">
        <v>44882</v>
      </c>
      <c r="B2406" s="1" t="s">
        <v>9</v>
      </c>
      <c r="C2406" s="1" t="s">
        <v>67</v>
      </c>
      <c r="D2406" s="1" t="s">
        <v>45</v>
      </c>
      <c r="E2406">
        <v>244</v>
      </c>
      <c r="F2406" s="1">
        <f>VLOOKUP(jablka5[[#This Row],[Nazwa]],cennik[],2,0) * jablka5[[#This Row],[sprzedaż]]</f>
        <v>610</v>
      </c>
      <c r="G2406" s="1">
        <f>IF(jablka5[[#This Row],[NIP]]=D2405,jablka5[[#This Row],[sprzedaż]]+G2405,jablka5[[#This Row],[sprzedaż]])</f>
        <v>11357</v>
      </c>
      <c r="H2406" s="1">
        <f>IF(jablka5[[#This Row],[dot sprz]]&lt;15000,0,IF(jablka5[[#This Row],[dot sprz]]&lt;20000,5,10))</f>
        <v>0</v>
      </c>
      <c r="I2406" s="1">
        <f>jablka5[[#This Row],[rabat]]*jablka5[[#This Row],[sprzedaż]]/100</f>
        <v>0</v>
      </c>
    </row>
    <row r="2407" spans="1:9" x14ac:dyDescent="0.25">
      <c r="A2407" s="2">
        <v>44888</v>
      </c>
      <c r="B2407" s="1" t="s">
        <v>11</v>
      </c>
      <c r="C2407" s="1" t="s">
        <v>67</v>
      </c>
      <c r="D2407" s="1" t="s">
        <v>45</v>
      </c>
      <c r="E2407">
        <v>454</v>
      </c>
      <c r="F2407" s="1">
        <f>VLOOKUP(jablka5[[#This Row],[Nazwa]],cennik[],2,0) * jablka5[[#This Row],[sprzedaż]]</f>
        <v>1135</v>
      </c>
      <c r="G2407" s="1">
        <f>IF(jablka5[[#This Row],[NIP]]=D2406,jablka5[[#This Row],[sprzedaż]]+G2406,jablka5[[#This Row],[sprzedaż]])</f>
        <v>11811</v>
      </c>
      <c r="H2407" s="1">
        <f>IF(jablka5[[#This Row],[dot sprz]]&lt;15000,0,IF(jablka5[[#This Row],[dot sprz]]&lt;20000,5,10))</f>
        <v>0</v>
      </c>
      <c r="I2407" s="1">
        <f>jablka5[[#This Row],[rabat]]*jablka5[[#This Row],[sprzedaż]]/100</f>
        <v>0</v>
      </c>
    </row>
    <row r="2408" spans="1:9" x14ac:dyDescent="0.25">
      <c r="A2408" s="2">
        <v>44918</v>
      </c>
      <c r="B2408" s="1" t="s">
        <v>5</v>
      </c>
      <c r="C2408" s="1" t="s">
        <v>16</v>
      </c>
      <c r="D2408" s="1" t="s">
        <v>45</v>
      </c>
      <c r="E2408">
        <v>287</v>
      </c>
      <c r="F2408" s="1">
        <f>VLOOKUP(jablka5[[#This Row],[Nazwa]],cennik[],2,0) * jablka5[[#This Row],[sprzedaż]]</f>
        <v>975.8</v>
      </c>
      <c r="G2408" s="1">
        <f>IF(jablka5[[#This Row],[NIP]]=D2407,jablka5[[#This Row],[sprzedaż]]+G2407,jablka5[[#This Row],[sprzedaż]])</f>
        <v>12098</v>
      </c>
      <c r="H2408" s="1">
        <f>IF(jablka5[[#This Row],[dot sprz]]&lt;15000,0,IF(jablka5[[#This Row],[dot sprz]]&lt;20000,5,10))</f>
        <v>0</v>
      </c>
      <c r="I2408" s="1">
        <f>jablka5[[#This Row],[rabat]]*jablka5[[#This Row],[sprzedaż]]/100</f>
        <v>0</v>
      </c>
    </row>
    <row r="2409" spans="1:9" x14ac:dyDescent="0.25">
      <c r="A2409" s="2">
        <v>44918</v>
      </c>
      <c r="B2409" s="1" t="s">
        <v>15</v>
      </c>
      <c r="C2409" s="1" t="s">
        <v>16</v>
      </c>
      <c r="D2409" s="1" t="s">
        <v>45</v>
      </c>
      <c r="E2409">
        <v>298</v>
      </c>
      <c r="F2409" s="1">
        <f>VLOOKUP(jablka5[[#This Row],[Nazwa]],cennik[],2,0) * jablka5[[#This Row],[sprzedaż]]</f>
        <v>715.19999999999993</v>
      </c>
      <c r="G2409" s="1">
        <f>IF(jablka5[[#This Row],[NIP]]=D2408,jablka5[[#This Row],[sprzedaż]]+G2408,jablka5[[#This Row],[sprzedaż]])</f>
        <v>12396</v>
      </c>
      <c r="H2409" s="1">
        <f>IF(jablka5[[#This Row],[dot sprz]]&lt;15000,0,IF(jablka5[[#This Row],[dot sprz]]&lt;20000,5,10))</f>
        <v>0</v>
      </c>
      <c r="I2409" s="1">
        <f>jablka5[[#This Row],[rabat]]*jablka5[[#This Row],[sprzedaż]]/100</f>
        <v>0</v>
      </c>
    </row>
    <row r="2410" spans="1:9" x14ac:dyDescent="0.25">
      <c r="A2410" s="2">
        <v>44922</v>
      </c>
      <c r="B2410" s="1" t="s">
        <v>2</v>
      </c>
      <c r="C2410" s="1" t="s">
        <v>16</v>
      </c>
      <c r="D2410" s="1" t="s">
        <v>45</v>
      </c>
      <c r="E2410">
        <v>496</v>
      </c>
      <c r="F2410" s="1">
        <f>VLOOKUP(jablka5[[#This Row],[Nazwa]],cennik[],2,0) * jablka5[[#This Row],[sprzedaż]]</f>
        <v>1587.2</v>
      </c>
      <c r="G2410" s="1">
        <f>IF(jablka5[[#This Row],[NIP]]=D2409,jablka5[[#This Row],[sprzedaż]]+G2409,jablka5[[#This Row],[sprzedaż]])</f>
        <v>12892</v>
      </c>
      <c r="H2410" s="1">
        <f>IF(jablka5[[#This Row],[dot sprz]]&lt;15000,0,IF(jablka5[[#This Row],[dot sprz]]&lt;20000,5,10))</f>
        <v>0</v>
      </c>
      <c r="I2410" s="1">
        <f>jablka5[[#This Row],[rabat]]*jablka5[[#This Row],[sprzedaż]]/100</f>
        <v>0</v>
      </c>
    </row>
    <row r="2411" spans="1:9" x14ac:dyDescent="0.25">
      <c r="A2411" s="2">
        <v>44922</v>
      </c>
      <c r="B2411" s="1" t="s">
        <v>2</v>
      </c>
      <c r="C2411" s="1" t="s">
        <v>16</v>
      </c>
      <c r="D2411" s="1" t="s">
        <v>45</v>
      </c>
      <c r="E2411">
        <v>287</v>
      </c>
      <c r="F2411" s="1">
        <f>VLOOKUP(jablka5[[#This Row],[Nazwa]],cennik[],2,0) * jablka5[[#This Row],[sprzedaż]]</f>
        <v>918.40000000000009</v>
      </c>
      <c r="G2411" s="1">
        <f>IF(jablka5[[#This Row],[NIP]]=D2410,jablka5[[#This Row],[sprzedaż]]+G2410,jablka5[[#This Row],[sprzedaż]])</f>
        <v>13179</v>
      </c>
      <c r="H2411" s="1">
        <f>IF(jablka5[[#This Row],[dot sprz]]&lt;15000,0,IF(jablka5[[#This Row],[dot sprz]]&lt;20000,5,10))</f>
        <v>0</v>
      </c>
      <c r="I2411" s="1">
        <f>jablka5[[#This Row],[rabat]]*jablka5[[#This Row],[sprzedaż]]/100</f>
        <v>0</v>
      </c>
    </row>
    <row r="2412" spans="1:9" x14ac:dyDescent="0.25">
      <c r="A2412" s="2">
        <v>44564</v>
      </c>
      <c r="B2412" s="1" t="s">
        <v>7</v>
      </c>
      <c r="C2412" s="1" t="s">
        <v>16</v>
      </c>
      <c r="D2412" s="1" t="s">
        <v>18</v>
      </c>
      <c r="E2412">
        <v>410</v>
      </c>
      <c r="F2412" s="1">
        <f>VLOOKUP(jablka5[[#This Row],[Nazwa]],cennik[],2,0) * jablka5[[#This Row],[sprzedaż]]</f>
        <v>1394</v>
      </c>
      <c r="G2412" s="1">
        <f>IF(jablka5[[#This Row],[NIP]]=D2411,jablka5[[#This Row],[sprzedaż]]+G2411,jablka5[[#This Row],[sprzedaż]])</f>
        <v>410</v>
      </c>
      <c r="H2412" s="1">
        <f>IF(jablka5[[#This Row],[dot sprz]]&lt;15000,0,IF(jablka5[[#This Row],[dot sprz]]&lt;20000,5,10))</f>
        <v>0</v>
      </c>
      <c r="I2412" s="1">
        <f>jablka5[[#This Row],[rabat]]*jablka5[[#This Row],[sprzedaż]]/100</f>
        <v>0</v>
      </c>
    </row>
    <row r="2413" spans="1:9" x14ac:dyDescent="0.25">
      <c r="A2413" s="2">
        <v>44564</v>
      </c>
      <c r="B2413" s="1" t="s">
        <v>4</v>
      </c>
      <c r="C2413" s="1" t="s">
        <v>16</v>
      </c>
      <c r="D2413" s="1" t="s">
        <v>18</v>
      </c>
      <c r="E2413">
        <v>720</v>
      </c>
      <c r="F2413" s="1">
        <f>VLOOKUP(jablka5[[#This Row],[Nazwa]],cennik[],2,0) * jablka5[[#This Row],[sprzedaż]]</f>
        <v>2448</v>
      </c>
      <c r="G2413" s="1">
        <f>IF(jablka5[[#This Row],[NIP]]=D2412,jablka5[[#This Row],[sprzedaż]]+G2412,jablka5[[#This Row],[sprzedaż]])</f>
        <v>1130</v>
      </c>
      <c r="H2413" s="1">
        <f>IF(jablka5[[#This Row],[dot sprz]]&lt;15000,0,IF(jablka5[[#This Row],[dot sprz]]&lt;20000,5,10))</f>
        <v>0</v>
      </c>
      <c r="I2413" s="1">
        <f>jablka5[[#This Row],[rabat]]*jablka5[[#This Row],[sprzedaż]]/100</f>
        <v>0</v>
      </c>
    </row>
    <row r="2414" spans="1:9" x14ac:dyDescent="0.25">
      <c r="A2414" s="2">
        <v>44575</v>
      </c>
      <c r="B2414" s="1" t="s">
        <v>4</v>
      </c>
      <c r="C2414" s="1" t="s">
        <v>16</v>
      </c>
      <c r="D2414" s="1" t="s">
        <v>18</v>
      </c>
      <c r="E2414">
        <v>536</v>
      </c>
      <c r="F2414" s="1">
        <f>VLOOKUP(jablka5[[#This Row],[Nazwa]],cennik[],2,0) * jablka5[[#This Row],[sprzedaż]]</f>
        <v>1822.3999999999999</v>
      </c>
      <c r="G2414" s="1">
        <f>IF(jablka5[[#This Row],[NIP]]=D2413,jablka5[[#This Row],[sprzedaż]]+G2413,jablka5[[#This Row],[sprzedaż]])</f>
        <v>1666</v>
      </c>
      <c r="H2414" s="1">
        <f>IF(jablka5[[#This Row],[dot sprz]]&lt;15000,0,IF(jablka5[[#This Row],[dot sprz]]&lt;20000,5,10))</f>
        <v>0</v>
      </c>
      <c r="I2414" s="1">
        <f>jablka5[[#This Row],[rabat]]*jablka5[[#This Row],[sprzedaż]]/100</f>
        <v>0</v>
      </c>
    </row>
    <row r="2415" spans="1:9" x14ac:dyDescent="0.25">
      <c r="A2415" s="2">
        <v>44579</v>
      </c>
      <c r="B2415" s="1" t="s">
        <v>4</v>
      </c>
      <c r="C2415" s="1" t="s">
        <v>16</v>
      </c>
      <c r="D2415" s="1" t="s">
        <v>18</v>
      </c>
      <c r="E2415">
        <v>577</v>
      </c>
      <c r="F2415" s="1">
        <f>VLOOKUP(jablka5[[#This Row],[Nazwa]],cennik[],2,0) * jablka5[[#This Row],[sprzedaż]]</f>
        <v>1961.8</v>
      </c>
      <c r="G2415" s="1">
        <f>IF(jablka5[[#This Row],[NIP]]=D2414,jablka5[[#This Row],[sprzedaż]]+G2414,jablka5[[#This Row],[sprzedaż]])</f>
        <v>2243</v>
      </c>
      <c r="H2415" s="1">
        <f>IF(jablka5[[#This Row],[dot sprz]]&lt;15000,0,IF(jablka5[[#This Row],[dot sprz]]&lt;20000,5,10))</f>
        <v>0</v>
      </c>
      <c r="I2415" s="1">
        <f>jablka5[[#This Row],[rabat]]*jablka5[[#This Row],[sprzedaż]]/100</f>
        <v>0</v>
      </c>
    </row>
    <row r="2416" spans="1:9" x14ac:dyDescent="0.25">
      <c r="A2416" s="2">
        <v>44583</v>
      </c>
      <c r="B2416" s="1" t="s">
        <v>5</v>
      </c>
      <c r="C2416" s="1" t="s">
        <v>16</v>
      </c>
      <c r="D2416" s="1" t="s">
        <v>18</v>
      </c>
      <c r="E2416">
        <v>59</v>
      </c>
      <c r="F2416" s="1">
        <f>VLOOKUP(jablka5[[#This Row],[Nazwa]],cennik[],2,0) * jablka5[[#This Row],[sprzedaż]]</f>
        <v>200.6</v>
      </c>
      <c r="G2416" s="1">
        <f>IF(jablka5[[#This Row],[NIP]]=D2415,jablka5[[#This Row],[sprzedaż]]+G2415,jablka5[[#This Row],[sprzedaż]])</f>
        <v>2302</v>
      </c>
      <c r="H2416" s="1">
        <f>IF(jablka5[[#This Row],[dot sprz]]&lt;15000,0,IF(jablka5[[#This Row],[dot sprz]]&lt;20000,5,10))</f>
        <v>0</v>
      </c>
      <c r="I2416" s="1">
        <f>jablka5[[#This Row],[rabat]]*jablka5[[#This Row],[sprzedaż]]/100</f>
        <v>0</v>
      </c>
    </row>
    <row r="2417" spans="1:9" x14ac:dyDescent="0.25">
      <c r="A2417" s="2">
        <v>44587</v>
      </c>
      <c r="B2417" s="1" t="s">
        <v>7</v>
      </c>
      <c r="C2417" s="1" t="s">
        <v>16</v>
      </c>
      <c r="D2417" s="1" t="s">
        <v>18</v>
      </c>
      <c r="E2417">
        <v>460</v>
      </c>
      <c r="F2417" s="1">
        <f>VLOOKUP(jablka5[[#This Row],[Nazwa]],cennik[],2,0) * jablka5[[#This Row],[sprzedaż]]</f>
        <v>1564</v>
      </c>
      <c r="G2417" s="1">
        <f>IF(jablka5[[#This Row],[NIP]]=D2416,jablka5[[#This Row],[sprzedaż]]+G2416,jablka5[[#This Row],[sprzedaż]])</f>
        <v>2762</v>
      </c>
      <c r="H2417" s="1">
        <f>IF(jablka5[[#This Row],[dot sprz]]&lt;15000,0,IF(jablka5[[#This Row],[dot sprz]]&lt;20000,5,10))</f>
        <v>0</v>
      </c>
      <c r="I2417" s="1">
        <f>jablka5[[#This Row],[rabat]]*jablka5[[#This Row],[sprzedaż]]/100</f>
        <v>0</v>
      </c>
    </row>
    <row r="2418" spans="1:9" x14ac:dyDescent="0.25">
      <c r="A2418" s="2">
        <v>44596</v>
      </c>
      <c r="B2418" s="1" t="s">
        <v>8</v>
      </c>
      <c r="C2418" s="1" t="s">
        <v>16</v>
      </c>
      <c r="D2418" s="1" t="s">
        <v>18</v>
      </c>
      <c r="E2418">
        <v>433</v>
      </c>
      <c r="F2418" s="1">
        <f>VLOOKUP(jablka5[[#This Row],[Nazwa]],cennik[],2,0) * jablka5[[#This Row],[sprzedaż]]</f>
        <v>1515.5</v>
      </c>
      <c r="G2418" s="1">
        <f>IF(jablka5[[#This Row],[NIP]]=D2417,jablka5[[#This Row],[sprzedaż]]+G2417,jablka5[[#This Row],[sprzedaż]])</f>
        <v>3195</v>
      </c>
      <c r="H2418" s="1">
        <f>IF(jablka5[[#This Row],[dot sprz]]&lt;15000,0,IF(jablka5[[#This Row],[dot sprz]]&lt;20000,5,10))</f>
        <v>0</v>
      </c>
      <c r="I2418" s="1">
        <f>jablka5[[#This Row],[rabat]]*jablka5[[#This Row],[sprzedaż]]/100</f>
        <v>0</v>
      </c>
    </row>
    <row r="2419" spans="1:9" x14ac:dyDescent="0.25">
      <c r="A2419" s="2">
        <v>44599</v>
      </c>
      <c r="B2419" s="1" t="s">
        <v>6</v>
      </c>
      <c r="C2419" s="1" t="s">
        <v>16</v>
      </c>
      <c r="D2419" s="1" t="s">
        <v>18</v>
      </c>
      <c r="E2419">
        <v>476</v>
      </c>
      <c r="F2419" s="1">
        <f>VLOOKUP(jablka5[[#This Row],[Nazwa]],cennik[],2,0) * jablka5[[#This Row],[sprzedaż]]</f>
        <v>1618.3999999999999</v>
      </c>
      <c r="G2419" s="1">
        <f>IF(jablka5[[#This Row],[NIP]]=D2418,jablka5[[#This Row],[sprzedaż]]+G2418,jablka5[[#This Row],[sprzedaż]])</f>
        <v>3671</v>
      </c>
      <c r="H2419" s="1">
        <f>IF(jablka5[[#This Row],[dot sprz]]&lt;15000,0,IF(jablka5[[#This Row],[dot sprz]]&lt;20000,5,10))</f>
        <v>0</v>
      </c>
      <c r="I2419" s="1">
        <f>jablka5[[#This Row],[rabat]]*jablka5[[#This Row],[sprzedaż]]/100</f>
        <v>0</v>
      </c>
    </row>
    <row r="2420" spans="1:9" x14ac:dyDescent="0.25">
      <c r="A2420" s="2">
        <v>44622</v>
      </c>
      <c r="B2420" s="1" t="s">
        <v>15</v>
      </c>
      <c r="C2420" s="1" t="s">
        <v>16</v>
      </c>
      <c r="D2420" s="1" t="s">
        <v>18</v>
      </c>
      <c r="E2420">
        <v>238</v>
      </c>
      <c r="F2420" s="1">
        <f>VLOOKUP(jablka5[[#This Row],[Nazwa]],cennik[],2,0) * jablka5[[#This Row],[sprzedaż]]</f>
        <v>571.19999999999993</v>
      </c>
      <c r="G2420" s="1">
        <f>IF(jablka5[[#This Row],[NIP]]=D2419,jablka5[[#This Row],[sprzedaż]]+G2419,jablka5[[#This Row],[sprzedaż]])</f>
        <v>3909</v>
      </c>
      <c r="H2420" s="1">
        <f>IF(jablka5[[#This Row],[dot sprz]]&lt;15000,0,IF(jablka5[[#This Row],[dot sprz]]&lt;20000,5,10))</f>
        <v>0</v>
      </c>
      <c r="I2420" s="1">
        <f>jablka5[[#This Row],[rabat]]*jablka5[[#This Row],[sprzedaż]]/100</f>
        <v>0</v>
      </c>
    </row>
    <row r="2421" spans="1:9" x14ac:dyDescent="0.25">
      <c r="A2421" s="2">
        <v>44622</v>
      </c>
      <c r="B2421" s="1" t="s">
        <v>5</v>
      </c>
      <c r="C2421" s="1" t="s">
        <v>16</v>
      </c>
      <c r="D2421" s="1" t="s">
        <v>18</v>
      </c>
      <c r="E2421">
        <v>478</v>
      </c>
      <c r="F2421" s="1">
        <f>VLOOKUP(jablka5[[#This Row],[Nazwa]],cennik[],2,0) * jablka5[[#This Row],[sprzedaż]]</f>
        <v>1625.2</v>
      </c>
      <c r="G2421" s="1">
        <f>IF(jablka5[[#This Row],[NIP]]=D2420,jablka5[[#This Row],[sprzedaż]]+G2420,jablka5[[#This Row],[sprzedaż]])</f>
        <v>4387</v>
      </c>
      <c r="H2421" s="1">
        <f>IF(jablka5[[#This Row],[dot sprz]]&lt;15000,0,IF(jablka5[[#This Row],[dot sprz]]&lt;20000,5,10))</f>
        <v>0</v>
      </c>
      <c r="I2421" s="1">
        <f>jablka5[[#This Row],[rabat]]*jablka5[[#This Row],[sprzedaż]]/100</f>
        <v>0</v>
      </c>
    </row>
    <row r="2422" spans="1:9" x14ac:dyDescent="0.25">
      <c r="A2422" s="2">
        <v>44637</v>
      </c>
      <c r="B2422" s="1" t="s">
        <v>0</v>
      </c>
      <c r="C2422" s="1" t="s">
        <v>16</v>
      </c>
      <c r="D2422" s="1" t="s">
        <v>18</v>
      </c>
      <c r="E2422">
        <v>138</v>
      </c>
      <c r="F2422" s="1">
        <f>VLOOKUP(jablka5[[#This Row],[Nazwa]],cennik[],2,0) * jablka5[[#This Row],[sprzedaż]]</f>
        <v>400.2</v>
      </c>
      <c r="G2422" s="1">
        <f>IF(jablka5[[#This Row],[NIP]]=D2421,jablka5[[#This Row],[sprzedaż]]+G2421,jablka5[[#This Row],[sprzedaż]])</f>
        <v>4525</v>
      </c>
      <c r="H2422" s="1">
        <f>IF(jablka5[[#This Row],[dot sprz]]&lt;15000,0,IF(jablka5[[#This Row],[dot sprz]]&lt;20000,5,10))</f>
        <v>0</v>
      </c>
      <c r="I2422" s="1">
        <f>jablka5[[#This Row],[rabat]]*jablka5[[#This Row],[sprzedaż]]/100</f>
        <v>0</v>
      </c>
    </row>
    <row r="2423" spans="1:9" x14ac:dyDescent="0.25">
      <c r="A2423" s="2">
        <v>44652</v>
      </c>
      <c r="B2423" s="1" t="s">
        <v>7</v>
      </c>
      <c r="C2423" s="1" t="s">
        <v>16</v>
      </c>
      <c r="D2423" s="1" t="s">
        <v>18</v>
      </c>
      <c r="E2423">
        <v>284</v>
      </c>
      <c r="F2423" s="1">
        <f>VLOOKUP(jablka5[[#This Row],[Nazwa]],cennik[],2,0) * jablka5[[#This Row],[sprzedaż]]</f>
        <v>965.6</v>
      </c>
      <c r="G2423" s="1">
        <f>IF(jablka5[[#This Row],[NIP]]=D2422,jablka5[[#This Row],[sprzedaż]]+G2422,jablka5[[#This Row],[sprzedaż]])</f>
        <v>4809</v>
      </c>
      <c r="H2423" s="1">
        <f>IF(jablka5[[#This Row],[dot sprz]]&lt;15000,0,IF(jablka5[[#This Row],[dot sprz]]&lt;20000,5,10))</f>
        <v>0</v>
      </c>
      <c r="I2423" s="1">
        <f>jablka5[[#This Row],[rabat]]*jablka5[[#This Row],[sprzedaż]]/100</f>
        <v>0</v>
      </c>
    </row>
    <row r="2424" spans="1:9" x14ac:dyDescent="0.25">
      <c r="A2424" s="2">
        <v>44655</v>
      </c>
      <c r="B2424" s="1" t="s">
        <v>7</v>
      </c>
      <c r="C2424" s="1" t="s">
        <v>16</v>
      </c>
      <c r="D2424" s="1" t="s">
        <v>18</v>
      </c>
      <c r="E2424">
        <v>534</v>
      </c>
      <c r="F2424" s="1">
        <f>VLOOKUP(jablka5[[#This Row],[Nazwa]],cennik[],2,0) * jablka5[[#This Row],[sprzedaż]]</f>
        <v>1815.6</v>
      </c>
      <c r="G2424" s="1">
        <f>IF(jablka5[[#This Row],[NIP]]=D2423,jablka5[[#This Row],[sprzedaż]]+G2423,jablka5[[#This Row],[sprzedaż]])</f>
        <v>5343</v>
      </c>
      <c r="H2424" s="1">
        <f>IF(jablka5[[#This Row],[dot sprz]]&lt;15000,0,IF(jablka5[[#This Row],[dot sprz]]&lt;20000,5,10))</f>
        <v>0</v>
      </c>
      <c r="I2424" s="1">
        <f>jablka5[[#This Row],[rabat]]*jablka5[[#This Row],[sprzedaż]]/100</f>
        <v>0</v>
      </c>
    </row>
    <row r="2425" spans="1:9" x14ac:dyDescent="0.25">
      <c r="A2425" s="2">
        <v>44669</v>
      </c>
      <c r="B2425" s="1" t="s">
        <v>4</v>
      </c>
      <c r="C2425" s="1" t="s">
        <v>16</v>
      </c>
      <c r="D2425" s="1" t="s">
        <v>18</v>
      </c>
      <c r="E2425">
        <v>616</v>
      </c>
      <c r="F2425" s="1">
        <f>VLOOKUP(jablka5[[#This Row],[Nazwa]],cennik[],2,0) * jablka5[[#This Row],[sprzedaż]]</f>
        <v>2094.4</v>
      </c>
      <c r="G2425" s="1">
        <f>IF(jablka5[[#This Row],[NIP]]=D2424,jablka5[[#This Row],[sprzedaż]]+G2424,jablka5[[#This Row],[sprzedaż]])</f>
        <v>5959</v>
      </c>
      <c r="H2425" s="1">
        <f>IF(jablka5[[#This Row],[dot sprz]]&lt;15000,0,IF(jablka5[[#This Row],[dot sprz]]&lt;20000,5,10))</f>
        <v>0</v>
      </c>
      <c r="I2425" s="1">
        <f>jablka5[[#This Row],[rabat]]*jablka5[[#This Row],[sprzedaż]]/100</f>
        <v>0</v>
      </c>
    </row>
    <row r="2426" spans="1:9" x14ac:dyDescent="0.25">
      <c r="A2426" s="2">
        <v>44679</v>
      </c>
      <c r="B2426" s="1" t="s">
        <v>5</v>
      </c>
      <c r="C2426" s="1" t="s">
        <v>16</v>
      </c>
      <c r="D2426" s="1" t="s">
        <v>18</v>
      </c>
      <c r="E2426">
        <v>101</v>
      </c>
      <c r="F2426" s="1">
        <f>VLOOKUP(jablka5[[#This Row],[Nazwa]],cennik[],2,0) * jablka5[[#This Row],[sprzedaż]]</f>
        <v>343.4</v>
      </c>
      <c r="G2426" s="1">
        <f>IF(jablka5[[#This Row],[NIP]]=D2425,jablka5[[#This Row],[sprzedaż]]+G2425,jablka5[[#This Row],[sprzedaż]])</f>
        <v>6060</v>
      </c>
      <c r="H2426" s="1">
        <f>IF(jablka5[[#This Row],[dot sprz]]&lt;15000,0,IF(jablka5[[#This Row],[dot sprz]]&lt;20000,5,10))</f>
        <v>0</v>
      </c>
      <c r="I2426" s="1">
        <f>jablka5[[#This Row],[rabat]]*jablka5[[#This Row],[sprzedaż]]/100</f>
        <v>0</v>
      </c>
    </row>
    <row r="2427" spans="1:9" x14ac:dyDescent="0.25">
      <c r="A2427" s="2">
        <v>44681</v>
      </c>
      <c r="B2427" s="1" t="s">
        <v>0</v>
      </c>
      <c r="C2427" s="1" t="s">
        <v>16</v>
      </c>
      <c r="D2427" s="1" t="s">
        <v>18</v>
      </c>
      <c r="E2427">
        <v>131</v>
      </c>
      <c r="F2427" s="1">
        <f>VLOOKUP(jablka5[[#This Row],[Nazwa]],cennik[],2,0) * jablka5[[#This Row],[sprzedaż]]</f>
        <v>379.9</v>
      </c>
      <c r="G2427" s="1">
        <f>IF(jablka5[[#This Row],[NIP]]=D2426,jablka5[[#This Row],[sprzedaż]]+G2426,jablka5[[#This Row],[sprzedaż]])</f>
        <v>6191</v>
      </c>
      <c r="H2427" s="1">
        <f>IF(jablka5[[#This Row],[dot sprz]]&lt;15000,0,IF(jablka5[[#This Row],[dot sprz]]&lt;20000,5,10))</f>
        <v>0</v>
      </c>
      <c r="I2427" s="1">
        <f>jablka5[[#This Row],[rabat]]*jablka5[[#This Row],[sprzedaż]]/100</f>
        <v>0</v>
      </c>
    </row>
    <row r="2428" spans="1:9" x14ac:dyDescent="0.25">
      <c r="A2428" s="2">
        <v>44681</v>
      </c>
      <c r="B2428" s="1" t="s">
        <v>4</v>
      </c>
      <c r="C2428" s="1" t="s">
        <v>16</v>
      </c>
      <c r="D2428" s="1" t="s">
        <v>18</v>
      </c>
      <c r="E2428">
        <v>458</v>
      </c>
      <c r="F2428" s="1">
        <f>VLOOKUP(jablka5[[#This Row],[Nazwa]],cennik[],2,0) * jablka5[[#This Row],[sprzedaż]]</f>
        <v>1557.2</v>
      </c>
      <c r="G2428" s="1">
        <f>IF(jablka5[[#This Row],[NIP]]=D2427,jablka5[[#This Row],[sprzedaż]]+G2427,jablka5[[#This Row],[sprzedaż]])</f>
        <v>6649</v>
      </c>
      <c r="H2428" s="1">
        <f>IF(jablka5[[#This Row],[dot sprz]]&lt;15000,0,IF(jablka5[[#This Row],[dot sprz]]&lt;20000,5,10))</f>
        <v>0</v>
      </c>
      <c r="I2428" s="1">
        <f>jablka5[[#This Row],[rabat]]*jablka5[[#This Row],[sprzedaż]]/100</f>
        <v>0</v>
      </c>
    </row>
    <row r="2429" spans="1:9" x14ac:dyDescent="0.25">
      <c r="A2429" s="2">
        <v>44683</v>
      </c>
      <c r="B2429" s="1" t="s">
        <v>15</v>
      </c>
      <c r="C2429" s="1" t="s">
        <v>16</v>
      </c>
      <c r="D2429" s="1" t="s">
        <v>18</v>
      </c>
      <c r="E2429">
        <v>368</v>
      </c>
      <c r="F2429" s="1">
        <f>VLOOKUP(jablka5[[#This Row],[Nazwa]],cennik[],2,0) * jablka5[[#This Row],[sprzedaż]]</f>
        <v>883.19999999999993</v>
      </c>
      <c r="G2429" s="1">
        <f>IF(jablka5[[#This Row],[NIP]]=D2428,jablka5[[#This Row],[sprzedaż]]+G2428,jablka5[[#This Row],[sprzedaż]])</f>
        <v>7017</v>
      </c>
      <c r="H2429" s="1">
        <f>IF(jablka5[[#This Row],[dot sprz]]&lt;15000,0,IF(jablka5[[#This Row],[dot sprz]]&lt;20000,5,10))</f>
        <v>0</v>
      </c>
      <c r="I2429" s="1">
        <f>jablka5[[#This Row],[rabat]]*jablka5[[#This Row],[sprzedaż]]/100</f>
        <v>0</v>
      </c>
    </row>
    <row r="2430" spans="1:9" x14ac:dyDescent="0.25">
      <c r="A2430" s="2">
        <v>44690</v>
      </c>
      <c r="B2430" s="1" t="s">
        <v>5</v>
      </c>
      <c r="C2430" s="1" t="s">
        <v>16</v>
      </c>
      <c r="D2430" s="1" t="s">
        <v>18</v>
      </c>
      <c r="E2430">
        <v>55</v>
      </c>
      <c r="F2430" s="1">
        <f>VLOOKUP(jablka5[[#This Row],[Nazwa]],cennik[],2,0) * jablka5[[#This Row],[sprzedaż]]</f>
        <v>187</v>
      </c>
      <c r="G2430" s="1">
        <f>IF(jablka5[[#This Row],[NIP]]=D2429,jablka5[[#This Row],[sprzedaż]]+G2429,jablka5[[#This Row],[sprzedaż]])</f>
        <v>7072</v>
      </c>
      <c r="H2430" s="1">
        <f>IF(jablka5[[#This Row],[dot sprz]]&lt;15000,0,IF(jablka5[[#This Row],[dot sprz]]&lt;20000,5,10))</f>
        <v>0</v>
      </c>
      <c r="I2430" s="1">
        <f>jablka5[[#This Row],[rabat]]*jablka5[[#This Row],[sprzedaż]]/100</f>
        <v>0</v>
      </c>
    </row>
    <row r="2431" spans="1:9" x14ac:dyDescent="0.25">
      <c r="A2431" s="2">
        <v>44694</v>
      </c>
      <c r="B2431" s="1" t="s">
        <v>0</v>
      </c>
      <c r="C2431" s="1" t="s">
        <v>16</v>
      </c>
      <c r="D2431" s="1" t="s">
        <v>18</v>
      </c>
      <c r="E2431">
        <v>303</v>
      </c>
      <c r="F2431" s="1">
        <f>VLOOKUP(jablka5[[#This Row],[Nazwa]],cennik[],2,0) * jablka5[[#This Row],[sprzedaż]]</f>
        <v>878.69999999999993</v>
      </c>
      <c r="G2431" s="1">
        <f>IF(jablka5[[#This Row],[NIP]]=D2430,jablka5[[#This Row],[sprzedaż]]+G2430,jablka5[[#This Row],[sprzedaż]])</f>
        <v>7375</v>
      </c>
      <c r="H2431" s="1">
        <f>IF(jablka5[[#This Row],[dot sprz]]&lt;15000,0,IF(jablka5[[#This Row],[dot sprz]]&lt;20000,5,10))</f>
        <v>0</v>
      </c>
      <c r="I2431" s="1">
        <f>jablka5[[#This Row],[rabat]]*jablka5[[#This Row],[sprzedaż]]/100</f>
        <v>0</v>
      </c>
    </row>
    <row r="2432" spans="1:9" x14ac:dyDescent="0.25">
      <c r="A2432" s="2">
        <v>44713</v>
      </c>
      <c r="B2432" s="1" t="s">
        <v>13</v>
      </c>
      <c r="C2432" s="1" t="s">
        <v>68</v>
      </c>
      <c r="D2432" s="1" t="s">
        <v>18</v>
      </c>
      <c r="E2432">
        <v>434</v>
      </c>
      <c r="F2432" s="1">
        <f>VLOOKUP(jablka5[[#This Row],[Nazwa]],cennik[],2,0) * jablka5[[#This Row],[sprzedaż]]</f>
        <v>1388.8000000000002</v>
      </c>
      <c r="G2432" s="1">
        <f>IF(jablka5[[#This Row],[NIP]]=D2431,jablka5[[#This Row],[sprzedaż]]+G2431,jablka5[[#This Row],[sprzedaż]])</f>
        <v>7809</v>
      </c>
      <c r="H2432" s="1">
        <f>IF(jablka5[[#This Row],[dot sprz]]&lt;15000,0,IF(jablka5[[#This Row],[dot sprz]]&lt;20000,5,10))</f>
        <v>0</v>
      </c>
      <c r="I2432" s="1">
        <f>jablka5[[#This Row],[rabat]]*jablka5[[#This Row],[sprzedaż]]/100</f>
        <v>0</v>
      </c>
    </row>
    <row r="2433" spans="1:9" x14ac:dyDescent="0.25">
      <c r="A2433" s="2">
        <v>44714</v>
      </c>
      <c r="B2433" s="1" t="s">
        <v>12</v>
      </c>
      <c r="C2433" s="1" t="s">
        <v>68</v>
      </c>
      <c r="D2433" s="1" t="s">
        <v>18</v>
      </c>
      <c r="E2433">
        <v>174</v>
      </c>
      <c r="F2433" s="1">
        <f>VLOOKUP(jablka5[[#This Row],[Nazwa]],cennik[],2,0) * jablka5[[#This Row],[sprzedaż]]</f>
        <v>469.8</v>
      </c>
      <c r="G2433" s="1">
        <f>IF(jablka5[[#This Row],[NIP]]=D2432,jablka5[[#This Row],[sprzedaż]]+G2432,jablka5[[#This Row],[sprzedaż]])</f>
        <v>7983</v>
      </c>
      <c r="H2433" s="1">
        <f>IF(jablka5[[#This Row],[dot sprz]]&lt;15000,0,IF(jablka5[[#This Row],[dot sprz]]&lt;20000,5,10))</f>
        <v>0</v>
      </c>
      <c r="I2433" s="1">
        <f>jablka5[[#This Row],[rabat]]*jablka5[[#This Row],[sprzedaż]]/100</f>
        <v>0</v>
      </c>
    </row>
    <row r="2434" spans="1:9" x14ac:dyDescent="0.25">
      <c r="A2434" s="2">
        <v>44715</v>
      </c>
      <c r="B2434" s="1" t="s">
        <v>12</v>
      </c>
      <c r="C2434" s="1" t="s">
        <v>68</v>
      </c>
      <c r="D2434" s="1" t="s">
        <v>18</v>
      </c>
      <c r="E2434">
        <v>289</v>
      </c>
      <c r="F2434" s="1">
        <f>VLOOKUP(jablka5[[#This Row],[Nazwa]],cennik[],2,0) * jablka5[[#This Row],[sprzedaż]]</f>
        <v>780.30000000000007</v>
      </c>
      <c r="G2434" s="1">
        <f>IF(jablka5[[#This Row],[NIP]]=D2433,jablka5[[#This Row],[sprzedaż]]+G2433,jablka5[[#This Row],[sprzedaż]])</f>
        <v>8272</v>
      </c>
      <c r="H2434" s="1">
        <f>IF(jablka5[[#This Row],[dot sprz]]&lt;15000,0,IF(jablka5[[#This Row],[dot sprz]]&lt;20000,5,10))</f>
        <v>0</v>
      </c>
      <c r="I2434" s="1">
        <f>jablka5[[#This Row],[rabat]]*jablka5[[#This Row],[sprzedaż]]/100</f>
        <v>0</v>
      </c>
    </row>
    <row r="2435" spans="1:9" x14ac:dyDescent="0.25">
      <c r="A2435" s="2">
        <v>44725</v>
      </c>
      <c r="B2435" s="1" t="s">
        <v>12</v>
      </c>
      <c r="C2435" s="1" t="s">
        <v>68</v>
      </c>
      <c r="D2435" s="1" t="s">
        <v>18</v>
      </c>
      <c r="E2435">
        <v>182</v>
      </c>
      <c r="F2435" s="1">
        <f>VLOOKUP(jablka5[[#This Row],[Nazwa]],cennik[],2,0) * jablka5[[#This Row],[sprzedaż]]</f>
        <v>491.40000000000003</v>
      </c>
      <c r="G2435" s="1">
        <f>IF(jablka5[[#This Row],[NIP]]=D2434,jablka5[[#This Row],[sprzedaż]]+G2434,jablka5[[#This Row],[sprzedaż]])</f>
        <v>8454</v>
      </c>
      <c r="H2435" s="1">
        <f>IF(jablka5[[#This Row],[dot sprz]]&lt;15000,0,IF(jablka5[[#This Row],[dot sprz]]&lt;20000,5,10))</f>
        <v>0</v>
      </c>
      <c r="I2435" s="1">
        <f>jablka5[[#This Row],[rabat]]*jablka5[[#This Row],[sprzedaż]]/100</f>
        <v>0</v>
      </c>
    </row>
    <row r="2436" spans="1:9" x14ac:dyDescent="0.25">
      <c r="A2436" s="2">
        <v>44736</v>
      </c>
      <c r="B2436" s="1" t="s">
        <v>12</v>
      </c>
      <c r="C2436" s="1" t="s">
        <v>68</v>
      </c>
      <c r="D2436" s="1" t="s">
        <v>18</v>
      </c>
      <c r="E2436">
        <v>58</v>
      </c>
      <c r="F2436" s="1">
        <f>VLOOKUP(jablka5[[#This Row],[Nazwa]],cennik[],2,0) * jablka5[[#This Row],[sprzedaż]]</f>
        <v>156.60000000000002</v>
      </c>
      <c r="G2436" s="1">
        <f>IF(jablka5[[#This Row],[NIP]]=D2435,jablka5[[#This Row],[sprzedaż]]+G2435,jablka5[[#This Row],[sprzedaż]])</f>
        <v>8512</v>
      </c>
      <c r="H2436" s="1">
        <f>IF(jablka5[[#This Row],[dot sprz]]&lt;15000,0,IF(jablka5[[#This Row],[dot sprz]]&lt;20000,5,10))</f>
        <v>0</v>
      </c>
      <c r="I2436" s="1">
        <f>jablka5[[#This Row],[rabat]]*jablka5[[#This Row],[sprzedaż]]/100</f>
        <v>0</v>
      </c>
    </row>
    <row r="2437" spans="1:9" x14ac:dyDescent="0.25">
      <c r="A2437" s="2">
        <v>44748</v>
      </c>
      <c r="B2437" s="1" t="s">
        <v>13</v>
      </c>
      <c r="C2437" s="1" t="s">
        <v>68</v>
      </c>
      <c r="D2437" s="1" t="s">
        <v>18</v>
      </c>
      <c r="E2437">
        <v>433</v>
      </c>
      <c r="F2437" s="1">
        <f>VLOOKUP(jablka5[[#This Row],[Nazwa]],cennik[],2,0) * jablka5[[#This Row],[sprzedaż]]</f>
        <v>1385.6000000000001</v>
      </c>
      <c r="G2437" s="1">
        <f>IF(jablka5[[#This Row],[NIP]]=D2436,jablka5[[#This Row],[sprzedaż]]+G2436,jablka5[[#This Row],[sprzedaż]])</f>
        <v>8945</v>
      </c>
      <c r="H2437" s="1">
        <f>IF(jablka5[[#This Row],[dot sprz]]&lt;15000,0,IF(jablka5[[#This Row],[dot sprz]]&lt;20000,5,10))</f>
        <v>0</v>
      </c>
      <c r="I2437" s="1">
        <f>jablka5[[#This Row],[rabat]]*jablka5[[#This Row],[sprzedaż]]/100</f>
        <v>0</v>
      </c>
    </row>
    <row r="2438" spans="1:9" x14ac:dyDescent="0.25">
      <c r="A2438" s="2">
        <v>44753</v>
      </c>
      <c r="B2438" s="1" t="s">
        <v>12</v>
      </c>
      <c r="C2438" s="1" t="s">
        <v>68</v>
      </c>
      <c r="D2438" s="1" t="s">
        <v>18</v>
      </c>
      <c r="E2438">
        <v>231</v>
      </c>
      <c r="F2438" s="1">
        <f>VLOOKUP(jablka5[[#This Row],[Nazwa]],cennik[],2,0) * jablka5[[#This Row],[sprzedaż]]</f>
        <v>623.70000000000005</v>
      </c>
      <c r="G2438" s="1">
        <f>IF(jablka5[[#This Row],[NIP]]=D2437,jablka5[[#This Row],[sprzedaż]]+G2437,jablka5[[#This Row],[sprzedaż]])</f>
        <v>9176</v>
      </c>
      <c r="H2438" s="1">
        <f>IF(jablka5[[#This Row],[dot sprz]]&lt;15000,0,IF(jablka5[[#This Row],[dot sprz]]&lt;20000,5,10))</f>
        <v>0</v>
      </c>
      <c r="I2438" s="1">
        <f>jablka5[[#This Row],[rabat]]*jablka5[[#This Row],[sprzedaż]]/100</f>
        <v>0</v>
      </c>
    </row>
    <row r="2439" spans="1:9" x14ac:dyDescent="0.25">
      <c r="A2439" s="2">
        <v>44762</v>
      </c>
      <c r="B2439" s="1" t="s">
        <v>13</v>
      </c>
      <c r="C2439" s="1" t="s">
        <v>68</v>
      </c>
      <c r="D2439" s="1" t="s">
        <v>18</v>
      </c>
      <c r="E2439">
        <v>280</v>
      </c>
      <c r="F2439" s="1">
        <f>VLOOKUP(jablka5[[#This Row],[Nazwa]],cennik[],2,0) * jablka5[[#This Row],[sprzedaż]]</f>
        <v>896</v>
      </c>
      <c r="G2439" s="1">
        <f>IF(jablka5[[#This Row],[NIP]]=D2438,jablka5[[#This Row],[sprzedaż]]+G2438,jablka5[[#This Row],[sprzedaż]])</f>
        <v>9456</v>
      </c>
      <c r="H2439" s="1">
        <f>IF(jablka5[[#This Row],[dot sprz]]&lt;15000,0,IF(jablka5[[#This Row],[dot sprz]]&lt;20000,5,10))</f>
        <v>0</v>
      </c>
      <c r="I2439" s="1">
        <f>jablka5[[#This Row],[rabat]]*jablka5[[#This Row],[sprzedaż]]/100</f>
        <v>0</v>
      </c>
    </row>
    <row r="2440" spans="1:9" x14ac:dyDescent="0.25">
      <c r="A2440" s="2">
        <v>44784</v>
      </c>
      <c r="B2440" s="1" t="s">
        <v>14</v>
      </c>
      <c r="C2440" s="1" t="s">
        <v>67</v>
      </c>
      <c r="D2440" s="1" t="s">
        <v>18</v>
      </c>
      <c r="E2440">
        <v>196</v>
      </c>
      <c r="F2440" s="1">
        <f>VLOOKUP(jablka5[[#This Row],[Nazwa]],cennik[],2,0) * jablka5[[#This Row],[sprzedaż]]</f>
        <v>686</v>
      </c>
      <c r="G2440" s="1">
        <f>IF(jablka5[[#This Row],[NIP]]=D2439,jablka5[[#This Row],[sprzedaż]]+G2439,jablka5[[#This Row],[sprzedaż]])</f>
        <v>9652</v>
      </c>
      <c r="H2440" s="1">
        <f>IF(jablka5[[#This Row],[dot sprz]]&lt;15000,0,IF(jablka5[[#This Row],[dot sprz]]&lt;20000,5,10))</f>
        <v>0</v>
      </c>
      <c r="I2440" s="1">
        <f>jablka5[[#This Row],[rabat]]*jablka5[[#This Row],[sprzedaż]]/100</f>
        <v>0</v>
      </c>
    </row>
    <row r="2441" spans="1:9" x14ac:dyDescent="0.25">
      <c r="A2441" s="2">
        <v>44790</v>
      </c>
      <c r="B2441" s="1" t="s">
        <v>13</v>
      </c>
      <c r="C2441" s="1" t="s">
        <v>68</v>
      </c>
      <c r="D2441" s="1" t="s">
        <v>18</v>
      </c>
      <c r="E2441">
        <v>420</v>
      </c>
      <c r="F2441" s="1">
        <f>VLOOKUP(jablka5[[#This Row],[Nazwa]],cennik[],2,0) * jablka5[[#This Row],[sprzedaż]]</f>
        <v>1344</v>
      </c>
      <c r="G2441" s="1">
        <f>IF(jablka5[[#This Row],[NIP]]=D2440,jablka5[[#This Row],[sprzedaż]]+G2440,jablka5[[#This Row],[sprzedaż]])</f>
        <v>10072</v>
      </c>
      <c r="H2441" s="1">
        <f>IF(jablka5[[#This Row],[dot sprz]]&lt;15000,0,IF(jablka5[[#This Row],[dot sprz]]&lt;20000,5,10))</f>
        <v>0</v>
      </c>
      <c r="I2441" s="1">
        <f>jablka5[[#This Row],[rabat]]*jablka5[[#This Row],[sprzedaż]]/100</f>
        <v>0</v>
      </c>
    </row>
    <row r="2442" spans="1:9" x14ac:dyDescent="0.25">
      <c r="A2442" s="2">
        <v>44800</v>
      </c>
      <c r="B2442" s="1" t="s">
        <v>13</v>
      </c>
      <c r="C2442" s="1" t="s">
        <v>68</v>
      </c>
      <c r="D2442" s="1" t="s">
        <v>18</v>
      </c>
      <c r="E2442">
        <v>471</v>
      </c>
      <c r="F2442" s="1">
        <f>VLOOKUP(jablka5[[#This Row],[Nazwa]],cennik[],2,0) * jablka5[[#This Row],[sprzedaż]]</f>
        <v>1507.2</v>
      </c>
      <c r="G2442" s="1">
        <f>IF(jablka5[[#This Row],[NIP]]=D2441,jablka5[[#This Row],[sprzedaż]]+G2441,jablka5[[#This Row],[sprzedaż]])</f>
        <v>10543</v>
      </c>
      <c r="H2442" s="1">
        <f>IF(jablka5[[#This Row],[dot sprz]]&lt;15000,0,IF(jablka5[[#This Row],[dot sprz]]&lt;20000,5,10))</f>
        <v>0</v>
      </c>
      <c r="I2442" s="1">
        <f>jablka5[[#This Row],[rabat]]*jablka5[[#This Row],[sprzedaż]]/100</f>
        <v>0</v>
      </c>
    </row>
    <row r="2443" spans="1:9" x14ac:dyDescent="0.25">
      <c r="A2443" s="2">
        <v>44812</v>
      </c>
      <c r="B2443" s="1" t="s">
        <v>11</v>
      </c>
      <c r="C2443" s="1" t="s">
        <v>67</v>
      </c>
      <c r="D2443" s="1" t="s">
        <v>18</v>
      </c>
      <c r="E2443">
        <v>396</v>
      </c>
      <c r="F2443" s="1">
        <f>VLOOKUP(jablka5[[#This Row],[Nazwa]],cennik[],2,0) * jablka5[[#This Row],[sprzedaż]]</f>
        <v>990</v>
      </c>
      <c r="G2443" s="1">
        <f>IF(jablka5[[#This Row],[NIP]]=D2442,jablka5[[#This Row],[sprzedaż]]+G2442,jablka5[[#This Row],[sprzedaż]])</f>
        <v>10939</v>
      </c>
      <c r="H2443" s="1">
        <f>IF(jablka5[[#This Row],[dot sprz]]&lt;15000,0,IF(jablka5[[#This Row],[dot sprz]]&lt;20000,5,10))</f>
        <v>0</v>
      </c>
      <c r="I2443" s="1">
        <f>jablka5[[#This Row],[rabat]]*jablka5[[#This Row],[sprzedaż]]/100</f>
        <v>0</v>
      </c>
    </row>
    <row r="2444" spans="1:9" x14ac:dyDescent="0.25">
      <c r="A2444" s="2">
        <v>44813</v>
      </c>
      <c r="B2444" s="1" t="s">
        <v>3</v>
      </c>
      <c r="C2444" s="1" t="s">
        <v>67</v>
      </c>
      <c r="D2444" s="1" t="s">
        <v>18</v>
      </c>
      <c r="E2444">
        <v>391</v>
      </c>
      <c r="F2444" s="1">
        <f>VLOOKUP(jablka5[[#This Row],[Nazwa]],cennik[],2,0) * jablka5[[#This Row],[sprzedaż]]</f>
        <v>1251.2</v>
      </c>
      <c r="G2444" s="1">
        <f>IF(jablka5[[#This Row],[NIP]]=D2443,jablka5[[#This Row],[sprzedaż]]+G2443,jablka5[[#This Row],[sprzedaż]])</f>
        <v>11330</v>
      </c>
      <c r="H2444" s="1">
        <f>IF(jablka5[[#This Row],[dot sprz]]&lt;15000,0,IF(jablka5[[#This Row],[dot sprz]]&lt;20000,5,10))</f>
        <v>0</v>
      </c>
      <c r="I2444" s="1">
        <f>jablka5[[#This Row],[rabat]]*jablka5[[#This Row],[sprzedaż]]/100</f>
        <v>0</v>
      </c>
    </row>
    <row r="2445" spans="1:9" x14ac:dyDescent="0.25">
      <c r="A2445" s="2">
        <v>44814</v>
      </c>
      <c r="B2445" s="1" t="s">
        <v>9</v>
      </c>
      <c r="C2445" s="1" t="s">
        <v>67</v>
      </c>
      <c r="D2445" s="1" t="s">
        <v>18</v>
      </c>
      <c r="E2445">
        <v>108</v>
      </c>
      <c r="F2445" s="1">
        <f>VLOOKUP(jablka5[[#This Row],[Nazwa]],cennik[],2,0) * jablka5[[#This Row],[sprzedaż]]</f>
        <v>270</v>
      </c>
      <c r="G2445" s="1">
        <f>IF(jablka5[[#This Row],[NIP]]=D2444,jablka5[[#This Row],[sprzedaż]]+G2444,jablka5[[#This Row],[sprzedaż]])</f>
        <v>11438</v>
      </c>
      <c r="H2445" s="1">
        <f>IF(jablka5[[#This Row],[dot sprz]]&lt;15000,0,IF(jablka5[[#This Row],[dot sprz]]&lt;20000,5,10))</f>
        <v>0</v>
      </c>
      <c r="I2445" s="1">
        <f>jablka5[[#This Row],[rabat]]*jablka5[[#This Row],[sprzedaż]]/100</f>
        <v>0</v>
      </c>
    </row>
    <row r="2446" spans="1:9" x14ac:dyDescent="0.25">
      <c r="A2446" s="2">
        <v>44826</v>
      </c>
      <c r="B2446" s="1" t="s">
        <v>9</v>
      </c>
      <c r="C2446" s="1" t="s">
        <v>67</v>
      </c>
      <c r="D2446" s="1" t="s">
        <v>18</v>
      </c>
      <c r="E2446">
        <v>165</v>
      </c>
      <c r="F2446" s="1">
        <f>VLOOKUP(jablka5[[#This Row],[Nazwa]],cennik[],2,0) * jablka5[[#This Row],[sprzedaż]]</f>
        <v>412.5</v>
      </c>
      <c r="G2446" s="1">
        <f>IF(jablka5[[#This Row],[NIP]]=D2445,jablka5[[#This Row],[sprzedaż]]+G2445,jablka5[[#This Row],[sprzedaż]])</f>
        <v>11603</v>
      </c>
      <c r="H2446" s="1">
        <f>IF(jablka5[[#This Row],[dot sprz]]&lt;15000,0,IF(jablka5[[#This Row],[dot sprz]]&lt;20000,5,10))</f>
        <v>0</v>
      </c>
      <c r="I2446" s="1">
        <f>jablka5[[#This Row],[rabat]]*jablka5[[#This Row],[sprzedaż]]/100</f>
        <v>0</v>
      </c>
    </row>
    <row r="2447" spans="1:9" x14ac:dyDescent="0.25">
      <c r="A2447" s="2">
        <v>44830</v>
      </c>
      <c r="B2447" s="1" t="s">
        <v>14</v>
      </c>
      <c r="C2447" s="1" t="s">
        <v>67</v>
      </c>
      <c r="D2447" s="1" t="s">
        <v>18</v>
      </c>
      <c r="E2447">
        <v>20</v>
      </c>
      <c r="F2447" s="1">
        <f>VLOOKUP(jablka5[[#This Row],[Nazwa]],cennik[],2,0) * jablka5[[#This Row],[sprzedaż]]</f>
        <v>70</v>
      </c>
      <c r="G2447" s="1">
        <f>IF(jablka5[[#This Row],[NIP]]=D2446,jablka5[[#This Row],[sprzedaż]]+G2446,jablka5[[#This Row],[sprzedaż]])</f>
        <v>11623</v>
      </c>
      <c r="H2447" s="1">
        <f>IF(jablka5[[#This Row],[dot sprz]]&lt;15000,0,IF(jablka5[[#This Row],[dot sprz]]&lt;20000,5,10))</f>
        <v>0</v>
      </c>
      <c r="I2447" s="1">
        <f>jablka5[[#This Row],[rabat]]*jablka5[[#This Row],[sprzedaż]]/100</f>
        <v>0</v>
      </c>
    </row>
    <row r="2448" spans="1:9" x14ac:dyDescent="0.25">
      <c r="A2448" s="2">
        <v>44856</v>
      </c>
      <c r="B2448" s="1" t="s">
        <v>3</v>
      </c>
      <c r="C2448" s="1" t="s">
        <v>67</v>
      </c>
      <c r="D2448" s="1" t="s">
        <v>18</v>
      </c>
      <c r="E2448">
        <v>142</v>
      </c>
      <c r="F2448" s="1">
        <f>VLOOKUP(jablka5[[#This Row],[Nazwa]],cennik[],2,0) * jablka5[[#This Row],[sprzedaż]]</f>
        <v>454.40000000000003</v>
      </c>
      <c r="G2448" s="1">
        <f>IF(jablka5[[#This Row],[NIP]]=D2447,jablka5[[#This Row],[sprzedaż]]+G2447,jablka5[[#This Row],[sprzedaż]])</f>
        <v>11765</v>
      </c>
      <c r="H2448" s="1">
        <f>IF(jablka5[[#This Row],[dot sprz]]&lt;15000,0,IF(jablka5[[#This Row],[dot sprz]]&lt;20000,5,10))</f>
        <v>0</v>
      </c>
      <c r="I2448" s="1">
        <f>jablka5[[#This Row],[rabat]]*jablka5[[#This Row],[sprzedaż]]/100</f>
        <v>0</v>
      </c>
    </row>
    <row r="2449" spans="1:9" x14ac:dyDescent="0.25">
      <c r="A2449" s="2">
        <v>44873</v>
      </c>
      <c r="B2449" s="1" t="s">
        <v>14</v>
      </c>
      <c r="C2449" s="1" t="s">
        <v>67</v>
      </c>
      <c r="D2449" s="1" t="s">
        <v>18</v>
      </c>
      <c r="E2449">
        <v>161</v>
      </c>
      <c r="F2449" s="1">
        <f>VLOOKUP(jablka5[[#This Row],[Nazwa]],cennik[],2,0) * jablka5[[#This Row],[sprzedaż]]</f>
        <v>563.5</v>
      </c>
      <c r="G2449" s="1">
        <f>IF(jablka5[[#This Row],[NIP]]=D2448,jablka5[[#This Row],[sprzedaż]]+G2448,jablka5[[#This Row],[sprzedaż]])</f>
        <v>11926</v>
      </c>
      <c r="H2449" s="1">
        <f>IF(jablka5[[#This Row],[dot sprz]]&lt;15000,0,IF(jablka5[[#This Row],[dot sprz]]&lt;20000,5,10))</f>
        <v>0</v>
      </c>
      <c r="I2449" s="1">
        <f>jablka5[[#This Row],[rabat]]*jablka5[[#This Row],[sprzedaż]]/100</f>
        <v>0</v>
      </c>
    </row>
    <row r="2450" spans="1:9" x14ac:dyDescent="0.25">
      <c r="A2450" s="2">
        <v>44889</v>
      </c>
      <c r="B2450" s="1" t="s">
        <v>3</v>
      </c>
      <c r="C2450" s="1" t="s">
        <v>67</v>
      </c>
      <c r="D2450" s="1" t="s">
        <v>18</v>
      </c>
      <c r="E2450">
        <v>226</v>
      </c>
      <c r="F2450" s="1">
        <f>VLOOKUP(jablka5[[#This Row],[Nazwa]],cennik[],2,0) * jablka5[[#This Row],[sprzedaż]]</f>
        <v>723.2</v>
      </c>
      <c r="G2450" s="1">
        <f>IF(jablka5[[#This Row],[NIP]]=D2449,jablka5[[#This Row],[sprzedaż]]+G2449,jablka5[[#This Row],[sprzedaż]])</f>
        <v>12152</v>
      </c>
      <c r="H2450" s="1">
        <f>IF(jablka5[[#This Row],[dot sprz]]&lt;15000,0,IF(jablka5[[#This Row],[dot sprz]]&lt;20000,5,10))</f>
        <v>0</v>
      </c>
      <c r="I2450" s="1">
        <f>jablka5[[#This Row],[rabat]]*jablka5[[#This Row],[sprzedaż]]/100</f>
        <v>0</v>
      </c>
    </row>
    <row r="2451" spans="1:9" x14ac:dyDescent="0.25">
      <c r="A2451" s="2">
        <v>44924</v>
      </c>
      <c r="B2451" s="1" t="s">
        <v>6</v>
      </c>
      <c r="C2451" s="1" t="s">
        <v>16</v>
      </c>
      <c r="D2451" s="1" t="s">
        <v>18</v>
      </c>
      <c r="E2451">
        <v>445</v>
      </c>
      <c r="F2451" s="1">
        <f>VLOOKUP(jablka5[[#This Row],[Nazwa]],cennik[],2,0) * jablka5[[#This Row],[sprzedaż]]</f>
        <v>1513</v>
      </c>
      <c r="G2451" s="1">
        <f>IF(jablka5[[#This Row],[NIP]]=D2450,jablka5[[#This Row],[sprzedaż]]+G2450,jablka5[[#This Row],[sprzedaż]])</f>
        <v>12597</v>
      </c>
      <c r="H2451" s="1">
        <f>IF(jablka5[[#This Row],[dot sprz]]&lt;15000,0,IF(jablka5[[#This Row],[dot sprz]]&lt;20000,5,10))</f>
        <v>0</v>
      </c>
      <c r="I2451" s="1">
        <f>jablka5[[#This Row],[rabat]]*jablka5[[#This Row],[sprzedaż]]/100</f>
        <v>0</v>
      </c>
    </row>
    <row r="2452" spans="1:9" x14ac:dyDescent="0.25">
      <c r="A2452" s="2">
        <v>44926</v>
      </c>
      <c r="B2452" s="1" t="s">
        <v>4</v>
      </c>
      <c r="C2452" s="1" t="s">
        <v>16</v>
      </c>
      <c r="D2452" s="1" t="s">
        <v>18</v>
      </c>
      <c r="E2452">
        <v>388</v>
      </c>
      <c r="F2452" s="1">
        <f>VLOOKUP(jablka5[[#This Row],[Nazwa]],cennik[],2,0) * jablka5[[#This Row],[sprzedaż]]</f>
        <v>1319.2</v>
      </c>
      <c r="G2452" s="1">
        <f>IF(jablka5[[#This Row],[NIP]]=D2451,jablka5[[#This Row],[sprzedaż]]+G2451,jablka5[[#This Row],[sprzedaż]])</f>
        <v>12985</v>
      </c>
      <c r="H2452" s="1">
        <f>IF(jablka5[[#This Row],[dot sprz]]&lt;15000,0,IF(jablka5[[#This Row],[dot sprz]]&lt;20000,5,10))</f>
        <v>0</v>
      </c>
      <c r="I2452" s="1">
        <f>jablka5[[#This Row],[rabat]]*jablka5[[#This Row],[sprzedaż]]/100</f>
        <v>0</v>
      </c>
    </row>
    <row r="2453" spans="1:9" x14ac:dyDescent="0.25">
      <c r="A2453" s="2">
        <v>44571</v>
      </c>
      <c r="B2453" s="1" t="s">
        <v>2</v>
      </c>
      <c r="C2453" s="1" t="s">
        <v>16</v>
      </c>
      <c r="D2453" s="1" t="s">
        <v>52</v>
      </c>
      <c r="E2453">
        <v>266</v>
      </c>
      <c r="F2453" s="1">
        <f>VLOOKUP(jablka5[[#This Row],[Nazwa]],cennik[],2,0) * jablka5[[#This Row],[sprzedaż]]</f>
        <v>851.2</v>
      </c>
      <c r="G2453" s="1">
        <f>IF(jablka5[[#This Row],[NIP]]=D2452,jablka5[[#This Row],[sprzedaż]]+G2452,jablka5[[#This Row],[sprzedaż]])</f>
        <v>266</v>
      </c>
      <c r="H2453" s="1">
        <f>IF(jablka5[[#This Row],[dot sprz]]&lt;15000,0,IF(jablka5[[#This Row],[dot sprz]]&lt;20000,5,10))</f>
        <v>0</v>
      </c>
      <c r="I2453" s="1">
        <f>jablka5[[#This Row],[rabat]]*jablka5[[#This Row],[sprzedaż]]/100</f>
        <v>0</v>
      </c>
    </row>
    <row r="2454" spans="1:9" x14ac:dyDescent="0.25">
      <c r="A2454" s="2">
        <v>44575</v>
      </c>
      <c r="B2454" s="1" t="s">
        <v>5</v>
      </c>
      <c r="C2454" s="1" t="s">
        <v>16</v>
      </c>
      <c r="D2454" s="1" t="s">
        <v>52</v>
      </c>
      <c r="E2454">
        <v>183</v>
      </c>
      <c r="F2454" s="1">
        <f>VLOOKUP(jablka5[[#This Row],[Nazwa]],cennik[],2,0) * jablka5[[#This Row],[sprzedaż]]</f>
        <v>622.19999999999993</v>
      </c>
      <c r="G2454" s="1">
        <f>IF(jablka5[[#This Row],[NIP]]=D2453,jablka5[[#This Row],[sprzedaż]]+G2453,jablka5[[#This Row],[sprzedaż]])</f>
        <v>449</v>
      </c>
      <c r="H2454" s="1">
        <f>IF(jablka5[[#This Row],[dot sprz]]&lt;15000,0,IF(jablka5[[#This Row],[dot sprz]]&lt;20000,5,10))</f>
        <v>0</v>
      </c>
      <c r="I2454" s="1">
        <f>jablka5[[#This Row],[rabat]]*jablka5[[#This Row],[sprzedaż]]/100</f>
        <v>0</v>
      </c>
    </row>
    <row r="2455" spans="1:9" x14ac:dyDescent="0.25">
      <c r="A2455" s="2">
        <v>44580</v>
      </c>
      <c r="B2455" s="1" t="s">
        <v>10</v>
      </c>
      <c r="C2455" s="1" t="s">
        <v>16</v>
      </c>
      <c r="D2455" s="1" t="s">
        <v>52</v>
      </c>
      <c r="E2455">
        <v>327</v>
      </c>
      <c r="F2455" s="1">
        <f>VLOOKUP(jablka5[[#This Row],[Nazwa]],cennik[],2,0) * jablka5[[#This Row],[sprzedaż]]</f>
        <v>1111.8</v>
      </c>
      <c r="G2455" s="1">
        <f>IF(jablka5[[#This Row],[NIP]]=D2454,jablka5[[#This Row],[sprzedaż]]+G2454,jablka5[[#This Row],[sprzedaż]])</f>
        <v>776</v>
      </c>
      <c r="H2455" s="1">
        <f>IF(jablka5[[#This Row],[dot sprz]]&lt;15000,0,IF(jablka5[[#This Row],[dot sprz]]&lt;20000,5,10))</f>
        <v>0</v>
      </c>
      <c r="I2455" s="1">
        <f>jablka5[[#This Row],[rabat]]*jablka5[[#This Row],[sprzedaż]]/100</f>
        <v>0</v>
      </c>
    </row>
    <row r="2456" spans="1:9" x14ac:dyDescent="0.25">
      <c r="A2456" s="2">
        <v>44586</v>
      </c>
      <c r="B2456" s="1" t="s">
        <v>10</v>
      </c>
      <c r="C2456" s="1" t="s">
        <v>16</v>
      </c>
      <c r="D2456" s="1" t="s">
        <v>52</v>
      </c>
      <c r="E2456">
        <v>417</v>
      </c>
      <c r="F2456" s="1">
        <f>VLOOKUP(jablka5[[#This Row],[Nazwa]],cennik[],2,0) * jablka5[[#This Row],[sprzedaż]]</f>
        <v>1417.8</v>
      </c>
      <c r="G2456" s="1">
        <f>IF(jablka5[[#This Row],[NIP]]=D2455,jablka5[[#This Row],[sprzedaż]]+G2455,jablka5[[#This Row],[sprzedaż]])</f>
        <v>1193</v>
      </c>
      <c r="H2456" s="1">
        <f>IF(jablka5[[#This Row],[dot sprz]]&lt;15000,0,IF(jablka5[[#This Row],[dot sprz]]&lt;20000,5,10))</f>
        <v>0</v>
      </c>
      <c r="I2456" s="1">
        <f>jablka5[[#This Row],[rabat]]*jablka5[[#This Row],[sprzedaż]]/100</f>
        <v>0</v>
      </c>
    </row>
    <row r="2457" spans="1:9" x14ac:dyDescent="0.25">
      <c r="A2457" s="2">
        <v>44592</v>
      </c>
      <c r="B2457" s="1" t="s">
        <v>0</v>
      </c>
      <c r="C2457" s="1" t="s">
        <v>16</v>
      </c>
      <c r="D2457" s="1" t="s">
        <v>52</v>
      </c>
      <c r="E2457">
        <v>18</v>
      </c>
      <c r="F2457" s="1">
        <f>VLOOKUP(jablka5[[#This Row],[Nazwa]],cennik[],2,0) * jablka5[[#This Row],[sprzedaż]]</f>
        <v>52.199999999999996</v>
      </c>
      <c r="G2457" s="1">
        <f>IF(jablka5[[#This Row],[NIP]]=D2456,jablka5[[#This Row],[sprzedaż]]+G2456,jablka5[[#This Row],[sprzedaż]])</f>
        <v>1211</v>
      </c>
      <c r="H2457" s="1">
        <f>IF(jablka5[[#This Row],[dot sprz]]&lt;15000,0,IF(jablka5[[#This Row],[dot sprz]]&lt;20000,5,10))</f>
        <v>0</v>
      </c>
      <c r="I2457" s="1">
        <f>jablka5[[#This Row],[rabat]]*jablka5[[#This Row],[sprzedaż]]/100</f>
        <v>0</v>
      </c>
    </row>
    <row r="2458" spans="1:9" x14ac:dyDescent="0.25">
      <c r="A2458" s="2">
        <v>44603</v>
      </c>
      <c r="B2458" s="1" t="s">
        <v>10</v>
      </c>
      <c r="C2458" s="1" t="s">
        <v>16</v>
      </c>
      <c r="D2458" s="1" t="s">
        <v>52</v>
      </c>
      <c r="E2458">
        <v>99</v>
      </c>
      <c r="F2458" s="1">
        <f>VLOOKUP(jablka5[[#This Row],[Nazwa]],cennik[],2,0) * jablka5[[#This Row],[sprzedaż]]</f>
        <v>336.59999999999997</v>
      </c>
      <c r="G2458" s="1">
        <f>IF(jablka5[[#This Row],[NIP]]=D2457,jablka5[[#This Row],[sprzedaż]]+G2457,jablka5[[#This Row],[sprzedaż]])</f>
        <v>1310</v>
      </c>
      <c r="H2458" s="1">
        <f>IF(jablka5[[#This Row],[dot sprz]]&lt;15000,0,IF(jablka5[[#This Row],[dot sprz]]&lt;20000,5,10))</f>
        <v>0</v>
      </c>
      <c r="I2458" s="1">
        <f>jablka5[[#This Row],[rabat]]*jablka5[[#This Row],[sprzedaż]]/100</f>
        <v>0</v>
      </c>
    </row>
    <row r="2459" spans="1:9" x14ac:dyDescent="0.25">
      <c r="A2459" s="2">
        <v>44603</v>
      </c>
      <c r="B2459" s="1" t="s">
        <v>5</v>
      </c>
      <c r="C2459" s="1" t="s">
        <v>16</v>
      </c>
      <c r="D2459" s="1" t="s">
        <v>52</v>
      </c>
      <c r="E2459">
        <v>487</v>
      </c>
      <c r="F2459" s="1">
        <f>VLOOKUP(jablka5[[#This Row],[Nazwa]],cennik[],2,0) * jablka5[[#This Row],[sprzedaż]]</f>
        <v>1655.8</v>
      </c>
      <c r="G2459" s="1">
        <f>IF(jablka5[[#This Row],[NIP]]=D2458,jablka5[[#This Row],[sprzedaż]]+G2458,jablka5[[#This Row],[sprzedaż]])</f>
        <v>1797</v>
      </c>
      <c r="H2459" s="1">
        <f>IF(jablka5[[#This Row],[dot sprz]]&lt;15000,0,IF(jablka5[[#This Row],[dot sprz]]&lt;20000,5,10))</f>
        <v>0</v>
      </c>
      <c r="I2459" s="1">
        <f>jablka5[[#This Row],[rabat]]*jablka5[[#This Row],[sprzedaż]]/100</f>
        <v>0</v>
      </c>
    </row>
    <row r="2460" spans="1:9" x14ac:dyDescent="0.25">
      <c r="A2460" s="2">
        <v>44611</v>
      </c>
      <c r="B2460" s="1" t="s">
        <v>15</v>
      </c>
      <c r="C2460" s="1" t="s">
        <v>16</v>
      </c>
      <c r="D2460" s="1" t="s">
        <v>52</v>
      </c>
      <c r="E2460">
        <v>272</v>
      </c>
      <c r="F2460" s="1">
        <f>VLOOKUP(jablka5[[#This Row],[Nazwa]],cennik[],2,0) * jablka5[[#This Row],[sprzedaż]]</f>
        <v>652.79999999999995</v>
      </c>
      <c r="G2460" s="1">
        <f>IF(jablka5[[#This Row],[NIP]]=D2459,jablka5[[#This Row],[sprzedaż]]+G2459,jablka5[[#This Row],[sprzedaż]])</f>
        <v>2069</v>
      </c>
      <c r="H2460" s="1">
        <f>IF(jablka5[[#This Row],[dot sprz]]&lt;15000,0,IF(jablka5[[#This Row],[dot sprz]]&lt;20000,5,10))</f>
        <v>0</v>
      </c>
      <c r="I2460" s="1">
        <f>jablka5[[#This Row],[rabat]]*jablka5[[#This Row],[sprzedaż]]/100</f>
        <v>0</v>
      </c>
    </row>
    <row r="2461" spans="1:9" x14ac:dyDescent="0.25">
      <c r="A2461" s="2">
        <v>44623</v>
      </c>
      <c r="B2461" s="1" t="s">
        <v>8</v>
      </c>
      <c r="C2461" s="1" t="s">
        <v>16</v>
      </c>
      <c r="D2461" s="1" t="s">
        <v>52</v>
      </c>
      <c r="E2461">
        <v>394</v>
      </c>
      <c r="F2461" s="1">
        <f>VLOOKUP(jablka5[[#This Row],[Nazwa]],cennik[],2,0) * jablka5[[#This Row],[sprzedaż]]</f>
        <v>1379</v>
      </c>
      <c r="G2461" s="1">
        <f>IF(jablka5[[#This Row],[NIP]]=D2460,jablka5[[#This Row],[sprzedaż]]+G2460,jablka5[[#This Row],[sprzedaż]])</f>
        <v>2463</v>
      </c>
      <c r="H2461" s="1">
        <f>IF(jablka5[[#This Row],[dot sprz]]&lt;15000,0,IF(jablka5[[#This Row],[dot sprz]]&lt;20000,5,10))</f>
        <v>0</v>
      </c>
      <c r="I2461" s="1">
        <f>jablka5[[#This Row],[rabat]]*jablka5[[#This Row],[sprzedaż]]/100</f>
        <v>0</v>
      </c>
    </row>
    <row r="2462" spans="1:9" x14ac:dyDescent="0.25">
      <c r="A2462" s="2">
        <v>44624</v>
      </c>
      <c r="B2462" s="1" t="s">
        <v>8</v>
      </c>
      <c r="C2462" s="1" t="s">
        <v>16</v>
      </c>
      <c r="D2462" s="1" t="s">
        <v>52</v>
      </c>
      <c r="E2462">
        <v>668</v>
      </c>
      <c r="F2462" s="1">
        <f>VLOOKUP(jablka5[[#This Row],[Nazwa]],cennik[],2,0) * jablka5[[#This Row],[sprzedaż]]</f>
        <v>2338</v>
      </c>
      <c r="G2462" s="1">
        <f>IF(jablka5[[#This Row],[NIP]]=D2461,jablka5[[#This Row],[sprzedaż]]+G2461,jablka5[[#This Row],[sprzedaż]])</f>
        <v>3131</v>
      </c>
      <c r="H2462" s="1">
        <f>IF(jablka5[[#This Row],[dot sprz]]&lt;15000,0,IF(jablka5[[#This Row],[dot sprz]]&lt;20000,5,10))</f>
        <v>0</v>
      </c>
      <c r="I2462" s="1">
        <f>jablka5[[#This Row],[rabat]]*jablka5[[#This Row],[sprzedaż]]/100</f>
        <v>0</v>
      </c>
    </row>
    <row r="2463" spans="1:9" x14ac:dyDescent="0.25">
      <c r="A2463" s="2">
        <v>44632</v>
      </c>
      <c r="B2463" s="1" t="s">
        <v>8</v>
      </c>
      <c r="C2463" s="1" t="s">
        <v>16</v>
      </c>
      <c r="D2463" s="1" t="s">
        <v>52</v>
      </c>
      <c r="E2463">
        <v>386</v>
      </c>
      <c r="F2463" s="1">
        <f>VLOOKUP(jablka5[[#This Row],[Nazwa]],cennik[],2,0) * jablka5[[#This Row],[sprzedaż]]</f>
        <v>1351</v>
      </c>
      <c r="G2463" s="1">
        <f>IF(jablka5[[#This Row],[NIP]]=D2462,jablka5[[#This Row],[sprzedaż]]+G2462,jablka5[[#This Row],[sprzedaż]])</f>
        <v>3517</v>
      </c>
      <c r="H2463" s="1">
        <f>IF(jablka5[[#This Row],[dot sprz]]&lt;15000,0,IF(jablka5[[#This Row],[dot sprz]]&lt;20000,5,10))</f>
        <v>0</v>
      </c>
      <c r="I2463" s="1">
        <f>jablka5[[#This Row],[rabat]]*jablka5[[#This Row],[sprzedaż]]/100</f>
        <v>0</v>
      </c>
    </row>
    <row r="2464" spans="1:9" x14ac:dyDescent="0.25">
      <c r="A2464" s="2">
        <v>44634</v>
      </c>
      <c r="B2464" s="1" t="s">
        <v>7</v>
      </c>
      <c r="C2464" s="1" t="s">
        <v>16</v>
      </c>
      <c r="D2464" s="1" t="s">
        <v>52</v>
      </c>
      <c r="E2464">
        <v>497</v>
      </c>
      <c r="F2464" s="1">
        <f>VLOOKUP(jablka5[[#This Row],[Nazwa]],cennik[],2,0) * jablka5[[#This Row],[sprzedaż]]</f>
        <v>1689.8</v>
      </c>
      <c r="G2464" s="1">
        <f>IF(jablka5[[#This Row],[NIP]]=D2463,jablka5[[#This Row],[sprzedaż]]+G2463,jablka5[[#This Row],[sprzedaż]])</f>
        <v>4014</v>
      </c>
      <c r="H2464" s="1">
        <f>IF(jablka5[[#This Row],[dot sprz]]&lt;15000,0,IF(jablka5[[#This Row],[dot sprz]]&lt;20000,5,10))</f>
        <v>0</v>
      </c>
      <c r="I2464" s="1">
        <f>jablka5[[#This Row],[rabat]]*jablka5[[#This Row],[sprzedaż]]/100</f>
        <v>0</v>
      </c>
    </row>
    <row r="2465" spans="1:9" x14ac:dyDescent="0.25">
      <c r="A2465" s="2">
        <v>44639</v>
      </c>
      <c r="B2465" s="1" t="s">
        <v>5</v>
      </c>
      <c r="C2465" s="1" t="s">
        <v>16</v>
      </c>
      <c r="D2465" s="1" t="s">
        <v>52</v>
      </c>
      <c r="E2465">
        <v>161</v>
      </c>
      <c r="F2465" s="1">
        <f>VLOOKUP(jablka5[[#This Row],[Nazwa]],cennik[],2,0) * jablka5[[#This Row],[sprzedaż]]</f>
        <v>547.4</v>
      </c>
      <c r="G2465" s="1">
        <f>IF(jablka5[[#This Row],[NIP]]=D2464,jablka5[[#This Row],[sprzedaż]]+G2464,jablka5[[#This Row],[sprzedaż]])</f>
        <v>4175</v>
      </c>
      <c r="H2465" s="1">
        <f>IF(jablka5[[#This Row],[dot sprz]]&lt;15000,0,IF(jablka5[[#This Row],[dot sprz]]&lt;20000,5,10))</f>
        <v>0</v>
      </c>
      <c r="I2465" s="1">
        <f>jablka5[[#This Row],[rabat]]*jablka5[[#This Row],[sprzedaż]]/100</f>
        <v>0</v>
      </c>
    </row>
    <row r="2466" spans="1:9" x14ac:dyDescent="0.25">
      <c r="A2466" s="2">
        <v>44649</v>
      </c>
      <c r="B2466" s="1" t="s">
        <v>8</v>
      </c>
      <c r="C2466" s="1" t="s">
        <v>16</v>
      </c>
      <c r="D2466" s="1" t="s">
        <v>52</v>
      </c>
      <c r="E2466">
        <v>291</v>
      </c>
      <c r="F2466" s="1">
        <f>VLOOKUP(jablka5[[#This Row],[Nazwa]],cennik[],2,0) * jablka5[[#This Row],[sprzedaż]]</f>
        <v>1018.5</v>
      </c>
      <c r="G2466" s="1">
        <f>IF(jablka5[[#This Row],[NIP]]=D2465,jablka5[[#This Row],[sprzedaż]]+G2465,jablka5[[#This Row],[sprzedaż]])</f>
        <v>4466</v>
      </c>
      <c r="H2466" s="1">
        <f>IF(jablka5[[#This Row],[dot sprz]]&lt;15000,0,IF(jablka5[[#This Row],[dot sprz]]&lt;20000,5,10))</f>
        <v>0</v>
      </c>
      <c r="I2466" s="1">
        <f>jablka5[[#This Row],[rabat]]*jablka5[[#This Row],[sprzedaż]]/100</f>
        <v>0</v>
      </c>
    </row>
    <row r="2467" spans="1:9" x14ac:dyDescent="0.25">
      <c r="A2467" s="2">
        <v>44652</v>
      </c>
      <c r="B2467" s="1" t="s">
        <v>10</v>
      </c>
      <c r="C2467" s="1" t="s">
        <v>16</v>
      </c>
      <c r="D2467" s="1" t="s">
        <v>52</v>
      </c>
      <c r="E2467">
        <v>409</v>
      </c>
      <c r="F2467" s="1">
        <f>VLOOKUP(jablka5[[#This Row],[Nazwa]],cennik[],2,0) * jablka5[[#This Row],[sprzedaż]]</f>
        <v>1390.6</v>
      </c>
      <c r="G2467" s="1">
        <f>IF(jablka5[[#This Row],[NIP]]=D2466,jablka5[[#This Row],[sprzedaż]]+G2466,jablka5[[#This Row],[sprzedaż]])</f>
        <v>4875</v>
      </c>
      <c r="H2467" s="1">
        <f>IF(jablka5[[#This Row],[dot sprz]]&lt;15000,0,IF(jablka5[[#This Row],[dot sprz]]&lt;20000,5,10))</f>
        <v>0</v>
      </c>
      <c r="I2467" s="1">
        <f>jablka5[[#This Row],[rabat]]*jablka5[[#This Row],[sprzedaż]]/100</f>
        <v>0</v>
      </c>
    </row>
    <row r="2468" spans="1:9" x14ac:dyDescent="0.25">
      <c r="A2468" s="2">
        <v>44656</v>
      </c>
      <c r="B2468" s="1" t="s">
        <v>8</v>
      </c>
      <c r="C2468" s="1" t="s">
        <v>16</v>
      </c>
      <c r="D2468" s="1" t="s">
        <v>52</v>
      </c>
      <c r="E2468">
        <v>293</v>
      </c>
      <c r="F2468" s="1">
        <f>VLOOKUP(jablka5[[#This Row],[Nazwa]],cennik[],2,0) * jablka5[[#This Row],[sprzedaż]]</f>
        <v>1025.5</v>
      </c>
      <c r="G2468" s="1">
        <f>IF(jablka5[[#This Row],[NIP]]=D2467,jablka5[[#This Row],[sprzedaż]]+G2467,jablka5[[#This Row],[sprzedaż]])</f>
        <v>5168</v>
      </c>
      <c r="H2468" s="1">
        <f>IF(jablka5[[#This Row],[dot sprz]]&lt;15000,0,IF(jablka5[[#This Row],[dot sprz]]&lt;20000,5,10))</f>
        <v>0</v>
      </c>
      <c r="I2468" s="1">
        <f>jablka5[[#This Row],[rabat]]*jablka5[[#This Row],[sprzedaż]]/100</f>
        <v>0</v>
      </c>
    </row>
    <row r="2469" spans="1:9" x14ac:dyDescent="0.25">
      <c r="A2469" s="2">
        <v>44659</v>
      </c>
      <c r="B2469" s="1" t="s">
        <v>2</v>
      </c>
      <c r="C2469" s="1" t="s">
        <v>16</v>
      </c>
      <c r="D2469" s="1" t="s">
        <v>52</v>
      </c>
      <c r="E2469">
        <v>99</v>
      </c>
      <c r="F2469" s="1">
        <f>VLOOKUP(jablka5[[#This Row],[Nazwa]],cennik[],2,0) * jablka5[[#This Row],[sprzedaż]]</f>
        <v>316.8</v>
      </c>
      <c r="G2469" s="1">
        <f>IF(jablka5[[#This Row],[NIP]]=D2468,jablka5[[#This Row],[sprzedaż]]+G2468,jablka5[[#This Row],[sprzedaż]])</f>
        <v>5267</v>
      </c>
      <c r="H2469" s="1">
        <f>IF(jablka5[[#This Row],[dot sprz]]&lt;15000,0,IF(jablka5[[#This Row],[dot sprz]]&lt;20000,5,10))</f>
        <v>0</v>
      </c>
      <c r="I2469" s="1">
        <f>jablka5[[#This Row],[rabat]]*jablka5[[#This Row],[sprzedaż]]/100</f>
        <v>0</v>
      </c>
    </row>
    <row r="2470" spans="1:9" x14ac:dyDescent="0.25">
      <c r="A2470" s="2">
        <v>44659</v>
      </c>
      <c r="B2470" s="1" t="s">
        <v>0</v>
      </c>
      <c r="C2470" s="1" t="s">
        <v>16</v>
      </c>
      <c r="D2470" s="1" t="s">
        <v>52</v>
      </c>
      <c r="E2470">
        <v>270</v>
      </c>
      <c r="F2470" s="1">
        <f>VLOOKUP(jablka5[[#This Row],[Nazwa]],cennik[],2,0) * jablka5[[#This Row],[sprzedaż]]</f>
        <v>783</v>
      </c>
      <c r="G2470" s="1">
        <f>IF(jablka5[[#This Row],[NIP]]=D2469,jablka5[[#This Row],[sprzedaż]]+G2469,jablka5[[#This Row],[sprzedaż]])</f>
        <v>5537</v>
      </c>
      <c r="H2470" s="1">
        <f>IF(jablka5[[#This Row],[dot sprz]]&lt;15000,0,IF(jablka5[[#This Row],[dot sprz]]&lt;20000,5,10))</f>
        <v>0</v>
      </c>
      <c r="I2470" s="1">
        <f>jablka5[[#This Row],[rabat]]*jablka5[[#This Row],[sprzedaż]]/100</f>
        <v>0</v>
      </c>
    </row>
    <row r="2471" spans="1:9" x14ac:dyDescent="0.25">
      <c r="A2471" s="2">
        <v>44663</v>
      </c>
      <c r="B2471" s="1" t="s">
        <v>2</v>
      </c>
      <c r="C2471" s="1" t="s">
        <v>16</v>
      </c>
      <c r="D2471" s="1" t="s">
        <v>52</v>
      </c>
      <c r="E2471">
        <v>253</v>
      </c>
      <c r="F2471" s="1">
        <f>VLOOKUP(jablka5[[#This Row],[Nazwa]],cennik[],2,0) * jablka5[[#This Row],[sprzedaż]]</f>
        <v>809.6</v>
      </c>
      <c r="G2471" s="1">
        <f>IF(jablka5[[#This Row],[NIP]]=D2470,jablka5[[#This Row],[sprzedaż]]+G2470,jablka5[[#This Row],[sprzedaż]])</f>
        <v>5790</v>
      </c>
      <c r="H2471" s="1">
        <f>IF(jablka5[[#This Row],[dot sprz]]&lt;15000,0,IF(jablka5[[#This Row],[dot sprz]]&lt;20000,5,10))</f>
        <v>0</v>
      </c>
      <c r="I2471" s="1">
        <f>jablka5[[#This Row],[rabat]]*jablka5[[#This Row],[sprzedaż]]/100</f>
        <v>0</v>
      </c>
    </row>
    <row r="2472" spans="1:9" x14ac:dyDescent="0.25">
      <c r="A2472" s="2">
        <v>44669</v>
      </c>
      <c r="B2472" s="1" t="s">
        <v>8</v>
      </c>
      <c r="C2472" s="1" t="s">
        <v>16</v>
      </c>
      <c r="D2472" s="1" t="s">
        <v>52</v>
      </c>
      <c r="E2472">
        <v>218</v>
      </c>
      <c r="F2472" s="1">
        <f>VLOOKUP(jablka5[[#This Row],[Nazwa]],cennik[],2,0) * jablka5[[#This Row],[sprzedaż]]</f>
        <v>763</v>
      </c>
      <c r="G2472" s="1">
        <f>IF(jablka5[[#This Row],[NIP]]=D2471,jablka5[[#This Row],[sprzedaż]]+G2471,jablka5[[#This Row],[sprzedaż]])</f>
        <v>6008</v>
      </c>
      <c r="H2472" s="1">
        <f>IF(jablka5[[#This Row],[dot sprz]]&lt;15000,0,IF(jablka5[[#This Row],[dot sprz]]&lt;20000,5,10))</f>
        <v>0</v>
      </c>
      <c r="I2472" s="1">
        <f>jablka5[[#This Row],[rabat]]*jablka5[[#This Row],[sprzedaż]]/100</f>
        <v>0</v>
      </c>
    </row>
    <row r="2473" spans="1:9" x14ac:dyDescent="0.25">
      <c r="A2473" s="2">
        <v>44672</v>
      </c>
      <c r="B2473" s="1" t="s">
        <v>10</v>
      </c>
      <c r="C2473" s="1" t="s">
        <v>16</v>
      </c>
      <c r="D2473" s="1" t="s">
        <v>52</v>
      </c>
      <c r="E2473">
        <v>344</v>
      </c>
      <c r="F2473" s="1">
        <f>VLOOKUP(jablka5[[#This Row],[Nazwa]],cennik[],2,0) * jablka5[[#This Row],[sprzedaż]]</f>
        <v>1169.5999999999999</v>
      </c>
      <c r="G2473" s="1">
        <f>IF(jablka5[[#This Row],[NIP]]=D2472,jablka5[[#This Row],[sprzedaż]]+G2472,jablka5[[#This Row],[sprzedaż]])</f>
        <v>6352</v>
      </c>
      <c r="H2473" s="1">
        <f>IF(jablka5[[#This Row],[dot sprz]]&lt;15000,0,IF(jablka5[[#This Row],[dot sprz]]&lt;20000,5,10))</f>
        <v>0</v>
      </c>
      <c r="I2473" s="1">
        <f>jablka5[[#This Row],[rabat]]*jablka5[[#This Row],[sprzedaż]]/100</f>
        <v>0</v>
      </c>
    </row>
    <row r="2474" spans="1:9" x14ac:dyDescent="0.25">
      <c r="A2474" s="2">
        <v>44679</v>
      </c>
      <c r="B2474" s="1" t="s">
        <v>2</v>
      </c>
      <c r="C2474" s="1" t="s">
        <v>16</v>
      </c>
      <c r="D2474" s="1" t="s">
        <v>52</v>
      </c>
      <c r="E2474">
        <v>297</v>
      </c>
      <c r="F2474" s="1">
        <f>VLOOKUP(jablka5[[#This Row],[Nazwa]],cennik[],2,0) * jablka5[[#This Row],[sprzedaż]]</f>
        <v>950.40000000000009</v>
      </c>
      <c r="G2474" s="1">
        <f>IF(jablka5[[#This Row],[NIP]]=D2473,jablka5[[#This Row],[sprzedaż]]+G2473,jablka5[[#This Row],[sprzedaż]])</f>
        <v>6649</v>
      </c>
      <c r="H2474" s="1">
        <f>IF(jablka5[[#This Row],[dot sprz]]&lt;15000,0,IF(jablka5[[#This Row],[dot sprz]]&lt;20000,5,10))</f>
        <v>0</v>
      </c>
      <c r="I2474" s="1">
        <f>jablka5[[#This Row],[rabat]]*jablka5[[#This Row],[sprzedaż]]/100</f>
        <v>0</v>
      </c>
    </row>
    <row r="2475" spans="1:9" x14ac:dyDescent="0.25">
      <c r="A2475" s="2">
        <v>44690</v>
      </c>
      <c r="B2475" s="1" t="s">
        <v>2</v>
      </c>
      <c r="C2475" s="1" t="s">
        <v>16</v>
      </c>
      <c r="D2475" s="1" t="s">
        <v>52</v>
      </c>
      <c r="E2475">
        <v>132</v>
      </c>
      <c r="F2475" s="1">
        <f>VLOOKUP(jablka5[[#This Row],[Nazwa]],cennik[],2,0) * jablka5[[#This Row],[sprzedaż]]</f>
        <v>422.40000000000003</v>
      </c>
      <c r="G2475" s="1">
        <f>IF(jablka5[[#This Row],[NIP]]=D2474,jablka5[[#This Row],[sprzedaż]]+G2474,jablka5[[#This Row],[sprzedaż]])</f>
        <v>6781</v>
      </c>
      <c r="H2475" s="1">
        <f>IF(jablka5[[#This Row],[dot sprz]]&lt;15000,0,IF(jablka5[[#This Row],[dot sprz]]&lt;20000,5,10))</f>
        <v>0</v>
      </c>
      <c r="I2475" s="1">
        <f>jablka5[[#This Row],[rabat]]*jablka5[[#This Row],[sprzedaż]]/100</f>
        <v>0</v>
      </c>
    </row>
    <row r="2476" spans="1:9" x14ac:dyDescent="0.25">
      <c r="A2476" s="2">
        <v>44705</v>
      </c>
      <c r="B2476" s="1" t="s">
        <v>2</v>
      </c>
      <c r="C2476" s="1" t="s">
        <v>16</v>
      </c>
      <c r="D2476" s="1" t="s">
        <v>52</v>
      </c>
      <c r="E2476">
        <v>487</v>
      </c>
      <c r="F2476" s="1">
        <f>VLOOKUP(jablka5[[#This Row],[Nazwa]],cennik[],2,0) * jablka5[[#This Row],[sprzedaż]]</f>
        <v>1558.4</v>
      </c>
      <c r="G2476" s="1">
        <f>IF(jablka5[[#This Row],[NIP]]=D2475,jablka5[[#This Row],[sprzedaż]]+G2475,jablka5[[#This Row],[sprzedaż]])</f>
        <v>7268</v>
      </c>
      <c r="H2476" s="1">
        <f>IF(jablka5[[#This Row],[dot sprz]]&lt;15000,0,IF(jablka5[[#This Row],[dot sprz]]&lt;20000,5,10))</f>
        <v>0</v>
      </c>
      <c r="I2476" s="1">
        <f>jablka5[[#This Row],[rabat]]*jablka5[[#This Row],[sprzedaż]]/100</f>
        <v>0</v>
      </c>
    </row>
    <row r="2477" spans="1:9" x14ac:dyDescent="0.25">
      <c r="A2477" s="2">
        <v>44708</v>
      </c>
      <c r="B2477" s="1" t="s">
        <v>7</v>
      </c>
      <c r="C2477" s="1" t="s">
        <v>16</v>
      </c>
      <c r="D2477" s="1" t="s">
        <v>52</v>
      </c>
      <c r="E2477">
        <v>315</v>
      </c>
      <c r="F2477" s="1">
        <f>VLOOKUP(jablka5[[#This Row],[Nazwa]],cennik[],2,0) * jablka5[[#This Row],[sprzedaż]]</f>
        <v>1071</v>
      </c>
      <c r="G2477" s="1">
        <f>IF(jablka5[[#This Row],[NIP]]=D2476,jablka5[[#This Row],[sprzedaż]]+G2476,jablka5[[#This Row],[sprzedaż]])</f>
        <v>7583</v>
      </c>
      <c r="H2477" s="1">
        <f>IF(jablka5[[#This Row],[dot sprz]]&lt;15000,0,IF(jablka5[[#This Row],[dot sprz]]&lt;20000,5,10))</f>
        <v>0</v>
      </c>
      <c r="I2477" s="1">
        <f>jablka5[[#This Row],[rabat]]*jablka5[[#This Row],[sprzedaż]]/100</f>
        <v>0</v>
      </c>
    </row>
    <row r="2478" spans="1:9" x14ac:dyDescent="0.25">
      <c r="A2478" s="2">
        <v>44708</v>
      </c>
      <c r="B2478" s="1" t="s">
        <v>8</v>
      </c>
      <c r="C2478" s="1" t="s">
        <v>16</v>
      </c>
      <c r="D2478" s="1" t="s">
        <v>52</v>
      </c>
      <c r="E2478">
        <v>355</v>
      </c>
      <c r="F2478" s="1">
        <f>VLOOKUP(jablka5[[#This Row],[Nazwa]],cennik[],2,0) * jablka5[[#This Row],[sprzedaż]]</f>
        <v>1242.5</v>
      </c>
      <c r="G2478" s="1">
        <f>IF(jablka5[[#This Row],[NIP]]=D2477,jablka5[[#This Row],[sprzedaż]]+G2477,jablka5[[#This Row],[sprzedaż]])</f>
        <v>7938</v>
      </c>
      <c r="H2478" s="1">
        <f>IF(jablka5[[#This Row],[dot sprz]]&lt;15000,0,IF(jablka5[[#This Row],[dot sprz]]&lt;20000,5,10))</f>
        <v>0</v>
      </c>
      <c r="I2478" s="1">
        <f>jablka5[[#This Row],[rabat]]*jablka5[[#This Row],[sprzedaż]]/100</f>
        <v>0</v>
      </c>
    </row>
    <row r="2479" spans="1:9" x14ac:dyDescent="0.25">
      <c r="A2479" s="2">
        <v>44712</v>
      </c>
      <c r="B2479" s="1" t="s">
        <v>0</v>
      </c>
      <c r="C2479" s="1" t="s">
        <v>16</v>
      </c>
      <c r="D2479" s="1" t="s">
        <v>52</v>
      </c>
      <c r="E2479">
        <v>219</v>
      </c>
      <c r="F2479" s="1">
        <f>VLOOKUP(jablka5[[#This Row],[Nazwa]],cennik[],2,0) * jablka5[[#This Row],[sprzedaż]]</f>
        <v>635.1</v>
      </c>
      <c r="G2479" s="1">
        <f>IF(jablka5[[#This Row],[NIP]]=D2478,jablka5[[#This Row],[sprzedaż]]+G2478,jablka5[[#This Row],[sprzedaż]])</f>
        <v>8157</v>
      </c>
      <c r="H2479" s="1">
        <f>IF(jablka5[[#This Row],[dot sprz]]&lt;15000,0,IF(jablka5[[#This Row],[dot sprz]]&lt;20000,5,10))</f>
        <v>0</v>
      </c>
      <c r="I2479" s="1">
        <f>jablka5[[#This Row],[rabat]]*jablka5[[#This Row],[sprzedaż]]/100</f>
        <v>0</v>
      </c>
    </row>
    <row r="2480" spans="1:9" x14ac:dyDescent="0.25">
      <c r="A2480" s="2">
        <v>44720</v>
      </c>
      <c r="B2480" s="1" t="s">
        <v>14</v>
      </c>
      <c r="C2480" s="1" t="s">
        <v>67</v>
      </c>
      <c r="D2480" s="1" t="s">
        <v>52</v>
      </c>
      <c r="E2480">
        <v>402</v>
      </c>
      <c r="F2480" s="1">
        <f>VLOOKUP(jablka5[[#This Row],[Nazwa]],cennik[],2,0) * jablka5[[#This Row],[sprzedaż]]</f>
        <v>1407</v>
      </c>
      <c r="G2480" s="1">
        <f>IF(jablka5[[#This Row],[NIP]]=D2479,jablka5[[#This Row],[sprzedaż]]+G2479,jablka5[[#This Row],[sprzedaż]])</f>
        <v>8559</v>
      </c>
      <c r="H2480" s="1">
        <f>IF(jablka5[[#This Row],[dot sprz]]&lt;15000,0,IF(jablka5[[#This Row],[dot sprz]]&lt;20000,5,10))</f>
        <v>0</v>
      </c>
      <c r="I2480" s="1">
        <f>jablka5[[#This Row],[rabat]]*jablka5[[#This Row],[sprzedaż]]/100</f>
        <v>0</v>
      </c>
    </row>
    <row r="2481" spans="1:9" x14ac:dyDescent="0.25">
      <c r="A2481" s="2">
        <v>44725</v>
      </c>
      <c r="B2481" s="1" t="s">
        <v>14</v>
      </c>
      <c r="C2481" s="1" t="s">
        <v>67</v>
      </c>
      <c r="D2481" s="1" t="s">
        <v>52</v>
      </c>
      <c r="E2481">
        <v>107</v>
      </c>
      <c r="F2481" s="1">
        <f>VLOOKUP(jablka5[[#This Row],[Nazwa]],cennik[],2,0) * jablka5[[#This Row],[sprzedaż]]</f>
        <v>374.5</v>
      </c>
      <c r="G2481" s="1">
        <f>IF(jablka5[[#This Row],[NIP]]=D2480,jablka5[[#This Row],[sprzedaż]]+G2480,jablka5[[#This Row],[sprzedaż]])</f>
        <v>8666</v>
      </c>
      <c r="H2481" s="1">
        <f>IF(jablka5[[#This Row],[dot sprz]]&lt;15000,0,IF(jablka5[[#This Row],[dot sprz]]&lt;20000,5,10))</f>
        <v>0</v>
      </c>
      <c r="I2481" s="1">
        <f>jablka5[[#This Row],[rabat]]*jablka5[[#This Row],[sprzedaż]]/100</f>
        <v>0</v>
      </c>
    </row>
    <row r="2482" spans="1:9" x14ac:dyDescent="0.25">
      <c r="A2482" s="2">
        <v>44729</v>
      </c>
      <c r="B2482" s="1" t="s">
        <v>12</v>
      </c>
      <c r="C2482" s="1" t="s">
        <v>68</v>
      </c>
      <c r="D2482" s="1" t="s">
        <v>52</v>
      </c>
      <c r="E2482">
        <v>93</v>
      </c>
      <c r="F2482" s="1">
        <f>VLOOKUP(jablka5[[#This Row],[Nazwa]],cennik[],2,0) * jablka5[[#This Row],[sprzedaż]]</f>
        <v>251.10000000000002</v>
      </c>
      <c r="G2482" s="1">
        <f>IF(jablka5[[#This Row],[NIP]]=D2481,jablka5[[#This Row],[sprzedaż]]+G2481,jablka5[[#This Row],[sprzedaż]])</f>
        <v>8759</v>
      </c>
      <c r="H2482" s="1">
        <f>IF(jablka5[[#This Row],[dot sprz]]&lt;15000,0,IF(jablka5[[#This Row],[dot sprz]]&lt;20000,5,10))</f>
        <v>0</v>
      </c>
      <c r="I2482" s="1">
        <f>jablka5[[#This Row],[rabat]]*jablka5[[#This Row],[sprzedaż]]/100</f>
        <v>0</v>
      </c>
    </row>
    <row r="2483" spans="1:9" x14ac:dyDescent="0.25">
      <c r="A2483" s="2">
        <v>44746</v>
      </c>
      <c r="B2483" s="1" t="s">
        <v>12</v>
      </c>
      <c r="C2483" s="1" t="s">
        <v>68</v>
      </c>
      <c r="D2483" s="1" t="s">
        <v>52</v>
      </c>
      <c r="E2483">
        <v>227</v>
      </c>
      <c r="F2483" s="1">
        <f>VLOOKUP(jablka5[[#This Row],[Nazwa]],cennik[],2,0) * jablka5[[#This Row],[sprzedaż]]</f>
        <v>612.90000000000009</v>
      </c>
      <c r="G2483" s="1">
        <f>IF(jablka5[[#This Row],[NIP]]=D2482,jablka5[[#This Row],[sprzedaż]]+G2482,jablka5[[#This Row],[sprzedaż]])</f>
        <v>8986</v>
      </c>
      <c r="H2483" s="1">
        <f>IF(jablka5[[#This Row],[dot sprz]]&lt;15000,0,IF(jablka5[[#This Row],[dot sprz]]&lt;20000,5,10))</f>
        <v>0</v>
      </c>
      <c r="I2483" s="1">
        <f>jablka5[[#This Row],[rabat]]*jablka5[[#This Row],[sprzedaż]]/100</f>
        <v>0</v>
      </c>
    </row>
    <row r="2484" spans="1:9" x14ac:dyDescent="0.25">
      <c r="A2484" s="2">
        <v>44755</v>
      </c>
      <c r="B2484" s="1" t="s">
        <v>14</v>
      </c>
      <c r="C2484" s="1" t="s">
        <v>67</v>
      </c>
      <c r="D2484" s="1" t="s">
        <v>52</v>
      </c>
      <c r="E2484">
        <v>236</v>
      </c>
      <c r="F2484" s="1">
        <f>VLOOKUP(jablka5[[#This Row],[Nazwa]],cennik[],2,0) * jablka5[[#This Row],[sprzedaż]]</f>
        <v>826</v>
      </c>
      <c r="G2484" s="1">
        <f>IF(jablka5[[#This Row],[NIP]]=D2483,jablka5[[#This Row],[sprzedaż]]+G2483,jablka5[[#This Row],[sprzedaż]])</f>
        <v>9222</v>
      </c>
      <c r="H2484" s="1">
        <f>IF(jablka5[[#This Row],[dot sprz]]&lt;15000,0,IF(jablka5[[#This Row],[dot sprz]]&lt;20000,5,10))</f>
        <v>0</v>
      </c>
      <c r="I2484" s="1">
        <f>jablka5[[#This Row],[rabat]]*jablka5[[#This Row],[sprzedaż]]/100</f>
        <v>0</v>
      </c>
    </row>
    <row r="2485" spans="1:9" x14ac:dyDescent="0.25">
      <c r="A2485" s="2">
        <v>44762</v>
      </c>
      <c r="B2485" s="1" t="s">
        <v>14</v>
      </c>
      <c r="C2485" s="1" t="s">
        <v>67</v>
      </c>
      <c r="D2485" s="1" t="s">
        <v>52</v>
      </c>
      <c r="E2485">
        <v>303</v>
      </c>
      <c r="F2485" s="1">
        <f>VLOOKUP(jablka5[[#This Row],[Nazwa]],cennik[],2,0) * jablka5[[#This Row],[sprzedaż]]</f>
        <v>1060.5</v>
      </c>
      <c r="G2485" s="1">
        <f>IF(jablka5[[#This Row],[NIP]]=D2484,jablka5[[#This Row],[sprzedaż]]+G2484,jablka5[[#This Row],[sprzedaż]])</f>
        <v>9525</v>
      </c>
      <c r="H2485" s="1">
        <f>IF(jablka5[[#This Row],[dot sprz]]&lt;15000,0,IF(jablka5[[#This Row],[dot sprz]]&lt;20000,5,10))</f>
        <v>0</v>
      </c>
      <c r="I2485" s="1">
        <f>jablka5[[#This Row],[rabat]]*jablka5[[#This Row],[sprzedaż]]/100</f>
        <v>0</v>
      </c>
    </row>
    <row r="2486" spans="1:9" x14ac:dyDescent="0.25">
      <c r="A2486" s="2">
        <v>44768</v>
      </c>
      <c r="B2486" s="1" t="s">
        <v>14</v>
      </c>
      <c r="C2486" s="1" t="s">
        <v>67</v>
      </c>
      <c r="D2486" s="1" t="s">
        <v>52</v>
      </c>
      <c r="E2486">
        <v>252</v>
      </c>
      <c r="F2486" s="1">
        <f>VLOOKUP(jablka5[[#This Row],[Nazwa]],cennik[],2,0) * jablka5[[#This Row],[sprzedaż]]</f>
        <v>882</v>
      </c>
      <c r="G2486" s="1">
        <f>IF(jablka5[[#This Row],[NIP]]=D2485,jablka5[[#This Row],[sprzedaż]]+G2485,jablka5[[#This Row],[sprzedaż]])</f>
        <v>9777</v>
      </c>
      <c r="H2486" s="1">
        <f>IF(jablka5[[#This Row],[dot sprz]]&lt;15000,0,IF(jablka5[[#This Row],[dot sprz]]&lt;20000,5,10))</f>
        <v>0</v>
      </c>
      <c r="I2486" s="1">
        <f>jablka5[[#This Row],[rabat]]*jablka5[[#This Row],[sprzedaż]]/100</f>
        <v>0</v>
      </c>
    </row>
    <row r="2487" spans="1:9" x14ac:dyDescent="0.25">
      <c r="A2487" s="2">
        <v>44786</v>
      </c>
      <c r="B2487" s="1" t="s">
        <v>14</v>
      </c>
      <c r="C2487" s="1" t="s">
        <v>67</v>
      </c>
      <c r="D2487" s="1" t="s">
        <v>52</v>
      </c>
      <c r="E2487">
        <v>475</v>
      </c>
      <c r="F2487" s="1">
        <f>VLOOKUP(jablka5[[#This Row],[Nazwa]],cennik[],2,0) * jablka5[[#This Row],[sprzedaż]]</f>
        <v>1662.5</v>
      </c>
      <c r="G2487" s="1">
        <f>IF(jablka5[[#This Row],[NIP]]=D2486,jablka5[[#This Row],[sprzedaż]]+G2486,jablka5[[#This Row],[sprzedaż]])</f>
        <v>10252</v>
      </c>
      <c r="H2487" s="1">
        <f>IF(jablka5[[#This Row],[dot sprz]]&lt;15000,0,IF(jablka5[[#This Row],[dot sprz]]&lt;20000,5,10))</f>
        <v>0</v>
      </c>
      <c r="I2487" s="1">
        <f>jablka5[[#This Row],[rabat]]*jablka5[[#This Row],[sprzedaż]]/100</f>
        <v>0</v>
      </c>
    </row>
    <row r="2488" spans="1:9" x14ac:dyDescent="0.25">
      <c r="A2488" s="2">
        <v>44806</v>
      </c>
      <c r="B2488" s="1" t="s">
        <v>14</v>
      </c>
      <c r="C2488" s="1" t="s">
        <v>67</v>
      </c>
      <c r="D2488" s="1" t="s">
        <v>52</v>
      </c>
      <c r="E2488">
        <v>179</v>
      </c>
      <c r="F2488" s="1">
        <f>VLOOKUP(jablka5[[#This Row],[Nazwa]],cennik[],2,0) * jablka5[[#This Row],[sprzedaż]]</f>
        <v>626.5</v>
      </c>
      <c r="G2488" s="1">
        <f>IF(jablka5[[#This Row],[NIP]]=D2487,jablka5[[#This Row],[sprzedaż]]+G2487,jablka5[[#This Row],[sprzedaż]])</f>
        <v>10431</v>
      </c>
      <c r="H2488" s="1">
        <f>IF(jablka5[[#This Row],[dot sprz]]&lt;15000,0,IF(jablka5[[#This Row],[dot sprz]]&lt;20000,5,10))</f>
        <v>0</v>
      </c>
      <c r="I2488" s="1">
        <f>jablka5[[#This Row],[rabat]]*jablka5[[#This Row],[sprzedaż]]/100</f>
        <v>0</v>
      </c>
    </row>
    <row r="2489" spans="1:9" x14ac:dyDescent="0.25">
      <c r="A2489" s="2">
        <v>44827</v>
      </c>
      <c r="B2489" s="1" t="s">
        <v>3</v>
      </c>
      <c r="C2489" s="1" t="s">
        <v>67</v>
      </c>
      <c r="D2489" s="1" t="s">
        <v>52</v>
      </c>
      <c r="E2489">
        <v>477</v>
      </c>
      <c r="F2489" s="1">
        <f>VLOOKUP(jablka5[[#This Row],[Nazwa]],cennik[],2,0) * jablka5[[#This Row],[sprzedaż]]</f>
        <v>1526.4</v>
      </c>
      <c r="G2489" s="1">
        <f>IF(jablka5[[#This Row],[NIP]]=D2488,jablka5[[#This Row],[sprzedaż]]+G2488,jablka5[[#This Row],[sprzedaż]])</f>
        <v>10908</v>
      </c>
      <c r="H2489" s="1">
        <f>IF(jablka5[[#This Row],[dot sprz]]&lt;15000,0,IF(jablka5[[#This Row],[dot sprz]]&lt;20000,5,10))</f>
        <v>0</v>
      </c>
      <c r="I2489" s="1">
        <f>jablka5[[#This Row],[rabat]]*jablka5[[#This Row],[sprzedaż]]/100</f>
        <v>0</v>
      </c>
    </row>
    <row r="2490" spans="1:9" x14ac:dyDescent="0.25">
      <c r="A2490" s="2">
        <v>44830</v>
      </c>
      <c r="B2490" s="1" t="s">
        <v>3</v>
      </c>
      <c r="C2490" s="1" t="s">
        <v>67</v>
      </c>
      <c r="D2490" s="1" t="s">
        <v>52</v>
      </c>
      <c r="E2490">
        <v>19</v>
      </c>
      <c r="F2490" s="1">
        <f>VLOOKUP(jablka5[[#This Row],[Nazwa]],cennik[],2,0) * jablka5[[#This Row],[sprzedaż]]</f>
        <v>60.800000000000004</v>
      </c>
      <c r="G2490" s="1">
        <f>IF(jablka5[[#This Row],[NIP]]=D2489,jablka5[[#This Row],[sprzedaż]]+G2489,jablka5[[#This Row],[sprzedaż]])</f>
        <v>10927</v>
      </c>
      <c r="H2490" s="1">
        <f>IF(jablka5[[#This Row],[dot sprz]]&lt;15000,0,IF(jablka5[[#This Row],[dot sprz]]&lt;20000,5,10))</f>
        <v>0</v>
      </c>
      <c r="I2490" s="1">
        <f>jablka5[[#This Row],[rabat]]*jablka5[[#This Row],[sprzedaż]]/100</f>
        <v>0</v>
      </c>
    </row>
    <row r="2491" spans="1:9" x14ac:dyDescent="0.25">
      <c r="A2491" s="2">
        <v>44851</v>
      </c>
      <c r="B2491" s="1" t="s">
        <v>11</v>
      </c>
      <c r="C2491" s="1" t="s">
        <v>67</v>
      </c>
      <c r="D2491" s="1" t="s">
        <v>52</v>
      </c>
      <c r="E2491">
        <v>30</v>
      </c>
      <c r="F2491" s="1">
        <f>VLOOKUP(jablka5[[#This Row],[Nazwa]],cennik[],2,0) * jablka5[[#This Row],[sprzedaż]]</f>
        <v>75</v>
      </c>
      <c r="G2491" s="1">
        <f>IF(jablka5[[#This Row],[NIP]]=D2490,jablka5[[#This Row],[sprzedaż]]+G2490,jablka5[[#This Row],[sprzedaż]])</f>
        <v>10957</v>
      </c>
      <c r="H2491" s="1">
        <f>IF(jablka5[[#This Row],[dot sprz]]&lt;15000,0,IF(jablka5[[#This Row],[dot sprz]]&lt;20000,5,10))</f>
        <v>0</v>
      </c>
      <c r="I2491" s="1">
        <f>jablka5[[#This Row],[rabat]]*jablka5[[#This Row],[sprzedaż]]/100</f>
        <v>0</v>
      </c>
    </row>
    <row r="2492" spans="1:9" x14ac:dyDescent="0.25">
      <c r="A2492" s="2">
        <v>44854</v>
      </c>
      <c r="B2492" s="1" t="s">
        <v>1</v>
      </c>
      <c r="C2492" s="1" t="s">
        <v>67</v>
      </c>
      <c r="D2492" s="1" t="s">
        <v>52</v>
      </c>
      <c r="E2492">
        <v>398</v>
      </c>
      <c r="F2492" s="1">
        <f>VLOOKUP(jablka5[[#This Row],[Nazwa]],cennik[],2,0) * jablka5[[#This Row],[sprzedaż]]</f>
        <v>1273.6000000000001</v>
      </c>
      <c r="G2492" s="1">
        <f>IF(jablka5[[#This Row],[NIP]]=D2491,jablka5[[#This Row],[sprzedaż]]+G2491,jablka5[[#This Row],[sprzedaż]])</f>
        <v>11355</v>
      </c>
      <c r="H2492" s="1">
        <f>IF(jablka5[[#This Row],[dot sprz]]&lt;15000,0,IF(jablka5[[#This Row],[dot sprz]]&lt;20000,5,10))</f>
        <v>0</v>
      </c>
      <c r="I2492" s="1">
        <f>jablka5[[#This Row],[rabat]]*jablka5[[#This Row],[sprzedaż]]/100</f>
        <v>0</v>
      </c>
    </row>
    <row r="2493" spans="1:9" x14ac:dyDescent="0.25">
      <c r="A2493" s="2">
        <v>44862</v>
      </c>
      <c r="B2493" s="1" t="s">
        <v>11</v>
      </c>
      <c r="C2493" s="1" t="s">
        <v>67</v>
      </c>
      <c r="D2493" s="1" t="s">
        <v>52</v>
      </c>
      <c r="E2493">
        <v>249</v>
      </c>
      <c r="F2493" s="1">
        <f>VLOOKUP(jablka5[[#This Row],[Nazwa]],cennik[],2,0) * jablka5[[#This Row],[sprzedaż]]</f>
        <v>622.5</v>
      </c>
      <c r="G2493" s="1">
        <f>IF(jablka5[[#This Row],[NIP]]=D2492,jablka5[[#This Row],[sprzedaż]]+G2492,jablka5[[#This Row],[sprzedaż]])</f>
        <v>11604</v>
      </c>
      <c r="H2493" s="1">
        <f>IF(jablka5[[#This Row],[dot sprz]]&lt;15000,0,IF(jablka5[[#This Row],[dot sprz]]&lt;20000,5,10))</f>
        <v>0</v>
      </c>
      <c r="I2493" s="1">
        <f>jablka5[[#This Row],[rabat]]*jablka5[[#This Row],[sprzedaż]]/100</f>
        <v>0</v>
      </c>
    </row>
    <row r="2494" spans="1:9" x14ac:dyDescent="0.25">
      <c r="A2494" s="2">
        <v>44865</v>
      </c>
      <c r="B2494" s="1" t="s">
        <v>9</v>
      </c>
      <c r="C2494" s="1" t="s">
        <v>67</v>
      </c>
      <c r="D2494" s="1" t="s">
        <v>52</v>
      </c>
      <c r="E2494">
        <v>267</v>
      </c>
      <c r="F2494" s="1">
        <f>VLOOKUP(jablka5[[#This Row],[Nazwa]],cennik[],2,0) * jablka5[[#This Row],[sprzedaż]]</f>
        <v>667.5</v>
      </c>
      <c r="G2494" s="1">
        <f>IF(jablka5[[#This Row],[NIP]]=D2493,jablka5[[#This Row],[sprzedaż]]+G2493,jablka5[[#This Row],[sprzedaż]])</f>
        <v>11871</v>
      </c>
      <c r="H2494" s="1">
        <f>IF(jablka5[[#This Row],[dot sprz]]&lt;15000,0,IF(jablka5[[#This Row],[dot sprz]]&lt;20000,5,10))</f>
        <v>0</v>
      </c>
      <c r="I2494" s="1">
        <f>jablka5[[#This Row],[rabat]]*jablka5[[#This Row],[sprzedaż]]/100</f>
        <v>0</v>
      </c>
    </row>
    <row r="2495" spans="1:9" x14ac:dyDescent="0.25">
      <c r="A2495" s="2">
        <v>44879</v>
      </c>
      <c r="B2495" s="1" t="s">
        <v>14</v>
      </c>
      <c r="C2495" s="1" t="s">
        <v>67</v>
      </c>
      <c r="D2495" s="1" t="s">
        <v>52</v>
      </c>
      <c r="E2495">
        <v>230</v>
      </c>
      <c r="F2495" s="1">
        <f>VLOOKUP(jablka5[[#This Row],[Nazwa]],cennik[],2,0) * jablka5[[#This Row],[sprzedaż]]</f>
        <v>805</v>
      </c>
      <c r="G2495" s="1">
        <f>IF(jablka5[[#This Row],[NIP]]=D2494,jablka5[[#This Row],[sprzedaż]]+G2494,jablka5[[#This Row],[sprzedaż]])</f>
        <v>12101</v>
      </c>
      <c r="H2495" s="1">
        <f>IF(jablka5[[#This Row],[dot sprz]]&lt;15000,0,IF(jablka5[[#This Row],[dot sprz]]&lt;20000,5,10))</f>
        <v>0</v>
      </c>
      <c r="I2495" s="1">
        <f>jablka5[[#This Row],[rabat]]*jablka5[[#This Row],[sprzedaż]]/100</f>
        <v>0</v>
      </c>
    </row>
    <row r="2496" spans="1:9" x14ac:dyDescent="0.25">
      <c r="A2496" s="2">
        <v>44881</v>
      </c>
      <c r="B2496" s="1" t="s">
        <v>14</v>
      </c>
      <c r="C2496" s="1" t="s">
        <v>67</v>
      </c>
      <c r="D2496" s="1" t="s">
        <v>52</v>
      </c>
      <c r="E2496">
        <v>440</v>
      </c>
      <c r="F2496" s="1">
        <f>VLOOKUP(jablka5[[#This Row],[Nazwa]],cennik[],2,0) * jablka5[[#This Row],[sprzedaż]]</f>
        <v>1540</v>
      </c>
      <c r="G2496" s="1">
        <f>IF(jablka5[[#This Row],[NIP]]=D2495,jablka5[[#This Row],[sprzedaż]]+G2495,jablka5[[#This Row],[sprzedaż]])</f>
        <v>12541</v>
      </c>
      <c r="H2496" s="1">
        <f>IF(jablka5[[#This Row],[dot sprz]]&lt;15000,0,IF(jablka5[[#This Row],[dot sprz]]&lt;20000,5,10))</f>
        <v>0</v>
      </c>
      <c r="I2496" s="1">
        <f>jablka5[[#This Row],[rabat]]*jablka5[[#This Row],[sprzedaż]]/100</f>
        <v>0</v>
      </c>
    </row>
    <row r="2497" spans="1:9" x14ac:dyDescent="0.25">
      <c r="A2497" s="2">
        <v>44884</v>
      </c>
      <c r="B2497" s="1" t="s">
        <v>14</v>
      </c>
      <c r="C2497" s="1" t="s">
        <v>67</v>
      </c>
      <c r="D2497" s="1" t="s">
        <v>52</v>
      </c>
      <c r="E2497">
        <v>84</v>
      </c>
      <c r="F2497" s="1">
        <f>VLOOKUP(jablka5[[#This Row],[Nazwa]],cennik[],2,0) * jablka5[[#This Row],[sprzedaż]]</f>
        <v>294</v>
      </c>
      <c r="G2497" s="1">
        <f>IF(jablka5[[#This Row],[NIP]]=D2496,jablka5[[#This Row],[sprzedaż]]+G2496,jablka5[[#This Row],[sprzedaż]])</f>
        <v>12625</v>
      </c>
      <c r="H2497" s="1">
        <f>IF(jablka5[[#This Row],[dot sprz]]&lt;15000,0,IF(jablka5[[#This Row],[dot sprz]]&lt;20000,5,10))</f>
        <v>0</v>
      </c>
      <c r="I2497" s="1">
        <f>jablka5[[#This Row],[rabat]]*jablka5[[#This Row],[sprzedaż]]/100</f>
        <v>0</v>
      </c>
    </row>
    <row r="2498" spans="1:9" x14ac:dyDescent="0.25">
      <c r="A2498" s="2">
        <v>44884</v>
      </c>
      <c r="B2498" s="1" t="s">
        <v>11</v>
      </c>
      <c r="C2498" s="1" t="s">
        <v>67</v>
      </c>
      <c r="D2498" s="1" t="s">
        <v>52</v>
      </c>
      <c r="E2498">
        <v>16</v>
      </c>
      <c r="F2498" s="1">
        <f>VLOOKUP(jablka5[[#This Row],[Nazwa]],cennik[],2,0) * jablka5[[#This Row],[sprzedaż]]</f>
        <v>40</v>
      </c>
      <c r="G2498" s="1">
        <f>IF(jablka5[[#This Row],[NIP]]=D2497,jablka5[[#This Row],[sprzedaż]]+G2497,jablka5[[#This Row],[sprzedaż]])</f>
        <v>12641</v>
      </c>
      <c r="H2498" s="1">
        <f>IF(jablka5[[#This Row],[dot sprz]]&lt;15000,0,IF(jablka5[[#This Row],[dot sprz]]&lt;20000,5,10))</f>
        <v>0</v>
      </c>
      <c r="I2498" s="1">
        <f>jablka5[[#This Row],[rabat]]*jablka5[[#This Row],[sprzedaż]]/100</f>
        <v>0</v>
      </c>
    </row>
    <row r="2499" spans="1:9" x14ac:dyDescent="0.25">
      <c r="A2499" s="2">
        <v>44887</v>
      </c>
      <c r="B2499" s="1" t="s">
        <v>1</v>
      </c>
      <c r="C2499" s="1" t="s">
        <v>67</v>
      </c>
      <c r="D2499" s="1" t="s">
        <v>52</v>
      </c>
      <c r="E2499">
        <v>173</v>
      </c>
      <c r="F2499" s="1">
        <f>VLOOKUP(jablka5[[#This Row],[Nazwa]],cennik[],2,0) * jablka5[[#This Row],[sprzedaż]]</f>
        <v>553.6</v>
      </c>
      <c r="G2499" s="1">
        <f>IF(jablka5[[#This Row],[NIP]]=D2498,jablka5[[#This Row],[sprzedaż]]+G2498,jablka5[[#This Row],[sprzedaż]])</f>
        <v>12814</v>
      </c>
      <c r="H2499" s="1">
        <f>IF(jablka5[[#This Row],[dot sprz]]&lt;15000,0,IF(jablka5[[#This Row],[dot sprz]]&lt;20000,5,10))</f>
        <v>0</v>
      </c>
      <c r="I2499" s="1">
        <f>jablka5[[#This Row],[rabat]]*jablka5[[#This Row],[sprzedaż]]/100</f>
        <v>0</v>
      </c>
    </row>
    <row r="2500" spans="1:9" x14ac:dyDescent="0.25">
      <c r="A2500" s="2">
        <v>44909</v>
      </c>
      <c r="B2500" s="1" t="s">
        <v>15</v>
      </c>
      <c r="C2500" s="1" t="s">
        <v>16</v>
      </c>
      <c r="D2500" s="1" t="s">
        <v>52</v>
      </c>
      <c r="E2500">
        <v>153</v>
      </c>
      <c r="F2500" s="1">
        <f>VLOOKUP(jablka5[[#This Row],[Nazwa]],cennik[],2,0) * jablka5[[#This Row],[sprzedaż]]</f>
        <v>367.2</v>
      </c>
      <c r="G2500" s="1">
        <f>IF(jablka5[[#This Row],[NIP]]=D2499,jablka5[[#This Row],[sprzedaż]]+G2499,jablka5[[#This Row],[sprzedaż]])</f>
        <v>12967</v>
      </c>
      <c r="H2500" s="1">
        <f>IF(jablka5[[#This Row],[dot sprz]]&lt;15000,0,IF(jablka5[[#This Row],[dot sprz]]&lt;20000,5,10))</f>
        <v>0</v>
      </c>
      <c r="I2500" s="1">
        <f>jablka5[[#This Row],[rabat]]*jablka5[[#This Row],[sprzedaż]]/100</f>
        <v>0</v>
      </c>
    </row>
    <row r="2501" spans="1:9" x14ac:dyDescent="0.25">
      <c r="A2501" s="2">
        <v>44921</v>
      </c>
      <c r="B2501" s="1" t="s">
        <v>6</v>
      </c>
      <c r="C2501" s="1" t="s">
        <v>16</v>
      </c>
      <c r="D2501" s="1" t="s">
        <v>52</v>
      </c>
      <c r="E2501">
        <v>424</v>
      </c>
      <c r="F2501" s="1">
        <f>VLOOKUP(jablka5[[#This Row],[Nazwa]],cennik[],2,0) * jablka5[[#This Row],[sprzedaż]]</f>
        <v>1441.6</v>
      </c>
      <c r="G2501" s="1">
        <f>IF(jablka5[[#This Row],[NIP]]=D2500,jablka5[[#This Row],[sprzedaż]]+G2500,jablka5[[#This Row],[sprzedaż]])</f>
        <v>13391</v>
      </c>
      <c r="H2501" s="1">
        <f>IF(jablka5[[#This Row],[dot sprz]]&lt;15000,0,IF(jablka5[[#This Row],[dot sprz]]&lt;20000,5,10))</f>
        <v>0</v>
      </c>
      <c r="I2501" s="1">
        <f>jablka5[[#This Row],[rabat]]*jablka5[[#This Row],[sprzedaż]]/100</f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49FC6B5423A9540885A0849F482E28A" ma:contentTypeVersion="10" ma:contentTypeDescription="Utwórz nowy dokument." ma:contentTypeScope="" ma:versionID="34240d85f000802ba74c9bb5b31b722b">
  <xsd:schema xmlns:xsd="http://www.w3.org/2001/XMLSchema" xmlns:xs="http://www.w3.org/2001/XMLSchema" xmlns:p="http://schemas.microsoft.com/office/2006/metadata/properties" xmlns:ns2="6d993966-9d79-4f64-b5a1-a59ce4e6b735" xmlns:ns3="81ff2dd3-2cbe-49ae-ab2a-11946fc506f8" targetNamespace="http://schemas.microsoft.com/office/2006/metadata/properties" ma:root="true" ma:fieldsID="d0e7fa97a1858330196d1184f5c4e640" ns2:_="" ns3:_="">
    <xsd:import namespace="6d993966-9d79-4f64-b5a1-a59ce4e6b735"/>
    <xsd:import namespace="81ff2dd3-2cbe-49ae-ab2a-11946fc506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93966-9d79-4f64-b5a1-a59ce4e6b7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ee7aeaf9-c092-46e9-be9d-06b2c7aef9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ff2dd3-2cbe-49ae-ab2a-11946fc506f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8cd3633-3f45-4c45-830e-b141957ea0b4}" ma:internalName="TaxCatchAll" ma:showField="CatchAllData" ma:web="81ff2dd3-2cbe-49ae-ab2a-11946fc506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993966-9d79-4f64-b5a1-a59ce4e6b735">
      <Terms xmlns="http://schemas.microsoft.com/office/infopath/2007/PartnerControls"/>
    </lcf76f155ced4ddcb4097134ff3c332f>
    <TaxCatchAll xmlns="81ff2dd3-2cbe-49ae-ab2a-11946fc506f8" xsi:nil="true"/>
  </documentManagement>
</p:properties>
</file>

<file path=customXml/itemProps1.xml><?xml version="1.0" encoding="utf-8"?>
<ds:datastoreItem xmlns:ds="http://schemas.openxmlformats.org/officeDocument/2006/customXml" ds:itemID="{3A19A28F-9574-4EB3-8A5C-F4865E81C19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407F89F-07E1-42D4-834F-6623CF00406F}"/>
</file>

<file path=customXml/itemProps3.xml><?xml version="1.0" encoding="utf-8"?>
<ds:datastoreItem xmlns:ds="http://schemas.openxmlformats.org/officeDocument/2006/customXml" ds:itemID="{BB9D1190-6819-4490-8727-219F15A8A42C}"/>
</file>

<file path=customXml/itemProps4.xml><?xml version="1.0" encoding="utf-8"?>
<ds:datastoreItem xmlns:ds="http://schemas.openxmlformats.org/officeDocument/2006/customXml" ds:itemID="{80EC3C2D-FB9F-4D2D-9064-941AE27BFB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jablka</vt:lpstr>
      <vt:lpstr>cennik</vt:lpstr>
      <vt:lpstr>7_1</vt:lpstr>
      <vt:lpstr>7_2</vt:lpstr>
      <vt:lpstr>7_3</vt:lpstr>
      <vt:lpstr>7_4</vt:lpstr>
    </vt:vector>
  </TitlesOfParts>
  <Company>XLLO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Bartos</dc:creator>
  <cp:lastModifiedBy>Natalia Bartos</cp:lastModifiedBy>
  <dcterms:created xsi:type="dcterms:W3CDTF">2026-03-11T07:14:17Z</dcterms:created>
  <dcterms:modified xsi:type="dcterms:W3CDTF">2026-03-11T10:58:38Z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0x010100649FC6B5423A9540885A0849F482E28A</vt:lpwstr>
  </property>
</Properties>
</file>