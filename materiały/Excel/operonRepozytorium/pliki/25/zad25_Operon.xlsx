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alia.bartos\Downloads\XXX\"/>
    </mc:Choice>
  </mc:AlternateContent>
  <xr:revisionPtr revIDLastSave="0" documentId="8_{91D86ED4-CC76-41BB-8FD0-5A94B788916C}" xr6:coauthVersionLast="47" xr6:coauthVersionMax="47" xr10:uidLastSave="{00000000-0000-0000-0000-000000000000}"/>
  <bookViews>
    <workbookView xWindow="14295" yWindow="0" windowWidth="14610" windowHeight="15585" activeTab="3" xr2:uid="{203A1610-0230-41C9-AB85-98555D098659}"/>
  </bookViews>
  <sheets>
    <sheet name="kawiarnia" sheetId="2" r:id="rId1"/>
    <sheet name="25_1" sheetId="3" r:id="rId2"/>
    <sheet name="25_2" sheetId="4" r:id="rId3"/>
    <sheet name="25_3 i 25_4" sheetId="5" r:id="rId4"/>
  </sheets>
  <definedNames>
    <definedName name="ExternalData_1" localSheetId="0" hidden="1">kawiarnia!$A$1:$D$108</definedName>
  </definedNames>
  <calcPr calcId="191029"/>
  <pivotCaches>
    <pivotCache cacheId="1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5" l="1"/>
  <c r="E4" i="5"/>
  <c r="F4" i="3"/>
  <c r="D4" i="3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1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815C3-4203-4A64-B328-B51904AD335C}" keepAlive="1" name="Zapytanie — kawiarnia" description="Połączenie z zapytaniem „kawiarnia” w skoroszycie." type="5" refreshedVersion="8" background="1" saveData="1">
    <dbPr connection="Provider=Microsoft.Mashup.OleDb.1;Data Source=$Workbook$;Location=kawiarnia;Extended Properties=&quot;&quot;" command="SELECT * FROM [kawiarnia]"/>
  </connection>
</connections>
</file>

<file path=xl/sharedStrings.xml><?xml version="1.0" encoding="utf-8"?>
<sst xmlns="http://schemas.openxmlformats.org/spreadsheetml/2006/main" count="206" uniqueCount="36">
  <si>
    <t>nr_trans</t>
  </si>
  <si>
    <t>danie</t>
  </si>
  <si>
    <t>ilość</t>
  </si>
  <si>
    <t>cena_szt</t>
  </si>
  <si>
    <t>lody</t>
  </si>
  <si>
    <t>kawa latte</t>
  </si>
  <si>
    <t xml:space="preserve">jabłecznik </t>
  </si>
  <si>
    <t>kawa espresso</t>
  </si>
  <si>
    <t>ice oreo</t>
  </si>
  <si>
    <t>maliny na ciepło z bezą</t>
  </si>
  <si>
    <t>lemoniada malinowo- miętowa</t>
  </si>
  <si>
    <t>lemoniada gruszka-tymianek</t>
  </si>
  <si>
    <t>karmelove marzenie</t>
  </si>
  <si>
    <t>słodki ogród</t>
  </si>
  <si>
    <t>kawa biała</t>
  </si>
  <si>
    <t>biała czekolada</t>
  </si>
  <si>
    <t>owoce pod kruszonką</t>
  </si>
  <si>
    <t>słodkość dnia</t>
  </si>
  <si>
    <t>pistacjowe frappe</t>
  </si>
  <si>
    <t>kawa wiedeńska</t>
  </si>
  <si>
    <t>kawa czarna</t>
  </si>
  <si>
    <t>lemoniada rabarbar z wanilią</t>
  </si>
  <si>
    <t>cappuccino</t>
  </si>
  <si>
    <t>Etykiety wierszy</t>
  </si>
  <si>
    <t>Suma końcowa</t>
  </si>
  <si>
    <t>koszt</t>
  </si>
  <si>
    <t>Suma z koszt</t>
  </si>
  <si>
    <t>max</t>
  </si>
  <si>
    <t>produkt</t>
  </si>
  <si>
    <t>Liczba z nr_trans</t>
  </si>
  <si>
    <t>Produkt</t>
  </si>
  <si>
    <t>ile zamówień</t>
  </si>
  <si>
    <t>kwota</t>
  </si>
  <si>
    <t>ile</t>
  </si>
  <si>
    <t>które zamówienie</t>
  </si>
  <si>
    <t>25_4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</si>
</sst>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</cellXfs>
  <cellStyles count="1">
    <cellStyle name="Normalny" xfId="0" builtinId="0"/>
  </cellStyles>
  <dxfs count="4">
    <dxf>
      <numFmt numFmtId="0" formatCode="General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talia.bartos" refreshedDate="46091.727570138886" createdVersion="8" refreshedVersion="8" minRefreshableVersion="3" recordCount="107" xr:uid="{1F2B17A5-9ACF-4F9B-AFD0-98AC8EA18F7A}">
  <cacheSource type="worksheet">
    <worksheetSource name="kawiarnia"/>
  </cacheSource>
  <cacheFields count="5">
    <cacheField name="nr_trans" numFmtId="0">
      <sharedItems containsSemiMixedTypes="0" containsString="0" containsNumber="1" containsInteger="1" minValue="1" maxValue="40" count="39">
        <n v="1"/>
        <n v="2"/>
        <n v="3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</sharedItems>
    </cacheField>
    <cacheField name="danie" numFmtId="0">
      <sharedItems count="19">
        <s v="lody"/>
        <s v="kawa latte"/>
        <s v="jabłecznik "/>
        <s v="kawa espresso"/>
        <s v="ice oreo"/>
        <s v="maliny na ciepło z bezą"/>
        <s v="lemoniada malinowo- miętowa"/>
        <s v="lemoniada gruszka-tymianek"/>
        <s v="karmelove marzenie"/>
        <s v="słodki ogród"/>
        <s v="kawa biała"/>
        <s v="biała czekolada"/>
        <s v="owoce pod kruszonką"/>
        <s v="słodkość dnia"/>
        <s v="pistacjowe frappe"/>
        <s v="kawa wiedeńska"/>
        <s v="kawa czarna"/>
        <s v="lemoniada rabarbar z wanilią"/>
        <s v="cappuccino"/>
      </sharedItems>
    </cacheField>
    <cacheField name="ilość" numFmtId="0">
      <sharedItems containsSemiMixedTypes="0" containsString="0" containsNumber="1" containsInteger="1" minValue="1" maxValue="10" count="8">
        <n v="5"/>
        <n v="2"/>
        <n v="3"/>
        <n v="1"/>
        <n v="6"/>
        <n v="4"/>
        <n v="8"/>
        <n v="10"/>
      </sharedItems>
    </cacheField>
    <cacheField name="cena_szt" numFmtId="0">
      <sharedItems containsSemiMixedTypes="0" containsString="0" containsNumber="1" minValue="5.5" maxValue="20"/>
    </cacheField>
    <cacheField name="koszt" numFmtId="0">
      <sharedItems containsSemiMixedTypes="0" containsString="0" containsNumber="1" minValue="5.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">
  <r>
    <x v="0"/>
    <x v="0"/>
    <x v="0"/>
    <n v="5.5"/>
    <n v="27.5"/>
  </r>
  <r>
    <x v="0"/>
    <x v="1"/>
    <x v="1"/>
    <n v="8.5"/>
    <n v="17"/>
  </r>
  <r>
    <x v="1"/>
    <x v="2"/>
    <x v="2"/>
    <n v="13"/>
    <n v="39"/>
  </r>
  <r>
    <x v="1"/>
    <x v="1"/>
    <x v="1"/>
    <n v="10"/>
    <n v="20"/>
  </r>
  <r>
    <x v="1"/>
    <x v="3"/>
    <x v="3"/>
    <n v="7"/>
    <n v="7"/>
  </r>
  <r>
    <x v="1"/>
    <x v="0"/>
    <x v="4"/>
    <n v="5.5"/>
    <n v="33"/>
  </r>
  <r>
    <x v="2"/>
    <x v="4"/>
    <x v="2"/>
    <n v="20"/>
    <n v="60"/>
  </r>
  <r>
    <x v="2"/>
    <x v="5"/>
    <x v="1"/>
    <n v="20"/>
    <n v="40"/>
  </r>
  <r>
    <x v="2"/>
    <x v="6"/>
    <x v="5"/>
    <n v="13"/>
    <n v="52"/>
  </r>
  <r>
    <x v="2"/>
    <x v="7"/>
    <x v="3"/>
    <n v="12"/>
    <n v="12"/>
  </r>
  <r>
    <x v="3"/>
    <x v="8"/>
    <x v="1"/>
    <n v="20"/>
    <n v="40"/>
  </r>
  <r>
    <x v="3"/>
    <x v="9"/>
    <x v="1"/>
    <n v="20"/>
    <n v="40"/>
  </r>
  <r>
    <x v="3"/>
    <x v="3"/>
    <x v="1"/>
    <n v="7"/>
    <n v="14"/>
  </r>
  <r>
    <x v="3"/>
    <x v="1"/>
    <x v="1"/>
    <n v="8.5"/>
    <n v="17"/>
  </r>
  <r>
    <x v="4"/>
    <x v="2"/>
    <x v="5"/>
    <n v="13"/>
    <n v="52"/>
  </r>
  <r>
    <x v="4"/>
    <x v="0"/>
    <x v="6"/>
    <n v="5.5"/>
    <n v="44"/>
  </r>
  <r>
    <x v="4"/>
    <x v="10"/>
    <x v="1"/>
    <n v="8"/>
    <n v="16"/>
  </r>
  <r>
    <x v="4"/>
    <x v="11"/>
    <x v="1"/>
    <n v="15"/>
    <n v="30"/>
  </r>
  <r>
    <x v="5"/>
    <x v="12"/>
    <x v="1"/>
    <n v="12"/>
    <n v="24"/>
  </r>
  <r>
    <x v="5"/>
    <x v="0"/>
    <x v="1"/>
    <n v="5.5"/>
    <n v="11"/>
  </r>
  <r>
    <x v="5"/>
    <x v="3"/>
    <x v="1"/>
    <n v="7"/>
    <n v="14"/>
  </r>
  <r>
    <x v="6"/>
    <x v="13"/>
    <x v="1"/>
    <n v="14"/>
    <n v="28"/>
  </r>
  <r>
    <x v="6"/>
    <x v="11"/>
    <x v="3"/>
    <n v="15"/>
    <n v="15"/>
  </r>
  <r>
    <x v="6"/>
    <x v="1"/>
    <x v="3"/>
    <n v="8.5"/>
    <n v="8.5"/>
  </r>
  <r>
    <x v="7"/>
    <x v="8"/>
    <x v="1"/>
    <n v="20"/>
    <n v="40"/>
  </r>
  <r>
    <x v="7"/>
    <x v="9"/>
    <x v="1"/>
    <n v="20"/>
    <n v="40"/>
  </r>
  <r>
    <x v="7"/>
    <x v="14"/>
    <x v="1"/>
    <n v="15"/>
    <n v="30"/>
  </r>
  <r>
    <x v="7"/>
    <x v="6"/>
    <x v="1"/>
    <n v="13"/>
    <n v="26"/>
  </r>
  <r>
    <x v="8"/>
    <x v="15"/>
    <x v="2"/>
    <n v="9"/>
    <n v="27"/>
  </r>
  <r>
    <x v="8"/>
    <x v="0"/>
    <x v="6"/>
    <n v="5.5"/>
    <n v="44"/>
  </r>
  <r>
    <x v="9"/>
    <x v="4"/>
    <x v="3"/>
    <n v="20"/>
    <n v="20"/>
  </r>
  <r>
    <x v="9"/>
    <x v="13"/>
    <x v="3"/>
    <n v="14"/>
    <n v="14"/>
  </r>
  <r>
    <x v="9"/>
    <x v="3"/>
    <x v="1"/>
    <n v="7"/>
    <n v="14"/>
  </r>
  <r>
    <x v="10"/>
    <x v="12"/>
    <x v="3"/>
    <n v="12"/>
    <n v="12"/>
  </r>
  <r>
    <x v="10"/>
    <x v="13"/>
    <x v="3"/>
    <n v="14"/>
    <n v="14"/>
  </r>
  <r>
    <x v="10"/>
    <x v="16"/>
    <x v="1"/>
    <n v="7"/>
    <n v="14"/>
  </r>
  <r>
    <x v="11"/>
    <x v="2"/>
    <x v="2"/>
    <n v="13"/>
    <n v="39"/>
  </r>
  <r>
    <x v="11"/>
    <x v="0"/>
    <x v="2"/>
    <n v="5.5"/>
    <n v="16.5"/>
  </r>
  <r>
    <x v="11"/>
    <x v="4"/>
    <x v="2"/>
    <n v="20"/>
    <n v="60"/>
  </r>
  <r>
    <x v="11"/>
    <x v="7"/>
    <x v="1"/>
    <n v="12"/>
    <n v="24"/>
  </r>
  <r>
    <x v="11"/>
    <x v="17"/>
    <x v="3"/>
    <n v="12"/>
    <n v="12"/>
  </r>
  <r>
    <x v="12"/>
    <x v="0"/>
    <x v="4"/>
    <n v="5.5"/>
    <n v="33"/>
  </r>
  <r>
    <x v="12"/>
    <x v="11"/>
    <x v="1"/>
    <n v="15"/>
    <n v="30"/>
  </r>
  <r>
    <x v="12"/>
    <x v="12"/>
    <x v="1"/>
    <n v="12"/>
    <n v="24"/>
  </r>
  <r>
    <x v="13"/>
    <x v="16"/>
    <x v="3"/>
    <n v="7"/>
    <n v="7"/>
  </r>
  <r>
    <x v="13"/>
    <x v="0"/>
    <x v="5"/>
    <n v="5.5"/>
    <n v="22"/>
  </r>
  <r>
    <x v="13"/>
    <x v="14"/>
    <x v="3"/>
    <n v="15"/>
    <n v="15"/>
  </r>
  <r>
    <x v="14"/>
    <x v="4"/>
    <x v="3"/>
    <n v="20"/>
    <n v="20"/>
  </r>
  <r>
    <x v="14"/>
    <x v="5"/>
    <x v="3"/>
    <n v="20"/>
    <n v="20"/>
  </r>
  <r>
    <x v="14"/>
    <x v="10"/>
    <x v="3"/>
    <n v="8"/>
    <n v="8"/>
  </r>
  <r>
    <x v="14"/>
    <x v="3"/>
    <x v="3"/>
    <n v="7"/>
    <n v="7"/>
  </r>
  <r>
    <x v="15"/>
    <x v="4"/>
    <x v="3"/>
    <n v="20"/>
    <n v="20"/>
  </r>
  <r>
    <x v="15"/>
    <x v="12"/>
    <x v="3"/>
    <n v="12"/>
    <n v="12"/>
  </r>
  <r>
    <x v="15"/>
    <x v="7"/>
    <x v="3"/>
    <n v="12"/>
    <n v="12"/>
  </r>
  <r>
    <x v="15"/>
    <x v="17"/>
    <x v="3"/>
    <n v="12"/>
    <n v="12"/>
  </r>
  <r>
    <x v="16"/>
    <x v="10"/>
    <x v="1"/>
    <n v="8"/>
    <n v="16"/>
  </r>
  <r>
    <x v="16"/>
    <x v="13"/>
    <x v="1"/>
    <n v="14"/>
    <n v="28"/>
  </r>
  <r>
    <x v="17"/>
    <x v="18"/>
    <x v="1"/>
    <n v="9"/>
    <n v="18"/>
  </r>
  <r>
    <x v="17"/>
    <x v="5"/>
    <x v="1"/>
    <n v="20"/>
    <n v="40"/>
  </r>
  <r>
    <x v="18"/>
    <x v="18"/>
    <x v="3"/>
    <n v="9"/>
    <n v="9"/>
  </r>
  <r>
    <x v="18"/>
    <x v="2"/>
    <x v="3"/>
    <n v="13"/>
    <n v="13"/>
  </r>
  <r>
    <x v="19"/>
    <x v="4"/>
    <x v="3"/>
    <n v="20"/>
    <n v="20"/>
  </r>
  <r>
    <x v="19"/>
    <x v="5"/>
    <x v="3"/>
    <n v="20"/>
    <n v="20"/>
  </r>
  <r>
    <x v="19"/>
    <x v="14"/>
    <x v="1"/>
    <n v="15"/>
    <n v="30"/>
  </r>
  <r>
    <x v="20"/>
    <x v="9"/>
    <x v="3"/>
    <n v="20"/>
    <n v="20"/>
  </r>
  <r>
    <x v="20"/>
    <x v="12"/>
    <x v="3"/>
    <n v="12"/>
    <n v="12"/>
  </r>
  <r>
    <x v="20"/>
    <x v="17"/>
    <x v="1"/>
    <n v="12"/>
    <n v="24"/>
  </r>
  <r>
    <x v="21"/>
    <x v="18"/>
    <x v="3"/>
    <n v="9"/>
    <n v="9"/>
  </r>
  <r>
    <x v="21"/>
    <x v="15"/>
    <x v="3"/>
    <n v="9"/>
    <n v="9"/>
  </r>
  <r>
    <x v="22"/>
    <x v="18"/>
    <x v="3"/>
    <n v="9"/>
    <n v="9"/>
  </r>
  <r>
    <x v="22"/>
    <x v="11"/>
    <x v="3"/>
    <n v="15"/>
    <n v="15"/>
  </r>
  <r>
    <x v="23"/>
    <x v="13"/>
    <x v="3"/>
    <n v="14"/>
    <n v="14"/>
  </r>
  <r>
    <x v="23"/>
    <x v="17"/>
    <x v="3"/>
    <n v="12"/>
    <n v="12"/>
  </r>
  <r>
    <x v="24"/>
    <x v="0"/>
    <x v="7"/>
    <n v="5.5"/>
    <n v="55"/>
  </r>
  <r>
    <x v="25"/>
    <x v="15"/>
    <x v="3"/>
    <n v="9"/>
    <n v="9"/>
  </r>
  <r>
    <x v="25"/>
    <x v="7"/>
    <x v="3"/>
    <n v="12"/>
    <n v="12"/>
  </r>
  <r>
    <x v="25"/>
    <x v="0"/>
    <x v="5"/>
    <n v="5.5"/>
    <n v="22"/>
  </r>
  <r>
    <x v="26"/>
    <x v="6"/>
    <x v="1"/>
    <n v="13"/>
    <n v="26"/>
  </r>
  <r>
    <x v="26"/>
    <x v="7"/>
    <x v="1"/>
    <n v="12"/>
    <n v="24"/>
  </r>
  <r>
    <x v="27"/>
    <x v="16"/>
    <x v="3"/>
    <n v="7"/>
    <n v="7"/>
  </r>
  <r>
    <x v="28"/>
    <x v="13"/>
    <x v="3"/>
    <n v="14"/>
    <n v="14"/>
  </r>
  <r>
    <x v="28"/>
    <x v="5"/>
    <x v="3"/>
    <n v="20"/>
    <n v="20"/>
  </r>
  <r>
    <x v="28"/>
    <x v="11"/>
    <x v="1"/>
    <n v="15"/>
    <n v="30"/>
  </r>
  <r>
    <x v="29"/>
    <x v="14"/>
    <x v="2"/>
    <n v="15"/>
    <n v="45"/>
  </r>
  <r>
    <x v="29"/>
    <x v="4"/>
    <x v="2"/>
    <n v="20"/>
    <n v="60"/>
  </r>
  <r>
    <x v="29"/>
    <x v="5"/>
    <x v="2"/>
    <n v="20"/>
    <n v="60"/>
  </r>
  <r>
    <x v="29"/>
    <x v="1"/>
    <x v="2"/>
    <n v="8.5"/>
    <n v="25.5"/>
  </r>
  <r>
    <x v="30"/>
    <x v="13"/>
    <x v="1"/>
    <n v="14"/>
    <n v="28"/>
  </r>
  <r>
    <x v="30"/>
    <x v="3"/>
    <x v="1"/>
    <n v="7"/>
    <n v="14"/>
  </r>
  <r>
    <x v="30"/>
    <x v="0"/>
    <x v="1"/>
    <n v="5.5"/>
    <n v="11"/>
  </r>
  <r>
    <x v="31"/>
    <x v="8"/>
    <x v="1"/>
    <n v="20"/>
    <n v="40"/>
  </r>
  <r>
    <x v="31"/>
    <x v="7"/>
    <x v="3"/>
    <n v="12"/>
    <n v="12"/>
  </r>
  <r>
    <x v="31"/>
    <x v="17"/>
    <x v="3"/>
    <n v="12"/>
    <n v="12"/>
  </r>
  <r>
    <x v="32"/>
    <x v="1"/>
    <x v="1"/>
    <n v="8.5"/>
    <n v="17"/>
  </r>
  <r>
    <x v="32"/>
    <x v="0"/>
    <x v="1"/>
    <n v="5.5"/>
    <n v="11"/>
  </r>
  <r>
    <x v="33"/>
    <x v="12"/>
    <x v="1"/>
    <n v="12"/>
    <n v="24"/>
  </r>
  <r>
    <x v="33"/>
    <x v="0"/>
    <x v="1"/>
    <n v="5.5"/>
    <n v="11"/>
  </r>
  <r>
    <x v="34"/>
    <x v="3"/>
    <x v="1"/>
    <n v="7"/>
    <n v="14"/>
  </r>
  <r>
    <x v="34"/>
    <x v="4"/>
    <x v="1"/>
    <n v="20"/>
    <n v="40"/>
  </r>
  <r>
    <x v="35"/>
    <x v="12"/>
    <x v="1"/>
    <n v="12"/>
    <n v="24"/>
  </r>
  <r>
    <x v="35"/>
    <x v="1"/>
    <x v="1"/>
    <n v="8.5"/>
    <n v="17"/>
  </r>
  <r>
    <x v="36"/>
    <x v="18"/>
    <x v="3"/>
    <n v="9"/>
    <n v="9"/>
  </r>
  <r>
    <x v="36"/>
    <x v="0"/>
    <x v="3"/>
    <n v="5.5"/>
    <n v="5.5"/>
  </r>
  <r>
    <x v="37"/>
    <x v="6"/>
    <x v="1"/>
    <n v="13"/>
    <n v="26"/>
  </r>
  <r>
    <x v="37"/>
    <x v="5"/>
    <x v="1"/>
    <n v="20"/>
    <n v="40"/>
  </r>
  <r>
    <x v="38"/>
    <x v="14"/>
    <x v="1"/>
    <n v="15"/>
    <n v="30"/>
  </r>
  <r>
    <x v="38"/>
    <x v="4"/>
    <x v="1"/>
    <n v="20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B7BA60-FCB8-40DF-8D6B-70BDFDA7AF6B}" name="Tabela przestawna1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3" firstHeaderRow="1" firstDataRow="1" firstDataCol="1"/>
  <pivotFields count="5">
    <pivotField showAll="0"/>
    <pivotField axis="axisRow" showAll="0">
      <items count="20">
        <item x="11"/>
        <item x="18"/>
        <item x="4"/>
        <item x="2"/>
        <item x="8"/>
        <item x="10"/>
        <item x="16"/>
        <item x="3"/>
        <item x="1"/>
        <item x="15"/>
        <item x="7"/>
        <item x="6"/>
        <item x="17"/>
        <item x="0"/>
        <item x="5"/>
        <item x="12"/>
        <item x="14"/>
        <item x="9"/>
        <item x="13"/>
        <item t="default"/>
      </items>
    </pivotField>
    <pivotField showAll="0">
      <items count="9">
        <item x="3"/>
        <item x="1"/>
        <item x="2"/>
        <item x="5"/>
        <item x="0"/>
        <item x="4"/>
        <item x="6"/>
        <item x="7"/>
        <item t="default"/>
      </items>
    </pivotField>
    <pivotField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Suma z kosz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FC606-575F-4BC7-8B69-7CC44A364DAE}" name="Tabela przestawna2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23" firstHeaderRow="1" firstDataRow="1" firstDataCol="1"/>
  <pivotFields count="5">
    <pivotField dataField="1" showAll="0"/>
    <pivotField axis="axisRow" showAll="0">
      <items count="20">
        <item x="11"/>
        <item x="18"/>
        <item x="4"/>
        <item x="2"/>
        <item x="8"/>
        <item x="10"/>
        <item x="16"/>
        <item x="3"/>
        <item x="1"/>
        <item x="15"/>
        <item x="7"/>
        <item x="6"/>
        <item x="17"/>
        <item x="0"/>
        <item x="5"/>
        <item x="12"/>
        <item x="14"/>
        <item x="9"/>
        <item x="13"/>
        <item t="default"/>
      </items>
    </pivotField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Liczba z nr_tran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BAA29D-64C3-48A3-974E-4C03902E9190}" name="Tabela przestawna3" cacheId="11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A3:B43" firstHeaderRow="1" firstDataRow="1" firstDataCol="1"/>
  <pivotFields count="5">
    <pivotField axis="axisRow" showAll="0">
      <items count="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showAll="0"/>
    <pivotField showAll="0"/>
    <pivotField showAll="0"/>
    <pivotField dataField="1" showAll="0"/>
  </pivotFields>
  <rowFields count="1">
    <field x="0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Items count="1">
    <i/>
  </colItems>
  <dataFields count="1">
    <dataField name="Suma z koszt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D82001A-F561-4EEA-8DD8-5D25B4E81288}" autoFormatId="16" applyNumberFormats="0" applyBorderFormats="0" applyFontFormats="0" applyPatternFormats="0" applyAlignmentFormats="0" applyWidthHeightFormats="0">
  <queryTableRefresh nextId="6" unboundColumnsRight="1">
    <queryTableFields count="5">
      <queryTableField id="1" name="nr_trans" tableColumnId="1"/>
      <queryTableField id="2" name="danie" tableColumnId="2"/>
      <queryTableField id="3" name="ilość" tableColumnId="3"/>
      <queryTableField id="4" name="cena_szt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BDF8C2-4C11-4F2B-9B0A-A0E4C6845615}" name="kawiarnia" displayName="kawiarnia" ref="A1:E108" tableType="queryTable" totalsRowShown="0">
  <autoFilter ref="A1:E108" xr:uid="{BBBDF8C2-4C11-4F2B-9B0A-A0E4C6845615}"/>
  <tableColumns count="5">
    <tableColumn id="1" xr3:uid="{AE567D46-6286-4244-8427-889B2BBFD27E}" uniqueName="1" name="nr_trans" queryTableFieldId="1"/>
    <tableColumn id="2" xr3:uid="{DCBE1353-8223-465D-AE24-CEFEC1B2A741}" uniqueName="2" name="danie" queryTableFieldId="2" dataDxfId="3"/>
    <tableColumn id="3" xr3:uid="{EBDF9488-0822-43D0-9558-4310CE5E54C0}" uniqueName="3" name="ilość" queryTableFieldId="3"/>
    <tableColumn id="4" xr3:uid="{EE5331C1-0DDD-44EC-889A-60F0823A5350}" uniqueName="4" name="cena_szt" queryTableFieldId="4"/>
    <tableColumn id="5" xr3:uid="{C4963828-B18E-4A1D-A363-B3EDCFB90285}" uniqueName="5" name="koszt" queryTableFieldId="5" dataDxfId="2">
      <calculatedColumnFormula>kawiarnia[[#This Row],[cena_szt]]*kawiarnia[[#This Row],[ilość]]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BAB4AE-215A-4112-9F10-234CB85DFB4A}" name="Tabela2" displayName="Tabela2" ref="A27:B46" totalsRowShown="0">
  <autoFilter ref="A27:B46" xr:uid="{FABAB4AE-215A-4112-9F10-234CB85DFB4A}"/>
  <sortState xmlns:xlrd2="http://schemas.microsoft.com/office/spreadsheetml/2017/richdata2" ref="A28:B46">
    <sortCondition descending="1" ref="B27:B46"/>
  </sortState>
  <tableColumns count="2">
    <tableColumn id="1" xr3:uid="{EA749501-E3EF-4D3C-AEDD-14DB317BEE10}" name="Produkt" dataDxfId="1"/>
    <tableColumn id="2" xr3:uid="{5AC454A7-0590-48EE-8B84-E0A6EBDB001F}" name="ile zamówień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FB8D7-EFE8-4BFE-B170-673FE983308D}">
  <dimension ref="A1:E108"/>
  <sheetViews>
    <sheetView topLeftCell="A2" workbookViewId="0">
      <selection activeCell="B20" sqref="B20"/>
    </sheetView>
  </sheetViews>
  <sheetFormatPr defaultRowHeight="15" x14ac:dyDescent="0.25"/>
  <cols>
    <col min="1" max="1" width="10.5703125" bestFit="1" customWidth="1"/>
    <col min="2" max="2" width="29.140625" bestFit="1" customWidth="1"/>
    <col min="3" max="3" width="7.5703125" bestFit="1" customWidth="1"/>
    <col min="4" max="4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25</v>
      </c>
    </row>
    <row r="2" spans="1:5" x14ac:dyDescent="0.25">
      <c r="A2">
        <v>1</v>
      </c>
      <c r="B2" s="1" t="s">
        <v>4</v>
      </c>
      <c r="C2">
        <v>5</v>
      </c>
      <c r="D2">
        <v>5.5</v>
      </c>
      <c r="E2">
        <f>kawiarnia[[#This Row],[cena_szt]]*kawiarnia[[#This Row],[ilość]]</f>
        <v>27.5</v>
      </c>
    </row>
    <row r="3" spans="1:5" x14ac:dyDescent="0.25">
      <c r="A3">
        <v>1</v>
      </c>
      <c r="B3" s="1" t="s">
        <v>5</v>
      </c>
      <c r="C3">
        <v>2</v>
      </c>
      <c r="D3">
        <v>8.5</v>
      </c>
      <c r="E3">
        <f>kawiarnia[[#This Row],[cena_szt]]*kawiarnia[[#This Row],[ilość]]</f>
        <v>17</v>
      </c>
    </row>
    <row r="4" spans="1:5" x14ac:dyDescent="0.25">
      <c r="A4">
        <v>2</v>
      </c>
      <c r="B4" s="1" t="s">
        <v>6</v>
      </c>
      <c r="C4">
        <v>3</v>
      </c>
      <c r="D4">
        <v>13</v>
      </c>
      <c r="E4">
        <f>kawiarnia[[#This Row],[cena_szt]]*kawiarnia[[#This Row],[ilość]]</f>
        <v>39</v>
      </c>
    </row>
    <row r="5" spans="1:5" x14ac:dyDescent="0.25">
      <c r="A5">
        <v>2</v>
      </c>
      <c r="B5" s="1" t="s">
        <v>5</v>
      </c>
      <c r="C5">
        <v>2</v>
      </c>
      <c r="D5">
        <v>10</v>
      </c>
      <c r="E5">
        <f>kawiarnia[[#This Row],[cena_szt]]*kawiarnia[[#This Row],[ilość]]</f>
        <v>20</v>
      </c>
    </row>
    <row r="6" spans="1:5" x14ac:dyDescent="0.25">
      <c r="A6">
        <v>2</v>
      </c>
      <c r="B6" s="1" t="s">
        <v>7</v>
      </c>
      <c r="C6">
        <v>1</v>
      </c>
      <c r="D6">
        <v>7</v>
      </c>
      <c r="E6">
        <f>kawiarnia[[#This Row],[cena_szt]]*kawiarnia[[#This Row],[ilość]]</f>
        <v>7</v>
      </c>
    </row>
    <row r="7" spans="1:5" x14ac:dyDescent="0.25">
      <c r="A7">
        <v>2</v>
      </c>
      <c r="B7" s="1" t="s">
        <v>4</v>
      </c>
      <c r="C7">
        <v>6</v>
      </c>
      <c r="D7">
        <v>5.5</v>
      </c>
      <c r="E7">
        <f>kawiarnia[[#This Row],[cena_szt]]*kawiarnia[[#This Row],[ilość]]</f>
        <v>33</v>
      </c>
    </row>
    <row r="8" spans="1:5" x14ac:dyDescent="0.25">
      <c r="A8">
        <v>3</v>
      </c>
      <c r="B8" s="1" t="s">
        <v>8</v>
      </c>
      <c r="C8">
        <v>3</v>
      </c>
      <c r="D8">
        <v>20</v>
      </c>
      <c r="E8">
        <f>kawiarnia[[#This Row],[cena_szt]]*kawiarnia[[#This Row],[ilość]]</f>
        <v>60</v>
      </c>
    </row>
    <row r="9" spans="1:5" x14ac:dyDescent="0.25">
      <c r="A9">
        <v>3</v>
      </c>
      <c r="B9" s="1" t="s">
        <v>9</v>
      </c>
      <c r="C9">
        <v>2</v>
      </c>
      <c r="D9">
        <v>20</v>
      </c>
      <c r="E9">
        <f>kawiarnia[[#This Row],[cena_szt]]*kawiarnia[[#This Row],[ilość]]</f>
        <v>40</v>
      </c>
    </row>
    <row r="10" spans="1:5" x14ac:dyDescent="0.25">
      <c r="A10">
        <v>3</v>
      </c>
      <c r="B10" s="1" t="s">
        <v>10</v>
      </c>
      <c r="C10">
        <v>4</v>
      </c>
      <c r="D10">
        <v>13</v>
      </c>
      <c r="E10">
        <f>kawiarnia[[#This Row],[cena_szt]]*kawiarnia[[#This Row],[ilość]]</f>
        <v>52</v>
      </c>
    </row>
    <row r="11" spans="1:5" x14ac:dyDescent="0.25">
      <c r="A11">
        <v>3</v>
      </c>
      <c r="B11" s="1" t="s">
        <v>11</v>
      </c>
      <c r="C11">
        <v>1</v>
      </c>
      <c r="D11">
        <v>12</v>
      </c>
      <c r="E11">
        <f>kawiarnia[[#This Row],[cena_szt]]*kawiarnia[[#This Row],[ilość]]</f>
        <v>12</v>
      </c>
    </row>
    <row r="12" spans="1:5" x14ac:dyDescent="0.25">
      <c r="A12">
        <v>5</v>
      </c>
      <c r="B12" s="1" t="s">
        <v>12</v>
      </c>
      <c r="C12">
        <v>2</v>
      </c>
      <c r="D12">
        <v>20</v>
      </c>
      <c r="E12">
        <f>kawiarnia[[#This Row],[cena_szt]]*kawiarnia[[#This Row],[ilość]]</f>
        <v>40</v>
      </c>
    </row>
    <row r="13" spans="1:5" x14ac:dyDescent="0.25">
      <c r="A13">
        <v>5</v>
      </c>
      <c r="B13" s="1" t="s">
        <v>13</v>
      </c>
      <c r="C13">
        <v>2</v>
      </c>
      <c r="D13">
        <v>20</v>
      </c>
      <c r="E13">
        <f>kawiarnia[[#This Row],[cena_szt]]*kawiarnia[[#This Row],[ilość]]</f>
        <v>40</v>
      </c>
    </row>
    <row r="14" spans="1:5" x14ac:dyDescent="0.25">
      <c r="A14">
        <v>5</v>
      </c>
      <c r="B14" s="1" t="s">
        <v>7</v>
      </c>
      <c r="C14">
        <v>2</v>
      </c>
      <c r="D14">
        <v>7</v>
      </c>
      <c r="E14">
        <f>kawiarnia[[#This Row],[cena_szt]]*kawiarnia[[#This Row],[ilość]]</f>
        <v>14</v>
      </c>
    </row>
    <row r="15" spans="1:5" x14ac:dyDescent="0.25">
      <c r="A15">
        <v>5</v>
      </c>
      <c r="B15" s="1" t="s">
        <v>5</v>
      </c>
      <c r="C15">
        <v>2</v>
      </c>
      <c r="D15">
        <v>8.5</v>
      </c>
      <c r="E15">
        <f>kawiarnia[[#This Row],[cena_szt]]*kawiarnia[[#This Row],[ilość]]</f>
        <v>17</v>
      </c>
    </row>
    <row r="16" spans="1:5" x14ac:dyDescent="0.25">
      <c r="A16">
        <v>6</v>
      </c>
      <c r="B16" s="1" t="s">
        <v>6</v>
      </c>
      <c r="C16">
        <v>4</v>
      </c>
      <c r="D16">
        <v>13</v>
      </c>
      <c r="E16">
        <f>kawiarnia[[#This Row],[cena_szt]]*kawiarnia[[#This Row],[ilość]]</f>
        <v>52</v>
      </c>
    </row>
    <row r="17" spans="1:5" x14ac:dyDescent="0.25">
      <c r="A17">
        <v>6</v>
      </c>
      <c r="B17" s="1" t="s">
        <v>4</v>
      </c>
      <c r="C17">
        <v>8</v>
      </c>
      <c r="D17">
        <v>5.5</v>
      </c>
      <c r="E17">
        <f>kawiarnia[[#This Row],[cena_szt]]*kawiarnia[[#This Row],[ilość]]</f>
        <v>44</v>
      </c>
    </row>
    <row r="18" spans="1:5" x14ac:dyDescent="0.25">
      <c r="A18">
        <v>6</v>
      </c>
      <c r="B18" s="1" t="s">
        <v>14</v>
      </c>
      <c r="C18">
        <v>2</v>
      </c>
      <c r="D18">
        <v>8</v>
      </c>
      <c r="E18">
        <f>kawiarnia[[#This Row],[cena_szt]]*kawiarnia[[#This Row],[ilość]]</f>
        <v>16</v>
      </c>
    </row>
    <row r="19" spans="1:5" x14ac:dyDescent="0.25">
      <c r="A19">
        <v>6</v>
      </c>
      <c r="B19" s="1" t="s">
        <v>15</v>
      </c>
      <c r="C19">
        <v>2</v>
      </c>
      <c r="D19">
        <v>15</v>
      </c>
      <c r="E19">
        <f>kawiarnia[[#This Row],[cena_szt]]*kawiarnia[[#This Row],[ilość]]</f>
        <v>30</v>
      </c>
    </row>
    <row r="20" spans="1:5" x14ac:dyDescent="0.25">
      <c r="A20">
        <v>7</v>
      </c>
      <c r="B20" s="1" t="s">
        <v>16</v>
      </c>
      <c r="C20">
        <v>2</v>
      </c>
      <c r="D20">
        <v>12</v>
      </c>
      <c r="E20">
        <f>kawiarnia[[#This Row],[cena_szt]]*kawiarnia[[#This Row],[ilość]]</f>
        <v>24</v>
      </c>
    </row>
    <row r="21" spans="1:5" x14ac:dyDescent="0.25">
      <c r="A21">
        <v>7</v>
      </c>
      <c r="B21" s="1" t="s">
        <v>4</v>
      </c>
      <c r="C21">
        <v>2</v>
      </c>
      <c r="D21">
        <v>5.5</v>
      </c>
      <c r="E21">
        <f>kawiarnia[[#This Row],[cena_szt]]*kawiarnia[[#This Row],[ilość]]</f>
        <v>11</v>
      </c>
    </row>
    <row r="22" spans="1:5" x14ac:dyDescent="0.25">
      <c r="A22">
        <v>7</v>
      </c>
      <c r="B22" s="1" t="s">
        <v>7</v>
      </c>
      <c r="C22">
        <v>2</v>
      </c>
      <c r="D22">
        <v>7</v>
      </c>
      <c r="E22">
        <f>kawiarnia[[#This Row],[cena_szt]]*kawiarnia[[#This Row],[ilość]]</f>
        <v>14</v>
      </c>
    </row>
    <row r="23" spans="1:5" x14ac:dyDescent="0.25">
      <c r="A23">
        <v>8</v>
      </c>
      <c r="B23" s="1" t="s">
        <v>17</v>
      </c>
      <c r="C23">
        <v>2</v>
      </c>
      <c r="D23">
        <v>14</v>
      </c>
      <c r="E23">
        <f>kawiarnia[[#This Row],[cena_szt]]*kawiarnia[[#This Row],[ilość]]</f>
        <v>28</v>
      </c>
    </row>
    <row r="24" spans="1:5" x14ac:dyDescent="0.25">
      <c r="A24">
        <v>8</v>
      </c>
      <c r="B24" s="1" t="s">
        <v>15</v>
      </c>
      <c r="C24">
        <v>1</v>
      </c>
      <c r="D24">
        <v>15</v>
      </c>
      <c r="E24">
        <f>kawiarnia[[#This Row],[cena_szt]]*kawiarnia[[#This Row],[ilość]]</f>
        <v>15</v>
      </c>
    </row>
    <row r="25" spans="1:5" x14ac:dyDescent="0.25">
      <c r="A25">
        <v>8</v>
      </c>
      <c r="B25" s="1" t="s">
        <v>5</v>
      </c>
      <c r="C25">
        <v>1</v>
      </c>
      <c r="D25">
        <v>8.5</v>
      </c>
      <c r="E25">
        <f>kawiarnia[[#This Row],[cena_szt]]*kawiarnia[[#This Row],[ilość]]</f>
        <v>8.5</v>
      </c>
    </row>
    <row r="26" spans="1:5" x14ac:dyDescent="0.25">
      <c r="A26">
        <v>9</v>
      </c>
      <c r="B26" s="1" t="s">
        <v>12</v>
      </c>
      <c r="C26">
        <v>2</v>
      </c>
      <c r="D26">
        <v>20</v>
      </c>
      <c r="E26">
        <f>kawiarnia[[#This Row],[cena_szt]]*kawiarnia[[#This Row],[ilość]]</f>
        <v>40</v>
      </c>
    </row>
    <row r="27" spans="1:5" x14ac:dyDescent="0.25">
      <c r="A27">
        <v>9</v>
      </c>
      <c r="B27" s="1" t="s">
        <v>13</v>
      </c>
      <c r="C27">
        <v>2</v>
      </c>
      <c r="D27">
        <v>20</v>
      </c>
      <c r="E27">
        <f>kawiarnia[[#This Row],[cena_szt]]*kawiarnia[[#This Row],[ilość]]</f>
        <v>40</v>
      </c>
    </row>
    <row r="28" spans="1:5" x14ac:dyDescent="0.25">
      <c r="A28">
        <v>9</v>
      </c>
      <c r="B28" s="1" t="s">
        <v>18</v>
      </c>
      <c r="C28">
        <v>2</v>
      </c>
      <c r="D28">
        <v>15</v>
      </c>
      <c r="E28">
        <f>kawiarnia[[#This Row],[cena_szt]]*kawiarnia[[#This Row],[ilość]]</f>
        <v>30</v>
      </c>
    </row>
    <row r="29" spans="1:5" x14ac:dyDescent="0.25">
      <c r="A29">
        <v>9</v>
      </c>
      <c r="B29" s="1" t="s">
        <v>10</v>
      </c>
      <c r="C29">
        <v>2</v>
      </c>
      <c r="D29">
        <v>13</v>
      </c>
      <c r="E29">
        <f>kawiarnia[[#This Row],[cena_szt]]*kawiarnia[[#This Row],[ilość]]</f>
        <v>26</v>
      </c>
    </row>
    <row r="30" spans="1:5" x14ac:dyDescent="0.25">
      <c r="A30">
        <v>10</v>
      </c>
      <c r="B30" s="1" t="s">
        <v>19</v>
      </c>
      <c r="C30">
        <v>3</v>
      </c>
      <c r="D30">
        <v>9</v>
      </c>
      <c r="E30">
        <f>kawiarnia[[#This Row],[cena_szt]]*kawiarnia[[#This Row],[ilość]]</f>
        <v>27</v>
      </c>
    </row>
    <row r="31" spans="1:5" x14ac:dyDescent="0.25">
      <c r="A31">
        <v>10</v>
      </c>
      <c r="B31" s="1" t="s">
        <v>4</v>
      </c>
      <c r="C31">
        <v>8</v>
      </c>
      <c r="D31">
        <v>5.5</v>
      </c>
      <c r="E31">
        <f>kawiarnia[[#This Row],[cena_szt]]*kawiarnia[[#This Row],[ilość]]</f>
        <v>44</v>
      </c>
    </row>
    <row r="32" spans="1:5" x14ac:dyDescent="0.25">
      <c r="A32">
        <v>11</v>
      </c>
      <c r="B32" s="1" t="s">
        <v>8</v>
      </c>
      <c r="C32">
        <v>1</v>
      </c>
      <c r="D32">
        <v>20</v>
      </c>
      <c r="E32">
        <f>kawiarnia[[#This Row],[cena_szt]]*kawiarnia[[#This Row],[ilość]]</f>
        <v>20</v>
      </c>
    </row>
    <row r="33" spans="1:5" x14ac:dyDescent="0.25">
      <c r="A33">
        <v>11</v>
      </c>
      <c r="B33" s="1" t="s">
        <v>17</v>
      </c>
      <c r="C33">
        <v>1</v>
      </c>
      <c r="D33">
        <v>14</v>
      </c>
      <c r="E33">
        <f>kawiarnia[[#This Row],[cena_szt]]*kawiarnia[[#This Row],[ilość]]</f>
        <v>14</v>
      </c>
    </row>
    <row r="34" spans="1:5" x14ac:dyDescent="0.25">
      <c r="A34">
        <v>11</v>
      </c>
      <c r="B34" s="1" t="s">
        <v>7</v>
      </c>
      <c r="C34">
        <v>2</v>
      </c>
      <c r="D34">
        <v>7</v>
      </c>
      <c r="E34">
        <f>kawiarnia[[#This Row],[cena_szt]]*kawiarnia[[#This Row],[ilość]]</f>
        <v>14</v>
      </c>
    </row>
    <row r="35" spans="1:5" x14ac:dyDescent="0.25">
      <c r="A35">
        <v>12</v>
      </c>
      <c r="B35" s="1" t="s">
        <v>16</v>
      </c>
      <c r="C35">
        <v>1</v>
      </c>
      <c r="D35">
        <v>12</v>
      </c>
      <c r="E35">
        <f>kawiarnia[[#This Row],[cena_szt]]*kawiarnia[[#This Row],[ilość]]</f>
        <v>12</v>
      </c>
    </row>
    <row r="36" spans="1:5" x14ac:dyDescent="0.25">
      <c r="A36">
        <v>12</v>
      </c>
      <c r="B36" s="1" t="s">
        <v>17</v>
      </c>
      <c r="C36">
        <v>1</v>
      </c>
      <c r="D36">
        <v>14</v>
      </c>
      <c r="E36">
        <f>kawiarnia[[#This Row],[cena_szt]]*kawiarnia[[#This Row],[ilość]]</f>
        <v>14</v>
      </c>
    </row>
    <row r="37" spans="1:5" x14ac:dyDescent="0.25">
      <c r="A37">
        <v>12</v>
      </c>
      <c r="B37" s="1" t="s">
        <v>20</v>
      </c>
      <c r="C37">
        <v>2</v>
      </c>
      <c r="D37">
        <v>7</v>
      </c>
      <c r="E37">
        <f>kawiarnia[[#This Row],[cena_szt]]*kawiarnia[[#This Row],[ilość]]</f>
        <v>14</v>
      </c>
    </row>
    <row r="38" spans="1:5" x14ac:dyDescent="0.25">
      <c r="A38">
        <v>13</v>
      </c>
      <c r="B38" s="1" t="s">
        <v>6</v>
      </c>
      <c r="C38">
        <v>3</v>
      </c>
      <c r="D38">
        <v>13</v>
      </c>
      <c r="E38">
        <f>kawiarnia[[#This Row],[cena_szt]]*kawiarnia[[#This Row],[ilość]]</f>
        <v>39</v>
      </c>
    </row>
    <row r="39" spans="1:5" x14ac:dyDescent="0.25">
      <c r="A39">
        <v>13</v>
      </c>
      <c r="B39" s="1" t="s">
        <v>4</v>
      </c>
      <c r="C39">
        <v>3</v>
      </c>
      <c r="D39">
        <v>5.5</v>
      </c>
      <c r="E39">
        <f>kawiarnia[[#This Row],[cena_szt]]*kawiarnia[[#This Row],[ilość]]</f>
        <v>16.5</v>
      </c>
    </row>
    <row r="40" spans="1:5" x14ac:dyDescent="0.25">
      <c r="A40">
        <v>13</v>
      </c>
      <c r="B40" s="1" t="s">
        <v>8</v>
      </c>
      <c r="C40">
        <v>3</v>
      </c>
      <c r="D40">
        <v>20</v>
      </c>
      <c r="E40">
        <f>kawiarnia[[#This Row],[cena_szt]]*kawiarnia[[#This Row],[ilość]]</f>
        <v>60</v>
      </c>
    </row>
    <row r="41" spans="1:5" x14ac:dyDescent="0.25">
      <c r="A41">
        <v>13</v>
      </c>
      <c r="B41" s="1" t="s">
        <v>11</v>
      </c>
      <c r="C41">
        <v>2</v>
      </c>
      <c r="D41">
        <v>12</v>
      </c>
      <c r="E41">
        <f>kawiarnia[[#This Row],[cena_szt]]*kawiarnia[[#This Row],[ilość]]</f>
        <v>24</v>
      </c>
    </row>
    <row r="42" spans="1:5" x14ac:dyDescent="0.25">
      <c r="A42">
        <v>13</v>
      </c>
      <c r="B42" s="1" t="s">
        <v>21</v>
      </c>
      <c r="C42">
        <v>1</v>
      </c>
      <c r="D42">
        <v>12</v>
      </c>
      <c r="E42">
        <f>kawiarnia[[#This Row],[cena_szt]]*kawiarnia[[#This Row],[ilość]]</f>
        <v>12</v>
      </c>
    </row>
    <row r="43" spans="1:5" x14ac:dyDescent="0.25">
      <c r="A43">
        <v>14</v>
      </c>
      <c r="B43" s="1" t="s">
        <v>4</v>
      </c>
      <c r="C43">
        <v>6</v>
      </c>
      <c r="D43">
        <v>5.5</v>
      </c>
      <c r="E43">
        <f>kawiarnia[[#This Row],[cena_szt]]*kawiarnia[[#This Row],[ilość]]</f>
        <v>33</v>
      </c>
    </row>
    <row r="44" spans="1:5" x14ac:dyDescent="0.25">
      <c r="A44">
        <v>14</v>
      </c>
      <c r="B44" s="1" t="s">
        <v>15</v>
      </c>
      <c r="C44">
        <v>2</v>
      </c>
      <c r="D44">
        <v>15</v>
      </c>
      <c r="E44">
        <f>kawiarnia[[#This Row],[cena_szt]]*kawiarnia[[#This Row],[ilość]]</f>
        <v>30</v>
      </c>
    </row>
    <row r="45" spans="1:5" x14ac:dyDescent="0.25">
      <c r="A45">
        <v>14</v>
      </c>
      <c r="B45" s="1" t="s">
        <v>16</v>
      </c>
      <c r="C45">
        <v>2</v>
      </c>
      <c r="D45">
        <v>12</v>
      </c>
      <c r="E45">
        <f>kawiarnia[[#This Row],[cena_szt]]*kawiarnia[[#This Row],[ilość]]</f>
        <v>24</v>
      </c>
    </row>
    <row r="46" spans="1:5" x14ac:dyDescent="0.25">
      <c r="A46">
        <v>15</v>
      </c>
      <c r="B46" s="1" t="s">
        <v>20</v>
      </c>
      <c r="C46">
        <v>1</v>
      </c>
      <c r="D46">
        <v>7</v>
      </c>
      <c r="E46">
        <f>kawiarnia[[#This Row],[cena_szt]]*kawiarnia[[#This Row],[ilość]]</f>
        <v>7</v>
      </c>
    </row>
    <row r="47" spans="1:5" x14ac:dyDescent="0.25">
      <c r="A47">
        <v>15</v>
      </c>
      <c r="B47" s="1" t="s">
        <v>4</v>
      </c>
      <c r="C47">
        <v>4</v>
      </c>
      <c r="D47">
        <v>5.5</v>
      </c>
      <c r="E47">
        <f>kawiarnia[[#This Row],[cena_szt]]*kawiarnia[[#This Row],[ilość]]</f>
        <v>22</v>
      </c>
    </row>
    <row r="48" spans="1:5" x14ac:dyDescent="0.25">
      <c r="A48">
        <v>15</v>
      </c>
      <c r="B48" s="1" t="s">
        <v>18</v>
      </c>
      <c r="C48">
        <v>1</v>
      </c>
      <c r="D48">
        <v>15</v>
      </c>
      <c r="E48">
        <f>kawiarnia[[#This Row],[cena_szt]]*kawiarnia[[#This Row],[ilość]]</f>
        <v>15</v>
      </c>
    </row>
    <row r="49" spans="1:5" x14ac:dyDescent="0.25">
      <c r="A49">
        <v>16</v>
      </c>
      <c r="B49" s="1" t="s">
        <v>8</v>
      </c>
      <c r="C49">
        <v>1</v>
      </c>
      <c r="D49">
        <v>20</v>
      </c>
      <c r="E49">
        <f>kawiarnia[[#This Row],[cena_szt]]*kawiarnia[[#This Row],[ilość]]</f>
        <v>20</v>
      </c>
    </row>
    <row r="50" spans="1:5" x14ac:dyDescent="0.25">
      <c r="A50">
        <v>16</v>
      </c>
      <c r="B50" s="1" t="s">
        <v>9</v>
      </c>
      <c r="C50">
        <v>1</v>
      </c>
      <c r="D50">
        <v>20</v>
      </c>
      <c r="E50">
        <f>kawiarnia[[#This Row],[cena_szt]]*kawiarnia[[#This Row],[ilość]]</f>
        <v>20</v>
      </c>
    </row>
    <row r="51" spans="1:5" x14ac:dyDescent="0.25">
      <c r="A51">
        <v>16</v>
      </c>
      <c r="B51" s="1" t="s">
        <v>14</v>
      </c>
      <c r="C51">
        <v>1</v>
      </c>
      <c r="D51">
        <v>8</v>
      </c>
      <c r="E51">
        <f>kawiarnia[[#This Row],[cena_szt]]*kawiarnia[[#This Row],[ilość]]</f>
        <v>8</v>
      </c>
    </row>
    <row r="52" spans="1:5" x14ac:dyDescent="0.25">
      <c r="A52">
        <v>16</v>
      </c>
      <c r="B52" s="1" t="s">
        <v>7</v>
      </c>
      <c r="C52">
        <v>1</v>
      </c>
      <c r="D52">
        <v>7</v>
      </c>
      <c r="E52">
        <f>kawiarnia[[#This Row],[cena_szt]]*kawiarnia[[#This Row],[ilość]]</f>
        <v>7</v>
      </c>
    </row>
    <row r="53" spans="1:5" x14ac:dyDescent="0.25">
      <c r="A53">
        <v>17</v>
      </c>
      <c r="B53" s="1" t="s">
        <v>8</v>
      </c>
      <c r="C53">
        <v>1</v>
      </c>
      <c r="D53">
        <v>20</v>
      </c>
      <c r="E53">
        <f>kawiarnia[[#This Row],[cena_szt]]*kawiarnia[[#This Row],[ilość]]</f>
        <v>20</v>
      </c>
    </row>
    <row r="54" spans="1:5" x14ac:dyDescent="0.25">
      <c r="A54">
        <v>17</v>
      </c>
      <c r="B54" s="1" t="s">
        <v>16</v>
      </c>
      <c r="C54">
        <v>1</v>
      </c>
      <c r="D54">
        <v>12</v>
      </c>
      <c r="E54">
        <f>kawiarnia[[#This Row],[cena_szt]]*kawiarnia[[#This Row],[ilość]]</f>
        <v>12</v>
      </c>
    </row>
    <row r="55" spans="1:5" x14ac:dyDescent="0.25">
      <c r="A55">
        <v>17</v>
      </c>
      <c r="B55" s="1" t="s">
        <v>11</v>
      </c>
      <c r="C55">
        <v>1</v>
      </c>
      <c r="D55">
        <v>12</v>
      </c>
      <c r="E55">
        <f>kawiarnia[[#This Row],[cena_szt]]*kawiarnia[[#This Row],[ilość]]</f>
        <v>12</v>
      </c>
    </row>
    <row r="56" spans="1:5" x14ac:dyDescent="0.25">
      <c r="A56">
        <v>17</v>
      </c>
      <c r="B56" s="1" t="s">
        <v>21</v>
      </c>
      <c r="C56">
        <v>1</v>
      </c>
      <c r="D56">
        <v>12</v>
      </c>
      <c r="E56">
        <f>kawiarnia[[#This Row],[cena_szt]]*kawiarnia[[#This Row],[ilość]]</f>
        <v>12</v>
      </c>
    </row>
    <row r="57" spans="1:5" x14ac:dyDescent="0.25">
      <c r="A57">
        <v>18</v>
      </c>
      <c r="B57" s="1" t="s">
        <v>14</v>
      </c>
      <c r="C57">
        <v>2</v>
      </c>
      <c r="D57">
        <v>8</v>
      </c>
      <c r="E57">
        <f>kawiarnia[[#This Row],[cena_szt]]*kawiarnia[[#This Row],[ilość]]</f>
        <v>16</v>
      </c>
    </row>
    <row r="58" spans="1:5" x14ac:dyDescent="0.25">
      <c r="A58">
        <v>18</v>
      </c>
      <c r="B58" s="1" t="s">
        <v>17</v>
      </c>
      <c r="C58">
        <v>2</v>
      </c>
      <c r="D58">
        <v>14</v>
      </c>
      <c r="E58">
        <f>kawiarnia[[#This Row],[cena_szt]]*kawiarnia[[#This Row],[ilość]]</f>
        <v>28</v>
      </c>
    </row>
    <row r="59" spans="1:5" x14ac:dyDescent="0.25">
      <c r="A59">
        <v>19</v>
      </c>
      <c r="B59" s="1" t="s">
        <v>22</v>
      </c>
      <c r="C59">
        <v>2</v>
      </c>
      <c r="D59">
        <v>9</v>
      </c>
      <c r="E59">
        <f>kawiarnia[[#This Row],[cena_szt]]*kawiarnia[[#This Row],[ilość]]</f>
        <v>18</v>
      </c>
    </row>
    <row r="60" spans="1:5" x14ac:dyDescent="0.25">
      <c r="A60">
        <v>19</v>
      </c>
      <c r="B60" s="1" t="s">
        <v>9</v>
      </c>
      <c r="C60">
        <v>2</v>
      </c>
      <c r="D60">
        <v>20</v>
      </c>
      <c r="E60">
        <f>kawiarnia[[#This Row],[cena_szt]]*kawiarnia[[#This Row],[ilość]]</f>
        <v>40</v>
      </c>
    </row>
    <row r="61" spans="1:5" x14ac:dyDescent="0.25">
      <c r="A61">
        <v>20</v>
      </c>
      <c r="B61" s="1" t="s">
        <v>22</v>
      </c>
      <c r="C61">
        <v>1</v>
      </c>
      <c r="D61">
        <v>9</v>
      </c>
      <c r="E61">
        <f>kawiarnia[[#This Row],[cena_szt]]*kawiarnia[[#This Row],[ilość]]</f>
        <v>9</v>
      </c>
    </row>
    <row r="62" spans="1:5" x14ac:dyDescent="0.25">
      <c r="A62">
        <v>20</v>
      </c>
      <c r="B62" s="1" t="s">
        <v>6</v>
      </c>
      <c r="C62">
        <v>1</v>
      </c>
      <c r="D62">
        <v>13</v>
      </c>
      <c r="E62">
        <f>kawiarnia[[#This Row],[cena_szt]]*kawiarnia[[#This Row],[ilość]]</f>
        <v>13</v>
      </c>
    </row>
    <row r="63" spans="1:5" x14ac:dyDescent="0.25">
      <c r="A63">
        <v>21</v>
      </c>
      <c r="B63" s="1" t="s">
        <v>8</v>
      </c>
      <c r="C63">
        <v>1</v>
      </c>
      <c r="D63">
        <v>20</v>
      </c>
      <c r="E63">
        <f>kawiarnia[[#This Row],[cena_szt]]*kawiarnia[[#This Row],[ilość]]</f>
        <v>20</v>
      </c>
    </row>
    <row r="64" spans="1:5" x14ac:dyDescent="0.25">
      <c r="A64">
        <v>21</v>
      </c>
      <c r="B64" s="1" t="s">
        <v>9</v>
      </c>
      <c r="C64">
        <v>1</v>
      </c>
      <c r="D64">
        <v>20</v>
      </c>
      <c r="E64">
        <f>kawiarnia[[#This Row],[cena_szt]]*kawiarnia[[#This Row],[ilość]]</f>
        <v>20</v>
      </c>
    </row>
    <row r="65" spans="1:5" x14ac:dyDescent="0.25">
      <c r="A65">
        <v>21</v>
      </c>
      <c r="B65" s="1" t="s">
        <v>18</v>
      </c>
      <c r="C65">
        <v>2</v>
      </c>
      <c r="D65">
        <v>15</v>
      </c>
      <c r="E65">
        <f>kawiarnia[[#This Row],[cena_szt]]*kawiarnia[[#This Row],[ilość]]</f>
        <v>30</v>
      </c>
    </row>
    <row r="66" spans="1:5" x14ac:dyDescent="0.25">
      <c r="A66">
        <v>22</v>
      </c>
      <c r="B66" s="1" t="s">
        <v>13</v>
      </c>
      <c r="C66">
        <v>1</v>
      </c>
      <c r="D66">
        <v>20</v>
      </c>
      <c r="E66">
        <f>kawiarnia[[#This Row],[cena_szt]]*kawiarnia[[#This Row],[ilość]]</f>
        <v>20</v>
      </c>
    </row>
    <row r="67" spans="1:5" x14ac:dyDescent="0.25">
      <c r="A67">
        <v>22</v>
      </c>
      <c r="B67" s="1" t="s">
        <v>16</v>
      </c>
      <c r="C67">
        <v>1</v>
      </c>
      <c r="D67">
        <v>12</v>
      </c>
      <c r="E67">
        <f>kawiarnia[[#This Row],[cena_szt]]*kawiarnia[[#This Row],[ilość]]</f>
        <v>12</v>
      </c>
    </row>
    <row r="68" spans="1:5" x14ac:dyDescent="0.25">
      <c r="A68">
        <v>22</v>
      </c>
      <c r="B68" s="1" t="s">
        <v>21</v>
      </c>
      <c r="C68">
        <v>2</v>
      </c>
      <c r="D68">
        <v>12</v>
      </c>
      <c r="E68">
        <f>kawiarnia[[#This Row],[cena_szt]]*kawiarnia[[#This Row],[ilość]]</f>
        <v>24</v>
      </c>
    </row>
    <row r="69" spans="1:5" x14ac:dyDescent="0.25">
      <c r="A69">
        <v>23</v>
      </c>
      <c r="B69" s="1" t="s">
        <v>22</v>
      </c>
      <c r="C69">
        <v>1</v>
      </c>
      <c r="D69">
        <v>9</v>
      </c>
      <c r="E69">
        <f>kawiarnia[[#This Row],[cena_szt]]*kawiarnia[[#This Row],[ilość]]</f>
        <v>9</v>
      </c>
    </row>
    <row r="70" spans="1:5" x14ac:dyDescent="0.25">
      <c r="A70">
        <v>23</v>
      </c>
      <c r="B70" s="1" t="s">
        <v>19</v>
      </c>
      <c r="C70">
        <v>1</v>
      </c>
      <c r="D70">
        <v>9</v>
      </c>
      <c r="E70">
        <f>kawiarnia[[#This Row],[cena_szt]]*kawiarnia[[#This Row],[ilość]]</f>
        <v>9</v>
      </c>
    </row>
    <row r="71" spans="1:5" x14ac:dyDescent="0.25">
      <c r="A71">
        <v>24</v>
      </c>
      <c r="B71" s="1" t="s">
        <v>22</v>
      </c>
      <c r="C71">
        <v>1</v>
      </c>
      <c r="D71">
        <v>9</v>
      </c>
      <c r="E71">
        <f>kawiarnia[[#This Row],[cena_szt]]*kawiarnia[[#This Row],[ilość]]</f>
        <v>9</v>
      </c>
    </row>
    <row r="72" spans="1:5" x14ac:dyDescent="0.25">
      <c r="A72">
        <v>24</v>
      </c>
      <c r="B72" s="1" t="s">
        <v>15</v>
      </c>
      <c r="C72">
        <v>1</v>
      </c>
      <c r="D72">
        <v>15</v>
      </c>
      <c r="E72">
        <f>kawiarnia[[#This Row],[cena_szt]]*kawiarnia[[#This Row],[ilość]]</f>
        <v>15</v>
      </c>
    </row>
    <row r="73" spans="1:5" x14ac:dyDescent="0.25">
      <c r="A73">
        <v>25</v>
      </c>
      <c r="B73" s="1" t="s">
        <v>17</v>
      </c>
      <c r="C73">
        <v>1</v>
      </c>
      <c r="D73">
        <v>14</v>
      </c>
      <c r="E73">
        <f>kawiarnia[[#This Row],[cena_szt]]*kawiarnia[[#This Row],[ilość]]</f>
        <v>14</v>
      </c>
    </row>
    <row r="74" spans="1:5" x14ac:dyDescent="0.25">
      <c r="A74">
        <v>25</v>
      </c>
      <c r="B74" s="1" t="s">
        <v>21</v>
      </c>
      <c r="C74">
        <v>1</v>
      </c>
      <c r="D74">
        <v>12</v>
      </c>
      <c r="E74">
        <f>kawiarnia[[#This Row],[cena_szt]]*kawiarnia[[#This Row],[ilość]]</f>
        <v>12</v>
      </c>
    </row>
    <row r="75" spans="1:5" x14ac:dyDescent="0.25">
      <c r="A75">
        <v>26</v>
      </c>
      <c r="B75" s="1" t="s">
        <v>4</v>
      </c>
      <c r="C75">
        <v>10</v>
      </c>
      <c r="D75">
        <v>5.5</v>
      </c>
      <c r="E75">
        <f>kawiarnia[[#This Row],[cena_szt]]*kawiarnia[[#This Row],[ilość]]</f>
        <v>55</v>
      </c>
    </row>
    <row r="76" spans="1:5" x14ac:dyDescent="0.25">
      <c r="A76">
        <v>27</v>
      </c>
      <c r="B76" s="1" t="s">
        <v>19</v>
      </c>
      <c r="C76">
        <v>1</v>
      </c>
      <c r="D76">
        <v>9</v>
      </c>
      <c r="E76">
        <f>kawiarnia[[#This Row],[cena_szt]]*kawiarnia[[#This Row],[ilość]]</f>
        <v>9</v>
      </c>
    </row>
    <row r="77" spans="1:5" x14ac:dyDescent="0.25">
      <c r="A77">
        <v>27</v>
      </c>
      <c r="B77" s="1" t="s">
        <v>11</v>
      </c>
      <c r="C77">
        <v>1</v>
      </c>
      <c r="D77">
        <v>12</v>
      </c>
      <c r="E77">
        <f>kawiarnia[[#This Row],[cena_szt]]*kawiarnia[[#This Row],[ilość]]</f>
        <v>12</v>
      </c>
    </row>
    <row r="78" spans="1:5" x14ac:dyDescent="0.25">
      <c r="A78">
        <v>27</v>
      </c>
      <c r="B78" s="1" t="s">
        <v>4</v>
      </c>
      <c r="C78">
        <v>4</v>
      </c>
      <c r="D78">
        <v>5.5</v>
      </c>
      <c r="E78">
        <f>kawiarnia[[#This Row],[cena_szt]]*kawiarnia[[#This Row],[ilość]]</f>
        <v>22</v>
      </c>
    </row>
    <row r="79" spans="1:5" x14ac:dyDescent="0.25">
      <c r="A79">
        <v>28</v>
      </c>
      <c r="B79" s="1" t="s">
        <v>10</v>
      </c>
      <c r="C79">
        <v>2</v>
      </c>
      <c r="D79">
        <v>13</v>
      </c>
      <c r="E79">
        <f>kawiarnia[[#This Row],[cena_szt]]*kawiarnia[[#This Row],[ilość]]</f>
        <v>26</v>
      </c>
    </row>
    <row r="80" spans="1:5" x14ac:dyDescent="0.25">
      <c r="A80">
        <v>28</v>
      </c>
      <c r="B80" s="1" t="s">
        <v>11</v>
      </c>
      <c r="C80">
        <v>2</v>
      </c>
      <c r="D80">
        <v>12</v>
      </c>
      <c r="E80">
        <f>kawiarnia[[#This Row],[cena_szt]]*kawiarnia[[#This Row],[ilość]]</f>
        <v>24</v>
      </c>
    </row>
    <row r="81" spans="1:5" x14ac:dyDescent="0.25">
      <c r="A81">
        <v>29</v>
      </c>
      <c r="B81" s="1" t="s">
        <v>20</v>
      </c>
      <c r="C81">
        <v>1</v>
      </c>
      <c r="D81">
        <v>7</v>
      </c>
      <c r="E81">
        <f>kawiarnia[[#This Row],[cena_szt]]*kawiarnia[[#This Row],[ilość]]</f>
        <v>7</v>
      </c>
    </row>
    <row r="82" spans="1:5" x14ac:dyDescent="0.25">
      <c r="A82">
        <v>30</v>
      </c>
      <c r="B82" s="1" t="s">
        <v>17</v>
      </c>
      <c r="C82">
        <v>1</v>
      </c>
      <c r="D82">
        <v>14</v>
      </c>
      <c r="E82">
        <f>kawiarnia[[#This Row],[cena_szt]]*kawiarnia[[#This Row],[ilość]]</f>
        <v>14</v>
      </c>
    </row>
    <row r="83" spans="1:5" x14ac:dyDescent="0.25">
      <c r="A83">
        <v>30</v>
      </c>
      <c r="B83" s="1" t="s">
        <v>9</v>
      </c>
      <c r="C83">
        <v>1</v>
      </c>
      <c r="D83">
        <v>20</v>
      </c>
      <c r="E83">
        <f>kawiarnia[[#This Row],[cena_szt]]*kawiarnia[[#This Row],[ilość]]</f>
        <v>20</v>
      </c>
    </row>
    <row r="84" spans="1:5" x14ac:dyDescent="0.25">
      <c r="A84">
        <v>30</v>
      </c>
      <c r="B84" s="1" t="s">
        <v>15</v>
      </c>
      <c r="C84">
        <v>2</v>
      </c>
      <c r="D84">
        <v>15</v>
      </c>
      <c r="E84">
        <f>kawiarnia[[#This Row],[cena_szt]]*kawiarnia[[#This Row],[ilość]]</f>
        <v>30</v>
      </c>
    </row>
    <row r="85" spans="1:5" x14ac:dyDescent="0.25">
      <c r="A85">
        <v>31</v>
      </c>
      <c r="B85" s="1" t="s">
        <v>18</v>
      </c>
      <c r="C85">
        <v>3</v>
      </c>
      <c r="D85">
        <v>15</v>
      </c>
      <c r="E85">
        <f>kawiarnia[[#This Row],[cena_szt]]*kawiarnia[[#This Row],[ilość]]</f>
        <v>45</v>
      </c>
    </row>
    <row r="86" spans="1:5" x14ac:dyDescent="0.25">
      <c r="A86">
        <v>31</v>
      </c>
      <c r="B86" s="1" t="s">
        <v>8</v>
      </c>
      <c r="C86">
        <v>3</v>
      </c>
      <c r="D86">
        <v>20</v>
      </c>
      <c r="E86">
        <f>kawiarnia[[#This Row],[cena_szt]]*kawiarnia[[#This Row],[ilość]]</f>
        <v>60</v>
      </c>
    </row>
    <row r="87" spans="1:5" x14ac:dyDescent="0.25">
      <c r="A87">
        <v>31</v>
      </c>
      <c r="B87" s="1" t="s">
        <v>9</v>
      </c>
      <c r="C87">
        <v>3</v>
      </c>
      <c r="D87">
        <v>20</v>
      </c>
      <c r="E87">
        <f>kawiarnia[[#This Row],[cena_szt]]*kawiarnia[[#This Row],[ilość]]</f>
        <v>60</v>
      </c>
    </row>
    <row r="88" spans="1:5" x14ac:dyDescent="0.25">
      <c r="A88">
        <v>31</v>
      </c>
      <c r="B88" s="1" t="s">
        <v>5</v>
      </c>
      <c r="C88">
        <v>3</v>
      </c>
      <c r="D88">
        <v>8.5</v>
      </c>
      <c r="E88">
        <f>kawiarnia[[#This Row],[cena_szt]]*kawiarnia[[#This Row],[ilość]]</f>
        <v>25.5</v>
      </c>
    </row>
    <row r="89" spans="1:5" x14ac:dyDescent="0.25">
      <c r="A89">
        <v>32</v>
      </c>
      <c r="B89" s="1" t="s">
        <v>17</v>
      </c>
      <c r="C89">
        <v>2</v>
      </c>
      <c r="D89">
        <v>14</v>
      </c>
      <c r="E89">
        <f>kawiarnia[[#This Row],[cena_szt]]*kawiarnia[[#This Row],[ilość]]</f>
        <v>28</v>
      </c>
    </row>
    <row r="90" spans="1:5" x14ac:dyDescent="0.25">
      <c r="A90">
        <v>32</v>
      </c>
      <c r="B90" s="1" t="s">
        <v>7</v>
      </c>
      <c r="C90">
        <v>2</v>
      </c>
      <c r="D90">
        <v>7</v>
      </c>
      <c r="E90">
        <f>kawiarnia[[#This Row],[cena_szt]]*kawiarnia[[#This Row],[ilość]]</f>
        <v>14</v>
      </c>
    </row>
    <row r="91" spans="1:5" x14ac:dyDescent="0.25">
      <c r="A91">
        <v>32</v>
      </c>
      <c r="B91" s="1" t="s">
        <v>4</v>
      </c>
      <c r="C91">
        <v>2</v>
      </c>
      <c r="D91">
        <v>5.5</v>
      </c>
      <c r="E91">
        <f>kawiarnia[[#This Row],[cena_szt]]*kawiarnia[[#This Row],[ilość]]</f>
        <v>11</v>
      </c>
    </row>
    <row r="92" spans="1:5" x14ac:dyDescent="0.25">
      <c r="A92">
        <v>33</v>
      </c>
      <c r="B92" s="1" t="s">
        <v>12</v>
      </c>
      <c r="C92">
        <v>2</v>
      </c>
      <c r="D92">
        <v>20</v>
      </c>
      <c r="E92">
        <f>kawiarnia[[#This Row],[cena_szt]]*kawiarnia[[#This Row],[ilość]]</f>
        <v>40</v>
      </c>
    </row>
    <row r="93" spans="1:5" x14ac:dyDescent="0.25">
      <c r="A93">
        <v>33</v>
      </c>
      <c r="B93" s="1" t="s">
        <v>11</v>
      </c>
      <c r="C93">
        <v>1</v>
      </c>
      <c r="D93">
        <v>12</v>
      </c>
      <c r="E93">
        <f>kawiarnia[[#This Row],[cena_szt]]*kawiarnia[[#This Row],[ilość]]</f>
        <v>12</v>
      </c>
    </row>
    <row r="94" spans="1:5" x14ac:dyDescent="0.25">
      <c r="A94">
        <v>33</v>
      </c>
      <c r="B94" s="1" t="s">
        <v>21</v>
      </c>
      <c r="C94">
        <v>1</v>
      </c>
      <c r="D94">
        <v>12</v>
      </c>
      <c r="E94">
        <f>kawiarnia[[#This Row],[cena_szt]]*kawiarnia[[#This Row],[ilość]]</f>
        <v>12</v>
      </c>
    </row>
    <row r="95" spans="1:5" x14ac:dyDescent="0.25">
      <c r="A95">
        <v>34</v>
      </c>
      <c r="B95" s="1" t="s">
        <v>5</v>
      </c>
      <c r="C95">
        <v>2</v>
      </c>
      <c r="D95">
        <v>8.5</v>
      </c>
      <c r="E95">
        <f>kawiarnia[[#This Row],[cena_szt]]*kawiarnia[[#This Row],[ilość]]</f>
        <v>17</v>
      </c>
    </row>
    <row r="96" spans="1:5" x14ac:dyDescent="0.25">
      <c r="A96">
        <v>34</v>
      </c>
      <c r="B96" s="1" t="s">
        <v>4</v>
      </c>
      <c r="C96">
        <v>2</v>
      </c>
      <c r="D96">
        <v>5.5</v>
      </c>
      <c r="E96">
        <f>kawiarnia[[#This Row],[cena_szt]]*kawiarnia[[#This Row],[ilość]]</f>
        <v>11</v>
      </c>
    </row>
    <row r="97" spans="1:5" x14ac:dyDescent="0.25">
      <c r="A97">
        <v>35</v>
      </c>
      <c r="B97" s="1" t="s">
        <v>16</v>
      </c>
      <c r="C97">
        <v>2</v>
      </c>
      <c r="D97">
        <v>12</v>
      </c>
      <c r="E97">
        <f>kawiarnia[[#This Row],[cena_szt]]*kawiarnia[[#This Row],[ilość]]</f>
        <v>24</v>
      </c>
    </row>
    <row r="98" spans="1:5" x14ac:dyDescent="0.25">
      <c r="A98">
        <v>35</v>
      </c>
      <c r="B98" s="1" t="s">
        <v>4</v>
      </c>
      <c r="C98">
        <v>2</v>
      </c>
      <c r="D98">
        <v>5.5</v>
      </c>
      <c r="E98">
        <f>kawiarnia[[#This Row],[cena_szt]]*kawiarnia[[#This Row],[ilość]]</f>
        <v>11</v>
      </c>
    </row>
    <row r="99" spans="1:5" x14ac:dyDescent="0.25">
      <c r="A99">
        <v>36</v>
      </c>
      <c r="B99" s="1" t="s">
        <v>7</v>
      </c>
      <c r="C99">
        <v>2</v>
      </c>
      <c r="D99">
        <v>7</v>
      </c>
      <c r="E99">
        <f>kawiarnia[[#This Row],[cena_szt]]*kawiarnia[[#This Row],[ilość]]</f>
        <v>14</v>
      </c>
    </row>
    <row r="100" spans="1:5" x14ac:dyDescent="0.25">
      <c r="A100">
        <v>36</v>
      </c>
      <c r="B100" s="1" t="s">
        <v>8</v>
      </c>
      <c r="C100">
        <v>2</v>
      </c>
      <c r="D100">
        <v>20</v>
      </c>
      <c r="E100">
        <f>kawiarnia[[#This Row],[cena_szt]]*kawiarnia[[#This Row],[ilość]]</f>
        <v>40</v>
      </c>
    </row>
    <row r="101" spans="1:5" x14ac:dyDescent="0.25">
      <c r="A101">
        <v>37</v>
      </c>
      <c r="B101" s="1" t="s">
        <v>16</v>
      </c>
      <c r="C101">
        <v>2</v>
      </c>
      <c r="D101">
        <v>12</v>
      </c>
      <c r="E101">
        <f>kawiarnia[[#This Row],[cena_szt]]*kawiarnia[[#This Row],[ilość]]</f>
        <v>24</v>
      </c>
    </row>
    <row r="102" spans="1:5" x14ac:dyDescent="0.25">
      <c r="A102">
        <v>37</v>
      </c>
      <c r="B102" s="1" t="s">
        <v>5</v>
      </c>
      <c r="C102">
        <v>2</v>
      </c>
      <c r="D102">
        <v>8.5</v>
      </c>
      <c r="E102">
        <f>kawiarnia[[#This Row],[cena_szt]]*kawiarnia[[#This Row],[ilość]]</f>
        <v>17</v>
      </c>
    </row>
    <row r="103" spans="1:5" x14ac:dyDescent="0.25">
      <c r="A103">
        <v>38</v>
      </c>
      <c r="B103" s="1" t="s">
        <v>22</v>
      </c>
      <c r="C103">
        <v>1</v>
      </c>
      <c r="D103">
        <v>9</v>
      </c>
      <c r="E103">
        <f>kawiarnia[[#This Row],[cena_szt]]*kawiarnia[[#This Row],[ilość]]</f>
        <v>9</v>
      </c>
    </row>
    <row r="104" spans="1:5" x14ac:dyDescent="0.25">
      <c r="A104">
        <v>38</v>
      </c>
      <c r="B104" s="1" t="s">
        <v>4</v>
      </c>
      <c r="C104">
        <v>1</v>
      </c>
      <c r="D104">
        <v>5.5</v>
      </c>
      <c r="E104">
        <f>kawiarnia[[#This Row],[cena_szt]]*kawiarnia[[#This Row],[ilość]]</f>
        <v>5.5</v>
      </c>
    </row>
    <row r="105" spans="1:5" x14ac:dyDescent="0.25">
      <c r="A105">
        <v>39</v>
      </c>
      <c r="B105" s="1" t="s">
        <v>10</v>
      </c>
      <c r="C105">
        <v>2</v>
      </c>
      <c r="D105">
        <v>13</v>
      </c>
      <c r="E105">
        <f>kawiarnia[[#This Row],[cena_szt]]*kawiarnia[[#This Row],[ilość]]</f>
        <v>26</v>
      </c>
    </row>
    <row r="106" spans="1:5" x14ac:dyDescent="0.25">
      <c r="A106">
        <v>39</v>
      </c>
      <c r="B106" s="1" t="s">
        <v>9</v>
      </c>
      <c r="C106">
        <v>2</v>
      </c>
      <c r="D106">
        <v>20</v>
      </c>
      <c r="E106">
        <f>kawiarnia[[#This Row],[cena_szt]]*kawiarnia[[#This Row],[ilość]]</f>
        <v>40</v>
      </c>
    </row>
    <row r="107" spans="1:5" x14ac:dyDescent="0.25">
      <c r="A107">
        <v>40</v>
      </c>
      <c r="B107" s="1" t="s">
        <v>18</v>
      </c>
      <c r="C107">
        <v>2</v>
      </c>
      <c r="D107">
        <v>15</v>
      </c>
      <c r="E107">
        <f>kawiarnia[[#This Row],[cena_szt]]*kawiarnia[[#This Row],[ilość]]</f>
        <v>30</v>
      </c>
    </row>
    <row r="108" spans="1:5" x14ac:dyDescent="0.25">
      <c r="A108">
        <v>40</v>
      </c>
      <c r="B108" s="1" t="s">
        <v>8</v>
      </c>
      <c r="C108">
        <v>2</v>
      </c>
      <c r="D108">
        <v>20</v>
      </c>
      <c r="E108">
        <f>kawiarnia[[#This Row],[cena_szt]]*kawiarnia[[#This Row],[ilość]]</f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7232-BAD7-4089-BC87-DFF1A59161BA}">
  <dimension ref="A3:F45"/>
  <sheetViews>
    <sheetView workbookViewId="0">
      <selection activeCell="D3" sqref="D3:F4"/>
    </sheetView>
  </sheetViews>
  <sheetFormatPr defaultRowHeight="15" x14ac:dyDescent="0.25"/>
  <cols>
    <col min="1" max="1" width="29.140625" bestFit="1" customWidth="1"/>
    <col min="2" max="2" width="12.42578125" bestFit="1" customWidth="1"/>
    <col min="3" max="9" width="10.7109375" customWidth="1"/>
    <col min="10" max="10" width="14.42578125" bestFit="1" customWidth="1"/>
  </cols>
  <sheetData>
    <row r="3" spans="1:6" x14ac:dyDescent="0.25">
      <c r="A3" s="2" t="s">
        <v>23</v>
      </c>
      <c r="B3" t="s">
        <v>26</v>
      </c>
      <c r="D3" s="4" t="s">
        <v>27</v>
      </c>
      <c r="E3" s="4"/>
      <c r="F3" s="4" t="s">
        <v>28</v>
      </c>
    </row>
    <row r="4" spans="1:6" x14ac:dyDescent="0.25">
      <c r="A4" s="3" t="s">
        <v>15</v>
      </c>
      <c r="B4" s="1">
        <v>120</v>
      </c>
      <c r="D4" s="4">
        <f>MAX(B4:B22)</f>
        <v>346.5</v>
      </c>
      <c r="E4" s="4"/>
      <c r="F4" s="4" t="str">
        <f>VLOOKUP(D4,B27:C45,2,0)</f>
        <v>lody</v>
      </c>
    </row>
    <row r="5" spans="1:6" x14ac:dyDescent="0.25">
      <c r="A5" s="3" t="s">
        <v>22</v>
      </c>
      <c r="B5" s="1">
        <v>54</v>
      </c>
    </row>
    <row r="6" spans="1:6" x14ac:dyDescent="0.25">
      <c r="A6" s="3" t="s">
        <v>8</v>
      </c>
      <c r="B6" s="1">
        <v>340</v>
      </c>
    </row>
    <row r="7" spans="1:6" x14ac:dyDescent="0.25">
      <c r="A7" s="3" t="s">
        <v>6</v>
      </c>
      <c r="B7" s="1">
        <v>143</v>
      </c>
    </row>
    <row r="8" spans="1:6" x14ac:dyDescent="0.25">
      <c r="A8" s="3" t="s">
        <v>12</v>
      </c>
      <c r="B8" s="1">
        <v>120</v>
      </c>
    </row>
    <row r="9" spans="1:6" x14ac:dyDescent="0.25">
      <c r="A9" s="3" t="s">
        <v>14</v>
      </c>
      <c r="B9" s="1">
        <v>40</v>
      </c>
    </row>
    <row r="10" spans="1:6" x14ac:dyDescent="0.25">
      <c r="A10" s="3" t="s">
        <v>20</v>
      </c>
      <c r="B10" s="1">
        <v>28</v>
      </c>
    </row>
    <row r="11" spans="1:6" x14ac:dyDescent="0.25">
      <c r="A11" s="3" t="s">
        <v>7</v>
      </c>
      <c r="B11" s="1">
        <v>84</v>
      </c>
    </row>
    <row r="12" spans="1:6" x14ac:dyDescent="0.25">
      <c r="A12" s="3" t="s">
        <v>5</v>
      </c>
      <c r="B12" s="1">
        <v>122</v>
      </c>
    </row>
    <row r="13" spans="1:6" x14ac:dyDescent="0.25">
      <c r="A13" s="3" t="s">
        <v>19</v>
      </c>
      <c r="B13" s="1">
        <v>45</v>
      </c>
    </row>
    <row r="14" spans="1:6" x14ac:dyDescent="0.25">
      <c r="A14" s="3" t="s">
        <v>11</v>
      </c>
      <c r="B14" s="1">
        <v>96</v>
      </c>
    </row>
    <row r="15" spans="1:6" x14ac:dyDescent="0.25">
      <c r="A15" s="3" t="s">
        <v>10</v>
      </c>
      <c r="B15" s="1">
        <v>130</v>
      </c>
    </row>
    <row r="16" spans="1:6" x14ac:dyDescent="0.25">
      <c r="A16" s="3" t="s">
        <v>21</v>
      </c>
      <c r="B16" s="1">
        <v>72</v>
      </c>
    </row>
    <row r="17" spans="1:3" x14ac:dyDescent="0.25">
      <c r="A17" s="3" t="s">
        <v>4</v>
      </c>
      <c r="B17" s="1">
        <v>346.5</v>
      </c>
    </row>
    <row r="18" spans="1:3" x14ac:dyDescent="0.25">
      <c r="A18" s="3" t="s">
        <v>9</v>
      </c>
      <c r="B18" s="1">
        <v>240</v>
      </c>
    </row>
    <row r="19" spans="1:3" x14ac:dyDescent="0.25">
      <c r="A19" s="3" t="s">
        <v>16</v>
      </c>
      <c r="B19" s="1">
        <v>132</v>
      </c>
    </row>
    <row r="20" spans="1:3" x14ac:dyDescent="0.25">
      <c r="A20" s="3" t="s">
        <v>18</v>
      </c>
      <c r="B20" s="1">
        <v>150</v>
      </c>
    </row>
    <row r="21" spans="1:3" x14ac:dyDescent="0.25">
      <c r="A21" s="3" t="s">
        <v>13</v>
      </c>
      <c r="B21" s="1">
        <v>100</v>
      </c>
    </row>
    <row r="22" spans="1:3" x14ac:dyDescent="0.25">
      <c r="A22" s="3" t="s">
        <v>17</v>
      </c>
      <c r="B22" s="1">
        <v>140</v>
      </c>
    </row>
    <row r="23" spans="1:3" x14ac:dyDescent="0.25">
      <c r="A23" s="3" t="s">
        <v>24</v>
      </c>
      <c r="B23" s="1">
        <v>2502.5</v>
      </c>
    </row>
    <row r="27" spans="1:3" x14ac:dyDescent="0.25">
      <c r="B27" s="1">
        <v>120</v>
      </c>
      <c r="C27" s="3" t="s">
        <v>15</v>
      </c>
    </row>
    <row r="28" spans="1:3" x14ac:dyDescent="0.25">
      <c r="B28" s="1">
        <v>54</v>
      </c>
      <c r="C28" s="3" t="s">
        <v>22</v>
      </c>
    </row>
    <row r="29" spans="1:3" x14ac:dyDescent="0.25">
      <c r="B29" s="1">
        <v>340</v>
      </c>
      <c r="C29" s="3" t="s">
        <v>8</v>
      </c>
    </row>
    <row r="30" spans="1:3" x14ac:dyDescent="0.25">
      <c r="B30" s="1">
        <v>143</v>
      </c>
      <c r="C30" s="3" t="s">
        <v>6</v>
      </c>
    </row>
    <row r="31" spans="1:3" x14ac:dyDescent="0.25">
      <c r="B31" s="1">
        <v>120</v>
      </c>
      <c r="C31" s="3" t="s">
        <v>12</v>
      </c>
    </row>
    <row r="32" spans="1:3" x14ac:dyDescent="0.25">
      <c r="B32" s="1">
        <v>40</v>
      </c>
      <c r="C32" s="3" t="s">
        <v>14</v>
      </c>
    </row>
    <row r="33" spans="2:3" x14ac:dyDescent="0.25">
      <c r="B33" s="1">
        <v>28</v>
      </c>
      <c r="C33" s="3" t="s">
        <v>20</v>
      </c>
    </row>
    <row r="34" spans="2:3" x14ac:dyDescent="0.25">
      <c r="B34" s="1">
        <v>84</v>
      </c>
      <c r="C34" s="3" t="s">
        <v>7</v>
      </c>
    </row>
    <row r="35" spans="2:3" x14ac:dyDescent="0.25">
      <c r="B35" s="1">
        <v>122</v>
      </c>
      <c r="C35" s="3" t="s">
        <v>5</v>
      </c>
    </row>
    <row r="36" spans="2:3" x14ac:dyDescent="0.25">
      <c r="B36" s="1">
        <v>45</v>
      </c>
      <c r="C36" s="3" t="s">
        <v>19</v>
      </c>
    </row>
    <row r="37" spans="2:3" x14ac:dyDescent="0.25">
      <c r="B37" s="1">
        <v>96</v>
      </c>
      <c r="C37" s="3" t="s">
        <v>11</v>
      </c>
    </row>
    <row r="38" spans="2:3" x14ac:dyDescent="0.25">
      <c r="B38" s="1">
        <v>130</v>
      </c>
      <c r="C38" s="3" t="s">
        <v>10</v>
      </c>
    </row>
    <row r="39" spans="2:3" x14ac:dyDescent="0.25">
      <c r="B39" s="1">
        <v>72</v>
      </c>
      <c r="C39" s="3" t="s">
        <v>21</v>
      </c>
    </row>
    <row r="40" spans="2:3" x14ac:dyDescent="0.25">
      <c r="B40" s="1">
        <v>346.5</v>
      </c>
      <c r="C40" s="3" t="s">
        <v>4</v>
      </c>
    </row>
    <row r="41" spans="2:3" x14ac:dyDescent="0.25">
      <c r="B41" s="1">
        <v>240</v>
      </c>
      <c r="C41" s="3" t="s">
        <v>9</v>
      </c>
    </row>
    <row r="42" spans="2:3" x14ac:dyDescent="0.25">
      <c r="B42" s="1">
        <v>132</v>
      </c>
      <c r="C42" s="3" t="s">
        <v>16</v>
      </c>
    </row>
    <row r="43" spans="2:3" x14ac:dyDescent="0.25">
      <c r="B43" s="1">
        <v>150</v>
      </c>
      <c r="C43" s="3" t="s">
        <v>18</v>
      </c>
    </row>
    <row r="44" spans="2:3" x14ac:dyDescent="0.25">
      <c r="B44" s="1">
        <v>100</v>
      </c>
      <c r="C44" s="3" t="s">
        <v>13</v>
      </c>
    </row>
    <row r="45" spans="2:3" x14ac:dyDescent="0.25">
      <c r="B45" s="1">
        <v>140</v>
      </c>
      <c r="C45" s="3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3F3A-B83F-4FBB-9C1A-98AB6E112A36}">
  <dimension ref="A3:B46"/>
  <sheetViews>
    <sheetView topLeftCell="A13" workbookViewId="0">
      <selection activeCell="B28" sqref="B28:B46"/>
    </sheetView>
  </sheetViews>
  <sheetFormatPr defaultRowHeight="15" x14ac:dyDescent="0.25"/>
  <cols>
    <col min="1" max="1" width="29.140625" bestFit="1" customWidth="1"/>
    <col min="2" max="2" width="15.7109375" bestFit="1" customWidth="1"/>
  </cols>
  <sheetData>
    <row r="3" spans="1:2" x14ac:dyDescent="0.25">
      <c r="A3" s="2" t="s">
        <v>23</v>
      </c>
      <c r="B3" t="s">
        <v>29</v>
      </c>
    </row>
    <row r="4" spans="1:2" x14ac:dyDescent="0.25">
      <c r="A4" s="3" t="s">
        <v>15</v>
      </c>
      <c r="B4" s="1">
        <v>5</v>
      </c>
    </row>
    <row r="5" spans="1:2" x14ac:dyDescent="0.25">
      <c r="A5" s="3" t="s">
        <v>22</v>
      </c>
      <c r="B5" s="1">
        <v>5</v>
      </c>
    </row>
    <row r="6" spans="1:2" x14ac:dyDescent="0.25">
      <c r="A6" s="3" t="s">
        <v>8</v>
      </c>
      <c r="B6" s="1">
        <v>9</v>
      </c>
    </row>
    <row r="7" spans="1:2" x14ac:dyDescent="0.25">
      <c r="A7" s="3" t="s">
        <v>6</v>
      </c>
      <c r="B7" s="1">
        <v>4</v>
      </c>
    </row>
    <row r="8" spans="1:2" x14ac:dyDescent="0.25">
      <c r="A8" s="3" t="s">
        <v>12</v>
      </c>
      <c r="B8" s="1">
        <v>3</v>
      </c>
    </row>
    <row r="9" spans="1:2" x14ac:dyDescent="0.25">
      <c r="A9" s="3" t="s">
        <v>14</v>
      </c>
      <c r="B9" s="1">
        <v>3</v>
      </c>
    </row>
    <row r="10" spans="1:2" x14ac:dyDescent="0.25">
      <c r="A10" s="3" t="s">
        <v>20</v>
      </c>
      <c r="B10" s="1">
        <v>3</v>
      </c>
    </row>
    <row r="11" spans="1:2" x14ac:dyDescent="0.25">
      <c r="A11" s="3" t="s">
        <v>7</v>
      </c>
      <c r="B11" s="1">
        <v>7</v>
      </c>
    </row>
    <row r="12" spans="1:2" x14ac:dyDescent="0.25">
      <c r="A12" s="3" t="s">
        <v>5</v>
      </c>
      <c r="B12" s="1">
        <v>7</v>
      </c>
    </row>
    <row r="13" spans="1:2" x14ac:dyDescent="0.25">
      <c r="A13" s="3" t="s">
        <v>19</v>
      </c>
      <c r="B13" s="1">
        <v>3</v>
      </c>
    </row>
    <row r="14" spans="1:2" x14ac:dyDescent="0.25">
      <c r="A14" s="3" t="s">
        <v>11</v>
      </c>
      <c r="B14" s="1">
        <v>6</v>
      </c>
    </row>
    <row r="15" spans="1:2" x14ac:dyDescent="0.25">
      <c r="A15" s="3" t="s">
        <v>10</v>
      </c>
      <c r="B15" s="1">
        <v>4</v>
      </c>
    </row>
    <row r="16" spans="1:2" x14ac:dyDescent="0.25">
      <c r="A16" s="3" t="s">
        <v>21</v>
      </c>
      <c r="B16" s="1">
        <v>5</v>
      </c>
    </row>
    <row r="17" spans="1:2" x14ac:dyDescent="0.25">
      <c r="A17" s="3" t="s">
        <v>4</v>
      </c>
      <c r="B17" s="1">
        <v>14</v>
      </c>
    </row>
    <row r="18" spans="1:2" x14ac:dyDescent="0.25">
      <c r="A18" s="3" t="s">
        <v>9</v>
      </c>
      <c r="B18" s="1">
        <v>7</v>
      </c>
    </row>
    <row r="19" spans="1:2" x14ac:dyDescent="0.25">
      <c r="A19" s="3" t="s">
        <v>16</v>
      </c>
      <c r="B19" s="1">
        <v>7</v>
      </c>
    </row>
    <row r="20" spans="1:2" x14ac:dyDescent="0.25">
      <c r="A20" s="3" t="s">
        <v>18</v>
      </c>
      <c r="B20" s="1">
        <v>5</v>
      </c>
    </row>
    <row r="21" spans="1:2" x14ac:dyDescent="0.25">
      <c r="A21" s="3" t="s">
        <v>13</v>
      </c>
      <c r="B21" s="1">
        <v>3</v>
      </c>
    </row>
    <row r="22" spans="1:2" x14ac:dyDescent="0.25">
      <c r="A22" s="3" t="s">
        <v>17</v>
      </c>
      <c r="B22" s="1">
        <v>7</v>
      </c>
    </row>
    <row r="23" spans="1:2" x14ac:dyDescent="0.25">
      <c r="A23" s="3" t="s">
        <v>24</v>
      </c>
      <c r="B23" s="1">
        <v>107</v>
      </c>
    </row>
    <row r="27" spans="1:2" x14ac:dyDescent="0.25">
      <c r="A27" t="s">
        <v>30</v>
      </c>
      <c r="B27" t="s">
        <v>31</v>
      </c>
    </row>
    <row r="28" spans="1:2" x14ac:dyDescent="0.25">
      <c r="A28" s="3" t="s">
        <v>4</v>
      </c>
      <c r="B28" s="1">
        <v>14</v>
      </c>
    </row>
    <row r="29" spans="1:2" x14ac:dyDescent="0.25">
      <c r="A29" s="3" t="s">
        <v>8</v>
      </c>
      <c r="B29" s="1">
        <v>9</v>
      </c>
    </row>
    <row r="30" spans="1:2" x14ac:dyDescent="0.25">
      <c r="A30" s="3" t="s">
        <v>7</v>
      </c>
      <c r="B30" s="1">
        <v>7</v>
      </c>
    </row>
    <row r="31" spans="1:2" x14ac:dyDescent="0.25">
      <c r="A31" s="3" t="s">
        <v>5</v>
      </c>
      <c r="B31" s="1">
        <v>7</v>
      </c>
    </row>
    <row r="32" spans="1:2" x14ac:dyDescent="0.25">
      <c r="A32" s="3" t="s">
        <v>9</v>
      </c>
      <c r="B32" s="1">
        <v>7</v>
      </c>
    </row>
    <row r="33" spans="1:2" x14ac:dyDescent="0.25">
      <c r="A33" s="3" t="s">
        <v>16</v>
      </c>
      <c r="B33" s="1">
        <v>7</v>
      </c>
    </row>
    <row r="34" spans="1:2" x14ac:dyDescent="0.25">
      <c r="A34" s="3" t="s">
        <v>17</v>
      </c>
      <c r="B34" s="1">
        <v>7</v>
      </c>
    </row>
    <row r="35" spans="1:2" x14ac:dyDescent="0.25">
      <c r="A35" s="3" t="s">
        <v>11</v>
      </c>
      <c r="B35" s="1">
        <v>6</v>
      </c>
    </row>
    <row r="36" spans="1:2" x14ac:dyDescent="0.25">
      <c r="A36" s="3" t="s">
        <v>15</v>
      </c>
      <c r="B36" s="1">
        <v>5</v>
      </c>
    </row>
    <row r="37" spans="1:2" x14ac:dyDescent="0.25">
      <c r="A37" s="3" t="s">
        <v>22</v>
      </c>
      <c r="B37" s="1">
        <v>5</v>
      </c>
    </row>
    <row r="38" spans="1:2" x14ac:dyDescent="0.25">
      <c r="A38" s="3" t="s">
        <v>21</v>
      </c>
      <c r="B38" s="1">
        <v>5</v>
      </c>
    </row>
    <row r="39" spans="1:2" x14ac:dyDescent="0.25">
      <c r="A39" s="3" t="s">
        <v>18</v>
      </c>
      <c r="B39" s="1">
        <v>5</v>
      </c>
    </row>
    <row r="40" spans="1:2" x14ac:dyDescent="0.25">
      <c r="A40" s="3" t="s">
        <v>6</v>
      </c>
      <c r="B40" s="1">
        <v>4</v>
      </c>
    </row>
    <row r="41" spans="1:2" x14ac:dyDescent="0.25">
      <c r="A41" s="3" t="s">
        <v>10</v>
      </c>
      <c r="B41" s="1">
        <v>4</v>
      </c>
    </row>
    <row r="42" spans="1:2" x14ac:dyDescent="0.25">
      <c r="A42" s="3" t="s">
        <v>12</v>
      </c>
      <c r="B42" s="1">
        <v>3</v>
      </c>
    </row>
    <row r="43" spans="1:2" x14ac:dyDescent="0.25">
      <c r="A43" s="3" t="s">
        <v>14</v>
      </c>
      <c r="B43" s="1">
        <v>3</v>
      </c>
    </row>
    <row r="44" spans="1:2" x14ac:dyDescent="0.25">
      <c r="A44" s="3" t="s">
        <v>20</v>
      </c>
      <c r="B44" s="1">
        <v>3</v>
      </c>
    </row>
    <row r="45" spans="1:2" x14ac:dyDescent="0.25">
      <c r="A45" s="3" t="s">
        <v>19</v>
      </c>
      <c r="B45" s="1">
        <v>3</v>
      </c>
    </row>
    <row r="46" spans="1:2" x14ac:dyDescent="0.25">
      <c r="A46" s="3" t="s">
        <v>13</v>
      </c>
      <c r="B46" s="1">
        <v>3</v>
      </c>
    </row>
  </sheetData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EB732-8220-40D0-99AE-F7F45130D1E7}">
  <dimension ref="A3:E87"/>
  <sheetViews>
    <sheetView tabSelected="1" workbookViewId="0">
      <selection activeCell="H16" sqref="H16"/>
    </sheetView>
  </sheetViews>
  <sheetFormatPr defaultRowHeight="15" x14ac:dyDescent="0.25"/>
  <cols>
    <col min="1" max="1" width="17.85546875" bestFit="1" customWidth="1"/>
    <col min="2" max="2" width="12.42578125" bestFit="1" customWidth="1"/>
  </cols>
  <sheetData>
    <row r="3" spans="1:5" x14ac:dyDescent="0.25">
      <c r="A3" s="2" t="s">
        <v>23</v>
      </c>
      <c r="B3" t="s">
        <v>26</v>
      </c>
      <c r="E3" s="4" t="s">
        <v>33</v>
      </c>
    </row>
    <row r="4" spans="1:5" x14ac:dyDescent="0.25">
      <c r="A4" s="3">
        <v>1</v>
      </c>
      <c r="B4" s="1">
        <v>44.5</v>
      </c>
      <c r="E4" s="4">
        <f>MAX(B4:B42)</f>
        <v>190.5</v>
      </c>
    </row>
    <row r="5" spans="1:5" x14ac:dyDescent="0.25">
      <c r="A5" s="3">
        <v>2</v>
      </c>
      <c r="B5" s="1">
        <v>99</v>
      </c>
      <c r="E5" s="4" t="s">
        <v>34</v>
      </c>
    </row>
    <row r="6" spans="1:5" x14ac:dyDescent="0.25">
      <c r="A6" s="3">
        <v>3</v>
      </c>
      <c r="B6" s="1">
        <v>164</v>
      </c>
      <c r="E6" s="4">
        <f>VLOOKUP(E4,B48:C87,2,0)</f>
        <v>31</v>
      </c>
    </row>
    <row r="7" spans="1:5" x14ac:dyDescent="0.25">
      <c r="A7" s="3">
        <v>5</v>
      </c>
      <c r="B7" s="1">
        <v>111</v>
      </c>
      <c r="E7" s="4"/>
    </row>
    <row r="8" spans="1:5" x14ac:dyDescent="0.25">
      <c r="A8" s="3">
        <v>6</v>
      </c>
      <c r="B8" s="1">
        <v>142</v>
      </c>
    </row>
    <row r="9" spans="1:5" x14ac:dyDescent="0.25">
      <c r="A9" s="3">
        <v>7</v>
      </c>
      <c r="B9" s="1">
        <v>49</v>
      </c>
    </row>
    <row r="10" spans="1:5" x14ac:dyDescent="0.25">
      <c r="A10" s="3">
        <v>8</v>
      </c>
      <c r="B10" s="1">
        <v>51.5</v>
      </c>
    </row>
    <row r="11" spans="1:5" x14ac:dyDescent="0.25">
      <c r="A11" s="3">
        <v>9</v>
      </c>
      <c r="B11" s="1">
        <v>136</v>
      </c>
      <c r="D11" t="s">
        <v>35</v>
      </c>
      <c r="E11" s="4">
        <f>GETPIVOTDATA("koszt",$A$3)</f>
        <v>2502.5</v>
      </c>
    </row>
    <row r="12" spans="1:5" x14ac:dyDescent="0.25">
      <c r="A12" s="3">
        <v>10</v>
      </c>
      <c r="B12" s="1">
        <v>71</v>
      </c>
    </row>
    <row r="13" spans="1:5" x14ac:dyDescent="0.25">
      <c r="A13" s="3">
        <v>11</v>
      </c>
      <c r="B13" s="1">
        <v>48</v>
      </c>
    </row>
    <row r="14" spans="1:5" x14ac:dyDescent="0.25">
      <c r="A14" s="3">
        <v>12</v>
      </c>
      <c r="B14" s="1">
        <v>40</v>
      </c>
    </row>
    <row r="15" spans="1:5" x14ac:dyDescent="0.25">
      <c r="A15" s="3">
        <v>13</v>
      </c>
      <c r="B15" s="1">
        <v>151.5</v>
      </c>
    </row>
    <row r="16" spans="1:5" x14ac:dyDescent="0.25">
      <c r="A16" s="3">
        <v>14</v>
      </c>
      <c r="B16" s="1">
        <v>87</v>
      </c>
    </row>
    <row r="17" spans="1:2" x14ac:dyDescent="0.25">
      <c r="A17" s="3">
        <v>15</v>
      </c>
      <c r="B17" s="1">
        <v>44</v>
      </c>
    </row>
    <row r="18" spans="1:2" x14ac:dyDescent="0.25">
      <c r="A18" s="3">
        <v>16</v>
      </c>
      <c r="B18" s="1">
        <v>55</v>
      </c>
    </row>
    <row r="19" spans="1:2" x14ac:dyDescent="0.25">
      <c r="A19" s="3">
        <v>17</v>
      </c>
      <c r="B19" s="1">
        <v>56</v>
      </c>
    </row>
    <row r="20" spans="1:2" x14ac:dyDescent="0.25">
      <c r="A20" s="3">
        <v>18</v>
      </c>
      <c r="B20" s="1">
        <v>44</v>
      </c>
    </row>
    <row r="21" spans="1:2" x14ac:dyDescent="0.25">
      <c r="A21" s="3">
        <v>19</v>
      </c>
      <c r="B21" s="1">
        <v>58</v>
      </c>
    </row>
    <row r="22" spans="1:2" x14ac:dyDescent="0.25">
      <c r="A22" s="3">
        <v>20</v>
      </c>
      <c r="B22" s="1">
        <v>22</v>
      </c>
    </row>
    <row r="23" spans="1:2" x14ac:dyDescent="0.25">
      <c r="A23" s="3">
        <v>21</v>
      </c>
      <c r="B23" s="1">
        <v>70</v>
      </c>
    </row>
    <row r="24" spans="1:2" x14ac:dyDescent="0.25">
      <c r="A24" s="3">
        <v>22</v>
      </c>
      <c r="B24" s="1">
        <v>56</v>
      </c>
    </row>
    <row r="25" spans="1:2" x14ac:dyDescent="0.25">
      <c r="A25" s="3">
        <v>23</v>
      </c>
      <c r="B25" s="1">
        <v>18</v>
      </c>
    </row>
    <row r="26" spans="1:2" x14ac:dyDescent="0.25">
      <c r="A26" s="3">
        <v>24</v>
      </c>
      <c r="B26" s="1">
        <v>24</v>
      </c>
    </row>
    <row r="27" spans="1:2" x14ac:dyDescent="0.25">
      <c r="A27" s="3">
        <v>25</v>
      </c>
      <c r="B27" s="1">
        <v>26</v>
      </c>
    </row>
    <row r="28" spans="1:2" x14ac:dyDescent="0.25">
      <c r="A28" s="3">
        <v>26</v>
      </c>
      <c r="B28" s="1">
        <v>55</v>
      </c>
    </row>
    <row r="29" spans="1:2" x14ac:dyDescent="0.25">
      <c r="A29" s="3">
        <v>27</v>
      </c>
      <c r="B29" s="1">
        <v>43</v>
      </c>
    </row>
    <row r="30" spans="1:2" x14ac:dyDescent="0.25">
      <c r="A30" s="3">
        <v>28</v>
      </c>
      <c r="B30" s="1">
        <v>50</v>
      </c>
    </row>
    <row r="31" spans="1:2" x14ac:dyDescent="0.25">
      <c r="A31" s="3">
        <v>29</v>
      </c>
      <c r="B31" s="1">
        <v>7</v>
      </c>
    </row>
    <row r="32" spans="1:2" x14ac:dyDescent="0.25">
      <c r="A32" s="3">
        <v>30</v>
      </c>
      <c r="B32" s="1">
        <v>64</v>
      </c>
    </row>
    <row r="33" spans="1:3" x14ac:dyDescent="0.25">
      <c r="A33" s="3">
        <v>31</v>
      </c>
      <c r="B33" s="1">
        <v>190.5</v>
      </c>
    </row>
    <row r="34" spans="1:3" x14ac:dyDescent="0.25">
      <c r="A34" s="3">
        <v>32</v>
      </c>
      <c r="B34" s="1">
        <v>53</v>
      </c>
    </row>
    <row r="35" spans="1:3" x14ac:dyDescent="0.25">
      <c r="A35" s="3">
        <v>33</v>
      </c>
      <c r="B35" s="1">
        <v>64</v>
      </c>
    </row>
    <row r="36" spans="1:3" x14ac:dyDescent="0.25">
      <c r="A36" s="3">
        <v>34</v>
      </c>
      <c r="B36" s="1">
        <v>28</v>
      </c>
    </row>
    <row r="37" spans="1:3" x14ac:dyDescent="0.25">
      <c r="A37" s="3">
        <v>35</v>
      </c>
      <c r="B37" s="1">
        <v>35</v>
      </c>
    </row>
    <row r="38" spans="1:3" x14ac:dyDescent="0.25">
      <c r="A38" s="3">
        <v>36</v>
      </c>
      <c r="B38" s="1">
        <v>54</v>
      </c>
    </row>
    <row r="39" spans="1:3" x14ac:dyDescent="0.25">
      <c r="A39" s="3">
        <v>37</v>
      </c>
      <c r="B39" s="1">
        <v>41</v>
      </c>
    </row>
    <row r="40" spans="1:3" x14ac:dyDescent="0.25">
      <c r="A40" s="3">
        <v>38</v>
      </c>
      <c r="B40" s="1">
        <v>14.5</v>
      </c>
    </row>
    <row r="41" spans="1:3" x14ac:dyDescent="0.25">
      <c r="A41" s="3">
        <v>39</v>
      </c>
      <c r="B41" s="1">
        <v>66</v>
      </c>
    </row>
    <row r="42" spans="1:3" x14ac:dyDescent="0.25">
      <c r="A42" s="3">
        <v>40</v>
      </c>
      <c r="B42" s="1">
        <v>70</v>
      </c>
    </row>
    <row r="43" spans="1:3" x14ac:dyDescent="0.25">
      <c r="A43" s="3" t="s">
        <v>24</v>
      </c>
      <c r="B43" s="1">
        <v>2502.5</v>
      </c>
    </row>
    <row r="48" spans="1:3" x14ac:dyDescent="0.25">
      <c r="B48" t="s">
        <v>32</v>
      </c>
      <c r="C48" t="s">
        <v>0</v>
      </c>
    </row>
    <row r="49" spans="2:3" x14ac:dyDescent="0.25">
      <c r="B49" s="1">
        <v>44.5</v>
      </c>
      <c r="C49" s="3">
        <v>1</v>
      </c>
    </row>
    <row r="50" spans="2:3" x14ac:dyDescent="0.25">
      <c r="B50" s="1">
        <v>99</v>
      </c>
      <c r="C50" s="3">
        <v>2</v>
      </c>
    </row>
    <row r="51" spans="2:3" x14ac:dyDescent="0.25">
      <c r="B51" s="1">
        <v>164</v>
      </c>
      <c r="C51" s="3">
        <v>3</v>
      </c>
    </row>
    <row r="52" spans="2:3" x14ac:dyDescent="0.25">
      <c r="B52" s="1">
        <v>111</v>
      </c>
      <c r="C52" s="3">
        <v>5</v>
      </c>
    </row>
    <row r="53" spans="2:3" x14ac:dyDescent="0.25">
      <c r="B53" s="1">
        <v>142</v>
      </c>
      <c r="C53" s="3">
        <v>6</v>
      </c>
    </row>
    <row r="54" spans="2:3" x14ac:dyDescent="0.25">
      <c r="B54" s="1">
        <v>49</v>
      </c>
      <c r="C54" s="3">
        <v>7</v>
      </c>
    </row>
    <row r="55" spans="2:3" x14ac:dyDescent="0.25">
      <c r="B55" s="1">
        <v>51.5</v>
      </c>
      <c r="C55" s="3">
        <v>8</v>
      </c>
    </row>
    <row r="56" spans="2:3" x14ac:dyDescent="0.25">
      <c r="B56" s="1">
        <v>136</v>
      </c>
      <c r="C56" s="3">
        <v>9</v>
      </c>
    </row>
    <row r="57" spans="2:3" x14ac:dyDescent="0.25">
      <c r="B57" s="1">
        <v>71</v>
      </c>
      <c r="C57" s="3">
        <v>10</v>
      </c>
    </row>
    <row r="58" spans="2:3" x14ac:dyDescent="0.25">
      <c r="B58" s="1">
        <v>48</v>
      </c>
      <c r="C58" s="3">
        <v>11</v>
      </c>
    </row>
    <row r="59" spans="2:3" x14ac:dyDescent="0.25">
      <c r="B59" s="1">
        <v>40</v>
      </c>
      <c r="C59" s="3">
        <v>12</v>
      </c>
    </row>
    <row r="60" spans="2:3" x14ac:dyDescent="0.25">
      <c r="B60" s="1">
        <v>151.5</v>
      </c>
      <c r="C60" s="3">
        <v>13</v>
      </c>
    </row>
    <row r="61" spans="2:3" x14ac:dyDescent="0.25">
      <c r="B61" s="1">
        <v>87</v>
      </c>
      <c r="C61" s="3">
        <v>14</v>
      </c>
    </row>
    <row r="62" spans="2:3" x14ac:dyDescent="0.25">
      <c r="B62" s="1">
        <v>44</v>
      </c>
      <c r="C62" s="3">
        <v>15</v>
      </c>
    </row>
    <row r="63" spans="2:3" x14ac:dyDescent="0.25">
      <c r="B63" s="1">
        <v>55</v>
      </c>
      <c r="C63" s="3">
        <v>16</v>
      </c>
    </row>
    <row r="64" spans="2:3" x14ac:dyDescent="0.25">
      <c r="B64" s="1">
        <v>56</v>
      </c>
      <c r="C64" s="3">
        <v>17</v>
      </c>
    </row>
    <row r="65" spans="2:3" x14ac:dyDescent="0.25">
      <c r="B65" s="1">
        <v>44</v>
      </c>
      <c r="C65" s="3">
        <v>18</v>
      </c>
    </row>
    <row r="66" spans="2:3" x14ac:dyDescent="0.25">
      <c r="B66" s="1">
        <v>58</v>
      </c>
      <c r="C66" s="3">
        <v>19</v>
      </c>
    </row>
    <row r="67" spans="2:3" x14ac:dyDescent="0.25">
      <c r="B67" s="1">
        <v>22</v>
      </c>
      <c r="C67" s="3">
        <v>20</v>
      </c>
    </row>
    <row r="68" spans="2:3" x14ac:dyDescent="0.25">
      <c r="B68" s="1">
        <v>70</v>
      </c>
      <c r="C68" s="3">
        <v>21</v>
      </c>
    </row>
    <row r="69" spans="2:3" x14ac:dyDescent="0.25">
      <c r="B69" s="1">
        <v>56</v>
      </c>
      <c r="C69" s="3">
        <v>22</v>
      </c>
    </row>
    <row r="70" spans="2:3" x14ac:dyDescent="0.25">
      <c r="B70" s="1">
        <v>18</v>
      </c>
      <c r="C70" s="3">
        <v>23</v>
      </c>
    </row>
    <row r="71" spans="2:3" x14ac:dyDescent="0.25">
      <c r="B71" s="1">
        <v>24</v>
      </c>
      <c r="C71" s="3">
        <v>24</v>
      </c>
    </row>
    <row r="72" spans="2:3" x14ac:dyDescent="0.25">
      <c r="B72" s="1">
        <v>26</v>
      </c>
      <c r="C72" s="3">
        <v>25</v>
      </c>
    </row>
    <row r="73" spans="2:3" x14ac:dyDescent="0.25">
      <c r="B73" s="1">
        <v>55</v>
      </c>
      <c r="C73" s="3">
        <v>26</v>
      </c>
    </row>
    <row r="74" spans="2:3" x14ac:dyDescent="0.25">
      <c r="B74" s="1">
        <v>43</v>
      </c>
      <c r="C74" s="3">
        <v>27</v>
      </c>
    </row>
    <row r="75" spans="2:3" x14ac:dyDescent="0.25">
      <c r="B75" s="1">
        <v>50</v>
      </c>
      <c r="C75" s="3">
        <v>28</v>
      </c>
    </row>
    <row r="76" spans="2:3" x14ac:dyDescent="0.25">
      <c r="B76" s="1">
        <v>7</v>
      </c>
      <c r="C76" s="3">
        <v>29</v>
      </c>
    </row>
    <row r="77" spans="2:3" x14ac:dyDescent="0.25">
      <c r="B77" s="1">
        <v>64</v>
      </c>
      <c r="C77" s="3">
        <v>30</v>
      </c>
    </row>
    <row r="78" spans="2:3" x14ac:dyDescent="0.25">
      <c r="B78" s="1">
        <v>190.5</v>
      </c>
      <c r="C78" s="3">
        <v>31</v>
      </c>
    </row>
    <row r="79" spans="2:3" x14ac:dyDescent="0.25">
      <c r="B79" s="1">
        <v>53</v>
      </c>
      <c r="C79" s="3">
        <v>32</v>
      </c>
    </row>
    <row r="80" spans="2:3" x14ac:dyDescent="0.25">
      <c r="B80" s="1">
        <v>64</v>
      </c>
      <c r="C80" s="3">
        <v>33</v>
      </c>
    </row>
    <row r="81" spans="2:3" x14ac:dyDescent="0.25">
      <c r="B81" s="1">
        <v>28</v>
      </c>
      <c r="C81" s="3">
        <v>34</v>
      </c>
    </row>
    <row r="82" spans="2:3" x14ac:dyDescent="0.25">
      <c r="B82" s="1">
        <v>35</v>
      </c>
      <c r="C82" s="3">
        <v>35</v>
      </c>
    </row>
    <row r="83" spans="2:3" x14ac:dyDescent="0.25">
      <c r="B83" s="1">
        <v>54</v>
      </c>
      <c r="C83" s="3">
        <v>36</v>
      </c>
    </row>
    <row r="84" spans="2:3" x14ac:dyDescent="0.25">
      <c r="B84" s="1">
        <v>41</v>
      </c>
      <c r="C84" s="3">
        <v>37</v>
      </c>
    </row>
    <row r="85" spans="2:3" x14ac:dyDescent="0.25">
      <c r="B85" s="1">
        <v>14.5</v>
      </c>
      <c r="C85" s="3">
        <v>38</v>
      </c>
    </row>
    <row r="86" spans="2:3" x14ac:dyDescent="0.25">
      <c r="B86" s="1">
        <v>66</v>
      </c>
      <c r="C86" s="3">
        <v>39</v>
      </c>
    </row>
    <row r="87" spans="2:3" x14ac:dyDescent="0.25">
      <c r="B87" s="1">
        <v>70</v>
      </c>
      <c r="C87" s="3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D658898-F1B1-4B28-9723-21A81F0F4F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kawiarnia</vt:lpstr>
      <vt:lpstr>25_1</vt:lpstr>
      <vt:lpstr>25_2</vt:lpstr>
      <vt:lpstr>25_3 i 25_4</vt:lpstr>
    </vt:vector>
  </TitlesOfParts>
  <Company>XLLO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Bartos</dc:creator>
  <cp:lastModifiedBy>Natalia Bartos</cp:lastModifiedBy>
  <dcterms:created xsi:type="dcterms:W3CDTF">2026-03-10T16:24:51Z</dcterms:created>
  <dcterms:modified xsi:type="dcterms:W3CDTF">2026-03-10T16:35:20Z</dcterms:modified>
</cp:coreProperties>
</file>