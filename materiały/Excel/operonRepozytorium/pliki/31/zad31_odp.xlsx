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bartos\Documents\Zadania\repetytoriumOperon\informatyka-repetytorium\rozdział 3 - Excel\pliki\31\"/>
    </mc:Choice>
  </mc:AlternateContent>
  <xr:revisionPtr revIDLastSave="0" documentId="8_{87F671FA-AFB4-41F2-A63B-DF181C543552}" xr6:coauthVersionLast="47" xr6:coauthVersionMax="47" xr10:uidLastSave="{00000000-0000-0000-0000-000000000000}"/>
  <bookViews>
    <workbookView xWindow="-120" yWindow="-120" windowWidth="29040" windowHeight="15720" xr2:uid="{09DC95C2-CA33-42D0-A594-45409E83D71C}"/>
  </bookViews>
  <sheets>
    <sheet name="bieg" sheetId="3" r:id="rId1"/>
    <sheet name="31_1" sheetId="4" r:id="rId2"/>
    <sheet name="31_2" sheetId="5" r:id="rId3"/>
    <sheet name="31_3" sheetId="6" r:id="rId4"/>
    <sheet name="31_4" sheetId="7" r:id="rId5"/>
  </sheets>
  <definedNames>
    <definedName name="ExternalData_1" localSheetId="2" hidden="1">'31_2'!$A$1:$D$127</definedName>
    <definedName name="ExternalData_1" localSheetId="3" hidden="1">'31_3'!$A$1:$D$127</definedName>
    <definedName name="ExternalData_1" localSheetId="4" hidden="1">'31_4'!$A$1:$D$127</definedName>
    <definedName name="ExternalData_1" localSheetId="0" hidden="1">bieg!$A$1:$D$127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  <c r="G18" i="7"/>
  <c r="G30" i="7"/>
  <c r="G32" i="7"/>
  <c r="G73" i="7"/>
  <c r="G74" i="7"/>
  <c r="G98" i="7"/>
  <c r="G103" i="7"/>
  <c r="G105" i="7"/>
  <c r="G108" i="7"/>
  <c r="G115" i="7"/>
  <c r="G116" i="7"/>
  <c r="F2" i="7"/>
  <c r="F3" i="7" s="1"/>
  <c r="F4" i="7" s="1"/>
  <c r="F5" i="7" s="1"/>
  <c r="F6" i="7" s="1"/>
  <c r="F7" i="7" s="1"/>
  <c r="G7" i="7" s="1"/>
  <c r="F8" i="7"/>
  <c r="G8" i="7" s="1"/>
  <c r="F9" i="7"/>
  <c r="G9" i="7" s="1"/>
  <c r="F10" i="7"/>
  <c r="G10" i="7" s="1"/>
  <c r="F13" i="7"/>
  <c r="F14" i="7" s="1"/>
  <c r="F15" i="7" s="1"/>
  <c r="F16" i="7" s="1"/>
  <c r="F17" i="7" s="1"/>
  <c r="F18" i="7" s="1"/>
  <c r="F19" i="7"/>
  <c r="F20" i="7" s="1"/>
  <c r="F21" i="7" s="1"/>
  <c r="F22" i="7" s="1"/>
  <c r="F23" i="7" s="1"/>
  <c r="F24" i="7" s="1"/>
  <c r="G24" i="7" s="1"/>
  <c r="F25" i="7"/>
  <c r="G25" i="7" s="1"/>
  <c r="F30" i="7"/>
  <c r="F31" i="7" s="1"/>
  <c r="F32" i="7" s="1"/>
  <c r="F33" i="7" s="1"/>
  <c r="F34" i="7" s="1"/>
  <c r="F35" i="7" s="1"/>
  <c r="F36" i="7" s="1"/>
  <c r="F37" i="7" s="1"/>
  <c r="G37" i="7" s="1"/>
  <c r="F38" i="7"/>
  <c r="F39" i="7" s="1"/>
  <c r="F48" i="7"/>
  <c r="F49" i="7" s="1"/>
  <c r="F50" i="7" s="1"/>
  <c r="F51" i="7" s="1"/>
  <c r="F52" i="7" s="1"/>
  <c r="F53" i="7" s="1"/>
  <c r="F54" i="7" s="1"/>
  <c r="F55" i="7" s="1"/>
  <c r="F56" i="7" s="1"/>
  <c r="F57" i="7" s="1"/>
  <c r="G57" i="7" s="1"/>
  <c r="F58" i="7"/>
  <c r="F59" i="7" s="1"/>
  <c r="F60" i="7" s="1"/>
  <c r="F61" i="7" s="1"/>
  <c r="F62" i="7" s="1"/>
  <c r="F63" i="7" s="1"/>
  <c r="F64" i="7" s="1"/>
  <c r="G64" i="7" s="1"/>
  <c r="F65" i="7"/>
  <c r="G65" i="7" s="1"/>
  <c r="F70" i="7"/>
  <c r="F71" i="7" s="1"/>
  <c r="F72" i="7" s="1"/>
  <c r="F73" i="7" s="1"/>
  <c r="F74" i="7" s="1"/>
  <c r="F75" i="7"/>
  <c r="G75" i="7" s="1"/>
  <c r="F76" i="7"/>
  <c r="F77" i="7" s="1"/>
  <c r="F78" i="7" s="1"/>
  <c r="F79" i="7" s="1"/>
  <c r="F80" i="7" s="1"/>
  <c r="G80" i="7" s="1"/>
  <c r="F81" i="7"/>
  <c r="G81" i="7" s="1"/>
  <c r="F89" i="7"/>
  <c r="G89" i="7" s="1"/>
  <c r="F94" i="7"/>
  <c r="F95" i="7" s="1"/>
  <c r="F96" i="7" s="1"/>
  <c r="F97" i="7" s="1"/>
  <c r="F98" i="7" s="1"/>
  <c r="F99" i="7" s="1"/>
  <c r="G99" i="7" s="1"/>
  <c r="F100" i="7"/>
  <c r="F101" i="7" s="1"/>
  <c r="F102" i="7" s="1"/>
  <c r="F103" i="7" s="1"/>
  <c r="F104" i="7" s="1"/>
  <c r="F105" i="7" s="1"/>
  <c r="F106" i="7" s="1"/>
  <c r="F107" i="7" s="1"/>
  <c r="F108" i="7" s="1"/>
  <c r="F109" i="7"/>
  <c r="G109" i="7" s="1"/>
  <c r="F115" i="7"/>
  <c r="F116" i="7"/>
  <c r="F117" i="7" s="1"/>
  <c r="F118" i="7" s="1"/>
  <c r="F119" i="7" s="1"/>
  <c r="F120" i="7" s="1"/>
  <c r="F121" i="7" s="1"/>
  <c r="F122" i="7" s="1"/>
  <c r="G122" i="7" s="1"/>
  <c r="F123" i="7"/>
  <c r="F124" i="7" s="1"/>
  <c r="F125" i="7" s="1"/>
  <c r="F126" i="7" s="1"/>
  <c r="F127" i="7" s="1"/>
  <c r="G127" i="7" s="1"/>
  <c r="E64" i="7"/>
  <c r="E37" i="7"/>
  <c r="E63" i="7"/>
  <c r="E47" i="7"/>
  <c r="E57" i="7"/>
  <c r="E69" i="7"/>
  <c r="E88" i="7"/>
  <c r="E87" i="7"/>
  <c r="E7" i="7"/>
  <c r="E36" i="7"/>
  <c r="E46" i="7"/>
  <c r="E56" i="7"/>
  <c r="E86" i="7"/>
  <c r="E74" i="7"/>
  <c r="E114" i="7"/>
  <c r="E6" i="7"/>
  <c r="E68" i="7"/>
  <c r="E80" i="7"/>
  <c r="E85" i="7"/>
  <c r="E99" i="7"/>
  <c r="E35" i="7"/>
  <c r="E24" i="7"/>
  <c r="E45" i="7"/>
  <c r="E113" i="7"/>
  <c r="E29" i="7"/>
  <c r="E5" i="7"/>
  <c r="E112" i="7"/>
  <c r="E67" i="7"/>
  <c r="E62" i="7"/>
  <c r="E66" i="7"/>
  <c r="E127" i="7"/>
  <c r="E126" i="7"/>
  <c r="E93" i="7"/>
  <c r="E55" i="7"/>
  <c r="E34" i="7"/>
  <c r="E54" i="7"/>
  <c r="E111" i="7"/>
  <c r="E33" i="7"/>
  <c r="E73" i="7"/>
  <c r="E18" i="7"/>
  <c r="E98" i="7"/>
  <c r="E79" i="7"/>
  <c r="E125" i="7"/>
  <c r="E124" i="7"/>
  <c r="E78" i="7"/>
  <c r="E23" i="7"/>
  <c r="E61" i="7"/>
  <c r="E122" i="7"/>
  <c r="E97" i="7"/>
  <c r="E60" i="7"/>
  <c r="E17" i="7"/>
  <c r="E4" i="7"/>
  <c r="E121" i="7"/>
  <c r="E120" i="7"/>
  <c r="E28" i="7"/>
  <c r="E96" i="7"/>
  <c r="E16" i="7"/>
  <c r="E119" i="7"/>
  <c r="E108" i="7"/>
  <c r="E3" i="7"/>
  <c r="E107" i="7"/>
  <c r="E27" i="7"/>
  <c r="E77" i="7"/>
  <c r="E118" i="7"/>
  <c r="E106" i="7"/>
  <c r="E32" i="7"/>
  <c r="E92" i="7"/>
  <c r="E105" i="7"/>
  <c r="E53" i="7"/>
  <c r="E2" i="7"/>
  <c r="E76" i="7"/>
  <c r="E15" i="7"/>
  <c r="E44" i="7"/>
  <c r="E104" i="7"/>
  <c r="E52" i="7"/>
  <c r="E103" i="7"/>
  <c r="E72" i="7"/>
  <c r="G72" i="7" s="1"/>
  <c r="E102" i="7"/>
  <c r="E59" i="7"/>
  <c r="E84" i="7"/>
  <c r="E12" i="7"/>
  <c r="E51" i="7"/>
  <c r="E110" i="7"/>
  <c r="E91" i="7"/>
  <c r="E31" i="7"/>
  <c r="E50" i="7"/>
  <c r="E49" i="7"/>
  <c r="E95" i="7"/>
  <c r="E43" i="7"/>
  <c r="E30" i="7"/>
  <c r="E26" i="7"/>
  <c r="E11" i="7"/>
  <c r="E10" i="7"/>
  <c r="E71" i="7"/>
  <c r="E101" i="7"/>
  <c r="E14" i="7"/>
  <c r="E42" i="7"/>
  <c r="E13" i="7"/>
  <c r="E41" i="7"/>
  <c r="E70" i="7"/>
  <c r="E22" i="7"/>
  <c r="E9" i="7"/>
  <c r="E65" i="7"/>
  <c r="E117" i="7"/>
  <c r="E90" i="7"/>
  <c r="E48" i="7"/>
  <c r="E8" i="7"/>
  <c r="E100" i="7"/>
  <c r="E40" i="7"/>
  <c r="E25" i="7"/>
  <c r="E123" i="7"/>
  <c r="E58" i="7"/>
  <c r="G60" i="7" s="1"/>
  <c r="E75" i="7"/>
  <c r="E116" i="7"/>
  <c r="E94" i="7"/>
  <c r="E109" i="7"/>
  <c r="E39" i="7"/>
  <c r="E83" i="7"/>
  <c r="E21" i="7"/>
  <c r="E115" i="7"/>
  <c r="E38" i="7"/>
  <c r="E20" i="7"/>
  <c r="E82" i="7"/>
  <c r="E89" i="7"/>
  <c r="E19" i="7"/>
  <c r="E81" i="7"/>
  <c r="E7" i="6"/>
  <c r="E6" i="6"/>
  <c r="E5" i="6"/>
  <c r="E4" i="6"/>
  <c r="E3" i="6"/>
  <c r="E2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22" i="3"/>
  <c r="E123" i="3"/>
  <c r="E124" i="3"/>
  <c r="E125" i="3"/>
  <c r="E126" i="3"/>
  <c r="E12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G58" i="7" l="1"/>
  <c r="F110" i="7"/>
  <c r="F111" i="7" s="1"/>
  <c r="F112" i="7" s="1"/>
  <c r="G102" i="7"/>
  <c r="G101" i="7"/>
  <c r="G56" i="7"/>
  <c r="G3" i="7"/>
  <c r="G100" i="7"/>
  <c r="G55" i="7"/>
  <c r="G59" i="7"/>
  <c r="G2" i="7"/>
  <c r="G35" i="7"/>
  <c r="F82" i="7"/>
  <c r="F83" i="7" s="1"/>
  <c r="F84" i="7" s="1"/>
  <c r="F85" i="7" s="1"/>
  <c r="F86" i="7" s="1"/>
  <c r="F87" i="7" s="1"/>
  <c r="F88" i="7" s="1"/>
  <c r="G88" i="7" s="1"/>
  <c r="F11" i="7"/>
  <c r="F12" i="7" s="1"/>
  <c r="G12" i="7" s="1"/>
  <c r="G126" i="7"/>
  <c r="G97" i="7"/>
  <c r="G31" i="7"/>
  <c r="G71" i="7"/>
  <c r="G111" i="7"/>
  <c r="G17" i="7"/>
  <c r="F66" i="7"/>
  <c r="F67" i="7" s="1"/>
  <c r="F68" i="7" s="1"/>
  <c r="F69" i="7" s="1"/>
  <c r="G69" i="7" s="1"/>
  <c r="G63" i="7"/>
  <c r="F40" i="7"/>
  <c r="G39" i="7"/>
  <c r="G70" i="7"/>
  <c r="G14" i="7"/>
  <c r="G13" i="7"/>
  <c r="G119" i="7"/>
  <c r="G77" i="7"/>
  <c r="G49" i="7"/>
  <c r="F90" i="7"/>
  <c r="G118" i="7"/>
  <c r="G104" i="7"/>
  <c r="G76" i="7"/>
  <c r="G62" i="7"/>
  <c r="G48" i="7"/>
  <c r="G34" i="7"/>
  <c r="G20" i="7"/>
  <c r="G6" i="7"/>
  <c r="G16" i="7"/>
  <c r="G21" i="7"/>
  <c r="F26" i="7"/>
  <c r="G117" i="7"/>
  <c r="G61" i="7"/>
  <c r="G33" i="7"/>
  <c r="G19" i="7"/>
  <c r="G5" i="7"/>
  <c r="G4" i="7"/>
  <c r="G15" i="7"/>
  <c r="G124" i="7"/>
  <c r="G110" i="7"/>
  <c r="G96" i="7"/>
  <c r="G54" i="7"/>
  <c r="G123" i="7"/>
  <c r="G95" i="7"/>
  <c r="G53" i="7"/>
  <c r="G125" i="7"/>
  <c r="G121" i="7"/>
  <c r="G107" i="7"/>
  <c r="G79" i="7"/>
  <c r="G51" i="7"/>
  <c r="G23" i="7"/>
  <c r="G94" i="7"/>
  <c r="G52" i="7"/>
  <c r="G38" i="7"/>
  <c r="G120" i="7"/>
  <c r="G106" i="7"/>
  <c r="G78" i="7"/>
  <c r="G50" i="7"/>
  <c r="G36" i="7"/>
  <c r="G22" i="7"/>
  <c r="G83" i="7" l="1"/>
  <c r="G87" i="7"/>
  <c r="G84" i="7"/>
  <c r="G85" i="7"/>
  <c r="G86" i="7"/>
  <c r="G66" i="7"/>
  <c r="G68" i="7"/>
  <c r="F113" i="7"/>
  <c r="G112" i="7"/>
  <c r="G11" i="7"/>
  <c r="G67" i="7"/>
  <c r="G82" i="7"/>
  <c r="F27" i="7"/>
  <c r="G26" i="7"/>
  <c r="F91" i="7"/>
  <c r="G90" i="7"/>
  <c r="F41" i="7"/>
  <c r="G40" i="7"/>
  <c r="F114" i="7" l="1"/>
  <c r="G114" i="7" s="1"/>
  <c r="G113" i="7"/>
  <c r="F28" i="7"/>
  <c r="G27" i="7"/>
  <c r="F42" i="7"/>
  <c r="G41" i="7"/>
  <c r="F92" i="7"/>
  <c r="G91" i="7"/>
  <c r="F93" i="7" l="1"/>
  <c r="G93" i="7" s="1"/>
  <c r="G92" i="7"/>
  <c r="F43" i="7"/>
  <c r="G42" i="7"/>
  <c r="F29" i="7"/>
  <c r="G29" i="7" s="1"/>
  <c r="G28" i="7"/>
  <c r="F44" i="7" l="1"/>
  <c r="G43" i="7"/>
  <c r="F45" i="7" l="1"/>
  <c r="G44" i="7"/>
  <c r="F46" i="7" l="1"/>
  <c r="G45" i="7"/>
  <c r="F47" i="7" l="1"/>
  <c r="G47" i="7" s="1"/>
  <c r="J3" i="7" s="1"/>
  <c r="G4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78525-C417-4E81-B1E2-EB81EFF28AE0}" keepAlive="1" name="Zapytanie — bieg" description="Połączenie z zapytaniem „bieg” w skoroszycie." type="5" refreshedVersion="8" background="1" saveData="1">
    <dbPr connection="Provider=Microsoft.Mashup.OleDb.1;Data Source=$Workbook$;Location=bieg;Extended Properties=&quot;&quot;" command="SELECT * FROM [bieg]"/>
  </connection>
  <connection id="2" xr16:uid="{CBC9AA2C-C903-42CD-99F7-32917CB63CDB}" keepAlive="1" name="Zapytanie — bieg (2)" description="Połączenie z zapytaniem „bieg (2)” w skoroszycie." type="5" refreshedVersion="8" background="1" saveData="1">
    <dbPr connection="Provider=Microsoft.Mashup.OleDb.1;Data Source=$Workbook$;Location=&quot;bieg (2)&quot;;Extended Properties=&quot;&quot;" command="SELECT * FROM [bieg (2)]"/>
  </connection>
  <connection id="3" xr16:uid="{4C2BFF52-55D3-4D47-88D3-7C8A34FF69D7}" keepAlive="1" name="Zapytanie — bieg (3)" description="Połączenie z zapytaniem „bieg (3)” w skoroszycie." type="5" refreshedVersion="8" background="1" saveData="1">
    <dbPr connection="Provider=Microsoft.Mashup.OleDb.1;Data Source=$Workbook$;Location=&quot;bieg (3)&quot;;Extended Properties=&quot;&quot;" command="SELECT * FROM [bieg (3)]"/>
  </connection>
  <connection id="4" xr16:uid="{9D9307BE-5469-46DD-AD27-964FE7B20142}" keepAlive="1" name="Zapytanie — bieg (4)" description="Połączenie z zapytaniem „bieg (4)” w skoroszycie." type="5" refreshedVersion="8" background="1" saveData="1">
    <dbPr connection="Provider=Microsoft.Mashup.OleDb.1;Data Source=$Workbook$;Location=&quot;bieg (4)&quot;;Extended Properties=&quot;&quot;" command="SELECT * FROM [bieg (4)]"/>
  </connection>
</connections>
</file>

<file path=xl/sharedStrings.xml><?xml version="1.0" encoding="utf-8"?>
<sst xmlns="http://schemas.openxmlformats.org/spreadsheetml/2006/main" count="1686" uniqueCount="277">
  <si>
    <t>kraj</t>
  </si>
  <si>
    <t>FIN001</t>
  </si>
  <si>
    <t>11:30:03</t>
  </si>
  <si>
    <t>FIN</t>
  </si>
  <si>
    <t>GER002</t>
  </si>
  <si>
    <t>11:41:48</t>
  </si>
  <si>
    <t>GER</t>
  </si>
  <si>
    <t>POL003</t>
  </si>
  <si>
    <t>11:58:05</t>
  </si>
  <si>
    <t>POL</t>
  </si>
  <si>
    <t>GBR004</t>
  </si>
  <si>
    <t>11:46:27</t>
  </si>
  <si>
    <t>GBR</t>
  </si>
  <si>
    <t>FIN005</t>
  </si>
  <si>
    <t>12:00:13</t>
  </si>
  <si>
    <t>POL006</t>
  </si>
  <si>
    <t>12:01:40</t>
  </si>
  <si>
    <t>ARE007</t>
  </si>
  <si>
    <t>11:37:16</t>
  </si>
  <si>
    <t>ARE</t>
  </si>
  <si>
    <t>ZWE008</t>
  </si>
  <si>
    <t>11:45:28</t>
  </si>
  <si>
    <t>ZWE</t>
  </si>
  <si>
    <t>ITA009</t>
  </si>
  <si>
    <t>DNF</t>
  </si>
  <si>
    <t>ITA</t>
  </si>
  <si>
    <t>UKR010</t>
  </si>
  <si>
    <t>12:00:59</t>
  </si>
  <si>
    <t>UKR</t>
  </si>
  <si>
    <t>TUR011</t>
  </si>
  <si>
    <t>11:21:15</t>
  </si>
  <si>
    <t>TUR</t>
  </si>
  <si>
    <t>SWE012</t>
  </si>
  <si>
    <t>11:27:20</t>
  </si>
  <si>
    <t>SWE</t>
  </si>
  <si>
    <t>CHE013</t>
  </si>
  <si>
    <t>11:45:15</t>
  </si>
  <si>
    <t>CHE</t>
  </si>
  <si>
    <t>SYR014</t>
  </si>
  <si>
    <t>11:45:52</t>
  </si>
  <si>
    <t>SYR</t>
  </si>
  <si>
    <t>NOR015</t>
  </si>
  <si>
    <t>11:35:07</t>
  </si>
  <si>
    <t>NOR</t>
  </si>
  <si>
    <t>LTU016</t>
  </si>
  <si>
    <t>11:21:54</t>
  </si>
  <si>
    <t>LTU</t>
  </si>
  <si>
    <t>FRA017</t>
  </si>
  <si>
    <t>11:15:43</t>
  </si>
  <si>
    <t>FRA</t>
  </si>
  <si>
    <t>DNK018</t>
  </si>
  <si>
    <t>11:26:26</t>
  </si>
  <si>
    <t>DNK</t>
  </si>
  <si>
    <t>CZE019</t>
  </si>
  <si>
    <t>11:15:34</t>
  </si>
  <si>
    <t>CZE</t>
  </si>
  <si>
    <t>AUS020</t>
  </si>
  <si>
    <t>11:23:15</t>
  </si>
  <si>
    <t>AUS</t>
  </si>
  <si>
    <t>TUR021</t>
  </si>
  <si>
    <t>11:36:04</t>
  </si>
  <si>
    <t>SWE022</t>
  </si>
  <si>
    <t>11:23:12</t>
  </si>
  <si>
    <t>CHE023</t>
  </si>
  <si>
    <t>11:26:22</t>
  </si>
  <si>
    <t>SYR024</t>
  </si>
  <si>
    <t>11:54:00</t>
  </si>
  <si>
    <t>FRA025</t>
  </si>
  <si>
    <t>11:26:31</t>
  </si>
  <si>
    <t>POL026</t>
  </si>
  <si>
    <t>12:11:50</t>
  </si>
  <si>
    <t>FIN027</t>
  </si>
  <si>
    <t>11:57:23</t>
  </si>
  <si>
    <t>GER028</t>
  </si>
  <si>
    <t>12:02:25</t>
  </si>
  <si>
    <t>DNK029</t>
  </si>
  <si>
    <t>11:49:32</t>
  </si>
  <si>
    <t>TUR030</t>
  </si>
  <si>
    <t>11:40:51</t>
  </si>
  <si>
    <t>SWE031</t>
  </si>
  <si>
    <t>11:19:44</t>
  </si>
  <si>
    <t>ITA032</t>
  </si>
  <si>
    <t>12:03:46</t>
  </si>
  <si>
    <t>LTU033</t>
  </si>
  <si>
    <t>11:33:14</t>
  </si>
  <si>
    <t>UKR034</t>
  </si>
  <si>
    <t>12:01:18</t>
  </si>
  <si>
    <t>ZWE035</t>
  </si>
  <si>
    <t>12:03:33</t>
  </si>
  <si>
    <t>ARE036</t>
  </si>
  <si>
    <t>12:16:33</t>
  </si>
  <si>
    <t>ZWE037</t>
  </si>
  <si>
    <t>12:04:27</t>
  </si>
  <si>
    <t>ARE038</t>
  </si>
  <si>
    <t>11:56:35</t>
  </si>
  <si>
    <t>GBR039</t>
  </si>
  <si>
    <t>11:41:05</t>
  </si>
  <si>
    <t>USA040</t>
  </si>
  <si>
    <t>11:54:25</t>
  </si>
  <si>
    <t>USA</t>
  </si>
  <si>
    <t>USA041</t>
  </si>
  <si>
    <t>ITA042</t>
  </si>
  <si>
    <t>11:33:40</t>
  </si>
  <si>
    <t>POL043</t>
  </si>
  <si>
    <t>11:45:09</t>
  </si>
  <si>
    <t>LTU044</t>
  </si>
  <si>
    <t>11:47:05</t>
  </si>
  <si>
    <t>UKR045</t>
  </si>
  <si>
    <t>12:13:04</t>
  </si>
  <si>
    <t>AUS046</t>
  </si>
  <si>
    <t>11:39:45</t>
  </si>
  <si>
    <t>SWE047</t>
  </si>
  <si>
    <t>11:52:55</t>
  </si>
  <si>
    <t>CHE048</t>
  </si>
  <si>
    <t>11:38:58</t>
  </si>
  <si>
    <t>NOR049</t>
  </si>
  <si>
    <t>11:32:38</t>
  </si>
  <si>
    <t>POL050</t>
  </si>
  <si>
    <t>11:32:06</t>
  </si>
  <si>
    <t>LTU051</t>
  </si>
  <si>
    <t>12:08:52</t>
  </si>
  <si>
    <t>ARE052</t>
  </si>
  <si>
    <t>11:54:10</t>
  </si>
  <si>
    <t>ZWE053</t>
  </si>
  <si>
    <t>11:35:38</t>
  </si>
  <si>
    <t>AUS054</t>
  </si>
  <si>
    <t>11:50:21</t>
  </si>
  <si>
    <t>ITA055</t>
  </si>
  <si>
    <t>12:22:15</t>
  </si>
  <si>
    <t>CHE056</t>
  </si>
  <si>
    <t>12:02:40</t>
  </si>
  <si>
    <t>SWE057</t>
  </si>
  <si>
    <t>12:14:11</t>
  </si>
  <si>
    <t>NOR058</t>
  </si>
  <si>
    <t>12:10:13</t>
  </si>
  <si>
    <t>FIN059</t>
  </si>
  <si>
    <t>11:50:42</t>
  </si>
  <si>
    <t>CZE060</t>
  </si>
  <si>
    <t>12:21:04</t>
  </si>
  <si>
    <t>CZE061</t>
  </si>
  <si>
    <t>11:34:37</t>
  </si>
  <si>
    <t>FRA062</t>
  </si>
  <si>
    <t>11:45:57</t>
  </si>
  <si>
    <t>GBR063</t>
  </si>
  <si>
    <t>12:17:06</t>
  </si>
  <si>
    <t>GER064</t>
  </si>
  <si>
    <t>11:56:10</t>
  </si>
  <si>
    <t>USA065</t>
  </si>
  <si>
    <t>12:03:51</t>
  </si>
  <si>
    <t>CZE066</t>
  </si>
  <si>
    <t>11:37:55</t>
  </si>
  <si>
    <t>LTU067</t>
  </si>
  <si>
    <t>12:29:55</t>
  </si>
  <si>
    <t>POL068</t>
  </si>
  <si>
    <t>11:36:39</t>
  </si>
  <si>
    <t>SYR069</t>
  </si>
  <si>
    <t>12:26:18</t>
  </si>
  <si>
    <t>CHE070</t>
  </si>
  <si>
    <t>12:17:25</t>
  </si>
  <si>
    <t>USA071</t>
  </si>
  <si>
    <t>11:47:45</t>
  </si>
  <si>
    <t>ITA072</t>
  </si>
  <si>
    <t>12:25:09</t>
  </si>
  <si>
    <t>POL073</t>
  </si>
  <si>
    <t>11:41:12</t>
  </si>
  <si>
    <t>CHE074</t>
  </si>
  <si>
    <t>12:04:00</t>
  </si>
  <si>
    <t>SYR075</t>
  </si>
  <si>
    <t>11:55:39</t>
  </si>
  <si>
    <t>DNK076</t>
  </si>
  <si>
    <t>12:11:02</t>
  </si>
  <si>
    <t>AUS077</t>
  </si>
  <si>
    <t>11:55:42</t>
  </si>
  <si>
    <t>FRA078</t>
  </si>
  <si>
    <t>11:44:24</t>
  </si>
  <si>
    <t>GER079</t>
  </si>
  <si>
    <t>12:18:19</t>
  </si>
  <si>
    <t>GBR080</t>
  </si>
  <si>
    <t>NOR081</t>
  </si>
  <si>
    <t>12:13:17</t>
  </si>
  <si>
    <t>UKR082</t>
  </si>
  <si>
    <t>11:48:14</t>
  </si>
  <si>
    <t>TUR083</t>
  </si>
  <si>
    <t>12:10:53</t>
  </si>
  <si>
    <t>DNK084</t>
  </si>
  <si>
    <t>12:32:13</t>
  </si>
  <si>
    <t>CZE085</t>
  </si>
  <si>
    <t>12:23:30</t>
  </si>
  <si>
    <t>ARE086</t>
  </si>
  <si>
    <t>12:32:56</t>
  </si>
  <si>
    <t>USA087</t>
  </si>
  <si>
    <t>11:51:21</t>
  </si>
  <si>
    <t>AUS088</t>
  </si>
  <si>
    <t>11:55:45</t>
  </si>
  <si>
    <t>DNK089</t>
  </si>
  <si>
    <t>11:53:41</t>
  </si>
  <si>
    <t>FRA090</t>
  </si>
  <si>
    <t>FIN091</t>
  </si>
  <si>
    <t>12:03:10</t>
  </si>
  <si>
    <t>GBR092</t>
  </si>
  <si>
    <t>12:42:36</t>
  </si>
  <si>
    <t>NOR093</t>
  </si>
  <si>
    <t>12:39:52</t>
  </si>
  <si>
    <t>SYR094</t>
  </si>
  <si>
    <t>12:21:53</t>
  </si>
  <si>
    <t>TUR095</t>
  </si>
  <si>
    <t>11:58:11</t>
  </si>
  <si>
    <t>FRA096</t>
  </si>
  <si>
    <t>12:39:01</t>
  </si>
  <si>
    <t>UKR097</t>
  </si>
  <si>
    <t>12:09:57</t>
  </si>
  <si>
    <t>USA098</t>
  </si>
  <si>
    <t>12:24:17</t>
  </si>
  <si>
    <t>POL099</t>
  </si>
  <si>
    <t>12:41:55</t>
  </si>
  <si>
    <t>GER100</t>
  </si>
  <si>
    <t>11:59:05</t>
  </si>
  <si>
    <t>ARE101</t>
  </si>
  <si>
    <t>12:45:28</t>
  </si>
  <si>
    <t>FRA102</t>
  </si>
  <si>
    <t>12:47:54</t>
  </si>
  <si>
    <t>GER103</t>
  </si>
  <si>
    <t>TUR104</t>
  </si>
  <si>
    <t>12:16:13</t>
  </si>
  <si>
    <t>UKR105</t>
  </si>
  <si>
    <t>12:41:54</t>
  </si>
  <si>
    <t>ZWE106</t>
  </si>
  <si>
    <t>12:34:24</t>
  </si>
  <si>
    <t>FIN107</t>
  </si>
  <si>
    <t>USA108</t>
  </si>
  <si>
    <t>12:29:57</t>
  </si>
  <si>
    <t>TUR109</t>
  </si>
  <si>
    <t>12:24:23</t>
  </si>
  <si>
    <t>CZE110</t>
  </si>
  <si>
    <t>12:08:48</t>
  </si>
  <si>
    <t>FRA111</t>
  </si>
  <si>
    <t>12:04:48</t>
  </si>
  <si>
    <t>GBR112</t>
  </si>
  <si>
    <t>12:14:59</t>
  </si>
  <si>
    <t>TUR113</t>
  </si>
  <si>
    <t>12:30:15</t>
  </si>
  <si>
    <t>USA114</t>
  </si>
  <si>
    <t>12:36:56</t>
  </si>
  <si>
    <t>GBR115</t>
  </si>
  <si>
    <t>12:26:21</t>
  </si>
  <si>
    <t>FIN116</t>
  </si>
  <si>
    <t>12:49:20</t>
  </si>
  <si>
    <t>GBR117</t>
  </si>
  <si>
    <t>12:19:29</t>
  </si>
  <si>
    <t>SYR118</t>
  </si>
  <si>
    <t>12:06:15</t>
  </si>
  <si>
    <t>FRA119</t>
  </si>
  <si>
    <t>12:17:22</t>
  </si>
  <si>
    <t>GBR120</t>
  </si>
  <si>
    <t>12:25:47</t>
  </si>
  <si>
    <t>NOR121</t>
  </si>
  <si>
    <t>12:42:19</t>
  </si>
  <si>
    <t>GER122</t>
  </si>
  <si>
    <t>FIN123</t>
  </si>
  <si>
    <t>12:45:58</t>
  </si>
  <si>
    <t>GBR124</t>
  </si>
  <si>
    <t>12:14:10</t>
  </si>
  <si>
    <t>FRA125</t>
  </si>
  <si>
    <t>12:28:38</t>
  </si>
  <si>
    <t>TUR126</t>
  </si>
  <si>
    <t>12:37:22</t>
  </si>
  <si>
    <t>nr_zawodnika</t>
  </si>
  <si>
    <t>czas_start</t>
  </si>
  <si>
    <t>czas_stop</t>
  </si>
  <si>
    <t>Etykiety wierszy</t>
  </si>
  <si>
    <t>Suma końcowa</t>
  </si>
  <si>
    <t>Liczba z nr_zawodnika</t>
  </si>
  <si>
    <t>czas_biegu</t>
  </si>
  <si>
    <t>podiumKraj</t>
  </si>
  <si>
    <t>średni wynik</t>
  </si>
  <si>
    <t>średni</t>
  </si>
  <si>
    <t>3 naj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</si>
</sst>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64" fontId="0" fillId="2" borderId="0" xfId="0" applyNumberFormat="1" applyFill="1"/>
    <xf numFmtId="0" fontId="0" fillId="0" borderId="0" xfId="0" applyNumberFormat="1" applyFill="1"/>
    <xf numFmtId="164" fontId="0" fillId="0" borderId="0" xfId="0" applyNumberFormat="1" applyFill="1"/>
    <xf numFmtId="0" fontId="0" fillId="2" borderId="0" xfId="0" applyFill="1"/>
  </cellXfs>
  <cellStyles count="1">
    <cellStyle name="Normalny" xfId="0" builtinId="0"/>
  </cellStyles>
  <dxfs count="24"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64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92.447920138889" createdVersion="8" refreshedVersion="8" minRefreshableVersion="3" recordCount="126" xr:uid="{7BF09E3E-CF7B-4496-8D26-BD62F2895008}">
  <cacheSource type="worksheet">
    <worksheetSource name="bieg"/>
  </cacheSource>
  <cacheFields count="4">
    <cacheField name="nr_zawodnika" numFmtId="0">
      <sharedItems count="126">
        <s v="FIN001"/>
        <s v="GER002"/>
        <s v="POL003"/>
        <s v="GBR004"/>
        <s v="FIN005"/>
        <s v="POL006"/>
        <s v="ARE007"/>
        <s v="ZWE008"/>
        <s v="ITA009"/>
        <s v="UKR010"/>
        <s v="TUR011"/>
        <s v="SWE012"/>
        <s v="CHE013"/>
        <s v="SYR014"/>
        <s v="NOR015"/>
        <s v="LTU016"/>
        <s v="FRA017"/>
        <s v="DNK018"/>
        <s v="CZE019"/>
        <s v="AUS020"/>
        <s v="TUR021"/>
        <s v="SWE022"/>
        <s v="CHE023"/>
        <s v="SYR024"/>
        <s v="FRA025"/>
        <s v="POL026"/>
        <s v="FIN027"/>
        <s v="GER028"/>
        <s v="DNK029"/>
        <s v="TUR030"/>
        <s v="SWE031"/>
        <s v="ITA032"/>
        <s v="LTU033"/>
        <s v="UKR034"/>
        <s v="ZWE035"/>
        <s v="ARE036"/>
        <s v="ZWE037"/>
        <s v="ARE038"/>
        <s v="GBR039"/>
        <s v="USA040"/>
        <s v="USA041"/>
        <s v="ITA042"/>
        <s v="POL043"/>
        <s v="LTU044"/>
        <s v="UKR045"/>
        <s v="AUS046"/>
        <s v="SWE047"/>
        <s v="CHE048"/>
        <s v="NOR049"/>
        <s v="POL050"/>
        <s v="LTU051"/>
        <s v="ARE052"/>
        <s v="ZWE053"/>
        <s v="AUS054"/>
        <s v="ITA055"/>
        <s v="CHE056"/>
        <s v="SWE057"/>
        <s v="NOR058"/>
        <s v="FIN059"/>
        <s v="CZE060"/>
        <s v="CZE061"/>
        <s v="FRA062"/>
        <s v="GBR063"/>
        <s v="GER064"/>
        <s v="USA065"/>
        <s v="CZE066"/>
        <s v="LTU067"/>
        <s v="POL068"/>
        <s v="SYR069"/>
        <s v="CHE070"/>
        <s v="USA071"/>
        <s v="ITA072"/>
        <s v="POL073"/>
        <s v="CHE074"/>
        <s v="SYR075"/>
        <s v="DNK076"/>
        <s v="AUS077"/>
        <s v="FRA078"/>
        <s v="GER079"/>
        <s v="GBR080"/>
        <s v="NOR081"/>
        <s v="UKR082"/>
        <s v="TUR083"/>
        <s v="DNK084"/>
        <s v="CZE085"/>
        <s v="ARE086"/>
        <s v="USA087"/>
        <s v="AUS088"/>
        <s v="DNK089"/>
        <s v="FRA090"/>
        <s v="FIN091"/>
        <s v="GBR092"/>
        <s v="NOR093"/>
        <s v="SYR094"/>
        <s v="TUR095"/>
        <s v="FRA096"/>
        <s v="UKR097"/>
        <s v="USA098"/>
        <s v="POL099"/>
        <s v="GER100"/>
        <s v="ARE101"/>
        <s v="FRA102"/>
        <s v="GER103"/>
        <s v="TUR104"/>
        <s v="UKR105"/>
        <s v="ZWE106"/>
        <s v="FIN107"/>
        <s v="USA108"/>
        <s v="TUR109"/>
        <s v="CZE110"/>
        <s v="FRA111"/>
        <s v="GBR112"/>
        <s v="TUR113"/>
        <s v="USA114"/>
        <s v="GBR115"/>
        <s v="FIN116"/>
        <s v="GBR117"/>
        <s v="SYR118"/>
        <s v="FRA119"/>
        <s v="GBR120"/>
        <s v="NOR121"/>
        <s v="GER122"/>
        <s v="FIN123"/>
        <s v="GBR124"/>
        <s v="FRA125"/>
        <s v="TUR126"/>
      </sharedItems>
    </cacheField>
    <cacheField name="czas_start" numFmtId="164">
      <sharedItems containsSemiMixedTypes="0" containsNonDate="0" containsDate="1" containsString="0" minDate="1899-12-30T09:00:00" maxDate="1899-12-30T10:02:30"/>
    </cacheField>
    <cacheField name="czas_stop" numFmtId="0">
      <sharedItems/>
    </cacheField>
    <cacheField name="kraj" numFmtId="0">
      <sharedItems count="19">
        <s v="FIN"/>
        <s v="GER"/>
        <s v="POL"/>
        <s v="GBR"/>
        <s v="ARE"/>
        <s v="ZWE"/>
        <s v="ITA"/>
        <s v="UKR"/>
        <s v="TUR"/>
        <s v="SWE"/>
        <s v="CHE"/>
        <s v="SYR"/>
        <s v="NOR"/>
        <s v="LTU"/>
        <s v="FRA"/>
        <s v="DNK"/>
        <s v="CZE"/>
        <s v="AUS"/>
        <s v="U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d v="1899-12-30T09:00:00"/>
    <s v="11:30:03"/>
    <x v="0"/>
  </r>
  <r>
    <x v="1"/>
    <d v="1899-12-30T09:00:30"/>
    <s v="11:41:48"/>
    <x v="1"/>
  </r>
  <r>
    <x v="2"/>
    <d v="1899-12-30T09:01:00"/>
    <s v="11:58:05"/>
    <x v="2"/>
  </r>
  <r>
    <x v="3"/>
    <d v="1899-12-30T09:01:30"/>
    <s v="11:46:27"/>
    <x v="3"/>
  </r>
  <r>
    <x v="4"/>
    <d v="1899-12-30T09:02:00"/>
    <s v="12:00:13"/>
    <x v="0"/>
  </r>
  <r>
    <x v="5"/>
    <d v="1899-12-30T09:02:30"/>
    <s v="12:01:40"/>
    <x v="2"/>
  </r>
  <r>
    <x v="6"/>
    <d v="1899-12-30T09:03:00"/>
    <s v="11:37:16"/>
    <x v="4"/>
  </r>
  <r>
    <x v="7"/>
    <d v="1899-12-30T09:03:30"/>
    <s v="11:45:28"/>
    <x v="5"/>
  </r>
  <r>
    <x v="8"/>
    <d v="1899-12-30T09:04:00"/>
    <s v="DNF"/>
    <x v="6"/>
  </r>
  <r>
    <x v="9"/>
    <d v="1899-12-30T09:04:30"/>
    <s v="12:00:59"/>
    <x v="7"/>
  </r>
  <r>
    <x v="10"/>
    <d v="1899-12-30T09:05:00"/>
    <s v="11:21:15"/>
    <x v="8"/>
  </r>
  <r>
    <x v="11"/>
    <d v="1899-12-30T09:05:30"/>
    <s v="11:27:20"/>
    <x v="9"/>
  </r>
  <r>
    <x v="12"/>
    <d v="1899-12-30T09:06:00"/>
    <s v="11:45:15"/>
    <x v="10"/>
  </r>
  <r>
    <x v="13"/>
    <d v="1899-12-30T09:06:30"/>
    <s v="11:45:52"/>
    <x v="11"/>
  </r>
  <r>
    <x v="14"/>
    <d v="1899-12-30T09:07:00"/>
    <s v="11:35:07"/>
    <x v="12"/>
  </r>
  <r>
    <x v="15"/>
    <d v="1899-12-30T09:07:30"/>
    <s v="11:21:54"/>
    <x v="13"/>
  </r>
  <r>
    <x v="16"/>
    <d v="1899-12-30T09:08:00"/>
    <s v="11:15:43"/>
    <x v="14"/>
  </r>
  <r>
    <x v="17"/>
    <d v="1899-12-30T09:08:30"/>
    <s v="11:26:26"/>
    <x v="15"/>
  </r>
  <r>
    <x v="18"/>
    <d v="1899-12-30T09:09:00"/>
    <s v="11:15:34"/>
    <x v="16"/>
  </r>
  <r>
    <x v="19"/>
    <d v="1899-12-30T09:09:30"/>
    <s v="11:23:15"/>
    <x v="17"/>
  </r>
  <r>
    <x v="20"/>
    <d v="1899-12-30T09:10:00"/>
    <s v="11:36:04"/>
    <x v="8"/>
  </r>
  <r>
    <x v="21"/>
    <d v="1899-12-30T09:10:30"/>
    <s v="11:23:12"/>
    <x v="9"/>
  </r>
  <r>
    <x v="22"/>
    <d v="1899-12-30T09:11:00"/>
    <s v="11:26:22"/>
    <x v="10"/>
  </r>
  <r>
    <x v="23"/>
    <d v="1899-12-30T09:11:30"/>
    <s v="11:54:00"/>
    <x v="11"/>
  </r>
  <r>
    <x v="24"/>
    <d v="1899-12-30T09:12:00"/>
    <s v="11:26:31"/>
    <x v="14"/>
  </r>
  <r>
    <x v="25"/>
    <d v="1899-12-30T09:12:30"/>
    <s v="12:11:50"/>
    <x v="2"/>
  </r>
  <r>
    <x v="26"/>
    <d v="1899-12-30T09:13:00"/>
    <s v="11:57:23"/>
    <x v="0"/>
  </r>
  <r>
    <x v="27"/>
    <d v="1899-12-30T09:13:30"/>
    <s v="12:02:25"/>
    <x v="1"/>
  </r>
  <r>
    <x v="28"/>
    <d v="1899-12-30T09:14:00"/>
    <s v="11:49:32"/>
    <x v="15"/>
  </r>
  <r>
    <x v="29"/>
    <d v="1899-12-30T09:14:30"/>
    <s v="11:40:51"/>
    <x v="8"/>
  </r>
  <r>
    <x v="30"/>
    <d v="1899-12-30T09:15:00"/>
    <s v="11:19:44"/>
    <x v="9"/>
  </r>
  <r>
    <x v="31"/>
    <d v="1899-12-30T09:15:30"/>
    <s v="12:03:46"/>
    <x v="6"/>
  </r>
  <r>
    <x v="32"/>
    <d v="1899-12-30T09:16:00"/>
    <s v="11:33:14"/>
    <x v="13"/>
  </r>
  <r>
    <x v="33"/>
    <d v="1899-12-30T09:16:30"/>
    <s v="12:01:18"/>
    <x v="7"/>
  </r>
  <r>
    <x v="34"/>
    <d v="1899-12-30T09:17:00"/>
    <s v="12:03:33"/>
    <x v="5"/>
  </r>
  <r>
    <x v="35"/>
    <d v="1899-12-30T09:17:30"/>
    <s v="12:16:33"/>
    <x v="4"/>
  </r>
  <r>
    <x v="36"/>
    <d v="1899-12-30T09:18:00"/>
    <s v="12:04:27"/>
    <x v="5"/>
  </r>
  <r>
    <x v="37"/>
    <d v="1899-12-30T09:18:30"/>
    <s v="11:56:35"/>
    <x v="4"/>
  </r>
  <r>
    <x v="38"/>
    <d v="1899-12-30T09:19:00"/>
    <s v="11:41:05"/>
    <x v="3"/>
  </r>
  <r>
    <x v="39"/>
    <d v="1899-12-30T09:19:30"/>
    <s v="11:54:25"/>
    <x v="18"/>
  </r>
  <r>
    <x v="40"/>
    <d v="1899-12-30T09:20:00"/>
    <s v="11:26:22"/>
    <x v="18"/>
  </r>
  <r>
    <x v="41"/>
    <d v="1899-12-30T09:20:30"/>
    <s v="11:33:40"/>
    <x v="6"/>
  </r>
  <r>
    <x v="42"/>
    <d v="1899-12-30T09:21:00"/>
    <s v="11:45:09"/>
    <x v="2"/>
  </r>
  <r>
    <x v="43"/>
    <d v="1899-12-30T09:21:30"/>
    <s v="11:47:05"/>
    <x v="13"/>
  </r>
  <r>
    <x v="44"/>
    <d v="1899-12-30T09:22:00"/>
    <s v="12:13:04"/>
    <x v="7"/>
  </r>
  <r>
    <x v="45"/>
    <d v="1899-12-30T09:22:30"/>
    <s v="11:39:45"/>
    <x v="17"/>
  </r>
  <r>
    <x v="46"/>
    <d v="1899-12-30T09:23:00"/>
    <s v="11:52:55"/>
    <x v="9"/>
  </r>
  <r>
    <x v="47"/>
    <d v="1899-12-30T09:23:30"/>
    <s v="11:38:58"/>
    <x v="10"/>
  </r>
  <r>
    <x v="48"/>
    <d v="1899-12-30T09:24:00"/>
    <s v="11:32:38"/>
    <x v="12"/>
  </r>
  <r>
    <x v="49"/>
    <d v="1899-12-30T09:24:30"/>
    <s v="11:32:06"/>
    <x v="2"/>
  </r>
  <r>
    <x v="50"/>
    <d v="1899-12-30T09:25:00"/>
    <s v="12:08:52"/>
    <x v="13"/>
  </r>
  <r>
    <x v="51"/>
    <d v="1899-12-30T09:25:30"/>
    <s v="11:54:10"/>
    <x v="4"/>
  </r>
  <r>
    <x v="52"/>
    <d v="1899-12-30T09:26:00"/>
    <s v="11:35:38"/>
    <x v="5"/>
  </r>
  <r>
    <x v="53"/>
    <d v="1899-12-30T09:26:30"/>
    <s v="11:50:21"/>
    <x v="17"/>
  </r>
  <r>
    <x v="54"/>
    <d v="1899-12-30T09:27:00"/>
    <s v="12:22:15"/>
    <x v="6"/>
  </r>
  <r>
    <x v="55"/>
    <d v="1899-12-30T09:27:30"/>
    <s v="12:02:40"/>
    <x v="10"/>
  </r>
  <r>
    <x v="56"/>
    <d v="1899-12-30T09:28:00"/>
    <s v="12:14:11"/>
    <x v="9"/>
  </r>
  <r>
    <x v="57"/>
    <d v="1899-12-30T09:28:30"/>
    <s v="12:10:13"/>
    <x v="12"/>
  </r>
  <r>
    <x v="58"/>
    <d v="1899-12-30T09:29:00"/>
    <s v="11:50:42"/>
    <x v="0"/>
  </r>
  <r>
    <x v="59"/>
    <d v="1899-12-30T09:29:30"/>
    <s v="12:21:04"/>
    <x v="16"/>
  </r>
  <r>
    <x v="60"/>
    <d v="1899-12-30T09:30:00"/>
    <s v="11:34:37"/>
    <x v="16"/>
  </r>
  <r>
    <x v="61"/>
    <d v="1899-12-30T09:30:30"/>
    <s v="11:45:57"/>
    <x v="14"/>
  </r>
  <r>
    <x v="62"/>
    <d v="1899-12-30T09:31:00"/>
    <s v="12:17:06"/>
    <x v="3"/>
  </r>
  <r>
    <x v="63"/>
    <d v="1899-12-30T09:31:30"/>
    <s v="11:56:10"/>
    <x v="1"/>
  </r>
  <r>
    <x v="64"/>
    <d v="1899-12-30T09:32:00"/>
    <s v="12:03:51"/>
    <x v="18"/>
  </r>
  <r>
    <x v="65"/>
    <d v="1899-12-30T09:32:30"/>
    <s v="11:37:55"/>
    <x v="16"/>
  </r>
  <r>
    <x v="66"/>
    <d v="1899-12-30T09:33:00"/>
    <s v="12:29:55"/>
    <x v="13"/>
  </r>
  <r>
    <x v="67"/>
    <d v="1899-12-30T09:33:30"/>
    <s v="11:36:39"/>
    <x v="2"/>
  </r>
  <r>
    <x v="68"/>
    <d v="1899-12-30T09:34:00"/>
    <s v="12:26:18"/>
    <x v="11"/>
  </r>
  <r>
    <x v="69"/>
    <d v="1899-12-30T09:34:30"/>
    <s v="12:17:25"/>
    <x v="10"/>
  </r>
  <r>
    <x v="70"/>
    <d v="1899-12-30T09:35:00"/>
    <s v="11:47:45"/>
    <x v="18"/>
  </r>
  <r>
    <x v="71"/>
    <d v="1899-12-30T09:35:30"/>
    <s v="12:25:09"/>
    <x v="6"/>
  </r>
  <r>
    <x v="72"/>
    <d v="1899-12-30T09:36:00"/>
    <s v="11:41:12"/>
    <x v="2"/>
  </r>
  <r>
    <x v="73"/>
    <d v="1899-12-30T09:36:30"/>
    <s v="12:04:00"/>
    <x v="10"/>
  </r>
  <r>
    <x v="74"/>
    <d v="1899-12-30T09:37:00"/>
    <s v="11:55:39"/>
    <x v="11"/>
  </r>
  <r>
    <x v="75"/>
    <d v="1899-12-30T09:37:30"/>
    <s v="12:11:02"/>
    <x v="15"/>
  </r>
  <r>
    <x v="76"/>
    <d v="1899-12-30T09:38:00"/>
    <s v="11:55:42"/>
    <x v="17"/>
  </r>
  <r>
    <x v="77"/>
    <d v="1899-12-30T09:38:30"/>
    <s v="11:44:24"/>
    <x v="14"/>
  </r>
  <r>
    <x v="78"/>
    <d v="1899-12-30T09:39:00"/>
    <s v="12:18:19"/>
    <x v="1"/>
  </r>
  <r>
    <x v="79"/>
    <d v="1899-12-30T09:39:30"/>
    <s v="DNF"/>
    <x v="3"/>
  </r>
  <r>
    <x v="80"/>
    <d v="1899-12-30T09:40:00"/>
    <s v="12:13:17"/>
    <x v="12"/>
  </r>
  <r>
    <x v="81"/>
    <d v="1899-12-30T09:40:30"/>
    <s v="11:48:14"/>
    <x v="7"/>
  </r>
  <r>
    <x v="82"/>
    <d v="1899-12-30T09:41:00"/>
    <s v="12:10:53"/>
    <x v="8"/>
  </r>
  <r>
    <x v="83"/>
    <d v="1899-12-30T09:41:30"/>
    <s v="12:32:13"/>
    <x v="15"/>
  </r>
  <r>
    <x v="84"/>
    <d v="1899-12-30T09:42:00"/>
    <s v="12:23:30"/>
    <x v="16"/>
  </r>
  <r>
    <x v="85"/>
    <d v="1899-12-30T09:42:30"/>
    <s v="12:32:56"/>
    <x v="4"/>
  </r>
  <r>
    <x v="86"/>
    <d v="1899-12-30T09:43:00"/>
    <s v="11:51:21"/>
    <x v="18"/>
  </r>
  <r>
    <x v="87"/>
    <d v="1899-12-30T09:43:30"/>
    <s v="11:55:45"/>
    <x v="17"/>
  </r>
  <r>
    <x v="88"/>
    <d v="1899-12-30T09:44:00"/>
    <s v="11:53:41"/>
    <x v="15"/>
  </r>
  <r>
    <x v="89"/>
    <d v="1899-12-30T09:44:30"/>
    <s v="DNF"/>
    <x v="14"/>
  </r>
  <r>
    <x v="90"/>
    <d v="1899-12-30T09:45:00"/>
    <s v="12:03:10"/>
    <x v="0"/>
  </r>
  <r>
    <x v="91"/>
    <d v="1899-12-30T09:45:30"/>
    <s v="12:42:36"/>
    <x v="3"/>
  </r>
  <r>
    <x v="92"/>
    <d v="1899-12-30T09:46:00"/>
    <s v="12:39:52"/>
    <x v="12"/>
  </r>
  <r>
    <x v="93"/>
    <d v="1899-12-30T09:46:30"/>
    <s v="12:21:53"/>
    <x v="11"/>
  </r>
  <r>
    <x v="94"/>
    <d v="1899-12-30T09:47:00"/>
    <s v="11:58:11"/>
    <x v="8"/>
  </r>
  <r>
    <x v="95"/>
    <d v="1899-12-30T09:47:30"/>
    <s v="12:39:01"/>
    <x v="14"/>
  </r>
  <r>
    <x v="96"/>
    <d v="1899-12-30T09:48:00"/>
    <s v="12:09:57"/>
    <x v="7"/>
  </r>
  <r>
    <x v="97"/>
    <d v="1899-12-30T09:48:30"/>
    <s v="12:24:17"/>
    <x v="18"/>
  </r>
  <r>
    <x v="98"/>
    <d v="1899-12-30T09:49:00"/>
    <s v="12:41:55"/>
    <x v="2"/>
  </r>
  <r>
    <x v="99"/>
    <d v="1899-12-30T09:49:30"/>
    <s v="11:59:05"/>
    <x v="1"/>
  </r>
  <r>
    <x v="100"/>
    <d v="1899-12-30T09:50:00"/>
    <s v="12:45:28"/>
    <x v="4"/>
  </r>
  <r>
    <x v="101"/>
    <d v="1899-12-30T09:50:30"/>
    <s v="12:47:54"/>
    <x v="14"/>
  </r>
  <r>
    <x v="102"/>
    <d v="1899-12-30T09:51:00"/>
    <s v="DNF"/>
    <x v="1"/>
  </r>
  <r>
    <x v="103"/>
    <d v="1899-12-30T09:51:30"/>
    <s v="12:16:13"/>
    <x v="8"/>
  </r>
  <r>
    <x v="104"/>
    <d v="1899-12-30T09:52:00"/>
    <s v="12:41:54"/>
    <x v="7"/>
  </r>
  <r>
    <x v="105"/>
    <d v="1899-12-30T09:52:30"/>
    <s v="12:34:24"/>
    <x v="5"/>
  </r>
  <r>
    <x v="106"/>
    <d v="1899-12-30T09:53:00"/>
    <s v="DNF"/>
    <x v="0"/>
  </r>
  <r>
    <x v="107"/>
    <d v="1899-12-30T09:53:30"/>
    <s v="12:29:57"/>
    <x v="18"/>
  </r>
  <r>
    <x v="108"/>
    <d v="1899-12-30T09:54:00"/>
    <s v="12:24:23"/>
    <x v="8"/>
  </r>
  <r>
    <x v="109"/>
    <d v="1899-12-30T09:54:30"/>
    <s v="12:08:48"/>
    <x v="16"/>
  </r>
  <r>
    <x v="110"/>
    <d v="1899-12-30T09:55:00"/>
    <s v="12:04:48"/>
    <x v="14"/>
  </r>
  <r>
    <x v="111"/>
    <d v="1899-12-30T09:55:30"/>
    <s v="12:14:59"/>
    <x v="3"/>
  </r>
  <r>
    <x v="112"/>
    <d v="1899-12-30T09:56:00"/>
    <s v="12:30:15"/>
    <x v="8"/>
  </r>
  <r>
    <x v="113"/>
    <d v="1899-12-30T09:56:30"/>
    <s v="12:36:56"/>
    <x v="18"/>
  </r>
  <r>
    <x v="114"/>
    <d v="1899-12-30T09:57:00"/>
    <s v="12:26:21"/>
    <x v="3"/>
  </r>
  <r>
    <x v="115"/>
    <d v="1899-12-30T09:57:30"/>
    <s v="12:49:20"/>
    <x v="0"/>
  </r>
  <r>
    <x v="116"/>
    <d v="1899-12-30T09:58:00"/>
    <s v="12:19:29"/>
    <x v="3"/>
  </r>
  <r>
    <x v="117"/>
    <d v="1899-12-30T09:58:30"/>
    <s v="12:06:15"/>
    <x v="11"/>
  </r>
  <r>
    <x v="118"/>
    <d v="1899-12-30T09:59:00"/>
    <s v="12:17:22"/>
    <x v="14"/>
  </r>
  <r>
    <x v="119"/>
    <d v="1899-12-30T09:59:30"/>
    <s v="12:25:47"/>
    <x v="3"/>
  </r>
  <r>
    <x v="120"/>
    <d v="1899-12-30T10:00:00"/>
    <s v="12:42:19"/>
    <x v="12"/>
  </r>
  <r>
    <x v="121"/>
    <d v="1899-12-30T10:00:30"/>
    <s v="DNF"/>
    <x v="1"/>
  </r>
  <r>
    <x v="122"/>
    <d v="1899-12-30T10:01:00"/>
    <s v="12:45:58"/>
    <x v="0"/>
  </r>
  <r>
    <x v="123"/>
    <d v="1899-12-30T10:01:30"/>
    <s v="12:14:10"/>
    <x v="3"/>
  </r>
  <r>
    <x v="124"/>
    <d v="1899-12-30T10:02:00"/>
    <s v="12:28:38"/>
    <x v="14"/>
  </r>
  <r>
    <x v="125"/>
    <d v="1899-12-30T10:02:30"/>
    <s v="12:37:2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70AA8-E2F1-4F14-859E-B65C60C065D7}" name="Tabela przestawna2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3" firstHeaderRow="1" firstDataRow="1" firstDataCol="1"/>
  <pivotFields count="4">
    <pivotField dataField="1" showAll="0">
      <items count="127">
        <item x="6"/>
        <item x="35"/>
        <item x="37"/>
        <item x="51"/>
        <item x="85"/>
        <item x="100"/>
        <item x="19"/>
        <item x="45"/>
        <item x="53"/>
        <item x="76"/>
        <item x="87"/>
        <item x="12"/>
        <item x="22"/>
        <item x="47"/>
        <item x="55"/>
        <item x="69"/>
        <item x="73"/>
        <item x="18"/>
        <item x="59"/>
        <item x="60"/>
        <item x="65"/>
        <item x="84"/>
        <item x="109"/>
        <item x="17"/>
        <item x="28"/>
        <item x="75"/>
        <item x="83"/>
        <item x="88"/>
        <item x="0"/>
        <item x="4"/>
        <item x="26"/>
        <item x="58"/>
        <item x="90"/>
        <item x="106"/>
        <item x="115"/>
        <item x="122"/>
        <item x="16"/>
        <item x="24"/>
        <item x="61"/>
        <item x="77"/>
        <item x="89"/>
        <item x="95"/>
        <item x="101"/>
        <item x="110"/>
        <item x="118"/>
        <item x="124"/>
        <item x="3"/>
        <item x="38"/>
        <item x="62"/>
        <item x="79"/>
        <item x="91"/>
        <item x="111"/>
        <item x="114"/>
        <item x="116"/>
        <item x="119"/>
        <item x="123"/>
        <item x="1"/>
        <item x="27"/>
        <item x="63"/>
        <item x="78"/>
        <item x="99"/>
        <item x="102"/>
        <item x="121"/>
        <item x="8"/>
        <item x="31"/>
        <item x="41"/>
        <item x="54"/>
        <item x="71"/>
        <item x="15"/>
        <item x="32"/>
        <item x="43"/>
        <item x="50"/>
        <item x="66"/>
        <item x="14"/>
        <item x="48"/>
        <item x="57"/>
        <item x="80"/>
        <item x="92"/>
        <item x="120"/>
        <item x="2"/>
        <item x="5"/>
        <item x="25"/>
        <item x="42"/>
        <item x="49"/>
        <item x="67"/>
        <item x="72"/>
        <item x="98"/>
        <item x="11"/>
        <item x="21"/>
        <item x="30"/>
        <item x="46"/>
        <item x="56"/>
        <item x="13"/>
        <item x="23"/>
        <item x="68"/>
        <item x="74"/>
        <item x="93"/>
        <item x="117"/>
        <item x="10"/>
        <item x="20"/>
        <item x="29"/>
        <item x="82"/>
        <item x="94"/>
        <item x="103"/>
        <item x="108"/>
        <item x="112"/>
        <item x="125"/>
        <item x="9"/>
        <item x="33"/>
        <item x="44"/>
        <item x="81"/>
        <item x="96"/>
        <item x="104"/>
        <item x="39"/>
        <item x="40"/>
        <item x="64"/>
        <item x="70"/>
        <item x="86"/>
        <item x="97"/>
        <item x="107"/>
        <item x="113"/>
        <item x="7"/>
        <item x="34"/>
        <item x="36"/>
        <item x="52"/>
        <item x="105"/>
        <item t="default"/>
      </items>
    </pivotField>
    <pivotField numFmtId="164" showAll="0"/>
    <pivotField showAll="0"/>
    <pivotField axis="axisRow" showAll="0" sortType="descending">
      <items count="20">
        <item x="16"/>
        <item x="4"/>
        <item x="17"/>
        <item x="10"/>
        <item x="15"/>
        <item x="0"/>
        <item x="14"/>
        <item x="3"/>
        <item x="1"/>
        <item x="6"/>
        <item x="13"/>
        <item x="12"/>
        <item x="2"/>
        <item x="9"/>
        <item x="11"/>
        <item x="8"/>
        <item x="7"/>
        <item x="1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20">
    <i>
      <x v="7"/>
    </i>
    <i>
      <x v="6"/>
    </i>
    <i>
      <x v="15"/>
    </i>
    <i>
      <x v="12"/>
    </i>
    <i>
      <x v="17"/>
    </i>
    <i>
      <x v="5"/>
    </i>
    <i>
      <x v="8"/>
    </i>
    <i>
      <x v="14"/>
    </i>
    <i>
      <x v="16"/>
    </i>
    <i>
      <x v="1"/>
    </i>
    <i>
      <x/>
    </i>
    <i>
      <x v="3"/>
    </i>
    <i>
      <x v="11"/>
    </i>
    <i>
      <x v="18"/>
    </i>
    <i>
      <x v="2"/>
    </i>
    <i>
      <x v="13"/>
    </i>
    <i>
      <x v="10"/>
    </i>
    <i>
      <x v="4"/>
    </i>
    <i>
      <x v="9"/>
    </i>
    <i t="grand">
      <x/>
    </i>
  </rowItems>
  <colItems count="1">
    <i/>
  </colItems>
  <dataFields count="1">
    <dataField name="Liczba z nr_zawodnika" fld="0" subtotal="count" baseField="0" baseItem="0"/>
  </dataFields>
  <formats count="2">
    <format dxfId="20">
      <pivotArea collapsedLevelsAreSubtotals="1" fieldPosition="0">
        <references count="1">
          <reference field="3" count="2">
            <x v="6"/>
            <x v="7"/>
          </reference>
        </references>
      </pivotArea>
    </format>
    <format dxfId="19">
      <pivotArea dataOnly="0" labelOnly="1" fieldPosition="0">
        <references count="1">
          <reference field="3" count="2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72688-700A-4657-BB8E-225E912E520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zawodnika" tableColumnId="1"/>
      <queryTableField id="2" name="czas_start" tableColumnId="2"/>
      <queryTableField id="3" name="czas_stop" tableColumnId="3"/>
      <queryTableField id="4" name="kraj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61315F-6428-4CB7-B485-1E90543B9FF9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zawodnika" tableColumnId="1"/>
      <queryTableField id="2" name="czas_start" tableColumnId="2"/>
      <queryTableField id="3" name="czas_stop" tableColumnId="3"/>
      <queryTableField id="4" name="kraj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154AE5-F74A-47A6-9CA2-3804C966974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zawodnika" tableColumnId="1"/>
      <queryTableField id="2" name="czas_start" tableColumnId="2"/>
      <queryTableField id="3" name="czas_stop" tableColumnId="3"/>
      <queryTableField id="4" name="kraj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CD28889-E371-4015-B855-C2A88C0E328B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nr_zawodnika" tableColumnId="1"/>
      <queryTableField id="2" name="czas_start" tableColumnId="2"/>
      <queryTableField id="3" name="czas_stop" tableColumnId="3"/>
      <queryTableField id="4" name="kraj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1AB53-E07C-4CF2-806D-A59D643916D2}" name="bieg" displayName="bieg" ref="A1:E127" tableType="queryTable" totalsRowShown="0">
  <autoFilter ref="A1:E127" xr:uid="{B191AB53-E07C-4CF2-806D-A59D643916D2}"/>
  <sortState xmlns:xlrd2="http://schemas.microsoft.com/office/spreadsheetml/2017/richdata2" ref="A2:E127">
    <sortCondition ref="E1:E127"/>
  </sortState>
  <tableColumns count="5">
    <tableColumn id="1" xr3:uid="{CF89E727-5079-40B3-AF8C-AE9025189FD4}" uniqueName="1" name="nr_zawodnika" queryTableFieldId="1" dataDxfId="23"/>
    <tableColumn id="2" xr3:uid="{2A26A007-2F85-48FC-9CCD-D23BFED5E568}" uniqueName="2" name="czas_start" queryTableFieldId="2" dataDxfId="22"/>
    <tableColumn id="3" xr3:uid="{1FD8931D-22CF-4EE2-87D2-A6C26162A9B1}" uniqueName="3" name="czas_stop" queryTableFieldId="3" dataDxfId="21"/>
    <tableColumn id="4" xr3:uid="{E388E7DE-55DB-4D27-8FE9-50A3A14AD69F}" uniqueName="4" name="kraj" queryTableFieldId="4" dataDxfId="18"/>
    <tableColumn id="5" xr3:uid="{436B58E9-85EE-4590-9FF6-18B0A8C7E3BD}" uniqueName="5" name="czas_biegu" queryTableFieldId="5" dataDxfId="17">
      <calculatedColumnFormula>IF(bieg[[#This Row],[czas_stop]]="DNF","",bieg[[#This Row],[czas_stop]]-bieg[[#This Row],[czas_start]])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435E61-2618-4D87-9CA6-A635596B56B0}" name="bieg4" displayName="bieg4" ref="A1:E127" tableType="queryTable" totalsRowShown="0">
  <autoFilter ref="A1:E127" xr:uid="{B191AB53-E07C-4CF2-806D-A59D643916D2}"/>
  <sortState xmlns:xlrd2="http://schemas.microsoft.com/office/spreadsheetml/2017/richdata2" ref="A2:E127">
    <sortCondition ref="E1:E127"/>
  </sortState>
  <tableColumns count="5">
    <tableColumn id="1" xr3:uid="{B1749305-96F6-4CAF-B07A-7EF26C0D9EB1}" uniqueName="1" name="nr_zawodnika" queryTableFieldId="1" dataDxfId="16"/>
    <tableColumn id="2" xr3:uid="{4DEF1284-ACE8-463D-8434-84CC71E49007}" uniqueName="2" name="czas_start" queryTableFieldId="2" dataDxfId="15"/>
    <tableColumn id="3" xr3:uid="{F6717D3D-9D2F-4C24-8EC3-6826D74F59D4}" uniqueName="3" name="czas_stop" queryTableFieldId="3" dataDxfId="14"/>
    <tableColumn id="4" xr3:uid="{D34DF7AA-DC27-49C6-9672-1E85F3D5BCC0}" uniqueName="4" name="kraj" queryTableFieldId="4" dataDxfId="13"/>
    <tableColumn id="5" xr3:uid="{C26139F3-9D30-4502-BE1E-7D0A8F77E171}" uniqueName="5" name="czas_biegu" queryTableFieldId="5" dataDxfId="12">
      <calculatedColumnFormula>IF(bieg4[[#This Row],[czas_stop]]="DNF","",bieg4[[#This Row],[czas_stop]]-bieg4[[#This Row],[czas_start]])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AC5FF0-CE33-4B3C-BE74-2E0851959B64}" name="bieg5" displayName="bieg5" ref="A1:E127" tableType="queryTable" totalsRowShown="0">
  <autoFilter ref="A1:E127" xr:uid="{B191AB53-E07C-4CF2-806D-A59D643916D2}"/>
  <sortState xmlns:xlrd2="http://schemas.microsoft.com/office/spreadsheetml/2017/richdata2" ref="A2:E127">
    <sortCondition descending="1" ref="E1:E127"/>
  </sortState>
  <tableColumns count="5">
    <tableColumn id="1" xr3:uid="{EC04CC14-15D8-4FD9-A2C8-73C09D558038}" uniqueName="1" name="nr_zawodnika" queryTableFieldId="1" dataDxfId="11"/>
    <tableColumn id="2" xr3:uid="{51D9AC88-5E8C-49EB-A16C-EBC74CD15A54}" uniqueName="2" name="czas_start" queryTableFieldId="2" dataDxfId="10"/>
    <tableColumn id="3" xr3:uid="{B3160CF3-8E46-45E5-843C-1F52CB478ED7}" uniqueName="3" name="czas_stop" queryTableFieldId="3" dataDxfId="9"/>
    <tableColumn id="4" xr3:uid="{D5ECA555-69B0-417B-A92B-B34ADA6AE039}" uniqueName="4" name="kraj" queryTableFieldId="4" dataDxfId="8"/>
    <tableColumn id="5" xr3:uid="{360D4270-4123-4548-A524-5760BD8CB39B}" uniqueName="5" name="czas_biegu" queryTableFieldId="5" dataDxfId="7">
      <calculatedColumnFormula>IF(bieg5[[#This Row],[czas_stop]]="DNF","",bieg5[[#This Row],[czas_stop]]-bieg5[[#This Row],[czas_start]])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B01493-592B-4EEA-93A7-73F9AA51A401}" name="bieg6" displayName="bieg6" ref="A1:G127" tableType="queryTable" totalsRowShown="0">
  <autoFilter ref="A1:G127" xr:uid="{B191AB53-E07C-4CF2-806D-A59D643916D2}"/>
  <sortState xmlns:xlrd2="http://schemas.microsoft.com/office/spreadsheetml/2017/richdata2" ref="A2:E127">
    <sortCondition ref="D1:D127"/>
  </sortState>
  <tableColumns count="7">
    <tableColumn id="1" xr3:uid="{5C3C4B3D-C127-4B9D-A886-9F32BCD9EC4F}" uniqueName="1" name="nr_zawodnika" queryTableFieldId="1" dataDxfId="6"/>
    <tableColumn id="2" xr3:uid="{6811DC79-289E-4D0E-87A9-320D8669E2CA}" uniqueName="2" name="czas_start" queryTableFieldId="2" dataDxfId="5"/>
    <tableColumn id="3" xr3:uid="{8CA5204F-B65A-4E29-8136-527F6784DBF3}" uniqueName="3" name="czas_stop" queryTableFieldId="3" dataDxfId="4"/>
    <tableColumn id="4" xr3:uid="{E2378567-865C-4E94-BD4C-456EE32EAF21}" uniqueName="4" name="kraj" queryTableFieldId="4" dataDxfId="3"/>
    <tableColumn id="5" xr3:uid="{36F28BBB-1ED1-4B44-BD80-B8398D403EC1}" uniqueName="5" name="czas_biegu" queryTableFieldId="5" dataDxfId="2">
      <calculatedColumnFormula>IF(bieg6[[#This Row],[czas_stop]]="DNF","",bieg6[[#This Row],[czas_stop]]-bieg6[[#This Row],[czas_start]])</calculatedColumnFormula>
    </tableColumn>
    <tableColumn id="6" xr3:uid="{6E779171-980B-469D-B5B3-AA133DFF9429}" uniqueName="6" name="podiumKraj" queryTableFieldId="6" dataDxfId="1">
      <calculatedColumnFormula>IF(bieg6[[#This Row],[kraj]]&lt;&gt;D1,1,IF(OR(F1=1,F1=2),F1+1,0))</calculatedColumnFormula>
    </tableColumn>
    <tableColumn id="7" xr3:uid="{C421BFE4-EB63-41EC-8C9B-E92BA8DCBC48}" uniqueName="7" name="średni wynik" queryTableFieldId="7" dataDxfId="0">
      <calculatedColumnFormula>IF(bieg6[[#This Row],[podiumKraj]]=3,1,"")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DD5D-95BB-4FFB-B424-41BA1F0BAB89}">
  <dimension ref="A1:E127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12" bestFit="1" customWidth="1"/>
    <col min="4" max="4" width="6.5703125" bestFit="1" customWidth="1"/>
    <col min="5" max="5" width="9.140625" style="1"/>
  </cols>
  <sheetData>
    <row r="1" spans="1:5" x14ac:dyDescent="0.25">
      <c r="A1" t="s">
        <v>266</v>
      </c>
      <c r="B1" t="s">
        <v>267</v>
      </c>
      <c r="C1" t="s">
        <v>268</v>
      </c>
      <c r="D1" t="s">
        <v>0</v>
      </c>
      <c r="E1" s="1" t="s">
        <v>272</v>
      </c>
    </row>
    <row r="2" spans="1:5" x14ac:dyDescent="0.25">
      <c r="A2" s="8" t="s">
        <v>153</v>
      </c>
      <c r="B2" s="9">
        <v>0.39826388888888886</v>
      </c>
      <c r="C2" s="8" t="s">
        <v>154</v>
      </c>
      <c r="D2" s="8" t="s">
        <v>9</v>
      </c>
      <c r="E2" s="9">
        <f>IF(bieg[[#This Row],[czas_stop]]="DNF","",bieg[[#This Row],[czas_stop]]-bieg[[#This Row],[czas_start]])</f>
        <v>8.5520833333333379E-2</v>
      </c>
    </row>
    <row r="3" spans="1:5" x14ac:dyDescent="0.25">
      <c r="A3" s="8" t="s">
        <v>139</v>
      </c>
      <c r="B3" s="9">
        <v>0.39583333333333331</v>
      </c>
      <c r="C3" s="8" t="s">
        <v>140</v>
      </c>
      <c r="D3" s="8" t="s">
        <v>55</v>
      </c>
      <c r="E3" s="9">
        <f>IF(bieg[[#This Row],[czas_stop]]="DNF","",bieg[[#This Row],[czas_stop]]-bieg[[#This Row],[czas_start]])</f>
        <v>8.6539351851851909E-2</v>
      </c>
    </row>
    <row r="4" spans="1:5" x14ac:dyDescent="0.25">
      <c r="A4" s="8" t="s">
        <v>79</v>
      </c>
      <c r="B4" s="9">
        <v>0.38541666666666669</v>
      </c>
      <c r="C4" s="8" t="s">
        <v>80</v>
      </c>
      <c r="D4" s="8" t="s">
        <v>34</v>
      </c>
      <c r="E4" s="9">
        <f>IF(bieg[[#This Row],[czas_stop]]="DNF","",bieg[[#This Row],[czas_stop]]-bieg[[#This Row],[czas_start]])</f>
        <v>8.6620370370370348E-2</v>
      </c>
    </row>
    <row r="5" spans="1:5" x14ac:dyDescent="0.25">
      <c r="A5" s="1" t="s">
        <v>163</v>
      </c>
      <c r="B5" s="2">
        <v>0.4</v>
      </c>
      <c r="C5" s="1" t="s">
        <v>164</v>
      </c>
      <c r="D5" s="1" t="s">
        <v>9</v>
      </c>
      <c r="E5" s="2">
        <f>IF(bieg[[#This Row],[czas_stop]]="DNF","",bieg[[#This Row],[czas_stop]]-bieg[[#This Row],[czas_start]])</f>
        <v>8.6944444444444435E-2</v>
      </c>
    </row>
    <row r="6" spans="1:5" x14ac:dyDescent="0.25">
      <c r="A6" s="1" t="s">
        <v>149</v>
      </c>
      <c r="B6" s="2">
        <v>0.39756944444444442</v>
      </c>
      <c r="C6" s="1" t="s">
        <v>150</v>
      </c>
      <c r="D6" s="1" t="s">
        <v>55</v>
      </c>
      <c r="E6" s="2">
        <f>IF(bieg[[#This Row],[czas_stop]]="DNF","",bieg[[#This Row],[czas_stop]]-bieg[[#This Row],[czas_start]])</f>
        <v>8.709490740740744E-2</v>
      </c>
    </row>
    <row r="7" spans="1:5" x14ac:dyDescent="0.25">
      <c r="A7" s="1" t="s">
        <v>173</v>
      </c>
      <c r="B7" s="2">
        <v>0.40173611111111113</v>
      </c>
      <c r="C7" s="1" t="s">
        <v>174</v>
      </c>
      <c r="D7" s="1" t="s">
        <v>49</v>
      </c>
      <c r="E7" s="2">
        <f>IF(bieg[[#This Row],[czas_stop]]="DNF","",bieg[[#This Row],[czas_stop]]-bieg[[#This Row],[czas_start]])</f>
        <v>8.7430555555555567E-2</v>
      </c>
    </row>
    <row r="8" spans="1:5" x14ac:dyDescent="0.25">
      <c r="A8" s="1" t="s">
        <v>100</v>
      </c>
      <c r="B8" s="2">
        <v>0.3888888888888889</v>
      </c>
      <c r="C8" s="1" t="s">
        <v>64</v>
      </c>
      <c r="D8" s="1" t="s">
        <v>99</v>
      </c>
      <c r="E8" s="2">
        <f>IF(bieg[[#This Row],[czas_stop]]="DNF","",bieg[[#This Row],[czas_stop]]-bieg[[#This Row],[czas_start]])</f>
        <v>8.7754629629629599E-2</v>
      </c>
    </row>
    <row r="9" spans="1:5" x14ac:dyDescent="0.25">
      <c r="A9" s="1" t="s">
        <v>53</v>
      </c>
      <c r="B9" s="2">
        <v>0.38124999999999998</v>
      </c>
      <c r="C9" s="1" t="s">
        <v>54</v>
      </c>
      <c r="D9" s="1" t="s">
        <v>55</v>
      </c>
      <c r="E9" s="2">
        <f>IF(bieg[[#This Row],[czas_stop]]="DNF","",bieg[[#This Row],[czas_stop]]-bieg[[#This Row],[czas_start]])</f>
        <v>8.789351851851851E-2</v>
      </c>
    </row>
    <row r="10" spans="1:5" x14ac:dyDescent="0.25">
      <c r="A10" s="1" t="s">
        <v>117</v>
      </c>
      <c r="B10" s="2">
        <v>0.39201388888888888</v>
      </c>
      <c r="C10" s="1" t="s">
        <v>118</v>
      </c>
      <c r="D10" s="1" t="s">
        <v>9</v>
      </c>
      <c r="E10" s="2">
        <f>IF(bieg[[#This Row],[czas_stop]]="DNF","",bieg[[#This Row],[czas_stop]]-bieg[[#This Row],[czas_start]])</f>
        <v>8.861111111111114E-2</v>
      </c>
    </row>
    <row r="11" spans="1:5" x14ac:dyDescent="0.25">
      <c r="A11" s="1" t="s">
        <v>47</v>
      </c>
      <c r="B11" s="2">
        <v>0.38055555555555554</v>
      </c>
      <c r="C11" s="1" t="s">
        <v>48</v>
      </c>
      <c r="D11" s="1" t="s">
        <v>49</v>
      </c>
      <c r="E11" s="2">
        <f>IF(bieg[[#This Row],[czas_stop]]="DNF","",bieg[[#This Row],[czas_stop]]-bieg[[#This Row],[czas_start]])</f>
        <v>8.8692129629629635E-2</v>
      </c>
    </row>
    <row r="12" spans="1:5" x14ac:dyDescent="0.25">
      <c r="A12" s="1" t="s">
        <v>180</v>
      </c>
      <c r="B12" s="2">
        <v>0.40312500000000001</v>
      </c>
      <c r="C12" s="1" t="s">
        <v>181</v>
      </c>
      <c r="D12" s="1" t="s">
        <v>28</v>
      </c>
      <c r="E12" s="2">
        <f>IF(bieg[[#This Row],[czas_stop]]="DNF","",bieg[[#This Row],[czas_stop]]-bieg[[#This Row],[czas_start]])</f>
        <v>8.8703703703703674E-2</v>
      </c>
    </row>
    <row r="13" spans="1:5" x14ac:dyDescent="0.25">
      <c r="A13" s="1" t="s">
        <v>249</v>
      </c>
      <c r="B13" s="2">
        <v>0.41562500000000002</v>
      </c>
      <c r="C13" s="1" t="s">
        <v>250</v>
      </c>
      <c r="D13" s="1" t="s">
        <v>40</v>
      </c>
      <c r="E13" s="2">
        <f>IF(bieg[[#This Row],[czas_stop]]="DNF","",bieg[[#This Row],[czas_stop]]-bieg[[#This Row],[czas_start]])</f>
        <v>8.8715277777777768E-2</v>
      </c>
    </row>
    <row r="14" spans="1:5" x14ac:dyDescent="0.25">
      <c r="A14" s="1" t="s">
        <v>190</v>
      </c>
      <c r="B14" s="2">
        <v>0.40486111111111112</v>
      </c>
      <c r="C14" s="1" t="s">
        <v>191</v>
      </c>
      <c r="D14" s="1" t="s">
        <v>99</v>
      </c>
      <c r="E14" s="2">
        <f>IF(bieg[[#This Row],[czas_stop]]="DNF","",bieg[[#This Row],[czas_stop]]-bieg[[#This Row],[czas_start]])</f>
        <v>8.9131944444444444E-2</v>
      </c>
    </row>
    <row r="15" spans="1:5" x14ac:dyDescent="0.25">
      <c r="A15" s="1" t="s">
        <v>115</v>
      </c>
      <c r="B15" s="2">
        <v>0.39166666666666666</v>
      </c>
      <c r="C15" s="1" t="s">
        <v>116</v>
      </c>
      <c r="D15" s="1" t="s">
        <v>43</v>
      </c>
      <c r="E15" s="2">
        <f>IF(bieg[[#This Row],[czas_stop]]="DNF","",bieg[[#This Row],[czas_stop]]-bieg[[#This Row],[czas_start]])</f>
        <v>8.9328703703703716E-2</v>
      </c>
    </row>
    <row r="16" spans="1:5" x14ac:dyDescent="0.25">
      <c r="A16" s="1" t="s">
        <v>215</v>
      </c>
      <c r="B16" s="2">
        <v>0.40937499999999999</v>
      </c>
      <c r="C16" s="1" t="s">
        <v>216</v>
      </c>
      <c r="D16" s="1" t="s">
        <v>6</v>
      </c>
      <c r="E16" s="2">
        <f>IF(bieg[[#This Row],[czas_stop]]="DNF","",bieg[[#This Row],[czas_stop]]-bieg[[#This Row],[czas_start]])</f>
        <v>8.998842592592593E-2</v>
      </c>
    </row>
    <row r="17" spans="1:5" x14ac:dyDescent="0.25">
      <c r="A17" s="1" t="s">
        <v>123</v>
      </c>
      <c r="B17" s="2">
        <v>0.39305555555555555</v>
      </c>
      <c r="C17" s="1" t="s">
        <v>124</v>
      </c>
      <c r="D17" s="1" t="s">
        <v>22</v>
      </c>
      <c r="E17" s="2">
        <f>IF(bieg[[#This Row],[czas_stop]]="DNF","",bieg[[#This Row],[czas_stop]]-bieg[[#This Row],[czas_start]])</f>
        <v>9.0023148148148158E-2</v>
      </c>
    </row>
    <row r="18" spans="1:5" x14ac:dyDescent="0.25">
      <c r="A18" s="1" t="s">
        <v>194</v>
      </c>
      <c r="B18" s="2">
        <v>0.40555555555555556</v>
      </c>
      <c r="C18" s="1" t="s">
        <v>195</v>
      </c>
      <c r="D18" s="1" t="s">
        <v>52</v>
      </c>
      <c r="E18" s="2">
        <f>IF(bieg[[#This Row],[czas_stop]]="DNF","",bieg[[#This Row],[czas_stop]]-bieg[[#This Row],[czas_start]])</f>
        <v>9.0057870370370385E-2</v>
      </c>
    </row>
    <row r="19" spans="1:5" x14ac:dyDescent="0.25">
      <c r="A19" s="1" t="s">
        <v>235</v>
      </c>
      <c r="B19" s="2">
        <v>0.41319444444444442</v>
      </c>
      <c r="C19" s="1" t="s">
        <v>236</v>
      </c>
      <c r="D19" s="1" t="s">
        <v>49</v>
      </c>
      <c r="E19" s="2">
        <f>IF(bieg[[#This Row],[czas_stop]]="DNF","",bieg[[#This Row],[czas_stop]]-bieg[[#This Row],[czas_start]])</f>
        <v>9.013888888888888E-2</v>
      </c>
    </row>
    <row r="20" spans="1:5" x14ac:dyDescent="0.25">
      <c r="A20" s="1" t="s">
        <v>205</v>
      </c>
      <c r="B20" s="2">
        <v>0.40763888888888888</v>
      </c>
      <c r="C20" s="1" t="s">
        <v>206</v>
      </c>
      <c r="D20" s="1" t="s">
        <v>31</v>
      </c>
      <c r="E20" s="2">
        <f>IF(bieg[[#This Row],[czas_stop]]="DNF","",bieg[[#This Row],[czas_stop]]-bieg[[#This Row],[czas_start]])</f>
        <v>9.1099537037037048E-2</v>
      </c>
    </row>
    <row r="21" spans="1:5" x14ac:dyDescent="0.25">
      <c r="A21" s="1" t="s">
        <v>192</v>
      </c>
      <c r="B21" s="2">
        <v>0.40520833333333334</v>
      </c>
      <c r="C21" s="1" t="s">
        <v>193</v>
      </c>
      <c r="D21" s="1" t="s">
        <v>58</v>
      </c>
      <c r="E21" s="2">
        <f>IF(bieg[[#This Row],[czas_stop]]="DNF","",bieg[[#This Row],[czas_stop]]-bieg[[#This Row],[czas_start]])</f>
        <v>9.1840277777777812E-2</v>
      </c>
    </row>
    <row r="22" spans="1:5" x14ac:dyDescent="0.25">
      <c r="A22" s="1" t="s">
        <v>260</v>
      </c>
      <c r="B22" s="2">
        <v>0.41770833333333335</v>
      </c>
      <c r="C22" s="1" t="s">
        <v>261</v>
      </c>
      <c r="D22" s="1" t="s">
        <v>12</v>
      </c>
      <c r="E22" s="2">
        <f>IF(bieg[[#This Row],[czas_stop]]="DNF","",bieg[[#This Row],[czas_stop]]-bieg[[#This Row],[czas_start]])</f>
        <v>9.2129629629629561E-2</v>
      </c>
    </row>
    <row r="23" spans="1:5" x14ac:dyDescent="0.25">
      <c r="A23" s="1" t="s">
        <v>61</v>
      </c>
      <c r="B23" s="2">
        <v>0.38229166666666664</v>
      </c>
      <c r="C23" s="1" t="s">
        <v>62</v>
      </c>
      <c r="D23" s="1" t="s">
        <v>34</v>
      </c>
      <c r="E23" s="2">
        <f>IF(bieg[[#This Row],[czas_stop]]="DNF","",bieg[[#This Row],[czas_stop]]-bieg[[#This Row],[czas_start]])</f>
        <v>9.2152777777777806E-2</v>
      </c>
    </row>
    <row r="24" spans="1:5" x14ac:dyDescent="0.25">
      <c r="A24" s="1" t="s">
        <v>159</v>
      </c>
      <c r="B24" s="2">
        <v>0.39930555555555558</v>
      </c>
      <c r="C24" s="1" t="s">
        <v>160</v>
      </c>
      <c r="D24" s="1" t="s">
        <v>99</v>
      </c>
      <c r="E24" s="2">
        <f>IF(bieg[[#This Row],[czas_stop]]="DNF","",bieg[[#This Row],[czas_stop]]-bieg[[#This Row],[czas_start]])</f>
        <v>9.2187499999999922E-2</v>
      </c>
    </row>
    <row r="25" spans="1:5" x14ac:dyDescent="0.25">
      <c r="A25" s="1" t="s">
        <v>101</v>
      </c>
      <c r="B25" s="2">
        <v>0.38923611111111112</v>
      </c>
      <c r="C25" s="1" t="s">
        <v>102</v>
      </c>
      <c r="D25" s="1" t="s">
        <v>25</v>
      </c>
      <c r="E25" s="2">
        <f>IF(bieg[[#This Row],[czas_stop]]="DNF","",bieg[[#This Row],[czas_stop]]-bieg[[#This Row],[czas_start]])</f>
        <v>9.2476851851851893E-2</v>
      </c>
    </row>
    <row r="26" spans="1:5" x14ac:dyDescent="0.25">
      <c r="A26" s="1" t="s">
        <v>56</v>
      </c>
      <c r="B26" s="2">
        <v>0.3815972222222222</v>
      </c>
      <c r="C26" s="1" t="s">
        <v>57</v>
      </c>
      <c r="D26" s="1" t="s">
        <v>58</v>
      </c>
      <c r="E26" s="2">
        <f>IF(bieg[[#This Row],[czas_stop]]="DNF","",bieg[[#This Row],[czas_stop]]-bieg[[#This Row],[czas_start]])</f>
        <v>9.288194444444442E-2</v>
      </c>
    </row>
    <row r="27" spans="1:5" x14ac:dyDescent="0.25">
      <c r="A27" s="1" t="s">
        <v>233</v>
      </c>
      <c r="B27" s="2">
        <v>0.4128472222222222</v>
      </c>
      <c r="C27" s="1" t="s">
        <v>234</v>
      </c>
      <c r="D27" s="1" t="s">
        <v>55</v>
      </c>
      <c r="E27" s="2">
        <f>IF(bieg[[#This Row],[czas_stop]]="DNF","",bieg[[#This Row],[czas_stop]]-bieg[[#This Row],[czas_start]])</f>
        <v>9.3263888888888868E-2</v>
      </c>
    </row>
    <row r="28" spans="1:5" x14ac:dyDescent="0.25">
      <c r="A28" s="1" t="s">
        <v>44</v>
      </c>
      <c r="B28" s="2">
        <v>0.38020833333333331</v>
      </c>
      <c r="C28" s="1" t="s">
        <v>45</v>
      </c>
      <c r="D28" s="1" t="s">
        <v>46</v>
      </c>
      <c r="E28" s="2">
        <f>IF(bieg[[#This Row],[czas_stop]]="DNF","",bieg[[#This Row],[czas_stop]]-bieg[[#This Row],[czas_start]])</f>
        <v>9.3333333333333379E-2</v>
      </c>
    </row>
    <row r="29" spans="1:5" x14ac:dyDescent="0.25">
      <c r="A29" s="1" t="s">
        <v>67</v>
      </c>
      <c r="B29" s="2">
        <v>0.38333333333333336</v>
      </c>
      <c r="C29" s="1" t="s">
        <v>68</v>
      </c>
      <c r="D29" s="1" t="s">
        <v>49</v>
      </c>
      <c r="E29" s="2">
        <f>IF(bieg[[#This Row],[czas_stop]]="DNF","",bieg[[#This Row],[czas_stop]]-bieg[[#This Row],[czas_start]])</f>
        <v>9.3414351851851873E-2</v>
      </c>
    </row>
    <row r="30" spans="1:5" x14ac:dyDescent="0.25">
      <c r="A30" s="1" t="s">
        <v>63</v>
      </c>
      <c r="B30" s="2">
        <v>0.38263888888888886</v>
      </c>
      <c r="C30" s="1" t="s">
        <v>64</v>
      </c>
      <c r="D30" s="1" t="s">
        <v>37</v>
      </c>
      <c r="E30" s="2">
        <f>IF(bieg[[#This Row],[czas_stop]]="DNF","",bieg[[#This Row],[czas_stop]]-bieg[[#This Row],[czas_start]])</f>
        <v>9.4004629629629632E-2</v>
      </c>
    </row>
    <row r="31" spans="1:5" x14ac:dyDescent="0.25">
      <c r="A31" s="1" t="s">
        <v>141</v>
      </c>
      <c r="B31" s="2">
        <v>0.39618055555555554</v>
      </c>
      <c r="C31" s="1" t="s">
        <v>142</v>
      </c>
      <c r="D31" s="1" t="s">
        <v>49</v>
      </c>
      <c r="E31" s="2">
        <f>IF(bieg[[#This Row],[czas_stop]]="DNF","",bieg[[#This Row],[czas_stop]]-bieg[[#This Row],[czas_start]])</f>
        <v>9.4062499999999993E-2</v>
      </c>
    </row>
    <row r="32" spans="1:5" x14ac:dyDescent="0.25">
      <c r="A32" s="1" t="s">
        <v>113</v>
      </c>
      <c r="B32" s="2">
        <v>0.39131944444444444</v>
      </c>
      <c r="C32" s="1" t="s">
        <v>114</v>
      </c>
      <c r="D32" s="1" t="s">
        <v>37</v>
      </c>
      <c r="E32" s="2">
        <f>IF(bieg[[#This Row],[czas_stop]]="DNF","",bieg[[#This Row],[czas_stop]]-bieg[[#This Row],[czas_start]])</f>
        <v>9.4074074074074088E-2</v>
      </c>
    </row>
    <row r="33" spans="1:5" x14ac:dyDescent="0.25">
      <c r="A33" s="1" t="s">
        <v>29</v>
      </c>
      <c r="B33" s="2">
        <v>0.37847222222222221</v>
      </c>
      <c r="C33" s="1" t="s">
        <v>30</v>
      </c>
      <c r="D33" s="1" t="s">
        <v>31</v>
      </c>
      <c r="E33" s="2">
        <f>IF(bieg[[#This Row],[czas_stop]]="DNF","",bieg[[#This Row],[czas_stop]]-bieg[[#This Row],[czas_start]])</f>
        <v>9.4618055555555525E-2</v>
      </c>
    </row>
    <row r="34" spans="1:5" x14ac:dyDescent="0.25">
      <c r="A34" s="1" t="s">
        <v>83</v>
      </c>
      <c r="B34" s="2">
        <v>0.38611111111111113</v>
      </c>
      <c r="C34" s="1" t="s">
        <v>84</v>
      </c>
      <c r="D34" s="1" t="s">
        <v>46</v>
      </c>
      <c r="E34" s="2">
        <f>IF(bieg[[#This Row],[czas_stop]]="DNF","",bieg[[#This Row],[czas_stop]]-bieg[[#This Row],[czas_start]])</f>
        <v>9.5300925925925872E-2</v>
      </c>
    </row>
    <row r="35" spans="1:5" x14ac:dyDescent="0.25">
      <c r="A35" s="1" t="s">
        <v>109</v>
      </c>
      <c r="B35" s="2">
        <v>0.390625</v>
      </c>
      <c r="C35" s="1" t="s">
        <v>110</v>
      </c>
      <c r="D35" s="1" t="s">
        <v>58</v>
      </c>
      <c r="E35" s="2">
        <f>IF(bieg[[#This Row],[czas_stop]]="DNF","",bieg[[#This Row],[czas_stop]]-bieg[[#This Row],[czas_start]])</f>
        <v>9.5312499999999967E-2</v>
      </c>
    </row>
    <row r="36" spans="1:5" x14ac:dyDescent="0.25">
      <c r="A36" s="1" t="s">
        <v>171</v>
      </c>
      <c r="B36" s="2">
        <v>0.40138888888888891</v>
      </c>
      <c r="C36" s="1" t="s">
        <v>172</v>
      </c>
      <c r="D36" s="1" t="s">
        <v>58</v>
      </c>
      <c r="E36" s="2">
        <f>IF(bieg[[#This Row],[czas_stop]]="DNF","",bieg[[#This Row],[czas_stop]]-bieg[[#This Row],[czas_start]])</f>
        <v>9.562499999999996E-2</v>
      </c>
    </row>
    <row r="37" spans="1:5" x14ac:dyDescent="0.25">
      <c r="A37" s="1" t="s">
        <v>50</v>
      </c>
      <c r="B37" s="2">
        <v>0.38090277777777776</v>
      </c>
      <c r="C37" s="1" t="s">
        <v>51</v>
      </c>
      <c r="D37" s="1" t="s">
        <v>52</v>
      </c>
      <c r="E37" s="2">
        <f>IF(bieg[[#This Row],[czas_stop]]="DNF","",bieg[[#This Row],[czas_stop]]-bieg[[#This Row],[czas_start]])</f>
        <v>9.5787037037037059E-2</v>
      </c>
    </row>
    <row r="38" spans="1:5" x14ac:dyDescent="0.25">
      <c r="A38" s="1" t="s">
        <v>197</v>
      </c>
      <c r="B38" s="2">
        <v>0.40625</v>
      </c>
      <c r="C38" s="1" t="s">
        <v>198</v>
      </c>
      <c r="D38" s="1" t="s">
        <v>3</v>
      </c>
      <c r="E38" s="2">
        <f>IF(bieg[[#This Row],[czas_stop]]="DNF","",bieg[[#This Row],[czas_stop]]-bieg[[#This Row],[czas_start]])</f>
        <v>9.5949074074074048E-2</v>
      </c>
    </row>
    <row r="39" spans="1:5" x14ac:dyDescent="0.25">
      <c r="A39" s="1" t="s">
        <v>251</v>
      </c>
      <c r="B39" s="2">
        <v>0.41597222222222224</v>
      </c>
      <c r="C39" s="1" t="s">
        <v>252</v>
      </c>
      <c r="D39" s="1" t="s">
        <v>49</v>
      </c>
      <c r="E39" s="2">
        <f>IF(bieg[[#This Row],[czas_stop]]="DNF","",bieg[[#This Row],[czas_stop]]-bieg[[#This Row],[czas_start]])</f>
        <v>9.6087962962963014E-2</v>
      </c>
    </row>
    <row r="40" spans="1:5" x14ac:dyDescent="0.25">
      <c r="A40" s="1" t="s">
        <v>167</v>
      </c>
      <c r="B40" s="2">
        <v>0.40069444444444446</v>
      </c>
      <c r="C40" s="1" t="s">
        <v>168</v>
      </c>
      <c r="D40" s="1" t="s">
        <v>40</v>
      </c>
      <c r="E40" s="2">
        <f>IF(bieg[[#This Row],[czas_stop]]="DNF","",bieg[[#This Row],[czas_stop]]-bieg[[#This Row],[czas_start]])</f>
        <v>9.628472222222223E-2</v>
      </c>
    </row>
    <row r="41" spans="1:5" x14ac:dyDescent="0.25">
      <c r="A41" s="1" t="s">
        <v>237</v>
      </c>
      <c r="B41" s="2">
        <v>0.41354166666666664</v>
      </c>
      <c r="C41" s="1" t="s">
        <v>238</v>
      </c>
      <c r="D41" s="1" t="s">
        <v>12</v>
      </c>
      <c r="E41" s="2">
        <f>IF(bieg[[#This Row],[czas_stop]]="DNF","",bieg[[#This Row],[czas_stop]]-bieg[[#This Row],[czas_start]])</f>
        <v>9.686342592592595E-2</v>
      </c>
    </row>
    <row r="42" spans="1:5" x14ac:dyDescent="0.25">
      <c r="A42" s="1" t="s">
        <v>247</v>
      </c>
      <c r="B42" s="2">
        <v>0.4152777777777778</v>
      </c>
      <c r="C42" s="1" t="s">
        <v>248</v>
      </c>
      <c r="D42" s="1" t="s">
        <v>12</v>
      </c>
      <c r="E42" s="2">
        <f>IF(bieg[[#This Row],[czas_stop]]="DNF","",bieg[[#This Row],[czas_stop]]-bieg[[#This Row],[czas_start]])</f>
        <v>9.8252314814814834E-2</v>
      </c>
    </row>
    <row r="43" spans="1:5" x14ac:dyDescent="0.25">
      <c r="A43" s="1" t="s">
        <v>135</v>
      </c>
      <c r="B43" s="2">
        <v>0.39513888888888887</v>
      </c>
      <c r="C43" s="1" t="s">
        <v>136</v>
      </c>
      <c r="D43" s="1" t="s">
        <v>3</v>
      </c>
      <c r="E43" s="2">
        <f>IF(bieg[[#This Row],[czas_stop]]="DNF","",bieg[[#This Row],[czas_stop]]-bieg[[#This Row],[czas_start]])</f>
        <v>9.8402777777777839E-2</v>
      </c>
    </row>
    <row r="44" spans="1:5" x14ac:dyDescent="0.25">
      <c r="A44" s="1" t="s">
        <v>32</v>
      </c>
      <c r="B44" s="2">
        <v>0.37881944444444443</v>
      </c>
      <c r="C44" s="1" t="s">
        <v>33</v>
      </c>
      <c r="D44" s="1" t="s">
        <v>34</v>
      </c>
      <c r="E44" s="2">
        <f>IF(bieg[[#This Row],[czas_stop]]="DNF","",bieg[[#This Row],[czas_stop]]-bieg[[#This Row],[czas_start]])</f>
        <v>9.8495370370370372E-2</v>
      </c>
    </row>
    <row r="45" spans="1:5" x14ac:dyDescent="0.25">
      <c r="A45" s="1" t="s">
        <v>209</v>
      </c>
      <c r="B45" s="2">
        <v>0.40833333333333333</v>
      </c>
      <c r="C45" s="1" t="s">
        <v>210</v>
      </c>
      <c r="D45" s="1" t="s">
        <v>28</v>
      </c>
      <c r="E45" s="2">
        <f>IF(bieg[[#This Row],[czas_stop]]="DNF","",bieg[[#This Row],[czas_stop]]-bieg[[#This Row],[czas_start]])</f>
        <v>9.8576388888888866E-2</v>
      </c>
    </row>
    <row r="46" spans="1:5" x14ac:dyDescent="0.25">
      <c r="A46" s="1" t="s">
        <v>95</v>
      </c>
      <c r="B46" s="2">
        <v>0.38819444444444445</v>
      </c>
      <c r="C46" s="1" t="s">
        <v>96</v>
      </c>
      <c r="D46" s="1" t="s">
        <v>12</v>
      </c>
      <c r="E46" s="2">
        <f>IF(bieg[[#This Row],[czas_stop]]="DNF","",bieg[[#This Row],[czas_stop]]-bieg[[#This Row],[czas_start]])</f>
        <v>9.8668981481481455E-2</v>
      </c>
    </row>
    <row r="47" spans="1:5" x14ac:dyDescent="0.25">
      <c r="A47" s="1" t="s">
        <v>125</v>
      </c>
      <c r="B47" s="2">
        <v>0.39340277777777777</v>
      </c>
      <c r="C47" s="1" t="s">
        <v>126</v>
      </c>
      <c r="D47" s="1" t="s">
        <v>58</v>
      </c>
      <c r="E47" s="2">
        <f>IF(bieg[[#This Row],[czas_stop]]="DNF","",bieg[[#This Row],[czas_stop]]-bieg[[#This Row],[czas_start]])</f>
        <v>9.989583333333335E-2</v>
      </c>
    </row>
    <row r="48" spans="1:5" x14ac:dyDescent="0.25">
      <c r="A48" s="1" t="s">
        <v>103</v>
      </c>
      <c r="B48" s="2">
        <v>0.38958333333333334</v>
      </c>
      <c r="C48" s="1" t="s">
        <v>104</v>
      </c>
      <c r="D48" s="1" t="s">
        <v>9</v>
      </c>
      <c r="E48" s="2">
        <f>IF(bieg[[#This Row],[czas_stop]]="DNF","",bieg[[#This Row],[czas_stop]]-bieg[[#This Row],[czas_start]])</f>
        <v>0.10010416666666666</v>
      </c>
    </row>
    <row r="49" spans="1:5" x14ac:dyDescent="0.25">
      <c r="A49" s="1" t="s">
        <v>145</v>
      </c>
      <c r="B49" s="2">
        <v>0.39687499999999998</v>
      </c>
      <c r="C49" s="1" t="s">
        <v>146</v>
      </c>
      <c r="D49" s="1" t="s">
        <v>6</v>
      </c>
      <c r="E49" s="2">
        <f>IF(bieg[[#This Row],[czas_stop]]="DNF","",bieg[[#This Row],[czas_stop]]-bieg[[#This Row],[czas_start]])</f>
        <v>0.10046296296296303</v>
      </c>
    </row>
    <row r="50" spans="1:5" x14ac:dyDescent="0.25">
      <c r="A50" s="1" t="s">
        <v>222</v>
      </c>
      <c r="B50" s="2">
        <v>0.41076388888888887</v>
      </c>
      <c r="C50" s="1" t="s">
        <v>223</v>
      </c>
      <c r="D50" s="1" t="s">
        <v>31</v>
      </c>
      <c r="E50" s="2">
        <f>IF(bieg[[#This Row],[czas_stop]]="DNF","",bieg[[#This Row],[czas_stop]]-bieg[[#This Row],[czas_start]])</f>
        <v>0.10049768518518526</v>
      </c>
    </row>
    <row r="51" spans="1:5" x14ac:dyDescent="0.25">
      <c r="A51" s="1" t="s">
        <v>105</v>
      </c>
      <c r="B51" s="2">
        <v>0.38993055555555556</v>
      </c>
      <c r="C51" s="1" t="s">
        <v>106</v>
      </c>
      <c r="D51" s="1" t="s">
        <v>46</v>
      </c>
      <c r="E51" s="2">
        <f>IF(bieg[[#This Row],[czas_stop]]="DNF","",bieg[[#This Row],[czas_stop]]-bieg[[#This Row],[czas_start]])</f>
        <v>0.101099537037037</v>
      </c>
    </row>
    <row r="52" spans="1:5" x14ac:dyDescent="0.25">
      <c r="A52" s="1" t="s">
        <v>59</v>
      </c>
      <c r="B52" s="2">
        <v>0.38194444444444442</v>
      </c>
      <c r="C52" s="1" t="s">
        <v>60</v>
      </c>
      <c r="D52" s="1" t="s">
        <v>31</v>
      </c>
      <c r="E52" s="2">
        <f>IF(bieg[[#This Row],[czas_stop]]="DNF","",bieg[[#This Row],[czas_stop]]-bieg[[#This Row],[czas_start]])</f>
        <v>0.10143518518518518</v>
      </c>
    </row>
    <row r="53" spans="1:5" x14ac:dyDescent="0.25">
      <c r="A53" s="1" t="s">
        <v>253</v>
      </c>
      <c r="B53" s="2">
        <v>0.41631944444444446</v>
      </c>
      <c r="C53" s="1" t="s">
        <v>254</v>
      </c>
      <c r="D53" s="1" t="s">
        <v>12</v>
      </c>
      <c r="E53" s="2">
        <f>IF(bieg[[#This Row],[czas_stop]]="DNF","",bieg[[#This Row],[czas_stop]]-bieg[[#This Row],[czas_start]])</f>
        <v>0.10158564814814819</v>
      </c>
    </row>
    <row r="54" spans="1:5" x14ac:dyDescent="0.25">
      <c r="A54" s="1" t="s">
        <v>77</v>
      </c>
      <c r="B54" s="2">
        <v>0.38506944444444446</v>
      </c>
      <c r="C54" s="1" t="s">
        <v>78</v>
      </c>
      <c r="D54" s="1" t="s">
        <v>31</v>
      </c>
      <c r="E54" s="2">
        <f>IF(bieg[[#This Row],[czas_stop]]="DNF","",bieg[[#This Row],[czas_stop]]-bieg[[#This Row],[czas_start]])</f>
        <v>0.10163194444444446</v>
      </c>
    </row>
    <row r="55" spans="1:5" x14ac:dyDescent="0.25">
      <c r="A55" s="1" t="s">
        <v>262</v>
      </c>
      <c r="B55" s="2">
        <v>0.41805555555555557</v>
      </c>
      <c r="C55" s="1" t="s">
        <v>263</v>
      </c>
      <c r="D55" s="1" t="s">
        <v>49</v>
      </c>
      <c r="E55" s="2">
        <f>IF(bieg[[#This Row],[czas_stop]]="DNF","",bieg[[#This Row],[czas_stop]]-bieg[[#This Row],[czas_start]])</f>
        <v>0.10182870370370373</v>
      </c>
    </row>
    <row r="56" spans="1:5" x14ac:dyDescent="0.25">
      <c r="A56" s="1" t="s">
        <v>165</v>
      </c>
      <c r="B56" s="2">
        <v>0.40034722222222224</v>
      </c>
      <c r="C56" s="1" t="s">
        <v>166</v>
      </c>
      <c r="D56" s="1" t="s">
        <v>37</v>
      </c>
      <c r="E56" s="2">
        <f>IF(bieg[[#This Row],[czas_stop]]="DNF","",bieg[[#This Row],[czas_stop]]-bieg[[#This Row],[czas_start]])</f>
        <v>0.10243055555555552</v>
      </c>
    </row>
    <row r="57" spans="1:5" x14ac:dyDescent="0.25">
      <c r="A57" s="1" t="s">
        <v>41</v>
      </c>
      <c r="B57" s="2">
        <v>0.37986111111111109</v>
      </c>
      <c r="C57" s="1" t="s">
        <v>42</v>
      </c>
      <c r="D57" s="1" t="s">
        <v>43</v>
      </c>
      <c r="E57" s="2">
        <f>IF(bieg[[#This Row],[czas_stop]]="DNF","",bieg[[#This Row],[czas_stop]]-bieg[[#This Row],[czas_start]])</f>
        <v>0.1028587962962963</v>
      </c>
    </row>
    <row r="58" spans="1:5" x14ac:dyDescent="0.25">
      <c r="A58" s="1" t="s">
        <v>121</v>
      </c>
      <c r="B58" s="2">
        <v>0.39270833333333333</v>
      </c>
      <c r="C58" s="1" t="s">
        <v>122</v>
      </c>
      <c r="D58" s="1" t="s">
        <v>19</v>
      </c>
      <c r="E58" s="2">
        <f>IF(bieg[[#This Row],[czas_stop]]="DNF","",bieg[[#This Row],[czas_stop]]-bieg[[#This Row],[czas_start]])</f>
        <v>0.1032407407407408</v>
      </c>
    </row>
    <row r="59" spans="1:5" x14ac:dyDescent="0.25">
      <c r="A59" s="1" t="s">
        <v>243</v>
      </c>
      <c r="B59" s="2">
        <v>0.41458333333333336</v>
      </c>
      <c r="C59" s="1" t="s">
        <v>244</v>
      </c>
      <c r="D59" s="1" t="s">
        <v>12</v>
      </c>
      <c r="E59" s="2">
        <f>IF(bieg[[#This Row],[czas_stop]]="DNF","",bieg[[#This Row],[czas_stop]]-bieg[[#This Row],[czas_start]])</f>
        <v>0.10371527777777773</v>
      </c>
    </row>
    <row r="60" spans="1:5" x14ac:dyDescent="0.25">
      <c r="A60" s="1" t="s">
        <v>182</v>
      </c>
      <c r="B60" s="2">
        <v>0.40347222222222223</v>
      </c>
      <c r="C60" s="1" t="s">
        <v>183</v>
      </c>
      <c r="D60" s="1" t="s">
        <v>31</v>
      </c>
      <c r="E60" s="2">
        <f>IF(bieg[[#This Row],[czas_stop]]="DNF","",bieg[[#This Row],[czas_stop]]-bieg[[#This Row],[czas_start]])</f>
        <v>0.10408564814814814</v>
      </c>
    </row>
    <row r="61" spans="1:5" x14ac:dyDescent="0.25">
      <c r="A61" s="1" t="s">
        <v>111</v>
      </c>
      <c r="B61" s="2">
        <v>0.39097222222222222</v>
      </c>
      <c r="C61" s="1" t="s">
        <v>112</v>
      </c>
      <c r="D61" s="1" t="s">
        <v>34</v>
      </c>
      <c r="E61" s="2">
        <f>IF(bieg[[#This Row],[czas_stop]]="DNF","",bieg[[#This Row],[czas_stop]]-bieg[[#This Row],[czas_start]])</f>
        <v>0.10410879629629632</v>
      </c>
    </row>
    <row r="62" spans="1:5" x14ac:dyDescent="0.25">
      <c r="A62" s="1" t="s">
        <v>1</v>
      </c>
      <c r="B62" s="2">
        <v>0.375</v>
      </c>
      <c r="C62" s="1" t="s">
        <v>2</v>
      </c>
      <c r="D62" s="1" t="s">
        <v>3</v>
      </c>
      <c r="E62" s="2">
        <f>IF(bieg[[#This Row],[czas_stop]]="DNF","",bieg[[#This Row],[czas_stop]]-bieg[[#This Row],[czas_start]])</f>
        <v>0.10420138888888886</v>
      </c>
    </row>
    <row r="63" spans="1:5" x14ac:dyDescent="0.25">
      <c r="A63" s="1" t="s">
        <v>231</v>
      </c>
      <c r="B63" s="2">
        <v>0.41249999999999998</v>
      </c>
      <c r="C63" s="1" t="s">
        <v>232</v>
      </c>
      <c r="D63" s="1" t="s">
        <v>31</v>
      </c>
      <c r="E63" s="2">
        <f>IF(bieg[[#This Row],[czas_stop]]="DNF","",bieg[[#This Row],[czas_stop]]-bieg[[#This Row],[czas_start]])</f>
        <v>0.10443287037037041</v>
      </c>
    </row>
    <row r="64" spans="1:5" x14ac:dyDescent="0.25">
      <c r="A64" s="1" t="s">
        <v>147</v>
      </c>
      <c r="B64" s="2">
        <v>0.3972222222222222</v>
      </c>
      <c r="C64" s="1" t="s">
        <v>148</v>
      </c>
      <c r="D64" s="1" t="s">
        <v>99</v>
      </c>
      <c r="E64" s="2">
        <f>IF(bieg[[#This Row],[czas_stop]]="DNF","",bieg[[#This Row],[czas_stop]]-bieg[[#This Row],[czas_start]])</f>
        <v>0.10545138888888889</v>
      </c>
    </row>
    <row r="65" spans="1:5" x14ac:dyDescent="0.25">
      <c r="A65" s="1" t="s">
        <v>178</v>
      </c>
      <c r="B65" s="2">
        <v>0.40277777777777779</v>
      </c>
      <c r="C65" s="1" t="s">
        <v>179</v>
      </c>
      <c r="D65" s="1" t="s">
        <v>43</v>
      </c>
      <c r="E65" s="2">
        <f>IF(bieg[[#This Row],[czas_stop]]="DNF","",bieg[[#This Row],[czas_stop]]-bieg[[#This Row],[czas_start]])</f>
        <v>0.10644675925925928</v>
      </c>
    </row>
    <row r="66" spans="1:5" x14ac:dyDescent="0.25">
      <c r="A66" s="1" t="s">
        <v>169</v>
      </c>
      <c r="B66" s="2">
        <v>0.40104166666666669</v>
      </c>
      <c r="C66" s="1" t="s">
        <v>170</v>
      </c>
      <c r="D66" s="1" t="s">
        <v>52</v>
      </c>
      <c r="E66" s="2">
        <f>IF(bieg[[#This Row],[czas_stop]]="DNF","",bieg[[#This Row],[czas_stop]]-bieg[[#This Row],[czas_start]])</f>
        <v>0.10662037037037037</v>
      </c>
    </row>
    <row r="67" spans="1:5" x14ac:dyDescent="0.25">
      <c r="A67" s="1" t="s">
        <v>239</v>
      </c>
      <c r="B67" s="2">
        <v>0.41388888888888886</v>
      </c>
      <c r="C67" s="1" t="s">
        <v>240</v>
      </c>
      <c r="D67" s="1" t="s">
        <v>31</v>
      </c>
      <c r="E67" s="2">
        <f>IF(bieg[[#This Row],[czas_stop]]="DNF","",bieg[[#This Row],[czas_stop]]-bieg[[#This Row],[czas_start]])</f>
        <v>0.10711805555555554</v>
      </c>
    </row>
    <row r="68" spans="1:5" x14ac:dyDescent="0.25">
      <c r="A68" s="1" t="s">
        <v>17</v>
      </c>
      <c r="B68" s="2">
        <v>0.37708333333333333</v>
      </c>
      <c r="C68" s="1" t="s">
        <v>18</v>
      </c>
      <c r="D68" s="1" t="s">
        <v>19</v>
      </c>
      <c r="E68" s="2">
        <f>IF(bieg[[#This Row],[czas_stop]]="DNF","",bieg[[#This Row],[czas_stop]]-bieg[[#This Row],[czas_start]])</f>
        <v>0.10712962962962963</v>
      </c>
    </row>
    <row r="69" spans="1:5" x14ac:dyDescent="0.25">
      <c r="A69" s="1" t="s">
        <v>264</v>
      </c>
      <c r="B69" s="2">
        <v>0.41840277777777779</v>
      </c>
      <c r="C69" s="1" t="s">
        <v>265</v>
      </c>
      <c r="D69" s="1" t="s">
        <v>31</v>
      </c>
      <c r="E69" s="2">
        <f>IF(bieg[[#This Row],[czas_stop]]="DNF","",bieg[[#This Row],[czas_stop]]-bieg[[#This Row],[czas_start]])</f>
        <v>0.10754629629629631</v>
      </c>
    </row>
    <row r="70" spans="1:5" x14ac:dyDescent="0.25">
      <c r="A70" s="1" t="s">
        <v>97</v>
      </c>
      <c r="B70" s="2">
        <v>0.38854166666666667</v>
      </c>
      <c r="C70" s="1" t="s">
        <v>98</v>
      </c>
      <c r="D70" s="1" t="s">
        <v>99</v>
      </c>
      <c r="E70" s="2">
        <f>IF(bieg[[#This Row],[czas_stop]]="DNF","",bieg[[#This Row],[czas_stop]]-bieg[[#This Row],[czas_start]])</f>
        <v>0.10758101851851853</v>
      </c>
    </row>
    <row r="71" spans="1:5" x14ac:dyDescent="0.25">
      <c r="A71" s="1" t="s">
        <v>129</v>
      </c>
      <c r="B71" s="2">
        <v>0.39409722222222221</v>
      </c>
      <c r="C71" s="1" t="s">
        <v>130</v>
      </c>
      <c r="D71" s="1" t="s">
        <v>37</v>
      </c>
      <c r="E71" s="2">
        <f>IF(bieg[[#This Row],[czas_stop]]="DNF","",bieg[[#This Row],[czas_stop]]-bieg[[#This Row],[czas_start]])</f>
        <v>0.10775462962962967</v>
      </c>
    </row>
    <row r="72" spans="1:5" x14ac:dyDescent="0.25">
      <c r="A72" s="1" t="s">
        <v>203</v>
      </c>
      <c r="B72" s="2">
        <v>0.40729166666666666</v>
      </c>
      <c r="C72" s="1" t="s">
        <v>204</v>
      </c>
      <c r="D72" s="1" t="s">
        <v>40</v>
      </c>
      <c r="E72" s="2">
        <f>IF(bieg[[#This Row],[czas_stop]]="DNF","",bieg[[#This Row],[czas_stop]]-bieg[[#This Row],[czas_start]])</f>
        <v>0.10790509259259257</v>
      </c>
    </row>
    <row r="73" spans="1:5" x14ac:dyDescent="0.25">
      <c r="A73" s="1" t="s">
        <v>75</v>
      </c>
      <c r="B73" s="2">
        <v>0.38472222222222224</v>
      </c>
      <c r="C73" s="1" t="s">
        <v>76</v>
      </c>
      <c r="D73" s="1" t="s">
        <v>52</v>
      </c>
      <c r="E73" s="2">
        <f>IF(bieg[[#This Row],[czas_stop]]="DNF","",bieg[[#This Row],[czas_stop]]-bieg[[#This Row],[czas_start]])</f>
        <v>0.10800925925925919</v>
      </c>
    </row>
    <row r="74" spans="1:5" x14ac:dyDescent="0.25">
      <c r="A74" s="1" t="s">
        <v>211</v>
      </c>
      <c r="B74" s="2">
        <v>0.40868055555555555</v>
      </c>
      <c r="C74" s="1" t="s">
        <v>212</v>
      </c>
      <c r="D74" s="1" t="s">
        <v>99</v>
      </c>
      <c r="E74" s="2">
        <f>IF(bieg[[#This Row],[czas_stop]]="DNF","",bieg[[#This Row],[czas_stop]]-bieg[[#This Row],[czas_start]])</f>
        <v>0.10818287037037039</v>
      </c>
    </row>
    <row r="75" spans="1:5" x14ac:dyDescent="0.25">
      <c r="A75" s="1" t="s">
        <v>229</v>
      </c>
      <c r="B75" s="2">
        <v>0.41215277777777776</v>
      </c>
      <c r="C75" s="1" t="s">
        <v>230</v>
      </c>
      <c r="D75" s="1" t="s">
        <v>99</v>
      </c>
      <c r="E75" s="2">
        <f>IF(bieg[[#This Row],[czas_stop]]="DNF","",bieg[[#This Row],[czas_stop]]-bieg[[#This Row],[czas_start]])</f>
        <v>0.10864583333333339</v>
      </c>
    </row>
    <row r="76" spans="1:5" x14ac:dyDescent="0.25">
      <c r="A76" s="1" t="s">
        <v>93</v>
      </c>
      <c r="B76" s="2">
        <v>0.38784722222222223</v>
      </c>
      <c r="C76" s="1" t="s">
        <v>94</v>
      </c>
      <c r="D76" s="1" t="s">
        <v>19</v>
      </c>
      <c r="E76" s="2">
        <f>IF(bieg[[#This Row],[czas_stop]]="DNF","",bieg[[#This Row],[czas_stop]]-bieg[[#This Row],[czas_start]])</f>
        <v>0.10978009259259264</v>
      </c>
    </row>
    <row r="77" spans="1:5" x14ac:dyDescent="0.25">
      <c r="A77" s="1" t="s">
        <v>35</v>
      </c>
      <c r="B77" s="2">
        <v>0.37916666666666665</v>
      </c>
      <c r="C77" s="1" t="s">
        <v>36</v>
      </c>
      <c r="D77" s="1" t="s">
        <v>37</v>
      </c>
      <c r="E77" s="2">
        <f>IF(bieg[[#This Row],[czas_stop]]="DNF","",bieg[[#This Row],[czas_stop]]-bieg[[#This Row],[czas_start]])</f>
        <v>0.1105902777777778</v>
      </c>
    </row>
    <row r="78" spans="1:5" x14ac:dyDescent="0.25">
      <c r="A78" s="1" t="s">
        <v>175</v>
      </c>
      <c r="B78" s="2">
        <v>0.40208333333333335</v>
      </c>
      <c r="C78" s="1" t="s">
        <v>176</v>
      </c>
      <c r="D78" s="1" t="s">
        <v>6</v>
      </c>
      <c r="E78" s="2">
        <f>IF(bieg[[#This Row],[czas_stop]]="DNF","",bieg[[#This Row],[czas_stop]]-bieg[[#This Row],[czas_start]])</f>
        <v>0.11063657407407412</v>
      </c>
    </row>
    <row r="79" spans="1:5" x14ac:dyDescent="0.25">
      <c r="A79" s="1" t="s">
        <v>38</v>
      </c>
      <c r="B79" s="2">
        <v>0.37951388888888887</v>
      </c>
      <c r="C79" s="1" t="s">
        <v>39</v>
      </c>
      <c r="D79" s="1" t="s">
        <v>40</v>
      </c>
      <c r="E79" s="2">
        <f>IF(bieg[[#This Row],[czas_stop]]="DNF","",bieg[[#This Row],[czas_stop]]-bieg[[#This Row],[czas_start]])</f>
        <v>0.11067129629629635</v>
      </c>
    </row>
    <row r="80" spans="1:5" x14ac:dyDescent="0.25">
      <c r="A80" s="1" t="s">
        <v>241</v>
      </c>
      <c r="B80" s="2">
        <v>0.41423611111111114</v>
      </c>
      <c r="C80" s="1" t="s">
        <v>242</v>
      </c>
      <c r="D80" s="1" t="s">
        <v>99</v>
      </c>
      <c r="E80" s="2">
        <f>IF(bieg[[#This Row],[czas_stop]]="DNF","",bieg[[#This Row],[czas_stop]]-bieg[[#This Row],[czas_start]])</f>
        <v>0.11141203703703706</v>
      </c>
    </row>
    <row r="81" spans="1:5" x14ac:dyDescent="0.25">
      <c r="A81" s="1" t="s">
        <v>4</v>
      </c>
      <c r="B81" s="2">
        <v>0.37534722222222222</v>
      </c>
      <c r="C81" s="1" t="s">
        <v>5</v>
      </c>
      <c r="D81" s="1" t="s">
        <v>6</v>
      </c>
      <c r="E81" s="2">
        <f>IF(bieg[[#This Row],[czas_stop]]="DNF","",bieg[[#This Row],[czas_stop]]-bieg[[#This Row],[czas_start]])</f>
        <v>0.11201388888888891</v>
      </c>
    </row>
    <row r="82" spans="1:5" x14ac:dyDescent="0.25">
      <c r="A82" s="1" t="s">
        <v>186</v>
      </c>
      <c r="B82" s="2">
        <v>0.40416666666666667</v>
      </c>
      <c r="C82" s="1" t="s">
        <v>187</v>
      </c>
      <c r="D82" s="1" t="s">
        <v>55</v>
      </c>
      <c r="E82" s="2">
        <f>IF(bieg[[#This Row],[czas_stop]]="DNF","",bieg[[#This Row],[czas_stop]]-bieg[[#This Row],[czas_start]])</f>
        <v>0.11215277777777777</v>
      </c>
    </row>
    <row r="83" spans="1:5" x14ac:dyDescent="0.25">
      <c r="A83" s="1" t="s">
        <v>133</v>
      </c>
      <c r="B83" s="2">
        <v>0.39479166666666665</v>
      </c>
      <c r="C83" s="1" t="s">
        <v>134</v>
      </c>
      <c r="D83" s="1" t="s">
        <v>43</v>
      </c>
      <c r="E83" s="2">
        <f>IF(bieg[[#This Row],[czas_stop]]="DNF","",bieg[[#This Row],[czas_stop]]-bieg[[#This Row],[czas_start]])</f>
        <v>0.11230324074074083</v>
      </c>
    </row>
    <row r="84" spans="1:5" x14ac:dyDescent="0.25">
      <c r="A84" s="1" t="s">
        <v>226</v>
      </c>
      <c r="B84" s="2">
        <v>0.41145833333333331</v>
      </c>
      <c r="C84" s="1" t="s">
        <v>227</v>
      </c>
      <c r="D84" s="1" t="s">
        <v>22</v>
      </c>
      <c r="E84" s="2">
        <f>IF(bieg[[#This Row],[czas_stop]]="DNF","",bieg[[#This Row],[czas_stop]]-bieg[[#This Row],[czas_start]])</f>
        <v>0.11243055555555564</v>
      </c>
    </row>
    <row r="85" spans="1:5" x14ac:dyDescent="0.25">
      <c r="A85" s="1" t="s">
        <v>20</v>
      </c>
      <c r="B85" s="2">
        <v>0.37743055555555555</v>
      </c>
      <c r="C85" s="1" t="s">
        <v>21</v>
      </c>
      <c r="D85" s="1" t="s">
        <v>22</v>
      </c>
      <c r="E85" s="2">
        <f>IF(bieg[[#This Row],[czas_stop]]="DNF","",bieg[[#This Row],[czas_stop]]-bieg[[#This Row],[czas_start]])</f>
        <v>0.11247685185185186</v>
      </c>
    </row>
    <row r="86" spans="1:5" x14ac:dyDescent="0.25">
      <c r="A86" s="1" t="s">
        <v>255</v>
      </c>
      <c r="B86" s="2">
        <v>0.41666666666666669</v>
      </c>
      <c r="C86" s="1" t="s">
        <v>256</v>
      </c>
      <c r="D86" s="1" t="s">
        <v>43</v>
      </c>
      <c r="E86" s="2">
        <f>IF(bieg[[#This Row],[czas_stop]]="DNF","",bieg[[#This Row],[czas_stop]]-bieg[[#This Row],[czas_start]])</f>
        <v>0.11271990740740739</v>
      </c>
    </row>
    <row r="87" spans="1:5" x14ac:dyDescent="0.25">
      <c r="A87" s="1" t="s">
        <v>65</v>
      </c>
      <c r="B87" s="2">
        <v>0.38298611111111114</v>
      </c>
      <c r="C87" s="1" t="s">
        <v>66</v>
      </c>
      <c r="D87" s="1" t="s">
        <v>40</v>
      </c>
      <c r="E87" s="2">
        <f>IF(bieg[[#This Row],[czas_stop]]="DNF","",bieg[[#This Row],[czas_stop]]-bieg[[#This Row],[czas_start]])</f>
        <v>0.11284722222222221</v>
      </c>
    </row>
    <row r="88" spans="1:5" x14ac:dyDescent="0.25">
      <c r="A88" s="1" t="s">
        <v>157</v>
      </c>
      <c r="B88" s="2">
        <v>0.39895833333333336</v>
      </c>
      <c r="C88" s="1" t="s">
        <v>158</v>
      </c>
      <c r="D88" s="1" t="s">
        <v>37</v>
      </c>
      <c r="E88" s="2">
        <f>IF(bieg[[#This Row],[czas_stop]]="DNF","",bieg[[#This Row],[czas_stop]]-bieg[[#This Row],[czas_start]])</f>
        <v>0.11313657407407401</v>
      </c>
    </row>
    <row r="89" spans="1:5" x14ac:dyDescent="0.25">
      <c r="A89" s="1" t="s">
        <v>119</v>
      </c>
      <c r="B89" s="2">
        <v>0.3923611111111111</v>
      </c>
      <c r="C89" s="1" t="s">
        <v>120</v>
      </c>
      <c r="D89" s="1" t="s">
        <v>46</v>
      </c>
      <c r="E89" s="2">
        <f>IF(bieg[[#This Row],[czas_stop]]="DNF","",bieg[[#This Row],[czas_stop]]-bieg[[#This Row],[czas_start]])</f>
        <v>0.11379629629629634</v>
      </c>
    </row>
    <row r="90" spans="1:5" x14ac:dyDescent="0.25">
      <c r="A90" s="1" t="s">
        <v>71</v>
      </c>
      <c r="B90" s="2">
        <v>0.3840277777777778</v>
      </c>
      <c r="C90" s="1" t="s">
        <v>72</v>
      </c>
      <c r="D90" s="1" t="s">
        <v>3</v>
      </c>
      <c r="E90" s="2">
        <f>IF(bieg[[#This Row],[czas_stop]]="DNF","",bieg[[#This Row],[czas_stop]]-bieg[[#This Row],[czas_start]])</f>
        <v>0.11415509259259254</v>
      </c>
    </row>
    <row r="91" spans="1:5" x14ac:dyDescent="0.25">
      <c r="A91" s="1" t="s">
        <v>85</v>
      </c>
      <c r="B91" s="2">
        <v>0.38645833333333335</v>
      </c>
      <c r="C91" s="1" t="s">
        <v>86</v>
      </c>
      <c r="D91" s="1" t="s">
        <v>28</v>
      </c>
      <c r="E91" s="2">
        <f>IF(bieg[[#This Row],[czas_stop]]="DNF","",bieg[[#This Row],[czas_stop]]-bieg[[#This Row],[czas_start]])</f>
        <v>0.11444444444444446</v>
      </c>
    </row>
    <row r="92" spans="1:5" x14ac:dyDescent="0.25">
      <c r="A92" s="1" t="s">
        <v>10</v>
      </c>
      <c r="B92" s="2">
        <v>0.37604166666666666</v>
      </c>
      <c r="C92" s="1" t="s">
        <v>11</v>
      </c>
      <c r="D92" s="1" t="s">
        <v>12</v>
      </c>
      <c r="E92" s="2">
        <f>IF(bieg[[#This Row],[czas_stop]]="DNF","",bieg[[#This Row],[czas_stop]]-bieg[[#This Row],[czas_start]])</f>
        <v>0.11454861111111109</v>
      </c>
    </row>
    <row r="93" spans="1:5" x14ac:dyDescent="0.25">
      <c r="A93" s="1" t="s">
        <v>258</v>
      </c>
      <c r="B93" s="2">
        <v>0.41736111111111113</v>
      </c>
      <c r="C93" s="1" t="s">
        <v>259</v>
      </c>
      <c r="D93" s="1" t="s">
        <v>3</v>
      </c>
      <c r="E93" s="2">
        <f>IF(bieg[[#This Row],[czas_stop]]="DNF","",bieg[[#This Row],[czas_stop]]-bieg[[#This Row],[czas_start]])</f>
        <v>0.11456018518518524</v>
      </c>
    </row>
    <row r="94" spans="1:5" x14ac:dyDescent="0.25">
      <c r="A94" s="1" t="s">
        <v>143</v>
      </c>
      <c r="B94" s="2">
        <v>0.39652777777777776</v>
      </c>
      <c r="C94" s="1" t="s">
        <v>144</v>
      </c>
      <c r="D94" s="1" t="s">
        <v>12</v>
      </c>
      <c r="E94" s="2">
        <f>IF(bieg[[#This Row],[czas_stop]]="DNF","",bieg[[#This Row],[czas_stop]]-bieg[[#This Row],[czas_start]])</f>
        <v>0.11534722222222221</v>
      </c>
    </row>
    <row r="95" spans="1:5" x14ac:dyDescent="0.25">
      <c r="A95" s="1" t="s">
        <v>131</v>
      </c>
      <c r="B95" s="2">
        <v>0.39444444444444443</v>
      </c>
      <c r="C95" s="1" t="s">
        <v>132</v>
      </c>
      <c r="D95" s="1" t="s">
        <v>34</v>
      </c>
      <c r="E95" s="2">
        <f>IF(bieg[[#This Row],[czas_stop]]="DNF","",bieg[[#This Row],[czas_stop]]-bieg[[#This Row],[czas_start]])</f>
        <v>0.11540509259259263</v>
      </c>
    </row>
    <row r="96" spans="1:5" x14ac:dyDescent="0.25">
      <c r="A96" s="1" t="s">
        <v>91</v>
      </c>
      <c r="B96" s="2">
        <v>0.38750000000000001</v>
      </c>
      <c r="C96" s="1" t="s">
        <v>92</v>
      </c>
      <c r="D96" s="1" t="s">
        <v>22</v>
      </c>
      <c r="E96" s="2">
        <f>IF(bieg[[#This Row],[czas_stop]]="DNF","",bieg[[#This Row],[czas_stop]]-bieg[[#This Row],[czas_start]])</f>
        <v>0.11559027777777781</v>
      </c>
    </row>
    <row r="97" spans="1:5" x14ac:dyDescent="0.25">
      <c r="A97" s="1" t="s">
        <v>87</v>
      </c>
      <c r="B97" s="2">
        <v>0.38680555555555557</v>
      </c>
      <c r="C97" s="1" t="s">
        <v>88</v>
      </c>
      <c r="D97" s="1" t="s">
        <v>22</v>
      </c>
      <c r="E97" s="2">
        <f>IF(bieg[[#This Row],[czas_stop]]="DNF","",bieg[[#This Row],[czas_stop]]-bieg[[#This Row],[czas_start]])</f>
        <v>0.11565972222222215</v>
      </c>
    </row>
    <row r="98" spans="1:5" x14ac:dyDescent="0.25">
      <c r="A98" s="1" t="s">
        <v>81</v>
      </c>
      <c r="B98" s="2">
        <v>0.38576388888888891</v>
      </c>
      <c r="C98" s="1" t="s">
        <v>82</v>
      </c>
      <c r="D98" s="1" t="s">
        <v>25</v>
      </c>
      <c r="E98" s="2">
        <f>IF(bieg[[#This Row],[czas_stop]]="DNF","",bieg[[#This Row],[czas_stop]]-bieg[[#This Row],[czas_start]])</f>
        <v>0.11685185185185176</v>
      </c>
    </row>
    <row r="99" spans="1:5" x14ac:dyDescent="0.25">
      <c r="A99" s="1" t="s">
        <v>73</v>
      </c>
      <c r="B99" s="2">
        <v>0.38437500000000002</v>
      </c>
      <c r="C99" s="1" t="s">
        <v>74</v>
      </c>
      <c r="D99" s="1" t="s">
        <v>6</v>
      </c>
      <c r="E99" s="2">
        <f>IF(bieg[[#This Row],[czas_stop]]="DNF","",bieg[[#This Row],[czas_stop]]-bieg[[#This Row],[czas_start]])</f>
        <v>0.11730324074074072</v>
      </c>
    </row>
    <row r="100" spans="1:5" x14ac:dyDescent="0.25">
      <c r="A100" s="1" t="s">
        <v>161</v>
      </c>
      <c r="B100" s="2">
        <v>0.3996527777777778</v>
      </c>
      <c r="C100" s="1" t="s">
        <v>162</v>
      </c>
      <c r="D100" s="1" t="s">
        <v>25</v>
      </c>
      <c r="E100" s="2">
        <f>IF(bieg[[#This Row],[czas_stop]]="DNF","",bieg[[#This Row],[czas_stop]]-bieg[[#This Row],[czas_start]])</f>
        <v>0.11781250000000004</v>
      </c>
    </row>
    <row r="101" spans="1:5" x14ac:dyDescent="0.25">
      <c r="A101" s="1" t="s">
        <v>224</v>
      </c>
      <c r="B101" s="2">
        <v>0.41111111111111109</v>
      </c>
      <c r="C101" s="1" t="s">
        <v>225</v>
      </c>
      <c r="D101" s="1" t="s">
        <v>28</v>
      </c>
      <c r="E101" s="2">
        <f>IF(bieg[[#This Row],[czas_stop]]="DNF","",bieg[[#This Row],[czas_stop]]-bieg[[#This Row],[czas_start]])</f>
        <v>0.11798611111111112</v>
      </c>
    </row>
    <row r="102" spans="1:5" x14ac:dyDescent="0.25">
      <c r="A102" s="1" t="s">
        <v>188</v>
      </c>
      <c r="B102" s="2">
        <v>0.4045138888888889</v>
      </c>
      <c r="C102" s="1" t="s">
        <v>189</v>
      </c>
      <c r="D102" s="1" t="s">
        <v>19</v>
      </c>
      <c r="E102" s="2">
        <f>IF(bieg[[#This Row],[czas_stop]]="DNF","",bieg[[#This Row],[czas_stop]]-bieg[[#This Row],[czas_start]])</f>
        <v>0.11835648148148153</v>
      </c>
    </row>
    <row r="103" spans="1:5" x14ac:dyDescent="0.25">
      <c r="A103" s="1" t="s">
        <v>184</v>
      </c>
      <c r="B103" s="2">
        <v>0.40381944444444445</v>
      </c>
      <c r="C103" s="1" t="s">
        <v>185</v>
      </c>
      <c r="D103" s="1" t="s">
        <v>52</v>
      </c>
      <c r="E103" s="2">
        <f>IF(bieg[[#This Row],[czas_stop]]="DNF","",bieg[[#This Row],[czas_stop]]-bieg[[#This Row],[czas_start]])</f>
        <v>0.11855324074074075</v>
      </c>
    </row>
    <row r="104" spans="1:5" x14ac:dyDescent="0.25">
      <c r="A104" s="1" t="s">
        <v>107</v>
      </c>
      <c r="B104" s="2">
        <v>0.39027777777777778</v>
      </c>
      <c r="C104" s="1" t="s">
        <v>108</v>
      </c>
      <c r="D104" s="1" t="s">
        <v>28</v>
      </c>
      <c r="E104" s="2">
        <f>IF(bieg[[#This Row],[czas_stop]]="DNF","",bieg[[#This Row],[czas_stop]]-bieg[[#This Row],[czas_start]])</f>
        <v>0.11879629629629634</v>
      </c>
    </row>
    <row r="105" spans="1:5" x14ac:dyDescent="0.25">
      <c r="A105" s="1" t="s">
        <v>207</v>
      </c>
      <c r="B105" s="2">
        <v>0.4079861111111111</v>
      </c>
      <c r="C105" s="1" t="s">
        <v>208</v>
      </c>
      <c r="D105" s="1" t="s">
        <v>49</v>
      </c>
      <c r="E105" s="2">
        <f>IF(bieg[[#This Row],[czas_stop]]="DNF","",bieg[[#This Row],[czas_stop]]-bieg[[#This Row],[czas_start]])</f>
        <v>0.11910879629629628</v>
      </c>
    </row>
    <row r="106" spans="1:5" x14ac:dyDescent="0.25">
      <c r="A106" s="1" t="s">
        <v>137</v>
      </c>
      <c r="B106" s="2">
        <v>0.39548611111111109</v>
      </c>
      <c r="C106" s="1" t="s">
        <v>138</v>
      </c>
      <c r="D106" s="1" t="s">
        <v>55</v>
      </c>
      <c r="E106" s="2">
        <f>IF(bieg[[#This Row],[czas_stop]]="DNF","",bieg[[#This Row],[czas_stop]]-bieg[[#This Row],[czas_start]])</f>
        <v>0.11914351851851857</v>
      </c>
    </row>
    <row r="107" spans="1:5" x14ac:dyDescent="0.25">
      <c r="A107" s="1" t="s">
        <v>245</v>
      </c>
      <c r="B107" s="2">
        <v>0.41493055555555558</v>
      </c>
      <c r="C107" s="1" t="s">
        <v>246</v>
      </c>
      <c r="D107" s="1" t="s">
        <v>3</v>
      </c>
      <c r="E107" s="2">
        <f>IF(bieg[[#This Row],[czas_stop]]="DNF","",bieg[[#This Row],[czas_stop]]-bieg[[#This Row],[czas_start]])</f>
        <v>0.11932870370370374</v>
      </c>
    </row>
    <row r="108" spans="1:5" x14ac:dyDescent="0.25">
      <c r="A108" s="1" t="s">
        <v>155</v>
      </c>
      <c r="B108" s="2">
        <v>0.39861111111111114</v>
      </c>
      <c r="C108" s="1" t="s">
        <v>156</v>
      </c>
      <c r="D108" s="1" t="s">
        <v>40</v>
      </c>
      <c r="E108" s="2">
        <f>IF(bieg[[#This Row],[czas_stop]]="DNF","",bieg[[#This Row],[czas_stop]]-bieg[[#This Row],[czas_start]])</f>
        <v>0.11965277777777772</v>
      </c>
    </row>
    <row r="109" spans="1:5" x14ac:dyDescent="0.25">
      <c r="A109" s="1" t="s">
        <v>213</v>
      </c>
      <c r="B109" s="2">
        <v>0.40902777777777777</v>
      </c>
      <c r="C109" s="1" t="s">
        <v>214</v>
      </c>
      <c r="D109" s="1" t="s">
        <v>9</v>
      </c>
      <c r="E109" s="2">
        <f>IF(bieg[[#This Row],[czas_stop]]="DNF","",bieg[[#This Row],[czas_stop]]-bieg[[#This Row],[czas_start]])</f>
        <v>0.12008101851851849</v>
      </c>
    </row>
    <row r="110" spans="1:5" x14ac:dyDescent="0.25">
      <c r="A110" s="1" t="s">
        <v>201</v>
      </c>
      <c r="B110" s="2">
        <v>0.40694444444444444</v>
      </c>
      <c r="C110" s="1" t="s">
        <v>202</v>
      </c>
      <c r="D110" s="1" t="s">
        <v>43</v>
      </c>
      <c r="E110" s="2">
        <f>IF(bieg[[#This Row],[czas_stop]]="DNF","",bieg[[#This Row],[czas_stop]]-bieg[[#This Row],[czas_start]])</f>
        <v>0.12074074074074082</v>
      </c>
    </row>
    <row r="111" spans="1:5" x14ac:dyDescent="0.25">
      <c r="A111" s="1" t="s">
        <v>127</v>
      </c>
      <c r="B111" s="2">
        <v>0.39374999999999999</v>
      </c>
      <c r="C111" s="1" t="s">
        <v>128</v>
      </c>
      <c r="D111" s="1" t="s">
        <v>25</v>
      </c>
      <c r="E111" s="2">
        <f>IF(bieg[[#This Row],[czas_stop]]="DNF","",bieg[[#This Row],[czas_stop]]-bieg[[#This Row],[czas_start]])</f>
        <v>0.12170138888888887</v>
      </c>
    </row>
    <row r="112" spans="1:5" x14ac:dyDescent="0.25">
      <c r="A112" s="1" t="s">
        <v>217</v>
      </c>
      <c r="B112" s="2">
        <v>0.40972222222222221</v>
      </c>
      <c r="C112" s="1" t="s">
        <v>218</v>
      </c>
      <c r="D112" s="1" t="s">
        <v>19</v>
      </c>
      <c r="E112" s="2">
        <f>IF(bieg[[#This Row],[czas_stop]]="DNF","",bieg[[#This Row],[czas_stop]]-bieg[[#This Row],[czas_start]])</f>
        <v>0.12185185185185188</v>
      </c>
    </row>
    <row r="113" spans="1:5" x14ac:dyDescent="0.25">
      <c r="A113" s="1" t="s">
        <v>26</v>
      </c>
      <c r="B113" s="2">
        <v>0.37812499999999999</v>
      </c>
      <c r="C113" s="1" t="s">
        <v>27</v>
      </c>
      <c r="D113" s="1" t="s">
        <v>28</v>
      </c>
      <c r="E113" s="2">
        <f>IF(bieg[[#This Row],[czas_stop]]="DNF","",bieg[[#This Row],[czas_stop]]-bieg[[#This Row],[czas_start]])</f>
        <v>0.12255787037037041</v>
      </c>
    </row>
    <row r="114" spans="1:5" x14ac:dyDescent="0.25">
      <c r="A114" s="1" t="s">
        <v>151</v>
      </c>
      <c r="B114" s="2">
        <v>0.39791666666666664</v>
      </c>
      <c r="C114" s="1" t="s">
        <v>152</v>
      </c>
      <c r="D114" s="1" t="s">
        <v>46</v>
      </c>
      <c r="E114" s="2">
        <f>IF(bieg[[#This Row],[czas_stop]]="DNF","",bieg[[#This Row],[czas_stop]]-bieg[[#This Row],[czas_start]])</f>
        <v>0.12285879629629631</v>
      </c>
    </row>
    <row r="115" spans="1:5" x14ac:dyDescent="0.25">
      <c r="A115" s="1" t="s">
        <v>7</v>
      </c>
      <c r="B115" s="2">
        <v>0.37569444444444444</v>
      </c>
      <c r="C115" s="1" t="s">
        <v>8</v>
      </c>
      <c r="D115" s="1" t="s">
        <v>9</v>
      </c>
      <c r="E115" s="2">
        <f>IF(bieg[[#This Row],[czas_stop]]="DNF","",bieg[[#This Row],[czas_stop]]-bieg[[#This Row],[czas_start]])</f>
        <v>0.12297453703703703</v>
      </c>
    </row>
    <row r="116" spans="1:5" x14ac:dyDescent="0.25">
      <c r="A116" s="1" t="s">
        <v>199</v>
      </c>
      <c r="B116" s="2">
        <v>0.40659722222222222</v>
      </c>
      <c r="C116" s="1" t="s">
        <v>200</v>
      </c>
      <c r="D116" s="1" t="s">
        <v>12</v>
      </c>
      <c r="E116" s="2">
        <f>IF(bieg[[#This Row],[czas_stop]]="DNF","",bieg[[#This Row],[czas_stop]]-bieg[[#This Row],[czas_start]])</f>
        <v>0.12298611111111118</v>
      </c>
    </row>
    <row r="117" spans="1:5" x14ac:dyDescent="0.25">
      <c r="A117" s="1" t="s">
        <v>219</v>
      </c>
      <c r="B117" s="2">
        <v>0.41006944444444443</v>
      </c>
      <c r="C117" s="1" t="s">
        <v>220</v>
      </c>
      <c r="D117" s="1" t="s">
        <v>49</v>
      </c>
      <c r="E117" s="2">
        <f>IF(bieg[[#This Row],[czas_stop]]="DNF","",bieg[[#This Row],[czas_stop]]-bieg[[#This Row],[czas_start]])</f>
        <v>0.12319444444444444</v>
      </c>
    </row>
    <row r="118" spans="1:5" x14ac:dyDescent="0.25">
      <c r="A118" s="1" t="s">
        <v>13</v>
      </c>
      <c r="B118" s="2">
        <v>0.37638888888888888</v>
      </c>
      <c r="C118" s="1" t="s">
        <v>14</v>
      </c>
      <c r="D118" s="1" t="s">
        <v>3</v>
      </c>
      <c r="E118" s="2">
        <f>IF(bieg[[#This Row],[czas_stop]]="DNF","",bieg[[#This Row],[czas_stop]]-bieg[[#This Row],[czas_start]])</f>
        <v>0.12376157407407407</v>
      </c>
    </row>
    <row r="119" spans="1:5" x14ac:dyDescent="0.25">
      <c r="A119" s="1" t="s">
        <v>89</v>
      </c>
      <c r="B119" s="2">
        <v>0.38715277777777779</v>
      </c>
      <c r="C119" s="1" t="s">
        <v>90</v>
      </c>
      <c r="D119" s="1" t="s">
        <v>19</v>
      </c>
      <c r="E119" s="2">
        <f>IF(bieg[[#This Row],[czas_stop]]="DNF","",bieg[[#This Row],[czas_stop]]-bieg[[#This Row],[czas_start]])</f>
        <v>0.12434027777777779</v>
      </c>
    </row>
    <row r="120" spans="1:5" x14ac:dyDescent="0.25">
      <c r="A120" s="1" t="s">
        <v>15</v>
      </c>
      <c r="B120" s="2">
        <v>0.3767361111111111</v>
      </c>
      <c r="C120" s="1" t="s">
        <v>16</v>
      </c>
      <c r="D120" s="1" t="s">
        <v>9</v>
      </c>
      <c r="E120" s="2">
        <f>IF(bieg[[#This Row],[czas_stop]]="DNF","",bieg[[#This Row],[czas_stop]]-bieg[[#This Row],[czas_start]])</f>
        <v>0.12442129629629634</v>
      </c>
    </row>
    <row r="121" spans="1:5" x14ac:dyDescent="0.25">
      <c r="A121" s="1" t="s">
        <v>69</v>
      </c>
      <c r="B121" s="2">
        <v>0.38368055555555558</v>
      </c>
      <c r="C121" s="1" t="s">
        <v>70</v>
      </c>
      <c r="D121" s="1" t="s">
        <v>9</v>
      </c>
      <c r="E121" s="2">
        <f>IF(bieg[[#This Row],[czas_stop]]="DNF","",bieg[[#This Row],[czas_stop]]-bieg[[#This Row],[czas_start]])</f>
        <v>0.124537037037037</v>
      </c>
    </row>
    <row r="122" spans="1:5" x14ac:dyDescent="0.25">
      <c r="A122" s="1" t="s">
        <v>23</v>
      </c>
      <c r="B122" s="2">
        <v>0.37777777777777777</v>
      </c>
      <c r="C122" s="1" t="s">
        <v>24</v>
      </c>
      <c r="D122" s="1" t="s">
        <v>25</v>
      </c>
      <c r="E122" s="2" t="str">
        <f>IF(bieg[[#This Row],[czas_stop]]="DNF","",bieg[[#This Row],[czas_stop]]-bieg[[#This Row],[czas_start]])</f>
        <v/>
      </c>
    </row>
    <row r="123" spans="1:5" x14ac:dyDescent="0.25">
      <c r="A123" s="1" t="s">
        <v>177</v>
      </c>
      <c r="B123" s="2">
        <v>0.40243055555555557</v>
      </c>
      <c r="C123" s="1" t="s">
        <v>24</v>
      </c>
      <c r="D123" s="1" t="s">
        <v>12</v>
      </c>
      <c r="E123" s="2" t="str">
        <f>IF(bieg[[#This Row],[czas_stop]]="DNF","",bieg[[#This Row],[czas_stop]]-bieg[[#This Row],[czas_start]])</f>
        <v/>
      </c>
    </row>
    <row r="124" spans="1:5" x14ac:dyDescent="0.25">
      <c r="A124" s="1" t="s">
        <v>196</v>
      </c>
      <c r="B124" s="2">
        <v>0.40590277777777778</v>
      </c>
      <c r="C124" s="1" t="s">
        <v>24</v>
      </c>
      <c r="D124" s="1" t="s">
        <v>49</v>
      </c>
      <c r="E124" s="2" t="str">
        <f>IF(bieg[[#This Row],[czas_stop]]="DNF","",bieg[[#This Row],[czas_stop]]-bieg[[#This Row],[czas_start]])</f>
        <v/>
      </c>
    </row>
    <row r="125" spans="1:5" x14ac:dyDescent="0.25">
      <c r="A125" s="1" t="s">
        <v>221</v>
      </c>
      <c r="B125" s="2">
        <v>0.41041666666666665</v>
      </c>
      <c r="C125" s="1" t="s">
        <v>24</v>
      </c>
      <c r="D125" s="1" t="s">
        <v>6</v>
      </c>
      <c r="E125" s="2" t="str">
        <f>IF(bieg[[#This Row],[czas_stop]]="DNF","",bieg[[#This Row],[czas_stop]]-bieg[[#This Row],[czas_start]])</f>
        <v/>
      </c>
    </row>
    <row r="126" spans="1:5" x14ac:dyDescent="0.25">
      <c r="A126" s="1" t="s">
        <v>228</v>
      </c>
      <c r="B126" s="2">
        <v>0.41180555555555554</v>
      </c>
      <c r="C126" s="1" t="s">
        <v>24</v>
      </c>
      <c r="D126" s="1" t="s">
        <v>3</v>
      </c>
      <c r="E126" s="2" t="str">
        <f>IF(bieg[[#This Row],[czas_stop]]="DNF","",bieg[[#This Row],[czas_stop]]-bieg[[#This Row],[czas_start]])</f>
        <v/>
      </c>
    </row>
    <row r="127" spans="1:5" x14ac:dyDescent="0.25">
      <c r="A127" s="1" t="s">
        <v>257</v>
      </c>
      <c r="B127" s="2">
        <v>0.41701388888888891</v>
      </c>
      <c r="C127" s="1" t="s">
        <v>24</v>
      </c>
      <c r="D127" s="1" t="s">
        <v>6</v>
      </c>
      <c r="E127" s="2" t="str">
        <f>IF(bieg[[#This Row],[czas_stop]]="DNF","",bieg[[#This Row],[czas_stop]]-bieg[[#This Row],[czas_start]])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4480-068F-4748-A12C-E4085D4B16CD}">
  <dimension ref="A3:D23"/>
  <sheetViews>
    <sheetView workbookViewId="0">
      <selection activeCell="D12" sqref="D12"/>
    </sheetView>
  </sheetViews>
  <sheetFormatPr defaultRowHeight="15" x14ac:dyDescent="0.25"/>
  <cols>
    <col min="1" max="1" width="17.85546875" bestFit="1" customWidth="1"/>
    <col min="2" max="2" width="20.5703125" bestFit="1" customWidth="1"/>
  </cols>
  <sheetData>
    <row r="3" spans="1:4" x14ac:dyDescent="0.25">
      <c r="A3" s="3" t="s">
        <v>269</v>
      </c>
      <c r="B3" t="s">
        <v>271</v>
      </c>
    </row>
    <row r="4" spans="1:4" x14ac:dyDescent="0.25">
      <c r="A4" s="5" t="s">
        <v>12</v>
      </c>
      <c r="B4" s="6">
        <v>10</v>
      </c>
    </row>
    <row r="5" spans="1:4" x14ac:dyDescent="0.25">
      <c r="A5" s="5" t="s">
        <v>49</v>
      </c>
      <c r="B5" s="6">
        <v>10</v>
      </c>
    </row>
    <row r="6" spans="1:4" x14ac:dyDescent="0.25">
      <c r="A6" s="4" t="s">
        <v>31</v>
      </c>
      <c r="B6" s="1">
        <v>9</v>
      </c>
    </row>
    <row r="7" spans="1:4" x14ac:dyDescent="0.25">
      <c r="A7" s="4" t="s">
        <v>9</v>
      </c>
      <c r="B7" s="1">
        <v>8</v>
      </c>
    </row>
    <row r="8" spans="1:4" x14ac:dyDescent="0.25">
      <c r="A8" s="4" t="s">
        <v>99</v>
      </c>
      <c r="B8" s="1">
        <v>8</v>
      </c>
      <c r="D8" s="4"/>
    </row>
    <row r="9" spans="1:4" x14ac:dyDescent="0.25">
      <c r="A9" s="4" t="s">
        <v>3</v>
      </c>
      <c r="B9" s="1">
        <v>8</v>
      </c>
      <c r="D9" s="4"/>
    </row>
    <row r="10" spans="1:4" x14ac:dyDescent="0.25">
      <c r="A10" s="4" t="s">
        <v>6</v>
      </c>
      <c r="B10" s="1">
        <v>7</v>
      </c>
      <c r="D10" s="4"/>
    </row>
    <row r="11" spans="1:4" x14ac:dyDescent="0.25">
      <c r="A11" s="4" t="s">
        <v>40</v>
      </c>
      <c r="B11" s="1">
        <v>6</v>
      </c>
      <c r="D11" s="4"/>
    </row>
    <row r="12" spans="1:4" x14ac:dyDescent="0.25">
      <c r="A12" s="4" t="s">
        <v>28</v>
      </c>
      <c r="B12" s="1">
        <v>6</v>
      </c>
      <c r="D12" s="4"/>
    </row>
    <row r="13" spans="1:4" x14ac:dyDescent="0.25">
      <c r="A13" s="4" t="s">
        <v>19</v>
      </c>
      <c r="B13" s="1">
        <v>6</v>
      </c>
      <c r="D13" s="4"/>
    </row>
    <row r="14" spans="1:4" x14ac:dyDescent="0.25">
      <c r="A14" s="4" t="s">
        <v>55</v>
      </c>
      <c r="B14" s="1">
        <v>6</v>
      </c>
      <c r="D14" s="4"/>
    </row>
    <row r="15" spans="1:4" x14ac:dyDescent="0.25">
      <c r="A15" s="4" t="s">
        <v>37</v>
      </c>
      <c r="B15" s="1">
        <v>6</v>
      </c>
      <c r="D15" s="4"/>
    </row>
    <row r="16" spans="1:4" x14ac:dyDescent="0.25">
      <c r="A16" s="4" t="s">
        <v>43</v>
      </c>
      <c r="B16" s="1">
        <v>6</v>
      </c>
      <c r="D16" s="4"/>
    </row>
    <row r="17" spans="1:4" x14ac:dyDescent="0.25">
      <c r="A17" s="4" t="s">
        <v>22</v>
      </c>
      <c r="B17" s="1">
        <v>5</v>
      </c>
      <c r="D17" s="4"/>
    </row>
    <row r="18" spans="1:4" x14ac:dyDescent="0.25">
      <c r="A18" s="4" t="s">
        <v>58</v>
      </c>
      <c r="B18" s="1">
        <v>5</v>
      </c>
    </row>
    <row r="19" spans="1:4" x14ac:dyDescent="0.25">
      <c r="A19" s="4" t="s">
        <v>34</v>
      </c>
      <c r="B19" s="1">
        <v>5</v>
      </c>
    </row>
    <row r="20" spans="1:4" x14ac:dyDescent="0.25">
      <c r="A20" s="4" t="s">
        <v>46</v>
      </c>
      <c r="B20" s="1">
        <v>5</v>
      </c>
    </row>
    <row r="21" spans="1:4" x14ac:dyDescent="0.25">
      <c r="A21" s="4" t="s">
        <v>52</v>
      </c>
      <c r="B21" s="1">
        <v>5</v>
      </c>
    </row>
    <row r="22" spans="1:4" x14ac:dyDescent="0.25">
      <c r="A22" s="4" t="s">
        <v>25</v>
      </c>
      <c r="B22" s="1">
        <v>5</v>
      </c>
    </row>
    <row r="23" spans="1:4" x14ac:dyDescent="0.25">
      <c r="A23" s="4" t="s">
        <v>270</v>
      </c>
      <c r="B23" s="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BA1D-9A67-4375-B171-E385289EBFD9}">
  <dimension ref="A1:E127"/>
  <sheetViews>
    <sheetView workbookViewId="0">
      <selection activeCell="A2" sqref="A2:E4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12" bestFit="1" customWidth="1"/>
    <col min="4" max="4" width="6.5703125" bestFit="1" customWidth="1"/>
    <col min="5" max="5" width="9.140625" style="1"/>
  </cols>
  <sheetData>
    <row r="1" spans="1:5" x14ac:dyDescent="0.25">
      <c r="A1" t="s">
        <v>266</v>
      </c>
      <c r="B1" t="s">
        <v>267</v>
      </c>
      <c r="C1" t="s">
        <v>268</v>
      </c>
      <c r="D1" t="s">
        <v>0</v>
      </c>
      <c r="E1" s="1" t="s">
        <v>272</v>
      </c>
    </row>
    <row r="2" spans="1:5" x14ac:dyDescent="0.25">
      <c r="A2" s="6" t="s">
        <v>153</v>
      </c>
      <c r="B2" s="7">
        <v>0.39826388888888886</v>
      </c>
      <c r="C2" s="6" t="s">
        <v>154</v>
      </c>
      <c r="D2" s="6" t="s">
        <v>9</v>
      </c>
      <c r="E2" s="7">
        <f>IF(bieg4[[#This Row],[czas_stop]]="DNF","",bieg4[[#This Row],[czas_stop]]-bieg4[[#This Row],[czas_start]])</f>
        <v>8.5520833333333379E-2</v>
      </c>
    </row>
    <row r="3" spans="1:5" x14ac:dyDescent="0.25">
      <c r="A3" s="6" t="s">
        <v>139</v>
      </c>
      <c r="B3" s="7">
        <v>0.39583333333333331</v>
      </c>
      <c r="C3" s="6" t="s">
        <v>140</v>
      </c>
      <c r="D3" s="6" t="s">
        <v>55</v>
      </c>
      <c r="E3" s="7">
        <f>IF(bieg4[[#This Row],[czas_stop]]="DNF","",bieg4[[#This Row],[czas_stop]]-bieg4[[#This Row],[czas_start]])</f>
        <v>8.6539351851851909E-2</v>
      </c>
    </row>
    <row r="4" spans="1:5" x14ac:dyDescent="0.25">
      <c r="A4" s="6" t="s">
        <v>79</v>
      </c>
      <c r="B4" s="7">
        <v>0.38541666666666669</v>
      </c>
      <c r="C4" s="6" t="s">
        <v>80</v>
      </c>
      <c r="D4" s="6" t="s">
        <v>34</v>
      </c>
      <c r="E4" s="7">
        <f>IF(bieg4[[#This Row],[czas_stop]]="DNF","",bieg4[[#This Row],[czas_stop]]-bieg4[[#This Row],[czas_start]])</f>
        <v>8.6620370370370348E-2</v>
      </c>
    </row>
    <row r="5" spans="1:5" x14ac:dyDescent="0.25">
      <c r="A5" s="1" t="s">
        <v>163</v>
      </c>
      <c r="B5" s="2">
        <v>0.4</v>
      </c>
      <c r="C5" s="1" t="s">
        <v>164</v>
      </c>
      <c r="D5" s="1" t="s">
        <v>9</v>
      </c>
      <c r="E5" s="2">
        <f>IF(bieg4[[#This Row],[czas_stop]]="DNF","",bieg4[[#This Row],[czas_stop]]-bieg4[[#This Row],[czas_start]])</f>
        <v>8.6944444444444435E-2</v>
      </c>
    </row>
    <row r="6" spans="1:5" x14ac:dyDescent="0.25">
      <c r="A6" s="1" t="s">
        <v>149</v>
      </c>
      <c r="B6" s="2">
        <v>0.39756944444444442</v>
      </c>
      <c r="C6" s="1" t="s">
        <v>150</v>
      </c>
      <c r="D6" s="1" t="s">
        <v>55</v>
      </c>
      <c r="E6" s="2">
        <f>IF(bieg4[[#This Row],[czas_stop]]="DNF","",bieg4[[#This Row],[czas_stop]]-bieg4[[#This Row],[czas_start]])</f>
        <v>8.709490740740744E-2</v>
      </c>
    </row>
    <row r="7" spans="1:5" x14ac:dyDescent="0.25">
      <c r="A7" s="1" t="s">
        <v>173</v>
      </c>
      <c r="B7" s="2">
        <v>0.40173611111111113</v>
      </c>
      <c r="C7" s="1" t="s">
        <v>174</v>
      </c>
      <c r="D7" s="1" t="s">
        <v>49</v>
      </c>
      <c r="E7" s="2">
        <f>IF(bieg4[[#This Row],[czas_stop]]="DNF","",bieg4[[#This Row],[czas_stop]]-bieg4[[#This Row],[czas_start]])</f>
        <v>8.7430555555555567E-2</v>
      </c>
    </row>
    <row r="8" spans="1:5" x14ac:dyDescent="0.25">
      <c r="A8" s="1" t="s">
        <v>100</v>
      </c>
      <c r="B8" s="2">
        <v>0.3888888888888889</v>
      </c>
      <c r="C8" s="1" t="s">
        <v>64</v>
      </c>
      <c r="D8" s="1" t="s">
        <v>99</v>
      </c>
      <c r="E8" s="2">
        <f>IF(bieg4[[#This Row],[czas_stop]]="DNF","",bieg4[[#This Row],[czas_stop]]-bieg4[[#This Row],[czas_start]])</f>
        <v>8.7754629629629599E-2</v>
      </c>
    </row>
    <row r="9" spans="1:5" x14ac:dyDescent="0.25">
      <c r="A9" s="1" t="s">
        <v>53</v>
      </c>
      <c r="B9" s="2">
        <v>0.38124999999999998</v>
      </c>
      <c r="C9" s="1" t="s">
        <v>54</v>
      </c>
      <c r="D9" s="1" t="s">
        <v>55</v>
      </c>
      <c r="E9" s="2">
        <f>IF(bieg4[[#This Row],[czas_stop]]="DNF","",bieg4[[#This Row],[czas_stop]]-bieg4[[#This Row],[czas_start]])</f>
        <v>8.789351851851851E-2</v>
      </c>
    </row>
    <row r="10" spans="1:5" x14ac:dyDescent="0.25">
      <c r="A10" s="1" t="s">
        <v>117</v>
      </c>
      <c r="B10" s="2">
        <v>0.39201388888888888</v>
      </c>
      <c r="C10" s="1" t="s">
        <v>118</v>
      </c>
      <c r="D10" s="1" t="s">
        <v>9</v>
      </c>
      <c r="E10" s="2">
        <f>IF(bieg4[[#This Row],[czas_stop]]="DNF","",bieg4[[#This Row],[czas_stop]]-bieg4[[#This Row],[czas_start]])</f>
        <v>8.861111111111114E-2</v>
      </c>
    </row>
    <row r="11" spans="1:5" x14ac:dyDescent="0.25">
      <c r="A11" s="1" t="s">
        <v>47</v>
      </c>
      <c r="B11" s="2">
        <v>0.38055555555555554</v>
      </c>
      <c r="C11" s="1" t="s">
        <v>48</v>
      </c>
      <c r="D11" s="1" t="s">
        <v>49</v>
      </c>
      <c r="E11" s="2">
        <f>IF(bieg4[[#This Row],[czas_stop]]="DNF","",bieg4[[#This Row],[czas_stop]]-bieg4[[#This Row],[czas_start]])</f>
        <v>8.8692129629629635E-2</v>
      </c>
    </row>
    <row r="12" spans="1:5" x14ac:dyDescent="0.25">
      <c r="A12" s="1" t="s">
        <v>180</v>
      </c>
      <c r="B12" s="2">
        <v>0.40312500000000001</v>
      </c>
      <c r="C12" s="1" t="s">
        <v>181</v>
      </c>
      <c r="D12" s="1" t="s">
        <v>28</v>
      </c>
      <c r="E12" s="2">
        <f>IF(bieg4[[#This Row],[czas_stop]]="DNF","",bieg4[[#This Row],[czas_stop]]-bieg4[[#This Row],[czas_start]])</f>
        <v>8.8703703703703674E-2</v>
      </c>
    </row>
    <row r="13" spans="1:5" x14ac:dyDescent="0.25">
      <c r="A13" s="1" t="s">
        <v>249</v>
      </c>
      <c r="B13" s="2">
        <v>0.41562500000000002</v>
      </c>
      <c r="C13" s="1" t="s">
        <v>250</v>
      </c>
      <c r="D13" s="1" t="s">
        <v>40</v>
      </c>
      <c r="E13" s="2">
        <f>IF(bieg4[[#This Row],[czas_stop]]="DNF","",bieg4[[#This Row],[czas_stop]]-bieg4[[#This Row],[czas_start]])</f>
        <v>8.8715277777777768E-2</v>
      </c>
    </row>
    <row r="14" spans="1:5" x14ac:dyDescent="0.25">
      <c r="A14" s="1" t="s">
        <v>190</v>
      </c>
      <c r="B14" s="2">
        <v>0.40486111111111112</v>
      </c>
      <c r="C14" s="1" t="s">
        <v>191</v>
      </c>
      <c r="D14" s="1" t="s">
        <v>99</v>
      </c>
      <c r="E14" s="2">
        <f>IF(bieg4[[#This Row],[czas_stop]]="DNF","",bieg4[[#This Row],[czas_stop]]-bieg4[[#This Row],[czas_start]])</f>
        <v>8.9131944444444444E-2</v>
      </c>
    </row>
    <row r="15" spans="1:5" x14ac:dyDescent="0.25">
      <c r="A15" s="1" t="s">
        <v>115</v>
      </c>
      <c r="B15" s="2">
        <v>0.39166666666666666</v>
      </c>
      <c r="C15" s="1" t="s">
        <v>116</v>
      </c>
      <c r="D15" s="1" t="s">
        <v>43</v>
      </c>
      <c r="E15" s="2">
        <f>IF(bieg4[[#This Row],[czas_stop]]="DNF","",bieg4[[#This Row],[czas_stop]]-bieg4[[#This Row],[czas_start]])</f>
        <v>8.9328703703703716E-2</v>
      </c>
    </row>
    <row r="16" spans="1:5" x14ac:dyDescent="0.25">
      <c r="A16" s="1" t="s">
        <v>215</v>
      </c>
      <c r="B16" s="2">
        <v>0.40937499999999999</v>
      </c>
      <c r="C16" s="1" t="s">
        <v>216</v>
      </c>
      <c r="D16" s="1" t="s">
        <v>6</v>
      </c>
      <c r="E16" s="2">
        <f>IF(bieg4[[#This Row],[czas_stop]]="DNF","",bieg4[[#This Row],[czas_stop]]-bieg4[[#This Row],[czas_start]])</f>
        <v>8.998842592592593E-2</v>
      </c>
    </row>
    <row r="17" spans="1:5" x14ac:dyDescent="0.25">
      <c r="A17" s="1" t="s">
        <v>123</v>
      </c>
      <c r="B17" s="2">
        <v>0.39305555555555555</v>
      </c>
      <c r="C17" s="1" t="s">
        <v>124</v>
      </c>
      <c r="D17" s="1" t="s">
        <v>22</v>
      </c>
      <c r="E17" s="2">
        <f>IF(bieg4[[#This Row],[czas_stop]]="DNF","",bieg4[[#This Row],[czas_stop]]-bieg4[[#This Row],[czas_start]])</f>
        <v>9.0023148148148158E-2</v>
      </c>
    </row>
    <row r="18" spans="1:5" x14ac:dyDescent="0.25">
      <c r="A18" s="1" t="s">
        <v>194</v>
      </c>
      <c r="B18" s="2">
        <v>0.40555555555555556</v>
      </c>
      <c r="C18" s="1" t="s">
        <v>195</v>
      </c>
      <c r="D18" s="1" t="s">
        <v>52</v>
      </c>
      <c r="E18" s="2">
        <f>IF(bieg4[[#This Row],[czas_stop]]="DNF","",bieg4[[#This Row],[czas_stop]]-bieg4[[#This Row],[czas_start]])</f>
        <v>9.0057870370370385E-2</v>
      </c>
    </row>
    <row r="19" spans="1:5" x14ac:dyDescent="0.25">
      <c r="A19" s="1" t="s">
        <v>235</v>
      </c>
      <c r="B19" s="2">
        <v>0.41319444444444442</v>
      </c>
      <c r="C19" s="1" t="s">
        <v>236</v>
      </c>
      <c r="D19" s="1" t="s">
        <v>49</v>
      </c>
      <c r="E19" s="2">
        <f>IF(bieg4[[#This Row],[czas_stop]]="DNF","",bieg4[[#This Row],[czas_stop]]-bieg4[[#This Row],[czas_start]])</f>
        <v>9.013888888888888E-2</v>
      </c>
    </row>
    <row r="20" spans="1:5" x14ac:dyDescent="0.25">
      <c r="A20" s="1" t="s">
        <v>205</v>
      </c>
      <c r="B20" s="2">
        <v>0.40763888888888888</v>
      </c>
      <c r="C20" s="1" t="s">
        <v>206</v>
      </c>
      <c r="D20" s="1" t="s">
        <v>31</v>
      </c>
      <c r="E20" s="2">
        <f>IF(bieg4[[#This Row],[czas_stop]]="DNF","",bieg4[[#This Row],[czas_stop]]-bieg4[[#This Row],[czas_start]])</f>
        <v>9.1099537037037048E-2</v>
      </c>
    </row>
    <row r="21" spans="1:5" x14ac:dyDescent="0.25">
      <c r="A21" s="1" t="s">
        <v>192</v>
      </c>
      <c r="B21" s="2">
        <v>0.40520833333333334</v>
      </c>
      <c r="C21" s="1" t="s">
        <v>193</v>
      </c>
      <c r="D21" s="1" t="s">
        <v>58</v>
      </c>
      <c r="E21" s="2">
        <f>IF(bieg4[[#This Row],[czas_stop]]="DNF","",bieg4[[#This Row],[czas_stop]]-bieg4[[#This Row],[czas_start]])</f>
        <v>9.1840277777777812E-2</v>
      </c>
    </row>
    <row r="22" spans="1:5" x14ac:dyDescent="0.25">
      <c r="A22" s="1" t="s">
        <v>260</v>
      </c>
      <c r="B22" s="2">
        <v>0.41770833333333335</v>
      </c>
      <c r="C22" s="1" t="s">
        <v>261</v>
      </c>
      <c r="D22" s="1" t="s">
        <v>12</v>
      </c>
      <c r="E22" s="2">
        <f>IF(bieg4[[#This Row],[czas_stop]]="DNF","",bieg4[[#This Row],[czas_stop]]-bieg4[[#This Row],[czas_start]])</f>
        <v>9.2129629629629561E-2</v>
      </c>
    </row>
    <row r="23" spans="1:5" x14ac:dyDescent="0.25">
      <c r="A23" s="1" t="s">
        <v>61</v>
      </c>
      <c r="B23" s="2">
        <v>0.38229166666666664</v>
      </c>
      <c r="C23" s="1" t="s">
        <v>62</v>
      </c>
      <c r="D23" s="1" t="s">
        <v>34</v>
      </c>
      <c r="E23" s="2">
        <f>IF(bieg4[[#This Row],[czas_stop]]="DNF","",bieg4[[#This Row],[czas_stop]]-bieg4[[#This Row],[czas_start]])</f>
        <v>9.2152777777777806E-2</v>
      </c>
    </row>
    <row r="24" spans="1:5" x14ac:dyDescent="0.25">
      <c r="A24" s="1" t="s">
        <v>159</v>
      </c>
      <c r="B24" s="2">
        <v>0.39930555555555558</v>
      </c>
      <c r="C24" s="1" t="s">
        <v>160</v>
      </c>
      <c r="D24" s="1" t="s">
        <v>99</v>
      </c>
      <c r="E24" s="2">
        <f>IF(bieg4[[#This Row],[czas_stop]]="DNF","",bieg4[[#This Row],[czas_stop]]-bieg4[[#This Row],[czas_start]])</f>
        <v>9.2187499999999922E-2</v>
      </c>
    </row>
    <row r="25" spans="1:5" x14ac:dyDescent="0.25">
      <c r="A25" s="1" t="s">
        <v>101</v>
      </c>
      <c r="B25" s="2">
        <v>0.38923611111111112</v>
      </c>
      <c r="C25" s="1" t="s">
        <v>102</v>
      </c>
      <c r="D25" s="1" t="s">
        <v>25</v>
      </c>
      <c r="E25" s="2">
        <f>IF(bieg4[[#This Row],[czas_stop]]="DNF","",bieg4[[#This Row],[czas_stop]]-bieg4[[#This Row],[czas_start]])</f>
        <v>9.2476851851851893E-2</v>
      </c>
    </row>
    <row r="26" spans="1:5" x14ac:dyDescent="0.25">
      <c r="A26" s="1" t="s">
        <v>56</v>
      </c>
      <c r="B26" s="2">
        <v>0.3815972222222222</v>
      </c>
      <c r="C26" s="1" t="s">
        <v>57</v>
      </c>
      <c r="D26" s="1" t="s">
        <v>58</v>
      </c>
      <c r="E26" s="2">
        <f>IF(bieg4[[#This Row],[czas_stop]]="DNF","",bieg4[[#This Row],[czas_stop]]-bieg4[[#This Row],[czas_start]])</f>
        <v>9.288194444444442E-2</v>
      </c>
    </row>
    <row r="27" spans="1:5" x14ac:dyDescent="0.25">
      <c r="A27" s="1" t="s">
        <v>233</v>
      </c>
      <c r="B27" s="2">
        <v>0.4128472222222222</v>
      </c>
      <c r="C27" s="1" t="s">
        <v>234</v>
      </c>
      <c r="D27" s="1" t="s">
        <v>55</v>
      </c>
      <c r="E27" s="2">
        <f>IF(bieg4[[#This Row],[czas_stop]]="DNF","",bieg4[[#This Row],[czas_stop]]-bieg4[[#This Row],[czas_start]])</f>
        <v>9.3263888888888868E-2</v>
      </c>
    </row>
    <row r="28" spans="1:5" x14ac:dyDescent="0.25">
      <c r="A28" s="1" t="s">
        <v>44</v>
      </c>
      <c r="B28" s="2">
        <v>0.38020833333333331</v>
      </c>
      <c r="C28" s="1" t="s">
        <v>45</v>
      </c>
      <c r="D28" s="1" t="s">
        <v>46</v>
      </c>
      <c r="E28" s="2">
        <f>IF(bieg4[[#This Row],[czas_stop]]="DNF","",bieg4[[#This Row],[czas_stop]]-bieg4[[#This Row],[czas_start]])</f>
        <v>9.3333333333333379E-2</v>
      </c>
    </row>
    <row r="29" spans="1:5" x14ac:dyDescent="0.25">
      <c r="A29" s="1" t="s">
        <v>67</v>
      </c>
      <c r="B29" s="2">
        <v>0.38333333333333336</v>
      </c>
      <c r="C29" s="1" t="s">
        <v>68</v>
      </c>
      <c r="D29" s="1" t="s">
        <v>49</v>
      </c>
      <c r="E29" s="2">
        <f>IF(bieg4[[#This Row],[czas_stop]]="DNF","",bieg4[[#This Row],[czas_stop]]-bieg4[[#This Row],[czas_start]])</f>
        <v>9.3414351851851873E-2</v>
      </c>
    </row>
    <row r="30" spans="1:5" x14ac:dyDescent="0.25">
      <c r="A30" s="1" t="s">
        <v>63</v>
      </c>
      <c r="B30" s="2">
        <v>0.38263888888888886</v>
      </c>
      <c r="C30" s="1" t="s">
        <v>64</v>
      </c>
      <c r="D30" s="1" t="s">
        <v>37</v>
      </c>
      <c r="E30" s="2">
        <f>IF(bieg4[[#This Row],[czas_stop]]="DNF","",bieg4[[#This Row],[czas_stop]]-bieg4[[#This Row],[czas_start]])</f>
        <v>9.4004629629629632E-2</v>
      </c>
    </row>
    <row r="31" spans="1:5" x14ac:dyDescent="0.25">
      <c r="A31" s="1" t="s">
        <v>141</v>
      </c>
      <c r="B31" s="2">
        <v>0.39618055555555554</v>
      </c>
      <c r="C31" s="1" t="s">
        <v>142</v>
      </c>
      <c r="D31" s="1" t="s">
        <v>49</v>
      </c>
      <c r="E31" s="2">
        <f>IF(bieg4[[#This Row],[czas_stop]]="DNF","",bieg4[[#This Row],[czas_stop]]-bieg4[[#This Row],[czas_start]])</f>
        <v>9.4062499999999993E-2</v>
      </c>
    </row>
    <row r="32" spans="1:5" x14ac:dyDescent="0.25">
      <c r="A32" s="1" t="s">
        <v>113</v>
      </c>
      <c r="B32" s="2">
        <v>0.39131944444444444</v>
      </c>
      <c r="C32" s="1" t="s">
        <v>114</v>
      </c>
      <c r="D32" s="1" t="s">
        <v>37</v>
      </c>
      <c r="E32" s="2">
        <f>IF(bieg4[[#This Row],[czas_stop]]="DNF","",bieg4[[#This Row],[czas_stop]]-bieg4[[#This Row],[czas_start]])</f>
        <v>9.4074074074074088E-2</v>
      </c>
    </row>
    <row r="33" spans="1:5" x14ac:dyDescent="0.25">
      <c r="A33" s="1" t="s">
        <v>29</v>
      </c>
      <c r="B33" s="2">
        <v>0.37847222222222221</v>
      </c>
      <c r="C33" s="1" t="s">
        <v>30</v>
      </c>
      <c r="D33" s="1" t="s">
        <v>31</v>
      </c>
      <c r="E33" s="2">
        <f>IF(bieg4[[#This Row],[czas_stop]]="DNF","",bieg4[[#This Row],[czas_stop]]-bieg4[[#This Row],[czas_start]])</f>
        <v>9.4618055555555525E-2</v>
      </c>
    </row>
    <row r="34" spans="1:5" x14ac:dyDescent="0.25">
      <c r="A34" s="1" t="s">
        <v>83</v>
      </c>
      <c r="B34" s="2">
        <v>0.38611111111111113</v>
      </c>
      <c r="C34" s="1" t="s">
        <v>84</v>
      </c>
      <c r="D34" s="1" t="s">
        <v>46</v>
      </c>
      <c r="E34" s="2">
        <f>IF(bieg4[[#This Row],[czas_stop]]="DNF","",bieg4[[#This Row],[czas_stop]]-bieg4[[#This Row],[czas_start]])</f>
        <v>9.5300925925925872E-2</v>
      </c>
    </row>
    <row r="35" spans="1:5" x14ac:dyDescent="0.25">
      <c r="A35" s="1" t="s">
        <v>109</v>
      </c>
      <c r="B35" s="2">
        <v>0.390625</v>
      </c>
      <c r="C35" s="1" t="s">
        <v>110</v>
      </c>
      <c r="D35" s="1" t="s">
        <v>58</v>
      </c>
      <c r="E35" s="2">
        <f>IF(bieg4[[#This Row],[czas_stop]]="DNF","",bieg4[[#This Row],[czas_stop]]-bieg4[[#This Row],[czas_start]])</f>
        <v>9.5312499999999967E-2</v>
      </c>
    </row>
    <row r="36" spans="1:5" x14ac:dyDescent="0.25">
      <c r="A36" s="1" t="s">
        <v>171</v>
      </c>
      <c r="B36" s="2">
        <v>0.40138888888888891</v>
      </c>
      <c r="C36" s="1" t="s">
        <v>172</v>
      </c>
      <c r="D36" s="1" t="s">
        <v>58</v>
      </c>
      <c r="E36" s="2">
        <f>IF(bieg4[[#This Row],[czas_stop]]="DNF","",bieg4[[#This Row],[czas_stop]]-bieg4[[#This Row],[czas_start]])</f>
        <v>9.562499999999996E-2</v>
      </c>
    </row>
    <row r="37" spans="1:5" x14ac:dyDescent="0.25">
      <c r="A37" s="1" t="s">
        <v>50</v>
      </c>
      <c r="B37" s="2">
        <v>0.38090277777777776</v>
      </c>
      <c r="C37" s="1" t="s">
        <v>51</v>
      </c>
      <c r="D37" s="1" t="s">
        <v>52</v>
      </c>
      <c r="E37" s="2">
        <f>IF(bieg4[[#This Row],[czas_stop]]="DNF","",bieg4[[#This Row],[czas_stop]]-bieg4[[#This Row],[czas_start]])</f>
        <v>9.5787037037037059E-2</v>
      </c>
    </row>
    <row r="38" spans="1:5" x14ac:dyDescent="0.25">
      <c r="A38" s="1" t="s">
        <v>197</v>
      </c>
      <c r="B38" s="2">
        <v>0.40625</v>
      </c>
      <c r="C38" s="1" t="s">
        <v>198</v>
      </c>
      <c r="D38" s="1" t="s">
        <v>3</v>
      </c>
      <c r="E38" s="2">
        <f>IF(bieg4[[#This Row],[czas_stop]]="DNF","",bieg4[[#This Row],[czas_stop]]-bieg4[[#This Row],[czas_start]])</f>
        <v>9.5949074074074048E-2</v>
      </c>
    </row>
    <row r="39" spans="1:5" x14ac:dyDescent="0.25">
      <c r="A39" s="1" t="s">
        <v>251</v>
      </c>
      <c r="B39" s="2">
        <v>0.41597222222222224</v>
      </c>
      <c r="C39" s="1" t="s">
        <v>252</v>
      </c>
      <c r="D39" s="1" t="s">
        <v>49</v>
      </c>
      <c r="E39" s="2">
        <f>IF(bieg4[[#This Row],[czas_stop]]="DNF","",bieg4[[#This Row],[czas_stop]]-bieg4[[#This Row],[czas_start]])</f>
        <v>9.6087962962963014E-2</v>
      </c>
    </row>
    <row r="40" spans="1:5" x14ac:dyDescent="0.25">
      <c r="A40" s="1" t="s">
        <v>167</v>
      </c>
      <c r="B40" s="2">
        <v>0.40069444444444446</v>
      </c>
      <c r="C40" s="1" t="s">
        <v>168</v>
      </c>
      <c r="D40" s="1" t="s">
        <v>40</v>
      </c>
      <c r="E40" s="2">
        <f>IF(bieg4[[#This Row],[czas_stop]]="DNF","",bieg4[[#This Row],[czas_stop]]-bieg4[[#This Row],[czas_start]])</f>
        <v>9.628472222222223E-2</v>
      </c>
    </row>
    <row r="41" spans="1:5" x14ac:dyDescent="0.25">
      <c r="A41" s="1" t="s">
        <v>237</v>
      </c>
      <c r="B41" s="2">
        <v>0.41354166666666664</v>
      </c>
      <c r="C41" s="1" t="s">
        <v>238</v>
      </c>
      <c r="D41" s="1" t="s">
        <v>12</v>
      </c>
      <c r="E41" s="2">
        <f>IF(bieg4[[#This Row],[czas_stop]]="DNF","",bieg4[[#This Row],[czas_stop]]-bieg4[[#This Row],[czas_start]])</f>
        <v>9.686342592592595E-2</v>
      </c>
    </row>
    <row r="42" spans="1:5" x14ac:dyDescent="0.25">
      <c r="A42" s="1" t="s">
        <v>247</v>
      </c>
      <c r="B42" s="2">
        <v>0.4152777777777778</v>
      </c>
      <c r="C42" s="1" t="s">
        <v>248</v>
      </c>
      <c r="D42" s="1" t="s">
        <v>12</v>
      </c>
      <c r="E42" s="2">
        <f>IF(bieg4[[#This Row],[czas_stop]]="DNF","",bieg4[[#This Row],[czas_stop]]-bieg4[[#This Row],[czas_start]])</f>
        <v>9.8252314814814834E-2</v>
      </c>
    </row>
    <row r="43" spans="1:5" x14ac:dyDescent="0.25">
      <c r="A43" s="1" t="s">
        <v>135</v>
      </c>
      <c r="B43" s="2">
        <v>0.39513888888888887</v>
      </c>
      <c r="C43" s="1" t="s">
        <v>136</v>
      </c>
      <c r="D43" s="1" t="s">
        <v>3</v>
      </c>
      <c r="E43" s="2">
        <f>IF(bieg4[[#This Row],[czas_stop]]="DNF","",bieg4[[#This Row],[czas_stop]]-bieg4[[#This Row],[czas_start]])</f>
        <v>9.8402777777777839E-2</v>
      </c>
    </row>
    <row r="44" spans="1:5" x14ac:dyDescent="0.25">
      <c r="A44" s="1" t="s">
        <v>32</v>
      </c>
      <c r="B44" s="2">
        <v>0.37881944444444443</v>
      </c>
      <c r="C44" s="1" t="s">
        <v>33</v>
      </c>
      <c r="D44" s="1" t="s">
        <v>34</v>
      </c>
      <c r="E44" s="2">
        <f>IF(bieg4[[#This Row],[czas_stop]]="DNF","",bieg4[[#This Row],[czas_stop]]-bieg4[[#This Row],[czas_start]])</f>
        <v>9.8495370370370372E-2</v>
      </c>
    </row>
    <row r="45" spans="1:5" x14ac:dyDescent="0.25">
      <c r="A45" s="1" t="s">
        <v>209</v>
      </c>
      <c r="B45" s="2">
        <v>0.40833333333333333</v>
      </c>
      <c r="C45" s="1" t="s">
        <v>210</v>
      </c>
      <c r="D45" s="1" t="s">
        <v>28</v>
      </c>
      <c r="E45" s="2">
        <f>IF(bieg4[[#This Row],[czas_stop]]="DNF","",bieg4[[#This Row],[czas_stop]]-bieg4[[#This Row],[czas_start]])</f>
        <v>9.8576388888888866E-2</v>
      </c>
    </row>
    <row r="46" spans="1:5" x14ac:dyDescent="0.25">
      <c r="A46" s="1" t="s">
        <v>95</v>
      </c>
      <c r="B46" s="2">
        <v>0.38819444444444445</v>
      </c>
      <c r="C46" s="1" t="s">
        <v>96</v>
      </c>
      <c r="D46" s="1" t="s">
        <v>12</v>
      </c>
      <c r="E46" s="2">
        <f>IF(bieg4[[#This Row],[czas_stop]]="DNF","",bieg4[[#This Row],[czas_stop]]-bieg4[[#This Row],[czas_start]])</f>
        <v>9.8668981481481455E-2</v>
      </c>
    </row>
    <row r="47" spans="1:5" x14ac:dyDescent="0.25">
      <c r="A47" s="1" t="s">
        <v>125</v>
      </c>
      <c r="B47" s="2">
        <v>0.39340277777777777</v>
      </c>
      <c r="C47" s="1" t="s">
        <v>126</v>
      </c>
      <c r="D47" s="1" t="s">
        <v>58</v>
      </c>
      <c r="E47" s="2">
        <f>IF(bieg4[[#This Row],[czas_stop]]="DNF","",bieg4[[#This Row],[czas_stop]]-bieg4[[#This Row],[czas_start]])</f>
        <v>9.989583333333335E-2</v>
      </c>
    </row>
    <row r="48" spans="1:5" x14ac:dyDescent="0.25">
      <c r="A48" s="1" t="s">
        <v>103</v>
      </c>
      <c r="B48" s="2">
        <v>0.38958333333333334</v>
      </c>
      <c r="C48" s="1" t="s">
        <v>104</v>
      </c>
      <c r="D48" s="1" t="s">
        <v>9</v>
      </c>
      <c r="E48" s="2">
        <f>IF(bieg4[[#This Row],[czas_stop]]="DNF","",bieg4[[#This Row],[czas_stop]]-bieg4[[#This Row],[czas_start]])</f>
        <v>0.10010416666666666</v>
      </c>
    </row>
    <row r="49" spans="1:5" x14ac:dyDescent="0.25">
      <c r="A49" s="1" t="s">
        <v>145</v>
      </c>
      <c r="B49" s="2">
        <v>0.39687499999999998</v>
      </c>
      <c r="C49" s="1" t="s">
        <v>146</v>
      </c>
      <c r="D49" s="1" t="s">
        <v>6</v>
      </c>
      <c r="E49" s="2">
        <f>IF(bieg4[[#This Row],[czas_stop]]="DNF","",bieg4[[#This Row],[czas_stop]]-bieg4[[#This Row],[czas_start]])</f>
        <v>0.10046296296296303</v>
      </c>
    </row>
    <row r="50" spans="1:5" x14ac:dyDescent="0.25">
      <c r="A50" s="1" t="s">
        <v>222</v>
      </c>
      <c r="B50" s="2">
        <v>0.41076388888888887</v>
      </c>
      <c r="C50" s="1" t="s">
        <v>223</v>
      </c>
      <c r="D50" s="1" t="s">
        <v>31</v>
      </c>
      <c r="E50" s="2">
        <f>IF(bieg4[[#This Row],[czas_stop]]="DNF","",bieg4[[#This Row],[czas_stop]]-bieg4[[#This Row],[czas_start]])</f>
        <v>0.10049768518518526</v>
      </c>
    </row>
    <row r="51" spans="1:5" x14ac:dyDescent="0.25">
      <c r="A51" s="1" t="s">
        <v>105</v>
      </c>
      <c r="B51" s="2">
        <v>0.38993055555555556</v>
      </c>
      <c r="C51" s="1" t="s">
        <v>106</v>
      </c>
      <c r="D51" s="1" t="s">
        <v>46</v>
      </c>
      <c r="E51" s="2">
        <f>IF(bieg4[[#This Row],[czas_stop]]="DNF","",bieg4[[#This Row],[czas_stop]]-bieg4[[#This Row],[czas_start]])</f>
        <v>0.101099537037037</v>
      </c>
    </row>
    <row r="52" spans="1:5" x14ac:dyDescent="0.25">
      <c r="A52" s="1" t="s">
        <v>59</v>
      </c>
      <c r="B52" s="2">
        <v>0.38194444444444442</v>
      </c>
      <c r="C52" s="1" t="s">
        <v>60</v>
      </c>
      <c r="D52" s="1" t="s">
        <v>31</v>
      </c>
      <c r="E52" s="2">
        <f>IF(bieg4[[#This Row],[czas_stop]]="DNF","",bieg4[[#This Row],[czas_stop]]-bieg4[[#This Row],[czas_start]])</f>
        <v>0.10143518518518518</v>
      </c>
    </row>
    <row r="53" spans="1:5" x14ac:dyDescent="0.25">
      <c r="A53" s="1" t="s">
        <v>253</v>
      </c>
      <c r="B53" s="2">
        <v>0.41631944444444446</v>
      </c>
      <c r="C53" s="1" t="s">
        <v>254</v>
      </c>
      <c r="D53" s="1" t="s">
        <v>12</v>
      </c>
      <c r="E53" s="2">
        <f>IF(bieg4[[#This Row],[czas_stop]]="DNF","",bieg4[[#This Row],[czas_stop]]-bieg4[[#This Row],[czas_start]])</f>
        <v>0.10158564814814819</v>
      </c>
    </row>
    <row r="54" spans="1:5" x14ac:dyDescent="0.25">
      <c r="A54" s="1" t="s">
        <v>77</v>
      </c>
      <c r="B54" s="2">
        <v>0.38506944444444446</v>
      </c>
      <c r="C54" s="1" t="s">
        <v>78</v>
      </c>
      <c r="D54" s="1" t="s">
        <v>31</v>
      </c>
      <c r="E54" s="2">
        <f>IF(bieg4[[#This Row],[czas_stop]]="DNF","",bieg4[[#This Row],[czas_stop]]-bieg4[[#This Row],[czas_start]])</f>
        <v>0.10163194444444446</v>
      </c>
    </row>
    <row r="55" spans="1:5" x14ac:dyDescent="0.25">
      <c r="A55" s="1" t="s">
        <v>262</v>
      </c>
      <c r="B55" s="2">
        <v>0.41805555555555557</v>
      </c>
      <c r="C55" s="1" t="s">
        <v>263</v>
      </c>
      <c r="D55" s="1" t="s">
        <v>49</v>
      </c>
      <c r="E55" s="2">
        <f>IF(bieg4[[#This Row],[czas_stop]]="DNF","",bieg4[[#This Row],[czas_stop]]-bieg4[[#This Row],[czas_start]])</f>
        <v>0.10182870370370373</v>
      </c>
    </row>
    <row r="56" spans="1:5" x14ac:dyDescent="0.25">
      <c r="A56" s="1" t="s">
        <v>165</v>
      </c>
      <c r="B56" s="2">
        <v>0.40034722222222224</v>
      </c>
      <c r="C56" s="1" t="s">
        <v>166</v>
      </c>
      <c r="D56" s="1" t="s">
        <v>37</v>
      </c>
      <c r="E56" s="2">
        <f>IF(bieg4[[#This Row],[czas_stop]]="DNF","",bieg4[[#This Row],[czas_stop]]-bieg4[[#This Row],[czas_start]])</f>
        <v>0.10243055555555552</v>
      </c>
    </row>
    <row r="57" spans="1:5" x14ac:dyDescent="0.25">
      <c r="A57" s="1" t="s">
        <v>41</v>
      </c>
      <c r="B57" s="2">
        <v>0.37986111111111109</v>
      </c>
      <c r="C57" s="1" t="s">
        <v>42</v>
      </c>
      <c r="D57" s="1" t="s">
        <v>43</v>
      </c>
      <c r="E57" s="2">
        <f>IF(bieg4[[#This Row],[czas_stop]]="DNF","",bieg4[[#This Row],[czas_stop]]-bieg4[[#This Row],[czas_start]])</f>
        <v>0.1028587962962963</v>
      </c>
    </row>
    <row r="58" spans="1:5" x14ac:dyDescent="0.25">
      <c r="A58" s="1" t="s">
        <v>121</v>
      </c>
      <c r="B58" s="2">
        <v>0.39270833333333333</v>
      </c>
      <c r="C58" s="1" t="s">
        <v>122</v>
      </c>
      <c r="D58" s="1" t="s">
        <v>19</v>
      </c>
      <c r="E58" s="2">
        <f>IF(bieg4[[#This Row],[czas_stop]]="DNF","",bieg4[[#This Row],[czas_stop]]-bieg4[[#This Row],[czas_start]])</f>
        <v>0.1032407407407408</v>
      </c>
    </row>
    <row r="59" spans="1:5" x14ac:dyDescent="0.25">
      <c r="A59" s="1" t="s">
        <v>243</v>
      </c>
      <c r="B59" s="2">
        <v>0.41458333333333336</v>
      </c>
      <c r="C59" s="1" t="s">
        <v>244</v>
      </c>
      <c r="D59" s="1" t="s">
        <v>12</v>
      </c>
      <c r="E59" s="2">
        <f>IF(bieg4[[#This Row],[czas_stop]]="DNF","",bieg4[[#This Row],[czas_stop]]-bieg4[[#This Row],[czas_start]])</f>
        <v>0.10371527777777773</v>
      </c>
    </row>
    <row r="60" spans="1:5" x14ac:dyDescent="0.25">
      <c r="A60" s="1" t="s">
        <v>182</v>
      </c>
      <c r="B60" s="2">
        <v>0.40347222222222223</v>
      </c>
      <c r="C60" s="1" t="s">
        <v>183</v>
      </c>
      <c r="D60" s="1" t="s">
        <v>31</v>
      </c>
      <c r="E60" s="2">
        <f>IF(bieg4[[#This Row],[czas_stop]]="DNF","",bieg4[[#This Row],[czas_stop]]-bieg4[[#This Row],[czas_start]])</f>
        <v>0.10408564814814814</v>
      </c>
    </row>
    <row r="61" spans="1:5" x14ac:dyDescent="0.25">
      <c r="A61" s="1" t="s">
        <v>111</v>
      </c>
      <c r="B61" s="2">
        <v>0.39097222222222222</v>
      </c>
      <c r="C61" s="1" t="s">
        <v>112</v>
      </c>
      <c r="D61" s="1" t="s">
        <v>34</v>
      </c>
      <c r="E61" s="2">
        <f>IF(bieg4[[#This Row],[czas_stop]]="DNF","",bieg4[[#This Row],[czas_stop]]-bieg4[[#This Row],[czas_start]])</f>
        <v>0.10410879629629632</v>
      </c>
    </row>
    <row r="62" spans="1:5" x14ac:dyDescent="0.25">
      <c r="A62" s="1" t="s">
        <v>1</v>
      </c>
      <c r="B62" s="2">
        <v>0.375</v>
      </c>
      <c r="C62" s="1" t="s">
        <v>2</v>
      </c>
      <c r="D62" s="1" t="s">
        <v>3</v>
      </c>
      <c r="E62" s="2">
        <f>IF(bieg4[[#This Row],[czas_stop]]="DNF","",bieg4[[#This Row],[czas_stop]]-bieg4[[#This Row],[czas_start]])</f>
        <v>0.10420138888888886</v>
      </c>
    </row>
    <row r="63" spans="1:5" x14ac:dyDescent="0.25">
      <c r="A63" s="1" t="s">
        <v>231</v>
      </c>
      <c r="B63" s="2">
        <v>0.41249999999999998</v>
      </c>
      <c r="C63" s="1" t="s">
        <v>232</v>
      </c>
      <c r="D63" s="1" t="s">
        <v>31</v>
      </c>
      <c r="E63" s="2">
        <f>IF(bieg4[[#This Row],[czas_stop]]="DNF","",bieg4[[#This Row],[czas_stop]]-bieg4[[#This Row],[czas_start]])</f>
        <v>0.10443287037037041</v>
      </c>
    </row>
    <row r="64" spans="1:5" x14ac:dyDescent="0.25">
      <c r="A64" s="1" t="s">
        <v>147</v>
      </c>
      <c r="B64" s="2">
        <v>0.3972222222222222</v>
      </c>
      <c r="C64" s="1" t="s">
        <v>148</v>
      </c>
      <c r="D64" s="1" t="s">
        <v>99</v>
      </c>
      <c r="E64" s="2">
        <f>IF(bieg4[[#This Row],[czas_stop]]="DNF","",bieg4[[#This Row],[czas_stop]]-bieg4[[#This Row],[czas_start]])</f>
        <v>0.10545138888888889</v>
      </c>
    </row>
    <row r="65" spans="1:5" x14ac:dyDescent="0.25">
      <c r="A65" s="1" t="s">
        <v>178</v>
      </c>
      <c r="B65" s="2">
        <v>0.40277777777777779</v>
      </c>
      <c r="C65" s="1" t="s">
        <v>179</v>
      </c>
      <c r="D65" s="1" t="s">
        <v>43</v>
      </c>
      <c r="E65" s="2">
        <f>IF(bieg4[[#This Row],[czas_stop]]="DNF","",bieg4[[#This Row],[czas_stop]]-bieg4[[#This Row],[czas_start]])</f>
        <v>0.10644675925925928</v>
      </c>
    </row>
    <row r="66" spans="1:5" x14ac:dyDescent="0.25">
      <c r="A66" s="1" t="s">
        <v>169</v>
      </c>
      <c r="B66" s="2">
        <v>0.40104166666666669</v>
      </c>
      <c r="C66" s="1" t="s">
        <v>170</v>
      </c>
      <c r="D66" s="1" t="s">
        <v>52</v>
      </c>
      <c r="E66" s="2">
        <f>IF(bieg4[[#This Row],[czas_stop]]="DNF","",bieg4[[#This Row],[czas_stop]]-bieg4[[#This Row],[czas_start]])</f>
        <v>0.10662037037037037</v>
      </c>
    </row>
    <row r="67" spans="1:5" x14ac:dyDescent="0.25">
      <c r="A67" s="1" t="s">
        <v>239</v>
      </c>
      <c r="B67" s="2">
        <v>0.41388888888888886</v>
      </c>
      <c r="C67" s="1" t="s">
        <v>240</v>
      </c>
      <c r="D67" s="1" t="s">
        <v>31</v>
      </c>
      <c r="E67" s="2">
        <f>IF(bieg4[[#This Row],[czas_stop]]="DNF","",bieg4[[#This Row],[czas_stop]]-bieg4[[#This Row],[czas_start]])</f>
        <v>0.10711805555555554</v>
      </c>
    </row>
    <row r="68" spans="1:5" x14ac:dyDescent="0.25">
      <c r="A68" s="1" t="s">
        <v>17</v>
      </c>
      <c r="B68" s="2">
        <v>0.37708333333333333</v>
      </c>
      <c r="C68" s="1" t="s">
        <v>18</v>
      </c>
      <c r="D68" s="1" t="s">
        <v>19</v>
      </c>
      <c r="E68" s="2">
        <f>IF(bieg4[[#This Row],[czas_stop]]="DNF","",bieg4[[#This Row],[czas_stop]]-bieg4[[#This Row],[czas_start]])</f>
        <v>0.10712962962962963</v>
      </c>
    </row>
    <row r="69" spans="1:5" x14ac:dyDescent="0.25">
      <c r="A69" s="1" t="s">
        <v>264</v>
      </c>
      <c r="B69" s="2">
        <v>0.41840277777777779</v>
      </c>
      <c r="C69" s="1" t="s">
        <v>265</v>
      </c>
      <c r="D69" s="1" t="s">
        <v>31</v>
      </c>
      <c r="E69" s="2">
        <f>IF(bieg4[[#This Row],[czas_stop]]="DNF","",bieg4[[#This Row],[czas_stop]]-bieg4[[#This Row],[czas_start]])</f>
        <v>0.10754629629629631</v>
      </c>
    </row>
    <row r="70" spans="1:5" x14ac:dyDescent="0.25">
      <c r="A70" s="1" t="s">
        <v>97</v>
      </c>
      <c r="B70" s="2">
        <v>0.38854166666666667</v>
      </c>
      <c r="C70" s="1" t="s">
        <v>98</v>
      </c>
      <c r="D70" s="1" t="s">
        <v>99</v>
      </c>
      <c r="E70" s="2">
        <f>IF(bieg4[[#This Row],[czas_stop]]="DNF","",bieg4[[#This Row],[czas_stop]]-bieg4[[#This Row],[czas_start]])</f>
        <v>0.10758101851851853</v>
      </c>
    </row>
    <row r="71" spans="1:5" x14ac:dyDescent="0.25">
      <c r="A71" s="1" t="s">
        <v>129</v>
      </c>
      <c r="B71" s="2">
        <v>0.39409722222222221</v>
      </c>
      <c r="C71" s="1" t="s">
        <v>130</v>
      </c>
      <c r="D71" s="1" t="s">
        <v>37</v>
      </c>
      <c r="E71" s="2">
        <f>IF(bieg4[[#This Row],[czas_stop]]="DNF","",bieg4[[#This Row],[czas_stop]]-bieg4[[#This Row],[czas_start]])</f>
        <v>0.10775462962962967</v>
      </c>
    </row>
    <row r="72" spans="1:5" x14ac:dyDescent="0.25">
      <c r="A72" s="1" t="s">
        <v>203</v>
      </c>
      <c r="B72" s="2">
        <v>0.40729166666666666</v>
      </c>
      <c r="C72" s="1" t="s">
        <v>204</v>
      </c>
      <c r="D72" s="1" t="s">
        <v>40</v>
      </c>
      <c r="E72" s="2">
        <f>IF(bieg4[[#This Row],[czas_stop]]="DNF","",bieg4[[#This Row],[czas_stop]]-bieg4[[#This Row],[czas_start]])</f>
        <v>0.10790509259259257</v>
      </c>
    </row>
    <row r="73" spans="1:5" x14ac:dyDescent="0.25">
      <c r="A73" s="1" t="s">
        <v>75</v>
      </c>
      <c r="B73" s="2">
        <v>0.38472222222222224</v>
      </c>
      <c r="C73" s="1" t="s">
        <v>76</v>
      </c>
      <c r="D73" s="1" t="s">
        <v>52</v>
      </c>
      <c r="E73" s="2">
        <f>IF(bieg4[[#This Row],[czas_stop]]="DNF","",bieg4[[#This Row],[czas_stop]]-bieg4[[#This Row],[czas_start]])</f>
        <v>0.10800925925925919</v>
      </c>
    </row>
    <row r="74" spans="1:5" x14ac:dyDescent="0.25">
      <c r="A74" s="1" t="s">
        <v>211</v>
      </c>
      <c r="B74" s="2">
        <v>0.40868055555555555</v>
      </c>
      <c r="C74" s="1" t="s">
        <v>212</v>
      </c>
      <c r="D74" s="1" t="s">
        <v>99</v>
      </c>
      <c r="E74" s="2">
        <f>IF(bieg4[[#This Row],[czas_stop]]="DNF","",bieg4[[#This Row],[czas_stop]]-bieg4[[#This Row],[czas_start]])</f>
        <v>0.10818287037037039</v>
      </c>
    </row>
    <row r="75" spans="1:5" x14ac:dyDescent="0.25">
      <c r="A75" s="1" t="s">
        <v>229</v>
      </c>
      <c r="B75" s="2">
        <v>0.41215277777777776</v>
      </c>
      <c r="C75" s="1" t="s">
        <v>230</v>
      </c>
      <c r="D75" s="1" t="s">
        <v>99</v>
      </c>
      <c r="E75" s="2">
        <f>IF(bieg4[[#This Row],[czas_stop]]="DNF","",bieg4[[#This Row],[czas_stop]]-bieg4[[#This Row],[czas_start]])</f>
        <v>0.10864583333333339</v>
      </c>
    </row>
    <row r="76" spans="1:5" x14ac:dyDescent="0.25">
      <c r="A76" s="1" t="s">
        <v>93</v>
      </c>
      <c r="B76" s="2">
        <v>0.38784722222222223</v>
      </c>
      <c r="C76" s="1" t="s">
        <v>94</v>
      </c>
      <c r="D76" s="1" t="s">
        <v>19</v>
      </c>
      <c r="E76" s="2">
        <f>IF(bieg4[[#This Row],[czas_stop]]="DNF","",bieg4[[#This Row],[czas_stop]]-bieg4[[#This Row],[czas_start]])</f>
        <v>0.10978009259259264</v>
      </c>
    </row>
    <row r="77" spans="1:5" x14ac:dyDescent="0.25">
      <c r="A77" s="1" t="s">
        <v>35</v>
      </c>
      <c r="B77" s="2">
        <v>0.37916666666666665</v>
      </c>
      <c r="C77" s="1" t="s">
        <v>36</v>
      </c>
      <c r="D77" s="1" t="s">
        <v>37</v>
      </c>
      <c r="E77" s="2">
        <f>IF(bieg4[[#This Row],[czas_stop]]="DNF","",bieg4[[#This Row],[czas_stop]]-bieg4[[#This Row],[czas_start]])</f>
        <v>0.1105902777777778</v>
      </c>
    </row>
    <row r="78" spans="1:5" x14ac:dyDescent="0.25">
      <c r="A78" s="1" t="s">
        <v>175</v>
      </c>
      <c r="B78" s="2">
        <v>0.40208333333333335</v>
      </c>
      <c r="C78" s="1" t="s">
        <v>176</v>
      </c>
      <c r="D78" s="1" t="s">
        <v>6</v>
      </c>
      <c r="E78" s="2">
        <f>IF(bieg4[[#This Row],[czas_stop]]="DNF","",bieg4[[#This Row],[czas_stop]]-bieg4[[#This Row],[czas_start]])</f>
        <v>0.11063657407407412</v>
      </c>
    </row>
    <row r="79" spans="1:5" x14ac:dyDescent="0.25">
      <c r="A79" s="1" t="s">
        <v>38</v>
      </c>
      <c r="B79" s="2">
        <v>0.37951388888888887</v>
      </c>
      <c r="C79" s="1" t="s">
        <v>39</v>
      </c>
      <c r="D79" s="1" t="s">
        <v>40</v>
      </c>
      <c r="E79" s="2">
        <f>IF(bieg4[[#This Row],[czas_stop]]="DNF","",bieg4[[#This Row],[czas_stop]]-bieg4[[#This Row],[czas_start]])</f>
        <v>0.11067129629629635</v>
      </c>
    </row>
    <row r="80" spans="1:5" x14ac:dyDescent="0.25">
      <c r="A80" s="1" t="s">
        <v>241</v>
      </c>
      <c r="B80" s="2">
        <v>0.41423611111111114</v>
      </c>
      <c r="C80" s="1" t="s">
        <v>242</v>
      </c>
      <c r="D80" s="1" t="s">
        <v>99</v>
      </c>
      <c r="E80" s="2">
        <f>IF(bieg4[[#This Row],[czas_stop]]="DNF","",bieg4[[#This Row],[czas_stop]]-bieg4[[#This Row],[czas_start]])</f>
        <v>0.11141203703703706</v>
      </c>
    </row>
    <row r="81" spans="1:5" x14ac:dyDescent="0.25">
      <c r="A81" s="1" t="s">
        <v>4</v>
      </c>
      <c r="B81" s="2">
        <v>0.37534722222222222</v>
      </c>
      <c r="C81" s="1" t="s">
        <v>5</v>
      </c>
      <c r="D81" s="1" t="s">
        <v>6</v>
      </c>
      <c r="E81" s="2">
        <f>IF(bieg4[[#This Row],[czas_stop]]="DNF","",bieg4[[#This Row],[czas_stop]]-bieg4[[#This Row],[czas_start]])</f>
        <v>0.11201388888888891</v>
      </c>
    </row>
    <row r="82" spans="1:5" x14ac:dyDescent="0.25">
      <c r="A82" s="1" t="s">
        <v>186</v>
      </c>
      <c r="B82" s="2">
        <v>0.40416666666666667</v>
      </c>
      <c r="C82" s="1" t="s">
        <v>187</v>
      </c>
      <c r="D82" s="1" t="s">
        <v>55</v>
      </c>
      <c r="E82" s="2">
        <f>IF(bieg4[[#This Row],[czas_stop]]="DNF","",bieg4[[#This Row],[czas_stop]]-bieg4[[#This Row],[czas_start]])</f>
        <v>0.11215277777777777</v>
      </c>
    </row>
    <row r="83" spans="1:5" x14ac:dyDescent="0.25">
      <c r="A83" s="1" t="s">
        <v>133</v>
      </c>
      <c r="B83" s="2">
        <v>0.39479166666666665</v>
      </c>
      <c r="C83" s="1" t="s">
        <v>134</v>
      </c>
      <c r="D83" s="1" t="s">
        <v>43</v>
      </c>
      <c r="E83" s="2">
        <f>IF(bieg4[[#This Row],[czas_stop]]="DNF","",bieg4[[#This Row],[czas_stop]]-bieg4[[#This Row],[czas_start]])</f>
        <v>0.11230324074074083</v>
      </c>
    </row>
    <row r="84" spans="1:5" x14ac:dyDescent="0.25">
      <c r="A84" s="1" t="s">
        <v>226</v>
      </c>
      <c r="B84" s="2">
        <v>0.41145833333333331</v>
      </c>
      <c r="C84" s="1" t="s">
        <v>227</v>
      </c>
      <c r="D84" s="1" t="s">
        <v>22</v>
      </c>
      <c r="E84" s="2">
        <f>IF(bieg4[[#This Row],[czas_stop]]="DNF","",bieg4[[#This Row],[czas_stop]]-bieg4[[#This Row],[czas_start]])</f>
        <v>0.11243055555555564</v>
      </c>
    </row>
    <row r="85" spans="1:5" x14ac:dyDescent="0.25">
      <c r="A85" s="1" t="s">
        <v>20</v>
      </c>
      <c r="B85" s="2">
        <v>0.37743055555555555</v>
      </c>
      <c r="C85" s="1" t="s">
        <v>21</v>
      </c>
      <c r="D85" s="1" t="s">
        <v>22</v>
      </c>
      <c r="E85" s="2">
        <f>IF(bieg4[[#This Row],[czas_stop]]="DNF","",bieg4[[#This Row],[czas_stop]]-bieg4[[#This Row],[czas_start]])</f>
        <v>0.11247685185185186</v>
      </c>
    </row>
    <row r="86" spans="1:5" x14ac:dyDescent="0.25">
      <c r="A86" s="1" t="s">
        <v>255</v>
      </c>
      <c r="B86" s="2">
        <v>0.41666666666666669</v>
      </c>
      <c r="C86" s="1" t="s">
        <v>256</v>
      </c>
      <c r="D86" s="1" t="s">
        <v>43</v>
      </c>
      <c r="E86" s="2">
        <f>IF(bieg4[[#This Row],[czas_stop]]="DNF","",bieg4[[#This Row],[czas_stop]]-bieg4[[#This Row],[czas_start]])</f>
        <v>0.11271990740740739</v>
      </c>
    </row>
    <row r="87" spans="1:5" x14ac:dyDescent="0.25">
      <c r="A87" s="1" t="s">
        <v>65</v>
      </c>
      <c r="B87" s="2">
        <v>0.38298611111111114</v>
      </c>
      <c r="C87" s="1" t="s">
        <v>66</v>
      </c>
      <c r="D87" s="1" t="s">
        <v>40</v>
      </c>
      <c r="E87" s="2">
        <f>IF(bieg4[[#This Row],[czas_stop]]="DNF","",bieg4[[#This Row],[czas_stop]]-bieg4[[#This Row],[czas_start]])</f>
        <v>0.11284722222222221</v>
      </c>
    </row>
    <row r="88" spans="1:5" x14ac:dyDescent="0.25">
      <c r="A88" s="1" t="s">
        <v>157</v>
      </c>
      <c r="B88" s="2">
        <v>0.39895833333333336</v>
      </c>
      <c r="C88" s="1" t="s">
        <v>158</v>
      </c>
      <c r="D88" s="1" t="s">
        <v>37</v>
      </c>
      <c r="E88" s="2">
        <f>IF(bieg4[[#This Row],[czas_stop]]="DNF","",bieg4[[#This Row],[czas_stop]]-bieg4[[#This Row],[czas_start]])</f>
        <v>0.11313657407407401</v>
      </c>
    </row>
    <row r="89" spans="1:5" x14ac:dyDescent="0.25">
      <c r="A89" s="1" t="s">
        <v>119</v>
      </c>
      <c r="B89" s="2">
        <v>0.3923611111111111</v>
      </c>
      <c r="C89" s="1" t="s">
        <v>120</v>
      </c>
      <c r="D89" s="1" t="s">
        <v>46</v>
      </c>
      <c r="E89" s="2">
        <f>IF(bieg4[[#This Row],[czas_stop]]="DNF","",bieg4[[#This Row],[czas_stop]]-bieg4[[#This Row],[czas_start]])</f>
        <v>0.11379629629629634</v>
      </c>
    </row>
    <row r="90" spans="1:5" x14ac:dyDescent="0.25">
      <c r="A90" s="1" t="s">
        <v>71</v>
      </c>
      <c r="B90" s="2">
        <v>0.3840277777777778</v>
      </c>
      <c r="C90" s="1" t="s">
        <v>72</v>
      </c>
      <c r="D90" s="1" t="s">
        <v>3</v>
      </c>
      <c r="E90" s="2">
        <f>IF(bieg4[[#This Row],[czas_stop]]="DNF","",bieg4[[#This Row],[czas_stop]]-bieg4[[#This Row],[czas_start]])</f>
        <v>0.11415509259259254</v>
      </c>
    </row>
    <row r="91" spans="1:5" x14ac:dyDescent="0.25">
      <c r="A91" s="1" t="s">
        <v>85</v>
      </c>
      <c r="B91" s="2">
        <v>0.38645833333333335</v>
      </c>
      <c r="C91" s="1" t="s">
        <v>86</v>
      </c>
      <c r="D91" s="1" t="s">
        <v>28</v>
      </c>
      <c r="E91" s="2">
        <f>IF(bieg4[[#This Row],[czas_stop]]="DNF","",bieg4[[#This Row],[czas_stop]]-bieg4[[#This Row],[czas_start]])</f>
        <v>0.11444444444444446</v>
      </c>
    </row>
    <row r="92" spans="1:5" x14ac:dyDescent="0.25">
      <c r="A92" s="1" t="s">
        <v>10</v>
      </c>
      <c r="B92" s="2">
        <v>0.37604166666666666</v>
      </c>
      <c r="C92" s="1" t="s">
        <v>11</v>
      </c>
      <c r="D92" s="1" t="s">
        <v>12</v>
      </c>
      <c r="E92" s="2">
        <f>IF(bieg4[[#This Row],[czas_stop]]="DNF","",bieg4[[#This Row],[czas_stop]]-bieg4[[#This Row],[czas_start]])</f>
        <v>0.11454861111111109</v>
      </c>
    </row>
    <row r="93" spans="1:5" x14ac:dyDescent="0.25">
      <c r="A93" s="1" t="s">
        <v>258</v>
      </c>
      <c r="B93" s="2">
        <v>0.41736111111111113</v>
      </c>
      <c r="C93" s="1" t="s">
        <v>259</v>
      </c>
      <c r="D93" s="1" t="s">
        <v>3</v>
      </c>
      <c r="E93" s="2">
        <f>IF(bieg4[[#This Row],[czas_stop]]="DNF","",bieg4[[#This Row],[czas_stop]]-bieg4[[#This Row],[czas_start]])</f>
        <v>0.11456018518518524</v>
      </c>
    </row>
    <row r="94" spans="1:5" x14ac:dyDescent="0.25">
      <c r="A94" s="1" t="s">
        <v>143</v>
      </c>
      <c r="B94" s="2">
        <v>0.39652777777777776</v>
      </c>
      <c r="C94" s="1" t="s">
        <v>144</v>
      </c>
      <c r="D94" s="1" t="s">
        <v>12</v>
      </c>
      <c r="E94" s="2">
        <f>IF(bieg4[[#This Row],[czas_stop]]="DNF","",bieg4[[#This Row],[czas_stop]]-bieg4[[#This Row],[czas_start]])</f>
        <v>0.11534722222222221</v>
      </c>
    </row>
    <row r="95" spans="1:5" x14ac:dyDescent="0.25">
      <c r="A95" s="1" t="s">
        <v>131</v>
      </c>
      <c r="B95" s="2">
        <v>0.39444444444444443</v>
      </c>
      <c r="C95" s="1" t="s">
        <v>132</v>
      </c>
      <c r="D95" s="1" t="s">
        <v>34</v>
      </c>
      <c r="E95" s="2">
        <f>IF(bieg4[[#This Row],[czas_stop]]="DNF","",bieg4[[#This Row],[czas_stop]]-bieg4[[#This Row],[czas_start]])</f>
        <v>0.11540509259259263</v>
      </c>
    </row>
    <row r="96" spans="1:5" x14ac:dyDescent="0.25">
      <c r="A96" s="1" t="s">
        <v>91</v>
      </c>
      <c r="B96" s="2">
        <v>0.38750000000000001</v>
      </c>
      <c r="C96" s="1" t="s">
        <v>92</v>
      </c>
      <c r="D96" s="1" t="s">
        <v>22</v>
      </c>
      <c r="E96" s="2">
        <f>IF(bieg4[[#This Row],[czas_stop]]="DNF","",bieg4[[#This Row],[czas_stop]]-bieg4[[#This Row],[czas_start]])</f>
        <v>0.11559027777777781</v>
      </c>
    </row>
    <row r="97" spans="1:5" x14ac:dyDescent="0.25">
      <c r="A97" s="1" t="s">
        <v>87</v>
      </c>
      <c r="B97" s="2">
        <v>0.38680555555555557</v>
      </c>
      <c r="C97" s="1" t="s">
        <v>88</v>
      </c>
      <c r="D97" s="1" t="s">
        <v>22</v>
      </c>
      <c r="E97" s="2">
        <f>IF(bieg4[[#This Row],[czas_stop]]="DNF","",bieg4[[#This Row],[czas_stop]]-bieg4[[#This Row],[czas_start]])</f>
        <v>0.11565972222222215</v>
      </c>
    </row>
    <row r="98" spans="1:5" x14ac:dyDescent="0.25">
      <c r="A98" s="1" t="s">
        <v>81</v>
      </c>
      <c r="B98" s="2">
        <v>0.38576388888888891</v>
      </c>
      <c r="C98" s="1" t="s">
        <v>82</v>
      </c>
      <c r="D98" s="1" t="s">
        <v>25</v>
      </c>
      <c r="E98" s="2">
        <f>IF(bieg4[[#This Row],[czas_stop]]="DNF","",bieg4[[#This Row],[czas_stop]]-bieg4[[#This Row],[czas_start]])</f>
        <v>0.11685185185185176</v>
      </c>
    </row>
    <row r="99" spans="1:5" x14ac:dyDescent="0.25">
      <c r="A99" s="1" t="s">
        <v>73</v>
      </c>
      <c r="B99" s="2">
        <v>0.38437500000000002</v>
      </c>
      <c r="C99" s="1" t="s">
        <v>74</v>
      </c>
      <c r="D99" s="1" t="s">
        <v>6</v>
      </c>
      <c r="E99" s="2">
        <f>IF(bieg4[[#This Row],[czas_stop]]="DNF","",bieg4[[#This Row],[czas_stop]]-bieg4[[#This Row],[czas_start]])</f>
        <v>0.11730324074074072</v>
      </c>
    </row>
    <row r="100" spans="1:5" x14ac:dyDescent="0.25">
      <c r="A100" s="1" t="s">
        <v>161</v>
      </c>
      <c r="B100" s="2">
        <v>0.3996527777777778</v>
      </c>
      <c r="C100" s="1" t="s">
        <v>162</v>
      </c>
      <c r="D100" s="1" t="s">
        <v>25</v>
      </c>
      <c r="E100" s="2">
        <f>IF(bieg4[[#This Row],[czas_stop]]="DNF","",bieg4[[#This Row],[czas_stop]]-bieg4[[#This Row],[czas_start]])</f>
        <v>0.11781250000000004</v>
      </c>
    </row>
    <row r="101" spans="1:5" x14ac:dyDescent="0.25">
      <c r="A101" s="1" t="s">
        <v>224</v>
      </c>
      <c r="B101" s="2">
        <v>0.41111111111111109</v>
      </c>
      <c r="C101" s="1" t="s">
        <v>225</v>
      </c>
      <c r="D101" s="1" t="s">
        <v>28</v>
      </c>
      <c r="E101" s="2">
        <f>IF(bieg4[[#This Row],[czas_stop]]="DNF","",bieg4[[#This Row],[czas_stop]]-bieg4[[#This Row],[czas_start]])</f>
        <v>0.11798611111111112</v>
      </c>
    </row>
    <row r="102" spans="1:5" x14ac:dyDescent="0.25">
      <c r="A102" s="1" t="s">
        <v>188</v>
      </c>
      <c r="B102" s="2">
        <v>0.4045138888888889</v>
      </c>
      <c r="C102" s="1" t="s">
        <v>189</v>
      </c>
      <c r="D102" s="1" t="s">
        <v>19</v>
      </c>
      <c r="E102" s="2">
        <f>IF(bieg4[[#This Row],[czas_stop]]="DNF","",bieg4[[#This Row],[czas_stop]]-bieg4[[#This Row],[czas_start]])</f>
        <v>0.11835648148148153</v>
      </c>
    </row>
    <row r="103" spans="1:5" x14ac:dyDescent="0.25">
      <c r="A103" s="1" t="s">
        <v>184</v>
      </c>
      <c r="B103" s="2">
        <v>0.40381944444444445</v>
      </c>
      <c r="C103" s="1" t="s">
        <v>185</v>
      </c>
      <c r="D103" s="1" t="s">
        <v>52</v>
      </c>
      <c r="E103" s="2">
        <f>IF(bieg4[[#This Row],[czas_stop]]="DNF","",bieg4[[#This Row],[czas_stop]]-bieg4[[#This Row],[czas_start]])</f>
        <v>0.11855324074074075</v>
      </c>
    </row>
    <row r="104" spans="1:5" x14ac:dyDescent="0.25">
      <c r="A104" s="1" t="s">
        <v>107</v>
      </c>
      <c r="B104" s="2">
        <v>0.39027777777777778</v>
      </c>
      <c r="C104" s="1" t="s">
        <v>108</v>
      </c>
      <c r="D104" s="1" t="s">
        <v>28</v>
      </c>
      <c r="E104" s="2">
        <f>IF(bieg4[[#This Row],[czas_stop]]="DNF","",bieg4[[#This Row],[czas_stop]]-bieg4[[#This Row],[czas_start]])</f>
        <v>0.11879629629629634</v>
      </c>
    </row>
    <row r="105" spans="1:5" x14ac:dyDescent="0.25">
      <c r="A105" s="1" t="s">
        <v>207</v>
      </c>
      <c r="B105" s="2">
        <v>0.4079861111111111</v>
      </c>
      <c r="C105" s="1" t="s">
        <v>208</v>
      </c>
      <c r="D105" s="1" t="s">
        <v>49</v>
      </c>
      <c r="E105" s="2">
        <f>IF(bieg4[[#This Row],[czas_stop]]="DNF","",bieg4[[#This Row],[czas_stop]]-bieg4[[#This Row],[czas_start]])</f>
        <v>0.11910879629629628</v>
      </c>
    </row>
    <row r="106" spans="1:5" x14ac:dyDescent="0.25">
      <c r="A106" s="1" t="s">
        <v>137</v>
      </c>
      <c r="B106" s="2">
        <v>0.39548611111111109</v>
      </c>
      <c r="C106" s="1" t="s">
        <v>138</v>
      </c>
      <c r="D106" s="1" t="s">
        <v>55</v>
      </c>
      <c r="E106" s="2">
        <f>IF(bieg4[[#This Row],[czas_stop]]="DNF","",bieg4[[#This Row],[czas_stop]]-bieg4[[#This Row],[czas_start]])</f>
        <v>0.11914351851851857</v>
      </c>
    </row>
    <row r="107" spans="1:5" x14ac:dyDescent="0.25">
      <c r="A107" s="1" t="s">
        <v>245</v>
      </c>
      <c r="B107" s="2">
        <v>0.41493055555555558</v>
      </c>
      <c r="C107" s="1" t="s">
        <v>246</v>
      </c>
      <c r="D107" s="1" t="s">
        <v>3</v>
      </c>
      <c r="E107" s="2">
        <f>IF(bieg4[[#This Row],[czas_stop]]="DNF","",bieg4[[#This Row],[czas_stop]]-bieg4[[#This Row],[czas_start]])</f>
        <v>0.11932870370370374</v>
      </c>
    </row>
    <row r="108" spans="1:5" x14ac:dyDescent="0.25">
      <c r="A108" s="1" t="s">
        <v>155</v>
      </c>
      <c r="B108" s="2">
        <v>0.39861111111111114</v>
      </c>
      <c r="C108" s="1" t="s">
        <v>156</v>
      </c>
      <c r="D108" s="1" t="s">
        <v>40</v>
      </c>
      <c r="E108" s="2">
        <f>IF(bieg4[[#This Row],[czas_stop]]="DNF","",bieg4[[#This Row],[czas_stop]]-bieg4[[#This Row],[czas_start]])</f>
        <v>0.11965277777777772</v>
      </c>
    </row>
    <row r="109" spans="1:5" x14ac:dyDescent="0.25">
      <c r="A109" s="1" t="s">
        <v>213</v>
      </c>
      <c r="B109" s="2">
        <v>0.40902777777777777</v>
      </c>
      <c r="C109" s="1" t="s">
        <v>214</v>
      </c>
      <c r="D109" s="1" t="s">
        <v>9</v>
      </c>
      <c r="E109" s="2">
        <f>IF(bieg4[[#This Row],[czas_stop]]="DNF","",bieg4[[#This Row],[czas_stop]]-bieg4[[#This Row],[czas_start]])</f>
        <v>0.12008101851851849</v>
      </c>
    </row>
    <row r="110" spans="1:5" x14ac:dyDescent="0.25">
      <c r="A110" s="1" t="s">
        <v>201</v>
      </c>
      <c r="B110" s="2">
        <v>0.40694444444444444</v>
      </c>
      <c r="C110" s="1" t="s">
        <v>202</v>
      </c>
      <c r="D110" s="1" t="s">
        <v>43</v>
      </c>
      <c r="E110" s="2">
        <f>IF(bieg4[[#This Row],[czas_stop]]="DNF","",bieg4[[#This Row],[czas_stop]]-bieg4[[#This Row],[czas_start]])</f>
        <v>0.12074074074074082</v>
      </c>
    </row>
    <row r="111" spans="1:5" x14ac:dyDescent="0.25">
      <c r="A111" s="1" t="s">
        <v>127</v>
      </c>
      <c r="B111" s="2">
        <v>0.39374999999999999</v>
      </c>
      <c r="C111" s="1" t="s">
        <v>128</v>
      </c>
      <c r="D111" s="1" t="s">
        <v>25</v>
      </c>
      <c r="E111" s="2">
        <f>IF(bieg4[[#This Row],[czas_stop]]="DNF","",bieg4[[#This Row],[czas_stop]]-bieg4[[#This Row],[czas_start]])</f>
        <v>0.12170138888888887</v>
      </c>
    </row>
    <row r="112" spans="1:5" x14ac:dyDescent="0.25">
      <c r="A112" s="1" t="s">
        <v>217</v>
      </c>
      <c r="B112" s="2">
        <v>0.40972222222222221</v>
      </c>
      <c r="C112" s="1" t="s">
        <v>218</v>
      </c>
      <c r="D112" s="1" t="s">
        <v>19</v>
      </c>
      <c r="E112" s="2">
        <f>IF(bieg4[[#This Row],[czas_stop]]="DNF","",bieg4[[#This Row],[czas_stop]]-bieg4[[#This Row],[czas_start]])</f>
        <v>0.12185185185185188</v>
      </c>
    </row>
    <row r="113" spans="1:5" x14ac:dyDescent="0.25">
      <c r="A113" s="1" t="s">
        <v>26</v>
      </c>
      <c r="B113" s="2">
        <v>0.37812499999999999</v>
      </c>
      <c r="C113" s="1" t="s">
        <v>27</v>
      </c>
      <c r="D113" s="1" t="s">
        <v>28</v>
      </c>
      <c r="E113" s="2">
        <f>IF(bieg4[[#This Row],[czas_stop]]="DNF","",bieg4[[#This Row],[czas_stop]]-bieg4[[#This Row],[czas_start]])</f>
        <v>0.12255787037037041</v>
      </c>
    </row>
    <row r="114" spans="1:5" x14ac:dyDescent="0.25">
      <c r="A114" s="1" t="s">
        <v>151</v>
      </c>
      <c r="B114" s="2">
        <v>0.39791666666666664</v>
      </c>
      <c r="C114" s="1" t="s">
        <v>152</v>
      </c>
      <c r="D114" s="1" t="s">
        <v>46</v>
      </c>
      <c r="E114" s="2">
        <f>IF(bieg4[[#This Row],[czas_stop]]="DNF","",bieg4[[#This Row],[czas_stop]]-bieg4[[#This Row],[czas_start]])</f>
        <v>0.12285879629629631</v>
      </c>
    </row>
    <row r="115" spans="1:5" x14ac:dyDescent="0.25">
      <c r="A115" s="1" t="s">
        <v>7</v>
      </c>
      <c r="B115" s="2">
        <v>0.37569444444444444</v>
      </c>
      <c r="C115" s="1" t="s">
        <v>8</v>
      </c>
      <c r="D115" s="1" t="s">
        <v>9</v>
      </c>
      <c r="E115" s="2">
        <f>IF(bieg4[[#This Row],[czas_stop]]="DNF","",bieg4[[#This Row],[czas_stop]]-bieg4[[#This Row],[czas_start]])</f>
        <v>0.12297453703703703</v>
      </c>
    </row>
    <row r="116" spans="1:5" x14ac:dyDescent="0.25">
      <c r="A116" s="1" t="s">
        <v>199</v>
      </c>
      <c r="B116" s="2">
        <v>0.40659722222222222</v>
      </c>
      <c r="C116" s="1" t="s">
        <v>200</v>
      </c>
      <c r="D116" s="1" t="s">
        <v>12</v>
      </c>
      <c r="E116" s="2">
        <f>IF(bieg4[[#This Row],[czas_stop]]="DNF","",bieg4[[#This Row],[czas_stop]]-bieg4[[#This Row],[czas_start]])</f>
        <v>0.12298611111111118</v>
      </c>
    </row>
    <row r="117" spans="1:5" x14ac:dyDescent="0.25">
      <c r="A117" s="1" t="s">
        <v>219</v>
      </c>
      <c r="B117" s="2">
        <v>0.41006944444444443</v>
      </c>
      <c r="C117" s="1" t="s">
        <v>220</v>
      </c>
      <c r="D117" s="1" t="s">
        <v>49</v>
      </c>
      <c r="E117" s="2">
        <f>IF(bieg4[[#This Row],[czas_stop]]="DNF","",bieg4[[#This Row],[czas_stop]]-bieg4[[#This Row],[czas_start]])</f>
        <v>0.12319444444444444</v>
      </c>
    </row>
    <row r="118" spans="1:5" x14ac:dyDescent="0.25">
      <c r="A118" s="1" t="s">
        <v>13</v>
      </c>
      <c r="B118" s="2">
        <v>0.37638888888888888</v>
      </c>
      <c r="C118" s="1" t="s">
        <v>14</v>
      </c>
      <c r="D118" s="1" t="s">
        <v>3</v>
      </c>
      <c r="E118" s="2">
        <f>IF(bieg4[[#This Row],[czas_stop]]="DNF","",bieg4[[#This Row],[czas_stop]]-bieg4[[#This Row],[czas_start]])</f>
        <v>0.12376157407407407</v>
      </c>
    </row>
    <row r="119" spans="1:5" x14ac:dyDescent="0.25">
      <c r="A119" s="1" t="s">
        <v>89</v>
      </c>
      <c r="B119" s="2">
        <v>0.38715277777777779</v>
      </c>
      <c r="C119" s="1" t="s">
        <v>90</v>
      </c>
      <c r="D119" s="1" t="s">
        <v>19</v>
      </c>
      <c r="E119" s="2">
        <f>IF(bieg4[[#This Row],[czas_stop]]="DNF","",bieg4[[#This Row],[czas_stop]]-bieg4[[#This Row],[czas_start]])</f>
        <v>0.12434027777777779</v>
      </c>
    </row>
    <row r="120" spans="1:5" x14ac:dyDescent="0.25">
      <c r="A120" s="1" t="s">
        <v>15</v>
      </c>
      <c r="B120" s="2">
        <v>0.3767361111111111</v>
      </c>
      <c r="C120" s="1" t="s">
        <v>16</v>
      </c>
      <c r="D120" s="1" t="s">
        <v>9</v>
      </c>
      <c r="E120" s="2">
        <f>IF(bieg4[[#This Row],[czas_stop]]="DNF","",bieg4[[#This Row],[czas_stop]]-bieg4[[#This Row],[czas_start]])</f>
        <v>0.12442129629629634</v>
      </c>
    </row>
    <row r="121" spans="1:5" x14ac:dyDescent="0.25">
      <c r="A121" s="1" t="s">
        <v>69</v>
      </c>
      <c r="B121" s="2">
        <v>0.38368055555555558</v>
      </c>
      <c r="C121" s="1" t="s">
        <v>70</v>
      </c>
      <c r="D121" s="1" t="s">
        <v>9</v>
      </c>
      <c r="E121" s="2">
        <f>IF(bieg4[[#This Row],[czas_stop]]="DNF","",bieg4[[#This Row],[czas_stop]]-bieg4[[#This Row],[czas_start]])</f>
        <v>0.124537037037037</v>
      </c>
    </row>
    <row r="122" spans="1:5" x14ac:dyDescent="0.25">
      <c r="A122" s="1" t="s">
        <v>23</v>
      </c>
      <c r="B122" s="2">
        <v>0.37777777777777777</v>
      </c>
      <c r="C122" s="1" t="s">
        <v>24</v>
      </c>
      <c r="D122" s="1" t="s">
        <v>25</v>
      </c>
      <c r="E122" s="2" t="str">
        <f>IF(bieg4[[#This Row],[czas_stop]]="DNF","",bieg4[[#This Row],[czas_stop]]-bieg4[[#This Row],[czas_start]])</f>
        <v/>
      </c>
    </row>
    <row r="123" spans="1:5" x14ac:dyDescent="0.25">
      <c r="A123" s="1" t="s">
        <v>177</v>
      </c>
      <c r="B123" s="2">
        <v>0.40243055555555557</v>
      </c>
      <c r="C123" s="1" t="s">
        <v>24</v>
      </c>
      <c r="D123" s="1" t="s">
        <v>12</v>
      </c>
      <c r="E123" s="2" t="str">
        <f>IF(bieg4[[#This Row],[czas_stop]]="DNF","",bieg4[[#This Row],[czas_stop]]-bieg4[[#This Row],[czas_start]])</f>
        <v/>
      </c>
    </row>
    <row r="124" spans="1:5" x14ac:dyDescent="0.25">
      <c r="A124" s="1" t="s">
        <v>196</v>
      </c>
      <c r="B124" s="2">
        <v>0.40590277777777778</v>
      </c>
      <c r="C124" s="1" t="s">
        <v>24</v>
      </c>
      <c r="D124" s="1" t="s">
        <v>49</v>
      </c>
      <c r="E124" s="2" t="str">
        <f>IF(bieg4[[#This Row],[czas_stop]]="DNF","",bieg4[[#This Row],[czas_stop]]-bieg4[[#This Row],[czas_start]])</f>
        <v/>
      </c>
    </row>
    <row r="125" spans="1:5" x14ac:dyDescent="0.25">
      <c r="A125" s="1" t="s">
        <v>221</v>
      </c>
      <c r="B125" s="2">
        <v>0.41041666666666665</v>
      </c>
      <c r="C125" s="1" t="s">
        <v>24</v>
      </c>
      <c r="D125" s="1" t="s">
        <v>6</v>
      </c>
      <c r="E125" s="2" t="str">
        <f>IF(bieg4[[#This Row],[czas_stop]]="DNF","",bieg4[[#This Row],[czas_stop]]-bieg4[[#This Row],[czas_start]])</f>
        <v/>
      </c>
    </row>
    <row r="126" spans="1:5" x14ac:dyDescent="0.25">
      <c r="A126" s="1" t="s">
        <v>228</v>
      </c>
      <c r="B126" s="2">
        <v>0.41180555555555554</v>
      </c>
      <c r="C126" s="1" t="s">
        <v>24</v>
      </c>
      <c r="D126" s="1" t="s">
        <v>3</v>
      </c>
      <c r="E126" s="2" t="str">
        <f>IF(bieg4[[#This Row],[czas_stop]]="DNF","",bieg4[[#This Row],[czas_stop]]-bieg4[[#This Row],[czas_start]])</f>
        <v/>
      </c>
    </row>
    <row r="127" spans="1:5" x14ac:dyDescent="0.25">
      <c r="A127" s="1" t="s">
        <v>257</v>
      </c>
      <c r="B127" s="2">
        <v>0.41701388888888891</v>
      </c>
      <c r="C127" s="1" t="s">
        <v>24</v>
      </c>
      <c r="D127" s="1" t="s">
        <v>6</v>
      </c>
      <c r="E127" s="2" t="str">
        <f>IF(bieg4[[#This Row],[czas_stop]]="DNF","",bieg4[[#This Row],[czas_stop]]-bieg4[[#This Row],[czas_start]])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E2FB-1857-4C55-9C82-BB413AFE2E00}">
  <dimension ref="A1:E127"/>
  <sheetViews>
    <sheetView workbookViewId="0">
      <selection activeCell="E2" sqref="A2:E7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12" bestFit="1" customWidth="1"/>
    <col min="4" max="4" width="6.5703125" bestFit="1" customWidth="1"/>
    <col min="5" max="5" width="9.140625" style="1"/>
  </cols>
  <sheetData>
    <row r="1" spans="1:5" x14ac:dyDescent="0.25">
      <c r="A1" t="s">
        <v>266</v>
      </c>
      <c r="B1" t="s">
        <v>267</v>
      </c>
      <c r="C1" t="s">
        <v>268</v>
      </c>
      <c r="D1" t="s">
        <v>0</v>
      </c>
      <c r="E1" s="1" t="s">
        <v>272</v>
      </c>
    </row>
    <row r="2" spans="1:5" x14ac:dyDescent="0.25">
      <c r="A2" s="6" t="s">
        <v>23</v>
      </c>
      <c r="B2" s="7">
        <v>0.37777777777777777</v>
      </c>
      <c r="C2" s="6" t="s">
        <v>24</v>
      </c>
      <c r="D2" s="6" t="s">
        <v>25</v>
      </c>
      <c r="E2" s="7" t="str">
        <f>IF(bieg5[[#This Row],[czas_stop]]="DNF","",bieg5[[#This Row],[czas_stop]]-bieg5[[#This Row],[czas_start]])</f>
        <v/>
      </c>
    </row>
    <row r="3" spans="1:5" x14ac:dyDescent="0.25">
      <c r="A3" s="6" t="s">
        <v>177</v>
      </c>
      <c r="B3" s="7">
        <v>0.40243055555555557</v>
      </c>
      <c r="C3" s="6" t="s">
        <v>24</v>
      </c>
      <c r="D3" s="6" t="s">
        <v>12</v>
      </c>
      <c r="E3" s="7" t="str">
        <f>IF(bieg5[[#This Row],[czas_stop]]="DNF","",bieg5[[#This Row],[czas_stop]]-bieg5[[#This Row],[czas_start]])</f>
        <v/>
      </c>
    </row>
    <row r="4" spans="1:5" x14ac:dyDescent="0.25">
      <c r="A4" s="6" t="s">
        <v>196</v>
      </c>
      <c r="B4" s="7">
        <v>0.40590277777777778</v>
      </c>
      <c r="C4" s="6" t="s">
        <v>24</v>
      </c>
      <c r="D4" s="6" t="s">
        <v>49</v>
      </c>
      <c r="E4" s="7" t="str">
        <f>IF(bieg5[[#This Row],[czas_stop]]="DNF","",bieg5[[#This Row],[czas_stop]]-bieg5[[#This Row],[czas_start]])</f>
        <v/>
      </c>
    </row>
    <row r="5" spans="1:5" x14ac:dyDescent="0.25">
      <c r="A5" s="6" t="s">
        <v>221</v>
      </c>
      <c r="B5" s="7">
        <v>0.41041666666666665</v>
      </c>
      <c r="C5" s="6" t="s">
        <v>24</v>
      </c>
      <c r="D5" s="6" t="s">
        <v>6</v>
      </c>
      <c r="E5" s="7" t="str">
        <f>IF(bieg5[[#This Row],[czas_stop]]="DNF","",bieg5[[#This Row],[czas_stop]]-bieg5[[#This Row],[czas_start]])</f>
        <v/>
      </c>
    </row>
    <row r="6" spans="1:5" x14ac:dyDescent="0.25">
      <c r="A6" s="6" t="s">
        <v>228</v>
      </c>
      <c r="B6" s="7">
        <v>0.41180555555555554</v>
      </c>
      <c r="C6" s="6" t="s">
        <v>24</v>
      </c>
      <c r="D6" s="6" t="s">
        <v>3</v>
      </c>
      <c r="E6" s="7" t="str">
        <f>IF(bieg5[[#This Row],[czas_stop]]="DNF","",bieg5[[#This Row],[czas_stop]]-bieg5[[#This Row],[czas_start]])</f>
        <v/>
      </c>
    </row>
    <row r="7" spans="1:5" x14ac:dyDescent="0.25">
      <c r="A7" s="6" t="s">
        <v>257</v>
      </c>
      <c r="B7" s="7">
        <v>0.41701388888888891</v>
      </c>
      <c r="C7" s="6" t="s">
        <v>24</v>
      </c>
      <c r="D7" s="6" t="s">
        <v>6</v>
      </c>
      <c r="E7" s="7" t="str">
        <f>IF(bieg5[[#This Row],[czas_stop]]="DNF","",bieg5[[#This Row],[czas_stop]]-bieg5[[#This Row],[czas_start]])</f>
        <v/>
      </c>
    </row>
    <row r="8" spans="1:5" x14ac:dyDescent="0.25">
      <c r="A8" s="1" t="s">
        <v>69</v>
      </c>
      <c r="B8" s="2">
        <v>0.38368055555555558</v>
      </c>
      <c r="C8" s="1" t="s">
        <v>70</v>
      </c>
      <c r="D8" s="1" t="s">
        <v>9</v>
      </c>
      <c r="E8" s="2">
        <f>IF(bieg5[[#This Row],[czas_stop]]="DNF","",bieg5[[#This Row],[czas_stop]]-bieg5[[#This Row],[czas_start]])</f>
        <v>0.124537037037037</v>
      </c>
    </row>
    <row r="9" spans="1:5" x14ac:dyDescent="0.25">
      <c r="A9" s="1" t="s">
        <v>15</v>
      </c>
      <c r="B9" s="2">
        <v>0.3767361111111111</v>
      </c>
      <c r="C9" s="1" t="s">
        <v>16</v>
      </c>
      <c r="D9" s="1" t="s">
        <v>9</v>
      </c>
      <c r="E9" s="2">
        <f>IF(bieg5[[#This Row],[czas_stop]]="DNF","",bieg5[[#This Row],[czas_stop]]-bieg5[[#This Row],[czas_start]])</f>
        <v>0.12442129629629634</v>
      </c>
    </row>
    <row r="10" spans="1:5" x14ac:dyDescent="0.25">
      <c r="A10" s="1" t="s">
        <v>89</v>
      </c>
      <c r="B10" s="2">
        <v>0.38715277777777779</v>
      </c>
      <c r="C10" s="1" t="s">
        <v>90</v>
      </c>
      <c r="D10" s="1" t="s">
        <v>19</v>
      </c>
      <c r="E10" s="2">
        <f>IF(bieg5[[#This Row],[czas_stop]]="DNF","",bieg5[[#This Row],[czas_stop]]-bieg5[[#This Row],[czas_start]])</f>
        <v>0.12434027777777779</v>
      </c>
    </row>
    <row r="11" spans="1:5" x14ac:dyDescent="0.25">
      <c r="A11" s="1" t="s">
        <v>13</v>
      </c>
      <c r="B11" s="2">
        <v>0.37638888888888888</v>
      </c>
      <c r="C11" s="1" t="s">
        <v>14</v>
      </c>
      <c r="D11" s="1" t="s">
        <v>3</v>
      </c>
      <c r="E11" s="2">
        <f>IF(bieg5[[#This Row],[czas_stop]]="DNF","",bieg5[[#This Row],[czas_stop]]-bieg5[[#This Row],[czas_start]])</f>
        <v>0.12376157407407407</v>
      </c>
    </row>
    <row r="12" spans="1:5" x14ac:dyDescent="0.25">
      <c r="A12" s="1" t="s">
        <v>219</v>
      </c>
      <c r="B12" s="2">
        <v>0.41006944444444443</v>
      </c>
      <c r="C12" s="1" t="s">
        <v>220</v>
      </c>
      <c r="D12" s="1" t="s">
        <v>49</v>
      </c>
      <c r="E12" s="2">
        <f>IF(bieg5[[#This Row],[czas_stop]]="DNF","",bieg5[[#This Row],[czas_stop]]-bieg5[[#This Row],[czas_start]])</f>
        <v>0.12319444444444444</v>
      </c>
    </row>
    <row r="13" spans="1:5" x14ac:dyDescent="0.25">
      <c r="A13" s="1" t="s">
        <v>199</v>
      </c>
      <c r="B13" s="2">
        <v>0.40659722222222222</v>
      </c>
      <c r="C13" s="1" t="s">
        <v>200</v>
      </c>
      <c r="D13" s="1" t="s">
        <v>12</v>
      </c>
      <c r="E13" s="2">
        <f>IF(bieg5[[#This Row],[czas_stop]]="DNF","",bieg5[[#This Row],[czas_stop]]-bieg5[[#This Row],[czas_start]])</f>
        <v>0.12298611111111118</v>
      </c>
    </row>
    <row r="14" spans="1:5" x14ac:dyDescent="0.25">
      <c r="A14" s="1" t="s">
        <v>7</v>
      </c>
      <c r="B14" s="2">
        <v>0.37569444444444444</v>
      </c>
      <c r="C14" s="1" t="s">
        <v>8</v>
      </c>
      <c r="D14" s="1" t="s">
        <v>9</v>
      </c>
      <c r="E14" s="2">
        <f>IF(bieg5[[#This Row],[czas_stop]]="DNF","",bieg5[[#This Row],[czas_stop]]-bieg5[[#This Row],[czas_start]])</f>
        <v>0.12297453703703703</v>
      </c>
    </row>
    <row r="15" spans="1:5" x14ac:dyDescent="0.25">
      <c r="A15" s="1" t="s">
        <v>151</v>
      </c>
      <c r="B15" s="2">
        <v>0.39791666666666664</v>
      </c>
      <c r="C15" s="1" t="s">
        <v>152</v>
      </c>
      <c r="D15" s="1" t="s">
        <v>46</v>
      </c>
      <c r="E15" s="2">
        <f>IF(bieg5[[#This Row],[czas_stop]]="DNF","",bieg5[[#This Row],[czas_stop]]-bieg5[[#This Row],[czas_start]])</f>
        <v>0.12285879629629631</v>
      </c>
    </row>
    <row r="16" spans="1:5" x14ac:dyDescent="0.25">
      <c r="A16" s="1" t="s">
        <v>26</v>
      </c>
      <c r="B16" s="2">
        <v>0.37812499999999999</v>
      </c>
      <c r="C16" s="1" t="s">
        <v>27</v>
      </c>
      <c r="D16" s="1" t="s">
        <v>28</v>
      </c>
      <c r="E16" s="2">
        <f>IF(bieg5[[#This Row],[czas_stop]]="DNF","",bieg5[[#This Row],[czas_stop]]-bieg5[[#This Row],[czas_start]])</f>
        <v>0.12255787037037041</v>
      </c>
    </row>
    <row r="17" spans="1:5" x14ac:dyDescent="0.25">
      <c r="A17" s="1" t="s">
        <v>217</v>
      </c>
      <c r="B17" s="2">
        <v>0.40972222222222221</v>
      </c>
      <c r="C17" s="1" t="s">
        <v>218</v>
      </c>
      <c r="D17" s="1" t="s">
        <v>19</v>
      </c>
      <c r="E17" s="2">
        <f>IF(bieg5[[#This Row],[czas_stop]]="DNF","",bieg5[[#This Row],[czas_stop]]-bieg5[[#This Row],[czas_start]])</f>
        <v>0.12185185185185188</v>
      </c>
    </row>
    <row r="18" spans="1:5" x14ac:dyDescent="0.25">
      <c r="A18" s="1" t="s">
        <v>127</v>
      </c>
      <c r="B18" s="2">
        <v>0.39374999999999999</v>
      </c>
      <c r="C18" s="1" t="s">
        <v>128</v>
      </c>
      <c r="D18" s="1" t="s">
        <v>25</v>
      </c>
      <c r="E18" s="2">
        <f>IF(bieg5[[#This Row],[czas_stop]]="DNF","",bieg5[[#This Row],[czas_stop]]-bieg5[[#This Row],[czas_start]])</f>
        <v>0.12170138888888887</v>
      </c>
    </row>
    <row r="19" spans="1:5" x14ac:dyDescent="0.25">
      <c r="A19" s="1" t="s">
        <v>201</v>
      </c>
      <c r="B19" s="2">
        <v>0.40694444444444444</v>
      </c>
      <c r="C19" s="1" t="s">
        <v>202</v>
      </c>
      <c r="D19" s="1" t="s">
        <v>43</v>
      </c>
      <c r="E19" s="2">
        <f>IF(bieg5[[#This Row],[czas_stop]]="DNF","",bieg5[[#This Row],[czas_stop]]-bieg5[[#This Row],[czas_start]])</f>
        <v>0.12074074074074082</v>
      </c>
    </row>
    <row r="20" spans="1:5" x14ac:dyDescent="0.25">
      <c r="A20" s="1" t="s">
        <v>213</v>
      </c>
      <c r="B20" s="2">
        <v>0.40902777777777777</v>
      </c>
      <c r="C20" s="1" t="s">
        <v>214</v>
      </c>
      <c r="D20" s="1" t="s">
        <v>9</v>
      </c>
      <c r="E20" s="2">
        <f>IF(bieg5[[#This Row],[czas_stop]]="DNF","",bieg5[[#This Row],[czas_stop]]-bieg5[[#This Row],[czas_start]])</f>
        <v>0.12008101851851849</v>
      </c>
    </row>
    <row r="21" spans="1:5" x14ac:dyDescent="0.25">
      <c r="A21" s="1" t="s">
        <v>155</v>
      </c>
      <c r="B21" s="2">
        <v>0.39861111111111114</v>
      </c>
      <c r="C21" s="1" t="s">
        <v>156</v>
      </c>
      <c r="D21" s="1" t="s">
        <v>40</v>
      </c>
      <c r="E21" s="2">
        <f>IF(bieg5[[#This Row],[czas_stop]]="DNF","",bieg5[[#This Row],[czas_stop]]-bieg5[[#This Row],[czas_start]])</f>
        <v>0.11965277777777772</v>
      </c>
    </row>
    <row r="22" spans="1:5" x14ac:dyDescent="0.25">
      <c r="A22" s="1" t="s">
        <v>245</v>
      </c>
      <c r="B22" s="2">
        <v>0.41493055555555558</v>
      </c>
      <c r="C22" s="1" t="s">
        <v>246</v>
      </c>
      <c r="D22" s="1" t="s">
        <v>3</v>
      </c>
      <c r="E22" s="2">
        <f>IF(bieg5[[#This Row],[czas_stop]]="DNF","",bieg5[[#This Row],[czas_stop]]-bieg5[[#This Row],[czas_start]])</f>
        <v>0.11932870370370374</v>
      </c>
    </row>
    <row r="23" spans="1:5" x14ac:dyDescent="0.25">
      <c r="A23" s="1" t="s">
        <v>137</v>
      </c>
      <c r="B23" s="2">
        <v>0.39548611111111109</v>
      </c>
      <c r="C23" s="1" t="s">
        <v>138</v>
      </c>
      <c r="D23" s="1" t="s">
        <v>55</v>
      </c>
      <c r="E23" s="2">
        <f>IF(bieg5[[#This Row],[czas_stop]]="DNF","",bieg5[[#This Row],[czas_stop]]-bieg5[[#This Row],[czas_start]])</f>
        <v>0.11914351851851857</v>
      </c>
    </row>
    <row r="24" spans="1:5" x14ac:dyDescent="0.25">
      <c r="A24" s="1" t="s">
        <v>207</v>
      </c>
      <c r="B24" s="2">
        <v>0.4079861111111111</v>
      </c>
      <c r="C24" s="1" t="s">
        <v>208</v>
      </c>
      <c r="D24" s="1" t="s">
        <v>49</v>
      </c>
      <c r="E24" s="2">
        <f>IF(bieg5[[#This Row],[czas_stop]]="DNF","",bieg5[[#This Row],[czas_stop]]-bieg5[[#This Row],[czas_start]])</f>
        <v>0.11910879629629628</v>
      </c>
    </row>
    <row r="25" spans="1:5" x14ac:dyDescent="0.25">
      <c r="A25" s="1" t="s">
        <v>107</v>
      </c>
      <c r="B25" s="2">
        <v>0.39027777777777778</v>
      </c>
      <c r="C25" s="1" t="s">
        <v>108</v>
      </c>
      <c r="D25" s="1" t="s">
        <v>28</v>
      </c>
      <c r="E25" s="2">
        <f>IF(bieg5[[#This Row],[czas_stop]]="DNF","",bieg5[[#This Row],[czas_stop]]-bieg5[[#This Row],[czas_start]])</f>
        <v>0.11879629629629634</v>
      </c>
    </row>
    <row r="26" spans="1:5" x14ac:dyDescent="0.25">
      <c r="A26" s="1" t="s">
        <v>184</v>
      </c>
      <c r="B26" s="2">
        <v>0.40381944444444445</v>
      </c>
      <c r="C26" s="1" t="s">
        <v>185</v>
      </c>
      <c r="D26" s="1" t="s">
        <v>52</v>
      </c>
      <c r="E26" s="2">
        <f>IF(bieg5[[#This Row],[czas_stop]]="DNF","",bieg5[[#This Row],[czas_stop]]-bieg5[[#This Row],[czas_start]])</f>
        <v>0.11855324074074075</v>
      </c>
    </row>
    <row r="27" spans="1:5" x14ac:dyDescent="0.25">
      <c r="A27" s="1" t="s">
        <v>188</v>
      </c>
      <c r="B27" s="2">
        <v>0.4045138888888889</v>
      </c>
      <c r="C27" s="1" t="s">
        <v>189</v>
      </c>
      <c r="D27" s="1" t="s">
        <v>19</v>
      </c>
      <c r="E27" s="2">
        <f>IF(bieg5[[#This Row],[czas_stop]]="DNF","",bieg5[[#This Row],[czas_stop]]-bieg5[[#This Row],[czas_start]])</f>
        <v>0.11835648148148153</v>
      </c>
    </row>
    <row r="28" spans="1:5" x14ac:dyDescent="0.25">
      <c r="A28" s="1" t="s">
        <v>224</v>
      </c>
      <c r="B28" s="2">
        <v>0.41111111111111109</v>
      </c>
      <c r="C28" s="1" t="s">
        <v>225</v>
      </c>
      <c r="D28" s="1" t="s">
        <v>28</v>
      </c>
      <c r="E28" s="2">
        <f>IF(bieg5[[#This Row],[czas_stop]]="DNF","",bieg5[[#This Row],[czas_stop]]-bieg5[[#This Row],[czas_start]])</f>
        <v>0.11798611111111112</v>
      </c>
    </row>
    <row r="29" spans="1:5" x14ac:dyDescent="0.25">
      <c r="A29" s="1" t="s">
        <v>161</v>
      </c>
      <c r="B29" s="2">
        <v>0.3996527777777778</v>
      </c>
      <c r="C29" s="1" t="s">
        <v>162</v>
      </c>
      <c r="D29" s="1" t="s">
        <v>25</v>
      </c>
      <c r="E29" s="2">
        <f>IF(bieg5[[#This Row],[czas_stop]]="DNF","",bieg5[[#This Row],[czas_stop]]-bieg5[[#This Row],[czas_start]])</f>
        <v>0.11781250000000004</v>
      </c>
    </row>
    <row r="30" spans="1:5" x14ac:dyDescent="0.25">
      <c r="A30" s="1" t="s">
        <v>73</v>
      </c>
      <c r="B30" s="2">
        <v>0.38437500000000002</v>
      </c>
      <c r="C30" s="1" t="s">
        <v>74</v>
      </c>
      <c r="D30" s="1" t="s">
        <v>6</v>
      </c>
      <c r="E30" s="2">
        <f>IF(bieg5[[#This Row],[czas_stop]]="DNF","",bieg5[[#This Row],[czas_stop]]-bieg5[[#This Row],[czas_start]])</f>
        <v>0.11730324074074072</v>
      </c>
    </row>
    <row r="31" spans="1:5" x14ac:dyDescent="0.25">
      <c r="A31" s="1" t="s">
        <v>81</v>
      </c>
      <c r="B31" s="2">
        <v>0.38576388888888891</v>
      </c>
      <c r="C31" s="1" t="s">
        <v>82</v>
      </c>
      <c r="D31" s="1" t="s">
        <v>25</v>
      </c>
      <c r="E31" s="2">
        <f>IF(bieg5[[#This Row],[czas_stop]]="DNF","",bieg5[[#This Row],[czas_stop]]-bieg5[[#This Row],[czas_start]])</f>
        <v>0.11685185185185176</v>
      </c>
    </row>
    <row r="32" spans="1:5" x14ac:dyDescent="0.25">
      <c r="A32" s="1" t="s">
        <v>87</v>
      </c>
      <c r="B32" s="2">
        <v>0.38680555555555557</v>
      </c>
      <c r="C32" s="1" t="s">
        <v>88</v>
      </c>
      <c r="D32" s="1" t="s">
        <v>22</v>
      </c>
      <c r="E32" s="2">
        <f>IF(bieg5[[#This Row],[czas_stop]]="DNF","",bieg5[[#This Row],[czas_stop]]-bieg5[[#This Row],[czas_start]])</f>
        <v>0.11565972222222215</v>
      </c>
    </row>
    <row r="33" spans="1:5" x14ac:dyDescent="0.25">
      <c r="A33" s="1" t="s">
        <v>91</v>
      </c>
      <c r="B33" s="2">
        <v>0.38750000000000001</v>
      </c>
      <c r="C33" s="1" t="s">
        <v>92</v>
      </c>
      <c r="D33" s="1" t="s">
        <v>22</v>
      </c>
      <c r="E33" s="2">
        <f>IF(bieg5[[#This Row],[czas_stop]]="DNF","",bieg5[[#This Row],[czas_stop]]-bieg5[[#This Row],[czas_start]])</f>
        <v>0.11559027777777781</v>
      </c>
    </row>
    <row r="34" spans="1:5" x14ac:dyDescent="0.25">
      <c r="A34" s="1" t="s">
        <v>131</v>
      </c>
      <c r="B34" s="2">
        <v>0.39444444444444443</v>
      </c>
      <c r="C34" s="1" t="s">
        <v>132</v>
      </c>
      <c r="D34" s="1" t="s">
        <v>34</v>
      </c>
      <c r="E34" s="2">
        <f>IF(bieg5[[#This Row],[czas_stop]]="DNF","",bieg5[[#This Row],[czas_stop]]-bieg5[[#This Row],[czas_start]])</f>
        <v>0.11540509259259263</v>
      </c>
    </row>
    <row r="35" spans="1:5" x14ac:dyDescent="0.25">
      <c r="A35" s="1" t="s">
        <v>143</v>
      </c>
      <c r="B35" s="2">
        <v>0.39652777777777776</v>
      </c>
      <c r="C35" s="1" t="s">
        <v>144</v>
      </c>
      <c r="D35" s="1" t="s">
        <v>12</v>
      </c>
      <c r="E35" s="2">
        <f>IF(bieg5[[#This Row],[czas_stop]]="DNF","",bieg5[[#This Row],[czas_stop]]-bieg5[[#This Row],[czas_start]])</f>
        <v>0.11534722222222221</v>
      </c>
    </row>
    <row r="36" spans="1:5" x14ac:dyDescent="0.25">
      <c r="A36" s="1" t="s">
        <v>258</v>
      </c>
      <c r="B36" s="2">
        <v>0.41736111111111113</v>
      </c>
      <c r="C36" s="1" t="s">
        <v>259</v>
      </c>
      <c r="D36" s="1" t="s">
        <v>3</v>
      </c>
      <c r="E36" s="2">
        <f>IF(bieg5[[#This Row],[czas_stop]]="DNF","",bieg5[[#This Row],[czas_stop]]-bieg5[[#This Row],[czas_start]])</f>
        <v>0.11456018518518524</v>
      </c>
    </row>
    <row r="37" spans="1:5" x14ac:dyDescent="0.25">
      <c r="A37" s="1" t="s">
        <v>10</v>
      </c>
      <c r="B37" s="2">
        <v>0.37604166666666666</v>
      </c>
      <c r="C37" s="1" t="s">
        <v>11</v>
      </c>
      <c r="D37" s="1" t="s">
        <v>12</v>
      </c>
      <c r="E37" s="2">
        <f>IF(bieg5[[#This Row],[czas_stop]]="DNF","",bieg5[[#This Row],[czas_stop]]-bieg5[[#This Row],[czas_start]])</f>
        <v>0.11454861111111109</v>
      </c>
    </row>
    <row r="38" spans="1:5" x14ac:dyDescent="0.25">
      <c r="A38" s="1" t="s">
        <v>85</v>
      </c>
      <c r="B38" s="2">
        <v>0.38645833333333335</v>
      </c>
      <c r="C38" s="1" t="s">
        <v>86</v>
      </c>
      <c r="D38" s="1" t="s">
        <v>28</v>
      </c>
      <c r="E38" s="2">
        <f>IF(bieg5[[#This Row],[czas_stop]]="DNF","",bieg5[[#This Row],[czas_stop]]-bieg5[[#This Row],[czas_start]])</f>
        <v>0.11444444444444446</v>
      </c>
    </row>
    <row r="39" spans="1:5" x14ac:dyDescent="0.25">
      <c r="A39" s="1" t="s">
        <v>71</v>
      </c>
      <c r="B39" s="2">
        <v>0.3840277777777778</v>
      </c>
      <c r="C39" s="1" t="s">
        <v>72</v>
      </c>
      <c r="D39" s="1" t="s">
        <v>3</v>
      </c>
      <c r="E39" s="2">
        <f>IF(bieg5[[#This Row],[czas_stop]]="DNF","",bieg5[[#This Row],[czas_stop]]-bieg5[[#This Row],[czas_start]])</f>
        <v>0.11415509259259254</v>
      </c>
    </row>
    <row r="40" spans="1:5" x14ac:dyDescent="0.25">
      <c r="A40" s="1" t="s">
        <v>119</v>
      </c>
      <c r="B40" s="2">
        <v>0.3923611111111111</v>
      </c>
      <c r="C40" s="1" t="s">
        <v>120</v>
      </c>
      <c r="D40" s="1" t="s">
        <v>46</v>
      </c>
      <c r="E40" s="2">
        <f>IF(bieg5[[#This Row],[czas_stop]]="DNF","",bieg5[[#This Row],[czas_stop]]-bieg5[[#This Row],[czas_start]])</f>
        <v>0.11379629629629634</v>
      </c>
    </row>
    <row r="41" spans="1:5" x14ac:dyDescent="0.25">
      <c r="A41" s="1" t="s">
        <v>157</v>
      </c>
      <c r="B41" s="2">
        <v>0.39895833333333336</v>
      </c>
      <c r="C41" s="1" t="s">
        <v>158</v>
      </c>
      <c r="D41" s="1" t="s">
        <v>37</v>
      </c>
      <c r="E41" s="2">
        <f>IF(bieg5[[#This Row],[czas_stop]]="DNF","",bieg5[[#This Row],[czas_stop]]-bieg5[[#This Row],[czas_start]])</f>
        <v>0.11313657407407401</v>
      </c>
    </row>
    <row r="42" spans="1:5" x14ac:dyDescent="0.25">
      <c r="A42" s="1" t="s">
        <v>65</v>
      </c>
      <c r="B42" s="2">
        <v>0.38298611111111114</v>
      </c>
      <c r="C42" s="1" t="s">
        <v>66</v>
      </c>
      <c r="D42" s="1" t="s">
        <v>40</v>
      </c>
      <c r="E42" s="2">
        <f>IF(bieg5[[#This Row],[czas_stop]]="DNF","",bieg5[[#This Row],[czas_stop]]-bieg5[[#This Row],[czas_start]])</f>
        <v>0.11284722222222221</v>
      </c>
    </row>
    <row r="43" spans="1:5" x14ac:dyDescent="0.25">
      <c r="A43" s="1" t="s">
        <v>255</v>
      </c>
      <c r="B43" s="2">
        <v>0.41666666666666669</v>
      </c>
      <c r="C43" s="1" t="s">
        <v>256</v>
      </c>
      <c r="D43" s="1" t="s">
        <v>43</v>
      </c>
      <c r="E43" s="2">
        <f>IF(bieg5[[#This Row],[czas_stop]]="DNF","",bieg5[[#This Row],[czas_stop]]-bieg5[[#This Row],[czas_start]])</f>
        <v>0.11271990740740739</v>
      </c>
    </row>
    <row r="44" spans="1:5" x14ac:dyDescent="0.25">
      <c r="A44" s="1" t="s">
        <v>20</v>
      </c>
      <c r="B44" s="2">
        <v>0.37743055555555555</v>
      </c>
      <c r="C44" s="1" t="s">
        <v>21</v>
      </c>
      <c r="D44" s="1" t="s">
        <v>22</v>
      </c>
      <c r="E44" s="2">
        <f>IF(bieg5[[#This Row],[czas_stop]]="DNF","",bieg5[[#This Row],[czas_stop]]-bieg5[[#This Row],[czas_start]])</f>
        <v>0.11247685185185186</v>
      </c>
    </row>
    <row r="45" spans="1:5" x14ac:dyDescent="0.25">
      <c r="A45" s="1" t="s">
        <v>226</v>
      </c>
      <c r="B45" s="2">
        <v>0.41145833333333331</v>
      </c>
      <c r="C45" s="1" t="s">
        <v>227</v>
      </c>
      <c r="D45" s="1" t="s">
        <v>22</v>
      </c>
      <c r="E45" s="2">
        <f>IF(bieg5[[#This Row],[czas_stop]]="DNF","",bieg5[[#This Row],[czas_stop]]-bieg5[[#This Row],[czas_start]])</f>
        <v>0.11243055555555564</v>
      </c>
    </row>
    <row r="46" spans="1:5" x14ac:dyDescent="0.25">
      <c r="A46" s="1" t="s">
        <v>133</v>
      </c>
      <c r="B46" s="2">
        <v>0.39479166666666665</v>
      </c>
      <c r="C46" s="1" t="s">
        <v>134</v>
      </c>
      <c r="D46" s="1" t="s">
        <v>43</v>
      </c>
      <c r="E46" s="2">
        <f>IF(bieg5[[#This Row],[czas_stop]]="DNF","",bieg5[[#This Row],[czas_stop]]-bieg5[[#This Row],[czas_start]])</f>
        <v>0.11230324074074083</v>
      </c>
    </row>
    <row r="47" spans="1:5" x14ac:dyDescent="0.25">
      <c r="A47" s="1" t="s">
        <v>186</v>
      </c>
      <c r="B47" s="2">
        <v>0.40416666666666667</v>
      </c>
      <c r="C47" s="1" t="s">
        <v>187</v>
      </c>
      <c r="D47" s="1" t="s">
        <v>55</v>
      </c>
      <c r="E47" s="2">
        <f>IF(bieg5[[#This Row],[czas_stop]]="DNF","",bieg5[[#This Row],[czas_stop]]-bieg5[[#This Row],[czas_start]])</f>
        <v>0.11215277777777777</v>
      </c>
    </row>
    <row r="48" spans="1:5" x14ac:dyDescent="0.25">
      <c r="A48" s="1" t="s">
        <v>4</v>
      </c>
      <c r="B48" s="2">
        <v>0.37534722222222222</v>
      </c>
      <c r="C48" s="1" t="s">
        <v>5</v>
      </c>
      <c r="D48" s="1" t="s">
        <v>6</v>
      </c>
      <c r="E48" s="2">
        <f>IF(bieg5[[#This Row],[czas_stop]]="DNF","",bieg5[[#This Row],[czas_stop]]-bieg5[[#This Row],[czas_start]])</f>
        <v>0.11201388888888891</v>
      </c>
    </row>
    <row r="49" spans="1:5" x14ac:dyDescent="0.25">
      <c r="A49" s="1" t="s">
        <v>241</v>
      </c>
      <c r="B49" s="2">
        <v>0.41423611111111114</v>
      </c>
      <c r="C49" s="1" t="s">
        <v>242</v>
      </c>
      <c r="D49" s="1" t="s">
        <v>99</v>
      </c>
      <c r="E49" s="2">
        <f>IF(bieg5[[#This Row],[czas_stop]]="DNF","",bieg5[[#This Row],[czas_stop]]-bieg5[[#This Row],[czas_start]])</f>
        <v>0.11141203703703706</v>
      </c>
    </row>
    <row r="50" spans="1:5" x14ac:dyDescent="0.25">
      <c r="A50" s="1" t="s">
        <v>38</v>
      </c>
      <c r="B50" s="2">
        <v>0.37951388888888887</v>
      </c>
      <c r="C50" s="1" t="s">
        <v>39</v>
      </c>
      <c r="D50" s="1" t="s">
        <v>40</v>
      </c>
      <c r="E50" s="2">
        <f>IF(bieg5[[#This Row],[czas_stop]]="DNF","",bieg5[[#This Row],[czas_stop]]-bieg5[[#This Row],[czas_start]])</f>
        <v>0.11067129629629635</v>
      </c>
    </row>
    <row r="51" spans="1:5" x14ac:dyDescent="0.25">
      <c r="A51" s="1" t="s">
        <v>175</v>
      </c>
      <c r="B51" s="2">
        <v>0.40208333333333335</v>
      </c>
      <c r="C51" s="1" t="s">
        <v>176</v>
      </c>
      <c r="D51" s="1" t="s">
        <v>6</v>
      </c>
      <c r="E51" s="2">
        <f>IF(bieg5[[#This Row],[czas_stop]]="DNF","",bieg5[[#This Row],[czas_stop]]-bieg5[[#This Row],[czas_start]])</f>
        <v>0.11063657407407412</v>
      </c>
    </row>
    <row r="52" spans="1:5" x14ac:dyDescent="0.25">
      <c r="A52" s="1" t="s">
        <v>35</v>
      </c>
      <c r="B52" s="2">
        <v>0.37916666666666665</v>
      </c>
      <c r="C52" s="1" t="s">
        <v>36</v>
      </c>
      <c r="D52" s="1" t="s">
        <v>37</v>
      </c>
      <c r="E52" s="2">
        <f>IF(bieg5[[#This Row],[czas_stop]]="DNF","",bieg5[[#This Row],[czas_stop]]-bieg5[[#This Row],[czas_start]])</f>
        <v>0.1105902777777778</v>
      </c>
    </row>
    <row r="53" spans="1:5" x14ac:dyDescent="0.25">
      <c r="A53" s="1" t="s">
        <v>93</v>
      </c>
      <c r="B53" s="2">
        <v>0.38784722222222223</v>
      </c>
      <c r="C53" s="1" t="s">
        <v>94</v>
      </c>
      <c r="D53" s="1" t="s">
        <v>19</v>
      </c>
      <c r="E53" s="2">
        <f>IF(bieg5[[#This Row],[czas_stop]]="DNF","",bieg5[[#This Row],[czas_stop]]-bieg5[[#This Row],[czas_start]])</f>
        <v>0.10978009259259264</v>
      </c>
    </row>
    <row r="54" spans="1:5" x14ac:dyDescent="0.25">
      <c r="A54" s="1" t="s">
        <v>229</v>
      </c>
      <c r="B54" s="2">
        <v>0.41215277777777776</v>
      </c>
      <c r="C54" s="1" t="s">
        <v>230</v>
      </c>
      <c r="D54" s="1" t="s">
        <v>99</v>
      </c>
      <c r="E54" s="2">
        <f>IF(bieg5[[#This Row],[czas_stop]]="DNF","",bieg5[[#This Row],[czas_stop]]-bieg5[[#This Row],[czas_start]])</f>
        <v>0.10864583333333339</v>
      </c>
    </row>
    <row r="55" spans="1:5" x14ac:dyDescent="0.25">
      <c r="A55" s="1" t="s">
        <v>211</v>
      </c>
      <c r="B55" s="2">
        <v>0.40868055555555555</v>
      </c>
      <c r="C55" s="1" t="s">
        <v>212</v>
      </c>
      <c r="D55" s="1" t="s">
        <v>99</v>
      </c>
      <c r="E55" s="2">
        <f>IF(bieg5[[#This Row],[czas_stop]]="DNF","",bieg5[[#This Row],[czas_stop]]-bieg5[[#This Row],[czas_start]])</f>
        <v>0.10818287037037039</v>
      </c>
    </row>
    <row r="56" spans="1:5" x14ac:dyDescent="0.25">
      <c r="A56" s="1" t="s">
        <v>75</v>
      </c>
      <c r="B56" s="2">
        <v>0.38472222222222224</v>
      </c>
      <c r="C56" s="1" t="s">
        <v>76</v>
      </c>
      <c r="D56" s="1" t="s">
        <v>52</v>
      </c>
      <c r="E56" s="2">
        <f>IF(bieg5[[#This Row],[czas_stop]]="DNF","",bieg5[[#This Row],[czas_stop]]-bieg5[[#This Row],[czas_start]])</f>
        <v>0.10800925925925919</v>
      </c>
    </row>
    <row r="57" spans="1:5" x14ac:dyDescent="0.25">
      <c r="A57" s="1" t="s">
        <v>203</v>
      </c>
      <c r="B57" s="2">
        <v>0.40729166666666666</v>
      </c>
      <c r="C57" s="1" t="s">
        <v>204</v>
      </c>
      <c r="D57" s="1" t="s">
        <v>40</v>
      </c>
      <c r="E57" s="2">
        <f>IF(bieg5[[#This Row],[czas_stop]]="DNF","",bieg5[[#This Row],[czas_stop]]-bieg5[[#This Row],[czas_start]])</f>
        <v>0.10790509259259257</v>
      </c>
    </row>
    <row r="58" spans="1:5" x14ac:dyDescent="0.25">
      <c r="A58" s="1" t="s">
        <v>129</v>
      </c>
      <c r="B58" s="2">
        <v>0.39409722222222221</v>
      </c>
      <c r="C58" s="1" t="s">
        <v>130</v>
      </c>
      <c r="D58" s="1" t="s">
        <v>37</v>
      </c>
      <c r="E58" s="2">
        <f>IF(bieg5[[#This Row],[czas_stop]]="DNF","",bieg5[[#This Row],[czas_stop]]-bieg5[[#This Row],[czas_start]])</f>
        <v>0.10775462962962967</v>
      </c>
    </row>
    <row r="59" spans="1:5" x14ac:dyDescent="0.25">
      <c r="A59" s="1" t="s">
        <v>97</v>
      </c>
      <c r="B59" s="2">
        <v>0.38854166666666667</v>
      </c>
      <c r="C59" s="1" t="s">
        <v>98</v>
      </c>
      <c r="D59" s="1" t="s">
        <v>99</v>
      </c>
      <c r="E59" s="2">
        <f>IF(bieg5[[#This Row],[czas_stop]]="DNF","",bieg5[[#This Row],[czas_stop]]-bieg5[[#This Row],[czas_start]])</f>
        <v>0.10758101851851853</v>
      </c>
    </row>
    <row r="60" spans="1:5" x14ac:dyDescent="0.25">
      <c r="A60" s="1" t="s">
        <v>264</v>
      </c>
      <c r="B60" s="2">
        <v>0.41840277777777779</v>
      </c>
      <c r="C60" s="1" t="s">
        <v>265</v>
      </c>
      <c r="D60" s="1" t="s">
        <v>31</v>
      </c>
      <c r="E60" s="2">
        <f>IF(bieg5[[#This Row],[czas_stop]]="DNF","",bieg5[[#This Row],[czas_stop]]-bieg5[[#This Row],[czas_start]])</f>
        <v>0.10754629629629631</v>
      </c>
    </row>
    <row r="61" spans="1:5" x14ac:dyDescent="0.25">
      <c r="A61" s="1" t="s">
        <v>17</v>
      </c>
      <c r="B61" s="2">
        <v>0.37708333333333333</v>
      </c>
      <c r="C61" s="1" t="s">
        <v>18</v>
      </c>
      <c r="D61" s="1" t="s">
        <v>19</v>
      </c>
      <c r="E61" s="2">
        <f>IF(bieg5[[#This Row],[czas_stop]]="DNF","",bieg5[[#This Row],[czas_stop]]-bieg5[[#This Row],[czas_start]])</f>
        <v>0.10712962962962963</v>
      </c>
    </row>
    <row r="62" spans="1:5" x14ac:dyDescent="0.25">
      <c r="A62" s="1" t="s">
        <v>239</v>
      </c>
      <c r="B62" s="2">
        <v>0.41388888888888886</v>
      </c>
      <c r="C62" s="1" t="s">
        <v>240</v>
      </c>
      <c r="D62" s="1" t="s">
        <v>31</v>
      </c>
      <c r="E62" s="2">
        <f>IF(bieg5[[#This Row],[czas_stop]]="DNF","",bieg5[[#This Row],[czas_stop]]-bieg5[[#This Row],[czas_start]])</f>
        <v>0.10711805555555554</v>
      </c>
    </row>
    <row r="63" spans="1:5" x14ac:dyDescent="0.25">
      <c r="A63" s="1" t="s">
        <v>169</v>
      </c>
      <c r="B63" s="2">
        <v>0.40104166666666669</v>
      </c>
      <c r="C63" s="1" t="s">
        <v>170</v>
      </c>
      <c r="D63" s="1" t="s">
        <v>52</v>
      </c>
      <c r="E63" s="2">
        <f>IF(bieg5[[#This Row],[czas_stop]]="DNF","",bieg5[[#This Row],[czas_stop]]-bieg5[[#This Row],[czas_start]])</f>
        <v>0.10662037037037037</v>
      </c>
    </row>
    <row r="64" spans="1:5" x14ac:dyDescent="0.25">
      <c r="A64" s="1" t="s">
        <v>178</v>
      </c>
      <c r="B64" s="2">
        <v>0.40277777777777779</v>
      </c>
      <c r="C64" s="1" t="s">
        <v>179</v>
      </c>
      <c r="D64" s="1" t="s">
        <v>43</v>
      </c>
      <c r="E64" s="2">
        <f>IF(bieg5[[#This Row],[czas_stop]]="DNF","",bieg5[[#This Row],[czas_stop]]-bieg5[[#This Row],[czas_start]])</f>
        <v>0.10644675925925928</v>
      </c>
    </row>
    <row r="65" spans="1:5" x14ac:dyDescent="0.25">
      <c r="A65" s="1" t="s">
        <v>147</v>
      </c>
      <c r="B65" s="2">
        <v>0.3972222222222222</v>
      </c>
      <c r="C65" s="1" t="s">
        <v>148</v>
      </c>
      <c r="D65" s="1" t="s">
        <v>99</v>
      </c>
      <c r="E65" s="2">
        <f>IF(bieg5[[#This Row],[czas_stop]]="DNF","",bieg5[[#This Row],[czas_stop]]-bieg5[[#This Row],[czas_start]])</f>
        <v>0.10545138888888889</v>
      </c>
    </row>
    <row r="66" spans="1:5" x14ac:dyDescent="0.25">
      <c r="A66" s="1" t="s">
        <v>231</v>
      </c>
      <c r="B66" s="2">
        <v>0.41249999999999998</v>
      </c>
      <c r="C66" s="1" t="s">
        <v>232</v>
      </c>
      <c r="D66" s="1" t="s">
        <v>31</v>
      </c>
      <c r="E66" s="2">
        <f>IF(bieg5[[#This Row],[czas_stop]]="DNF","",bieg5[[#This Row],[czas_stop]]-bieg5[[#This Row],[czas_start]])</f>
        <v>0.10443287037037041</v>
      </c>
    </row>
    <row r="67" spans="1:5" x14ac:dyDescent="0.25">
      <c r="A67" s="1" t="s">
        <v>1</v>
      </c>
      <c r="B67" s="2">
        <v>0.375</v>
      </c>
      <c r="C67" s="1" t="s">
        <v>2</v>
      </c>
      <c r="D67" s="1" t="s">
        <v>3</v>
      </c>
      <c r="E67" s="2">
        <f>IF(bieg5[[#This Row],[czas_stop]]="DNF","",bieg5[[#This Row],[czas_stop]]-bieg5[[#This Row],[czas_start]])</f>
        <v>0.10420138888888886</v>
      </c>
    </row>
    <row r="68" spans="1:5" x14ac:dyDescent="0.25">
      <c r="A68" s="1" t="s">
        <v>111</v>
      </c>
      <c r="B68" s="2">
        <v>0.39097222222222222</v>
      </c>
      <c r="C68" s="1" t="s">
        <v>112</v>
      </c>
      <c r="D68" s="1" t="s">
        <v>34</v>
      </c>
      <c r="E68" s="2">
        <f>IF(bieg5[[#This Row],[czas_stop]]="DNF","",bieg5[[#This Row],[czas_stop]]-bieg5[[#This Row],[czas_start]])</f>
        <v>0.10410879629629632</v>
      </c>
    </row>
    <row r="69" spans="1:5" x14ac:dyDescent="0.25">
      <c r="A69" s="1" t="s">
        <v>182</v>
      </c>
      <c r="B69" s="2">
        <v>0.40347222222222223</v>
      </c>
      <c r="C69" s="1" t="s">
        <v>183</v>
      </c>
      <c r="D69" s="1" t="s">
        <v>31</v>
      </c>
      <c r="E69" s="2">
        <f>IF(bieg5[[#This Row],[czas_stop]]="DNF","",bieg5[[#This Row],[czas_stop]]-bieg5[[#This Row],[czas_start]])</f>
        <v>0.10408564814814814</v>
      </c>
    </row>
    <row r="70" spans="1:5" x14ac:dyDescent="0.25">
      <c r="A70" s="1" t="s">
        <v>243</v>
      </c>
      <c r="B70" s="2">
        <v>0.41458333333333336</v>
      </c>
      <c r="C70" s="1" t="s">
        <v>244</v>
      </c>
      <c r="D70" s="1" t="s">
        <v>12</v>
      </c>
      <c r="E70" s="2">
        <f>IF(bieg5[[#This Row],[czas_stop]]="DNF","",bieg5[[#This Row],[czas_stop]]-bieg5[[#This Row],[czas_start]])</f>
        <v>0.10371527777777773</v>
      </c>
    </row>
    <row r="71" spans="1:5" x14ac:dyDescent="0.25">
      <c r="A71" s="1" t="s">
        <v>121</v>
      </c>
      <c r="B71" s="2">
        <v>0.39270833333333333</v>
      </c>
      <c r="C71" s="1" t="s">
        <v>122</v>
      </c>
      <c r="D71" s="1" t="s">
        <v>19</v>
      </c>
      <c r="E71" s="2">
        <f>IF(bieg5[[#This Row],[czas_stop]]="DNF","",bieg5[[#This Row],[czas_stop]]-bieg5[[#This Row],[czas_start]])</f>
        <v>0.1032407407407408</v>
      </c>
    </row>
    <row r="72" spans="1:5" x14ac:dyDescent="0.25">
      <c r="A72" s="1" t="s">
        <v>41</v>
      </c>
      <c r="B72" s="2">
        <v>0.37986111111111109</v>
      </c>
      <c r="C72" s="1" t="s">
        <v>42</v>
      </c>
      <c r="D72" s="1" t="s">
        <v>43</v>
      </c>
      <c r="E72" s="2">
        <f>IF(bieg5[[#This Row],[czas_stop]]="DNF","",bieg5[[#This Row],[czas_stop]]-bieg5[[#This Row],[czas_start]])</f>
        <v>0.1028587962962963</v>
      </c>
    </row>
    <row r="73" spans="1:5" x14ac:dyDescent="0.25">
      <c r="A73" s="1" t="s">
        <v>165</v>
      </c>
      <c r="B73" s="2">
        <v>0.40034722222222224</v>
      </c>
      <c r="C73" s="1" t="s">
        <v>166</v>
      </c>
      <c r="D73" s="1" t="s">
        <v>37</v>
      </c>
      <c r="E73" s="2">
        <f>IF(bieg5[[#This Row],[czas_stop]]="DNF","",bieg5[[#This Row],[czas_stop]]-bieg5[[#This Row],[czas_start]])</f>
        <v>0.10243055555555552</v>
      </c>
    </row>
    <row r="74" spans="1:5" x14ac:dyDescent="0.25">
      <c r="A74" s="1" t="s">
        <v>262</v>
      </c>
      <c r="B74" s="2">
        <v>0.41805555555555557</v>
      </c>
      <c r="C74" s="1" t="s">
        <v>263</v>
      </c>
      <c r="D74" s="1" t="s">
        <v>49</v>
      </c>
      <c r="E74" s="2">
        <f>IF(bieg5[[#This Row],[czas_stop]]="DNF","",bieg5[[#This Row],[czas_stop]]-bieg5[[#This Row],[czas_start]])</f>
        <v>0.10182870370370373</v>
      </c>
    </row>
    <row r="75" spans="1:5" x14ac:dyDescent="0.25">
      <c r="A75" s="1" t="s">
        <v>77</v>
      </c>
      <c r="B75" s="2">
        <v>0.38506944444444446</v>
      </c>
      <c r="C75" s="1" t="s">
        <v>78</v>
      </c>
      <c r="D75" s="1" t="s">
        <v>31</v>
      </c>
      <c r="E75" s="2">
        <f>IF(bieg5[[#This Row],[czas_stop]]="DNF","",bieg5[[#This Row],[czas_stop]]-bieg5[[#This Row],[czas_start]])</f>
        <v>0.10163194444444446</v>
      </c>
    </row>
    <row r="76" spans="1:5" x14ac:dyDescent="0.25">
      <c r="A76" s="1" t="s">
        <v>253</v>
      </c>
      <c r="B76" s="2">
        <v>0.41631944444444446</v>
      </c>
      <c r="C76" s="1" t="s">
        <v>254</v>
      </c>
      <c r="D76" s="1" t="s">
        <v>12</v>
      </c>
      <c r="E76" s="2">
        <f>IF(bieg5[[#This Row],[czas_stop]]="DNF","",bieg5[[#This Row],[czas_stop]]-bieg5[[#This Row],[czas_start]])</f>
        <v>0.10158564814814819</v>
      </c>
    </row>
    <row r="77" spans="1:5" x14ac:dyDescent="0.25">
      <c r="A77" s="1" t="s">
        <v>59</v>
      </c>
      <c r="B77" s="2">
        <v>0.38194444444444442</v>
      </c>
      <c r="C77" s="1" t="s">
        <v>60</v>
      </c>
      <c r="D77" s="1" t="s">
        <v>31</v>
      </c>
      <c r="E77" s="2">
        <f>IF(bieg5[[#This Row],[czas_stop]]="DNF","",bieg5[[#This Row],[czas_stop]]-bieg5[[#This Row],[czas_start]])</f>
        <v>0.10143518518518518</v>
      </c>
    </row>
    <row r="78" spans="1:5" x14ac:dyDescent="0.25">
      <c r="A78" s="1" t="s">
        <v>105</v>
      </c>
      <c r="B78" s="2">
        <v>0.38993055555555556</v>
      </c>
      <c r="C78" s="1" t="s">
        <v>106</v>
      </c>
      <c r="D78" s="1" t="s">
        <v>46</v>
      </c>
      <c r="E78" s="2">
        <f>IF(bieg5[[#This Row],[czas_stop]]="DNF","",bieg5[[#This Row],[czas_stop]]-bieg5[[#This Row],[czas_start]])</f>
        <v>0.101099537037037</v>
      </c>
    </row>
    <row r="79" spans="1:5" x14ac:dyDescent="0.25">
      <c r="A79" s="1" t="s">
        <v>222</v>
      </c>
      <c r="B79" s="2">
        <v>0.41076388888888887</v>
      </c>
      <c r="C79" s="1" t="s">
        <v>223</v>
      </c>
      <c r="D79" s="1" t="s">
        <v>31</v>
      </c>
      <c r="E79" s="2">
        <f>IF(bieg5[[#This Row],[czas_stop]]="DNF","",bieg5[[#This Row],[czas_stop]]-bieg5[[#This Row],[czas_start]])</f>
        <v>0.10049768518518526</v>
      </c>
    </row>
    <row r="80" spans="1:5" x14ac:dyDescent="0.25">
      <c r="A80" s="1" t="s">
        <v>145</v>
      </c>
      <c r="B80" s="2">
        <v>0.39687499999999998</v>
      </c>
      <c r="C80" s="1" t="s">
        <v>146</v>
      </c>
      <c r="D80" s="1" t="s">
        <v>6</v>
      </c>
      <c r="E80" s="2">
        <f>IF(bieg5[[#This Row],[czas_stop]]="DNF","",bieg5[[#This Row],[czas_stop]]-bieg5[[#This Row],[czas_start]])</f>
        <v>0.10046296296296303</v>
      </c>
    </row>
    <row r="81" spans="1:5" x14ac:dyDescent="0.25">
      <c r="A81" s="1" t="s">
        <v>103</v>
      </c>
      <c r="B81" s="2">
        <v>0.38958333333333334</v>
      </c>
      <c r="C81" s="1" t="s">
        <v>104</v>
      </c>
      <c r="D81" s="1" t="s">
        <v>9</v>
      </c>
      <c r="E81" s="2">
        <f>IF(bieg5[[#This Row],[czas_stop]]="DNF","",bieg5[[#This Row],[czas_stop]]-bieg5[[#This Row],[czas_start]])</f>
        <v>0.10010416666666666</v>
      </c>
    </row>
    <row r="82" spans="1:5" x14ac:dyDescent="0.25">
      <c r="A82" s="1" t="s">
        <v>125</v>
      </c>
      <c r="B82" s="2">
        <v>0.39340277777777777</v>
      </c>
      <c r="C82" s="1" t="s">
        <v>126</v>
      </c>
      <c r="D82" s="1" t="s">
        <v>58</v>
      </c>
      <c r="E82" s="2">
        <f>IF(bieg5[[#This Row],[czas_stop]]="DNF","",bieg5[[#This Row],[czas_stop]]-bieg5[[#This Row],[czas_start]])</f>
        <v>9.989583333333335E-2</v>
      </c>
    </row>
    <row r="83" spans="1:5" x14ac:dyDescent="0.25">
      <c r="A83" s="1" t="s">
        <v>95</v>
      </c>
      <c r="B83" s="2">
        <v>0.38819444444444445</v>
      </c>
      <c r="C83" s="1" t="s">
        <v>96</v>
      </c>
      <c r="D83" s="1" t="s">
        <v>12</v>
      </c>
      <c r="E83" s="2">
        <f>IF(bieg5[[#This Row],[czas_stop]]="DNF","",bieg5[[#This Row],[czas_stop]]-bieg5[[#This Row],[czas_start]])</f>
        <v>9.8668981481481455E-2</v>
      </c>
    </row>
    <row r="84" spans="1:5" x14ac:dyDescent="0.25">
      <c r="A84" s="1" t="s">
        <v>209</v>
      </c>
      <c r="B84" s="2">
        <v>0.40833333333333333</v>
      </c>
      <c r="C84" s="1" t="s">
        <v>210</v>
      </c>
      <c r="D84" s="1" t="s">
        <v>28</v>
      </c>
      <c r="E84" s="2">
        <f>IF(bieg5[[#This Row],[czas_stop]]="DNF","",bieg5[[#This Row],[czas_stop]]-bieg5[[#This Row],[czas_start]])</f>
        <v>9.8576388888888866E-2</v>
      </c>
    </row>
    <row r="85" spans="1:5" x14ac:dyDescent="0.25">
      <c r="A85" s="1" t="s">
        <v>32</v>
      </c>
      <c r="B85" s="2">
        <v>0.37881944444444443</v>
      </c>
      <c r="C85" s="1" t="s">
        <v>33</v>
      </c>
      <c r="D85" s="1" t="s">
        <v>34</v>
      </c>
      <c r="E85" s="2">
        <f>IF(bieg5[[#This Row],[czas_stop]]="DNF","",bieg5[[#This Row],[czas_stop]]-bieg5[[#This Row],[czas_start]])</f>
        <v>9.8495370370370372E-2</v>
      </c>
    </row>
    <row r="86" spans="1:5" x14ac:dyDescent="0.25">
      <c r="A86" s="1" t="s">
        <v>135</v>
      </c>
      <c r="B86" s="2">
        <v>0.39513888888888887</v>
      </c>
      <c r="C86" s="1" t="s">
        <v>136</v>
      </c>
      <c r="D86" s="1" t="s">
        <v>3</v>
      </c>
      <c r="E86" s="2">
        <f>IF(bieg5[[#This Row],[czas_stop]]="DNF","",bieg5[[#This Row],[czas_stop]]-bieg5[[#This Row],[czas_start]])</f>
        <v>9.8402777777777839E-2</v>
      </c>
    </row>
    <row r="87" spans="1:5" x14ac:dyDescent="0.25">
      <c r="A87" s="1" t="s">
        <v>247</v>
      </c>
      <c r="B87" s="2">
        <v>0.4152777777777778</v>
      </c>
      <c r="C87" s="1" t="s">
        <v>248</v>
      </c>
      <c r="D87" s="1" t="s">
        <v>12</v>
      </c>
      <c r="E87" s="2">
        <f>IF(bieg5[[#This Row],[czas_stop]]="DNF","",bieg5[[#This Row],[czas_stop]]-bieg5[[#This Row],[czas_start]])</f>
        <v>9.8252314814814834E-2</v>
      </c>
    </row>
    <row r="88" spans="1:5" x14ac:dyDescent="0.25">
      <c r="A88" s="1" t="s">
        <v>237</v>
      </c>
      <c r="B88" s="2">
        <v>0.41354166666666664</v>
      </c>
      <c r="C88" s="1" t="s">
        <v>238</v>
      </c>
      <c r="D88" s="1" t="s">
        <v>12</v>
      </c>
      <c r="E88" s="2">
        <f>IF(bieg5[[#This Row],[czas_stop]]="DNF","",bieg5[[#This Row],[czas_stop]]-bieg5[[#This Row],[czas_start]])</f>
        <v>9.686342592592595E-2</v>
      </c>
    </row>
    <row r="89" spans="1:5" x14ac:dyDescent="0.25">
      <c r="A89" s="1" t="s">
        <v>167</v>
      </c>
      <c r="B89" s="2">
        <v>0.40069444444444446</v>
      </c>
      <c r="C89" s="1" t="s">
        <v>168</v>
      </c>
      <c r="D89" s="1" t="s">
        <v>40</v>
      </c>
      <c r="E89" s="2">
        <f>IF(bieg5[[#This Row],[czas_stop]]="DNF","",bieg5[[#This Row],[czas_stop]]-bieg5[[#This Row],[czas_start]])</f>
        <v>9.628472222222223E-2</v>
      </c>
    </row>
    <row r="90" spans="1:5" x14ac:dyDescent="0.25">
      <c r="A90" s="1" t="s">
        <v>251</v>
      </c>
      <c r="B90" s="2">
        <v>0.41597222222222224</v>
      </c>
      <c r="C90" s="1" t="s">
        <v>252</v>
      </c>
      <c r="D90" s="1" t="s">
        <v>49</v>
      </c>
      <c r="E90" s="2">
        <f>IF(bieg5[[#This Row],[czas_stop]]="DNF","",bieg5[[#This Row],[czas_stop]]-bieg5[[#This Row],[czas_start]])</f>
        <v>9.6087962962963014E-2</v>
      </c>
    </row>
    <row r="91" spans="1:5" x14ac:dyDescent="0.25">
      <c r="A91" s="1" t="s">
        <v>197</v>
      </c>
      <c r="B91" s="2">
        <v>0.40625</v>
      </c>
      <c r="C91" s="1" t="s">
        <v>198</v>
      </c>
      <c r="D91" s="1" t="s">
        <v>3</v>
      </c>
      <c r="E91" s="2">
        <f>IF(bieg5[[#This Row],[czas_stop]]="DNF","",bieg5[[#This Row],[czas_stop]]-bieg5[[#This Row],[czas_start]])</f>
        <v>9.5949074074074048E-2</v>
      </c>
    </row>
    <row r="92" spans="1:5" x14ac:dyDescent="0.25">
      <c r="A92" s="1" t="s">
        <v>50</v>
      </c>
      <c r="B92" s="2">
        <v>0.38090277777777776</v>
      </c>
      <c r="C92" s="1" t="s">
        <v>51</v>
      </c>
      <c r="D92" s="1" t="s">
        <v>52</v>
      </c>
      <c r="E92" s="2">
        <f>IF(bieg5[[#This Row],[czas_stop]]="DNF","",bieg5[[#This Row],[czas_stop]]-bieg5[[#This Row],[czas_start]])</f>
        <v>9.5787037037037059E-2</v>
      </c>
    </row>
    <row r="93" spans="1:5" x14ac:dyDescent="0.25">
      <c r="A93" s="1" t="s">
        <v>171</v>
      </c>
      <c r="B93" s="2">
        <v>0.40138888888888891</v>
      </c>
      <c r="C93" s="1" t="s">
        <v>172</v>
      </c>
      <c r="D93" s="1" t="s">
        <v>58</v>
      </c>
      <c r="E93" s="2">
        <f>IF(bieg5[[#This Row],[czas_stop]]="DNF","",bieg5[[#This Row],[czas_stop]]-bieg5[[#This Row],[czas_start]])</f>
        <v>9.562499999999996E-2</v>
      </c>
    </row>
    <row r="94" spans="1:5" x14ac:dyDescent="0.25">
      <c r="A94" s="1" t="s">
        <v>109</v>
      </c>
      <c r="B94" s="2">
        <v>0.390625</v>
      </c>
      <c r="C94" s="1" t="s">
        <v>110</v>
      </c>
      <c r="D94" s="1" t="s">
        <v>58</v>
      </c>
      <c r="E94" s="2">
        <f>IF(bieg5[[#This Row],[czas_stop]]="DNF","",bieg5[[#This Row],[czas_stop]]-bieg5[[#This Row],[czas_start]])</f>
        <v>9.5312499999999967E-2</v>
      </c>
    </row>
    <row r="95" spans="1:5" x14ac:dyDescent="0.25">
      <c r="A95" s="1" t="s">
        <v>83</v>
      </c>
      <c r="B95" s="2">
        <v>0.38611111111111113</v>
      </c>
      <c r="C95" s="1" t="s">
        <v>84</v>
      </c>
      <c r="D95" s="1" t="s">
        <v>46</v>
      </c>
      <c r="E95" s="2">
        <f>IF(bieg5[[#This Row],[czas_stop]]="DNF","",bieg5[[#This Row],[czas_stop]]-bieg5[[#This Row],[czas_start]])</f>
        <v>9.5300925925925872E-2</v>
      </c>
    </row>
    <row r="96" spans="1:5" x14ac:dyDescent="0.25">
      <c r="A96" s="1" t="s">
        <v>29</v>
      </c>
      <c r="B96" s="2">
        <v>0.37847222222222221</v>
      </c>
      <c r="C96" s="1" t="s">
        <v>30</v>
      </c>
      <c r="D96" s="1" t="s">
        <v>31</v>
      </c>
      <c r="E96" s="2">
        <f>IF(bieg5[[#This Row],[czas_stop]]="DNF","",bieg5[[#This Row],[czas_stop]]-bieg5[[#This Row],[czas_start]])</f>
        <v>9.4618055555555525E-2</v>
      </c>
    </row>
    <row r="97" spans="1:5" x14ac:dyDescent="0.25">
      <c r="A97" s="1" t="s">
        <v>113</v>
      </c>
      <c r="B97" s="2">
        <v>0.39131944444444444</v>
      </c>
      <c r="C97" s="1" t="s">
        <v>114</v>
      </c>
      <c r="D97" s="1" t="s">
        <v>37</v>
      </c>
      <c r="E97" s="2">
        <f>IF(bieg5[[#This Row],[czas_stop]]="DNF","",bieg5[[#This Row],[czas_stop]]-bieg5[[#This Row],[czas_start]])</f>
        <v>9.4074074074074088E-2</v>
      </c>
    </row>
    <row r="98" spans="1:5" x14ac:dyDescent="0.25">
      <c r="A98" s="1" t="s">
        <v>141</v>
      </c>
      <c r="B98" s="2">
        <v>0.39618055555555554</v>
      </c>
      <c r="C98" s="1" t="s">
        <v>142</v>
      </c>
      <c r="D98" s="1" t="s">
        <v>49</v>
      </c>
      <c r="E98" s="2">
        <f>IF(bieg5[[#This Row],[czas_stop]]="DNF","",bieg5[[#This Row],[czas_stop]]-bieg5[[#This Row],[czas_start]])</f>
        <v>9.4062499999999993E-2</v>
      </c>
    </row>
    <row r="99" spans="1:5" x14ac:dyDescent="0.25">
      <c r="A99" s="1" t="s">
        <v>63</v>
      </c>
      <c r="B99" s="2">
        <v>0.38263888888888886</v>
      </c>
      <c r="C99" s="1" t="s">
        <v>64</v>
      </c>
      <c r="D99" s="1" t="s">
        <v>37</v>
      </c>
      <c r="E99" s="2">
        <f>IF(bieg5[[#This Row],[czas_stop]]="DNF","",bieg5[[#This Row],[czas_stop]]-bieg5[[#This Row],[czas_start]])</f>
        <v>9.4004629629629632E-2</v>
      </c>
    </row>
    <row r="100" spans="1:5" x14ac:dyDescent="0.25">
      <c r="A100" s="1" t="s">
        <v>67</v>
      </c>
      <c r="B100" s="2">
        <v>0.38333333333333336</v>
      </c>
      <c r="C100" s="1" t="s">
        <v>68</v>
      </c>
      <c r="D100" s="1" t="s">
        <v>49</v>
      </c>
      <c r="E100" s="2">
        <f>IF(bieg5[[#This Row],[czas_stop]]="DNF","",bieg5[[#This Row],[czas_stop]]-bieg5[[#This Row],[czas_start]])</f>
        <v>9.3414351851851873E-2</v>
      </c>
    </row>
    <row r="101" spans="1:5" x14ac:dyDescent="0.25">
      <c r="A101" s="1" t="s">
        <v>44</v>
      </c>
      <c r="B101" s="2">
        <v>0.38020833333333331</v>
      </c>
      <c r="C101" s="1" t="s">
        <v>45</v>
      </c>
      <c r="D101" s="1" t="s">
        <v>46</v>
      </c>
      <c r="E101" s="2">
        <f>IF(bieg5[[#This Row],[czas_stop]]="DNF","",bieg5[[#This Row],[czas_stop]]-bieg5[[#This Row],[czas_start]])</f>
        <v>9.3333333333333379E-2</v>
      </c>
    </row>
    <row r="102" spans="1:5" x14ac:dyDescent="0.25">
      <c r="A102" s="1" t="s">
        <v>233</v>
      </c>
      <c r="B102" s="2">
        <v>0.4128472222222222</v>
      </c>
      <c r="C102" s="1" t="s">
        <v>234</v>
      </c>
      <c r="D102" s="1" t="s">
        <v>55</v>
      </c>
      <c r="E102" s="2">
        <f>IF(bieg5[[#This Row],[czas_stop]]="DNF","",bieg5[[#This Row],[czas_stop]]-bieg5[[#This Row],[czas_start]])</f>
        <v>9.3263888888888868E-2</v>
      </c>
    </row>
    <row r="103" spans="1:5" x14ac:dyDescent="0.25">
      <c r="A103" s="1" t="s">
        <v>56</v>
      </c>
      <c r="B103" s="2">
        <v>0.3815972222222222</v>
      </c>
      <c r="C103" s="1" t="s">
        <v>57</v>
      </c>
      <c r="D103" s="1" t="s">
        <v>58</v>
      </c>
      <c r="E103" s="2">
        <f>IF(bieg5[[#This Row],[czas_stop]]="DNF","",bieg5[[#This Row],[czas_stop]]-bieg5[[#This Row],[czas_start]])</f>
        <v>9.288194444444442E-2</v>
      </c>
    </row>
    <row r="104" spans="1:5" x14ac:dyDescent="0.25">
      <c r="A104" s="1" t="s">
        <v>101</v>
      </c>
      <c r="B104" s="2">
        <v>0.38923611111111112</v>
      </c>
      <c r="C104" s="1" t="s">
        <v>102</v>
      </c>
      <c r="D104" s="1" t="s">
        <v>25</v>
      </c>
      <c r="E104" s="2">
        <f>IF(bieg5[[#This Row],[czas_stop]]="DNF","",bieg5[[#This Row],[czas_stop]]-bieg5[[#This Row],[czas_start]])</f>
        <v>9.2476851851851893E-2</v>
      </c>
    </row>
    <row r="105" spans="1:5" x14ac:dyDescent="0.25">
      <c r="A105" s="1" t="s">
        <v>159</v>
      </c>
      <c r="B105" s="2">
        <v>0.39930555555555558</v>
      </c>
      <c r="C105" s="1" t="s">
        <v>160</v>
      </c>
      <c r="D105" s="1" t="s">
        <v>99</v>
      </c>
      <c r="E105" s="2">
        <f>IF(bieg5[[#This Row],[czas_stop]]="DNF","",bieg5[[#This Row],[czas_stop]]-bieg5[[#This Row],[czas_start]])</f>
        <v>9.2187499999999922E-2</v>
      </c>
    </row>
    <row r="106" spans="1:5" x14ac:dyDescent="0.25">
      <c r="A106" s="1" t="s">
        <v>61</v>
      </c>
      <c r="B106" s="2">
        <v>0.38229166666666664</v>
      </c>
      <c r="C106" s="1" t="s">
        <v>62</v>
      </c>
      <c r="D106" s="1" t="s">
        <v>34</v>
      </c>
      <c r="E106" s="2">
        <f>IF(bieg5[[#This Row],[czas_stop]]="DNF","",bieg5[[#This Row],[czas_stop]]-bieg5[[#This Row],[czas_start]])</f>
        <v>9.2152777777777806E-2</v>
      </c>
    </row>
    <row r="107" spans="1:5" x14ac:dyDescent="0.25">
      <c r="A107" s="1" t="s">
        <v>260</v>
      </c>
      <c r="B107" s="2">
        <v>0.41770833333333335</v>
      </c>
      <c r="C107" s="1" t="s">
        <v>261</v>
      </c>
      <c r="D107" s="1" t="s">
        <v>12</v>
      </c>
      <c r="E107" s="2">
        <f>IF(bieg5[[#This Row],[czas_stop]]="DNF","",bieg5[[#This Row],[czas_stop]]-bieg5[[#This Row],[czas_start]])</f>
        <v>9.2129629629629561E-2</v>
      </c>
    </row>
    <row r="108" spans="1:5" x14ac:dyDescent="0.25">
      <c r="A108" s="1" t="s">
        <v>192</v>
      </c>
      <c r="B108" s="2">
        <v>0.40520833333333334</v>
      </c>
      <c r="C108" s="1" t="s">
        <v>193</v>
      </c>
      <c r="D108" s="1" t="s">
        <v>58</v>
      </c>
      <c r="E108" s="2">
        <f>IF(bieg5[[#This Row],[czas_stop]]="DNF","",bieg5[[#This Row],[czas_stop]]-bieg5[[#This Row],[czas_start]])</f>
        <v>9.1840277777777812E-2</v>
      </c>
    </row>
    <row r="109" spans="1:5" x14ac:dyDescent="0.25">
      <c r="A109" s="1" t="s">
        <v>205</v>
      </c>
      <c r="B109" s="2">
        <v>0.40763888888888888</v>
      </c>
      <c r="C109" s="1" t="s">
        <v>206</v>
      </c>
      <c r="D109" s="1" t="s">
        <v>31</v>
      </c>
      <c r="E109" s="2">
        <f>IF(bieg5[[#This Row],[czas_stop]]="DNF","",bieg5[[#This Row],[czas_stop]]-bieg5[[#This Row],[czas_start]])</f>
        <v>9.1099537037037048E-2</v>
      </c>
    </row>
    <row r="110" spans="1:5" x14ac:dyDescent="0.25">
      <c r="A110" s="1" t="s">
        <v>235</v>
      </c>
      <c r="B110" s="2">
        <v>0.41319444444444442</v>
      </c>
      <c r="C110" s="1" t="s">
        <v>236</v>
      </c>
      <c r="D110" s="1" t="s">
        <v>49</v>
      </c>
      <c r="E110" s="2">
        <f>IF(bieg5[[#This Row],[czas_stop]]="DNF","",bieg5[[#This Row],[czas_stop]]-bieg5[[#This Row],[czas_start]])</f>
        <v>9.013888888888888E-2</v>
      </c>
    </row>
    <row r="111" spans="1:5" x14ac:dyDescent="0.25">
      <c r="A111" s="1" t="s">
        <v>194</v>
      </c>
      <c r="B111" s="2">
        <v>0.40555555555555556</v>
      </c>
      <c r="C111" s="1" t="s">
        <v>195</v>
      </c>
      <c r="D111" s="1" t="s">
        <v>52</v>
      </c>
      <c r="E111" s="2">
        <f>IF(bieg5[[#This Row],[czas_stop]]="DNF","",bieg5[[#This Row],[czas_stop]]-bieg5[[#This Row],[czas_start]])</f>
        <v>9.0057870370370385E-2</v>
      </c>
    </row>
    <row r="112" spans="1:5" x14ac:dyDescent="0.25">
      <c r="A112" s="1" t="s">
        <v>123</v>
      </c>
      <c r="B112" s="2">
        <v>0.39305555555555555</v>
      </c>
      <c r="C112" s="1" t="s">
        <v>124</v>
      </c>
      <c r="D112" s="1" t="s">
        <v>22</v>
      </c>
      <c r="E112" s="2">
        <f>IF(bieg5[[#This Row],[czas_stop]]="DNF","",bieg5[[#This Row],[czas_stop]]-bieg5[[#This Row],[czas_start]])</f>
        <v>9.0023148148148158E-2</v>
      </c>
    </row>
    <row r="113" spans="1:5" x14ac:dyDescent="0.25">
      <c r="A113" s="1" t="s">
        <v>215</v>
      </c>
      <c r="B113" s="2">
        <v>0.40937499999999999</v>
      </c>
      <c r="C113" s="1" t="s">
        <v>216</v>
      </c>
      <c r="D113" s="1" t="s">
        <v>6</v>
      </c>
      <c r="E113" s="2">
        <f>IF(bieg5[[#This Row],[czas_stop]]="DNF","",bieg5[[#This Row],[czas_stop]]-bieg5[[#This Row],[czas_start]])</f>
        <v>8.998842592592593E-2</v>
      </c>
    </row>
    <row r="114" spans="1:5" x14ac:dyDescent="0.25">
      <c r="A114" s="1" t="s">
        <v>115</v>
      </c>
      <c r="B114" s="2">
        <v>0.39166666666666666</v>
      </c>
      <c r="C114" s="1" t="s">
        <v>116</v>
      </c>
      <c r="D114" s="1" t="s">
        <v>43</v>
      </c>
      <c r="E114" s="2">
        <f>IF(bieg5[[#This Row],[czas_stop]]="DNF","",bieg5[[#This Row],[czas_stop]]-bieg5[[#This Row],[czas_start]])</f>
        <v>8.9328703703703716E-2</v>
      </c>
    </row>
    <row r="115" spans="1:5" x14ac:dyDescent="0.25">
      <c r="A115" s="1" t="s">
        <v>190</v>
      </c>
      <c r="B115" s="2">
        <v>0.40486111111111112</v>
      </c>
      <c r="C115" s="1" t="s">
        <v>191</v>
      </c>
      <c r="D115" s="1" t="s">
        <v>99</v>
      </c>
      <c r="E115" s="2">
        <f>IF(bieg5[[#This Row],[czas_stop]]="DNF","",bieg5[[#This Row],[czas_stop]]-bieg5[[#This Row],[czas_start]])</f>
        <v>8.9131944444444444E-2</v>
      </c>
    </row>
    <row r="116" spans="1:5" x14ac:dyDescent="0.25">
      <c r="A116" s="1" t="s">
        <v>249</v>
      </c>
      <c r="B116" s="2">
        <v>0.41562500000000002</v>
      </c>
      <c r="C116" s="1" t="s">
        <v>250</v>
      </c>
      <c r="D116" s="1" t="s">
        <v>40</v>
      </c>
      <c r="E116" s="2">
        <f>IF(bieg5[[#This Row],[czas_stop]]="DNF","",bieg5[[#This Row],[czas_stop]]-bieg5[[#This Row],[czas_start]])</f>
        <v>8.8715277777777768E-2</v>
      </c>
    </row>
    <row r="117" spans="1:5" x14ac:dyDescent="0.25">
      <c r="A117" s="1" t="s">
        <v>180</v>
      </c>
      <c r="B117" s="2">
        <v>0.40312500000000001</v>
      </c>
      <c r="C117" s="1" t="s">
        <v>181</v>
      </c>
      <c r="D117" s="1" t="s">
        <v>28</v>
      </c>
      <c r="E117" s="2">
        <f>IF(bieg5[[#This Row],[czas_stop]]="DNF","",bieg5[[#This Row],[czas_stop]]-bieg5[[#This Row],[czas_start]])</f>
        <v>8.8703703703703674E-2</v>
      </c>
    </row>
    <row r="118" spans="1:5" x14ac:dyDescent="0.25">
      <c r="A118" s="1" t="s">
        <v>47</v>
      </c>
      <c r="B118" s="2">
        <v>0.38055555555555554</v>
      </c>
      <c r="C118" s="1" t="s">
        <v>48</v>
      </c>
      <c r="D118" s="1" t="s">
        <v>49</v>
      </c>
      <c r="E118" s="2">
        <f>IF(bieg5[[#This Row],[czas_stop]]="DNF","",bieg5[[#This Row],[czas_stop]]-bieg5[[#This Row],[czas_start]])</f>
        <v>8.8692129629629635E-2</v>
      </c>
    </row>
    <row r="119" spans="1:5" x14ac:dyDescent="0.25">
      <c r="A119" s="1" t="s">
        <v>117</v>
      </c>
      <c r="B119" s="2">
        <v>0.39201388888888888</v>
      </c>
      <c r="C119" s="1" t="s">
        <v>118</v>
      </c>
      <c r="D119" s="1" t="s">
        <v>9</v>
      </c>
      <c r="E119" s="2">
        <f>IF(bieg5[[#This Row],[czas_stop]]="DNF","",bieg5[[#This Row],[czas_stop]]-bieg5[[#This Row],[czas_start]])</f>
        <v>8.861111111111114E-2</v>
      </c>
    </row>
    <row r="120" spans="1:5" x14ac:dyDescent="0.25">
      <c r="A120" s="1" t="s">
        <v>53</v>
      </c>
      <c r="B120" s="2">
        <v>0.38124999999999998</v>
      </c>
      <c r="C120" s="1" t="s">
        <v>54</v>
      </c>
      <c r="D120" s="1" t="s">
        <v>55</v>
      </c>
      <c r="E120" s="2">
        <f>IF(bieg5[[#This Row],[czas_stop]]="DNF","",bieg5[[#This Row],[czas_stop]]-bieg5[[#This Row],[czas_start]])</f>
        <v>8.789351851851851E-2</v>
      </c>
    </row>
    <row r="121" spans="1:5" x14ac:dyDescent="0.25">
      <c r="A121" s="1" t="s">
        <v>100</v>
      </c>
      <c r="B121" s="2">
        <v>0.3888888888888889</v>
      </c>
      <c r="C121" s="1" t="s">
        <v>64</v>
      </c>
      <c r="D121" s="1" t="s">
        <v>99</v>
      </c>
      <c r="E121" s="2">
        <f>IF(bieg5[[#This Row],[czas_stop]]="DNF","",bieg5[[#This Row],[czas_stop]]-bieg5[[#This Row],[czas_start]])</f>
        <v>8.7754629629629599E-2</v>
      </c>
    </row>
    <row r="122" spans="1:5" x14ac:dyDescent="0.25">
      <c r="A122" s="1" t="s">
        <v>173</v>
      </c>
      <c r="B122" s="2">
        <v>0.40173611111111113</v>
      </c>
      <c r="C122" s="1" t="s">
        <v>174</v>
      </c>
      <c r="D122" s="1" t="s">
        <v>49</v>
      </c>
      <c r="E122" s="2">
        <f>IF(bieg5[[#This Row],[czas_stop]]="DNF","",bieg5[[#This Row],[czas_stop]]-bieg5[[#This Row],[czas_start]])</f>
        <v>8.7430555555555567E-2</v>
      </c>
    </row>
    <row r="123" spans="1:5" x14ac:dyDescent="0.25">
      <c r="A123" s="1" t="s">
        <v>149</v>
      </c>
      <c r="B123" s="2">
        <v>0.39756944444444442</v>
      </c>
      <c r="C123" s="1" t="s">
        <v>150</v>
      </c>
      <c r="D123" s="1" t="s">
        <v>55</v>
      </c>
      <c r="E123" s="2">
        <f>IF(bieg5[[#This Row],[czas_stop]]="DNF","",bieg5[[#This Row],[czas_stop]]-bieg5[[#This Row],[czas_start]])</f>
        <v>8.709490740740744E-2</v>
      </c>
    </row>
    <row r="124" spans="1:5" x14ac:dyDescent="0.25">
      <c r="A124" s="1" t="s">
        <v>163</v>
      </c>
      <c r="B124" s="2">
        <v>0.4</v>
      </c>
      <c r="C124" s="1" t="s">
        <v>164</v>
      </c>
      <c r="D124" s="1" t="s">
        <v>9</v>
      </c>
      <c r="E124" s="2">
        <f>IF(bieg5[[#This Row],[czas_stop]]="DNF","",bieg5[[#This Row],[czas_stop]]-bieg5[[#This Row],[czas_start]])</f>
        <v>8.6944444444444435E-2</v>
      </c>
    </row>
    <row r="125" spans="1:5" x14ac:dyDescent="0.25">
      <c r="A125" s="8" t="s">
        <v>79</v>
      </c>
      <c r="B125" s="9">
        <v>0.38541666666666669</v>
      </c>
      <c r="C125" s="8" t="s">
        <v>80</v>
      </c>
      <c r="D125" s="8" t="s">
        <v>34</v>
      </c>
      <c r="E125" s="9">
        <f>IF(bieg5[[#This Row],[czas_stop]]="DNF","",bieg5[[#This Row],[czas_stop]]-bieg5[[#This Row],[czas_start]])</f>
        <v>8.6620370370370348E-2</v>
      </c>
    </row>
    <row r="126" spans="1:5" x14ac:dyDescent="0.25">
      <c r="A126" s="8" t="s">
        <v>139</v>
      </c>
      <c r="B126" s="9">
        <v>0.39583333333333331</v>
      </c>
      <c r="C126" s="8" t="s">
        <v>140</v>
      </c>
      <c r="D126" s="8" t="s">
        <v>55</v>
      </c>
      <c r="E126" s="9">
        <f>IF(bieg5[[#This Row],[czas_stop]]="DNF","",bieg5[[#This Row],[czas_stop]]-bieg5[[#This Row],[czas_start]])</f>
        <v>8.6539351851851909E-2</v>
      </c>
    </row>
    <row r="127" spans="1:5" x14ac:dyDescent="0.25">
      <c r="A127" s="8" t="s">
        <v>153</v>
      </c>
      <c r="B127" s="9">
        <v>0.39826388888888886</v>
      </c>
      <c r="C127" s="8" t="s">
        <v>154</v>
      </c>
      <c r="D127" s="8" t="s">
        <v>9</v>
      </c>
      <c r="E127" s="9">
        <f>IF(bieg5[[#This Row],[czas_stop]]="DNF","",bieg5[[#This Row],[czas_stop]]-bieg5[[#This Row],[czas_start]])</f>
        <v>8.5520833333333379E-2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F5A3-234B-410C-8C98-907E79BD4A0A}">
  <dimension ref="A1:K127"/>
  <sheetViews>
    <sheetView workbookViewId="0">
      <selection activeCell="L15" sqref="L15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12" bestFit="1" customWidth="1"/>
    <col min="4" max="4" width="6.5703125" bestFit="1" customWidth="1"/>
    <col min="5" max="5" width="9.140625" style="1"/>
    <col min="6" max="6" width="9.42578125" bestFit="1" customWidth="1"/>
    <col min="7" max="7" width="9.140625" style="2"/>
    <col min="8" max="8" width="6.5703125" bestFit="1" customWidth="1"/>
    <col min="9" max="9" width="6.5703125" customWidth="1"/>
    <col min="10" max="10" width="9.42578125" bestFit="1" customWidth="1"/>
  </cols>
  <sheetData>
    <row r="1" spans="1:11" x14ac:dyDescent="0.25">
      <c r="A1" t="s">
        <v>266</v>
      </c>
      <c r="B1" t="s">
        <v>267</v>
      </c>
      <c r="C1" t="s">
        <v>268</v>
      </c>
      <c r="D1" t="s">
        <v>0</v>
      </c>
      <c r="E1" s="1" t="s">
        <v>272</v>
      </c>
      <c r="F1" t="s">
        <v>273</v>
      </c>
      <c r="G1" s="2" t="s">
        <v>274</v>
      </c>
      <c r="H1" t="s">
        <v>0</v>
      </c>
    </row>
    <row r="2" spans="1:11" x14ac:dyDescent="0.25">
      <c r="A2" s="1" t="s">
        <v>121</v>
      </c>
      <c r="B2" s="2">
        <v>0.39270833333333333</v>
      </c>
      <c r="C2" s="1" t="s">
        <v>122</v>
      </c>
      <c r="D2" s="1" t="s">
        <v>19</v>
      </c>
      <c r="E2" s="2">
        <f>IF(bieg6[[#This Row],[czas_stop]]="DNF","",bieg6[[#This Row],[czas_stop]]-bieg6[[#This Row],[czas_start]])</f>
        <v>0.1032407407407408</v>
      </c>
      <c r="F2" s="1">
        <f>IF(bieg6[[#This Row],[kraj]]&lt;&gt;D1,1,IF(OR(F1=1,F1=2),F1+1,0))</f>
        <v>1</v>
      </c>
      <c r="G2" s="2" t="str">
        <f>IF(bieg6[[#This Row],[podiumKraj]]=3,1,"")</f>
        <v/>
      </c>
      <c r="H2" s="1" t="s">
        <v>19</v>
      </c>
      <c r="I2" s="1"/>
      <c r="J2" s="10" t="s">
        <v>275</v>
      </c>
      <c r="K2" s="10" t="s">
        <v>0</v>
      </c>
    </row>
    <row r="3" spans="1:11" x14ac:dyDescent="0.25">
      <c r="A3" s="1" t="s">
        <v>17</v>
      </c>
      <c r="B3" s="2">
        <v>0.37708333333333333</v>
      </c>
      <c r="C3" s="1" t="s">
        <v>18</v>
      </c>
      <c r="D3" s="1" t="s">
        <v>19</v>
      </c>
      <c r="E3" s="2">
        <f>IF(bieg6[[#This Row],[czas_stop]]="DNF","",bieg6[[#This Row],[czas_stop]]-bieg6[[#This Row],[czas_start]])</f>
        <v>0.10712962962962963</v>
      </c>
      <c r="F3" s="1">
        <f>IF(bieg6[[#This Row],[kraj]]&lt;&gt;D2,1,IF(OR(F2=1,F2=2),F2+1,0))</f>
        <v>2</v>
      </c>
      <c r="G3" s="2" t="str">
        <f>IF(bieg6[[#This Row],[podiumKraj]]=3,1,"")</f>
        <v/>
      </c>
      <c r="H3" s="1" t="s">
        <v>19</v>
      </c>
      <c r="I3" s="1"/>
      <c r="J3" s="7">
        <f>MIN(G:G)</f>
        <v>8.7025462962962985E-2</v>
      </c>
      <c r="K3" s="10" t="str">
        <f>VLOOKUP(J3,G:H,2,0)</f>
        <v>POL</v>
      </c>
    </row>
    <row r="4" spans="1:11" x14ac:dyDescent="0.25">
      <c r="A4" s="1" t="s">
        <v>93</v>
      </c>
      <c r="B4" s="2">
        <v>0.38784722222222223</v>
      </c>
      <c r="C4" s="1" t="s">
        <v>94</v>
      </c>
      <c r="D4" s="1" t="s">
        <v>19</v>
      </c>
      <c r="E4" s="2">
        <f>IF(bieg6[[#This Row],[czas_stop]]="DNF","",bieg6[[#This Row],[czas_stop]]-bieg6[[#This Row],[czas_start]])</f>
        <v>0.10978009259259264</v>
      </c>
      <c r="F4" s="1">
        <f>IF(bieg6[[#This Row],[kraj]]&lt;&gt;D3,1,IF(OR(F3=1,F3=2),F3+1,0))</f>
        <v>3</v>
      </c>
      <c r="G4" s="2">
        <f>IF(bieg6[[#This Row],[podiumKraj]]=3,AVERAGE(E2:E4),"")</f>
        <v>0.10671682098765435</v>
      </c>
      <c r="H4" s="1" t="s">
        <v>19</v>
      </c>
      <c r="I4" s="1"/>
      <c r="J4" s="10"/>
      <c r="K4" s="10"/>
    </row>
    <row r="5" spans="1:11" x14ac:dyDescent="0.25">
      <c r="A5" s="1" t="s">
        <v>188</v>
      </c>
      <c r="B5" s="2">
        <v>0.4045138888888889</v>
      </c>
      <c r="C5" s="1" t="s">
        <v>189</v>
      </c>
      <c r="D5" s="1" t="s">
        <v>19</v>
      </c>
      <c r="E5" s="2">
        <f>IF(bieg6[[#This Row],[czas_stop]]="DNF","",bieg6[[#This Row],[czas_stop]]-bieg6[[#This Row],[czas_start]])</f>
        <v>0.11835648148148153</v>
      </c>
      <c r="F5" s="1">
        <f>IF(bieg6[[#This Row],[kraj]]&lt;&gt;D4,1,IF(OR(F4=1,F4=2),F4+1,0))</f>
        <v>0</v>
      </c>
      <c r="G5" s="2" t="str">
        <f>IF(bieg6[[#This Row],[podiumKraj]]=3,AVERAGE(E3:E5),"")</f>
        <v/>
      </c>
      <c r="H5" s="1" t="s">
        <v>19</v>
      </c>
      <c r="I5" s="1"/>
      <c r="J5" s="10" t="s">
        <v>276</v>
      </c>
      <c r="K5" s="10"/>
    </row>
    <row r="6" spans="1:11" x14ac:dyDescent="0.25">
      <c r="A6" s="1" t="s">
        <v>217</v>
      </c>
      <c r="B6" s="2">
        <v>0.40972222222222221</v>
      </c>
      <c r="C6" s="1" t="s">
        <v>218</v>
      </c>
      <c r="D6" s="1" t="s">
        <v>19</v>
      </c>
      <c r="E6" s="2">
        <f>IF(bieg6[[#This Row],[czas_stop]]="DNF","",bieg6[[#This Row],[czas_stop]]-bieg6[[#This Row],[czas_start]])</f>
        <v>0.12185185185185188</v>
      </c>
      <c r="F6" s="1">
        <f>IF(bieg6[[#This Row],[kraj]]&lt;&gt;D5,1,IF(OR(F5=1,F5=2),F5+1,0))</f>
        <v>0</v>
      </c>
      <c r="G6" s="2" t="str">
        <f>IF(bieg6[[#This Row],[podiumKraj]]=3,AVERAGE(E4:E6),"")</f>
        <v/>
      </c>
      <c r="H6" s="1" t="s">
        <v>19</v>
      </c>
      <c r="I6" s="1"/>
      <c r="J6" s="10">
        <v>8.5520833333333379E-2</v>
      </c>
      <c r="K6" s="10"/>
    </row>
    <row r="7" spans="1:11" x14ac:dyDescent="0.25">
      <c r="A7" s="1" t="s">
        <v>89</v>
      </c>
      <c r="B7" s="2">
        <v>0.38715277777777779</v>
      </c>
      <c r="C7" s="1" t="s">
        <v>90</v>
      </c>
      <c r="D7" s="1" t="s">
        <v>19</v>
      </c>
      <c r="E7" s="2">
        <f>IF(bieg6[[#This Row],[czas_stop]]="DNF","",bieg6[[#This Row],[czas_stop]]-bieg6[[#This Row],[czas_start]])</f>
        <v>0.12434027777777779</v>
      </c>
      <c r="F7" s="1">
        <f>IF(bieg6[[#This Row],[kraj]]&lt;&gt;D6,1,IF(OR(F6=1,F6=2),F6+1,0))</f>
        <v>0</v>
      </c>
      <c r="G7" s="2" t="str">
        <f>IF(bieg6[[#This Row],[podiumKraj]]=3,AVERAGE(E5:E7),"")</f>
        <v/>
      </c>
      <c r="H7" s="1" t="s">
        <v>19</v>
      </c>
      <c r="I7" s="1"/>
      <c r="J7" s="10">
        <v>8.6944444444444435E-2</v>
      </c>
      <c r="K7" s="10"/>
    </row>
    <row r="8" spans="1:11" x14ac:dyDescent="0.25">
      <c r="A8" s="1" t="s">
        <v>192</v>
      </c>
      <c r="B8" s="2">
        <v>0.40520833333333334</v>
      </c>
      <c r="C8" s="1" t="s">
        <v>193</v>
      </c>
      <c r="D8" s="1" t="s">
        <v>58</v>
      </c>
      <c r="E8" s="2">
        <f>IF(bieg6[[#This Row],[czas_stop]]="DNF","",bieg6[[#This Row],[czas_stop]]-bieg6[[#This Row],[czas_start]])</f>
        <v>9.1840277777777812E-2</v>
      </c>
      <c r="F8" s="1">
        <f>IF(bieg6[[#This Row],[kraj]]&lt;&gt;D7,1,IF(OR(F7=1,F7=2),F7+1,0))</f>
        <v>1</v>
      </c>
      <c r="G8" s="2" t="str">
        <f>IF(bieg6[[#This Row],[podiumKraj]]=3,AVERAGE(E6:E8),"")</f>
        <v/>
      </c>
      <c r="H8" s="1" t="s">
        <v>58</v>
      </c>
      <c r="I8" s="1"/>
      <c r="J8" s="10">
        <v>8.861111111111114E-2</v>
      </c>
      <c r="K8" s="10"/>
    </row>
    <row r="9" spans="1:11" x14ac:dyDescent="0.25">
      <c r="A9" s="1" t="s">
        <v>56</v>
      </c>
      <c r="B9" s="2">
        <v>0.3815972222222222</v>
      </c>
      <c r="C9" s="1" t="s">
        <v>57</v>
      </c>
      <c r="D9" s="1" t="s">
        <v>58</v>
      </c>
      <c r="E9" s="2">
        <f>IF(bieg6[[#This Row],[czas_stop]]="DNF","",bieg6[[#This Row],[czas_stop]]-bieg6[[#This Row],[czas_start]])</f>
        <v>9.288194444444442E-2</v>
      </c>
      <c r="F9" s="1">
        <f>IF(bieg6[[#This Row],[kraj]]&lt;&gt;D8,1,IF(OR(F8=1,F8=2),F8+1,0))</f>
        <v>2</v>
      </c>
      <c r="G9" s="2" t="str">
        <f>IF(bieg6[[#This Row],[podiumKraj]]=3,AVERAGE(E7:E9),"")</f>
        <v/>
      </c>
      <c r="H9" s="1" t="s">
        <v>58</v>
      </c>
      <c r="I9" s="1"/>
    </row>
    <row r="10" spans="1:11" x14ac:dyDescent="0.25">
      <c r="A10" s="1" t="s">
        <v>109</v>
      </c>
      <c r="B10" s="2">
        <v>0.390625</v>
      </c>
      <c r="C10" s="1" t="s">
        <v>110</v>
      </c>
      <c r="D10" s="1" t="s">
        <v>58</v>
      </c>
      <c r="E10" s="2">
        <f>IF(bieg6[[#This Row],[czas_stop]]="DNF","",bieg6[[#This Row],[czas_stop]]-bieg6[[#This Row],[czas_start]])</f>
        <v>9.5312499999999967E-2</v>
      </c>
      <c r="F10" s="1">
        <f>IF(bieg6[[#This Row],[kraj]]&lt;&gt;D9,1,IF(OR(F9=1,F9=2),F9+1,0))</f>
        <v>3</v>
      </c>
      <c r="G10" s="2">
        <f>IF(bieg6[[#This Row],[podiumKraj]]=3,AVERAGE(E8:E10),"")</f>
        <v>9.3344907407407404E-2</v>
      </c>
      <c r="H10" s="1" t="s">
        <v>58</v>
      </c>
      <c r="I10" s="1"/>
    </row>
    <row r="11" spans="1:11" x14ac:dyDescent="0.25">
      <c r="A11" s="1" t="s">
        <v>171</v>
      </c>
      <c r="B11" s="2">
        <v>0.40138888888888891</v>
      </c>
      <c r="C11" s="1" t="s">
        <v>172</v>
      </c>
      <c r="D11" s="1" t="s">
        <v>58</v>
      </c>
      <c r="E11" s="2">
        <f>IF(bieg6[[#This Row],[czas_stop]]="DNF","",bieg6[[#This Row],[czas_stop]]-bieg6[[#This Row],[czas_start]])</f>
        <v>9.562499999999996E-2</v>
      </c>
      <c r="F11" s="1">
        <f>IF(bieg6[[#This Row],[kraj]]&lt;&gt;D10,1,IF(OR(F10=1,F10=2),F10+1,0))</f>
        <v>0</v>
      </c>
      <c r="G11" s="2" t="str">
        <f>IF(bieg6[[#This Row],[podiumKraj]]=3,AVERAGE(E9:E11),"")</f>
        <v/>
      </c>
      <c r="H11" s="1" t="s">
        <v>58</v>
      </c>
      <c r="I11" s="1"/>
    </row>
    <row r="12" spans="1:11" x14ac:dyDescent="0.25">
      <c r="A12" s="1" t="s">
        <v>125</v>
      </c>
      <c r="B12" s="2">
        <v>0.39340277777777777</v>
      </c>
      <c r="C12" s="1" t="s">
        <v>126</v>
      </c>
      <c r="D12" s="1" t="s">
        <v>58</v>
      </c>
      <c r="E12" s="2">
        <f>IF(bieg6[[#This Row],[czas_stop]]="DNF","",bieg6[[#This Row],[czas_stop]]-bieg6[[#This Row],[czas_start]])</f>
        <v>9.989583333333335E-2</v>
      </c>
      <c r="F12" s="1">
        <f>IF(bieg6[[#This Row],[kraj]]&lt;&gt;D11,1,IF(OR(F11=1,F11=2),F11+1,0))</f>
        <v>0</v>
      </c>
      <c r="G12" s="2" t="str">
        <f>IF(bieg6[[#This Row],[podiumKraj]]=3,AVERAGE(E10:E12),"")</f>
        <v/>
      </c>
      <c r="H12" s="1" t="s">
        <v>58</v>
      </c>
      <c r="I12" s="1"/>
    </row>
    <row r="13" spans="1:11" x14ac:dyDescent="0.25">
      <c r="A13" s="1" t="s">
        <v>63</v>
      </c>
      <c r="B13" s="2">
        <v>0.38263888888888886</v>
      </c>
      <c r="C13" s="1" t="s">
        <v>64</v>
      </c>
      <c r="D13" s="1" t="s">
        <v>37</v>
      </c>
      <c r="E13" s="2">
        <f>IF(bieg6[[#This Row],[czas_stop]]="DNF","",bieg6[[#This Row],[czas_stop]]-bieg6[[#This Row],[czas_start]])</f>
        <v>9.4004629629629632E-2</v>
      </c>
      <c r="F13" s="1">
        <f>IF(bieg6[[#This Row],[kraj]]&lt;&gt;D12,1,IF(OR(F12=1,F12=2),F12+1,0))</f>
        <v>1</v>
      </c>
      <c r="G13" s="2" t="str">
        <f>IF(bieg6[[#This Row],[podiumKraj]]=3,AVERAGE(E11:E13),"")</f>
        <v/>
      </c>
      <c r="H13" s="1" t="s">
        <v>37</v>
      </c>
      <c r="I13" s="1"/>
    </row>
    <row r="14" spans="1:11" x14ac:dyDescent="0.25">
      <c r="A14" s="1" t="s">
        <v>113</v>
      </c>
      <c r="B14" s="2">
        <v>0.39131944444444444</v>
      </c>
      <c r="C14" s="1" t="s">
        <v>114</v>
      </c>
      <c r="D14" s="1" t="s">
        <v>37</v>
      </c>
      <c r="E14" s="2">
        <f>IF(bieg6[[#This Row],[czas_stop]]="DNF","",bieg6[[#This Row],[czas_stop]]-bieg6[[#This Row],[czas_start]])</f>
        <v>9.4074074074074088E-2</v>
      </c>
      <c r="F14" s="1">
        <f>IF(bieg6[[#This Row],[kraj]]&lt;&gt;D13,1,IF(OR(F13=1,F13=2),F13+1,0))</f>
        <v>2</v>
      </c>
      <c r="G14" s="2" t="str">
        <f>IF(bieg6[[#This Row],[podiumKraj]]=3,AVERAGE(E12:E14),"")</f>
        <v/>
      </c>
      <c r="H14" s="1" t="s">
        <v>37</v>
      </c>
      <c r="I14" s="1"/>
    </row>
    <row r="15" spans="1:11" x14ac:dyDescent="0.25">
      <c r="A15" s="1" t="s">
        <v>165</v>
      </c>
      <c r="B15" s="2">
        <v>0.40034722222222224</v>
      </c>
      <c r="C15" s="1" t="s">
        <v>166</v>
      </c>
      <c r="D15" s="1" t="s">
        <v>37</v>
      </c>
      <c r="E15" s="2">
        <f>IF(bieg6[[#This Row],[czas_stop]]="DNF","",bieg6[[#This Row],[czas_stop]]-bieg6[[#This Row],[czas_start]])</f>
        <v>0.10243055555555552</v>
      </c>
      <c r="F15" s="1">
        <f>IF(bieg6[[#This Row],[kraj]]&lt;&gt;D14,1,IF(OR(F14=1,F14=2),F14+1,0))</f>
        <v>3</v>
      </c>
      <c r="G15" s="2">
        <f>IF(bieg6[[#This Row],[podiumKraj]]=3,AVERAGE(E13:E15),"")</f>
        <v>9.683641975308642E-2</v>
      </c>
      <c r="H15" s="1" t="s">
        <v>37</v>
      </c>
      <c r="I15" s="1"/>
    </row>
    <row r="16" spans="1:11" x14ac:dyDescent="0.25">
      <c r="A16" s="1" t="s">
        <v>129</v>
      </c>
      <c r="B16" s="2">
        <v>0.39409722222222221</v>
      </c>
      <c r="C16" s="1" t="s">
        <v>130</v>
      </c>
      <c r="D16" s="1" t="s">
        <v>37</v>
      </c>
      <c r="E16" s="2">
        <f>IF(bieg6[[#This Row],[czas_stop]]="DNF","",bieg6[[#This Row],[czas_stop]]-bieg6[[#This Row],[czas_start]])</f>
        <v>0.10775462962962967</v>
      </c>
      <c r="F16" s="1">
        <f>IF(bieg6[[#This Row],[kraj]]&lt;&gt;D15,1,IF(OR(F15=1,F15=2),F15+1,0))</f>
        <v>0</v>
      </c>
      <c r="G16" s="2" t="str">
        <f>IF(bieg6[[#This Row],[podiumKraj]]=3,AVERAGE(E14:E16),"")</f>
        <v/>
      </c>
      <c r="H16" s="1" t="s">
        <v>37</v>
      </c>
      <c r="I16" s="1"/>
    </row>
    <row r="17" spans="1:9" x14ac:dyDescent="0.25">
      <c r="A17" s="1" t="s">
        <v>35</v>
      </c>
      <c r="B17" s="2">
        <v>0.37916666666666665</v>
      </c>
      <c r="C17" s="1" t="s">
        <v>36</v>
      </c>
      <c r="D17" s="1" t="s">
        <v>37</v>
      </c>
      <c r="E17" s="2">
        <f>IF(bieg6[[#This Row],[czas_stop]]="DNF","",bieg6[[#This Row],[czas_stop]]-bieg6[[#This Row],[czas_start]])</f>
        <v>0.1105902777777778</v>
      </c>
      <c r="F17" s="1">
        <f>IF(bieg6[[#This Row],[kraj]]&lt;&gt;D16,1,IF(OR(F16=1,F16=2),F16+1,0))</f>
        <v>0</v>
      </c>
      <c r="G17" s="2" t="str">
        <f>IF(bieg6[[#This Row],[podiumKraj]]=3,AVERAGE(E15:E17),"")</f>
        <v/>
      </c>
      <c r="H17" s="1" t="s">
        <v>37</v>
      </c>
      <c r="I17" s="1"/>
    </row>
    <row r="18" spans="1:9" x14ac:dyDescent="0.25">
      <c r="A18" s="1" t="s">
        <v>157</v>
      </c>
      <c r="B18" s="2">
        <v>0.39895833333333336</v>
      </c>
      <c r="C18" s="1" t="s">
        <v>158</v>
      </c>
      <c r="D18" s="1" t="s">
        <v>37</v>
      </c>
      <c r="E18" s="2">
        <f>IF(bieg6[[#This Row],[czas_stop]]="DNF","",bieg6[[#This Row],[czas_stop]]-bieg6[[#This Row],[czas_start]])</f>
        <v>0.11313657407407401</v>
      </c>
      <c r="F18" s="1">
        <f>IF(bieg6[[#This Row],[kraj]]&lt;&gt;D17,1,IF(OR(F17=1,F17=2),F17+1,0))</f>
        <v>0</v>
      </c>
      <c r="G18" s="2" t="str">
        <f>IF(bieg6[[#This Row],[podiumKraj]]=3,AVERAGE(E16:E18),"")</f>
        <v/>
      </c>
      <c r="H18" s="1" t="s">
        <v>37</v>
      </c>
      <c r="I18" s="1"/>
    </row>
    <row r="19" spans="1:9" x14ac:dyDescent="0.25">
      <c r="A19" s="8" t="s">
        <v>139</v>
      </c>
      <c r="B19" s="9">
        <v>0.39583333333333331</v>
      </c>
      <c r="C19" s="8" t="s">
        <v>140</v>
      </c>
      <c r="D19" s="8" t="s">
        <v>55</v>
      </c>
      <c r="E19" s="9">
        <f>IF(bieg6[[#This Row],[czas_stop]]="DNF","",bieg6[[#This Row],[czas_stop]]-bieg6[[#This Row],[czas_start]])</f>
        <v>8.6539351851851909E-2</v>
      </c>
      <c r="F19" s="1">
        <f>IF(bieg6[[#This Row],[kraj]]&lt;&gt;D18,1,IF(OR(F18=1,F18=2),F18+1,0))</f>
        <v>1</v>
      </c>
      <c r="G19" s="2" t="str">
        <f>IF(bieg6[[#This Row],[podiumKraj]]=3,AVERAGE(E17:E19),"")</f>
        <v/>
      </c>
      <c r="H19" s="8" t="s">
        <v>55</v>
      </c>
      <c r="I19" s="8"/>
    </row>
    <row r="20" spans="1:9" x14ac:dyDescent="0.25">
      <c r="A20" s="1" t="s">
        <v>149</v>
      </c>
      <c r="B20" s="2">
        <v>0.39756944444444442</v>
      </c>
      <c r="C20" s="1" t="s">
        <v>150</v>
      </c>
      <c r="D20" s="1" t="s">
        <v>55</v>
      </c>
      <c r="E20" s="2">
        <f>IF(bieg6[[#This Row],[czas_stop]]="DNF","",bieg6[[#This Row],[czas_stop]]-bieg6[[#This Row],[czas_start]])</f>
        <v>8.709490740740744E-2</v>
      </c>
      <c r="F20" s="1">
        <f>IF(bieg6[[#This Row],[kraj]]&lt;&gt;D19,1,IF(OR(F19=1,F19=2),F19+1,0))</f>
        <v>2</v>
      </c>
      <c r="G20" s="2" t="str">
        <f>IF(bieg6[[#This Row],[podiumKraj]]=3,AVERAGE(E18:E20),"")</f>
        <v/>
      </c>
      <c r="H20" s="1" t="s">
        <v>55</v>
      </c>
      <c r="I20" s="1"/>
    </row>
    <row r="21" spans="1:9" x14ac:dyDescent="0.25">
      <c r="A21" s="1" t="s">
        <v>53</v>
      </c>
      <c r="B21" s="2">
        <v>0.38124999999999998</v>
      </c>
      <c r="C21" s="1" t="s">
        <v>54</v>
      </c>
      <c r="D21" s="1" t="s">
        <v>55</v>
      </c>
      <c r="E21" s="2">
        <f>IF(bieg6[[#This Row],[czas_stop]]="DNF","",bieg6[[#This Row],[czas_stop]]-bieg6[[#This Row],[czas_start]])</f>
        <v>8.789351851851851E-2</v>
      </c>
      <c r="F21" s="1">
        <f>IF(bieg6[[#This Row],[kraj]]&lt;&gt;D20,1,IF(OR(F20=1,F20=2),F20+1,0))</f>
        <v>3</v>
      </c>
      <c r="G21" s="2">
        <f>IF(bieg6[[#This Row],[podiumKraj]]=3,AVERAGE(E19:E21),"")</f>
        <v>8.7175925925925948E-2</v>
      </c>
      <c r="H21" s="1" t="s">
        <v>55</v>
      </c>
      <c r="I21" s="1"/>
    </row>
    <row r="22" spans="1:9" x14ac:dyDescent="0.25">
      <c r="A22" s="1" t="s">
        <v>233</v>
      </c>
      <c r="B22" s="2">
        <v>0.4128472222222222</v>
      </c>
      <c r="C22" s="1" t="s">
        <v>234</v>
      </c>
      <c r="D22" s="1" t="s">
        <v>55</v>
      </c>
      <c r="E22" s="2">
        <f>IF(bieg6[[#This Row],[czas_stop]]="DNF","",bieg6[[#This Row],[czas_stop]]-bieg6[[#This Row],[czas_start]])</f>
        <v>9.3263888888888868E-2</v>
      </c>
      <c r="F22" s="1">
        <f>IF(bieg6[[#This Row],[kraj]]&lt;&gt;D21,1,IF(OR(F21=1,F21=2),F21+1,0))</f>
        <v>0</v>
      </c>
      <c r="G22" s="2" t="str">
        <f>IF(bieg6[[#This Row],[podiumKraj]]=3,AVERAGE(E20:E22),"")</f>
        <v/>
      </c>
      <c r="H22" s="1" t="s">
        <v>55</v>
      </c>
      <c r="I22" s="1"/>
    </row>
    <row r="23" spans="1:9" x14ac:dyDescent="0.25">
      <c r="A23" s="1" t="s">
        <v>186</v>
      </c>
      <c r="B23" s="2">
        <v>0.40416666666666667</v>
      </c>
      <c r="C23" s="1" t="s">
        <v>187</v>
      </c>
      <c r="D23" s="1" t="s">
        <v>55</v>
      </c>
      <c r="E23" s="2">
        <f>IF(bieg6[[#This Row],[czas_stop]]="DNF","",bieg6[[#This Row],[czas_stop]]-bieg6[[#This Row],[czas_start]])</f>
        <v>0.11215277777777777</v>
      </c>
      <c r="F23" s="1">
        <f>IF(bieg6[[#This Row],[kraj]]&lt;&gt;D22,1,IF(OR(F22=1,F22=2),F22+1,0))</f>
        <v>0</v>
      </c>
      <c r="G23" s="2" t="str">
        <f>IF(bieg6[[#This Row],[podiumKraj]]=3,AVERAGE(E21:E23),"")</f>
        <v/>
      </c>
      <c r="H23" s="1" t="s">
        <v>55</v>
      </c>
      <c r="I23" s="1"/>
    </row>
    <row r="24" spans="1:9" x14ac:dyDescent="0.25">
      <c r="A24" s="1" t="s">
        <v>137</v>
      </c>
      <c r="B24" s="2">
        <v>0.39548611111111109</v>
      </c>
      <c r="C24" s="1" t="s">
        <v>138</v>
      </c>
      <c r="D24" s="1" t="s">
        <v>55</v>
      </c>
      <c r="E24" s="2">
        <f>IF(bieg6[[#This Row],[czas_stop]]="DNF","",bieg6[[#This Row],[czas_stop]]-bieg6[[#This Row],[czas_start]])</f>
        <v>0.11914351851851857</v>
      </c>
      <c r="F24" s="1">
        <f>IF(bieg6[[#This Row],[kraj]]&lt;&gt;D23,1,IF(OR(F23=1,F23=2),F23+1,0))</f>
        <v>0</v>
      </c>
      <c r="G24" s="2" t="str">
        <f>IF(bieg6[[#This Row],[podiumKraj]]=3,AVERAGE(E22:E24),"")</f>
        <v/>
      </c>
      <c r="H24" s="1" t="s">
        <v>55</v>
      </c>
      <c r="I24" s="1"/>
    </row>
    <row r="25" spans="1:9" x14ac:dyDescent="0.25">
      <c r="A25" s="1" t="s">
        <v>194</v>
      </c>
      <c r="B25" s="2">
        <v>0.40555555555555556</v>
      </c>
      <c r="C25" s="1" t="s">
        <v>195</v>
      </c>
      <c r="D25" s="1" t="s">
        <v>52</v>
      </c>
      <c r="E25" s="2">
        <f>IF(bieg6[[#This Row],[czas_stop]]="DNF","",bieg6[[#This Row],[czas_stop]]-bieg6[[#This Row],[czas_start]])</f>
        <v>9.0057870370370385E-2</v>
      </c>
      <c r="F25" s="1">
        <f>IF(bieg6[[#This Row],[kraj]]&lt;&gt;D24,1,IF(OR(F24=1,F24=2),F24+1,0))</f>
        <v>1</v>
      </c>
      <c r="G25" s="2" t="str">
        <f>IF(bieg6[[#This Row],[podiumKraj]]=3,AVERAGE(E23:E25),"")</f>
        <v/>
      </c>
      <c r="H25" s="1" t="s">
        <v>52</v>
      </c>
      <c r="I25" s="1"/>
    </row>
    <row r="26" spans="1:9" x14ac:dyDescent="0.25">
      <c r="A26" s="1" t="s">
        <v>50</v>
      </c>
      <c r="B26" s="2">
        <v>0.38090277777777776</v>
      </c>
      <c r="C26" s="1" t="s">
        <v>51</v>
      </c>
      <c r="D26" s="1" t="s">
        <v>52</v>
      </c>
      <c r="E26" s="2">
        <f>IF(bieg6[[#This Row],[czas_stop]]="DNF","",bieg6[[#This Row],[czas_stop]]-bieg6[[#This Row],[czas_start]])</f>
        <v>9.5787037037037059E-2</v>
      </c>
      <c r="F26" s="1">
        <f>IF(bieg6[[#This Row],[kraj]]&lt;&gt;D25,1,IF(OR(F25=1,F25=2),F25+1,0))</f>
        <v>2</v>
      </c>
      <c r="G26" s="2" t="str">
        <f>IF(bieg6[[#This Row],[podiumKraj]]=3,AVERAGE(E24:E26),"")</f>
        <v/>
      </c>
      <c r="H26" s="1" t="s">
        <v>52</v>
      </c>
      <c r="I26" s="1"/>
    </row>
    <row r="27" spans="1:9" x14ac:dyDescent="0.25">
      <c r="A27" s="1" t="s">
        <v>169</v>
      </c>
      <c r="B27" s="2">
        <v>0.40104166666666669</v>
      </c>
      <c r="C27" s="1" t="s">
        <v>170</v>
      </c>
      <c r="D27" s="1" t="s">
        <v>52</v>
      </c>
      <c r="E27" s="2">
        <f>IF(bieg6[[#This Row],[czas_stop]]="DNF","",bieg6[[#This Row],[czas_stop]]-bieg6[[#This Row],[czas_start]])</f>
        <v>0.10662037037037037</v>
      </c>
      <c r="F27" s="1">
        <f>IF(bieg6[[#This Row],[kraj]]&lt;&gt;D26,1,IF(OR(F26=1,F26=2),F26+1,0))</f>
        <v>3</v>
      </c>
      <c r="G27" s="2">
        <f>IF(bieg6[[#This Row],[podiumKraj]]=3,AVERAGE(E25:E27),"")</f>
        <v>9.7488425925925937E-2</v>
      </c>
      <c r="H27" s="1" t="s">
        <v>52</v>
      </c>
      <c r="I27" s="1"/>
    </row>
    <row r="28" spans="1:9" x14ac:dyDescent="0.25">
      <c r="A28" s="1" t="s">
        <v>75</v>
      </c>
      <c r="B28" s="2">
        <v>0.38472222222222224</v>
      </c>
      <c r="C28" s="1" t="s">
        <v>76</v>
      </c>
      <c r="D28" s="1" t="s">
        <v>52</v>
      </c>
      <c r="E28" s="2">
        <f>IF(bieg6[[#This Row],[czas_stop]]="DNF","",bieg6[[#This Row],[czas_stop]]-bieg6[[#This Row],[czas_start]])</f>
        <v>0.10800925925925919</v>
      </c>
      <c r="F28" s="1">
        <f>IF(bieg6[[#This Row],[kraj]]&lt;&gt;D27,1,IF(OR(F27=1,F27=2),F27+1,0))</f>
        <v>0</v>
      </c>
      <c r="G28" s="2" t="str">
        <f>IF(bieg6[[#This Row],[podiumKraj]]=3,AVERAGE(E26:E28),"")</f>
        <v/>
      </c>
      <c r="H28" s="1" t="s">
        <v>52</v>
      </c>
      <c r="I28" s="1"/>
    </row>
    <row r="29" spans="1:9" x14ac:dyDescent="0.25">
      <c r="A29" s="1" t="s">
        <v>184</v>
      </c>
      <c r="B29" s="2">
        <v>0.40381944444444445</v>
      </c>
      <c r="C29" s="1" t="s">
        <v>185</v>
      </c>
      <c r="D29" s="1" t="s">
        <v>52</v>
      </c>
      <c r="E29" s="2">
        <f>IF(bieg6[[#This Row],[czas_stop]]="DNF","",bieg6[[#This Row],[czas_stop]]-bieg6[[#This Row],[czas_start]])</f>
        <v>0.11855324074074075</v>
      </c>
      <c r="F29" s="1">
        <f>IF(bieg6[[#This Row],[kraj]]&lt;&gt;D28,1,IF(OR(F28=1,F28=2),F28+1,0))</f>
        <v>0</v>
      </c>
      <c r="G29" s="2" t="str">
        <f>IF(bieg6[[#This Row],[podiumKraj]]=3,AVERAGE(E27:E29),"")</f>
        <v/>
      </c>
      <c r="H29" s="1" t="s">
        <v>52</v>
      </c>
      <c r="I29" s="1"/>
    </row>
    <row r="30" spans="1:9" x14ac:dyDescent="0.25">
      <c r="A30" s="1" t="s">
        <v>197</v>
      </c>
      <c r="B30" s="2">
        <v>0.40625</v>
      </c>
      <c r="C30" s="1" t="s">
        <v>198</v>
      </c>
      <c r="D30" s="1" t="s">
        <v>3</v>
      </c>
      <c r="E30" s="2">
        <f>IF(bieg6[[#This Row],[czas_stop]]="DNF","",bieg6[[#This Row],[czas_stop]]-bieg6[[#This Row],[czas_start]])</f>
        <v>9.5949074074074048E-2</v>
      </c>
      <c r="F30" s="1">
        <f>IF(bieg6[[#This Row],[kraj]]&lt;&gt;D29,1,IF(OR(F29=1,F29=2),F29+1,0))</f>
        <v>1</v>
      </c>
      <c r="G30" s="2" t="str">
        <f>IF(bieg6[[#This Row],[podiumKraj]]=3,AVERAGE(E28:E30),"")</f>
        <v/>
      </c>
      <c r="H30" s="1" t="s">
        <v>3</v>
      </c>
      <c r="I30" s="1"/>
    </row>
    <row r="31" spans="1:9" x14ac:dyDescent="0.25">
      <c r="A31" s="1" t="s">
        <v>135</v>
      </c>
      <c r="B31" s="2">
        <v>0.39513888888888887</v>
      </c>
      <c r="C31" s="1" t="s">
        <v>136</v>
      </c>
      <c r="D31" s="1" t="s">
        <v>3</v>
      </c>
      <c r="E31" s="2">
        <f>IF(bieg6[[#This Row],[czas_stop]]="DNF","",bieg6[[#This Row],[czas_stop]]-bieg6[[#This Row],[czas_start]])</f>
        <v>9.8402777777777839E-2</v>
      </c>
      <c r="F31" s="1">
        <f>IF(bieg6[[#This Row],[kraj]]&lt;&gt;D30,1,IF(OR(F30=1,F30=2),F30+1,0))</f>
        <v>2</v>
      </c>
      <c r="G31" s="2" t="str">
        <f>IF(bieg6[[#This Row],[podiumKraj]]=3,AVERAGE(E29:E31),"")</f>
        <v/>
      </c>
      <c r="H31" s="1" t="s">
        <v>3</v>
      </c>
      <c r="I31" s="1"/>
    </row>
    <row r="32" spans="1:9" x14ac:dyDescent="0.25">
      <c r="A32" s="1" t="s">
        <v>1</v>
      </c>
      <c r="B32" s="2">
        <v>0.375</v>
      </c>
      <c r="C32" s="1" t="s">
        <v>2</v>
      </c>
      <c r="D32" s="1" t="s">
        <v>3</v>
      </c>
      <c r="E32" s="2">
        <f>IF(bieg6[[#This Row],[czas_stop]]="DNF","",bieg6[[#This Row],[czas_stop]]-bieg6[[#This Row],[czas_start]])</f>
        <v>0.10420138888888886</v>
      </c>
      <c r="F32" s="1">
        <f>IF(bieg6[[#This Row],[kraj]]&lt;&gt;D31,1,IF(OR(F31=1,F31=2),F31+1,0))</f>
        <v>3</v>
      </c>
      <c r="G32" s="2">
        <f>IF(bieg6[[#This Row],[podiumKraj]]=3,AVERAGE(E30:E32),"")</f>
        <v>9.9517746913580243E-2</v>
      </c>
      <c r="H32" s="1" t="s">
        <v>3</v>
      </c>
      <c r="I32" s="1"/>
    </row>
    <row r="33" spans="1:9" x14ac:dyDescent="0.25">
      <c r="A33" s="1" t="s">
        <v>71</v>
      </c>
      <c r="B33" s="2">
        <v>0.3840277777777778</v>
      </c>
      <c r="C33" s="1" t="s">
        <v>72</v>
      </c>
      <c r="D33" s="1" t="s">
        <v>3</v>
      </c>
      <c r="E33" s="2">
        <f>IF(bieg6[[#This Row],[czas_stop]]="DNF","",bieg6[[#This Row],[czas_stop]]-bieg6[[#This Row],[czas_start]])</f>
        <v>0.11415509259259254</v>
      </c>
      <c r="F33" s="1">
        <f>IF(bieg6[[#This Row],[kraj]]&lt;&gt;D32,1,IF(OR(F32=1,F32=2),F32+1,0))</f>
        <v>0</v>
      </c>
      <c r="G33" s="2" t="str">
        <f>IF(bieg6[[#This Row],[podiumKraj]]=3,AVERAGE(E31:E33),"")</f>
        <v/>
      </c>
      <c r="H33" s="1" t="s">
        <v>3</v>
      </c>
      <c r="I33" s="1"/>
    </row>
    <row r="34" spans="1:9" x14ac:dyDescent="0.25">
      <c r="A34" s="1" t="s">
        <v>258</v>
      </c>
      <c r="B34" s="2">
        <v>0.41736111111111113</v>
      </c>
      <c r="C34" s="1" t="s">
        <v>259</v>
      </c>
      <c r="D34" s="1" t="s">
        <v>3</v>
      </c>
      <c r="E34" s="2">
        <f>IF(bieg6[[#This Row],[czas_stop]]="DNF","",bieg6[[#This Row],[czas_stop]]-bieg6[[#This Row],[czas_start]])</f>
        <v>0.11456018518518524</v>
      </c>
      <c r="F34" s="1">
        <f>IF(bieg6[[#This Row],[kraj]]&lt;&gt;D33,1,IF(OR(F33=1,F33=2),F33+1,0))</f>
        <v>0</v>
      </c>
      <c r="G34" s="2" t="str">
        <f>IF(bieg6[[#This Row],[podiumKraj]]=3,AVERAGE(E32:E34),"")</f>
        <v/>
      </c>
      <c r="H34" s="1" t="s">
        <v>3</v>
      </c>
      <c r="I34" s="1"/>
    </row>
    <row r="35" spans="1:9" x14ac:dyDescent="0.25">
      <c r="A35" s="1" t="s">
        <v>245</v>
      </c>
      <c r="B35" s="2">
        <v>0.41493055555555558</v>
      </c>
      <c r="C35" s="1" t="s">
        <v>246</v>
      </c>
      <c r="D35" s="1" t="s">
        <v>3</v>
      </c>
      <c r="E35" s="2">
        <f>IF(bieg6[[#This Row],[czas_stop]]="DNF","",bieg6[[#This Row],[czas_stop]]-bieg6[[#This Row],[czas_start]])</f>
        <v>0.11932870370370374</v>
      </c>
      <c r="F35" s="1">
        <f>IF(bieg6[[#This Row],[kraj]]&lt;&gt;D34,1,IF(OR(F34=1,F34=2),F34+1,0))</f>
        <v>0</v>
      </c>
      <c r="G35" s="2" t="str">
        <f>IF(bieg6[[#This Row],[podiumKraj]]=3,AVERAGE(E33:E35),"")</f>
        <v/>
      </c>
      <c r="H35" s="1" t="s">
        <v>3</v>
      </c>
      <c r="I35" s="1"/>
    </row>
    <row r="36" spans="1:9" x14ac:dyDescent="0.25">
      <c r="A36" s="1" t="s">
        <v>13</v>
      </c>
      <c r="B36" s="2">
        <v>0.37638888888888888</v>
      </c>
      <c r="C36" s="1" t="s">
        <v>14</v>
      </c>
      <c r="D36" s="1" t="s">
        <v>3</v>
      </c>
      <c r="E36" s="2">
        <f>IF(bieg6[[#This Row],[czas_stop]]="DNF","",bieg6[[#This Row],[czas_stop]]-bieg6[[#This Row],[czas_start]])</f>
        <v>0.12376157407407407</v>
      </c>
      <c r="F36" s="1">
        <f>IF(bieg6[[#This Row],[kraj]]&lt;&gt;D35,1,IF(OR(F35=1,F35=2),F35+1,0))</f>
        <v>0</v>
      </c>
      <c r="G36" s="2" t="str">
        <f>IF(bieg6[[#This Row],[podiumKraj]]=3,AVERAGE(E34:E36),"")</f>
        <v/>
      </c>
      <c r="H36" s="1" t="s">
        <v>3</v>
      </c>
      <c r="I36" s="1"/>
    </row>
    <row r="37" spans="1:9" x14ac:dyDescent="0.25">
      <c r="A37" s="1" t="s">
        <v>228</v>
      </c>
      <c r="B37" s="2">
        <v>0.41180555555555554</v>
      </c>
      <c r="C37" s="1" t="s">
        <v>24</v>
      </c>
      <c r="D37" s="1" t="s">
        <v>3</v>
      </c>
      <c r="E37" s="2" t="str">
        <f>IF(bieg6[[#This Row],[czas_stop]]="DNF","",bieg6[[#This Row],[czas_stop]]-bieg6[[#This Row],[czas_start]])</f>
        <v/>
      </c>
      <c r="F37" s="1">
        <f>IF(bieg6[[#This Row],[kraj]]&lt;&gt;D36,1,IF(OR(F36=1,F36=2),F36+1,0))</f>
        <v>0</v>
      </c>
      <c r="G37" s="2" t="str">
        <f>IF(bieg6[[#This Row],[podiumKraj]]=3,AVERAGE(E35:E37),"")</f>
        <v/>
      </c>
      <c r="H37" s="1" t="s">
        <v>3</v>
      </c>
      <c r="I37" s="1"/>
    </row>
    <row r="38" spans="1:9" x14ac:dyDescent="0.25">
      <c r="A38" s="1" t="s">
        <v>173</v>
      </c>
      <c r="B38" s="2">
        <v>0.40173611111111113</v>
      </c>
      <c r="C38" s="1" t="s">
        <v>174</v>
      </c>
      <c r="D38" s="1" t="s">
        <v>49</v>
      </c>
      <c r="E38" s="2">
        <f>IF(bieg6[[#This Row],[czas_stop]]="DNF","",bieg6[[#This Row],[czas_stop]]-bieg6[[#This Row],[czas_start]])</f>
        <v>8.7430555555555567E-2</v>
      </c>
      <c r="F38" s="1">
        <f>IF(bieg6[[#This Row],[kraj]]&lt;&gt;D37,1,IF(OR(F37=1,F37=2),F37+1,0))</f>
        <v>1</v>
      </c>
      <c r="G38" s="2" t="str">
        <f>IF(bieg6[[#This Row],[podiumKraj]]=3,AVERAGE(E36:E38),"")</f>
        <v/>
      </c>
      <c r="H38" s="1" t="s">
        <v>49</v>
      </c>
      <c r="I38" s="1"/>
    </row>
    <row r="39" spans="1:9" x14ac:dyDescent="0.25">
      <c r="A39" s="1" t="s">
        <v>47</v>
      </c>
      <c r="B39" s="2">
        <v>0.38055555555555554</v>
      </c>
      <c r="C39" s="1" t="s">
        <v>48</v>
      </c>
      <c r="D39" s="1" t="s">
        <v>49</v>
      </c>
      <c r="E39" s="2">
        <f>IF(bieg6[[#This Row],[czas_stop]]="DNF","",bieg6[[#This Row],[czas_stop]]-bieg6[[#This Row],[czas_start]])</f>
        <v>8.8692129629629635E-2</v>
      </c>
      <c r="F39" s="1">
        <f>IF(bieg6[[#This Row],[kraj]]&lt;&gt;D38,1,IF(OR(F38=1,F38=2),F38+1,0))</f>
        <v>2</v>
      </c>
      <c r="G39" s="2" t="str">
        <f>IF(bieg6[[#This Row],[podiumKraj]]=3,AVERAGE(E37:E39),"")</f>
        <v/>
      </c>
      <c r="H39" s="1" t="s">
        <v>49</v>
      </c>
      <c r="I39" s="1"/>
    </row>
    <row r="40" spans="1:9" x14ac:dyDescent="0.25">
      <c r="A40" s="1" t="s">
        <v>235</v>
      </c>
      <c r="B40" s="2">
        <v>0.41319444444444442</v>
      </c>
      <c r="C40" s="1" t="s">
        <v>236</v>
      </c>
      <c r="D40" s="1" t="s">
        <v>49</v>
      </c>
      <c r="E40" s="2">
        <f>IF(bieg6[[#This Row],[czas_stop]]="DNF","",bieg6[[#This Row],[czas_stop]]-bieg6[[#This Row],[czas_start]])</f>
        <v>9.013888888888888E-2</v>
      </c>
      <c r="F40" s="1">
        <f>IF(bieg6[[#This Row],[kraj]]&lt;&gt;D39,1,IF(OR(F39=1,F39=2),F39+1,0))</f>
        <v>3</v>
      </c>
      <c r="G40" s="2">
        <f>IF(bieg6[[#This Row],[podiumKraj]]=3,AVERAGE(E38:E40),"")</f>
        <v>8.8753858024691365E-2</v>
      </c>
      <c r="H40" s="1" t="s">
        <v>49</v>
      </c>
      <c r="I40" s="1"/>
    </row>
    <row r="41" spans="1:9" x14ac:dyDescent="0.25">
      <c r="A41" s="1" t="s">
        <v>67</v>
      </c>
      <c r="B41" s="2">
        <v>0.38333333333333336</v>
      </c>
      <c r="C41" s="1" t="s">
        <v>68</v>
      </c>
      <c r="D41" s="1" t="s">
        <v>49</v>
      </c>
      <c r="E41" s="2">
        <f>IF(bieg6[[#This Row],[czas_stop]]="DNF","",bieg6[[#This Row],[czas_stop]]-bieg6[[#This Row],[czas_start]])</f>
        <v>9.3414351851851873E-2</v>
      </c>
      <c r="F41" s="1">
        <f>IF(bieg6[[#This Row],[kraj]]&lt;&gt;D40,1,IF(OR(F40=1,F40=2),F40+1,0))</f>
        <v>0</v>
      </c>
      <c r="G41" s="2" t="str">
        <f>IF(bieg6[[#This Row],[podiumKraj]]=3,AVERAGE(E39:E41),"")</f>
        <v/>
      </c>
      <c r="H41" s="1" t="s">
        <v>49</v>
      </c>
      <c r="I41" s="1"/>
    </row>
    <row r="42" spans="1:9" x14ac:dyDescent="0.25">
      <c r="A42" s="1" t="s">
        <v>141</v>
      </c>
      <c r="B42" s="2">
        <v>0.39618055555555554</v>
      </c>
      <c r="C42" s="1" t="s">
        <v>142</v>
      </c>
      <c r="D42" s="1" t="s">
        <v>49</v>
      </c>
      <c r="E42" s="2">
        <f>IF(bieg6[[#This Row],[czas_stop]]="DNF","",bieg6[[#This Row],[czas_stop]]-bieg6[[#This Row],[czas_start]])</f>
        <v>9.4062499999999993E-2</v>
      </c>
      <c r="F42" s="1">
        <f>IF(bieg6[[#This Row],[kraj]]&lt;&gt;D41,1,IF(OR(F41=1,F41=2),F41+1,0))</f>
        <v>0</v>
      </c>
      <c r="G42" s="2" t="str">
        <f>IF(bieg6[[#This Row],[podiumKraj]]=3,AVERAGE(E40:E42),"")</f>
        <v/>
      </c>
      <c r="H42" s="1" t="s">
        <v>49</v>
      </c>
      <c r="I42" s="1"/>
    </row>
    <row r="43" spans="1:9" x14ac:dyDescent="0.25">
      <c r="A43" s="1" t="s">
        <v>251</v>
      </c>
      <c r="B43" s="2">
        <v>0.41597222222222224</v>
      </c>
      <c r="C43" s="1" t="s">
        <v>252</v>
      </c>
      <c r="D43" s="1" t="s">
        <v>49</v>
      </c>
      <c r="E43" s="2">
        <f>IF(bieg6[[#This Row],[czas_stop]]="DNF","",bieg6[[#This Row],[czas_stop]]-bieg6[[#This Row],[czas_start]])</f>
        <v>9.6087962962963014E-2</v>
      </c>
      <c r="F43" s="1">
        <f>IF(bieg6[[#This Row],[kraj]]&lt;&gt;D42,1,IF(OR(F42=1,F42=2),F42+1,0))</f>
        <v>0</v>
      </c>
      <c r="G43" s="2" t="str">
        <f>IF(bieg6[[#This Row],[podiumKraj]]=3,AVERAGE(E41:E43),"")</f>
        <v/>
      </c>
      <c r="H43" s="1" t="s">
        <v>49</v>
      </c>
      <c r="I43" s="1"/>
    </row>
    <row r="44" spans="1:9" x14ac:dyDescent="0.25">
      <c r="A44" s="1" t="s">
        <v>262</v>
      </c>
      <c r="B44" s="2">
        <v>0.41805555555555557</v>
      </c>
      <c r="C44" s="1" t="s">
        <v>263</v>
      </c>
      <c r="D44" s="1" t="s">
        <v>49</v>
      </c>
      <c r="E44" s="2">
        <f>IF(bieg6[[#This Row],[czas_stop]]="DNF","",bieg6[[#This Row],[czas_stop]]-bieg6[[#This Row],[czas_start]])</f>
        <v>0.10182870370370373</v>
      </c>
      <c r="F44" s="1">
        <f>IF(bieg6[[#This Row],[kraj]]&lt;&gt;D43,1,IF(OR(F43=1,F43=2),F43+1,0))</f>
        <v>0</v>
      </c>
      <c r="G44" s="2" t="str">
        <f>IF(bieg6[[#This Row],[podiumKraj]]=3,AVERAGE(E42:E44),"")</f>
        <v/>
      </c>
      <c r="H44" s="1" t="s">
        <v>49</v>
      </c>
      <c r="I44" s="1"/>
    </row>
    <row r="45" spans="1:9" x14ac:dyDescent="0.25">
      <c r="A45" s="1" t="s">
        <v>207</v>
      </c>
      <c r="B45" s="2">
        <v>0.4079861111111111</v>
      </c>
      <c r="C45" s="1" t="s">
        <v>208</v>
      </c>
      <c r="D45" s="1" t="s">
        <v>49</v>
      </c>
      <c r="E45" s="2">
        <f>IF(bieg6[[#This Row],[czas_stop]]="DNF","",bieg6[[#This Row],[czas_stop]]-bieg6[[#This Row],[czas_start]])</f>
        <v>0.11910879629629628</v>
      </c>
      <c r="F45" s="1">
        <f>IF(bieg6[[#This Row],[kraj]]&lt;&gt;D44,1,IF(OR(F44=1,F44=2),F44+1,0))</f>
        <v>0</v>
      </c>
      <c r="G45" s="2" t="str">
        <f>IF(bieg6[[#This Row],[podiumKraj]]=3,AVERAGE(E43:E45),"")</f>
        <v/>
      </c>
      <c r="H45" s="1" t="s">
        <v>49</v>
      </c>
      <c r="I45" s="1"/>
    </row>
    <row r="46" spans="1:9" x14ac:dyDescent="0.25">
      <c r="A46" s="1" t="s">
        <v>219</v>
      </c>
      <c r="B46" s="2">
        <v>0.41006944444444443</v>
      </c>
      <c r="C46" s="1" t="s">
        <v>220</v>
      </c>
      <c r="D46" s="1" t="s">
        <v>49</v>
      </c>
      <c r="E46" s="2">
        <f>IF(bieg6[[#This Row],[czas_stop]]="DNF","",bieg6[[#This Row],[czas_stop]]-bieg6[[#This Row],[czas_start]])</f>
        <v>0.12319444444444444</v>
      </c>
      <c r="F46" s="1">
        <f>IF(bieg6[[#This Row],[kraj]]&lt;&gt;D45,1,IF(OR(F45=1,F45=2),F45+1,0))</f>
        <v>0</v>
      </c>
      <c r="G46" s="2" t="str">
        <f>IF(bieg6[[#This Row],[podiumKraj]]=3,AVERAGE(E44:E46),"")</f>
        <v/>
      </c>
      <c r="H46" s="1" t="s">
        <v>49</v>
      </c>
      <c r="I46" s="1"/>
    </row>
    <row r="47" spans="1:9" x14ac:dyDescent="0.25">
      <c r="A47" s="1" t="s">
        <v>196</v>
      </c>
      <c r="B47" s="2">
        <v>0.40590277777777778</v>
      </c>
      <c r="C47" s="1" t="s">
        <v>24</v>
      </c>
      <c r="D47" s="1" t="s">
        <v>49</v>
      </c>
      <c r="E47" s="2" t="str">
        <f>IF(bieg6[[#This Row],[czas_stop]]="DNF","",bieg6[[#This Row],[czas_stop]]-bieg6[[#This Row],[czas_start]])</f>
        <v/>
      </c>
      <c r="F47" s="1">
        <f>IF(bieg6[[#This Row],[kraj]]&lt;&gt;D46,1,IF(OR(F46=1,F46=2),F46+1,0))</f>
        <v>0</v>
      </c>
      <c r="G47" s="2" t="str">
        <f>IF(bieg6[[#This Row],[podiumKraj]]=3,AVERAGE(E45:E47),"")</f>
        <v/>
      </c>
      <c r="H47" s="1" t="s">
        <v>49</v>
      </c>
      <c r="I47" s="1"/>
    </row>
    <row r="48" spans="1:9" x14ac:dyDescent="0.25">
      <c r="A48" s="1" t="s">
        <v>260</v>
      </c>
      <c r="B48" s="2">
        <v>0.41770833333333335</v>
      </c>
      <c r="C48" s="1" t="s">
        <v>261</v>
      </c>
      <c r="D48" s="1" t="s">
        <v>12</v>
      </c>
      <c r="E48" s="2">
        <f>IF(bieg6[[#This Row],[czas_stop]]="DNF","",bieg6[[#This Row],[czas_stop]]-bieg6[[#This Row],[czas_start]])</f>
        <v>9.2129629629629561E-2</v>
      </c>
      <c r="F48" s="1">
        <f>IF(bieg6[[#This Row],[kraj]]&lt;&gt;D47,1,IF(OR(F47=1,F47=2),F47+1,0))</f>
        <v>1</v>
      </c>
      <c r="G48" s="2" t="str">
        <f>IF(bieg6[[#This Row],[podiumKraj]]=3,AVERAGE(E46:E48),"")</f>
        <v/>
      </c>
      <c r="H48" s="1" t="s">
        <v>12</v>
      </c>
      <c r="I48" s="1"/>
    </row>
    <row r="49" spans="1:9" x14ac:dyDescent="0.25">
      <c r="A49" s="1" t="s">
        <v>237</v>
      </c>
      <c r="B49" s="2">
        <v>0.41354166666666664</v>
      </c>
      <c r="C49" s="1" t="s">
        <v>238</v>
      </c>
      <c r="D49" s="1" t="s">
        <v>12</v>
      </c>
      <c r="E49" s="2">
        <f>IF(bieg6[[#This Row],[czas_stop]]="DNF","",bieg6[[#This Row],[czas_stop]]-bieg6[[#This Row],[czas_start]])</f>
        <v>9.686342592592595E-2</v>
      </c>
      <c r="F49" s="1">
        <f>IF(bieg6[[#This Row],[kraj]]&lt;&gt;D48,1,IF(OR(F48=1,F48=2),F48+1,0))</f>
        <v>2</v>
      </c>
      <c r="G49" s="2" t="str">
        <f>IF(bieg6[[#This Row],[podiumKraj]]=3,AVERAGE(E47:E49),"")</f>
        <v/>
      </c>
      <c r="H49" s="1" t="s">
        <v>12</v>
      </c>
      <c r="I49" s="1"/>
    </row>
    <row r="50" spans="1:9" x14ac:dyDescent="0.25">
      <c r="A50" s="1" t="s">
        <v>247</v>
      </c>
      <c r="B50" s="2">
        <v>0.4152777777777778</v>
      </c>
      <c r="C50" s="1" t="s">
        <v>248</v>
      </c>
      <c r="D50" s="1" t="s">
        <v>12</v>
      </c>
      <c r="E50" s="2">
        <f>IF(bieg6[[#This Row],[czas_stop]]="DNF","",bieg6[[#This Row],[czas_stop]]-bieg6[[#This Row],[czas_start]])</f>
        <v>9.8252314814814834E-2</v>
      </c>
      <c r="F50" s="1">
        <f>IF(bieg6[[#This Row],[kraj]]&lt;&gt;D49,1,IF(OR(F49=1,F49=2),F49+1,0))</f>
        <v>3</v>
      </c>
      <c r="G50" s="2">
        <f>IF(bieg6[[#This Row],[podiumKraj]]=3,AVERAGE(E48:E50),"")</f>
        <v>9.5748456790123448E-2</v>
      </c>
      <c r="H50" s="1" t="s">
        <v>12</v>
      </c>
      <c r="I50" s="1"/>
    </row>
    <row r="51" spans="1:9" x14ac:dyDescent="0.25">
      <c r="A51" s="1" t="s">
        <v>95</v>
      </c>
      <c r="B51" s="2">
        <v>0.38819444444444445</v>
      </c>
      <c r="C51" s="1" t="s">
        <v>96</v>
      </c>
      <c r="D51" s="1" t="s">
        <v>12</v>
      </c>
      <c r="E51" s="2">
        <f>IF(bieg6[[#This Row],[czas_stop]]="DNF","",bieg6[[#This Row],[czas_stop]]-bieg6[[#This Row],[czas_start]])</f>
        <v>9.8668981481481455E-2</v>
      </c>
      <c r="F51" s="1">
        <f>IF(bieg6[[#This Row],[kraj]]&lt;&gt;D50,1,IF(OR(F50=1,F50=2),F50+1,0))</f>
        <v>0</v>
      </c>
      <c r="G51" s="2" t="str">
        <f>IF(bieg6[[#This Row],[podiumKraj]]=3,AVERAGE(E49:E51),"")</f>
        <v/>
      </c>
      <c r="H51" s="1" t="s">
        <v>12</v>
      </c>
      <c r="I51" s="1"/>
    </row>
    <row r="52" spans="1:9" x14ac:dyDescent="0.25">
      <c r="A52" s="1" t="s">
        <v>253</v>
      </c>
      <c r="B52" s="2">
        <v>0.41631944444444446</v>
      </c>
      <c r="C52" s="1" t="s">
        <v>254</v>
      </c>
      <c r="D52" s="1" t="s">
        <v>12</v>
      </c>
      <c r="E52" s="2">
        <f>IF(bieg6[[#This Row],[czas_stop]]="DNF","",bieg6[[#This Row],[czas_stop]]-bieg6[[#This Row],[czas_start]])</f>
        <v>0.10158564814814819</v>
      </c>
      <c r="F52" s="1">
        <f>IF(bieg6[[#This Row],[kraj]]&lt;&gt;D51,1,IF(OR(F51=1,F51=2),F51+1,0))</f>
        <v>0</v>
      </c>
      <c r="G52" s="2" t="str">
        <f>IF(bieg6[[#This Row],[podiumKraj]]=3,AVERAGE(E50:E52),"")</f>
        <v/>
      </c>
      <c r="H52" s="1" t="s">
        <v>12</v>
      </c>
      <c r="I52" s="1"/>
    </row>
    <row r="53" spans="1:9" x14ac:dyDescent="0.25">
      <c r="A53" s="1" t="s">
        <v>243</v>
      </c>
      <c r="B53" s="2">
        <v>0.41458333333333336</v>
      </c>
      <c r="C53" s="1" t="s">
        <v>244</v>
      </c>
      <c r="D53" s="1" t="s">
        <v>12</v>
      </c>
      <c r="E53" s="2">
        <f>IF(bieg6[[#This Row],[czas_stop]]="DNF","",bieg6[[#This Row],[czas_stop]]-bieg6[[#This Row],[czas_start]])</f>
        <v>0.10371527777777773</v>
      </c>
      <c r="F53" s="1">
        <f>IF(bieg6[[#This Row],[kraj]]&lt;&gt;D52,1,IF(OR(F52=1,F52=2),F52+1,0))</f>
        <v>0</v>
      </c>
      <c r="G53" s="2" t="str">
        <f>IF(bieg6[[#This Row],[podiumKraj]]=3,AVERAGE(E51:E53),"")</f>
        <v/>
      </c>
      <c r="H53" s="1" t="s">
        <v>12</v>
      </c>
      <c r="I53" s="1"/>
    </row>
    <row r="54" spans="1:9" x14ac:dyDescent="0.25">
      <c r="A54" s="1" t="s">
        <v>10</v>
      </c>
      <c r="B54" s="2">
        <v>0.37604166666666666</v>
      </c>
      <c r="C54" s="1" t="s">
        <v>11</v>
      </c>
      <c r="D54" s="1" t="s">
        <v>12</v>
      </c>
      <c r="E54" s="2">
        <f>IF(bieg6[[#This Row],[czas_stop]]="DNF","",bieg6[[#This Row],[czas_stop]]-bieg6[[#This Row],[czas_start]])</f>
        <v>0.11454861111111109</v>
      </c>
      <c r="F54" s="1">
        <f>IF(bieg6[[#This Row],[kraj]]&lt;&gt;D53,1,IF(OR(F53=1,F53=2),F53+1,0))</f>
        <v>0</v>
      </c>
      <c r="G54" s="2" t="str">
        <f>IF(bieg6[[#This Row],[podiumKraj]]=3,AVERAGE(E52:E54),"")</f>
        <v/>
      </c>
      <c r="H54" s="1" t="s">
        <v>12</v>
      </c>
      <c r="I54" s="1"/>
    </row>
    <row r="55" spans="1:9" x14ac:dyDescent="0.25">
      <c r="A55" s="1" t="s">
        <v>143</v>
      </c>
      <c r="B55" s="2">
        <v>0.39652777777777776</v>
      </c>
      <c r="C55" s="1" t="s">
        <v>144</v>
      </c>
      <c r="D55" s="1" t="s">
        <v>12</v>
      </c>
      <c r="E55" s="2">
        <f>IF(bieg6[[#This Row],[czas_stop]]="DNF","",bieg6[[#This Row],[czas_stop]]-bieg6[[#This Row],[czas_start]])</f>
        <v>0.11534722222222221</v>
      </c>
      <c r="F55" s="1">
        <f>IF(bieg6[[#This Row],[kraj]]&lt;&gt;D54,1,IF(OR(F54=1,F54=2),F54+1,0))</f>
        <v>0</v>
      </c>
      <c r="G55" s="2" t="str">
        <f>IF(bieg6[[#This Row],[podiumKraj]]=3,AVERAGE(E53:E55),"")</f>
        <v/>
      </c>
      <c r="H55" s="1" t="s">
        <v>12</v>
      </c>
      <c r="I55" s="1"/>
    </row>
    <row r="56" spans="1:9" x14ac:dyDescent="0.25">
      <c r="A56" s="1" t="s">
        <v>199</v>
      </c>
      <c r="B56" s="2">
        <v>0.40659722222222222</v>
      </c>
      <c r="C56" s="1" t="s">
        <v>200</v>
      </c>
      <c r="D56" s="1" t="s">
        <v>12</v>
      </c>
      <c r="E56" s="2">
        <f>IF(bieg6[[#This Row],[czas_stop]]="DNF","",bieg6[[#This Row],[czas_stop]]-bieg6[[#This Row],[czas_start]])</f>
        <v>0.12298611111111118</v>
      </c>
      <c r="F56" s="1">
        <f>IF(bieg6[[#This Row],[kraj]]&lt;&gt;D55,1,IF(OR(F55=1,F55=2),F55+1,0))</f>
        <v>0</v>
      </c>
      <c r="G56" s="2" t="str">
        <f>IF(bieg6[[#This Row],[podiumKraj]]=3,AVERAGE(E54:E56),"")</f>
        <v/>
      </c>
      <c r="H56" s="1" t="s">
        <v>12</v>
      </c>
      <c r="I56" s="1"/>
    </row>
    <row r="57" spans="1:9" x14ac:dyDescent="0.25">
      <c r="A57" s="1" t="s">
        <v>177</v>
      </c>
      <c r="B57" s="2">
        <v>0.40243055555555557</v>
      </c>
      <c r="C57" s="1" t="s">
        <v>24</v>
      </c>
      <c r="D57" s="1" t="s">
        <v>12</v>
      </c>
      <c r="E57" s="2" t="str">
        <f>IF(bieg6[[#This Row],[czas_stop]]="DNF","",bieg6[[#This Row],[czas_stop]]-bieg6[[#This Row],[czas_start]])</f>
        <v/>
      </c>
      <c r="F57" s="1">
        <f>IF(bieg6[[#This Row],[kraj]]&lt;&gt;D56,1,IF(OR(F56=1,F56=2),F56+1,0))</f>
        <v>0</v>
      </c>
      <c r="G57" s="2" t="str">
        <f>IF(bieg6[[#This Row],[podiumKraj]]=3,AVERAGE(E55:E57),"")</f>
        <v/>
      </c>
      <c r="H57" s="1" t="s">
        <v>12</v>
      </c>
      <c r="I57" s="1"/>
    </row>
    <row r="58" spans="1:9" x14ac:dyDescent="0.25">
      <c r="A58" s="1" t="s">
        <v>215</v>
      </c>
      <c r="B58" s="2">
        <v>0.40937499999999999</v>
      </c>
      <c r="C58" s="1" t="s">
        <v>216</v>
      </c>
      <c r="D58" s="1" t="s">
        <v>6</v>
      </c>
      <c r="E58" s="2">
        <f>IF(bieg6[[#This Row],[czas_stop]]="DNF","",bieg6[[#This Row],[czas_stop]]-bieg6[[#This Row],[czas_start]])</f>
        <v>8.998842592592593E-2</v>
      </c>
      <c r="F58" s="1">
        <f>IF(bieg6[[#This Row],[kraj]]&lt;&gt;D57,1,IF(OR(F57=1,F57=2),F57+1,0))</f>
        <v>1</v>
      </c>
      <c r="G58" s="2" t="str">
        <f>IF(bieg6[[#This Row],[podiumKraj]]=3,AVERAGE(E56:E58),"")</f>
        <v/>
      </c>
      <c r="H58" s="1" t="s">
        <v>6</v>
      </c>
      <c r="I58" s="1"/>
    </row>
    <row r="59" spans="1:9" x14ac:dyDescent="0.25">
      <c r="A59" s="1" t="s">
        <v>145</v>
      </c>
      <c r="B59" s="2">
        <v>0.39687499999999998</v>
      </c>
      <c r="C59" s="1" t="s">
        <v>146</v>
      </c>
      <c r="D59" s="1" t="s">
        <v>6</v>
      </c>
      <c r="E59" s="2">
        <f>IF(bieg6[[#This Row],[czas_stop]]="DNF","",bieg6[[#This Row],[czas_stop]]-bieg6[[#This Row],[czas_start]])</f>
        <v>0.10046296296296303</v>
      </c>
      <c r="F59" s="1">
        <f>IF(bieg6[[#This Row],[kraj]]&lt;&gt;D58,1,IF(OR(F58=1,F58=2),F58+1,0))</f>
        <v>2</v>
      </c>
      <c r="G59" s="2" t="str">
        <f>IF(bieg6[[#This Row],[podiumKraj]]=3,AVERAGE(E57:E59),"")</f>
        <v/>
      </c>
      <c r="H59" s="1" t="s">
        <v>6</v>
      </c>
      <c r="I59" s="1"/>
    </row>
    <row r="60" spans="1:9" x14ac:dyDescent="0.25">
      <c r="A60" s="1" t="s">
        <v>175</v>
      </c>
      <c r="B60" s="2">
        <v>0.40208333333333335</v>
      </c>
      <c r="C60" s="1" t="s">
        <v>176</v>
      </c>
      <c r="D60" s="1" t="s">
        <v>6</v>
      </c>
      <c r="E60" s="2">
        <f>IF(bieg6[[#This Row],[czas_stop]]="DNF","",bieg6[[#This Row],[czas_stop]]-bieg6[[#This Row],[czas_start]])</f>
        <v>0.11063657407407412</v>
      </c>
      <c r="F60" s="1">
        <f>IF(bieg6[[#This Row],[kraj]]&lt;&gt;D59,1,IF(OR(F59=1,F59=2),F59+1,0))</f>
        <v>3</v>
      </c>
      <c r="G60" s="2">
        <f>IF(bieg6[[#This Row],[podiumKraj]]=3,AVERAGE(E58:E60),"")</f>
        <v>0.10036265432098769</v>
      </c>
      <c r="H60" s="1" t="s">
        <v>6</v>
      </c>
      <c r="I60" s="1"/>
    </row>
    <row r="61" spans="1:9" x14ac:dyDescent="0.25">
      <c r="A61" s="1" t="s">
        <v>4</v>
      </c>
      <c r="B61" s="2">
        <v>0.37534722222222222</v>
      </c>
      <c r="C61" s="1" t="s">
        <v>5</v>
      </c>
      <c r="D61" s="1" t="s">
        <v>6</v>
      </c>
      <c r="E61" s="2">
        <f>IF(bieg6[[#This Row],[czas_stop]]="DNF","",bieg6[[#This Row],[czas_stop]]-bieg6[[#This Row],[czas_start]])</f>
        <v>0.11201388888888891</v>
      </c>
      <c r="F61" s="1">
        <f>IF(bieg6[[#This Row],[kraj]]&lt;&gt;D60,1,IF(OR(F60=1,F60=2),F60+1,0))</f>
        <v>0</v>
      </c>
      <c r="G61" s="2" t="str">
        <f>IF(bieg6[[#This Row],[podiumKraj]]=3,AVERAGE(E59:E61),"")</f>
        <v/>
      </c>
      <c r="H61" s="1" t="s">
        <v>6</v>
      </c>
      <c r="I61" s="1"/>
    </row>
    <row r="62" spans="1:9" x14ac:dyDescent="0.25">
      <c r="A62" s="1" t="s">
        <v>73</v>
      </c>
      <c r="B62" s="2">
        <v>0.38437500000000002</v>
      </c>
      <c r="C62" s="1" t="s">
        <v>74</v>
      </c>
      <c r="D62" s="1" t="s">
        <v>6</v>
      </c>
      <c r="E62" s="2">
        <f>IF(bieg6[[#This Row],[czas_stop]]="DNF","",bieg6[[#This Row],[czas_stop]]-bieg6[[#This Row],[czas_start]])</f>
        <v>0.11730324074074072</v>
      </c>
      <c r="F62" s="1">
        <f>IF(bieg6[[#This Row],[kraj]]&lt;&gt;D61,1,IF(OR(F61=1,F61=2),F61+1,0))</f>
        <v>0</v>
      </c>
      <c r="G62" s="2" t="str">
        <f>IF(bieg6[[#This Row],[podiumKraj]]=3,AVERAGE(E60:E62),"")</f>
        <v/>
      </c>
      <c r="H62" s="1" t="s">
        <v>6</v>
      </c>
      <c r="I62" s="1"/>
    </row>
    <row r="63" spans="1:9" x14ac:dyDescent="0.25">
      <c r="A63" s="1" t="s">
        <v>221</v>
      </c>
      <c r="B63" s="2">
        <v>0.41041666666666665</v>
      </c>
      <c r="C63" s="1" t="s">
        <v>24</v>
      </c>
      <c r="D63" s="1" t="s">
        <v>6</v>
      </c>
      <c r="E63" s="2" t="str">
        <f>IF(bieg6[[#This Row],[czas_stop]]="DNF","",bieg6[[#This Row],[czas_stop]]-bieg6[[#This Row],[czas_start]])</f>
        <v/>
      </c>
      <c r="F63" s="1">
        <f>IF(bieg6[[#This Row],[kraj]]&lt;&gt;D62,1,IF(OR(F62=1,F62=2),F62+1,0))</f>
        <v>0</v>
      </c>
      <c r="G63" s="2" t="str">
        <f>IF(bieg6[[#This Row],[podiumKraj]]=3,AVERAGE(E61:E63),"")</f>
        <v/>
      </c>
      <c r="H63" s="1" t="s">
        <v>6</v>
      </c>
      <c r="I63" s="1"/>
    </row>
    <row r="64" spans="1:9" x14ac:dyDescent="0.25">
      <c r="A64" s="1" t="s">
        <v>257</v>
      </c>
      <c r="B64" s="2">
        <v>0.41701388888888891</v>
      </c>
      <c r="C64" s="1" t="s">
        <v>24</v>
      </c>
      <c r="D64" s="1" t="s">
        <v>6</v>
      </c>
      <c r="E64" s="2" t="str">
        <f>IF(bieg6[[#This Row],[czas_stop]]="DNF","",bieg6[[#This Row],[czas_stop]]-bieg6[[#This Row],[czas_start]])</f>
        <v/>
      </c>
      <c r="F64" s="1">
        <f>IF(bieg6[[#This Row],[kraj]]&lt;&gt;D63,1,IF(OR(F63=1,F63=2),F63+1,0))</f>
        <v>0</v>
      </c>
      <c r="G64" s="2" t="str">
        <f>IF(bieg6[[#This Row],[podiumKraj]]=3,AVERAGE(E62:E64),"")</f>
        <v/>
      </c>
      <c r="H64" s="1" t="s">
        <v>6</v>
      </c>
      <c r="I64" s="1"/>
    </row>
    <row r="65" spans="1:9" x14ac:dyDescent="0.25">
      <c r="A65" s="1" t="s">
        <v>101</v>
      </c>
      <c r="B65" s="2">
        <v>0.38923611111111112</v>
      </c>
      <c r="C65" s="1" t="s">
        <v>102</v>
      </c>
      <c r="D65" s="1" t="s">
        <v>25</v>
      </c>
      <c r="E65" s="2">
        <f>IF(bieg6[[#This Row],[czas_stop]]="DNF","",bieg6[[#This Row],[czas_stop]]-bieg6[[#This Row],[czas_start]])</f>
        <v>9.2476851851851893E-2</v>
      </c>
      <c r="F65" s="1">
        <f>IF(bieg6[[#This Row],[kraj]]&lt;&gt;D64,1,IF(OR(F64=1,F64=2),F64+1,0))</f>
        <v>1</v>
      </c>
      <c r="G65" s="2" t="str">
        <f>IF(bieg6[[#This Row],[podiumKraj]]=3,AVERAGE(E63:E65),"")</f>
        <v/>
      </c>
      <c r="H65" s="1" t="s">
        <v>25</v>
      </c>
      <c r="I65" s="1"/>
    </row>
    <row r="66" spans="1:9" x14ac:dyDescent="0.25">
      <c r="A66" s="1" t="s">
        <v>81</v>
      </c>
      <c r="B66" s="2">
        <v>0.38576388888888891</v>
      </c>
      <c r="C66" s="1" t="s">
        <v>82</v>
      </c>
      <c r="D66" s="1" t="s">
        <v>25</v>
      </c>
      <c r="E66" s="2">
        <f>IF(bieg6[[#This Row],[czas_stop]]="DNF","",bieg6[[#This Row],[czas_stop]]-bieg6[[#This Row],[czas_start]])</f>
        <v>0.11685185185185176</v>
      </c>
      <c r="F66" s="1">
        <f>IF(bieg6[[#This Row],[kraj]]&lt;&gt;D65,1,IF(OR(F65=1,F65=2),F65+1,0))</f>
        <v>2</v>
      </c>
      <c r="G66" s="2" t="str">
        <f>IF(bieg6[[#This Row],[podiumKraj]]=3,AVERAGE(E64:E66),"")</f>
        <v/>
      </c>
      <c r="H66" s="1" t="s">
        <v>25</v>
      </c>
      <c r="I66" s="1"/>
    </row>
    <row r="67" spans="1:9" x14ac:dyDescent="0.25">
      <c r="A67" s="1" t="s">
        <v>161</v>
      </c>
      <c r="B67" s="2">
        <v>0.3996527777777778</v>
      </c>
      <c r="C67" s="1" t="s">
        <v>162</v>
      </c>
      <c r="D67" s="1" t="s">
        <v>25</v>
      </c>
      <c r="E67" s="2">
        <f>IF(bieg6[[#This Row],[czas_stop]]="DNF","",bieg6[[#This Row],[czas_stop]]-bieg6[[#This Row],[czas_start]])</f>
        <v>0.11781250000000004</v>
      </c>
      <c r="F67" s="1">
        <f>IF(bieg6[[#This Row],[kraj]]&lt;&gt;D66,1,IF(OR(F66=1,F66=2),F66+1,0))</f>
        <v>3</v>
      </c>
      <c r="G67" s="2">
        <f>IF(bieg6[[#This Row],[podiumKraj]]=3,AVERAGE(E65:E67),"")</f>
        <v>0.10904706790123457</v>
      </c>
      <c r="H67" s="1" t="s">
        <v>25</v>
      </c>
      <c r="I67" s="1"/>
    </row>
    <row r="68" spans="1:9" x14ac:dyDescent="0.25">
      <c r="A68" s="1" t="s">
        <v>127</v>
      </c>
      <c r="B68" s="2">
        <v>0.39374999999999999</v>
      </c>
      <c r="C68" s="1" t="s">
        <v>128</v>
      </c>
      <c r="D68" s="1" t="s">
        <v>25</v>
      </c>
      <c r="E68" s="2">
        <f>IF(bieg6[[#This Row],[czas_stop]]="DNF","",bieg6[[#This Row],[czas_stop]]-bieg6[[#This Row],[czas_start]])</f>
        <v>0.12170138888888887</v>
      </c>
      <c r="F68" s="1">
        <f>IF(bieg6[[#This Row],[kraj]]&lt;&gt;D67,1,IF(OR(F67=1,F67=2),F67+1,0))</f>
        <v>0</v>
      </c>
      <c r="G68" s="2" t="str">
        <f>IF(bieg6[[#This Row],[podiumKraj]]=3,AVERAGE(E66:E68),"")</f>
        <v/>
      </c>
      <c r="H68" s="1" t="s">
        <v>25</v>
      </c>
      <c r="I68" s="1"/>
    </row>
    <row r="69" spans="1:9" x14ac:dyDescent="0.25">
      <c r="A69" s="1" t="s">
        <v>23</v>
      </c>
      <c r="B69" s="2">
        <v>0.37777777777777777</v>
      </c>
      <c r="C69" s="1" t="s">
        <v>24</v>
      </c>
      <c r="D69" s="1" t="s">
        <v>25</v>
      </c>
      <c r="E69" s="2" t="str">
        <f>IF(bieg6[[#This Row],[czas_stop]]="DNF","",bieg6[[#This Row],[czas_stop]]-bieg6[[#This Row],[czas_start]])</f>
        <v/>
      </c>
      <c r="F69" s="1">
        <f>IF(bieg6[[#This Row],[kraj]]&lt;&gt;D68,1,IF(OR(F68=1,F68=2),F68+1,0))</f>
        <v>0</v>
      </c>
      <c r="G69" s="2" t="str">
        <f>IF(bieg6[[#This Row],[podiumKraj]]=3,AVERAGE(E67:E69),"")</f>
        <v/>
      </c>
      <c r="H69" s="1" t="s">
        <v>25</v>
      </c>
      <c r="I69" s="1"/>
    </row>
    <row r="70" spans="1:9" x14ac:dyDescent="0.25">
      <c r="A70" s="1" t="s">
        <v>44</v>
      </c>
      <c r="B70" s="2">
        <v>0.38020833333333331</v>
      </c>
      <c r="C70" s="1" t="s">
        <v>45</v>
      </c>
      <c r="D70" s="1" t="s">
        <v>46</v>
      </c>
      <c r="E70" s="2">
        <f>IF(bieg6[[#This Row],[czas_stop]]="DNF","",bieg6[[#This Row],[czas_stop]]-bieg6[[#This Row],[czas_start]])</f>
        <v>9.3333333333333379E-2</v>
      </c>
      <c r="F70" s="1">
        <f>IF(bieg6[[#This Row],[kraj]]&lt;&gt;D69,1,IF(OR(F69=1,F69=2),F69+1,0))</f>
        <v>1</v>
      </c>
      <c r="G70" s="2" t="str">
        <f>IF(bieg6[[#This Row],[podiumKraj]]=3,AVERAGE(E68:E70),"")</f>
        <v/>
      </c>
      <c r="H70" s="1" t="s">
        <v>46</v>
      </c>
      <c r="I70" s="1"/>
    </row>
    <row r="71" spans="1:9" x14ac:dyDescent="0.25">
      <c r="A71" s="1" t="s">
        <v>83</v>
      </c>
      <c r="B71" s="2">
        <v>0.38611111111111113</v>
      </c>
      <c r="C71" s="1" t="s">
        <v>84</v>
      </c>
      <c r="D71" s="1" t="s">
        <v>46</v>
      </c>
      <c r="E71" s="2">
        <f>IF(bieg6[[#This Row],[czas_stop]]="DNF","",bieg6[[#This Row],[czas_stop]]-bieg6[[#This Row],[czas_start]])</f>
        <v>9.5300925925925872E-2</v>
      </c>
      <c r="F71" s="1">
        <f>IF(bieg6[[#This Row],[kraj]]&lt;&gt;D70,1,IF(OR(F70=1,F70=2),F70+1,0))</f>
        <v>2</v>
      </c>
      <c r="G71" s="2" t="str">
        <f>IF(bieg6[[#This Row],[podiumKraj]]=3,AVERAGE(E69:E71),"")</f>
        <v/>
      </c>
      <c r="H71" s="1" t="s">
        <v>46</v>
      </c>
      <c r="I71" s="1"/>
    </row>
    <row r="72" spans="1:9" x14ac:dyDescent="0.25">
      <c r="A72" s="1" t="s">
        <v>105</v>
      </c>
      <c r="B72" s="2">
        <v>0.38993055555555556</v>
      </c>
      <c r="C72" s="1" t="s">
        <v>106</v>
      </c>
      <c r="D72" s="1" t="s">
        <v>46</v>
      </c>
      <c r="E72" s="2">
        <f>IF(bieg6[[#This Row],[czas_stop]]="DNF","",bieg6[[#This Row],[czas_stop]]-bieg6[[#This Row],[czas_start]])</f>
        <v>0.101099537037037</v>
      </c>
      <c r="F72" s="1">
        <f>IF(bieg6[[#This Row],[kraj]]&lt;&gt;D71,1,IF(OR(F71=1,F71=2),F71+1,0))</f>
        <v>3</v>
      </c>
      <c r="G72" s="2">
        <f>IF(bieg6[[#This Row],[podiumKraj]]=3,AVERAGE(E70:E72),"")</f>
        <v>9.6577932098765418E-2</v>
      </c>
      <c r="H72" s="1" t="s">
        <v>46</v>
      </c>
      <c r="I72" s="1"/>
    </row>
    <row r="73" spans="1:9" x14ac:dyDescent="0.25">
      <c r="A73" s="1" t="s">
        <v>119</v>
      </c>
      <c r="B73" s="2">
        <v>0.3923611111111111</v>
      </c>
      <c r="C73" s="1" t="s">
        <v>120</v>
      </c>
      <c r="D73" s="1" t="s">
        <v>46</v>
      </c>
      <c r="E73" s="2">
        <f>IF(bieg6[[#This Row],[czas_stop]]="DNF","",bieg6[[#This Row],[czas_stop]]-bieg6[[#This Row],[czas_start]])</f>
        <v>0.11379629629629634</v>
      </c>
      <c r="F73" s="1">
        <f>IF(bieg6[[#This Row],[kraj]]&lt;&gt;D72,1,IF(OR(F72=1,F72=2),F72+1,0))</f>
        <v>0</v>
      </c>
      <c r="G73" s="2" t="str">
        <f>IF(bieg6[[#This Row],[podiumKraj]]=3,AVERAGE(E71:E73),"")</f>
        <v/>
      </c>
      <c r="H73" s="1" t="s">
        <v>46</v>
      </c>
      <c r="I73" s="1"/>
    </row>
    <row r="74" spans="1:9" x14ac:dyDescent="0.25">
      <c r="A74" s="1" t="s">
        <v>151</v>
      </c>
      <c r="B74" s="2">
        <v>0.39791666666666664</v>
      </c>
      <c r="C74" s="1" t="s">
        <v>152</v>
      </c>
      <c r="D74" s="1" t="s">
        <v>46</v>
      </c>
      <c r="E74" s="2">
        <f>IF(bieg6[[#This Row],[czas_stop]]="DNF","",bieg6[[#This Row],[czas_stop]]-bieg6[[#This Row],[czas_start]])</f>
        <v>0.12285879629629631</v>
      </c>
      <c r="F74" s="1">
        <f>IF(bieg6[[#This Row],[kraj]]&lt;&gt;D73,1,IF(OR(F73=1,F73=2),F73+1,0))</f>
        <v>0</v>
      </c>
      <c r="G74" s="2" t="str">
        <f>IF(bieg6[[#This Row],[podiumKraj]]=3,AVERAGE(E72:E74),"")</f>
        <v/>
      </c>
      <c r="H74" s="1" t="s">
        <v>46</v>
      </c>
      <c r="I74" s="1"/>
    </row>
    <row r="75" spans="1:9" x14ac:dyDescent="0.25">
      <c r="A75" s="1" t="s">
        <v>115</v>
      </c>
      <c r="B75" s="2">
        <v>0.39166666666666666</v>
      </c>
      <c r="C75" s="1" t="s">
        <v>116</v>
      </c>
      <c r="D75" s="1" t="s">
        <v>43</v>
      </c>
      <c r="E75" s="2">
        <f>IF(bieg6[[#This Row],[czas_stop]]="DNF","",bieg6[[#This Row],[czas_stop]]-bieg6[[#This Row],[czas_start]])</f>
        <v>8.9328703703703716E-2</v>
      </c>
      <c r="F75" s="1">
        <f>IF(bieg6[[#This Row],[kraj]]&lt;&gt;D74,1,IF(OR(F74=1,F74=2),F74+1,0))</f>
        <v>1</v>
      </c>
      <c r="G75" s="2" t="str">
        <f>IF(bieg6[[#This Row],[podiumKraj]]=3,AVERAGE(E73:E75),"")</f>
        <v/>
      </c>
      <c r="H75" s="1" t="s">
        <v>43</v>
      </c>
      <c r="I75" s="1"/>
    </row>
    <row r="76" spans="1:9" x14ac:dyDescent="0.25">
      <c r="A76" s="1" t="s">
        <v>41</v>
      </c>
      <c r="B76" s="2">
        <v>0.37986111111111109</v>
      </c>
      <c r="C76" s="1" t="s">
        <v>42</v>
      </c>
      <c r="D76" s="1" t="s">
        <v>43</v>
      </c>
      <c r="E76" s="2">
        <f>IF(bieg6[[#This Row],[czas_stop]]="DNF","",bieg6[[#This Row],[czas_stop]]-bieg6[[#This Row],[czas_start]])</f>
        <v>0.1028587962962963</v>
      </c>
      <c r="F76" s="1">
        <f>IF(bieg6[[#This Row],[kraj]]&lt;&gt;D75,1,IF(OR(F75=1,F75=2),F75+1,0))</f>
        <v>2</v>
      </c>
      <c r="G76" s="2" t="str">
        <f>IF(bieg6[[#This Row],[podiumKraj]]=3,AVERAGE(E74:E76),"")</f>
        <v/>
      </c>
      <c r="H76" s="1" t="s">
        <v>43</v>
      </c>
      <c r="I76" s="1"/>
    </row>
    <row r="77" spans="1:9" x14ac:dyDescent="0.25">
      <c r="A77" s="1" t="s">
        <v>178</v>
      </c>
      <c r="B77" s="2">
        <v>0.40277777777777779</v>
      </c>
      <c r="C77" s="1" t="s">
        <v>179</v>
      </c>
      <c r="D77" s="1" t="s">
        <v>43</v>
      </c>
      <c r="E77" s="2">
        <f>IF(bieg6[[#This Row],[czas_stop]]="DNF","",bieg6[[#This Row],[czas_stop]]-bieg6[[#This Row],[czas_start]])</f>
        <v>0.10644675925925928</v>
      </c>
      <c r="F77" s="1">
        <f>IF(bieg6[[#This Row],[kraj]]&lt;&gt;D76,1,IF(OR(F76=1,F76=2),F76+1,0))</f>
        <v>3</v>
      </c>
      <c r="G77" s="2">
        <f>IF(bieg6[[#This Row],[podiumKraj]]=3,AVERAGE(E75:E77),"")</f>
        <v>9.954475308641976E-2</v>
      </c>
      <c r="H77" s="1" t="s">
        <v>43</v>
      </c>
      <c r="I77" s="1"/>
    </row>
    <row r="78" spans="1:9" x14ac:dyDescent="0.25">
      <c r="A78" s="1" t="s">
        <v>133</v>
      </c>
      <c r="B78" s="2">
        <v>0.39479166666666665</v>
      </c>
      <c r="C78" s="1" t="s">
        <v>134</v>
      </c>
      <c r="D78" s="1" t="s">
        <v>43</v>
      </c>
      <c r="E78" s="2">
        <f>IF(bieg6[[#This Row],[czas_stop]]="DNF","",bieg6[[#This Row],[czas_stop]]-bieg6[[#This Row],[czas_start]])</f>
        <v>0.11230324074074083</v>
      </c>
      <c r="F78" s="1">
        <f>IF(bieg6[[#This Row],[kraj]]&lt;&gt;D77,1,IF(OR(F77=1,F77=2),F77+1,0))</f>
        <v>0</v>
      </c>
      <c r="G78" s="2" t="str">
        <f>IF(bieg6[[#This Row],[podiumKraj]]=3,AVERAGE(E76:E78),"")</f>
        <v/>
      </c>
      <c r="H78" s="1" t="s">
        <v>43</v>
      </c>
      <c r="I78" s="1"/>
    </row>
    <row r="79" spans="1:9" x14ac:dyDescent="0.25">
      <c r="A79" s="1" t="s">
        <v>255</v>
      </c>
      <c r="B79" s="2">
        <v>0.41666666666666669</v>
      </c>
      <c r="C79" s="1" t="s">
        <v>256</v>
      </c>
      <c r="D79" s="1" t="s">
        <v>43</v>
      </c>
      <c r="E79" s="2">
        <f>IF(bieg6[[#This Row],[czas_stop]]="DNF","",bieg6[[#This Row],[czas_stop]]-bieg6[[#This Row],[czas_start]])</f>
        <v>0.11271990740740739</v>
      </c>
      <c r="F79" s="1">
        <f>IF(bieg6[[#This Row],[kraj]]&lt;&gt;D78,1,IF(OR(F78=1,F78=2),F78+1,0))</f>
        <v>0</v>
      </c>
      <c r="G79" s="2" t="str">
        <f>IF(bieg6[[#This Row],[podiumKraj]]=3,AVERAGE(E77:E79),"")</f>
        <v/>
      </c>
      <c r="H79" s="1" t="s">
        <v>43</v>
      </c>
      <c r="I79" s="1"/>
    </row>
    <row r="80" spans="1:9" x14ac:dyDescent="0.25">
      <c r="A80" s="1" t="s">
        <v>201</v>
      </c>
      <c r="B80" s="2">
        <v>0.40694444444444444</v>
      </c>
      <c r="C80" s="1" t="s">
        <v>202</v>
      </c>
      <c r="D80" s="1" t="s">
        <v>43</v>
      </c>
      <c r="E80" s="2">
        <f>IF(bieg6[[#This Row],[czas_stop]]="DNF","",bieg6[[#This Row],[czas_stop]]-bieg6[[#This Row],[czas_start]])</f>
        <v>0.12074074074074082</v>
      </c>
      <c r="F80" s="1">
        <f>IF(bieg6[[#This Row],[kraj]]&lt;&gt;D79,1,IF(OR(F79=1,F79=2),F79+1,0))</f>
        <v>0</v>
      </c>
      <c r="G80" s="2" t="str">
        <f>IF(bieg6[[#This Row],[podiumKraj]]=3,AVERAGE(E78:E80),"")</f>
        <v/>
      </c>
      <c r="H80" s="1" t="s">
        <v>43</v>
      </c>
      <c r="I80" s="1"/>
    </row>
    <row r="81" spans="1:9" x14ac:dyDescent="0.25">
      <c r="A81" s="8" t="s">
        <v>153</v>
      </c>
      <c r="B81" s="9">
        <v>0.39826388888888886</v>
      </c>
      <c r="C81" s="8" t="s">
        <v>154</v>
      </c>
      <c r="D81" s="8" t="s">
        <v>9</v>
      </c>
      <c r="E81" s="9">
        <f>IF(bieg6[[#This Row],[czas_stop]]="DNF","",bieg6[[#This Row],[czas_stop]]-bieg6[[#This Row],[czas_start]])</f>
        <v>8.5520833333333379E-2</v>
      </c>
      <c r="F81" s="1">
        <f>IF(bieg6[[#This Row],[kraj]]&lt;&gt;D80,1,IF(OR(F80=1,F80=2),F80+1,0))</f>
        <v>1</v>
      </c>
      <c r="G81" s="2" t="str">
        <f>IF(bieg6[[#This Row],[podiumKraj]]=3,AVERAGE(E79:E81),"")</f>
        <v/>
      </c>
      <c r="H81" s="8" t="s">
        <v>9</v>
      </c>
      <c r="I81" s="8"/>
    </row>
    <row r="82" spans="1:9" x14ac:dyDescent="0.25">
      <c r="A82" s="1" t="s">
        <v>163</v>
      </c>
      <c r="B82" s="2">
        <v>0.4</v>
      </c>
      <c r="C82" s="1" t="s">
        <v>164</v>
      </c>
      <c r="D82" s="1" t="s">
        <v>9</v>
      </c>
      <c r="E82" s="2">
        <f>IF(bieg6[[#This Row],[czas_stop]]="DNF","",bieg6[[#This Row],[czas_stop]]-bieg6[[#This Row],[czas_start]])</f>
        <v>8.6944444444444435E-2</v>
      </c>
      <c r="F82" s="1">
        <f>IF(bieg6[[#This Row],[kraj]]&lt;&gt;D81,1,IF(OR(F81=1,F81=2),F81+1,0))</f>
        <v>2</v>
      </c>
      <c r="G82" s="2" t="str">
        <f>IF(bieg6[[#This Row],[podiumKraj]]=3,AVERAGE(E80:E82),"")</f>
        <v/>
      </c>
      <c r="H82" s="1" t="s">
        <v>9</v>
      </c>
      <c r="I82" s="1"/>
    </row>
    <row r="83" spans="1:9" x14ac:dyDescent="0.25">
      <c r="A83" s="1" t="s">
        <v>117</v>
      </c>
      <c r="B83" s="2">
        <v>0.39201388888888888</v>
      </c>
      <c r="C83" s="1" t="s">
        <v>118</v>
      </c>
      <c r="D83" s="1" t="s">
        <v>9</v>
      </c>
      <c r="E83" s="2">
        <f>IF(bieg6[[#This Row],[czas_stop]]="DNF","",bieg6[[#This Row],[czas_stop]]-bieg6[[#This Row],[czas_start]])</f>
        <v>8.861111111111114E-2</v>
      </c>
      <c r="F83" s="1">
        <f>IF(bieg6[[#This Row],[kraj]]&lt;&gt;D82,1,IF(OR(F82=1,F82=2),F82+1,0))</f>
        <v>3</v>
      </c>
      <c r="G83" s="2">
        <f>IF(bieg6[[#This Row],[podiumKraj]]=3,AVERAGE(E81:E83),"")</f>
        <v>8.7025462962962985E-2</v>
      </c>
      <c r="H83" s="1" t="s">
        <v>9</v>
      </c>
      <c r="I83" s="1"/>
    </row>
    <row r="84" spans="1:9" x14ac:dyDescent="0.25">
      <c r="A84" s="1" t="s">
        <v>103</v>
      </c>
      <c r="B84" s="2">
        <v>0.38958333333333334</v>
      </c>
      <c r="C84" s="1" t="s">
        <v>104</v>
      </c>
      <c r="D84" s="1" t="s">
        <v>9</v>
      </c>
      <c r="E84" s="2">
        <f>IF(bieg6[[#This Row],[czas_stop]]="DNF","",bieg6[[#This Row],[czas_stop]]-bieg6[[#This Row],[czas_start]])</f>
        <v>0.10010416666666666</v>
      </c>
      <c r="F84" s="1">
        <f>IF(bieg6[[#This Row],[kraj]]&lt;&gt;D83,1,IF(OR(F83=1,F83=2),F83+1,0))</f>
        <v>0</v>
      </c>
      <c r="G84" s="2" t="str">
        <f>IF(bieg6[[#This Row],[podiumKraj]]=3,AVERAGE(E82:E84),"")</f>
        <v/>
      </c>
      <c r="H84" s="1" t="s">
        <v>9</v>
      </c>
      <c r="I84" s="1"/>
    </row>
    <row r="85" spans="1:9" x14ac:dyDescent="0.25">
      <c r="A85" s="1" t="s">
        <v>213</v>
      </c>
      <c r="B85" s="2">
        <v>0.40902777777777777</v>
      </c>
      <c r="C85" s="1" t="s">
        <v>214</v>
      </c>
      <c r="D85" s="1" t="s">
        <v>9</v>
      </c>
      <c r="E85" s="2">
        <f>IF(bieg6[[#This Row],[czas_stop]]="DNF","",bieg6[[#This Row],[czas_stop]]-bieg6[[#This Row],[czas_start]])</f>
        <v>0.12008101851851849</v>
      </c>
      <c r="F85" s="1">
        <f>IF(bieg6[[#This Row],[kraj]]&lt;&gt;D84,1,IF(OR(F84=1,F84=2),F84+1,0))</f>
        <v>0</v>
      </c>
      <c r="G85" s="2" t="str">
        <f>IF(bieg6[[#This Row],[podiumKraj]]=3,AVERAGE(E83:E85),"")</f>
        <v/>
      </c>
      <c r="H85" s="1" t="s">
        <v>9</v>
      </c>
      <c r="I85" s="1"/>
    </row>
    <row r="86" spans="1:9" x14ac:dyDescent="0.25">
      <c r="A86" s="1" t="s">
        <v>7</v>
      </c>
      <c r="B86" s="2">
        <v>0.37569444444444444</v>
      </c>
      <c r="C86" s="1" t="s">
        <v>8</v>
      </c>
      <c r="D86" s="1" t="s">
        <v>9</v>
      </c>
      <c r="E86" s="2">
        <f>IF(bieg6[[#This Row],[czas_stop]]="DNF","",bieg6[[#This Row],[czas_stop]]-bieg6[[#This Row],[czas_start]])</f>
        <v>0.12297453703703703</v>
      </c>
      <c r="F86" s="1">
        <f>IF(bieg6[[#This Row],[kraj]]&lt;&gt;D85,1,IF(OR(F85=1,F85=2),F85+1,0))</f>
        <v>0</v>
      </c>
      <c r="G86" s="2" t="str">
        <f>IF(bieg6[[#This Row],[podiumKraj]]=3,AVERAGE(E84:E86),"")</f>
        <v/>
      </c>
      <c r="H86" s="1" t="s">
        <v>9</v>
      </c>
      <c r="I86" s="1"/>
    </row>
    <row r="87" spans="1:9" x14ac:dyDescent="0.25">
      <c r="A87" s="1" t="s">
        <v>15</v>
      </c>
      <c r="B87" s="2">
        <v>0.3767361111111111</v>
      </c>
      <c r="C87" s="1" t="s">
        <v>16</v>
      </c>
      <c r="D87" s="1" t="s">
        <v>9</v>
      </c>
      <c r="E87" s="2">
        <f>IF(bieg6[[#This Row],[czas_stop]]="DNF","",bieg6[[#This Row],[czas_stop]]-bieg6[[#This Row],[czas_start]])</f>
        <v>0.12442129629629634</v>
      </c>
      <c r="F87" s="1">
        <f>IF(bieg6[[#This Row],[kraj]]&lt;&gt;D86,1,IF(OR(F86=1,F86=2),F86+1,0))</f>
        <v>0</v>
      </c>
      <c r="G87" s="2" t="str">
        <f>IF(bieg6[[#This Row],[podiumKraj]]=3,AVERAGE(E85:E87),"")</f>
        <v/>
      </c>
      <c r="H87" s="1" t="s">
        <v>9</v>
      </c>
      <c r="I87" s="1"/>
    </row>
    <row r="88" spans="1:9" x14ac:dyDescent="0.25">
      <c r="A88" s="1" t="s">
        <v>69</v>
      </c>
      <c r="B88" s="2">
        <v>0.38368055555555558</v>
      </c>
      <c r="C88" s="1" t="s">
        <v>70</v>
      </c>
      <c r="D88" s="1" t="s">
        <v>9</v>
      </c>
      <c r="E88" s="2">
        <f>IF(bieg6[[#This Row],[czas_stop]]="DNF","",bieg6[[#This Row],[czas_stop]]-bieg6[[#This Row],[czas_start]])</f>
        <v>0.124537037037037</v>
      </c>
      <c r="F88" s="1">
        <f>IF(bieg6[[#This Row],[kraj]]&lt;&gt;D87,1,IF(OR(F87=1,F87=2),F87+1,0))</f>
        <v>0</v>
      </c>
      <c r="G88" s="2" t="str">
        <f>IF(bieg6[[#This Row],[podiumKraj]]=3,AVERAGE(E86:E88),"")</f>
        <v/>
      </c>
      <c r="H88" s="1" t="s">
        <v>9</v>
      </c>
      <c r="I88" s="1"/>
    </row>
    <row r="89" spans="1:9" x14ac:dyDescent="0.25">
      <c r="A89" s="8" t="s">
        <v>79</v>
      </c>
      <c r="B89" s="9">
        <v>0.38541666666666669</v>
      </c>
      <c r="C89" s="8" t="s">
        <v>80</v>
      </c>
      <c r="D89" s="8" t="s">
        <v>34</v>
      </c>
      <c r="E89" s="9">
        <f>IF(bieg6[[#This Row],[czas_stop]]="DNF","",bieg6[[#This Row],[czas_stop]]-bieg6[[#This Row],[czas_start]])</f>
        <v>8.6620370370370348E-2</v>
      </c>
      <c r="F89" s="1">
        <f>IF(bieg6[[#This Row],[kraj]]&lt;&gt;D88,1,IF(OR(F88=1,F88=2),F88+1,0))</f>
        <v>1</v>
      </c>
      <c r="G89" s="2" t="str">
        <f>IF(bieg6[[#This Row],[podiumKraj]]=3,AVERAGE(E87:E89),"")</f>
        <v/>
      </c>
      <c r="H89" s="8" t="s">
        <v>34</v>
      </c>
      <c r="I89" s="8"/>
    </row>
    <row r="90" spans="1:9" x14ac:dyDescent="0.25">
      <c r="A90" s="1" t="s">
        <v>61</v>
      </c>
      <c r="B90" s="2">
        <v>0.38229166666666664</v>
      </c>
      <c r="C90" s="1" t="s">
        <v>62</v>
      </c>
      <c r="D90" s="1" t="s">
        <v>34</v>
      </c>
      <c r="E90" s="2">
        <f>IF(bieg6[[#This Row],[czas_stop]]="DNF","",bieg6[[#This Row],[czas_stop]]-bieg6[[#This Row],[czas_start]])</f>
        <v>9.2152777777777806E-2</v>
      </c>
      <c r="F90" s="1">
        <f>IF(bieg6[[#This Row],[kraj]]&lt;&gt;D89,1,IF(OR(F89=1,F89=2),F89+1,0))</f>
        <v>2</v>
      </c>
      <c r="G90" s="2" t="str">
        <f>IF(bieg6[[#This Row],[podiumKraj]]=3,AVERAGE(E88:E90),"")</f>
        <v/>
      </c>
      <c r="H90" s="1" t="s">
        <v>34</v>
      </c>
      <c r="I90" s="1"/>
    </row>
    <row r="91" spans="1:9" x14ac:dyDescent="0.25">
      <c r="A91" s="1" t="s">
        <v>32</v>
      </c>
      <c r="B91" s="2">
        <v>0.37881944444444443</v>
      </c>
      <c r="C91" s="1" t="s">
        <v>33</v>
      </c>
      <c r="D91" s="1" t="s">
        <v>34</v>
      </c>
      <c r="E91" s="2">
        <f>IF(bieg6[[#This Row],[czas_stop]]="DNF","",bieg6[[#This Row],[czas_stop]]-bieg6[[#This Row],[czas_start]])</f>
        <v>9.8495370370370372E-2</v>
      </c>
      <c r="F91" s="1">
        <f>IF(bieg6[[#This Row],[kraj]]&lt;&gt;D90,1,IF(OR(F90=1,F90=2),F90+1,0))</f>
        <v>3</v>
      </c>
      <c r="G91" s="2">
        <f>IF(bieg6[[#This Row],[podiumKraj]]=3,AVERAGE(E89:E91),"")</f>
        <v>9.2422839506172846E-2</v>
      </c>
      <c r="H91" s="1" t="s">
        <v>34</v>
      </c>
      <c r="I91" s="1"/>
    </row>
    <row r="92" spans="1:9" x14ac:dyDescent="0.25">
      <c r="A92" s="1" t="s">
        <v>111</v>
      </c>
      <c r="B92" s="2">
        <v>0.39097222222222222</v>
      </c>
      <c r="C92" s="1" t="s">
        <v>112</v>
      </c>
      <c r="D92" s="1" t="s">
        <v>34</v>
      </c>
      <c r="E92" s="2">
        <f>IF(bieg6[[#This Row],[czas_stop]]="DNF","",bieg6[[#This Row],[czas_stop]]-bieg6[[#This Row],[czas_start]])</f>
        <v>0.10410879629629632</v>
      </c>
      <c r="F92" s="1">
        <f>IF(bieg6[[#This Row],[kraj]]&lt;&gt;D91,1,IF(OR(F91=1,F91=2),F91+1,0))</f>
        <v>0</v>
      </c>
      <c r="G92" s="2" t="str">
        <f>IF(bieg6[[#This Row],[podiumKraj]]=3,AVERAGE(E90:E92),"")</f>
        <v/>
      </c>
      <c r="H92" s="1" t="s">
        <v>34</v>
      </c>
      <c r="I92" s="1"/>
    </row>
    <row r="93" spans="1:9" x14ac:dyDescent="0.25">
      <c r="A93" s="1" t="s">
        <v>131</v>
      </c>
      <c r="B93" s="2">
        <v>0.39444444444444443</v>
      </c>
      <c r="C93" s="1" t="s">
        <v>132</v>
      </c>
      <c r="D93" s="1" t="s">
        <v>34</v>
      </c>
      <c r="E93" s="2">
        <f>IF(bieg6[[#This Row],[czas_stop]]="DNF","",bieg6[[#This Row],[czas_stop]]-bieg6[[#This Row],[czas_start]])</f>
        <v>0.11540509259259263</v>
      </c>
      <c r="F93" s="1">
        <f>IF(bieg6[[#This Row],[kraj]]&lt;&gt;D92,1,IF(OR(F92=1,F92=2),F92+1,0))</f>
        <v>0</v>
      </c>
      <c r="G93" s="2" t="str">
        <f>IF(bieg6[[#This Row],[podiumKraj]]=3,AVERAGE(E91:E93),"")</f>
        <v/>
      </c>
      <c r="H93" s="1" t="s">
        <v>34</v>
      </c>
      <c r="I93" s="1"/>
    </row>
    <row r="94" spans="1:9" x14ac:dyDescent="0.25">
      <c r="A94" s="1" t="s">
        <v>249</v>
      </c>
      <c r="B94" s="2">
        <v>0.41562500000000002</v>
      </c>
      <c r="C94" s="1" t="s">
        <v>250</v>
      </c>
      <c r="D94" s="1" t="s">
        <v>40</v>
      </c>
      <c r="E94" s="2">
        <f>IF(bieg6[[#This Row],[czas_stop]]="DNF","",bieg6[[#This Row],[czas_stop]]-bieg6[[#This Row],[czas_start]])</f>
        <v>8.8715277777777768E-2</v>
      </c>
      <c r="F94" s="1">
        <f>IF(bieg6[[#This Row],[kraj]]&lt;&gt;D93,1,IF(OR(F93=1,F93=2),F93+1,0))</f>
        <v>1</v>
      </c>
      <c r="G94" s="2" t="str">
        <f>IF(bieg6[[#This Row],[podiumKraj]]=3,AVERAGE(E92:E94),"")</f>
        <v/>
      </c>
      <c r="H94" s="1" t="s">
        <v>40</v>
      </c>
      <c r="I94" s="1"/>
    </row>
    <row r="95" spans="1:9" x14ac:dyDescent="0.25">
      <c r="A95" s="1" t="s">
        <v>167</v>
      </c>
      <c r="B95" s="2">
        <v>0.40069444444444446</v>
      </c>
      <c r="C95" s="1" t="s">
        <v>168</v>
      </c>
      <c r="D95" s="1" t="s">
        <v>40</v>
      </c>
      <c r="E95" s="2">
        <f>IF(bieg6[[#This Row],[czas_stop]]="DNF","",bieg6[[#This Row],[czas_stop]]-bieg6[[#This Row],[czas_start]])</f>
        <v>9.628472222222223E-2</v>
      </c>
      <c r="F95" s="1">
        <f>IF(bieg6[[#This Row],[kraj]]&lt;&gt;D94,1,IF(OR(F94=1,F94=2),F94+1,0))</f>
        <v>2</v>
      </c>
      <c r="G95" s="2" t="str">
        <f>IF(bieg6[[#This Row],[podiumKraj]]=3,AVERAGE(E93:E95),"")</f>
        <v/>
      </c>
      <c r="H95" s="1" t="s">
        <v>40</v>
      </c>
      <c r="I95" s="1"/>
    </row>
    <row r="96" spans="1:9" x14ac:dyDescent="0.25">
      <c r="A96" s="1" t="s">
        <v>203</v>
      </c>
      <c r="B96" s="2">
        <v>0.40729166666666666</v>
      </c>
      <c r="C96" s="1" t="s">
        <v>204</v>
      </c>
      <c r="D96" s="1" t="s">
        <v>40</v>
      </c>
      <c r="E96" s="2">
        <f>IF(bieg6[[#This Row],[czas_stop]]="DNF","",bieg6[[#This Row],[czas_stop]]-bieg6[[#This Row],[czas_start]])</f>
        <v>0.10790509259259257</v>
      </c>
      <c r="F96" s="1">
        <f>IF(bieg6[[#This Row],[kraj]]&lt;&gt;D95,1,IF(OR(F95=1,F95=2),F95+1,0))</f>
        <v>3</v>
      </c>
      <c r="G96" s="2">
        <f>IF(bieg6[[#This Row],[podiumKraj]]=3,AVERAGE(E94:E96),"")</f>
        <v>9.7635030864197517E-2</v>
      </c>
      <c r="H96" s="1" t="s">
        <v>40</v>
      </c>
      <c r="I96" s="1"/>
    </row>
    <row r="97" spans="1:9" x14ac:dyDescent="0.25">
      <c r="A97" s="1" t="s">
        <v>38</v>
      </c>
      <c r="B97" s="2">
        <v>0.37951388888888887</v>
      </c>
      <c r="C97" s="1" t="s">
        <v>39</v>
      </c>
      <c r="D97" s="1" t="s">
        <v>40</v>
      </c>
      <c r="E97" s="2">
        <f>IF(bieg6[[#This Row],[czas_stop]]="DNF","",bieg6[[#This Row],[czas_stop]]-bieg6[[#This Row],[czas_start]])</f>
        <v>0.11067129629629635</v>
      </c>
      <c r="F97" s="1">
        <f>IF(bieg6[[#This Row],[kraj]]&lt;&gt;D96,1,IF(OR(F96=1,F96=2),F96+1,0))</f>
        <v>0</v>
      </c>
      <c r="G97" s="2" t="str">
        <f>IF(bieg6[[#This Row],[podiumKraj]]=3,AVERAGE(E95:E97),"")</f>
        <v/>
      </c>
      <c r="H97" s="1" t="s">
        <v>40</v>
      </c>
      <c r="I97" s="1"/>
    </row>
    <row r="98" spans="1:9" x14ac:dyDescent="0.25">
      <c r="A98" s="1" t="s">
        <v>65</v>
      </c>
      <c r="B98" s="2">
        <v>0.38298611111111114</v>
      </c>
      <c r="C98" s="1" t="s">
        <v>66</v>
      </c>
      <c r="D98" s="1" t="s">
        <v>40</v>
      </c>
      <c r="E98" s="2">
        <f>IF(bieg6[[#This Row],[czas_stop]]="DNF","",bieg6[[#This Row],[czas_stop]]-bieg6[[#This Row],[czas_start]])</f>
        <v>0.11284722222222221</v>
      </c>
      <c r="F98" s="1">
        <f>IF(bieg6[[#This Row],[kraj]]&lt;&gt;D97,1,IF(OR(F97=1,F97=2),F97+1,0))</f>
        <v>0</v>
      </c>
      <c r="G98" s="2" t="str">
        <f>IF(bieg6[[#This Row],[podiumKraj]]=3,AVERAGE(E96:E98),"")</f>
        <v/>
      </c>
      <c r="H98" s="1" t="s">
        <v>40</v>
      </c>
      <c r="I98" s="1"/>
    </row>
    <row r="99" spans="1:9" x14ac:dyDescent="0.25">
      <c r="A99" s="1" t="s">
        <v>155</v>
      </c>
      <c r="B99" s="2">
        <v>0.39861111111111114</v>
      </c>
      <c r="C99" s="1" t="s">
        <v>156</v>
      </c>
      <c r="D99" s="1" t="s">
        <v>40</v>
      </c>
      <c r="E99" s="2">
        <f>IF(bieg6[[#This Row],[czas_stop]]="DNF","",bieg6[[#This Row],[czas_stop]]-bieg6[[#This Row],[czas_start]])</f>
        <v>0.11965277777777772</v>
      </c>
      <c r="F99" s="1">
        <f>IF(bieg6[[#This Row],[kraj]]&lt;&gt;D98,1,IF(OR(F98=1,F98=2),F98+1,0))</f>
        <v>0</v>
      </c>
      <c r="G99" s="2" t="str">
        <f>IF(bieg6[[#This Row],[podiumKraj]]=3,AVERAGE(E97:E99),"")</f>
        <v/>
      </c>
      <c r="H99" s="1" t="s">
        <v>40</v>
      </c>
      <c r="I99" s="1"/>
    </row>
    <row r="100" spans="1:9" x14ac:dyDescent="0.25">
      <c r="A100" s="1" t="s">
        <v>205</v>
      </c>
      <c r="B100" s="2">
        <v>0.40763888888888888</v>
      </c>
      <c r="C100" s="1" t="s">
        <v>206</v>
      </c>
      <c r="D100" s="1" t="s">
        <v>31</v>
      </c>
      <c r="E100" s="2">
        <f>IF(bieg6[[#This Row],[czas_stop]]="DNF","",bieg6[[#This Row],[czas_stop]]-bieg6[[#This Row],[czas_start]])</f>
        <v>9.1099537037037048E-2</v>
      </c>
      <c r="F100" s="1">
        <f>IF(bieg6[[#This Row],[kraj]]&lt;&gt;D99,1,IF(OR(F99=1,F99=2),F99+1,0))</f>
        <v>1</v>
      </c>
      <c r="G100" s="2" t="str">
        <f>IF(bieg6[[#This Row],[podiumKraj]]=3,AVERAGE(E98:E100),"")</f>
        <v/>
      </c>
      <c r="H100" s="1" t="s">
        <v>31</v>
      </c>
      <c r="I100" s="1"/>
    </row>
    <row r="101" spans="1:9" x14ac:dyDescent="0.25">
      <c r="A101" s="1" t="s">
        <v>29</v>
      </c>
      <c r="B101" s="2">
        <v>0.37847222222222221</v>
      </c>
      <c r="C101" s="1" t="s">
        <v>30</v>
      </c>
      <c r="D101" s="1" t="s">
        <v>31</v>
      </c>
      <c r="E101" s="2">
        <f>IF(bieg6[[#This Row],[czas_stop]]="DNF","",bieg6[[#This Row],[czas_stop]]-bieg6[[#This Row],[czas_start]])</f>
        <v>9.4618055555555525E-2</v>
      </c>
      <c r="F101" s="1">
        <f>IF(bieg6[[#This Row],[kraj]]&lt;&gt;D100,1,IF(OR(F100=1,F100=2),F100+1,0))</f>
        <v>2</v>
      </c>
      <c r="G101" s="2" t="str">
        <f>IF(bieg6[[#This Row],[podiumKraj]]=3,AVERAGE(E99:E101),"")</f>
        <v/>
      </c>
      <c r="H101" s="1" t="s">
        <v>31</v>
      </c>
      <c r="I101" s="1"/>
    </row>
    <row r="102" spans="1:9" x14ac:dyDescent="0.25">
      <c r="A102" s="1" t="s">
        <v>222</v>
      </c>
      <c r="B102" s="2">
        <v>0.41076388888888887</v>
      </c>
      <c r="C102" s="1" t="s">
        <v>223</v>
      </c>
      <c r="D102" s="1" t="s">
        <v>31</v>
      </c>
      <c r="E102" s="2">
        <f>IF(bieg6[[#This Row],[czas_stop]]="DNF","",bieg6[[#This Row],[czas_stop]]-bieg6[[#This Row],[czas_start]])</f>
        <v>0.10049768518518526</v>
      </c>
      <c r="F102" s="1">
        <f>IF(bieg6[[#This Row],[kraj]]&lt;&gt;D101,1,IF(OR(F101=1,F101=2),F101+1,0))</f>
        <v>3</v>
      </c>
      <c r="G102" s="2">
        <f>IF(bieg6[[#This Row],[podiumKraj]]=3,AVERAGE(E100:E102),"")</f>
        <v>9.5405092592592611E-2</v>
      </c>
      <c r="H102" s="1" t="s">
        <v>31</v>
      </c>
      <c r="I102" s="1"/>
    </row>
    <row r="103" spans="1:9" x14ac:dyDescent="0.25">
      <c r="A103" s="1" t="s">
        <v>59</v>
      </c>
      <c r="B103" s="2">
        <v>0.38194444444444442</v>
      </c>
      <c r="C103" s="1" t="s">
        <v>60</v>
      </c>
      <c r="D103" s="1" t="s">
        <v>31</v>
      </c>
      <c r="E103" s="2">
        <f>IF(bieg6[[#This Row],[czas_stop]]="DNF","",bieg6[[#This Row],[czas_stop]]-bieg6[[#This Row],[czas_start]])</f>
        <v>0.10143518518518518</v>
      </c>
      <c r="F103" s="1">
        <f>IF(bieg6[[#This Row],[kraj]]&lt;&gt;D102,1,IF(OR(F102=1,F102=2),F102+1,0))</f>
        <v>0</v>
      </c>
      <c r="G103" s="2" t="str">
        <f>IF(bieg6[[#This Row],[podiumKraj]]=3,AVERAGE(E101:E103),"")</f>
        <v/>
      </c>
      <c r="H103" s="1" t="s">
        <v>31</v>
      </c>
      <c r="I103" s="1"/>
    </row>
    <row r="104" spans="1:9" x14ac:dyDescent="0.25">
      <c r="A104" s="1" t="s">
        <v>77</v>
      </c>
      <c r="B104" s="2">
        <v>0.38506944444444446</v>
      </c>
      <c r="C104" s="1" t="s">
        <v>78</v>
      </c>
      <c r="D104" s="1" t="s">
        <v>31</v>
      </c>
      <c r="E104" s="2">
        <f>IF(bieg6[[#This Row],[czas_stop]]="DNF","",bieg6[[#This Row],[czas_stop]]-bieg6[[#This Row],[czas_start]])</f>
        <v>0.10163194444444446</v>
      </c>
      <c r="F104" s="1">
        <f>IF(bieg6[[#This Row],[kraj]]&lt;&gt;D103,1,IF(OR(F103=1,F103=2),F103+1,0))</f>
        <v>0</v>
      </c>
      <c r="G104" s="2" t="str">
        <f>IF(bieg6[[#This Row],[podiumKraj]]=3,AVERAGE(E102:E104),"")</f>
        <v/>
      </c>
      <c r="H104" s="1" t="s">
        <v>31</v>
      </c>
      <c r="I104" s="1"/>
    </row>
    <row r="105" spans="1:9" x14ac:dyDescent="0.25">
      <c r="A105" s="1" t="s">
        <v>182</v>
      </c>
      <c r="B105" s="2">
        <v>0.40347222222222223</v>
      </c>
      <c r="C105" s="1" t="s">
        <v>183</v>
      </c>
      <c r="D105" s="1" t="s">
        <v>31</v>
      </c>
      <c r="E105" s="2">
        <f>IF(bieg6[[#This Row],[czas_stop]]="DNF","",bieg6[[#This Row],[czas_stop]]-bieg6[[#This Row],[czas_start]])</f>
        <v>0.10408564814814814</v>
      </c>
      <c r="F105" s="1">
        <f>IF(bieg6[[#This Row],[kraj]]&lt;&gt;D104,1,IF(OR(F104=1,F104=2),F104+1,0))</f>
        <v>0</v>
      </c>
      <c r="G105" s="2" t="str">
        <f>IF(bieg6[[#This Row],[podiumKraj]]=3,AVERAGE(E103:E105),"")</f>
        <v/>
      </c>
      <c r="H105" s="1" t="s">
        <v>31</v>
      </c>
      <c r="I105" s="1"/>
    </row>
    <row r="106" spans="1:9" x14ac:dyDescent="0.25">
      <c r="A106" s="1" t="s">
        <v>231</v>
      </c>
      <c r="B106" s="2">
        <v>0.41249999999999998</v>
      </c>
      <c r="C106" s="1" t="s">
        <v>232</v>
      </c>
      <c r="D106" s="1" t="s">
        <v>31</v>
      </c>
      <c r="E106" s="2">
        <f>IF(bieg6[[#This Row],[czas_stop]]="DNF","",bieg6[[#This Row],[czas_stop]]-bieg6[[#This Row],[czas_start]])</f>
        <v>0.10443287037037041</v>
      </c>
      <c r="F106" s="1">
        <f>IF(bieg6[[#This Row],[kraj]]&lt;&gt;D105,1,IF(OR(F105=1,F105=2),F105+1,0))</f>
        <v>0</v>
      </c>
      <c r="G106" s="2" t="str">
        <f>IF(bieg6[[#This Row],[podiumKraj]]=3,AVERAGE(E104:E106),"")</f>
        <v/>
      </c>
      <c r="H106" s="1" t="s">
        <v>31</v>
      </c>
      <c r="I106" s="1"/>
    </row>
    <row r="107" spans="1:9" x14ac:dyDescent="0.25">
      <c r="A107" s="1" t="s">
        <v>239</v>
      </c>
      <c r="B107" s="2">
        <v>0.41388888888888886</v>
      </c>
      <c r="C107" s="1" t="s">
        <v>240</v>
      </c>
      <c r="D107" s="1" t="s">
        <v>31</v>
      </c>
      <c r="E107" s="2">
        <f>IF(bieg6[[#This Row],[czas_stop]]="DNF","",bieg6[[#This Row],[czas_stop]]-bieg6[[#This Row],[czas_start]])</f>
        <v>0.10711805555555554</v>
      </c>
      <c r="F107" s="1">
        <f>IF(bieg6[[#This Row],[kraj]]&lt;&gt;D106,1,IF(OR(F106=1,F106=2),F106+1,0))</f>
        <v>0</v>
      </c>
      <c r="G107" s="2" t="str">
        <f>IF(bieg6[[#This Row],[podiumKraj]]=3,AVERAGE(E105:E107),"")</f>
        <v/>
      </c>
      <c r="H107" s="1" t="s">
        <v>31</v>
      </c>
      <c r="I107" s="1"/>
    </row>
    <row r="108" spans="1:9" x14ac:dyDescent="0.25">
      <c r="A108" s="1" t="s">
        <v>264</v>
      </c>
      <c r="B108" s="2">
        <v>0.41840277777777779</v>
      </c>
      <c r="C108" s="1" t="s">
        <v>265</v>
      </c>
      <c r="D108" s="1" t="s">
        <v>31</v>
      </c>
      <c r="E108" s="2">
        <f>IF(bieg6[[#This Row],[czas_stop]]="DNF","",bieg6[[#This Row],[czas_stop]]-bieg6[[#This Row],[czas_start]])</f>
        <v>0.10754629629629631</v>
      </c>
      <c r="F108" s="1">
        <f>IF(bieg6[[#This Row],[kraj]]&lt;&gt;D107,1,IF(OR(F107=1,F107=2),F107+1,0))</f>
        <v>0</v>
      </c>
      <c r="G108" s="2" t="str">
        <f>IF(bieg6[[#This Row],[podiumKraj]]=3,AVERAGE(E106:E108),"")</f>
        <v/>
      </c>
      <c r="H108" s="1" t="s">
        <v>31</v>
      </c>
      <c r="I108" s="1"/>
    </row>
    <row r="109" spans="1:9" x14ac:dyDescent="0.25">
      <c r="A109" s="1" t="s">
        <v>180</v>
      </c>
      <c r="B109" s="2">
        <v>0.40312500000000001</v>
      </c>
      <c r="C109" s="1" t="s">
        <v>181</v>
      </c>
      <c r="D109" s="1" t="s">
        <v>28</v>
      </c>
      <c r="E109" s="2">
        <f>IF(bieg6[[#This Row],[czas_stop]]="DNF","",bieg6[[#This Row],[czas_stop]]-bieg6[[#This Row],[czas_start]])</f>
        <v>8.8703703703703674E-2</v>
      </c>
      <c r="F109" s="1">
        <f>IF(bieg6[[#This Row],[kraj]]&lt;&gt;D108,1,IF(OR(F108=1,F108=2),F108+1,0))</f>
        <v>1</v>
      </c>
      <c r="G109" s="2" t="str">
        <f>IF(bieg6[[#This Row],[podiumKraj]]=3,AVERAGE(E107:E109),"")</f>
        <v/>
      </c>
      <c r="H109" s="1" t="s">
        <v>28</v>
      </c>
      <c r="I109" s="1"/>
    </row>
    <row r="110" spans="1:9" x14ac:dyDescent="0.25">
      <c r="A110" s="1" t="s">
        <v>209</v>
      </c>
      <c r="B110" s="2">
        <v>0.40833333333333333</v>
      </c>
      <c r="C110" s="1" t="s">
        <v>210</v>
      </c>
      <c r="D110" s="1" t="s">
        <v>28</v>
      </c>
      <c r="E110" s="2">
        <f>IF(bieg6[[#This Row],[czas_stop]]="DNF","",bieg6[[#This Row],[czas_stop]]-bieg6[[#This Row],[czas_start]])</f>
        <v>9.8576388888888866E-2</v>
      </c>
      <c r="F110" s="1">
        <f>IF(bieg6[[#This Row],[kraj]]&lt;&gt;D109,1,IF(OR(F109=1,F109=2),F109+1,0))</f>
        <v>2</v>
      </c>
      <c r="G110" s="2" t="str">
        <f>IF(bieg6[[#This Row],[podiumKraj]]=3,AVERAGE(E108:E110),"")</f>
        <v/>
      </c>
      <c r="H110" s="1" t="s">
        <v>28</v>
      </c>
      <c r="I110" s="1"/>
    </row>
    <row r="111" spans="1:9" x14ac:dyDescent="0.25">
      <c r="A111" s="1" t="s">
        <v>85</v>
      </c>
      <c r="B111" s="2">
        <v>0.38645833333333335</v>
      </c>
      <c r="C111" s="1" t="s">
        <v>86</v>
      </c>
      <c r="D111" s="1" t="s">
        <v>28</v>
      </c>
      <c r="E111" s="2">
        <f>IF(bieg6[[#This Row],[czas_stop]]="DNF","",bieg6[[#This Row],[czas_stop]]-bieg6[[#This Row],[czas_start]])</f>
        <v>0.11444444444444446</v>
      </c>
      <c r="F111" s="1">
        <f>IF(bieg6[[#This Row],[kraj]]&lt;&gt;D110,1,IF(OR(F110=1,F110=2),F110+1,0))</f>
        <v>3</v>
      </c>
      <c r="G111" s="2">
        <f>IF(bieg6[[#This Row],[podiumKraj]]=3,AVERAGE(E109:E111),"")</f>
        <v>0.10057484567901233</v>
      </c>
      <c r="H111" s="1" t="s">
        <v>28</v>
      </c>
      <c r="I111" s="1"/>
    </row>
    <row r="112" spans="1:9" x14ac:dyDescent="0.25">
      <c r="A112" s="1" t="s">
        <v>224</v>
      </c>
      <c r="B112" s="2">
        <v>0.41111111111111109</v>
      </c>
      <c r="C112" s="1" t="s">
        <v>225</v>
      </c>
      <c r="D112" s="1" t="s">
        <v>28</v>
      </c>
      <c r="E112" s="2">
        <f>IF(bieg6[[#This Row],[czas_stop]]="DNF","",bieg6[[#This Row],[czas_stop]]-bieg6[[#This Row],[czas_start]])</f>
        <v>0.11798611111111112</v>
      </c>
      <c r="F112" s="1">
        <f>IF(bieg6[[#This Row],[kraj]]&lt;&gt;D111,1,IF(OR(F111=1,F111=2),F111+1,0))</f>
        <v>0</v>
      </c>
      <c r="G112" s="2" t="str">
        <f>IF(bieg6[[#This Row],[podiumKraj]]=3,AVERAGE(E110:E112),"")</f>
        <v/>
      </c>
      <c r="H112" s="1" t="s">
        <v>28</v>
      </c>
      <c r="I112" s="1"/>
    </row>
    <row r="113" spans="1:9" x14ac:dyDescent="0.25">
      <c r="A113" s="1" t="s">
        <v>107</v>
      </c>
      <c r="B113" s="2">
        <v>0.39027777777777778</v>
      </c>
      <c r="C113" s="1" t="s">
        <v>108</v>
      </c>
      <c r="D113" s="1" t="s">
        <v>28</v>
      </c>
      <c r="E113" s="2">
        <f>IF(bieg6[[#This Row],[czas_stop]]="DNF","",bieg6[[#This Row],[czas_stop]]-bieg6[[#This Row],[czas_start]])</f>
        <v>0.11879629629629634</v>
      </c>
      <c r="F113" s="1">
        <f>IF(bieg6[[#This Row],[kraj]]&lt;&gt;D112,1,IF(OR(F112=1,F112=2),F112+1,0))</f>
        <v>0</v>
      </c>
      <c r="G113" s="2" t="str">
        <f>IF(bieg6[[#This Row],[podiumKraj]]=3,AVERAGE(E111:E113),"")</f>
        <v/>
      </c>
      <c r="H113" s="1" t="s">
        <v>28</v>
      </c>
      <c r="I113" s="1"/>
    </row>
    <row r="114" spans="1:9" x14ac:dyDescent="0.25">
      <c r="A114" s="1" t="s">
        <v>26</v>
      </c>
      <c r="B114" s="2">
        <v>0.37812499999999999</v>
      </c>
      <c r="C114" s="1" t="s">
        <v>27</v>
      </c>
      <c r="D114" s="1" t="s">
        <v>28</v>
      </c>
      <c r="E114" s="2">
        <f>IF(bieg6[[#This Row],[czas_stop]]="DNF","",bieg6[[#This Row],[czas_stop]]-bieg6[[#This Row],[czas_start]])</f>
        <v>0.12255787037037041</v>
      </c>
      <c r="F114" s="1">
        <f>IF(bieg6[[#This Row],[kraj]]&lt;&gt;D113,1,IF(OR(F113=1,F113=2),F113+1,0))</f>
        <v>0</v>
      </c>
      <c r="G114" s="2" t="str">
        <f>IF(bieg6[[#This Row],[podiumKraj]]=3,AVERAGE(E112:E114),"")</f>
        <v/>
      </c>
      <c r="H114" s="1" t="s">
        <v>28</v>
      </c>
      <c r="I114" s="1"/>
    </row>
    <row r="115" spans="1:9" x14ac:dyDescent="0.25">
      <c r="A115" s="1" t="s">
        <v>100</v>
      </c>
      <c r="B115" s="2">
        <v>0.3888888888888889</v>
      </c>
      <c r="C115" s="1" t="s">
        <v>64</v>
      </c>
      <c r="D115" s="1" t="s">
        <v>99</v>
      </c>
      <c r="E115" s="2">
        <f>IF(bieg6[[#This Row],[czas_stop]]="DNF","",bieg6[[#This Row],[czas_stop]]-bieg6[[#This Row],[czas_start]])</f>
        <v>8.7754629629629599E-2</v>
      </c>
      <c r="F115" s="1">
        <f>IF(bieg6[[#This Row],[kraj]]&lt;&gt;D114,1,IF(OR(F114=1,F114=2),F114+1,0))</f>
        <v>1</v>
      </c>
      <c r="G115" s="2" t="str">
        <f>IF(bieg6[[#This Row],[podiumKraj]]=3,AVERAGE(E113:E115),"")</f>
        <v/>
      </c>
      <c r="H115" s="1" t="s">
        <v>99</v>
      </c>
      <c r="I115" s="1"/>
    </row>
    <row r="116" spans="1:9" x14ac:dyDescent="0.25">
      <c r="A116" s="1" t="s">
        <v>190</v>
      </c>
      <c r="B116" s="2">
        <v>0.40486111111111112</v>
      </c>
      <c r="C116" s="1" t="s">
        <v>191</v>
      </c>
      <c r="D116" s="1" t="s">
        <v>99</v>
      </c>
      <c r="E116" s="2">
        <f>IF(bieg6[[#This Row],[czas_stop]]="DNF","",bieg6[[#This Row],[czas_stop]]-bieg6[[#This Row],[czas_start]])</f>
        <v>8.9131944444444444E-2</v>
      </c>
      <c r="F116" s="1">
        <f>IF(bieg6[[#This Row],[kraj]]&lt;&gt;D115,1,IF(OR(F115=1,F115=2),F115+1,0))</f>
        <v>2</v>
      </c>
      <c r="G116" s="2" t="str">
        <f>IF(bieg6[[#This Row],[podiumKraj]]=3,AVERAGE(E114:E116),"")</f>
        <v/>
      </c>
      <c r="H116" s="1" t="s">
        <v>99</v>
      </c>
      <c r="I116" s="1"/>
    </row>
    <row r="117" spans="1:9" x14ac:dyDescent="0.25">
      <c r="A117" s="1" t="s">
        <v>159</v>
      </c>
      <c r="B117" s="2">
        <v>0.39930555555555558</v>
      </c>
      <c r="C117" s="1" t="s">
        <v>160</v>
      </c>
      <c r="D117" s="1" t="s">
        <v>99</v>
      </c>
      <c r="E117" s="2">
        <f>IF(bieg6[[#This Row],[czas_stop]]="DNF","",bieg6[[#This Row],[czas_stop]]-bieg6[[#This Row],[czas_start]])</f>
        <v>9.2187499999999922E-2</v>
      </c>
      <c r="F117" s="1">
        <f>IF(bieg6[[#This Row],[kraj]]&lt;&gt;D116,1,IF(OR(F116=1,F116=2),F116+1,0))</f>
        <v>3</v>
      </c>
      <c r="G117" s="2">
        <f>IF(bieg6[[#This Row],[podiumKraj]]=3,AVERAGE(E115:E117),"")</f>
        <v>8.9691358024691317E-2</v>
      </c>
      <c r="H117" s="1" t="s">
        <v>99</v>
      </c>
      <c r="I117" s="1"/>
    </row>
    <row r="118" spans="1:9" x14ac:dyDescent="0.25">
      <c r="A118" s="1" t="s">
        <v>147</v>
      </c>
      <c r="B118" s="2">
        <v>0.3972222222222222</v>
      </c>
      <c r="C118" s="1" t="s">
        <v>148</v>
      </c>
      <c r="D118" s="1" t="s">
        <v>99</v>
      </c>
      <c r="E118" s="2">
        <f>IF(bieg6[[#This Row],[czas_stop]]="DNF","",bieg6[[#This Row],[czas_stop]]-bieg6[[#This Row],[czas_start]])</f>
        <v>0.10545138888888889</v>
      </c>
      <c r="F118" s="1">
        <f>IF(bieg6[[#This Row],[kraj]]&lt;&gt;D117,1,IF(OR(F117=1,F117=2),F117+1,0))</f>
        <v>0</v>
      </c>
      <c r="G118" s="2" t="str">
        <f>IF(bieg6[[#This Row],[podiumKraj]]=3,AVERAGE(E116:E118),"")</f>
        <v/>
      </c>
      <c r="H118" s="1" t="s">
        <v>99</v>
      </c>
      <c r="I118" s="1"/>
    </row>
    <row r="119" spans="1:9" x14ac:dyDescent="0.25">
      <c r="A119" s="1" t="s">
        <v>97</v>
      </c>
      <c r="B119" s="2">
        <v>0.38854166666666667</v>
      </c>
      <c r="C119" s="1" t="s">
        <v>98</v>
      </c>
      <c r="D119" s="1" t="s">
        <v>99</v>
      </c>
      <c r="E119" s="2">
        <f>IF(bieg6[[#This Row],[czas_stop]]="DNF","",bieg6[[#This Row],[czas_stop]]-bieg6[[#This Row],[czas_start]])</f>
        <v>0.10758101851851853</v>
      </c>
      <c r="F119" s="1">
        <f>IF(bieg6[[#This Row],[kraj]]&lt;&gt;D118,1,IF(OR(F118=1,F118=2),F118+1,0))</f>
        <v>0</v>
      </c>
      <c r="G119" s="2" t="str">
        <f>IF(bieg6[[#This Row],[podiumKraj]]=3,AVERAGE(E117:E119),"")</f>
        <v/>
      </c>
      <c r="H119" s="1" t="s">
        <v>99</v>
      </c>
      <c r="I119" s="1"/>
    </row>
    <row r="120" spans="1:9" x14ac:dyDescent="0.25">
      <c r="A120" s="1" t="s">
        <v>211</v>
      </c>
      <c r="B120" s="2">
        <v>0.40868055555555555</v>
      </c>
      <c r="C120" s="1" t="s">
        <v>212</v>
      </c>
      <c r="D120" s="1" t="s">
        <v>99</v>
      </c>
      <c r="E120" s="2">
        <f>IF(bieg6[[#This Row],[czas_stop]]="DNF","",bieg6[[#This Row],[czas_stop]]-bieg6[[#This Row],[czas_start]])</f>
        <v>0.10818287037037039</v>
      </c>
      <c r="F120" s="1">
        <f>IF(bieg6[[#This Row],[kraj]]&lt;&gt;D119,1,IF(OR(F119=1,F119=2),F119+1,0))</f>
        <v>0</v>
      </c>
      <c r="G120" s="2" t="str">
        <f>IF(bieg6[[#This Row],[podiumKraj]]=3,AVERAGE(E118:E120),"")</f>
        <v/>
      </c>
      <c r="H120" s="1" t="s">
        <v>99</v>
      </c>
      <c r="I120" s="1"/>
    </row>
    <row r="121" spans="1:9" x14ac:dyDescent="0.25">
      <c r="A121" s="1" t="s">
        <v>229</v>
      </c>
      <c r="B121" s="2">
        <v>0.41215277777777776</v>
      </c>
      <c r="C121" s="1" t="s">
        <v>230</v>
      </c>
      <c r="D121" s="1" t="s">
        <v>99</v>
      </c>
      <c r="E121" s="2">
        <f>IF(bieg6[[#This Row],[czas_stop]]="DNF","",bieg6[[#This Row],[czas_stop]]-bieg6[[#This Row],[czas_start]])</f>
        <v>0.10864583333333339</v>
      </c>
      <c r="F121" s="1">
        <f>IF(bieg6[[#This Row],[kraj]]&lt;&gt;D120,1,IF(OR(F120=1,F120=2),F120+1,0))</f>
        <v>0</v>
      </c>
      <c r="G121" s="2" t="str">
        <f>IF(bieg6[[#This Row],[podiumKraj]]=3,AVERAGE(E119:E121),"")</f>
        <v/>
      </c>
      <c r="H121" s="1" t="s">
        <v>99</v>
      </c>
      <c r="I121" s="1"/>
    </row>
    <row r="122" spans="1:9" x14ac:dyDescent="0.25">
      <c r="A122" s="1" t="s">
        <v>241</v>
      </c>
      <c r="B122" s="2">
        <v>0.41423611111111114</v>
      </c>
      <c r="C122" s="1" t="s">
        <v>242</v>
      </c>
      <c r="D122" s="1" t="s">
        <v>99</v>
      </c>
      <c r="E122" s="2">
        <f>IF(bieg6[[#This Row],[czas_stop]]="DNF","",bieg6[[#This Row],[czas_stop]]-bieg6[[#This Row],[czas_start]])</f>
        <v>0.11141203703703706</v>
      </c>
      <c r="F122" s="1">
        <f>IF(bieg6[[#This Row],[kraj]]&lt;&gt;D121,1,IF(OR(F121=1,F121=2),F121+1,0))</f>
        <v>0</v>
      </c>
      <c r="G122" s="2" t="str">
        <f>IF(bieg6[[#This Row],[podiumKraj]]=3,AVERAGE(E120:E122),"")</f>
        <v/>
      </c>
      <c r="H122" s="1" t="s">
        <v>99</v>
      </c>
      <c r="I122" s="1"/>
    </row>
    <row r="123" spans="1:9" x14ac:dyDescent="0.25">
      <c r="A123" s="1" t="s">
        <v>123</v>
      </c>
      <c r="B123" s="2">
        <v>0.39305555555555555</v>
      </c>
      <c r="C123" s="1" t="s">
        <v>124</v>
      </c>
      <c r="D123" s="1" t="s">
        <v>22</v>
      </c>
      <c r="E123" s="2">
        <f>IF(bieg6[[#This Row],[czas_stop]]="DNF","",bieg6[[#This Row],[czas_stop]]-bieg6[[#This Row],[czas_start]])</f>
        <v>9.0023148148148158E-2</v>
      </c>
      <c r="F123" s="1">
        <f>IF(bieg6[[#This Row],[kraj]]&lt;&gt;D122,1,IF(OR(F122=1,F122=2),F122+1,0))</f>
        <v>1</v>
      </c>
      <c r="G123" s="2" t="str">
        <f>IF(bieg6[[#This Row],[podiumKraj]]=3,AVERAGE(E121:E123),"")</f>
        <v/>
      </c>
      <c r="H123" s="1" t="s">
        <v>22</v>
      </c>
      <c r="I123" s="1"/>
    </row>
    <row r="124" spans="1:9" x14ac:dyDescent="0.25">
      <c r="A124" s="1" t="s">
        <v>226</v>
      </c>
      <c r="B124" s="2">
        <v>0.41145833333333331</v>
      </c>
      <c r="C124" s="1" t="s">
        <v>227</v>
      </c>
      <c r="D124" s="1" t="s">
        <v>22</v>
      </c>
      <c r="E124" s="2">
        <f>IF(bieg6[[#This Row],[czas_stop]]="DNF","",bieg6[[#This Row],[czas_stop]]-bieg6[[#This Row],[czas_start]])</f>
        <v>0.11243055555555564</v>
      </c>
      <c r="F124" s="1">
        <f>IF(bieg6[[#This Row],[kraj]]&lt;&gt;D123,1,IF(OR(F123=1,F123=2),F123+1,0))</f>
        <v>2</v>
      </c>
      <c r="G124" s="2" t="str">
        <f>IF(bieg6[[#This Row],[podiumKraj]]=3,AVERAGE(E122:E124),"")</f>
        <v/>
      </c>
      <c r="H124" s="1" t="s">
        <v>22</v>
      </c>
      <c r="I124" s="1"/>
    </row>
    <row r="125" spans="1:9" x14ac:dyDescent="0.25">
      <c r="A125" s="1" t="s">
        <v>20</v>
      </c>
      <c r="B125" s="2">
        <v>0.37743055555555555</v>
      </c>
      <c r="C125" s="1" t="s">
        <v>21</v>
      </c>
      <c r="D125" s="1" t="s">
        <v>22</v>
      </c>
      <c r="E125" s="2">
        <f>IF(bieg6[[#This Row],[czas_stop]]="DNF","",bieg6[[#This Row],[czas_stop]]-bieg6[[#This Row],[czas_start]])</f>
        <v>0.11247685185185186</v>
      </c>
      <c r="F125" s="1">
        <f>IF(bieg6[[#This Row],[kraj]]&lt;&gt;D124,1,IF(OR(F124=1,F124=2),F124+1,0))</f>
        <v>3</v>
      </c>
      <c r="G125" s="2">
        <f>IF(bieg6[[#This Row],[podiumKraj]]=3,AVERAGE(E123:E125),"")</f>
        <v>0.10497685185185189</v>
      </c>
      <c r="H125" s="1" t="s">
        <v>22</v>
      </c>
      <c r="I125" s="1"/>
    </row>
    <row r="126" spans="1:9" x14ac:dyDescent="0.25">
      <c r="A126" s="1" t="s">
        <v>91</v>
      </c>
      <c r="B126" s="2">
        <v>0.38750000000000001</v>
      </c>
      <c r="C126" s="1" t="s">
        <v>92</v>
      </c>
      <c r="D126" s="1" t="s">
        <v>22</v>
      </c>
      <c r="E126" s="2">
        <f>IF(bieg6[[#This Row],[czas_stop]]="DNF","",bieg6[[#This Row],[czas_stop]]-bieg6[[#This Row],[czas_start]])</f>
        <v>0.11559027777777781</v>
      </c>
      <c r="F126" s="1">
        <f>IF(bieg6[[#This Row],[kraj]]&lt;&gt;D125,1,IF(OR(F125=1,F125=2),F125+1,0))</f>
        <v>0</v>
      </c>
      <c r="G126" s="2" t="str">
        <f>IF(bieg6[[#This Row],[podiumKraj]]=3,AVERAGE(E124:E126),"")</f>
        <v/>
      </c>
      <c r="H126" s="1" t="s">
        <v>22</v>
      </c>
      <c r="I126" s="1"/>
    </row>
    <row r="127" spans="1:9" x14ac:dyDescent="0.25">
      <c r="A127" s="1" t="s">
        <v>87</v>
      </c>
      <c r="B127" s="2">
        <v>0.38680555555555557</v>
      </c>
      <c r="C127" s="1" t="s">
        <v>88</v>
      </c>
      <c r="D127" s="1" t="s">
        <v>22</v>
      </c>
      <c r="E127" s="2">
        <f>IF(bieg6[[#This Row],[czas_stop]]="DNF","",bieg6[[#This Row],[czas_stop]]-bieg6[[#This Row],[czas_start]])</f>
        <v>0.11565972222222215</v>
      </c>
      <c r="F127" s="1">
        <f>IF(bieg6[[#This Row],[kraj]]&lt;&gt;D126,1,IF(OR(F126=1,F126=2),F126+1,0))</f>
        <v>0</v>
      </c>
      <c r="G127" s="2" t="str">
        <f>IF(bieg6[[#This Row],[podiumKraj]]=3,AVERAGE(E125:E127),"")</f>
        <v/>
      </c>
      <c r="H127" s="1" t="s">
        <v>22</v>
      </c>
      <c r="I12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21BBD-9722-448D-88AD-F4DA1CBD8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bieg</vt:lpstr>
      <vt:lpstr>31_1</vt:lpstr>
      <vt:lpstr>31_2</vt:lpstr>
      <vt:lpstr>31_3</vt:lpstr>
      <vt:lpstr>31_4</vt:lpstr>
    </vt:vector>
  </TitlesOfParts>
  <Company>XLLO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2026-03-11T09:41:37Z</dcterms:created>
  <dcterms:modified xsi:type="dcterms:W3CDTF">2026-03-11T11:29:15Z</dcterms:modified>
</cp:coreProperties>
</file>