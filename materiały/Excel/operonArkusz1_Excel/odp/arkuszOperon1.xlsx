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\Desktop\Arkusze Operon\Arkusz1\"/>
    </mc:Choice>
  </mc:AlternateContent>
  <xr:revisionPtr revIDLastSave="0" documentId="13_ncr:1_{7B4E6FF9-3F29-4490-8F7F-0B6D6DC5E76F}" xr6:coauthVersionLast="47" xr6:coauthVersionMax="47" xr10:uidLastSave="{00000000-0000-0000-0000-000000000000}"/>
  <bookViews>
    <workbookView xWindow="-96" yWindow="0" windowWidth="11712" windowHeight="13776" firstSheet="1" activeTab="6" xr2:uid="{87CDBBEA-B098-4393-8FB9-FAE83B79FD32}"/>
  </bookViews>
  <sheets>
    <sheet name="matura" sheetId="2" r:id="rId1"/>
    <sheet name="4,1" sheetId="3" r:id="rId2"/>
    <sheet name="4,2_obliczenia" sheetId="5" r:id="rId3"/>
    <sheet name="4,2" sheetId="4" r:id="rId4"/>
    <sheet name="4,3" sheetId="7" r:id="rId5"/>
    <sheet name="4,4" sheetId="10" r:id="rId6"/>
    <sheet name="4,5" sheetId="12" r:id="rId7"/>
  </sheets>
  <definedNames>
    <definedName name="ExternalData_1" localSheetId="1" hidden="1">'4,1'!$A$1:$U$153</definedName>
    <definedName name="ExternalData_1" localSheetId="2" hidden="1">'4,2_obliczenia'!$A$1:$U$153</definedName>
    <definedName name="ExternalData_1" localSheetId="5" hidden="1">'4,4'!$A$1:$D$153</definedName>
    <definedName name="ExternalData_1" localSheetId="6" hidden="1">'4,5'!$A$1:$O$153</definedName>
    <definedName name="ExternalData_1" localSheetId="0" hidden="1">matura!$A$1:$U$153</definedName>
  </definedNames>
  <calcPr calcId="191029"/>
  <pivotCaches>
    <pivotCache cacheId="9" r:id="rId8"/>
    <pivotCache cacheId="19" r:id="rId9"/>
    <pivotCache cacheId="2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12" l="1"/>
  <c r="Q3" i="12"/>
  <c r="Q4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P2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I27" i="7"/>
  <c r="I28" i="7"/>
  <c r="I29" i="7"/>
  <c r="I30" i="7"/>
  <c r="I31" i="7"/>
  <c r="I26" i="7"/>
  <c r="H31" i="7"/>
  <c r="H30" i="7"/>
  <c r="H29" i="7"/>
  <c r="H28" i="7"/>
  <c r="H27" i="7"/>
  <c r="H26" i="7"/>
  <c r="H14" i="7"/>
  <c r="H15" i="7"/>
  <c r="H16" i="7"/>
  <c r="H17" i="7"/>
  <c r="H18" i="7"/>
  <c r="H13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2" i="7"/>
  <c r="D3" i="7" a="1"/>
  <c r="D3" i="7" s="1"/>
  <c r="D4" i="7" a="1"/>
  <c r="D4" i="7" s="1"/>
  <c r="D5" i="7" a="1"/>
  <c r="D5" i="7" s="1"/>
  <c r="D6" i="7" a="1"/>
  <c r="D6" i="7" s="1"/>
  <c r="D7" i="7" a="1"/>
  <c r="D7" i="7" s="1"/>
  <c r="D8" i="7" a="1"/>
  <c r="D8" i="7" s="1"/>
  <c r="D9" i="7" a="1"/>
  <c r="D9" i="7" s="1"/>
  <c r="D10" i="7" a="1"/>
  <c r="D10" i="7" s="1"/>
  <c r="D11" i="7" a="1"/>
  <c r="D11" i="7" s="1"/>
  <c r="D12" i="7" a="1"/>
  <c r="D12" i="7" s="1"/>
  <c r="D13" i="7" a="1"/>
  <c r="D13" i="7" s="1"/>
  <c r="D14" i="7" a="1"/>
  <c r="D14" i="7" s="1"/>
  <c r="D15" i="7" a="1"/>
  <c r="D15" i="7" s="1"/>
  <c r="D16" i="7" a="1"/>
  <c r="D16" i="7" s="1"/>
  <c r="D17" i="7" a="1"/>
  <c r="D17" i="7" s="1"/>
  <c r="D18" i="7" a="1"/>
  <c r="D18" i="7" s="1"/>
  <c r="D19" i="7" a="1"/>
  <c r="D19" i="7" s="1"/>
  <c r="D20" i="7" a="1"/>
  <c r="D20" i="7" s="1"/>
  <c r="D21" i="7" a="1"/>
  <c r="D21" i="7" s="1"/>
  <c r="D22" i="7" a="1"/>
  <c r="D22" i="7" s="1"/>
  <c r="D23" i="7" a="1"/>
  <c r="D23" i="7" s="1"/>
  <c r="D24" i="7" a="1"/>
  <c r="D24" i="7"/>
  <c r="D25" i="7" a="1"/>
  <c r="D25" i="7" s="1"/>
  <c r="D26" i="7" a="1"/>
  <c r="D26" i="7" s="1"/>
  <c r="D27" i="7" a="1"/>
  <c r="D27" i="7" s="1"/>
  <c r="D28" i="7" a="1"/>
  <c r="D28" i="7" s="1"/>
  <c r="D29" i="7" a="1"/>
  <c r="D29" i="7" s="1"/>
  <c r="D30" i="7" a="1"/>
  <c r="D30" i="7" s="1"/>
  <c r="D31" i="7" a="1"/>
  <c r="D31" i="7" s="1"/>
  <c r="D32" i="7" a="1"/>
  <c r="D32" i="7" s="1"/>
  <c r="D33" i="7" a="1"/>
  <c r="D33" i="7" s="1"/>
  <c r="D34" i="7" a="1"/>
  <c r="D34" i="7" s="1"/>
  <c r="D35" i="7" a="1"/>
  <c r="D35" i="7" s="1"/>
  <c r="D36" i="7" a="1"/>
  <c r="D36" i="7" s="1"/>
  <c r="D37" i="7" a="1"/>
  <c r="D37" i="7"/>
  <c r="D38" i="7" a="1"/>
  <c r="D38" i="7" s="1"/>
  <c r="D39" i="7" a="1"/>
  <c r="D39" i="7" s="1"/>
  <c r="D40" i="7" a="1"/>
  <c r="D40" i="7" s="1"/>
  <c r="D41" i="7" a="1"/>
  <c r="D41" i="7" s="1"/>
  <c r="D42" i="7" a="1"/>
  <c r="D42" i="7" s="1"/>
  <c r="D43" i="7" a="1"/>
  <c r="D43" i="7" s="1"/>
  <c r="D44" i="7" a="1"/>
  <c r="D44" i="7" s="1"/>
  <c r="D45" i="7" a="1"/>
  <c r="D45" i="7" s="1"/>
  <c r="D46" i="7" a="1"/>
  <c r="D46" i="7" s="1"/>
  <c r="D47" i="7" a="1"/>
  <c r="D47" i="7" s="1"/>
  <c r="D48" i="7" a="1"/>
  <c r="D48" i="7" s="1"/>
  <c r="D49" i="7" a="1"/>
  <c r="D49" i="7" s="1"/>
  <c r="D50" i="7" a="1"/>
  <c r="D50" i="7" s="1"/>
  <c r="D51" i="7" a="1"/>
  <c r="D51" i="7" s="1"/>
  <c r="D52" i="7" a="1"/>
  <c r="D52" i="7" s="1"/>
  <c r="D53" i="7" a="1"/>
  <c r="D53" i="7" s="1"/>
  <c r="D54" i="7" a="1"/>
  <c r="D54" i="7" s="1"/>
  <c r="D55" i="7" a="1"/>
  <c r="D55" i="7" s="1"/>
  <c r="D56" i="7" a="1"/>
  <c r="D56" i="7" s="1"/>
  <c r="D57" i="7" a="1"/>
  <c r="D57" i="7" s="1"/>
  <c r="D58" i="7" a="1"/>
  <c r="D58" i="7" s="1"/>
  <c r="D59" i="7" a="1"/>
  <c r="D59" i="7" s="1"/>
  <c r="D60" i="7" a="1"/>
  <c r="D60" i="7" s="1"/>
  <c r="D61" i="7" a="1"/>
  <c r="D61" i="7" s="1"/>
  <c r="D62" i="7" a="1"/>
  <c r="D62" i="7" s="1"/>
  <c r="D63" i="7" a="1"/>
  <c r="D63" i="7" s="1"/>
  <c r="D64" i="7" a="1"/>
  <c r="D64" i="7" s="1"/>
  <c r="D65" i="7" a="1"/>
  <c r="D65" i="7" s="1"/>
  <c r="D66" i="7" a="1"/>
  <c r="D66" i="7" s="1"/>
  <c r="D67" i="7" a="1"/>
  <c r="D67" i="7" s="1"/>
  <c r="D68" i="7" a="1"/>
  <c r="D68" i="7" s="1"/>
  <c r="D69" i="7" a="1"/>
  <c r="D69" i="7" s="1"/>
  <c r="D70" i="7" a="1"/>
  <c r="D70" i="7" s="1"/>
  <c r="D71" i="7" a="1"/>
  <c r="D71" i="7" s="1"/>
  <c r="D72" i="7" a="1"/>
  <c r="D72" i="7" s="1"/>
  <c r="D73" i="7" a="1"/>
  <c r="D73" i="7" s="1"/>
  <c r="D74" i="7" a="1"/>
  <c r="D74" i="7" s="1"/>
  <c r="D75" i="7" a="1"/>
  <c r="D75" i="7" s="1"/>
  <c r="D76" i="7" a="1"/>
  <c r="D76" i="7" s="1"/>
  <c r="D77" i="7" a="1"/>
  <c r="D77" i="7" s="1"/>
  <c r="D78" i="7" a="1"/>
  <c r="D78" i="7" s="1"/>
  <c r="D79" i="7" a="1"/>
  <c r="D79" i="7" s="1"/>
  <c r="D80" i="7" a="1"/>
  <c r="D80" i="7" s="1"/>
  <c r="D81" i="7" a="1"/>
  <c r="D81" i="7" s="1"/>
  <c r="D82" i="7" a="1"/>
  <c r="D82" i="7" s="1"/>
  <c r="D83" i="7" a="1"/>
  <c r="D83" i="7" s="1"/>
  <c r="D84" i="7" a="1"/>
  <c r="D84" i="7" s="1"/>
  <c r="D85" i="7" a="1"/>
  <c r="D85" i="7" s="1"/>
  <c r="D86" i="7" a="1"/>
  <c r="D86" i="7" s="1"/>
  <c r="D87" i="7" a="1"/>
  <c r="D87" i="7" s="1"/>
  <c r="D88" i="7" a="1"/>
  <c r="D88" i="7" s="1"/>
  <c r="D89" i="7" a="1"/>
  <c r="D89" i="7" s="1"/>
  <c r="D90" i="7" a="1"/>
  <c r="D90" i="7" s="1"/>
  <c r="D91" i="7" a="1"/>
  <c r="D91" i="7" s="1"/>
  <c r="D92" i="7" a="1"/>
  <c r="D92" i="7" s="1"/>
  <c r="D93" i="7" a="1"/>
  <c r="D93" i="7" s="1"/>
  <c r="D94" i="7" a="1"/>
  <c r="D94" i="7" s="1"/>
  <c r="D95" i="7" a="1"/>
  <c r="D95" i="7" s="1"/>
  <c r="D96" i="7" a="1"/>
  <c r="D96" i="7" s="1"/>
  <c r="D97" i="7" a="1"/>
  <c r="D97" i="7" s="1"/>
  <c r="D98" i="7" a="1"/>
  <c r="D98" i="7" s="1"/>
  <c r="D99" i="7" a="1"/>
  <c r="D99" i="7" s="1"/>
  <c r="D100" i="7" a="1"/>
  <c r="D100" i="7" s="1"/>
  <c r="D101" i="7" a="1"/>
  <c r="D101" i="7" s="1"/>
  <c r="D102" i="7" a="1"/>
  <c r="D102" i="7" s="1"/>
  <c r="D103" i="7" a="1"/>
  <c r="D103" i="7" s="1"/>
  <c r="D104" i="7" a="1"/>
  <c r="D104" i="7" s="1"/>
  <c r="D105" i="7" a="1"/>
  <c r="D105" i="7" s="1"/>
  <c r="D106" i="7" a="1"/>
  <c r="D106" i="7" s="1"/>
  <c r="D107" i="7" a="1"/>
  <c r="D107" i="7" s="1"/>
  <c r="D108" i="7" a="1"/>
  <c r="D108" i="7" s="1"/>
  <c r="D109" i="7" a="1"/>
  <c r="D109" i="7" s="1"/>
  <c r="D110" i="7" a="1"/>
  <c r="D110" i="7" s="1"/>
  <c r="D111" i="7" a="1"/>
  <c r="D111" i="7" s="1"/>
  <c r="D112" i="7" a="1"/>
  <c r="D112" i="7" s="1"/>
  <c r="D113" i="7" a="1"/>
  <c r="D113" i="7" s="1"/>
  <c r="D114" i="7" a="1"/>
  <c r="D114" i="7" s="1"/>
  <c r="D115" i="7" a="1"/>
  <c r="D115" i="7" s="1"/>
  <c r="D116" i="7" a="1"/>
  <c r="D116" i="7" s="1"/>
  <c r="D117" i="7" a="1"/>
  <c r="D117" i="7" s="1"/>
  <c r="D118" i="7" a="1"/>
  <c r="D118" i="7" s="1"/>
  <c r="D119" i="7" a="1"/>
  <c r="D119" i="7" s="1"/>
  <c r="D120" i="7" a="1"/>
  <c r="D120" i="7" s="1"/>
  <c r="D121" i="7" a="1"/>
  <c r="D121" i="7" s="1"/>
  <c r="D122" i="7" a="1"/>
  <c r="D122" i="7" s="1"/>
  <c r="D123" i="7" a="1"/>
  <c r="D123" i="7" s="1"/>
  <c r="D124" i="7" a="1"/>
  <c r="D124" i="7" s="1"/>
  <c r="D125" i="7" a="1"/>
  <c r="D125" i="7" s="1"/>
  <c r="D126" i="7" a="1"/>
  <c r="D126" i="7" s="1"/>
  <c r="D127" i="7" a="1"/>
  <c r="D127" i="7" s="1"/>
  <c r="D128" i="7" a="1"/>
  <c r="D128" i="7" s="1"/>
  <c r="D129" i="7" a="1"/>
  <c r="D129" i="7" s="1"/>
  <c r="D130" i="7" a="1"/>
  <c r="D130" i="7" s="1"/>
  <c r="D131" i="7" a="1"/>
  <c r="D131" i="7" s="1"/>
  <c r="D132" i="7" a="1"/>
  <c r="D132" i="7" s="1"/>
  <c r="D133" i="7" a="1"/>
  <c r="D133" i="7" s="1"/>
  <c r="D134" i="7" a="1"/>
  <c r="D134" i="7" s="1"/>
  <c r="D135" i="7" a="1"/>
  <c r="D135" i="7" s="1"/>
  <c r="D136" i="7" a="1"/>
  <c r="D136" i="7" s="1"/>
  <c r="D137" i="7" a="1"/>
  <c r="D137" i="7" s="1"/>
  <c r="D138" i="7" a="1"/>
  <c r="D138" i="7" s="1"/>
  <c r="D139" i="7" a="1"/>
  <c r="D139" i="7" s="1"/>
  <c r="D140" i="7" a="1"/>
  <c r="D140" i="7" s="1"/>
  <c r="D141" i="7" a="1"/>
  <c r="D141" i="7" s="1"/>
  <c r="D142" i="7" a="1"/>
  <c r="D142" i="7" s="1"/>
  <c r="D143" i="7" a="1"/>
  <c r="D143" i="7" s="1"/>
  <c r="D144" i="7" a="1"/>
  <c r="D144" i="7" s="1"/>
  <c r="D145" i="7" a="1"/>
  <c r="D145" i="7" s="1"/>
  <c r="D146" i="7" a="1"/>
  <c r="D146" i="7" s="1"/>
  <c r="D147" i="7" a="1"/>
  <c r="D147" i="7" s="1"/>
  <c r="D148" i="7" a="1"/>
  <c r="D148" i="7" s="1"/>
  <c r="D149" i="7" a="1"/>
  <c r="D149" i="7" s="1"/>
  <c r="D150" i="7" a="1"/>
  <c r="D150" i="7" s="1"/>
  <c r="D151" i="7" a="1"/>
  <c r="D151" i="7" s="1"/>
  <c r="D152" i="7" a="1"/>
  <c r="D152" i="7" s="1"/>
  <c r="D153" i="7" a="1"/>
  <c r="D153" i="7" s="1"/>
  <c r="D2" i="7" a="1"/>
  <c r="D2" i="7" s="1"/>
  <c r="C157" i="5"/>
  <c r="V61" i="3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C156" i="5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95B10D-167B-400A-B248-433D8C080C89}" keepAlive="1" name="Zapytanie — matura" description="Połączenie z zapytaniem „matura” w skoroszycie." type="5" refreshedVersion="8" background="1" saveData="1">
    <dbPr connection="Provider=Microsoft.Mashup.OleDb.1;Data Source=$Workbook$;Location=matura;Extended Properties=&quot;&quot;" command="SELECT * FROM [matura]"/>
  </connection>
  <connection id="2" xr16:uid="{5CCDD238-A744-4D72-9598-D0C0705F5DBA}" keepAlive="1" name="Zapytanie — matura (2)" description="Połączenie z zapytaniem „matura (2)” w skoroszycie." type="5" refreshedVersion="8" background="1" saveData="1">
    <dbPr connection="Provider=Microsoft.Mashup.OleDb.1;Data Source=$Workbook$;Location=&quot;matura (2)&quot;;Extended Properties=&quot;&quot;" command="SELECT * FROM [matura (2)]"/>
  </connection>
  <connection id="3" xr16:uid="{0C15C9FC-72E7-4609-8EC0-BDF373068D99}" keepAlive="1" name="Zapytanie — matura (3)" description="Połączenie z zapytaniem „matura (3)” w skoroszycie." type="5" refreshedVersion="8" background="1" saveData="1">
    <dbPr connection="Provider=Microsoft.Mashup.OleDb.1;Data Source=$Workbook$;Location=&quot;matura (3)&quot;;Extended Properties=&quot;&quot;" command="SELECT * FROM [matura (3)]"/>
  </connection>
  <connection id="4" xr16:uid="{CA291A17-5E9C-44BD-96BD-6677672D4F2D}" keepAlive="1" name="Zapytanie — matura (4)" description="Połączenie z zapytaniem „matura (4)” w skoroszycie." type="5" refreshedVersion="8" background="1" saveData="1">
    <dbPr connection="Provider=Microsoft.Mashup.OleDb.1;Data Source=$Workbook$;Location=&quot;matura (4)&quot;;Extended Properties=&quot;&quot;" command="SELECT * FROM [matura (4)]"/>
  </connection>
  <connection id="5" xr16:uid="{F217FD65-8EF4-4C3B-9E4C-5F55F928C673}" keepAlive="1" name="Zapytanie — matura (5)" description="Połączenie z zapytaniem „matura (5)” w skoroszycie." type="5" refreshedVersion="8" background="1" saveData="1">
    <dbPr connection="Provider=Microsoft.Mashup.OleDb.1;Data Source=$Workbook$;Location=&quot;matura (5)&quot;;Extended Properties=&quot;&quot;" command="SELECT * FROM [matura (5)]"/>
  </connection>
  <connection id="6" xr16:uid="{54C33DD8-8362-4353-B667-6A20960E737B}" keepAlive="1" name="Zapytanie — matura (6)" description="Połączenie z zapytaniem „matura (6)” w skoroszycie." type="5" refreshedVersion="8" background="1" saveData="1">
    <dbPr connection="Provider=Microsoft.Mashup.OleDb.1;Data Source=$Workbook$;Location=&quot;matura (6)&quot;;Extended Properties=&quot;&quot;" command="SELECT * FROM [matura (6)]"/>
  </connection>
  <connection id="7" xr16:uid="{8EAD399B-48F2-4087-A1C4-53E980AD9815}" keepAlive="1" name="Zapytanie — matura (7)" description="Połączenie z zapytaniem „matura (7)” w skoroszycie." type="5" refreshedVersion="8" background="1" saveData="1">
    <dbPr connection="Provider=Microsoft.Mashup.OleDb.1;Data Source=$Workbook$;Location=&quot;matura (7)&quot;;Extended Properties=&quot;&quot;" command="SELECT * FROM [matura (7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<sst xmlns="http://schemas.openxmlformats.org/spreadsheetml/2006/main" count="2017" uniqueCount="208">
  <si>
    <t>KLASA</t>
  </si>
  <si>
    <t>PESEL</t>
  </si>
  <si>
    <t>Biologia-R</t>
  </si>
  <si>
    <t>Chemia-R</t>
  </si>
  <si>
    <t>Fizyka-R</t>
  </si>
  <si>
    <t>Geografia-R</t>
  </si>
  <si>
    <t>Historia-R</t>
  </si>
  <si>
    <t>Informatyka-R</t>
  </si>
  <si>
    <t>Angielski-P</t>
  </si>
  <si>
    <t>Angielski-R</t>
  </si>
  <si>
    <t>Francuski-P</t>
  </si>
  <si>
    <t>Francuski-R</t>
  </si>
  <si>
    <t>Hiszpański-P</t>
  </si>
  <si>
    <t>Hiszpański-R</t>
  </si>
  <si>
    <t>Niemiecki-P</t>
  </si>
  <si>
    <t>Niemiecki-R</t>
  </si>
  <si>
    <t>Matematyka-P</t>
  </si>
  <si>
    <t>Matematyka-R</t>
  </si>
  <si>
    <t>Polski-P</t>
  </si>
  <si>
    <t>Polski-R</t>
  </si>
  <si>
    <t>WOS-R</t>
  </si>
  <si>
    <t>A</t>
  </si>
  <si>
    <t>95010405222</t>
  </si>
  <si>
    <t>95011310048</t>
  </si>
  <si>
    <t>95012311345</t>
  </si>
  <si>
    <t>95030607404</t>
  </si>
  <si>
    <t>95031506511</t>
  </si>
  <si>
    <t>95031714219</t>
  </si>
  <si>
    <t>95032402083</t>
  </si>
  <si>
    <t>95032701960</t>
  </si>
  <si>
    <t>95040412034</t>
  </si>
  <si>
    <t>95040908766</t>
  </si>
  <si>
    <t>95041309368</t>
  </si>
  <si>
    <t>95052600643</t>
  </si>
  <si>
    <t>95061500402</t>
  </si>
  <si>
    <t>95061702842</t>
  </si>
  <si>
    <t>95062301712</t>
  </si>
  <si>
    <t>95071508265</t>
  </si>
  <si>
    <t>95071807500</t>
  </si>
  <si>
    <t>95072900844</t>
  </si>
  <si>
    <t>95073111506</t>
  </si>
  <si>
    <t>95080409087</t>
  </si>
  <si>
    <t>95081008322</t>
  </si>
  <si>
    <t>95081802841</t>
  </si>
  <si>
    <t>95082400949</t>
  </si>
  <si>
    <t>95082502641</t>
  </si>
  <si>
    <t>95090501360</t>
  </si>
  <si>
    <t>95091604864</t>
  </si>
  <si>
    <t>95110304166</t>
  </si>
  <si>
    <t>95110400947</t>
  </si>
  <si>
    <t>95111004447</t>
  </si>
  <si>
    <t>95112301543</t>
  </si>
  <si>
    <t>95120101108</t>
  </si>
  <si>
    <t>95120600768</t>
  </si>
  <si>
    <t>95120903939</t>
  </si>
  <si>
    <t>95122401008</t>
  </si>
  <si>
    <t>B</t>
  </si>
  <si>
    <t>95011505013</t>
  </si>
  <si>
    <t>95012403389</t>
  </si>
  <si>
    <t>95020804428</t>
  </si>
  <si>
    <t>95021807901</t>
  </si>
  <si>
    <t>95022105039</t>
  </si>
  <si>
    <t>95031012300</t>
  </si>
  <si>
    <t>95032101746</t>
  </si>
  <si>
    <t>95032204296</t>
  </si>
  <si>
    <t>95042205755</t>
  </si>
  <si>
    <t>95050205185</t>
  </si>
  <si>
    <t>95050904503</t>
  </si>
  <si>
    <t>95051201982</t>
  </si>
  <si>
    <t>95052501302</t>
  </si>
  <si>
    <t>95060201793</t>
  </si>
  <si>
    <t>95062400343</t>
  </si>
  <si>
    <t>95070400070</t>
  </si>
  <si>
    <t>95080101408</t>
  </si>
  <si>
    <t>95080902016</t>
  </si>
  <si>
    <t>95081001141</t>
  </si>
  <si>
    <t>95081600739</t>
  </si>
  <si>
    <t>95083106189</t>
  </si>
  <si>
    <t>95092111585</t>
  </si>
  <si>
    <t>95092712281</t>
  </si>
  <si>
    <t>95100600025</t>
  </si>
  <si>
    <t>95100606458</t>
  </si>
  <si>
    <t>95100700282</t>
  </si>
  <si>
    <t>95101000947</t>
  </si>
  <si>
    <t>95110605809</t>
  </si>
  <si>
    <t>95110704362</t>
  </si>
  <si>
    <t>95111800425</t>
  </si>
  <si>
    <t>95112902461</t>
  </si>
  <si>
    <t>C</t>
  </si>
  <si>
    <t>94120209724</t>
  </si>
  <si>
    <t>95011303864</t>
  </si>
  <si>
    <t>95012701920</t>
  </si>
  <si>
    <t>95012707551</t>
  </si>
  <si>
    <t>95021105139</t>
  </si>
  <si>
    <t>95021201255</t>
  </si>
  <si>
    <t>95021303223</t>
  </si>
  <si>
    <t>95030407844</t>
  </si>
  <si>
    <t>95040309147</t>
  </si>
  <si>
    <t>95040502267</t>
  </si>
  <si>
    <t>95040601874</t>
  </si>
  <si>
    <t>95062703248</t>
  </si>
  <si>
    <t>95062704850</t>
  </si>
  <si>
    <t>95070400629</t>
  </si>
  <si>
    <t>95070600715</t>
  </si>
  <si>
    <t>95071306764</t>
  </si>
  <si>
    <t>95071307406</t>
  </si>
  <si>
    <t>95072805323</t>
  </si>
  <si>
    <t>95072901340</t>
  </si>
  <si>
    <t>95072901364</t>
  </si>
  <si>
    <t>95082206507</t>
  </si>
  <si>
    <t>95091103271</t>
  </si>
  <si>
    <t>95092301371</t>
  </si>
  <si>
    <t>95100703063</t>
  </si>
  <si>
    <t>95102509322</t>
  </si>
  <si>
    <t>95121002200</t>
  </si>
  <si>
    <t>96010806327</t>
  </si>
  <si>
    <t>E</t>
  </si>
  <si>
    <t>95010400678</t>
  </si>
  <si>
    <t>95012402890</t>
  </si>
  <si>
    <t>95012801194</t>
  </si>
  <si>
    <t>95012904927</t>
  </si>
  <si>
    <t>95020904777</t>
  </si>
  <si>
    <t>95021601338</t>
  </si>
  <si>
    <t>95032801943</t>
  </si>
  <si>
    <t>95032801950</t>
  </si>
  <si>
    <t>95040804338</t>
  </si>
  <si>
    <t>95050803734</t>
  </si>
  <si>
    <t>95052200645</t>
  </si>
  <si>
    <t>95052901713</t>
  </si>
  <si>
    <t>95060303600</t>
  </si>
  <si>
    <t>95060705327</t>
  </si>
  <si>
    <t>95060913018</t>
  </si>
  <si>
    <t>95072510054</t>
  </si>
  <si>
    <t>95080407818</t>
  </si>
  <si>
    <t>95080805098</t>
  </si>
  <si>
    <t>95081600791</t>
  </si>
  <si>
    <t>95082906797</t>
  </si>
  <si>
    <t>95083100398</t>
  </si>
  <si>
    <t>95091803737</t>
  </si>
  <si>
    <t>95100400649</t>
  </si>
  <si>
    <t>95101104184</t>
  </si>
  <si>
    <t>95101303842</t>
  </si>
  <si>
    <t>95101902775</t>
  </si>
  <si>
    <t>95102002757</t>
  </si>
  <si>
    <t>95102301894</t>
  </si>
  <si>
    <t>95112306692</t>
  </si>
  <si>
    <t>95112702337</t>
  </si>
  <si>
    <t>95122110962</t>
  </si>
  <si>
    <t>95123001771</t>
  </si>
  <si>
    <t>96011200502</t>
  </si>
  <si>
    <t>H</t>
  </si>
  <si>
    <t>94011110436</t>
  </si>
  <si>
    <t>94013113642</t>
  </si>
  <si>
    <t>94020211283</t>
  </si>
  <si>
    <t>94021306625</t>
  </si>
  <si>
    <t>94030804224</t>
  </si>
  <si>
    <t>94031410644</t>
  </si>
  <si>
    <t>94040607118</t>
  </si>
  <si>
    <t>94042912726</t>
  </si>
  <si>
    <t>94060604247</t>
  </si>
  <si>
    <t>94062703166</t>
  </si>
  <si>
    <t>94063002080</t>
  </si>
  <si>
    <t>94081102166</t>
  </si>
  <si>
    <t>94082703588</t>
  </si>
  <si>
    <t>94082901146</t>
  </si>
  <si>
    <t>94082905447</t>
  </si>
  <si>
    <t>94083000868</t>
  </si>
  <si>
    <t>94090909307</t>
  </si>
  <si>
    <t>94091301085</t>
  </si>
  <si>
    <t>94092207960</t>
  </si>
  <si>
    <t>94100706007</t>
  </si>
  <si>
    <t>94102604723</t>
  </si>
  <si>
    <t>94103100907</t>
  </si>
  <si>
    <t>94110205866</t>
  </si>
  <si>
    <t>94121203482</t>
  </si>
  <si>
    <t>94121709025</t>
  </si>
  <si>
    <t>95011300625</t>
  </si>
  <si>
    <t>95032804489</t>
  </si>
  <si>
    <t>ile100</t>
  </si>
  <si>
    <t>Etykiety wierszy</t>
  </si>
  <si>
    <t>Suma końcowa</t>
  </si>
  <si>
    <t>Liczba z PESEL</t>
  </si>
  <si>
    <t>średnia</t>
  </si>
  <si>
    <t>liczba zdających</t>
  </si>
  <si>
    <t>0-30</t>
  </si>
  <si>
    <t>31-50</t>
  </si>
  <si>
    <t>51-75</t>
  </si>
  <si>
    <t>76-90</t>
  </si>
  <si>
    <t>91-99</t>
  </si>
  <si>
    <t>przedział</t>
  </si>
  <si>
    <t>koniec przedziału</t>
  </si>
  <si>
    <t>przedział do Warunku</t>
  </si>
  <si>
    <t>przedział do WyszukajPion</t>
  </si>
  <si>
    <t>przedział - WyszukajPion</t>
  </si>
  <si>
    <t>przedział - Warunek</t>
  </si>
  <si>
    <t>liczba osób</t>
  </si>
  <si>
    <t>wynik proc</t>
  </si>
  <si>
    <t>Płeć</t>
  </si>
  <si>
    <t>K</t>
  </si>
  <si>
    <t>M</t>
  </si>
  <si>
    <t>Etykiety kolumn</t>
  </si>
  <si>
    <t>Średnia z Matematyka-P</t>
  </si>
  <si>
    <t>Średnia z Polski-P</t>
  </si>
  <si>
    <t>płeć</t>
  </si>
  <si>
    <t>ile przedmiotów</t>
  </si>
  <si>
    <t>(Wiele elementów)</t>
  </si>
  <si>
    <t>Klasa</t>
  </si>
  <si>
    <t>Liczba z ile przedmiotów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</si>
</sst>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NumberFormat="1"/>
    <xf numFmtId="0" fontId="0" fillId="0" borderId="2" xfId="0" applyFont="1" applyBorder="1"/>
    <xf numFmtId="0" fontId="0" fillId="4" borderId="0" xfId="0" applyFill="1"/>
    <xf numFmtId="0" fontId="0" fillId="4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2" fillId="2" borderId="3" xfId="0" applyFont="1" applyFill="1" applyBorder="1"/>
    <xf numFmtId="0" fontId="2" fillId="2" borderId="4" xfId="0" applyFont="1" applyFill="1" applyBorder="1"/>
    <xf numFmtId="0" fontId="0" fillId="3" borderId="3" xfId="0" applyNumberFormat="1" applyFont="1" applyFill="1" applyBorder="1"/>
    <xf numFmtId="0" fontId="0" fillId="3" borderId="4" xfId="0" applyNumberFormat="1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0" borderId="3" xfId="0" applyNumberFormat="1" applyFont="1" applyBorder="1"/>
    <xf numFmtId="0" fontId="0" fillId="0" borderId="4" xfId="0" applyNumberFormat="1" applyFont="1" applyBorder="1"/>
    <xf numFmtId="0" fontId="0" fillId="0" borderId="4" xfId="0" applyFont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2" fillId="0" borderId="0" xfId="0" applyFont="1" applyFill="1" applyBorder="1"/>
    <xf numFmtId="0" fontId="0" fillId="5" borderId="0" xfId="0" applyFill="1"/>
    <xf numFmtId="10" fontId="0" fillId="0" borderId="0" xfId="1" applyNumberFormat="1" applyFont="1"/>
    <xf numFmtId="49" fontId="0" fillId="0" borderId="0" xfId="0" applyNumberFormat="1"/>
    <xf numFmtId="2" fontId="0" fillId="4" borderId="0" xfId="0" applyNumberFormat="1" applyFill="1"/>
  </cellXfs>
  <cellStyles count="2">
    <cellStyle name="Normalny" xfId="0" builtinId="0"/>
    <cellStyle name="Procentowy" xfId="1" builtinId="5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Średnia i liczba</a:t>
            </a:r>
            <a:r>
              <a:rPr lang="pl-PL" baseline="0"/>
              <a:t> zdających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'4,2'!$B$10</c:f>
              <c:strCache>
                <c:ptCount val="1"/>
                <c:pt idx="0">
                  <c:v>średnia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'4,2'!$C$9:$U$9</c:f>
              <c:strCache>
                <c:ptCount val="19"/>
                <c:pt idx="0">
                  <c:v>Biologia-R</c:v>
                </c:pt>
                <c:pt idx="1">
                  <c:v>Chemia-R</c:v>
                </c:pt>
                <c:pt idx="2">
                  <c:v>Fizyka-R</c:v>
                </c:pt>
                <c:pt idx="3">
                  <c:v>Geografia-R</c:v>
                </c:pt>
                <c:pt idx="4">
                  <c:v>Historia-R</c:v>
                </c:pt>
                <c:pt idx="5">
                  <c:v>Informatyka-R</c:v>
                </c:pt>
                <c:pt idx="6">
                  <c:v>Angielski-P</c:v>
                </c:pt>
                <c:pt idx="7">
                  <c:v>Angielski-R</c:v>
                </c:pt>
                <c:pt idx="8">
                  <c:v>Francuski-P</c:v>
                </c:pt>
                <c:pt idx="9">
                  <c:v>Francuski-R</c:v>
                </c:pt>
                <c:pt idx="10">
                  <c:v>Hiszpański-P</c:v>
                </c:pt>
                <c:pt idx="11">
                  <c:v>Hiszpański-R</c:v>
                </c:pt>
                <c:pt idx="12">
                  <c:v>Niemiecki-P</c:v>
                </c:pt>
                <c:pt idx="13">
                  <c:v>Niemiecki-R</c:v>
                </c:pt>
                <c:pt idx="14">
                  <c:v>Matematyka-P</c:v>
                </c:pt>
                <c:pt idx="15">
                  <c:v>Matematyka-R</c:v>
                </c:pt>
                <c:pt idx="16">
                  <c:v>Polski-P</c:v>
                </c:pt>
                <c:pt idx="17">
                  <c:v>Polski-R</c:v>
                </c:pt>
                <c:pt idx="18">
                  <c:v>WOS-R</c:v>
                </c:pt>
              </c:strCache>
            </c:strRef>
          </c:cat>
          <c:val>
            <c:numRef>
              <c:f>'4,2'!$C$10:$U$10</c:f>
              <c:numCache>
                <c:formatCode>0.00</c:formatCode>
                <c:ptCount val="19"/>
                <c:pt idx="0">
                  <c:v>66.599999999999994</c:v>
                </c:pt>
                <c:pt idx="1">
                  <c:v>59.545454545454547</c:v>
                </c:pt>
                <c:pt idx="2">
                  <c:v>63.25925925925926</c:v>
                </c:pt>
                <c:pt idx="3">
                  <c:v>65.5625</c:v>
                </c:pt>
                <c:pt idx="4">
                  <c:v>77.8</c:v>
                </c:pt>
                <c:pt idx="5">
                  <c:v>77.2</c:v>
                </c:pt>
                <c:pt idx="6">
                  <c:v>92.705479452054789</c:v>
                </c:pt>
                <c:pt idx="7">
                  <c:v>77.643564356435647</c:v>
                </c:pt>
                <c:pt idx="8">
                  <c:v>79.400000000000006</c:v>
                </c:pt>
                <c:pt idx="9">
                  <c:v>80.5</c:v>
                </c:pt>
                <c:pt idx="10">
                  <c:v>89.89473684210526</c:v>
                </c:pt>
                <c:pt idx="11">
                  <c:v>70.2</c:v>
                </c:pt>
                <c:pt idx="12">
                  <c:v>98.4</c:v>
                </c:pt>
                <c:pt idx="13">
                  <c:v>79.5</c:v>
                </c:pt>
                <c:pt idx="14">
                  <c:v>73.78947368421052</c:v>
                </c:pt>
                <c:pt idx="15">
                  <c:v>59.442622950819676</c:v>
                </c:pt>
                <c:pt idx="16">
                  <c:v>61.907894736842103</c:v>
                </c:pt>
                <c:pt idx="17">
                  <c:v>67.547169811320757</c:v>
                </c:pt>
                <c:pt idx="18">
                  <c:v>56.315789473684212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1-4068-8AE2-CDDCBAE1CEBD}"/>
            </c:ext>
          </c:extLst>
        </c:ser>
        <c:ser>
          <c:idx val="1"/>
          <c:order val="1"/>
          <c:tx>
            <c:strRef>
              <c:f>'4,2'!$B$11</c:f>
              <c:strCache>
                <c:ptCount val="1"/>
                <c:pt idx="0">
                  <c:v>liczba zdających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'4,2'!$C$9:$U$9</c:f>
              <c:strCache>
                <c:ptCount val="19"/>
                <c:pt idx="0">
                  <c:v>Biologia-R</c:v>
                </c:pt>
                <c:pt idx="1">
                  <c:v>Chemia-R</c:v>
                </c:pt>
                <c:pt idx="2">
                  <c:v>Fizyka-R</c:v>
                </c:pt>
                <c:pt idx="3">
                  <c:v>Geografia-R</c:v>
                </c:pt>
                <c:pt idx="4">
                  <c:v>Historia-R</c:v>
                </c:pt>
                <c:pt idx="5">
                  <c:v>Informatyka-R</c:v>
                </c:pt>
                <c:pt idx="6">
                  <c:v>Angielski-P</c:v>
                </c:pt>
                <c:pt idx="7">
                  <c:v>Angielski-R</c:v>
                </c:pt>
                <c:pt idx="8">
                  <c:v>Francuski-P</c:v>
                </c:pt>
                <c:pt idx="9">
                  <c:v>Francuski-R</c:v>
                </c:pt>
                <c:pt idx="10">
                  <c:v>Hiszpański-P</c:v>
                </c:pt>
                <c:pt idx="11">
                  <c:v>Hiszpański-R</c:v>
                </c:pt>
                <c:pt idx="12">
                  <c:v>Niemiecki-P</c:v>
                </c:pt>
                <c:pt idx="13">
                  <c:v>Niemiecki-R</c:v>
                </c:pt>
                <c:pt idx="14">
                  <c:v>Matematyka-P</c:v>
                </c:pt>
                <c:pt idx="15">
                  <c:v>Matematyka-R</c:v>
                </c:pt>
                <c:pt idx="16">
                  <c:v>Polski-P</c:v>
                </c:pt>
                <c:pt idx="17">
                  <c:v>Polski-R</c:v>
                </c:pt>
                <c:pt idx="18">
                  <c:v>WOS-R</c:v>
                </c:pt>
              </c:strCache>
            </c:strRef>
          </c:cat>
          <c:val>
            <c:numRef>
              <c:f>'4,2'!$C$11:$U$11</c:f>
              <c:numCache>
                <c:formatCode>General</c:formatCode>
                <c:ptCount val="19"/>
                <c:pt idx="0">
                  <c:v>40</c:v>
                </c:pt>
                <c:pt idx="1">
                  <c:v>33</c:v>
                </c:pt>
                <c:pt idx="2">
                  <c:v>27</c:v>
                </c:pt>
                <c:pt idx="3">
                  <c:v>32</c:v>
                </c:pt>
                <c:pt idx="4">
                  <c:v>20</c:v>
                </c:pt>
                <c:pt idx="5">
                  <c:v>5</c:v>
                </c:pt>
                <c:pt idx="6">
                  <c:v>146</c:v>
                </c:pt>
                <c:pt idx="7">
                  <c:v>101</c:v>
                </c:pt>
                <c:pt idx="8">
                  <c:v>5</c:v>
                </c:pt>
                <c:pt idx="9">
                  <c:v>2</c:v>
                </c:pt>
                <c:pt idx="10">
                  <c:v>19</c:v>
                </c:pt>
                <c:pt idx="11">
                  <c:v>20</c:v>
                </c:pt>
                <c:pt idx="12">
                  <c:v>5</c:v>
                </c:pt>
                <c:pt idx="13">
                  <c:v>2</c:v>
                </c:pt>
                <c:pt idx="14">
                  <c:v>152</c:v>
                </c:pt>
                <c:pt idx="15">
                  <c:v>61</c:v>
                </c:pt>
                <c:pt idx="16">
                  <c:v>152</c:v>
                </c:pt>
                <c:pt idx="17">
                  <c:v>53</c:v>
                </c:pt>
                <c:pt idx="1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B1-4068-8AE2-CDDCBAE1C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212735"/>
        <c:axId val="1128213215"/>
      </c:barChart>
      <c:catAx>
        <c:axId val="112821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8213215"/>
        <c:crosses val="autoZero"/>
        <c:auto val="1"/>
        <c:lblAlgn val="ctr"/>
        <c:lblOffset val="100"/>
        <c:noMultiLvlLbl val="0"/>
      </c:catAx>
      <c:valAx>
        <c:axId val="112821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821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Przedziały punktowe Matematyka P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'4,3'!$G$13:$G$18</c:f>
              <c:strCache>
                <c:ptCount val="6"/>
                <c:pt idx="0">
                  <c:v>0-30</c:v>
                </c:pt>
                <c:pt idx="1">
                  <c:v>31-50</c:v>
                </c:pt>
                <c:pt idx="2">
                  <c:v>51-75</c:v>
                </c:pt>
                <c:pt idx="3">
                  <c:v>76-90</c:v>
                </c:pt>
                <c:pt idx="4">
                  <c:v>91-99</c:v>
                </c:pt>
                <c:pt idx="5">
                  <c:v>100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E2B1-49B8-A7F6-F2B2D343B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2B1-49B8-A7F6-F2B2D343B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2B1-49B8-A7F6-F2B2D343B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2B1-49B8-A7F6-F2B2D343B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E2B1-49B8-A7F6-F2B2D343B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2B1-49B8-A7F6-F2B2D343BE12}"/>
              </c:ext>
            </c:extLst>
          </c:dPt>
          <c:dLbls>
            <c:dLbl>
              <c:idx val="0"/>
              <c:layout>
                <c:manualLayout>
                  <c:x val="2.2222222222222223E-2"/>
                  <c:y val="-1.851851851851853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2B1-49B8-A7F6-F2B2D343BE12}"/>
                </c:ext>
              </c:extLst>
            </c:dLbl>
            <c:dLbl>
              <c:idx val="1"/>
              <c:layout>
                <c:manualLayout>
                  <c:x val="4.4444444444444446E-2"/>
                  <c:y val="-1.388888888888891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2B1-49B8-A7F6-F2B2D343BE12}"/>
                </c:ext>
              </c:extLst>
            </c:dLbl>
            <c:dLbl>
              <c:idx val="2"/>
              <c:layout>
                <c:manualLayout>
                  <c:x val="2.5000000000000001E-2"/>
                  <c:y val="1.851851851851851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2B1-49B8-A7F6-F2B2D343BE12}"/>
                </c:ext>
              </c:extLst>
            </c:dLbl>
            <c:dLbl>
              <c:idx val="3"/>
              <c:layout>
                <c:manualLayout>
                  <c:x val="-1.9444444444444445E-2"/>
                  <c:y val="9.259259259259173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2B1-49B8-A7F6-F2B2D343BE12}"/>
                </c:ext>
              </c:extLst>
            </c:dLbl>
            <c:dLbl>
              <c:idx val="4"/>
              <c:layout>
                <c:manualLayout>
                  <c:x val="-4.7222222222222249E-2"/>
                  <c:y val="-1.388888888888893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2B1-49B8-A7F6-F2B2D343BE12}"/>
                </c:ext>
              </c:extLst>
            </c:dLbl>
            <c:dLbl>
              <c:idx val="5"/>
              <c:layout>
                <c:manualLayout>
                  <c:x val="-5.8333333333333334E-2"/>
                  <c:y val="-1.851851851851853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2B1-49B8-A7F6-F2B2D343B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'4,3'!$G$13:$G$18</c:f>
              <c:strCache>
                <c:ptCount val="6"/>
                <c:pt idx="0">
                  <c:v>0-30</c:v>
                </c:pt>
                <c:pt idx="1">
                  <c:v>31-50</c:v>
                </c:pt>
                <c:pt idx="2">
                  <c:v>51-75</c:v>
                </c:pt>
                <c:pt idx="3">
                  <c:v>76-90</c:v>
                </c:pt>
                <c:pt idx="4">
                  <c:v>91-99</c:v>
                </c:pt>
                <c:pt idx="5">
                  <c:v>100</c:v>
                </c:pt>
              </c:strCache>
            </c:strRef>
          </c:cat>
          <c:val>
            <c:numRef>
              <c:f>'4,3'!$H$13:$H$18</c:f>
              <c:numCache>
                <c:formatCode>General</c:formatCode>
                <c:ptCount val="6"/>
                <c:pt idx="0">
                  <c:v>0</c:v>
                </c:pt>
                <c:pt idx="1">
                  <c:v>17</c:v>
                </c:pt>
                <c:pt idx="2">
                  <c:v>59</c:v>
                </c:pt>
                <c:pt idx="3">
                  <c:v>42</c:v>
                </c:pt>
                <c:pt idx="4">
                  <c:v>27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B1-49B8-A7F6-F2B2D343BE1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Przedziały punktowe Matematyka P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'4,3'!$G$26:$G$31</c:f>
              <c:strCache>
                <c:ptCount val="6"/>
                <c:pt idx="0">
                  <c:v>0-30</c:v>
                </c:pt>
                <c:pt idx="1">
                  <c:v>31-50</c:v>
                </c:pt>
                <c:pt idx="2">
                  <c:v>51-75</c:v>
                </c:pt>
                <c:pt idx="3">
                  <c:v>76-90</c:v>
                </c:pt>
                <c:pt idx="4">
                  <c:v>91-99</c:v>
                </c:pt>
                <c:pt idx="5">
                  <c:v>100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8A-4A43-93C5-ABEECB4949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8A-4A43-93C5-ABEECB4949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8A-4A43-93C5-ABEECB4949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8A-4A43-93C5-ABEECB4949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08A-4A43-93C5-ABEECB4949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08A-4A43-93C5-ABEECB494905}"/>
              </c:ext>
            </c:extLst>
          </c:dPt>
          <c:dLbls>
            <c:dLbl>
              <c:idx val="0"/>
              <c:layout>
                <c:manualLayout>
                  <c:x val="2.5124839931594867E-2"/>
                  <c:y val="-2.835304949326179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8A-4A43-93C5-ABEECB494905}"/>
                </c:ext>
              </c:extLst>
            </c:dLbl>
            <c:dLbl>
              <c:idx val="1"/>
              <c:layout>
                <c:manualLayout>
                  <c:x val="6.1017468405301825E-2"/>
                  <c:y val="-5.6706098986523592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8A-4A43-93C5-ABEECB494905}"/>
                </c:ext>
              </c:extLst>
            </c:dLbl>
            <c:dLbl>
              <c:idx val="2"/>
              <c:layout>
                <c:manualLayout>
                  <c:x val="2.8714102778965564E-2"/>
                  <c:y val="3.96942692905665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08A-4A43-93C5-ABEECB494905}"/>
                </c:ext>
              </c:extLst>
            </c:dLbl>
            <c:dLbl>
              <c:idx val="3"/>
              <c:layout>
                <c:manualLayout>
                  <c:x val="-5.0249679863189733E-2"/>
                  <c:y val="-5.670609898652463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08A-4A43-93C5-ABEECB494905}"/>
                </c:ext>
              </c:extLst>
            </c:dLbl>
            <c:dLbl>
              <c:idx val="4"/>
              <c:layout>
                <c:manualLayout>
                  <c:x val="-5.0249679863189768E-2"/>
                  <c:y val="5.670609898652359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8A-4A43-93C5-ABEECB494905}"/>
                </c:ext>
              </c:extLst>
            </c:dLbl>
            <c:dLbl>
              <c:idx val="5"/>
              <c:layout>
                <c:manualLayout>
                  <c:x val="-9.6910096879008811E-2"/>
                  <c:y val="5.6706098986523592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08A-4A43-93C5-ABEECB4949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'4,3'!$G$26:$G$31</c:f>
              <c:strCache>
                <c:ptCount val="6"/>
                <c:pt idx="0">
                  <c:v>0-30</c:v>
                </c:pt>
                <c:pt idx="1">
                  <c:v>31-50</c:v>
                </c:pt>
                <c:pt idx="2">
                  <c:v>51-75</c:v>
                </c:pt>
                <c:pt idx="3">
                  <c:v>76-90</c:v>
                </c:pt>
                <c:pt idx="4">
                  <c:v>91-99</c:v>
                </c:pt>
                <c:pt idx="5">
                  <c:v>100</c:v>
                </c:pt>
              </c:strCache>
            </c:strRef>
          </c:cat>
          <c:val>
            <c:numRef>
              <c:f>'4,3'!$I$26:$I$31</c:f>
              <c:numCache>
                <c:formatCode>0.00%</c:formatCode>
                <c:ptCount val="6"/>
                <c:pt idx="0">
                  <c:v>0</c:v>
                </c:pt>
                <c:pt idx="1">
                  <c:v>0.1118421052631579</c:v>
                </c:pt>
                <c:pt idx="2">
                  <c:v>0.38815789473684209</c:v>
                </c:pt>
                <c:pt idx="3">
                  <c:v>0.27631578947368424</c:v>
                </c:pt>
                <c:pt idx="4">
                  <c:v>0.17763157894736842</c:v>
                </c:pt>
                <c:pt idx="5">
                  <c:v>4.6052631578947366E-2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8A-4A43-93C5-ABEECB494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12</xdr:row>
      <xdr:rowOff>53340</xdr:rowOff>
    </xdr:from>
    <xdr:to>
      <xdr:col>8</xdr:col>
      <xdr:colOff>205740</xdr:colOff>
      <xdr:row>27</xdr:row>
      <xdr:rowOff>53340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8A824047-B6D9-B6AE-0BA7-143B3F5D9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344899</xdr:colOff>
      <xdr:row>1</xdr:row>
      <xdr:rowOff>19879</xdr:rowOff>
    </xdr:from>
    <xdr:to>
      <xdr:col>19</xdr:col>
      <xdr:colOff>257979</xdr:colOff>
      <xdr:row>5</xdr:row>
      <xdr:rowOff>185530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EF3997C4-65A1-D38C-6142-4017CFA9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9803" y="205409"/>
          <a:ext cx="5399480" cy="907773"/>
        </a:xfrm>
        <a:prstGeom prst="rect">
          <a:avLst/>
        </a:prstGeom>
      </xdr:spPr>
    </xdr:pic>
    <xdr:clientData/>
  </xdr:twoCellAnchor>
  <xdr:twoCellAnchor>
    <xdr:from>
      <xdr:col>8</xdr:col>
      <xdr:colOff>159026</xdr:colOff>
      <xdr:row>10</xdr:row>
      <xdr:rowOff>6627</xdr:rowOff>
    </xdr:from>
    <xdr:to>
      <xdr:col>13</xdr:col>
      <xdr:colOff>99391</xdr:colOff>
      <xdr:row>22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319DEB87-256E-98FC-677F-CA8F93469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66259</xdr:colOff>
      <xdr:row>23</xdr:row>
      <xdr:rowOff>132522</xdr:rowOff>
    </xdr:from>
    <xdr:to>
      <xdr:col>15</xdr:col>
      <xdr:colOff>556590</xdr:colOff>
      <xdr:row>35</xdr:row>
      <xdr:rowOff>145775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9108E4B8-1F0A-58A7-C50F-DE4020299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" refreshedDate="46097.792210879627" createdVersion="8" refreshedVersion="8" minRefreshableVersion="3" recordCount="152" xr:uid="{807EB254-A66F-4E92-8F09-A40EF653EC28}">
  <cacheSource type="worksheet">
    <worksheetSource name="matura"/>
  </cacheSource>
  <cacheFields count="21">
    <cacheField name="KLASA" numFmtId="0">
      <sharedItems/>
    </cacheField>
    <cacheField name="PESEL" numFmtId="0">
      <sharedItems count="152">
        <s v="95010405222"/>
        <s v="95011310048"/>
        <s v="95012311345"/>
        <s v="95030607404"/>
        <s v="95031506511"/>
        <s v="95031714219"/>
        <s v="95032402083"/>
        <s v="95032701960"/>
        <s v="95040412034"/>
        <s v="95040908766"/>
        <s v="95041309368"/>
        <s v="95052600643"/>
        <s v="95061500402"/>
        <s v="95061702842"/>
        <s v="95062301712"/>
        <s v="95071508265"/>
        <s v="95071807500"/>
        <s v="95072900844"/>
        <s v="95073111506"/>
        <s v="95080409087"/>
        <s v="95081008322"/>
        <s v="95081802841"/>
        <s v="95082400949"/>
        <s v="95082502641"/>
        <s v="95090501360"/>
        <s v="95091604864"/>
        <s v="95110304166"/>
        <s v="95110400947"/>
        <s v="95111004447"/>
        <s v="95112301543"/>
        <s v="95120101108"/>
        <s v="95120600768"/>
        <s v="95120903939"/>
        <s v="95122401008"/>
        <s v="95011505013"/>
        <s v="95012403389"/>
        <s v="95020804428"/>
        <s v="95021807901"/>
        <s v="95022105039"/>
        <s v="95031012300"/>
        <s v="95032101746"/>
        <s v="95032204296"/>
        <s v="95042205755"/>
        <s v="95050205185"/>
        <s v="95050904503"/>
        <s v="95051201982"/>
        <s v="95052501302"/>
        <s v="95060201793"/>
        <s v="95062400343"/>
        <s v="95070400070"/>
        <s v="95080101408"/>
        <s v="95080902016"/>
        <s v="95081001141"/>
        <s v="95081600739"/>
        <s v="95083106189"/>
        <s v="95092111585"/>
        <s v="95092712281"/>
        <s v="95100600025"/>
        <s v="95100606458"/>
        <s v="95100700282"/>
        <s v="95101000947"/>
        <s v="95110605809"/>
        <s v="95110704362"/>
        <s v="95111800425"/>
        <s v="95112902461"/>
        <s v="94120209724"/>
        <s v="95011303864"/>
        <s v="95012701920"/>
        <s v="95012707551"/>
        <s v="95021105139"/>
        <s v="95021201255"/>
        <s v="95021303223"/>
        <s v="95030407844"/>
        <s v="95040309147"/>
        <s v="95040502267"/>
        <s v="95040601874"/>
        <s v="95062703248"/>
        <s v="95062704850"/>
        <s v="95070400629"/>
        <s v="95070600715"/>
        <s v="95071306764"/>
        <s v="95071307406"/>
        <s v="95072805323"/>
        <s v="95072901340"/>
        <s v="95072901364"/>
        <s v="95082206507"/>
        <s v="95091103271"/>
        <s v="95092301371"/>
        <s v="95100703063"/>
        <s v="95102509322"/>
        <s v="95121002200"/>
        <s v="96010806327"/>
        <s v="95010400678"/>
        <s v="95012402890"/>
        <s v="95012801194"/>
        <s v="95012904927"/>
        <s v="95020904777"/>
        <s v="95021601338"/>
        <s v="95032801943"/>
        <s v="95032801950"/>
        <s v="95040804338"/>
        <s v="95050803734"/>
        <s v="95052200645"/>
        <s v="95052901713"/>
        <s v="95060303600"/>
        <s v="95060705327"/>
        <s v="95060913018"/>
        <s v="95072510054"/>
        <s v="95080407818"/>
        <s v="95080805098"/>
        <s v="95081600791"/>
        <s v="95082906797"/>
        <s v="95083100398"/>
        <s v="95091803737"/>
        <s v="95100400649"/>
        <s v="95101104184"/>
        <s v="95101303842"/>
        <s v="95101902775"/>
        <s v="95102002757"/>
        <s v="95102301894"/>
        <s v="95112306692"/>
        <s v="95112702337"/>
        <s v="95122110962"/>
        <s v="95123001771"/>
        <s v="96011200502"/>
        <s v="94011110436"/>
        <s v="94013113642"/>
        <s v="94020211283"/>
        <s v="94021306625"/>
        <s v="94030804224"/>
        <s v="94031410644"/>
        <s v="94040607118"/>
        <s v="94042912726"/>
        <s v="94060604247"/>
        <s v="94062703166"/>
        <s v="94063002080"/>
        <s v="94081102166"/>
        <s v="94082703588"/>
        <s v="94082901146"/>
        <s v="94082905447"/>
        <s v="94083000868"/>
        <s v="94090909307"/>
        <s v="94091301085"/>
        <s v="94092207960"/>
        <s v="94100706007"/>
        <s v="94102604723"/>
        <s v="94103100907"/>
        <s v="94110205866"/>
        <s v="94121203482"/>
        <s v="94121709025"/>
        <s v="95011300625"/>
        <s v="95032804489"/>
      </sharedItems>
    </cacheField>
    <cacheField name="Biologia-R" numFmtId="0">
      <sharedItems containsString="0" containsBlank="1" containsNumber="1" containsInteger="1" minValue="18" maxValue="95" count="30">
        <n v="52"/>
        <n v="33"/>
        <n v="70"/>
        <n v="90"/>
        <n v="62"/>
        <n v="65"/>
        <m/>
        <n v="77"/>
        <n v="93"/>
        <n v="57"/>
        <n v="60"/>
        <n v="95"/>
        <n v="75"/>
        <n v="85"/>
        <n v="68"/>
        <n v="55"/>
        <n v="78"/>
        <n v="72"/>
        <n v="67"/>
        <n v="45"/>
        <n v="83"/>
        <n v="80"/>
        <n v="73"/>
        <n v="87"/>
        <n v="50"/>
        <n v="35"/>
        <n v="48"/>
        <n v="37"/>
        <n v="18"/>
        <n v="43"/>
      </sharedItems>
    </cacheField>
    <cacheField name="Chemia-R" numFmtId="0">
      <sharedItems containsString="0" containsBlank="1" containsNumber="1" containsInteger="1" minValue="12" maxValue="93"/>
    </cacheField>
    <cacheField name="Fizyka-R" numFmtId="0">
      <sharedItems containsString="0" containsBlank="1" containsNumber="1" containsInteger="1" minValue="32" maxValue="92"/>
    </cacheField>
    <cacheField name="Geografia-R" numFmtId="0">
      <sharedItems containsString="0" containsBlank="1" containsNumber="1" containsInteger="1" minValue="38" maxValue="93"/>
    </cacheField>
    <cacheField name="Historia-R" numFmtId="0">
      <sharedItems containsString="0" containsBlank="1" containsNumber="1" containsInteger="1" minValue="24" maxValue="96"/>
    </cacheField>
    <cacheField name="Informatyka-R" numFmtId="0">
      <sharedItems containsString="0" containsBlank="1" containsNumber="1" containsInteger="1" minValue="52" maxValue="98"/>
    </cacheField>
    <cacheField name="Angielski-P" numFmtId="0">
      <sharedItems containsString="0" containsBlank="1" containsNumber="1" containsInteger="1" minValue="51" maxValue="100"/>
    </cacheField>
    <cacheField name="Angielski-R" numFmtId="0">
      <sharedItems containsString="0" containsBlank="1" containsNumber="1" containsInteger="1" minValue="28" maxValue="100"/>
    </cacheField>
    <cacheField name="Francuski-P" numFmtId="0">
      <sharedItems containsString="0" containsBlank="1" containsNumber="1" containsInteger="1" minValue="68" maxValue="99"/>
    </cacheField>
    <cacheField name="Francuski-R" numFmtId="0">
      <sharedItems containsString="0" containsBlank="1" containsNumber="1" containsInteger="1" minValue="73" maxValue="88"/>
    </cacheField>
    <cacheField name="Hiszpański-P" numFmtId="0">
      <sharedItems containsString="0" containsBlank="1" containsNumber="1" containsInteger="1" minValue="51" maxValue="100"/>
    </cacheField>
    <cacheField name="Hiszpański-R" numFmtId="0">
      <sharedItems containsString="0" containsBlank="1" containsNumber="1" containsInteger="1" minValue="45" maxValue="96"/>
    </cacheField>
    <cacheField name="Niemiecki-P" numFmtId="0">
      <sharedItems containsString="0" containsBlank="1" containsNumber="1" containsInteger="1" minValue="96" maxValue="100"/>
    </cacheField>
    <cacheField name="Niemiecki-R" numFmtId="0">
      <sharedItems containsString="0" containsBlank="1" containsNumber="1" containsInteger="1" minValue="69" maxValue="90"/>
    </cacheField>
    <cacheField name="Matematyka-P" numFmtId="0">
      <sharedItems containsSemiMixedTypes="0" containsString="0" containsNumber="1" containsInteger="1" minValue="32" maxValue="100" count="33">
        <n v="80"/>
        <n v="56"/>
        <n v="60"/>
        <n v="70"/>
        <n v="48"/>
        <n v="94"/>
        <n v="96"/>
        <n v="86"/>
        <n v="40"/>
        <n v="98"/>
        <n v="92"/>
        <n v="88"/>
        <n v="58"/>
        <n v="78"/>
        <n v="64"/>
        <n v="76"/>
        <n v="50"/>
        <n v="62"/>
        <n v="72"/>
        <n v="82"/>
        <n v="46"/>
        <n v="34"/>
        <n v="68"/>
        <n v="52"/>
        <n v="44"/>
        <n v="32"/>
        <n v="66"/>
        <n v="100"/>
        <n v="74"/>
        <n v="90"/>
        <n v="84"/>
        <n v="54"/>
        <n v="38"/>
      </sharedItems>
      <fieldGroup base="16">
        <rangePr autoStart="0" startNum="1" endNum="100" groupInterval="5"/>
        <groupItems count="22">
          <s v="&lt;1"/>
          <s v="1-5"/>
          <s v="6-10"/>
          <s v="11-15"/>
          <s v="16-20"/>
          <s v="21-25"/>
          <s v="26-30"/>
          <s v="31-35"/>
          <s v="36-40"/>
          <s v="41-45"/>
          <s v="46-50"/>
          <s v="51-55"/>
          <s v="56-60"/>
          <s v="61-65"/>
          <s v="66-70"/>
          <s v="71-75"/>
          <s v="76-80"/>
          <s v="81-85"/>
          <s v="86-90"/>
          <s v="91-95"/>
          <s v="96-100"/>
          <s v="&gt;101"/>
        </groupItems>
      </fieldGroup>
    </cacheField>
    <cacheField name="Matematyka-R" numFmtId="0">
      <sharedItems containsString="0" containsBlank="1" containsNumber="1" containsInteger="1" minValue="14" maxValue="94"/>
    </cacheField>
    <cacheField name="Polski-P" numFmtId="0">
      <sharedItems containsSemiMixedTypes="0" containsString="0" containsNumber="1" containsInteger="1" minValue="30" maxValue="91"/>
    </cacheField>
    <cacheField name="Polski-R" numFmtId="0">
      <sharedItems containsString="0" containsBlank="1" containsNumber="1" containsInteger="1" minValue="25" maxValue="100"/>
    </cacheField>
    <cacheField name="WOS-R" numFmtId="0">
      <sharedItems containsString="0" containsBlank="1" containsNumber="1" containsInteger="1" minValue="16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" refreshedDate="46097.876450925927" createdVersion="8" refreshedVersion="8" minRefreshableVersion="3" recordCount="152" xr:uid="{65E63C53-AB1C-4E58-8EE6-D8D21A5A29BA}">
  <cacheSource type="worksheet">
    <worksheetSource name="matura7"/>
  </cacheSource>
  <cacheFields count="5">
    <cacheField name="KLASA" numFmtId="0">
      <sharedItems/>
    </cacheField>
    <cacheField name="PESEL" numFmtId="0">
      <sharedItems/>
    </cacheField>
    <cacheField name="Matematyka-P" numFmtId="0">
      <sharedItems containsSemiMixedTypes="0" containsString="0" containsNumber="1" containsInteger="1" minValue="32" maxValue="100"/>
    </cacheField>
    <cacheField name="Polski-P" numFmtId="0">
      <sharedItems containsSemiMixedTypes="0" containsString="0" containsNumber="1" containsInteger="1" minValue="30" maxValue="91"/>
    </cacheField>
    <cacheField name="Płeć" numFmtId="0">
      <sharedItems count="2">
        <s v="K"/>
        <s v="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" refreshedDate="46097.887953587961" createdVersion="8" refreshedVersion="8" minRefreshableVersion="3" recordCount="152" xr:uid="{D0FBA8A3-91C4-4980-9D28-F2D2A47D8D0A}">
  <cacheSource type="worksheet">
    <worksheetSource name="matura8"/>
  </cacheSource>
  <cacheFields count="17">
    <cacheField name="KLASA" numFmtId="0">
      <sharedItems count="5">
        <s v="A"/>
        <s v="B"/>
        <s v="C"/>
        <s v="E"/>
        <s v="H"/>
      </sharedItems>
    </cacheField>
    <cacheField name="PESEL" numFmtId="0">
      <sharedItems/>
    </cacheField>
    <cacheField name="Biologia-R" numFmtId="0">
      <sharedItems containsString="0" containsBlank="1" containsNumber="1" containsInteger="1" minValue="18" maxValue="95"/>
    </cacheField>
    <cacheField name="Chemia-R" numFmtId="0">
      <sharedItems containsString="0" containsBlank="1" containsNumber="1" containsInteger="1" minValue="12" maxValue="93"/>
    </cacheField>
    <cacheField name="Fizyka-R" numFmtId="0">
      <sharedItems containsString="0" containsBlank="1" containsNumber="1" containsInteger="1" minValue="32" maxValue="92"/>
    </cacheField>
    <cacheField name="Geografia-R" numFmtId="0">
      <sharedItems containsString="0" containsBlank="1" containsNumber="1" containsInteger="1" minValue="38" maxValue="93"/>
    </cacheField>
    <cacheField name="Historia-R" numFmtId="0">
      <sharedItems containsString="0" containsBlank="1" containsNumber="1" containsInteger="1" minValue="24" maxValue="96"/>
    </cacheField>
    <cacheField name="Informatyka-R" numFmtId="0">
      <sharedItems containsString="0" containsBlank="1" containsNumber="1" containsInteger="1" minValue="52" maxValue="98"/>
    </cacheField>
    <cacheField name="Angielski-R" numFmtId="0">
      <sharedItems containsString="0" containsBlank="1" containsNumber="1" containsInteger="1" minValue="28" maxValue="100"/>
    </cacheField>
    <cacheField name="Francuski-R" numFmtId="0">
      <sharedItems containsString="0" containsBlank="1" containsNumber="1" containsInteger="1" minValue="73" maxValue="88"/>
    </cacheField>
    <cacheField name="Hiszpański-R" numFmtId="0">
      <sharedItems containsString="0" containsBlank="1" containsNumber="1" containsInteger="1" minValue="45" maxValue="96"/>
    </cacheField>
    <cacheField name="Niemiecki-R" numFmtId="0">
      <sharedItems containsString="0" containsBlank="1" containsNumber="1" containsInteger="1" minValue="69" maxValue="90"/>
    </cacheField>
    <cacheField name="Matematyka-R" numFmtId="0">
      <sharedItems containsString="0" containsBlank="1" containsNumber="1" containsInteger="1" minValue="14" maxValue="94"/>
    </cacheField>
    <cacheField name="Polski-R" numFmtId="0">
      <sharedItems containsString="0" containsBlank="1" containsNumber="1" containsInteger="1" minValue="25" maxValue="100"/>
    </cacheField>
    <cacheField name="WOS-R" numFmtId="0">
      <sharedItems containsString="0" containsBlank="1" containsNumber="1" containsInteger="1" minValue="16" maxValue="100"/>
    </cacheField>
    <cacheField name="płeć" numFmtId="0">
      <sharedItems count="2">
        <s v="K"/>
        <s v="M"/>
      </sharedItems>
    </cacheField>
    <cacheField name="ile przedmiotów" numFmtId="0">
      <sharedItems containsSemiMixedTypes="0" containsString="0" containsNumber="1" containsInteger="1" minValue="1" maxValue="5" count="5">
        <n v="3"/>
        <n v="2"/>
        <n v="4"/>
        <n v="5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s v="A"/>
    <x v="0"/>
    <x v="0"/>
    <m/>
    <m/>
    <m/>
    <m/>
    <m/>
    <n v="100"/>
    <n v="91"/>
    <m/>
    <n v="88"/>
    <m/>
    <m/>
    <m/>
    <m/>
    <x v="0"/>
    <m/>
    <n v="67"/>
    <m/>
    <m/>
  </r>
  <r>
    <s v="A"/>
    <x v="1"/>
    <x v="1"/>
    <n v="52"/>
    <m/>
    <m/>
    <m/>
    <m/>
    <n v="73"/>
    <m/>
    <m/>
    <m/>
    <m/>
    <m/>
    <m/>
    <m/>
    <x v="1"/>
    <m/>
    <n v="40"/>
    <m/>
    <m/>
  </r>
  <r>
    <s v="A"/>
    <x v="2"/>
    <x v="2"/>
    <n v="58"/>
    <m/>
    <m/>
    <m/>
    <m/>
    <n v="92"/>
    <m/>
    <m/>
    <m/>
    <m/>
    <m/>
    <m/>
    <m/>
    <x v="2"/>
    <m/>
    <n v="61"/>
    <m/>
    <m/>
  </r>
  <r>
    <s v="A"/>
    <x v="3"/>
    <x v="3"/>
    <n v="78"/>
    <m/>
    <m/>
    <m/>
    <m/>
    <n v="98"/>
    <n v="68"/>
    <m/>
    <m/>
    <m/>
    <m/>
    <m/>
    <m/>
    <x v="3"/>
    <m/>
    <n v="73"/>
    <m/>
    <m/>
  </r>
  <r>
    <s v="A"/>
    <x v="4"/>
    <x v="4"/>
    <n v="62"/>
    <m/>
    <m/>
    <m/>
    <m/>
    <n v="87"/>
    <m/>
    <m/>
    <m/>
    <m/>
    <m/>
    <m/>
    <m/>
    <x v="3"/>
    <m/>
    <n v="51"/>
    <m/>
    <m/>
  </r>
  <r>
    <s v="A"/>
    <x v="5"/>
    <x v="5"/>
    <n v="65"/>
    <m/>
    <m/>
    <m/>
    <m/>
    <n v="75"/>
    <m/>
    <m/>
    <m/>
    <m/>
    <m/>
    <m/>
    <m/>
    <x v="4"/>
    <m/>
    <n v="40"/>
    <m/>
    <m/>
  </r>
  <r>
    <s v="A"/>
    <x v="6"/>
    <x v="6"/>
    <n v="58"/>
    <m/>
    <m/>
    <m/>
    <m/>
    <n v="96"/>
    <n v="61"/>
    <m/>
    <m/>
    <m/>
    <m/>
    <m/>
    <m/>
    <x v="5"/>
    <n v="34"/>
    <n v="74"/>
    <m/>
    <m/>
  </r>
  <r>
    <s v="A"/>
    <x v="7"/>
    <x v="7"/>
    <n v="85"/>
    <m/>
    <m/>
    <m/>
    <m/>
    <n v="96"/>
    <m/>
    <m/>
    <m/>
    <m/>
    <m/>
    <m/>
    <m/>
    <x v="6"/>
    <m/>
    <n v="77"/>
    <m/>
    <m/>
  </r>
  <r>
    <s v="A"/>
    <x v="8"/>
    <x v="8"/>
    <n v="67"/>
    <m/>
    <m/>
    <m/>
    <m/>
    <n v="84"/>
    <m/>
    <m/>
    <m/>
    <m/>
    <m/>
    <m/>
    <m/>
    <x v="7"/>
    <m/>
    <n v="73"/>
    <m/>
    <m/>
  </r>
  <r>
    <s v="A"/>
    <x v="9"/>
    <x v="9"/>
    <n v="47"/>
    <m/>
    <m/>
    <m/>
    <m/>
    <n v="87"/>
    <m/>
    <m/>
    <m/>
    <m/>
    <m/>
    <m/>
    <m/>
    <x v="8"/>
    <m/>
    <n v="43"/>
    <m/>
    <m/>
  </r>
  <r>
    <s v="A"/>
    <x v="10"/>
    <x v="10"/>
    <m/>
    <m/>
    <m/>
    <m/>
    <m/>
    <n v="96"/>
    <n v="89"/>
    <m/>
    <m/>
    <m/>
    <m/>
    <m/>
    <m/>
    <x v="3"/>
    <m/>
    <n v="76"/>
    <m/>
    <m/>
  </r>
  <r>
    <s v="A"/>
    <x v="11"/>
    <x v="6"/>
    <m/>
    <m/>
    <n v="90"/>
    <m/>
    <m/>
    <n v="100"/>
    <n v="100"/>
    <m/>
    <m/>
    <m/>
    <m/>
    <n v="100"/>
    <m/>
    <x v="9"/>
    <n v="86"/>
    <n v="80"/>
    <m/>
    <m/>
  </r>
  <r>
    <s v="A"/>
    <x v="12"/>
    <x v="11"/>
    <n v="88"/>
    <m/>
    <m/>
    <m/>
    <m/>
    <n v="92"/>
    <m/>
    <m/>
    <m/>
    <m/>
    <m/>
    <m/>
    <m/>
    <x v="10"/>
    <m/>
    <n v="79"/>
    <m/>
    <m/>
  </r>
  <r>
    <s v="A"/>
    <x v="13"/>
    <x v="12"/>
    <n v="67"/>
    <m/>
    <m/>
    <m/>
    <m/>
    <n v="91"/>
    <m/>
    <m/>
    <m/>
    <m/>
    <m/>
    <m/>
    <m/>
    <x v="11"/>
    <m/>
    <n v="59"/>
    <m/>
    <m/>
  </r>
  <r>
    <s v="A"/>
    <x v="14"/>
    <x v="13"/>
    <n v="83"/>
    <n v="48"/>
    <m/>
    <m/>
    <m/>
    <n v="94"/>
    <m/>
    <m/>
    <m/>
    <m/>
    <m/>
    <m/>
    <m/>
    <x v="10"/>
    <m/>
    <n v="56"/>
    <m/>
    <m/>
  </r>
  <r>
    <s v="A"/>
    <x v="15"/>
    <x v="4"/>
    <n v="48"/>
    <m/>
    <m/>
    <m/>
    <m/>
    <n v="85"/>
    <m/>
    <m/>
    <m/>
    <m/>
    <m/>
    <m/>
    <m/>
    <x v="12"/>
    <m/>
    <n v="59"/>
    <m/>
    <m/>
  </r>
  <r>
    <s v="A"/>
    <x v="16"/>
    <x v="14"/>
    <n v="62"/>
    <m/>
    <m/>
    <m/>
    <m/>
    <n v="99"/>
    <n v="93"/>
    <m/>
    <m/>
    <m/>
    <m/>
    <m/>
    <m/>
    <x v="13"/>
    <m/>
    <n v="54"/>
    <m/>
    <m/>
  </r>
  <r>
    <s v="A"/>
    <x v="17"/>
    <x v="15"/>
    <n v="62"/>
    <m/>
    <m/>
    <m/>
    <m/>
    <n v="96"/>
    <n v="86"/>
    <m/>
    <m/>
    <m/>
    <m/>
    <m/>
    <m/>
    <x v="10"/>
    <m/>
    <n v="73"/>
    <m/>
    <m/>
  </r>
  <r>
    <s v="A"/>
    <x v="18"/>
    <x v="14"/>
    <n v="45"/>
    <m/>
    <m/>
    <m/>
    <m/>
    <n v="92"/>
    <m/>
    <m/>
    <m/>
    <m/>
    <m/>
    <m/>
    <m/>
    <x v="13"/>
    <m/>
    <n v="56"/>
    <m/>
    <m/>
  </r>
  <r>
    <s v="A"/>
    <x v="19"/>
    <x v="16"/>
    <m/>
    <m/>
    <m/>
    <m/>
    <m/>
    <n v="95"/>
    <n v="77"/>
    <m/>
    <m/>
    <m/>
    <m/>
    <m/>
    <m/>
    <x v="14"/>
    <m/>
    <n v="84"/>
    <m/>
    <m/>
  </r>
  <r>
    <s v="A"/>
    <x v="20"/>
    <x v="17"/>
    <n v="68"/>
    <m/>
    <m/>
    <m/>
    <m/>
    <n v="92"/>
    <m/>
    <m/>
    <m/>
    <m/>
    <m/>
    <m/>
    <m/>
    <x v="3"/>
    <m/>
    <n v="64"/>
    <m/>
    <m/>
  </r>
  <r>
    <s v="A"/>
    <x v="21"/>
    <x v="15"/>
    <n v="50"/>
    <m/>
    <m/>
    <m/>
    <m/>
    <n v="84"/>
    <m/>
    <m/>
    <m/>
    <m/>
    <m/>
    <m/>
    <m/>
    <x v="12"/>
    <m/>
    <n v="54"/>
    <m/>
    <m/>
  </r>
  <r>
    <s v="A"/>
    <x v="22"/>
    <x v="18"/>
    <n v="60"/>
    <m/>
    <m/>
    <m/>
    <m/>
    <n v="92"/>
    <m/>
    <m/>
    <m/>
    <m/>
    <m/>
    <m/>
    <m/>
    <x v="15"/>
    <m/>
    <n v="50"/>
    <m/>
    <m/>
  </r>
  <r>
    <s v="A"/>
    <x v="23"/>
    <x v="19"/>
    <n v="30"/>
    <m/>
    <m/>
    <m/>
    <m/>
    <n v="61"/>
    <m/>
    <m/>
    <m/>
    <m/>
    <m/>
    <m/>
    <m/>
    <x v="16"/>
    <m/>
    <n v="33"/>
    <m/>
    <m/>
  </r>
  <r>
    <s v="A"/>
    <x v="24"/>
    <x v="20"/>
    <n v="50"/>
    <m/>
    <m/>
    <m/>
    <m/>
    <n v="100"/>
    <n v="83"/>
    <m/>
    <m/>
    <m/>
    <m/>
    <m/>
    <m/>
    <x v="17"/>
    <m/>
    <n v="76"/>
    <m/>
    <m/>
  </r>
  <r>
    <s v="A"/>
    <x v="25"/>
    <x v="21"/>
    <m/>
    <m/>
    <m/>
    <m/>
    <m/>
    <n v="99"/>
    <n v="83"/>
    <m/>
    <m/>
    <m/>
    <m/>
    <m/>
    <m/>
    <x v="18"/>
    <m/>
    <n v="84"/>
    <m/>
    <m/>
  </r>
  <r>
    <s v="A"/>
    <x v="26"/>
    <x v="2"/>
    <n v="60"/>
    <m/>
    <m/>
    <m/>
    <m/>
    <n v="91"/>
    <m/>
    <m/>
    <m/>
    <m/>
    <m/>
    <m/>
    <m/>
    <x v="0"/>
    <m/>
    <n v="74"/>
    <m/>
    <m/>
  </r>
  <r>
    <s v="A"/>
    <x v="27"/>
    <x v="6"/>
    <m/>
    <n v="55"/>
    <m/>
    <m/>
    <m/>
    <n v="96"/>
    <n v="86"/>
    <m/>
    <m/>
    <m/>
    <m/>
    <m/>
    <m/>
    <x v="7"/>
    <m/>
    <n v="64"/>
    <m/>
    <m/>
  </r>
  <r>
    <s v="A"/>
    <x v="28"/>
    <x v="22"/>
    <n v="78"/>
    <m/>
    <m/>
    <m/>
    <m/>
    <n v="96"/>
    <m/>
    <m/>
    <m/>
    <m/>
    <m/>
    <m/>
    <m/>
    <x v="19"/>
    <m/>
    <n v="60"/>
    <m/>
    <m/>
  </r>
  <r>
    <s v="A"/>
    <x v="29"/>
    <x v="21"/>
    <n v="60"/>
    <m/>
    <m/>
    <m/>
    <m/>
    <n v="88"/>
    <n v="67"/>
    <m/>
    <m/>
    <m/>
    <m/>
    <m/>
    <m/>
    <x v="0"/>
    <m/>
    <n v="63"/>
    <m/>
    <m/>
  </r>
  <r>
    <s v="A"/>
    <x v="30"/>
    <x v="8"/>
    <n v="88"/>
    <m/>
    <m/>
    <m/>
    <m/>
    <n v="100"/>
    <n v="76"/>
    <m/>
    <m/>
    <m/>
    <m/>
    <m/>
    <m/>
    <x v="10"/>
    <m/>
    <n v="76"/>
    <m/>
    <m/>
  </r>
  <r>
    <s v="A"/>
    <x v="31"/>
    <x v="13"/>
    <n v="93"/>
    <n v="82"/>
    <m/>
    <m/>
    <m/>
    <n v="96"/>
    <m/>
    <m/>
    <m/>
    <m/>
    <m/>
    <m/>
    <m/>
    <x v="5"/>
    <n v="74"/>
    <n v="66"/>
    <m/>
    <m/>
  </r>
  <r>
    <s v="A"/>
    <x v="32"/>
    <x v="3"/>
    <n v="82"/>
    <m/>
    <m/>
    <m/>
    <m/>
    <n v="92"/>
    <m/>
    <m/>
    <m/>
    <m/>
    <m/>
    <m/>
    <m/>
    <x v="7"/>
    <m/>
    <n v="63"/>
    <m/>
    <m/>
  </r>
  <r>
    <s v="A"/>
    <x v="33"/>
    <x v="23"/>
    <m/>
    <m/>
    <m/>
    <m/>
    <m/>
    <n v="100"/>
    <m/>
    <m/>
    <m/>
    <m/>
    <m/>
    <m/>
    <m/>
    <x v="19"/>
    <m/>
    <n v="79"/>
    <n v="73"/>
    <n v="64"/>
  </r>
  <r>
    <s v="B"/>
    <x v="34"/>
    <x v="6"/>
    <m/>
    <m/>
    <m/>
    <m/>
    <m/>
    <n v="93"/>
    <n v="60"/>
    <m/>
    <m/>
    <m/>
    <m/>
    <m/>
    <m/>
    <x v="20"/>
    <m/>
    <n v="60"/>
    <n v="75"/>
    <m/>
  </r>
  <r>
    <s v="B"/>
    <x v="35"/>
    <x v="6"/>
    <m/>
    <m/>
    <m/>
    <m/>
    <m/>
    <n v="96"/>
    <n v="87"/>
    <m/>
    <m/>
    <m/>
    <m/>
    <m/>
    <m/>
    <x v="16"/>
    <m/>
    <n v="40"/>
    <n v="70"/>
    <n v="44"/>
  </r>
  <r>
    <s v="B"/>
    <x v="36"/>
    <x v="6"/>
    <m/>
    <m/>
    <m/>
    <n v="92"/>
    <m/>
    <n v="100"/>
    <n v="81"/>
    <m/>
    <m/>
    <m/>
    <m/>
    <m/>
    <m/>
    <x v="11"/>
    <m/>
    <n v="57"/>
    <n v="70"/>
    <m/>
  </r>
  <r>
    <s v="B"/>
    <x v="37"/>
    <x v="6"/>
    <m/>
    <m/>
    <m/>
    <n v="86"/>
    <m/>
    <n v="100"/>
    <n v="90"/>
    <m/>
    <m/>
    <m/>
    <m/>
    <m/>
    <m/>
    <x v="3"/>
    <m/>
    <n v="56"/>
    <n v="68"/>
    <n v="78"/>
  </r>
  <r>
    <s v="B"/>
    <x v="38"/>
    <x v="6"/>
    <m/>
    <m/>
    <m/>
    <n v="90"/>
    <m/>
    <n v="96"/>
    <n v="93"/>
    <m/>
    <m/>
    <m/>
    <m/>
    <m/>
    <m/>
    <x v="7"/>
    <n v="36"/>
    <n v="53"/>
    <n v="73"/>
    <n v="100"/>
  </r>
  <r>
    <s v="B"/>
    <x v="39"/>
    <x v="6"/>
    <m/>
    <m/>
    <m/>
    <m/>
    <m/>
    <n v="59"/>
    <n v="44"/>
    <m/>
    <m/>
    <m/>
    <m/>
    <m/>
    <m/>
    <x v="21"/>
    <m/>
    <n v="30"/>
    <n v="53"/>
    <n v="34"/>
  </r>
  <r>
    <s v="B"/>
    <x v="40"/>
    <x v="6"/>
    <m/>
    <m/>
    <m/>
    <n v="88"/>
    <m/>
    <n v="98"/>
    <n v="95"/>
    <m/>
    <m/>
    <m/>
    <m/>
    <m/>
    <n v="69"/>
    <x v="22"/>
    <m/>
    <n v="70"/>
    <n v="80"/>
    <n v="72"/>
  </r>
  <r>
    <s v="B"/>
    <x v="41"/>
    <x v="6"/>
    <m/>
    <m/>
    <m/>
    <n v="92"/>
    <m/>
    <n v="93"/>
    <n v="95"/>
    <m/>
    <m/>
    <m/>
    <m/>
    <m/>
    <m/>
    <x v="1"/>
    <m/>
    <n v="79"/>
    <n v="55"/>
    <n v="72"/>
  </r>
  <r>
    <s v="B"/>
    <x v="42"/>
    <x v="6"/>
    <m/>
    <m/>
    <m/>
    <n v="94"/>
    <m/>
    <n v="90"/>
    <n v="67"/>
    <m/>
    <m/>
    <m/>
    <m/>
    <m/>
    <m/>
    <x v="8"/>
    <m/>
    <n v="80"/>
    <n v="60"/>
    <m/>
  </r>
  <r>
    <s v="B"/>
    <x v="43"/>
    <x v="6"/>
    <m/>
    <m/>
    <m/>
    <n v="66"/>
    <m/>
    <n v="98"/>
    <n v="67"/>
    <m/>
    <m/>
    <m/>
    <m/>
    <m/>
    <m/>
    <x v="16"/>
    <m/>
    <n v="54"/>
    <n v="80"/>
    <n v="68"/>
  </r>
  <r>
    <s v="B"/>
    <x v="44"/>
    <x v="6"/>
    <m/>
    <m/>
    <m/>
    <m/>
    <m/>
    <n v="100"/>
    <n v="92"/>
    <m/>
    <m/>
    <m/>
    <m/>
    <m/>
    <m/>
    <x v="3"/>
    <m/>
    <n v="63"/>
    <n v="45"/>
    <m/>
  </r>
  <r>
    <s v="B"/>
    <x v="45"/>
    <x v="6"/>
    <m/>
    <m/>
    <m/>
    <m/>
    <m/>
    <n v="96"/>
    <n v="63"/>
    <m/>
    <m/>
    <m/>
    <m/>
    <m/>
    <m/>
    <x v="14"/>
    <m/>
    <n v="63"/>
    <n v="58"/>
    <n v="48"/>
  </r>
  <r>
    <s v="B"/>
    <x v="46"/>
    <x v="6"/>
    <m/>
    <m/>
    <m/>
    <m/>
    <m/>
    <n v="96"/>
    <n v="69"/>
    <m/>
    <m/>
    <m/>
    <m/>
    <m/>
    <m/>
    <x v="22"/>
    <m/>
    <n v="51"/>
    <n v="70"/>
    <n v="38"/>
  </r>
  <r>
    <s v="B"/>
    <x v="47"/>
    <x v="22"/>
    <n v="65"/>
    <m/>
    <m/>
    <m/>
    <m/>
    <n v="80"/>
    <m/>
    <m/>
    <m/>
    <m/>
    <m/>
    <m/>
    <m/>
    <x v="23"/>
    <m/>
    <n v="56"/>
    <m/>
    <m/>
  </r>
  <r>
    <s v="B"/>
    <x v="48"/>
    <x v="24"/>
    <n v="47"/>
    <m/>
    <m/>
    <m/>
    <m/>
    <n v="92"/>
    <m/>
    <m/>
    <m/>
    <m/>
    <m/>
    <m/>
    <m/>
    <x v="12"/>
    <m/>
    <n v="51"/>
    <m/>
    <m/>
  </r>
  <r>
    <s v="B"/>
    <x v="49"/>
    <x v="6"/>
    <m/>
    <m/>
    <m/>
    <n v="92"/>
    <m/>
    <n v="92"/>
    <n v="59"/>
    <m/>
    <m/>
    <m/>
    <m/>
    <m/>
    <m/>
    <x v="18"/>
    <m/>
    <n v="41"/>
    <n v="60"/>
    <n v="68"/>
  </r>
  <r>
    <s v="B"/>
    <x v="50"/>
    <x v="22"/>
    <m/>
    <m/>
    <m/>
    <m/>
    <m/>
    <n v="97"/>
    <n v="74"/>
    <m/>
    <m/>
    <m/>
    <m/>
    <m/>
    <m/>
    <x v="1"/>
    <m/>
    <n v="60"/>
    <n v="73"/>
    <m/>
  </r>
  <r>
    <s v="B"/>
    <x v="51"/>
    <x v="6"/>
    <m/>
    <m/>
    <m/>
    <n v="80"/>
    <m/>
    <n v="97"/>
    <n v="83"/>
    <m/>
    <m/>
    <m/>
    <m/>
    <m/>
    <m/>
    <x v="24"/>
    <m/>
    <n v="66"/>
    <n v="63"/>
    <m/>
  </r>
  <r>
    <s v="B"/>
    <x v="52"/>
    <x v="25"/>
    <m/>
    <m/>
    <m/>
    <m/>
    <m/>
    <n v="96"/>
    <n v="84"/>
    <m/>
    <m/>
    <m/>
    <m/>
    <m/>
    <m/>
    <x v="25"/>
    <m/>
    <n v="51"/>
    <n v="63"/>
    <m/>
  </r>
  <r>
    <s v="B"/>
    <x v="53"/>
    <x v="6"/>
    <m/>
    <m/>
    <n v="47"/>
    <m/>
    <m/>
    <n v="86"/>
    <n v="60"/>
    <m/>
    <m/>
    <m/>
    <m/>
    <m/>
    <m/>
    <x v="26"/>
    <m/>
    <n v="34"/>
    <n v="58"/>
    <n v="58"/>
  </r>
  <r>
    <s v="B"/>
    <x v="54"/>
    <x v="6"/>
    <m/>
    <m/>
    <m/>
    <n v="42"/>
    <m/>
    <n v="66"/>
    <m/>
    <m/>
    <m/>
    <m/>
    <m/>
    <m/>
    <m/>
    <x v="14"/>
    <m/>
    <n v="56"/>
    <n v="75"/>
    <m/>
  </r>
  <r>
    <s v="B"/>
    <x v="55"/>
    <x v="6"/>
    <m/>
    <m/>
    <m/>
    <n v="76"/>
    <m/>
    <n v="97"/>
    <n v="78"/>
    <m/>
    <m/>
    <m/>
    <m/>
    <m/>
    <m/>
    <x v="18"/>
    <m/>
    <n v="60"/>
    <n v="80"/>
    <m/>
  </r>
  <r>
    <s v="B"/>
    <x v="56"/>
    <x v="6"/>
    <m/>
    <m/>
    <m/>
    <n v="80"/>
    <m/>
    <n v="78"/>
    <n v="34"/>
    <m/>
    <m/>
    <m/>
    <m/>
    <m/>
    <m/>
    <x v="23"/>
    <m/>
    <n v="46"/>
    <n v="80"/>
    <n v="62"/>
  </r>
  <r>
    <s v="B"/>
    <x v="57"/>
    <x v="6"/>
    <m/>
    <m/>
    <m/>
    <m/>
    <m/>
    <n v="65"/>
    <m/>
    <m/>
    <m/>
    <m/>
    <m/>
    <m/>
    <m/>
    <x v="16"/>
    <m/>
    <n v="43"/>
    <n v="78"/>
    <n v="24"/>
  </r>
  <r>
    <s v="B"/>
    <x v="58"/>
    <x v="6"/>
    <m/>
    <m/>
    <m/>
    <n v="88"/>
    <m/>
    <n v="96"/>
    <n v="92"/>
    <m/>
    <m/>
    <m/>
    <m/>
    <m/>
    <m/>
    <x v="12"/>
    <m/>
    <n v="59"/>
    <n v="53"/>
    <n v="72"/>
  </r>
  <r>
    <s v="B"/>
    <x v="59"/>
    <x v="6"/>
    <m/>
    <m/>
    <m/>
    <n v="76"/>
    <m/>
    <n v="100"/>
    <n v="90"/>
    <m/>
    <m/>
    <m/>
    <m/>
    <n v="100"/>
    <m/>
    <x v="13"/>
    <m/>
    <n v="66"/>
    <n v="75"/>
    <m/>
  </r>
  <r>
    <s v="B"/>
    <x v="60"/>
    <x v="6"/>
    <m/>
    <m/>
    <m/>
    <n v="96"/>
    <m/>
    <n v="98"/>
    <n v="91"/>
    <m/>
    <m/>
    <m/>
    <m/>
    <m/>
    <m/>
    <x v="18"/>
    <m/>
    <n v="69"/>
    <n v="85"/>
    <m/>
  </r>
  <r>
    <s v="B"/>
    <x v="61"/>
    <x v="6"/>
    <m/>
    <m/>
    <m/>
    <n v="76"/>
    <m/>
    <n v="99"/>
    <n v="84"/>
    <n v="78"/>
    <m/>
    <m/>
    <m/>
    <m/>
    <m/>
    <x v="3"/>
    <m/>
    <n v="53"/>
    <n v="73"/>
    <m/>
  </r>
  <r>
    <s v="B"/>
    <x v="62"/>
    <x v="26"/>
    <n v="17"/>
    <m/>
    <m/>
    <m/>
    <m/>
    <n v="100"/>
    <n v="92"/>
    <m/>
    <m/>
    <m/>
    <m/>
    <m/>
    <m/>
    <x v="2"/>
    <m/>
    <n v="47"/>
    <m/>
    <m/>
  </r>
  <r>
    <s v="B"/>
    <x v="63"/>
    <x v="6"/>
    <m/>
    <m/>
    <m/>
    <n v="80"/>
    <m/>
    <n v="98"/>
    <n v="79"/>
    <m/>
    <m/>
    <m/>
    <m/>
    <m/>
    <m/>
    <x v="26"/>
    <m/>
    <n v="66"/>
    <n v="63"/>
    <n v="60"/>
  </r>
  <r>
    <s v="B"/>
    <x v="64"/>
    <x v="6"/>
    <m/>
    <m/>
    <m/>
    <m/>
    <m/>
    <n v="94"/>
    <n v="66"/>
    <m/>
    <m/>
    <m/>
    <m/>
    <m/>
    <m/>
    <x v="15"/>
    <n v="24"/>
    <n v="44"/>
    <n v="40"/>
    <m/>
  </r>
  <r>
    <s v="C"/>
    <x v="65"/>
    <x v="6"/>
    <m/>
    <m/>
    <m/>
    <m/>
    <m/>
    <n v="95"/>
    <n v="70"/>
    <m/>
    <m/>
    <n v="51"/>
    <m/>
    <m/>
    <m/>
    <x v="15"/>
    <n v="52"/>
    <n v="49"/>
    <m/>
    <m/>
  </r>
  <r>
    <s v="C"/>
    <x v="66"/>
    <x v="6"/>
    <m/>
    <m/>
    <n v="42"/>
    <m/>
    <m/>
    <n v="52"/>
    <m/>
    <m/>
    <m/>
    <m/>
    <m/>
    <m/>
    <m/>
    <x v="15"/>
    <n v="40"/>
    <n v="36"/>
    <m/>
    <m/>
  </r>
  <r>
    <s v="C"/>
    <x v="67"/>
    <x v="6"/>
    <m/>
    <m/>
    <n v="77"/>
    <m/>
    <m/>
    <n v="92"/>
    <n v="80"/>
    <n v="68"/>
    <m/>
    <m/>
    <m/>
    <m/>
    <m/>
    <x v="26"/>
    <n v="44"/>
    <n v="54"/>
    <m/>
    <m/>
  </r>
  <r>
    <s v="C"/>
    <x v="68"/>
    <x v="6"/>
    <m/>
    <m/>
    <n v="55"/>
    <m/>
    <m/>
    <n v="88"/>
    <m/>
    <m/>
    <m/>
    <m/>
    <m/>
    <m/>
    <m/>
    <x v="18"/>
    <n v="42"/>
    <n v="49"/>
    <m/>
    <m/>
  </r>
  <r>
    <s v="C"/>
    <x v="69"/>
    <x v="6"/>
    <m/>
    <m/>
    <n v="85"/>
    <m/>
    <m/>
    <n v="100"/>
    <n v="81"/>
    <m/>
    <m/>
    <n v="94"/>
    <m/>
    <m/>
    <m/>
    <x v="5"/>
    <n v="52"/>
    <n v="71"/>
    <m/>
    <m/>
  </r>
  <r>
    <s v="C"/>
    <x v="70"/>
    <x v="6"/>
    <m/>
    <m/>
    <n v="68"/>
    <m/>
    <m/>
    <n v="84"/>
    <m/>
    <m/>
    <m/>
    <m/>
    <m/>
    <m/>
    <m/>
    <x v="23"/>
    <n v="14"/>
    <n v="34"/>
    <m/>
    <m/>
  </r>
  <r>
    <s v="C"/>
    <x v="71"/>
    <x v="6"/>
    <m/>
    <m/>
    <n v="60"/>
    <m/>
    <m/>
    <n v="92"/>
    <m/>
    <m/>
    <m/>
    <m/>
    <m/>
    <m/>
    <m/>
    <x v="3"/>
    <n v="32"/>
    <n v="63"/>
    <m/>
    <m/>
  </r>
  <r>
    <s v="C"/>
    <x v="72"/>
    <x v="6"/>
    <m/>
    <m/>
    <n v="70"/>
    <m/>
    <m/>
    <n v="94"/>
    <n v="84"/>
    <m/>
    <m/>
    <m/>
    <m/>
    <m/>
    <n v="90"/>
    <x v="11"/>
    <n v="56"/>
    <n v="64"/>
    <m/>
    <m/>
  </r>
  <r>
    <s v="C"/>
    <x v="73"/>
    <x v="6"/>
    <m/>
    <m/>
    <n v="38"/>
    <m/>
    <m/>
    <n v="51"/>
    <m/>
    <m/>
    <m/>
    <m/>
    <m/>
    <m/>
    <m/>
    <x v="4"/>
    <m/>
    <n v="49"/>
    <m/>
    <m/>
  </r>
  <r>
    <s v="C"/>
    <x v="74"/>
    <x v="6"/>
    <m/>
    <m/>
    <n v="83"/>
    <m/>
    <m/>
    <m/>
    <n v="93"/>
    <m/>
    <m/>
    <m/>
    <m/>
    <n v="96"/>
    <m/>
    <x v="18"/>
    <n v="64"/>
    <n v="57"/>
    <m/>
    <m/>
  </r>
  <r>
    <s v="C"/>
    <x v="75"/>
    <x v="6"/>
    <m/>
    <m/>
    <n v="93"/>
    <m/>
    <m/>
    <n v="98"/>
    <n v="80"/>
    <n v="80"/>
    <m/>
    <m/>
    <m/>
    <m/>
    <m/>
    <x v="13"/>
    <n v="64"/>
    <n v="63"/>
    <m/>
    <m/>
  </r>
  <r>
    <s v="C"/>
    <x v="76"/>
    <x v="6"/>
    <m/>
    <m/>
    <n v="63"/>
    <m/>
    <m/>
    <n v="88"/>
    <m/>
    <m/>
    <m/>
    <m/>
    <m/>
    <m/>
    <m/>
    <x v="14"/>
    <m/>
    <n v="63"/>
    <n v="43"/>
    <m/>
  </r>
  <r>
    <s v="C"/>
    <x v="77"/>
    <x v="6"/>
    <m/>
    <m/>
    <n v="65"/>
    <m/>
    <m/>
    <n v="69"/>
    <m/>
    <m/>
    <m/>
    <m/>
    <m/>
    <m/>
    <m/>
    <x v="23"/>
    <m/>
    <n v="51"/>
    <m/>
    <m/>
  </r>
  <r>
    <s v="C"/>
    <x v="78"/>
    <x v="6"/>
    <m/>
    <m/>
    <n v="50"/>
    <m/>
    <m/>
    <n v="82"/>
    <m/>
    <m/>
    <m/>
    <m/>
    <m/>
    <m/>
    <m/>
    <x v="22"/>
    <n v="36"/>
    <n v="47"/>
    <m/>
    <m/>
  </r>
  <r>
    <s v="C"/>
    <x v="79"/>
    <x v="6"/>
    <m/>
    <m/>
    <n v="53"/>
    <m/>
    <m/>
    <n v="100"/>
    <n v="77"/>
    <m/>
    <m/>
    <m/>
    <m/>
    <m/>
    <m/>
    <x v="19"/>
    <n v="38"/>
    <n v="53"/>
    <m/>
    <n v="46"/>
  </r>
  <r>
    <s v="C"/>
    <x v="80"/>
    <x v="6"/>
    <m/>
    <m/>
    <m/>
    <m/>
    <m/>
    <n v="98"/>
    <n v="81"/>
    <m/>
    <m/>
    <m/>
    <m/>
    <m/>
    <m/>
    <x v="11"/>
    <n v="40"/>
    <n v="59"/>
    <m/>
    <m/>
  </r>
  <r>
    <s v="C"/>
    <x v="81"/>
    <x v="6"/>
    <m/>
    <m/>
    <n v="70"/>
    <m/>
    <m/>
    <n v="96"/>
    <n v="51"/>
    <m/>
    <m/>
    <m/>
    <m/>
    <m/>
    <m/>
    <x v="15"/>
    <m/>
    <n v="66"/>
    <n v="95"/>
    <m/>
  </r>
  <r>
    <s v="C"/>
    <x v="82"/>
    <x v="6"/>
    <m/>
    <m/>
    <n v="68"/>
    <m/>
    <m/>
    <n v="87"/>
    <n v="55"/>
    <m/>
    <m/>
    <m/>
    <m/>
    <m/>
    <m/>
    <x v="7"/>
    <n v="48"/>
    <n v="63"/>
    <n v="55"/>
    <m/>
  </r>
  <r>
    <s v="C"/>
    <x v="83"/>
    <x v="6"/>
    <m/>
    <m/>
    <m/>
    <m/>
    <m/>
    <n v="91"/>
    <n v="66"/>
    <m/>
    <m/>
    <m/>
    <m/>
    <m/>
    <m/>
    <x v="27"/>
    <n v="66"/>
    <n v="76"/>
    <n v="70"/>
    <m/>
  </r>
  <r>
    <s v="C"/>
    <x v="84"/>
    <x v="6"/>
    <m/>
    <m/>
    <m/>
    <m/>
    <m/>
    <n v="100"/>
    <n v="92"/>
    <n v="72"/>
    <m/>
    <m/>
    <m/>
    <m/>
    <m/>
    <x v="28"/>
    <n v="52"/>
    <n v="54"/>
    <m/>
    <m/>
  </r>
  <r>
    <s v="C"/>
    <x v="85"/>
    <x v="6"/>
    <m/>
    <m/>
    <n v="87"/>
    <m/>
    <m/>
    <n v="98"/>
    <m/>
    <m/>
    <m/>
    <m/>
    <m/>
    <m/>
    <m/>
    <x v="6"/>
    <n v="90"/>
    <n v="91"/>
    <m/>
    <m/>
  </r>
  <r>
    <s v="C"/>
    <x v="86"/>
    <x v="6"/>
    <m/>
    <m/>
    <n v="47"/>
    <m/>
    <m/>
    <n v="89"/>
    <m/>
    <m/>
    <m/>
    <m/>
    <m/>
    <m/>
    <m/>
    <x v="15"/>
    <n v="40"/>
    <n v="54"/>
    <m/>
    <m/>
  </r>
  <r>
    <s v="C"/>
    <x v="87"/>
    <x v="6"/>
    <m/>
    <m/>
    <m/>
    <m/>
    <m/>
    <n v="94"/>
    <n v="88"/>
    <m/>
    <m/>
    <m/>
    <m/>
    <m/>
    <m/>
    <x v="11"/>
    <n v="46"/>
    <n v="77"/>
    <m/>
    <m/>
  </r>
  <r>
    <s v="C"/>
    <x v="88"/>
    <x v="6"/>
    <m/>
    <m/>
    <n v="68"/>
    <m/>
    <m/>
    <n v="94"/>
    <n v="78"/>
    <m/>
    <m/>
    <m/>
    <m/>
    <n v="96"/>
    <m/>
    <x v="27"/>
    <n v="54"/>
    <n v="50"/>
    <m/>
    <m/>
  </r>
  <r>
    <s v="C"/>
    <x v="89"/>
    <x v="6"/>
    <m/>
    <m/>
    <n v="77"/>
    <m/>
    <m/>
    <n v="72"/>
    <n v="44"/>
    <m/>
    <m/>
    <m/>
    <m/>
    <m/>
    <m/>
    <x v="13"/>
    <n v="40"/>
    <n v="60"/>
    <m/>
    <m/>
  </r>
  <r>
    <s v="C"/>
    <x v="90"/>
    <x v="6"/>
    <m/>
    <m/>
    <n v="80"/>
    <m/>
    <m/>
    <n v="100"/>
    <n v="82"/>
    <m/>
    <m/>
    <m/>
    <m/>
    <n v="100"/>
    <m/>
    <x v="7"/>
    <n v="94"/>
    <n v="63"/>
    <m/>
    <m/>
  </r>
  <r>
    <s v="C"/>
    <x v="91"/>
    <x v="6"/>
    <m/>
    <m/>
    <n v="82"/>
    <m/>
    <m/>
    <n v="94"/>
    <n v="61"/>
    <m/>
    <m/>
    <m/>
    <m/>
    <m/>
    <m/>
    <x v="22"/>
    <m/>
    <n v="71"/>
    <m/>
    <m/>
  </r>
  <r>
    <s v="E"/>
    <x v="92"/>
    <x v="6"/>
    <m/>
    <n v="70"/>
    <m/>
    <m/>
    <m/>
    <n v="94"/>
    <n v="73"/>
    <m/>
    <m/>
    <m/>
    <m/>
    <m/>
    <m/>
    <x v="29"/>
    <n v="70"/>
    <n v="59"/>
    <m/>
    <m/>
  </r>
  <r>
    <s v="E"/>
    <x v="93"/>
    <x v="6"/>
    <m/>
    <n v="53"/>
    <m/>
    <m/>
    <m/>
    <n v="96"/>
    <n v="67"/>
    <m/>
    <m/>
    <m/>
    <m/>
    <m/>
    <m/>
    <x v="29"/>
    <n v="40"/>
    <n v="64"/>
    <m/>
    <m/>
  </r>
  <r>
    <s v="E"/>
    <x v="94"/>
    <x v="6"/>
    <m/>
    <n v="75"/>
    <m/>
    <m/>
    <n v="78"/>
    <n v="98"/>
    <n v="96"/>
    <m/>
    <m/>
    <m/>
    <m/>
    <m/>
    <m/>
    <x v="27"/>
    <n v="90"/>
    <n v="80"/>
    <m/>
    <m/>
  </r>
  <r>
    <s v="E"/>
    <x v="95"/>
    <x v="6"/>
    <m/>
    <n v="82"/>
    <m/>
    <m/>
    <m/>
    <n v="100"/>
    <n v="91"/>
    <m/>
    <m/>
    <m/>
    <m/>
    <m/>
    <m/>
    <x v="7"/>
    <n v="80"/>
    <n v="84"/>
    <m/>
    <m/>
  </r>
  <r>
    <s v="E"/>
    <x v="96"/>
    <x v="6"/>
    <m/>
    <n v="32"/>
    <m/>
    <m/>
    <m/>
    <n v="96"/>
    <n v="74"/>
    <m/>
    <m/>
    <m/>
    <m/>
    <m/>
    <m/>
    <x v="19"/>
    <m/>
    <n v="60"/>
    <n v="25"/>
    <m/>
  </r>
  <r>
    <s v="E"/>
    <x v="97"/>
    <x v="6"/>
    <m/>
    <n v="77"/>
    <m/>
    <m/>
    <n v="88"/>
    <n v="98"/>
    <n v="76"/>
    <m/>
    <m/>
    <m/>
    <m/>
    <m/>
    <m/>
    <x v="9"/>
    <n v="68"/>
    <n v="73"/>
    <m/>
    <m/>
  </r>
  <r>
    <s v="E"/>
    <x v="98"/>
    <x v="6"/>
    <m/>
    <n v="70"/>
    <m/>
    <m/>
    <m/>
    <n v="97"/>
    <n v="65"/>
    <m/>
    <m/>
    <m/>
    <m/>
    <m/>
    <m/>
    <x v="5"/>
    <n v="78"/>
    <n v="76"/>
    <m/>
    <m/>
  </r>
  <r>
    <s v="E"/>
    <x v="99"/>
    <x v="6"/>
    <m/>
    <n v="32"/>
    <m/>
    <m/>
    <m/>
    <n v="95"/>
    <n v="75"/>
    <m/>
    <m/>
    <m/>
    <m/>
    <m/>
    <m/>
    <x v="18"/>
    <n v="58"/>
    <n v="54"/>
    <m/>
    <m/>
  </r>
  <r>
    <s v="E"/>
    <x v="100"/>
    <x v="27"/>
    <m/>
    <n v="37"/>
    <m/>
    <m/>
    <m/>
    <n v="96"/>
    <n v="84"/>
    <m/>
    <m/>
    <m/>
    <m/>
    <m/>
    <m/>
    <x v="7"/>
    <m/>
    <n v="53"/>
    <m/>
    <m/>
  </r>
  <r>
    <s v="E"/>
    <x v="101"/>
    <x v="6"/>
    <m/>
    <n v="75"/>
    <m/>
    <m/>
    <m/>
    <n v="98"/>
    <n v="94"/>
    <m/>
    <m/>
    <m/>
    <m/>
    <m/>
    <m/>
    <x v="30"/>
    <n v="82"/>
    <n v="56"/>
    <m/>
    <m/>
  </r>
  <r>
    <s v="E"/>
    <x v="102"/>
    <x v="6"/>
    <m/>
    <n v="92"/>
    <m/>
    <m/>
    <m/>
    <n v="98"/>
    <n v="86"/>
    <m/>
    <m/>
    <m/>
    <m/>
    <m/>
    <m/>
    <x v="5"/>
    <n v="88"/>
    <n v="77"/>
    <m/>
    <m/>
  </r>
  <r>
    <s v="E"/>
    <x v="103"/>
    <x v="6"/>
    <m/>
    <m/>
    <n v="45"/>
    <m/>
    <m/>
    <n v="100"/>
    <n v="80"/>
    <m/>
    <m/>
    <m/>
    <m/>
    <m/>
    <m/>
    <x v="13"/>
    <n v="36"/>
    <n v="30"/>
    <m/>
    <m/>
  </r>
  <r>
    <s v="E"/>
    <x v="104"/>
    <x v="6"/>
    <m/>
    <m/>
    <m/>
    <m/>
    <m/>
    <n v="100"/>
    <n v="94"/>
    <n v="99"/>
    <m/>
    <m/>
    <m/>
    <m/>
    <m/>
    <x v="0"/>
    <n v="74"/>
    <n v="74"/>
    <m/>
    <m/>
  </r>
  <r>
    <s v="E"/>
    <x v="105"/>
    <x v="6"/>
    <m/>
    <m/>
    <m/>
    <m/>
    <m/>
    <n v="98"/>
    <n v="78"/>
    <m/>
    <m/>
    <m/>
    <m/>
    <m/>
    <m/>
    <x v="14"/>
    <m/>
    <n v="54"/>
    <m/>
    <m/>
  </r>
  <r>
    <s v="E"/>
    <x v="106"/>
    <x v="6"/>
    <m/>
    <n v="72"/>
    <m/>
    <m/>
    <m/>
    <n v="98"/>
    <n v="79"/>
    <m/>
    <m/>
    <m/>
    <m/>
    <m/>
    <m/>
    <x v="27"/>
    <n v="78"/>
    <n v="64"/>
    <m/>
    <m/>
  </r>
  <r>
    <s v="E"/>
    <x v="107"/>
    <x v="6"/>
    <m/>
    <n v="62"/>
    <m/>
    <m/>
    <m/>
    <n v="100"/>
    <n v="75"/>
    <m/>
    <m/>
    <m/>
    <m/>
    <m/>
    <m/>
    <x v="10"/>
    <n v="38"/>
    <n v="74"/>
    <m/>
    <m/>
  </r>
  <r>
    <s v="E"/>
    <x v="108"/>
    <x v="6"/>
    <m/>
    <m/>
    <m/>
    <m/>
    <n v="70"/>
    <n v="98"/>
    <n v="79"/>
    <m/>
    <m/>
    <m/>
    <m/>
    <m/>
    <m/>
    <x v="5"/>
    <n v="62"/>
    <n v="59"/>
    <m/>
    <m/>
  </r>
  <r>
    <s v="E"/>
    <x v="109"/>
    <x v="6"/>
    <m/>
    <n v="48"/>
    <m/>
    <m/>
    <m/>
    <n v="84"/>
    <n v="28"/>
    <m/>
    <m/>
    <m/>
    <m/>
    <m/>
    <m/>
    <x v="11"/>
    <n v="68"/>
    <n v="51"/>
    <m/>
    <m/>
  </r>
  <r>
    <s v="E"/>
    <x v="110"/>
    <x v="6"/>
    <m/>
    <n v="62"/>
    <m/>
    <m/>
    <m/>
    <n v="98"/>
    <n v="79"/>
    <m/>
    <m/>
    <m/>
    <m/>
    <m/>
    <m/>
    <x v="27"/>
    <n v="66"/>
    <n v="51"/>
    <m/>
    <m/>
  </r>
  <r>
    <s v="E"/>
    <x v="111"/>
    <x v="6"/>
    <m/>
    <n v="67"/>
    <m/>
    <m/>
    <m/>
    <n v="100"/>
    <n v="85"/>
    <m/>
    <m/>
    <m/>
    <m/>
    <m/>
    <m/>
    <x v="10"/>
    <n v="70"/>
    <n v="63"/>
    <m/>
    <m/>
  </r>
  <r>
    <s v="E"/>
    <x v="112"/>
    <x v="6"/>
    <m/>
    <n v="67"/>
    <m/>
    <m/>
    <m/>
    <n v="100"/>
    <n v="78"/>
    <m/>
    <m/>
    <m/>
    <m/>
    <m/>
    <m/>
    <x v="9"/>
    <n v="68"/>
    <n v="63"/>
    <m/>
    <m/>
  </r>
  <r>
    <s v="E"/>
    <x v="113"/>
    <x v="6"/>
    <m/>
    <m/>
    <m/>
    <m/>
    <n v="98"/>
    <n v="99"/>
    <n v="84"/>
    <m/>
    <m/>
    <m/>
    <m/>
    <m/>
    <m/>
    <x v="6"/>
    <n v="92"/>
    <n v="66"/>
    <m/>
    <m/>
  </r>
  <r>
    <s v="E"/>
    <x v="114"/>
    <x v="6"/>
    <m/>
    <m/>
    <m/>
    <m/>
    <m/>
    <n v="96"/>
    <n v="86"/>
    <m/>
    <m/>
    <m/>
    <m/>
    <m/>
    <m/>
    <x v="5"/>
    <n v="60"/>
    <n v="57"/>
    <m/>
    <m/>
  </r>
  <r>
    <s v="E"/>
    <x v="115"/>
    <x v="6"/>
    <m/>
    <n v="55"/>
    <m/>
    <m/>
    <m/>
    <n v="97"/>
    <n v="92"/>
    <m/>
    <m/>
    <m/>
    <m/>
    <m/>
    <m/>
    <x v="5"/>
    <n v="78"/>
    <n v="63"/>
    <m/>
    <m/>
  </r>
  <r>
    <s v="E"/>
    <x v="116"/>
    <x v="6"/>
    <m/>
    <n v="78"/>
    <m/>
    <m/>
    <m/>
    <n v="98"/>
    <n v="85"/>
    <m/>
    <m/>
    <m/>
    <m/>
    <m/>
    <m/>
    <x v="27"/>
    <n v="92"/>
    <n v="70"/>
    <m/>
    <m/>
  </r>
  <r>
    <s v="E"/>
    <x v="117"/>
    <x v="6"/>
    <m/>
    <m/>
    <m/>
    <m/>
    <n v="52"/>
    <n v="96"/>
    <n v="68"/>
    <m/>
    <m/>
    <m/>
    <m/>
    <m/>
    <m/>
    <x v="5"/>
    <n v="56"/>
    <n v="57"/>
    <m/>
    <m/>
  </r>
  <r>
    <s v="E"/>
    <x v="118"/>
    <x v="6"/>
    <m/>
    <n v="70"/>
    <m/>
    <m/>
    <m/>
    <n v="100"/>
    <n v="86"/>
    <m/>
    <m/>
    <m/>
    <m/>
    <m/>
    <m/>
    <x v="9"/>
    <n v="78"/>
    <n v="90"/>
    <m/>
    <m/>
  </r>
  <r>
    <s v="E"/>
    <x v="119"/>
    <x v="6"/>
    <m/>
    <n v="32"/>
    <m/>
    <m/>
    <m/>
    <n v="96"/>
    <n v="78"/>
    <m/>
    <m/>
    <m/>
    <m/>
    <m/>
    <m/>
    <x v="29"/>
    <n v="74"/>
    <n v="74"/>
    <m/>
    <m/>
  </r>
  <r>
    <s v="E"/>
    <x v="120"/>
    <x v="6"/>
    <m/>
    <n v="75"/>
    <m/>
    <m/>
    <m/>
    <n v="100"/>
    <n v="64"/>
    <m/>
    <m/>
    <m/>
    <m/>
    <m/>
    <m/>
    <x v="10"/>
    <n v="74"/>
    <n v="70"/>
    <m/>
    <m/>
  </r>
  <r>
    <s v="E"/>
    <x v="121"/>
    <x v="6"/>
    <m/>
    <n v="63"/>
    <m/>
    <m/>
    <m/>
    <n v="96"/>
    <m/>
    <m/>
    <m/>
    <m/>
    <m/>
    <m/>
    <m/>
    <x v="6"/>
    <n v="92"/>
    <n v="67"/>
    <m/>
    <m/>
  </r>
  <r>
    <s v="E"/>
    <x v="122"/>
    <x v="6"/>
    <m/>
    <m/>
    <m/>
    <m/>
    <m/>
    <n v="98"/>
    <n v="65"/>
    <m/>
    <m/>
    <m/>
    <m/>
    <m/>
    <m/>
    <x v="5"/>
    <n v="68"/>
    <n v="81"/>
    <m/>
    <m/>
  </r>
  <r>
    <s v="E"/>
    <x v="123"/>
    <x v="6"/>
    <m/>
    <m/>
    <m/>
    <m/>
    <m/>
    <n v="98"/>
    <n v="84"/>
    <m/>
    <m/>
    <m/>
    <m/>
    <m/>
    <m/>
    <x v="19"/>
    <n v="54"/>
    <n v="73"/>
    <m/>
    <m/>
  </r>
  <r>
    <s v="E"/>
    <x v="124"/>
    <x v="6"/>
    <m/>
    <n v="77"/>
    <m/>
    <m/>
    <m/>
    <n v="94"/>
    <n v="86"/>
    <m/>
    <m/>
    <m/>
    <m/>
    <m/>
    <m/>
    <x v="9"/>
    <n v="64"/>
    <n v="59"/>
    <m/>
    <m/>
  </r>
  <r>
    <s v="H"/>
    <x v="125"/>
    <x v="6"/>
    <m/>
    <m/>
    <m/>
    <m/>
    <m/>
    <n v="96"/>
    <m/>
    <m/>
    <m/>
    <n v="97"/>
    <n v="73"/>
    <m/>
    <m/>
    <x v="12"/>
    <m/>
    <n v="69"/>
    <n v="65"/>
    <m/>
  </r>
  <r>
    <s v="H"/>
    <x v="126"/>
    <x v="6"/>
    <m/>
    <m/>
    <m/>
    <m/>
    <m/>
    <n v="96"/>
    <m/>
    <m/>
    <m/>
    <n v="83"/>
    <n v="61"/>
    <m/>
    <m/>
    <x v="22"/>
    <m/>
    <n v="69"/>
    <n v="58"/>
    <m/>
  </r>
  <r>
    <s v="H"/>
    <x v="127"/>
    <x v="6"/>
    <m/>
    <m/>
    <m/>
    <m/>
    <m/>
    <n v="88"/>
    <m/>
    <m/>
    <m/>
    <n v="90"/>
    <n v="65"/>
    <m/>
    <m/>
    <x v="16"/>
    <m/>
    <n v="81"/>
    <n v="58"/>
    <m/>
  </r>
  <r>
    <s v="H"/>
    <x v="128"/>
    <x v="6"/>
    <m/>
    <m/>
    <m/>
    <m/>
    <m/>
    <n v="90"/>
    <m/>
    <m/>
    <m/>
    <n v="84"/>
    <n v="68"/>
    <m/>
    <m/>
    <x v="12"/>
    <m/>
    <n v="76"/>
    <n v="88"/>
    <m/>
  </r>
  <r>
    <s v="H"/>
    <x v="129"/>
    <x v="6"/>
    <m/>
    <m/>
    <n v="85"/>
    <m/>
    <m/>
    <m/>
    <n v="95"/>
    <m/>
    <m/>
    <n v="100"/>
    <m/>
    <m/>
    <m/>
    <x v="19"/>
    <m/>
    <n v="73"/>
    <n v="88"/>
    <m/>
  </r>
  <r>
    <s v="H"/>
    <x v="130"/>
    <x v="6"/>
    <m/>
    <m/>
    <m/>
    <m/>
    <m/>
    <n v="96"/>
    <m/>
    <m/>
    <m/>
    <m/>
    <n v="45"/>
    <m/>
    <m/>
    <x v="28"/>
    <m/>
    <n v="61"/>
    <n v="83"/>
    <m/>
  </r>
  <r>
    <s v="H"/>
    <x v="131"/>
    <x v="6"/>
    <m/>
    <m/>
    <m/>
    <m/>
    <m/>
    <n v="94"/>
    <n v="79"/>
    <m/>
    <m/>
    <m/>
    <n v="79"/>
    <m/>
    <m/>
    <x v="14"/>
    <m/>
    <n v="74"/>
    <n v="53"/>
    <m/>
  </r>
  <r>
    <s v="H"/>
    <x v="132"/>
    <x v="6"/>
    <m/>
    <m/>
    <n v="38"/>
    <m/>
    <m/>
    <n v="87"/>
    <n v="69"/>
    <m/>
    <m/>
    <m/>
    <n v="72"/>
    <m/>
    <m/>
    <x v="1"/>
    <m/>
    <n v="54"/>
    <n v="60"/>
    <m/>
  </r>
  <r>
    <s v="H"/>
    <x v="133"/>
    <x v="4"/>
    <n v="35"/>
    <m/>
    <m/>
    <m/>
    <m/>
    <n v="97"/>
    <m/>
    <m/>
    <m/>
    <n v="92"/>
    <n v="52"/>
    <m/>
    <m/>
    <x v="1"/>
    <m/>
    <n v="67"/>
    <m/>
    <m/>
  </r>
  <r>
    <s v="H"/>
    <x v="134"/>
    <x v="6"/>
    <m/>
    <m/>
    <n v="50"/>
    <m/>
    <m/>
    <n v="92"/>
    <m/>
    <m/>
    <m/>
    <n v="84"/>
    <n v="63"/>
    <m/>
    <m/>
    <x v="31"/>
    <m/>
    <n v="60"/>
    <m/>
    <m/>
  </r>
  <r>
    <s v="H"/>
    <x v="135"/>
    <x v="6"/>
    <m/>
    <m/>
    <n v="82"/>
    <m/>
    <m/>
    <n v="100"/>
    <m/>
    <m/>
    <m/>
    <n v="100"/>
    <m/>
    <m/>
    <m/>
    <x v="27"/>
    <n v="66"/>
    <n v="73"/>
    <n v="85"/>
    <m/>
  </r>
  <r>
    <s v="H"/>
    <x v="136"/>
    <x v="6"/>
    <m/>
    <m/>
    <m/>
    <m/>
    <m/>
    <n v="96"/>
    <m/>
    <m/>
    <m/>
    <m/>
    <n v="79"/>
    <m/>
    <m/>
    <x v="1"/>
    <m/>
    <n v="81"/>
    <n v="83"/>
    <m/>
  </r>
  <r>
    <s v="H"/>
    <x v="137"/>
    <x v="6"/>
    <m/>
    <m/>
    <m/>
    <n v="66"/>
    <m/>
    <n v="94"/>
    <n v="93"/>
    <m/>
    <m/>
    <m/>
    <n v="83"/>
    <m/>
    <m/>
    <x v="13"/>
    <m/>
    <n v="90"/>
    <n v="100"/>
    <m/>
  </r>
  <r>
    <s v="H"/>
    <x v="138"/>
    <x v="6"/>
    <m/>
    <m/>
    <n v="75"/>
    <m/>
    <m/>
    <n v="99"/>
    <n v="83"/>
    <m/>
    <m/>
    <n v="100"/>
    <m/>
    <m/>
    <m/>
    <x v="13"/>
    <n v="30"/>
    <n v="79"/>
    <n v="80"/>
    <m/>
  </r>
  <r>
    <s v="H"/>
    <x v="139"/>
    <x v="6"/>
    <m/>
    <m/>
    <m/>
    <m/>
    <m/>
    <n v="96"/>
    <m/>
    <m/>
    <m/>
    <n v="98"/>
    <n v="96"/>
    <m/>
    <m/>
    <x v="24"/>
    <m/>
    <n v="69"/>
    <m/>
    <m/>
  </r>
  <r>
    <s v="H"/>
    <x v="140"/>
    <x v="6"/>
    <m/>
    <m/>
    <m/>
    <n v="24"/>
    <m/>
    <n v="100"/>
    <n v="63"/>
    <m/>
    <m/>
    <m/>
    <n v="61"/>
    <m/>
    <m/>
    <x v="8"/>
    <m/>
    <n v="76"/>
    <n v="58"/>
    <n v="16"/>
  </r>
  <r>
    <s v="H"/>
    <x v="141"/>
    <x v="6"/>
    <m/>
    <m/>
    <m/>
    <n v="72"/>
    <m/>
    <n v="98"/>
    <n v="76"/>
    <m/>
    <m/>
    <m/>
    <n v="77"/>
    <m/>
    <m/>
    <x v="14"/>
    <m/>
    <n v="79"/>
    <n v="75"/>
    <n v="46"/>
  </r>
  <r>
    <s v="H"/>
    <x v="142"/>
    <x v="6"/>
    <m/>
    <m/>
    <m/>
    <m/>
    <m/>
    <n v="96"/>
    <n v="71"/>
    <m/>
    <m/>
    <m/>
    <n v="70"/>
    <m/>
    <m/>
    <x v="8"/>
    <m/>
    <n v="37"/>
    <n v="55"/>
    <m/>
  </r>
  <r>
    <s v="H"/>
    <x v="143"/>
    <x v="6"/>
    <m/>
    <m/>
    <m/>
    <m/>
    <m/>
    <m/>
    <n v="89"/>
    <m/>
    <m/>
    <n v="96"/>
    <m/>
    <m/>
    <m/>
    <x v="1"/>
    <m/>
    <n v="57"/>
    <n v="63"/>
    <m/>
  </r>
  <r>
    <s v="H"/>
    <x v="144"/>
    <x v="6"/>
    <m/>
    <m/>
    <m/>
    <m/>
    <m/>
    <m/>
    <n v="74"/>
    <m/>
    <m/>
    <n v="98"/>
    <m/>
    <m/>
    <m/>
    <x v="26"/>
    <m/>
    <n v="56"/>
    <m/>
    <m/>
  </r>
  <r>
    <s v="H"/>
    <x v="145"/>
    <x v="6"/>
    <m/>
    <m/>
    <m/>
    <m/>
    <m/>
    <m/>
    <m/>
    <m/>
    <n v="73"/>
    <n v="98"/>
    <n v="82"/>
    <m/>
    <m/>
    <x v="22"/>
    <m/>
    <n v="50"/>
    <n v="70"/>
    <m/>
  </r>
  <r>
    <s v="H"/>
    <x v="146"/>
    <x v="28"/>
    <n v="12"/>
    <m/>
    <m/>
    <m/>
    <m/>
    <n v="70"/>
    <m/>
    <m/>
    <m/>
    <n v="58"/>
    <m/>
    <m/>
    <m/>
    <x v="12"/>
    <m/>
    <n v="43"/>
    <m/>
    <m/>
  </r>
  <r>
    <s v="H"/>
    <x v="147"/>
    <x v="6"/>
    <m/>
    <m/>
    <m/>
    <m/>
    <m/>
    <m/>
    <n v="78"/>
    <m/>
    <m/>
    <n v="100"/>
    <m/>
    <m/>
    <m/>
    <x v="6"/>
    <n v="40"/>
    <n v="80"/>
    <m/>
    <m/>
  </r>
  <r>
    <s v="H"/>
    <x v="148"/>
    <x v="6"/>
    <m/>
    <m/>
    <m/>
    <m/>
    <m/>
    <n v="90"/>
    <m/>
    <m/>
    <m/>
    <n v="92"/>
    <n v="71"/>
    <m/>
    <m/>
    <x v="32"/>
    <m/>
    <n v="47"/>
    <n v="58"/>
    <m/>
  </r>
  <r>
    <s v="H"/>
    <x v="149"/>
    <x v="6"/>
    <m/>
    <m/>
    <n v="53"/>
    <m/>
    <m/>
    <n v="98"/>
    <n v="66"/>
    <m/>
    <m/>
    <m/>
    <n v="67"/>
    <m/>
    <m/>
    <x v="17"/>
    <m/>
    <n v="71"/>
    <n v="63"/>
    <m/>
  </r>
  <r>
    <s v="H"/>
    <x v="150"/>
    <x v="6"/>
    <m/>
    <m/>
    <n v="52"/>
    <m/>
    <m/>
    <n v="98"/>
    <m/>
    <m/>
    <m/>
    <n v="93"/>
    <n v="70"/>
    <m/>
    <m/>
    <x v="12"/>
    <n v="36"/>
    <n v="41"/>
    <m/>
    <m/>
  </r>
  <r>
    <s v="H"/>
    <x v="151"/>
    <x v="29"/>
    <n v="43"/>
    <m/>
    <m/>
    <m/>
    <m/>
    <n v="95"/>
    <m/>
    <m/>
    <m/>
    <m/>
    <n v="70"/>
    <m/>
    <m/>
    <x v="17"/>
    <m/>
    <n v="59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s v="A"/>
    <s v="95010405222"/>
    <n v="80"/>
    <n v="67"/>
    <x v="0"/>
  </r>
  <r>
    <s v="A"/>
    <s v="95011310048"/>
    <n v="56"/>
    <n v="40"/>
    <x v="0"/>
  </r>
  <r>
    <s v="A"/>
    <s v="95012311345"/>
    <n v="60"/>
    <n v="61"/>
    <x v="0"/>
  </r>
  <r>
    <s v="A"/>
    <s v="95030607404"/>
    <n v="70"/>
    <n v="73"/>
    <x v="0"/>
  </r>
  <r>
    <s v="A"/>
    <s v="95031506511"/>
    <n v="70"/>
    <n v="51"/>
    <x v="1"/>
  </r>
  <r>
    <s v="A"/>
    <s v="95031714219"/>
    <n v="48"/>
    <n v="40"/>
    <x v="1"/>
  </r>
  <r>
    <s v="A"/>
    <s v="95032402083"/>
    <n v="94"/>
    <n v="74"/>
    <x v="0"/>
  </r>
  <r>
    <s v="A"/>
    <s v="95032701960"/>
    <n v="96"/>
    <n v="77"/>
    <x v="0"/>
  </r>
  <r>
    <s v="A"/>
    <s v="95040412034"/>
    <n v="86"/>
    <n v="73"/>
    <x v="1"/>
  </r>
  <r>
    <s v="A"/>
    <s v="95040908766"/>
    <n v="40"/>
    <n v="43"/>
    <x v="0"/>
  </r>
  <r>
    <s v="A"/>
    <s v="95041309368"/>
    <n v="70"/>
    <n v="76"/>
    <x v="0"/>
  </r>
  <r>
    <s v="A"/>
    <s v="95052600643"/>
    <n v="98"/>
    <n v="80"/>
    <x v="0"/>
  </r>
  <r>
    <s v="A"/>
    <s v="95061500402"/>
    <n v="92"/>
    <n v="79"/>
    <x v="0"/>
  </r>
  <r>
    <s v="A"/>
    <s v="95061702842"/>
    <n v="88"/>
    <n v="59"/>
    <x v="0"/>
  </r>
  <r>
    <s v="A"/>
    <s v="95062301712"/>
    <n v="92"/>
    <n v="56"/>
    <x v="1"/>
  </r>
  <r>
    <s v="A"/>
    <s v="95071508265"/>
    <n v="58"/>
    <n v="59"/>
    <x v="0"/>
  </r>
  <r>
    <s v="A"/>
    <s v="95071807500"/>
    <n v="78"/>
    <n v="54"/>
    <x v="0"/>
  </r>
  <r>
    <s v="A"/>
    <s v="95072900844"/>
    <n v="92"/>
    <n v="73"/>
    <x v="0"/>
  </r>
  <r>
    <s v="A"/>
    <s v="95073111506"/>
    <n v="78"/>
    <n v="56"/>
    <x v="0"/>
  </r>
  <r>
    <s v="A"/>
    <s v="95080409087"/>
    <n v="64"/>
    <n v="84"/>
    <x v="0"/>
  </r>
  <r>
    <s v="A"/>
    <s v="95081008322"/>
    <n v="70"/>
    <n v="64"/>
    <x v="0"/>
  </r>
  <r>
    <s v="A"/>
    <s v="95081802841"/>
    <n v="58"/>
    <n v="54"/>
    <x v="0"/>
  </r>
  <r>
    <s v="A"/>
    <s v="95082400949"/>
    <n v="76"/>
    <n v="50"/>
    <x v="0"/>
  </r>
  <r>
    <s v="A"/>
    <s v="95082502641"/>
    <n v="50"/>
    <n v="33"/>
    <x v="0"/>
  </r>
  <r>
    <s v="A"/>
    <s v="95090501360"/>
    <n v="62"/>
    <n v="76"/>
    <x v="0"/>
  </r>
  <r>
    <s v="A"/>
    <s v="95091604864"/>
    <n v="72"/>
    <n v="84"/>
    <x v="0"/>
  </r>
  <r>
    <s v="A"/>
    <s v="95110304166"/>
    <n v="80"/>
    <n v="74"/>
    <x v="0"/>
  </r>
  <r>
    <s v="A"/>
    <s v="95110400947"/>
    <n v="86"/>
    <n v="64"/>
    <x v="0"/>
  </r>
  <r>
    <s v="A"/>
    <s v="95111004447"/>
    <n v="82"/>
    <n v="60"/>
    <x v="0"/>
  </r>
  <r>
    <s v="A"/>
    <s v="95112301543"/>
    <n v="80"/>
    <n v="63"/>
    <x v="0"/>
  </r>
  <r>
    <s v="A"/>
    <s v="95120101108"/>
    <n v="92"/>
    <n v="76"/>
    <x v="0"/>
  </r>
  <r>
    <s v="A"/>
    <s v="95120600768"/>
    <n v="94"/>
    <n v="66"/>
    <x v="0"/>
  </r>
  <r>
    <s v="A"/>
    <s v="95120903939"/>
    <n v="86"/>
    <n v="63"/>
    <x v="1"/>
  </r>
  <r>
    <s v="A"/>
    <s v="95122401008"/>
    <n v="82"/>
    <n v="79"/>
    <x v="0"/>
  </r>
  <r>
    <s v="B"/>
    <s v="95011505013"/>
    <n v="46"/>
    <n v="60"/>
    <x v="1"/>
  </r>
  <r>
    <s v="B"/>
    <s v="95012403389"/>
    <n v="50"/>
    <n v="40"/>
    <x v="0"/>
  </r>
  <r>
    <s v="B"/>
    <s v="95020804428"/>
    <n v="88"/>
    <n v="57"/>
    <x v="0"/>
  </r>
  <r>
    <s v="B"/>
    <s v="95021807901"/>
    <n v="70"/>
    <n v="56"/>
    <x v="0"/>
  </r>
  <r>
    <s v="B"/>
    <s v="95022105039"/>
    <n v="86"/>
    <n v="53"/>
    <x v="1"/>
  </r>
  <r>
    <s v="B"/>
    <s v="95031012300"/>
    <n v="34"/>
    <n v="30"/>
    <x v="0"/>
  </r>
  <r>
    <s v="B"/>
    <s v="95032101746"/>
    <n v="68"/>
    <n v="70"/>
    <x v="0"/>
  </r>
  <r>
    <s v="B"/>
    <s v="95032204296"/>
    <n v="56"/>
    <n v="79"/>
    <x v="1"/>
  </r>
  <r>
    <s v="B"/>
    <s v="95042205755"/>
    <n v="40"/>
    <n v="80"/>
    <x v="1"/>
  </r>
  <r>
    <s v="B"/>
    <s v="95050205185"/>
    <n v="50"/>
    <n v="54"/>
    <x v="0"/>
  </r>
  <r>
    <s v="B"/>
    <s v="95050904503"/>
    <n v="70"/>
    <n v="63"/>
    <x v="0"/>
  </r>
  <r>
    <s v="B"/>
    <s v="95051201982"/>
    <n v="64"/>
    <n v="63"/>
    <x v="0"/>
  </r>
  <r>
    <s v="B"/>
    <s v="95052501302"/>
    <n v="68"/>
    <n v="51"/>
    <x v="0"/>
  </r>
  <r>
    <s v="B"/>
    <s v="95060201793"/>
    <n v="52"/>
    <n v="56"/>
    <x v="1"/>
  </r>
  <r>
    <s v="B"/>
    <s v="95062400343"/>
    <n v="58"/>
    <n v="51"/>
    <x v="0"/>
  </r>
  <r>
    <s v="B"/>
    <s v="95070400070"/>
    <n v="72"/>
    <n v="41"/>
    <x v="1"/>
  </r>
  <r>
    <s v="B"/>
    <s v="95080101408"/>
    <n v="56"/>
    <n v="60"/>
    <x v="0"/>
  </r>
  <r>
    <s v="B"/>
    <s v="95080902016"/>
    <n v="44"/>
    <n v="66"/>
    <x v="1"/>
  </r>
  <r>
    <s v="B"/>
    <s v="95081001141"/>
    <n v="32"/>
    <n v="51"/>
    <x v="0"/>
  </r>
  <r>
    <s v="B"/>
    <s v="95081600739"/>
    <n v="66"/>
    <n v="34"/>
    <x v="1"/>
  </r>
  <r>
    <s v="B"/>
    <s v="95083106189"/>
    <n v="64"/>
    <n v="56"/>
    <x v="0"/>
  </r>
  <r>
    <s v="B"/>
    <s v="95092111585"/>
    <n v="72"/>
    <n v="60"/>
    <x v="0"/>
  </r>
  <r>
    <s v="B"/>
    <s v="95092712281"/>
    <n v="52"/>
    <n v="46"/>
    <x v="0"/>
  </r>
  <r>
    <s v="B"/>
    <s v="95100600025"/>
    <n v="50"/>
    <n v="43"/>
    <x v="0"/>
  </r>
  <r>
    <s v="B"/>
    <s v="95100606458"/>
    <n v="58"/>
    <n v="59"/>
    <x v="1"/>
  </r>
  <r>
    <s v="B"/>
    <s v="95100700282"/>
    <n v="78"/>
    <n v="66"/>
    <x v="0"/>
  </r>
  <r>
    <s v="B"/>
    <s v="95101000947"/>
    <n v="72"/>
    <n v="69"/>
    <x v="0"/>
  </r>
  <r>
    <s v="B"/>
    <s v="95110605809"/>
    <n v="70"/>
    <n v="53"/>
    <x v="0"/>
  </r>
  <r>
    <s v="B"/>
    <s v="95110704362"/>
    <n v="60"/>
    <n v="47"/>
    <x v="0"/>
  </r>
  <r>
    <s v="B"/>
    <s v="95111800425"/>
    <n v="66"/>
    <n v="66"/>
    <x v="0"/>
  </r>
  <r>
    <s v="B"/>
    <s v="95112902461"/>
    <n v="76"/>
    <n v="44"/>
    <x v="0"/>
  </r>
  <r>
    <s v="C"/>
    <s v="94120209724"/>
    <n v="76"/>
    <n v="49"/>
    <x v="0"/>
  </r>
  <r>
    <s v="C"/>
    <s v="95011303864"/>
    <n v="76"/>
    <n v="36"/>
    <x v="0"/>
  </r>
  <r>
    <s v="C"/>
    <s v="95012701920"/>
    <n v="66"/>
    <n v="54"/>
    <x v="0"/>
  </r>
  <r>
    <s v="C"/>
    <s v="95012707551"/>
    <n v="72"/>
    <n v="49"/>
    <x v="1"/>
  </r>
  <r>
    <s v="C"/>
    <s v="95021105139"/>
    <n v="94"/>
    <n v="71"/>
    <x v="1"/>
  </r>
  <r>
    <s v="C"/>
    <s v="95021201255"/>
    <n v="52"/>
    <n v="34"/>
    <x v="1"/>
  </r>
  <r>
    <s v="C"/>
    <s v="95021303223"/>
    <n v="70"/>
    <n v="63"/>
    <x v="0"/>
  </r>
  <r>
    <s v="C"/>
    <s v="95030407844"/>
    <n v="88"/>
    <n v="64"/>
    <x v="0"/>
  </r>
  <r>
    <s v="C"/>
    <s v="95040309147"/>
    <n v="48"/>
    <n v="49"/>
    <x v="0"/>
  </r>
  <r>
    <s v="C"/>
    <s v="95040502267"/>
    <n v="72"/>
    <n v="57"/>
    <x v="0"/>
  </r>
  <r>
    <s v="C"/>
    <s v="95040601874"/>
    <n v="78"/>
    <n v="63"/>
    <x v="1"/>
  </r>
  <r>
    <s v="C"/>
    <s v="95062703248"/>
    <n v="64"/>
    <n v="63"/>
    <x v="0"/>
  </r>
  <r>
    <s v="C"/>
    <s v="95062704850"/>
    <n v="52"/>
    <n v="51"/>
    <x v="1"/>
  </r>
  <r>
    <s v="C"/>
    <s v="95070400629"/>
    <n v="68"/>
    <n v="47"/>
    <x v="0"/>
  </r>
  <r>
    <s v="C"/>
    <s v="95070600715"/>
    <n v="82"/>
    <n v="53"/>
    <x v="1"/>
  </r>
  <r>
    <s v="C"/>
    <s v="95071306764"/>
    <n v="88"/>
    <n v="59"/>
    <x v="0"/>
  </r>
  <r>
    <s v="C"/>
    <s v="95071307406"/>
    <n v="76"/>
    <n v="66"/>
    <x v="0"/>
  </r>
  <r>
    <s v="C"/>
    <s v="95072805323"/>
    <n v="86"/>
    <n v="63"/>
    <x v="0"/>
  </r>
  <r>
    <s v="C"/>
    <s v="95072901340"/>
    <n v="100"/>
    <n v="76"/>
    <x v="0"/>
  </r>
  <r>
    <s v="C"/>
    <s v="95072901364"/>
    <n v="74"/>
    <n v="54"/>
    <x v="0"/>
  </r>
  <r>
    <s v="C"/>
    <s v="95082206507"/>
    <n v="96"/>
    <n v="91"/>
    <x v="0"/>
  </r>
  <r>
    <s v="C"/>
    <s v="95091103271"/>
    <n v="76"/>
    <n v="54"/>
    <x v="1"/>
  </r>
  <r>
    <s v="C"/>
    <s v="95092301371"/>
    <n v="88"/>
    <n v="77"/>
    <x v="1"/>
  </r>
  <r>
    <s v="C"/>
    <s v="95100703063"/>
    <n v="100"/>
    <n v="50"/>
    <x v="0"/>
  </r>
  <r>
    <s v="C"/>
    <s v="95102509322"/>
    <n v="78"/>
    <n v="60"/>
    <x v="0"/>
  </r>
  <r>
    <s v="C"/>
    <s v="95121002200"/>
    <n v="86"/>
    <n v="63"/>
    <x v="0"/>
  </r>
  <r>
    <s v="C"/>
    <s v="96010806327"/>
    <n v="68"/>
    <n v="71"/>
    <x v="0"/>
  </r>
  <r>
    <s v="E"/>
    <s v="95010400678"/>
    <n v="90"/>
    <n v="59"/>
    <x v="1"/>
  </r>
  <r>
    <s v="E"/>
    <s v="95012402890"/>
    <n v="90"/>
    <n v="64"/>
    <x v="1"/>
  </r>
  <r>
    <s v="E"/>
    <s v="95012801194"/>
    <n v="100"/>
    <n v="80"/>
    <x v="1"/>
  </r>
  <r>
    <s v="E"/>
    <s v="95012904927"/>
    <n v="86"/>
    <n v="84"/>
    <x v="0"/>
  </r>
  <r>
    <s v="E"/>
    <s v="95020904777"/>
    <n v="82"/>
    <n v="60"/>
    <x v="1"/>
  </r>
  <r>
    <s v="E"/>
    <s v="95021601338"/>
    <n v="98"/>
    <n v="73"/>
    <x v="1"/>
  </r>
  <r>
    <s v="E"/>
    <s v="95032801943"/>
    <n v="94"/>
    <n v="76"/>
    <x v="0"/>
  </r>
  <r>
    <s v="E"/>
    <s v="95032801950"/>
    <n v="72"/>
    <n v="54"/>
    <x v="1"/>
  </r>
  <r>
    <s v="E"/>
    <s v="95040804338"/>
    <n v="86"/>
    <n v="53"/>
    <x v="1"/>
  </r>
  <r>
    <s v="E"/>
    <s v="95050803734"/>
    <n v="84"/>
    <n v="56"/>
    <x v="1"/>
  </r>
  <r>
    <s v="E"/>
    <s v="95052200645"/>
    <n v="94"/>
    <n v="77"/>
    <x v="0"/>
  </r>
  <r>
    <s v="E"/>
    <s v="95052901713"/>
    <n v="78"/>
    <n v="30"/>
    <x v="1"/>
  </r>
  <r>
    <s v="E"/>
    <s v="95060303600"/>
    <n v="80"/>
    <n v="74"/>
    <x v="0"/>
  </r>
  <r>
    <s v="E"/>
    <s v="95060705327"/>
    <n v="64"/>
    <n v="54"/>
    <x v="0"/>
  </r>
  <r>
    <s v="E"/>
    <s v="95060913018"/>
    <n v="100"/>
    <n v="64"/>
    <x v="1"/>
  </r>
  <r>
    <s v="E"/>
    <s v="95072510054"/>
    <n v="92"/>
    <n v="74"/>
    <x v="1"/>
  </r>
  <r>
    <s v="E"/>
    <s v="95080407818"/>
    <n v="94"/>
    <n v="59"/>
    <x v="1"/>
  </r>
  <r>
    <s v="E"/>
    <s v="95080805098"/>
    <n v="88"/>
    <n v="51"/>
    <x v="1"/>
  </r>
  <r>
    <s v="E"/>
    <s v="95081600791"/>
    <n v="100"/>
    <n v="51"/>
    <x v="1"/>
  </r>
  <r>
    <s v="E"/>
    <s v="95082906797"/>
    <n v="92"/>
    <n v="63"/>
    <x v="1"/>
  </r>
  <r>
    <s v="E"/>
    <s v="95083100398"/>
    <n v="98"/>
    <n v="63"/>
    <x v="1"/>
  </r>
  <r>
    <s v="E"/>
    <s v="95091803737"/>
    <n v="96"/>
    <n v="66"/>
    <x v="1"/>
  </r>
  <r>
    <s v="E"/>
    <s v="95100400649"/>
    <n v="94"/>
    <n v="57"/>
    <x v="0"/>
  </r>
  <r>
    <s v="E"/>
    <s v="95101104184"/>
    <n v="94"/>
    <n v="63"/>
    <x v="0"/>
  </r>
  <r>
    <s v="E"/>
    <s v="95101303842"/>
    <n v="100"/>
    <n v="70"/>
    <x v="0"/>
  </r>
  <r>
    <s v="E"/>
    <s v="95101902775"/>
    <n v="94"/>
    <n v="57"/>
    <x v="1"/>
  </r>
  <r>
    <s v="E"/>
    <s v="95102002757"/>
    <n v="98"/>
    <n v="90"/>
    <x v="1"/>
  </r>
  <r>
    <s v="E"/>
    <s v="95102301894"/>
    <n v="90"/>
    <n v="74"/>
    <x v="1"/>
  </r>
  <r>
    <s v="E"/>
    <s v="95112306692"/>
    <n v="92"/>
    <n v="70"/>
    <x v="1"/>
  </r>
  <r>
    <s v="E"/>
    <s v="95112702337"/>
    <n v="96"/>
    <n v="67"/>
    <x v="1"/>
  </r>
  <r>
    <s v="E"/>
    <s v="95122110962"/>
    <n v="94"/>
    <n v="81"/>
    <x v="0"/>
  </r>
  <r>
    <s v="E"/>
    <s v="95123001771"/>
    <n v="82"/>
    <n v="73"/>
    <x v="1"/>
  </r>
  <r>
    <s v="E"/>
    <s v="96011200502"/>
    <n v="98"/>
    <n v="59"/>
    <x v="0"/>
  </r>
  <r>
    <s v="H"/>
    <s v="94011110436"/>
    <n v="58"/>
    <n v="69"/>
    <x v="1"/>
  </r>
  <r>
    <s v="H"/>
    <s v="94013113642"/>
    <n v="68"/>
    <n v="69"/>
    <x v="0"/>
  </r>
  <r>
    <s v="H"/>
    <s v="94020211283"/>
    <n v="50"/>
    <n v="81"/>
    <x v="0"/>
  </r>
  <r>
    <s v="H"/>
    <s v="94021306625"/>
    <n v="58"/>
    <n v="76"/>
    <x v="0"/>
  </r>
  <r>
    <s v="H"/>
    <s v="94030804224"/>
    <n v="82"/>
    <n v="73"/>
    <x v="0"/>
  </r>
  <r>
    <s v="H"/>
    <s v="94031410644"/>
    <n v="74"/>
    <n v="61"/>
    <x v="0"/>
  </r>
  <r>
    <s v="H"/>
    <s v="94040607118"/>
    <n v="64"/>
    <n v="74"/>
    <x v="1"/>
  </r>
  <r>
    <s v="H"/>
    <s v="94042912726"/>
    <n v="56"/>
    <n v="54"/>
    <x v="0"/>
  </r>
  <r>
    <s v="H"/>
    <s v="94060604247"/>
    <n v="56"/>
    <n v="67"/>
    <x v="0"/>
  </r>
  <r>
    <s v="H"/>
    <s v="94062703166"/>
    <n v="54"/>
    <n v="60"/>
    <x v="0"/>
  </r>
  <r>
    <s v="H"/>
    <s v="94063002080"/>
    <n v="100"/>
    <n v="73"/>
    <x v="0"/>
  </r>
  <r>
    <s v="H"/>
    <s v="94081102166"/>
    <n v="56"/>
    <n v="81"/>
    <x v="0"/>
  </r>
  <r>
    <s v="H"/>
    <s v="94082703588"/>
    <n v="78"/>
    <n v="90"/>
    <x v="0"/>
  </r>
  <r>
    <s v="H"/>
    <s v="94082901146"/>
    <n v="78"/>
    <n v="79"/>
    <x v="0"/>
  </r>
  <r>
    <s v="H"/>
    <s v="94082905447"/>
    <n v="44"/>
    <n v="69"/>
    <x v="0"/>
  </r>
  <r>
    <s v="H"/>
    <s v="94083000868"/>
    <n v="40"/>
    <n v="76"/>
    <x v="0"/>
  </r>
  <r>
    <s v="H"/>
    <s v="94090909307"/>
    <n v="64"/>
    <n v="79"/>
    <x v="0"/>
  </r>
  <r>
    <s v="H"/>
    <s v="94091301085"/>
    <n v="40"/>
    <n v="37"/>
    <x v="0"/>
  </r>
  <r>
    <s v="H"/>
    <s v="94092207960"/>
    <n v="56"/>
    <n v="57"/>
    <x v="0"/>
  </r>
  <r>
    <s v="H"/>
    <s v="94100706007"/>
    <n v="66"/>
    <n v="56"/>
    <x v="0"/>
  </r>
  <r>
    <s v="H"/>
    <s v="94102604723"/>
    <n v="68"/>
    <n v="50"/>
    <x v="0"/>
  </r>
  <r>
    <s v="H"/>
    <s v="94103100907"/>
    <n v="58"/>
    <n v="43"/>
    <x v="0"/>
  </r>
  <r>
    <s v="H"/>
    <s v="94110205866"/>
    <n v="96"/>
    <n v="80"/>
    <x v="0"/>
  </r>
  <r>
    <s v="H"/>
    <s v="94121203482"/>
    <n v="38"/>
    <n v="47"/>
    <x v="0"/>
  </r>
  <r>
    <s v="H"/>
    <s v="94121709025"/>
    <n v="62"/>
    <n v="71"/>
    <x v="0"/>
  </r>
  <r>
    <s v="H"/>
    <s v="95011300625"/>
    <n v="58"/>
    <n v="41"/>
    <x v="0"/>
  </r>
  <r>
    <s v="H"/>
    <s v="95032804489"/>
    <n v="62"/>
    <n v="59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x v="0"/>
    <s v="95010405222"/>
    <n v="52"/>
    <m/>
    <m/>
    <m/>
    <m/>
    <m/>
    <n v="91"/>
    <n v="88"/>
    <m/>
    <m/>
    <m/>
    <m/>
    <m/>
    <x v="0"/>
    <x v="0"/>
  </r>
  <r>
    <x v="0"/>
    <s v="95011310048"/>
    <n v="33"/>
    <n v="52"/>
    <m/>
    <m/>
    <m/>
    <m/>
    <m/>
    <m/>
    <m/>
    <m/>
    <m/>
    <m/>
    <m/>
    <x v="0"/>
    <x v="1"/>
  </r>
  <r>
    <x v="0"/>
    <s v="95012311345"/>
    <n v="70"/>
    <n v="58"/>
    <m/>
    <m/>
    <m/>
    <m/>
    <m/>
    <m/>
    <m/>
    <m/>
    <m/>
    <m/>
    <m/>
    <x v="0"/>
    <x v="1"/>
  </r>
  <r>
    <x v="0"/>
    <s v="95030607404"/>
    <n v="90"/>
    <n v="78"/>
    <m/>
    <m/>
    <m/>
    <m/>
    <n v="68"/>
    <m/>
    <m/>
    <m/>
    <m/>
    <m/>
    <m/>
    <x v="0"/>
    <x v="0"/>
  </r>
  <r>
    <x v="0"/>
    <s v="95031506511"/>
    <n v="62"/>
    <n v="62"/>
    <m/>
    <m/>
    <m/>
    <m/>
    <m/>
    <m/>
    <m/>
    <m/>
    <m/>
    <m/>
    <m/>
    <x v="1"/>
    <x v="1"/>
  </r>
  <r>
    <x v="0"/>
    <s v="95031714219"/>
    <n v="65"/>
    <n v="65"/>
    <m/>
    <m/>
    <m/>
    <m/>
    <m/>
    <m/>
    <m/>
    <m/>
    <m/>
    <m/>
    <m/>
    <x v="1"/>
    <x v="1"/>
  </r>
  <r>
    <x v="0"/>
    <s v="95032402083"/>
    <m/>
    <n v="58"/>
    <m/>
    <m/>
    <m/>
    <m/>
    <n v="61"/>
    <m/>
    <m/>
    <m/>
    <n v="34"/>
    <m/>
    <m/>
    <x v="0"/>
    <x v="0"/>
  </r>
  <r>
    <x v="0"/>
    <s v="95032701960"/>
    <n v="77"/>
    <n v="85"/>
    <m/>
    <m/>
    <m/>
    <m/>
    <m/>
    <m/>
    <m/>
    <m/>
    <m/>
    <m/>
    <m/>
    <x v="0"/>
    <x v="1"/>
  </r>
  <r>
    <x v="0"/>
    <s v="95040412034"/>
    <n v="93"/>
    <n v="67"/>
    <m/>
    <m/>
    <m/>
    <m/>
    <m/>
    <m/>
    <m/>
    <m/>
    <m/>
    <m/>
    <m/>
    <x v="1"/>
    <x v="1"/>
  </r>
  <r>
    <x v="0"/>
    <s v="95040908766"/>
    <n v="57"/>
    <n v="47"/>
    <m/>
    <m/>
    <m/>
    <m/>
    <m/>
    <m/>
    <m/>
    <m/>
    <m/>
    <m/>
    <m/>
    <x v="0"/>
    <x v="1"/>
  </r>
  <r>
    <x v="0"/>
    <s v="95041309368"/>
    <n v="60"/>
    <m/>
    <m/>
    <m/>
    <m/>
    <m/>
    <n v="89"/>
    <m/>
    <m/>
    <m/>
    <m/>
    <m/>
    <m/>
    <x v="0"/>
    <x v="1"/>
  </r>
  <r>
    <x v="0"/>
    <s v="95052600643"/>
    <m/>
    <m/>
    <m/>
    <n v="90"/>
    <m/>
    <m/>
    <n v="100"/>
    <m/>
    <m/>
    <m/>
    <n v="86"/>
    <m/>
    <m/>
    <x v="0"/>
    <x v="0"/>
  </r>
  <r>
    <x v="0"/>
    <s v="95061500402"/>
    <n v="95"/>
    <n v="88"/>
    <m/>
    <m/>
    <m/>
    <m/>
    <m/>
    <m/>
    <m/>
    <m/>
    <m/>
    <m/>
    <m/>
    <x v="0"/>
    <x v="1"/>
  </r>
  <r>
    <x v="0"/>
    <s v="95061702842"/>
    <n v="75"/>
    <n v="67"/>
    <m/>
    <m/>
    <m/>
    <m/>
    <m/>
    <m/>
    <m/>
    <m/>
    <m/>
    <m/>
    <m/>
    <x v="0"/>
    <x v="1"/>
  </r>
  <r>
    <x v="0"/>
    <s v="95062301712"/>
    <n v="85"/>
    <n v="83"/>
    <n v="48"/>
    <m/>
    <m/>
    <m/>
    <m/>
    <m/>
    <m/>
    <m/>
    <m/>
    <m/>
    <m/>
    <x v="1"/>
    <x v="0"/>
  </r>
  <r>
    <x v="0"/>
    <s v="95071508265"/>
    <n v="62"/>
    <n v="48"/>
    <m/>
    <m/>
    <m/>
    <m/>
    <m/>
    <m/>
    <m/>
    <m/>
    <m/>
    <m/>
    <m/>
    <x v="0"/>
    <x v="1"/>
  </r>
  <r>
    <x v="0"/>
    <s v="95071807500"/>
    <n v="68"/>
    <n v="62"/>
    <m/>
    <m/>
    <m/>
    <m/>
    <n v="93"/>
    <m/>
    <m/>
    <m/>
    <m/>
    <m/>
    <m/>
    <x v="0"/>
    <x v="0"/>
  </r>
  <r>
    <x v="0"/>
    <s v="95072900844"/>
    <n v="55"/>
    <n v="62"/>
    <m/>
    <m/>
    <m/>
    <m/>
    <n v="86"/>
    <m/>
    <m/>
    <m/>
    <m/>
    <m/>
    <m/>
    <x v="0"/>
    <x v="0"/>
  </r>
  <r>
    <x v="0"/>
    <s v="95073111506"/>
    <n v="68"/>
    <n v="45"/>
    <m/>
    <m/>
    <m/>
    <m/>
    <m/>
    <m/>
    <m/>
    <m/>
    <m/>
    <m/>
    <m/>
    <x v="0"/>
    <x v="1"/>
  </r>
  <r>
    <x v="0"/>
    <s v="95080409087"/>
    <n v="78"/>
    <m/>
    <m/>
    <m/>
    <m/>
    <m/>
    <n v="77"/>
    <m/>
    <m/>
    <m/>
    <m/>
    <m/>
    <m/>
    <x v="0"/>
    <x v="1"/>
  </r>
  <r>
    <x v="0"/>
    <s v="95081008322"/>
    <n v="72"/>
    <n v="68"/>
    <m/>
    <m/>
    <m/>
    <m/>
    <m/>
    <m/>
    <m/>
    <m/>
    <m/>
    <m/>
    <m/>
    <x v="0"/>
    <x v="1"/>
  </r>
  <r>
    <x v="0"/>
    <s v="95081802841"/>
    <n v="55"/>
    <n v="50"/>
    <m/>
    <m/>
    <m/>
    <m/>
    <m/>
    <m/>
    <m/>
    <m/>
    <m/>
    <m/>
    <m/>
    <x v="0"/>
    <x v="1"/>
  </r>
  <r>
    <x v="0"/>
    <s v="95082400949"/>
    <n v="67"/>
    <n v="60"/>
    <m/>
    <m/>
    <m/>
    <m/>
    <m/>
    <m/>
    <m/>
    <m/>
    <m/>
    <m/>
    <m/>
    <x v="0"/>
    <x v="1"/>
  </r>
  <r>
    <x v="0"/>
    <s v="95082502641"/>
    <n v="45"/>
    <n v="30"/>
    <m/>
    <m/>
    <m/>
    <m/>
    <m/>
    <m/>
    <m/>
    <m/>
    <m/>
    <m/>
    <m/>
    <x v="0"/>
    <x v="1"/>
  </r>
  <r>
    <x v="0"/>
    <s v="95090501360"/>
    <n v="83"/>
    <n v="50"/>
    <m/>
    <m/>
    <m/>
    <m/>
    <n v="83"/>
    <m/>
    <m/>
    <m/>
    <m/>
    <m/>
    <m/>
    <x v="0"/>
    <x v="0"/>
  </r>
  <r>
    <x v="0"/>
    <s v="95091604864"/>
    <n v="80"/>
    <m/>
    <m/>
    <m/>
    <m/>
    <m/>
    <n v="83"/>
    <m/>
    <m/>
    <m/>
    <m/>
    <m/>
    <m/>
    <x v="0"/>
    <x v="1"/>
  </r>
  <r>
    <x v="0"/>
    <s v="95110304166"/>
    <n v="70"/>
    <n v="60"/>
    <m/>
    <m/>
    <m/>
    <m/>
    <m/>
    <m/>
    <m/>
    <m/>
    <m/>
    <m/>
    <m/>
    <x v="0"/>
    <x v="1"/>
  </r>
  <r>
    <x v="0"/>
    <s v="95110400947"/>
    <m/>
    <m/>
    <n v="55"/>
    <m/>
    <m/>
    <m/>
    <n v="86"/>
    <m/>
    <m/>
    <m/>
    <m/>
    <m/>
    <m/>
    <x v="0"/>
    <x v="1"/>
  </r>
  <r>
    <x v="0"/>
    <s v="95111004447"/>
    <n v="73"/>
    <n v="78"/>
    <m/>
    <m/>
    <m/>
    <m/>
    <m/>
    <m/>
    <m/>
    <m/>
    <m/>
    <m/>
    <m/>
    <x v="0"/>
    <x v="1"/>
  </r>
  <r>
    <x v="0"/>
    <s v="95112301543"/>
    <n v="80"/>
    <n v="60"/>
    <m/>
    <m/>
    <m/>
    <m/>
    <n v="67"/>
    <m/>
    <m/>
    <m/>
    <m/>
    <m/>
    <m/>
    <x v="0"/>
    <x v="0"/>
  </r>
  <r>
    <x v="0"/>
    <s v="95120101108"/>
    <n v="93"/>
    <n v="88"/>
    <m/>
    <m/>
    <m/>
    <m/>
    <n v="76"/>
    <m/>
    <m/>
    <m/>
    <m/>
    <m/>
    <m/>
    <x v="0"/>
    <x v="0"/>
  </r>
  <r>
    <x v="0"/>
    <s v="95120600768"/>
    <n v="85"/>
    <n v="93"/>
    <n v="82"/>
    <m/>
    <m/>
    <m/>
    <m/>
    <m/>
    <m/>
    <m/>
    <n v="74"/>
    <m/>
    <m/>
    <x v="0"/>
    <x v="2"/>
  </r>
  <r>
    <x v="0"/>
    <s v="95120903939"/>
    <n v="90"/>
    <n v="82"/>
    <m/>
    <m/>
    <m/>
    <m/>
    <m/>
    <m/>
    <m/>
    <m/>
    <m/>
    <m/>
    <m/>
    <x v="1"/>
    <x v="1"/>
  </r>
  <r>
    <x v="0"/>
    <s v="95122401008"/>
    <n v="87"/>
    <m/>
    <m/>
    <m/>
    <m/>
    <m/>
    <m/>
    <m/>
    <m/>
    <m/>
    <m/>
    <n v="73"/>
    <n v="64"/>
    <x v="0"/>
    <x v="0"/>
  </r>
  <r>
    <x v="1"/>
    <s v="95011505013"/>
    <m/>
    <m/>
    <m/>
    <m/>
    <m/>
    <m/>
    <n v="60"/>
    <m/>
    <m/>
    <m/>
    <m/>
    <n v="75"/>
    <m/>
    <x v="1"/>
    <x v="1"/>
  </r>
  <r>
    <x v="1"/>
    <s v="95012403389"/>
    <m/>
    <m/>
    <m/>
    <m/>
    <m/>
    <m/>
    <n v="87"/>
    <m/>
    <m/>
    <m/>
    <m/>
    <n v="70"/>
    <n v="44"/>
    <x v="0"/>
    <x v="0"/>
  </r>
  <r>
    <x v="1"/>
    <s v="95020804428"/>
    <m/>
    <m/>
    <m/>
    <m/>
    <n v="92"/>
    <m/>
    <n v="81"/>
    <m/>
    <m/>
    <m/>
    <m/>
    <n v="70"/>
    <m/>
    <x v="0"/>
    <x v="0"/>
  </r>
  <r>
    <x v="1"/>
    <s v="95021807901"/>
    <m/>
    <m/>
    <m/>
    <m/>
    <n v="86"/>
    <m/>
    <n v="90"/>
    <m/>
    <m/>
    <m/>
    <m/>
    <n v="68"/>
    <n v="78"/>
    <x v="0"/>
    <x v="2"/>
  </r>
  <r>
    <x v="1"/>
    <s v="95022105039"/>
    <m/>
    <m/>
    <m/>
    <m/>
    <n v="90"/>
    <m/>
    <n v="93"/>
    <m/>
    <m/>
    <m/>
    <n v="36"/>
    <n v="73"/>
    <n v="100"/>
    <x v="1"/>
    <x v="3"/>
  </r>
  <r>
    <x v="1"/>
    <s v="95031012300"/>
    <m/>
    <m/>
    <m/>
    <m/>
    <m/>
    <m/>
    <n v="44"/>
    <m/>
    <m/>
    <m/>
    <m/>
    <n v="53"/>
    <n v="34"/>
    <x v="0"/>
    <x v="0"/>
  </r>
  <r>
    <x v="1"/>
    <s v="95032101746"/>
    <m/>
    <m/>
    <m/>
    <m/>
    <n v="88"/>
    <m/>
    <n v="95"/>
    <m/>
    <m/>
    <n v="69"/>
    <m/>
    <n v="80"/>
    <n v="72"/>
    <x v="0"/>
    <x v="3"/>
  </r>
  <r>
    <x v="1"/>
    <s v="95032204296"/>
    <m/>
    <m/>
    <m/>
    <m/>
    <n v="92"/>
    <m/>
    <n v="95"/>
    <m/>
    <m/>
    <m/>
    <m/>
    <n v="55"/>
    <n v="72"/>
    <x v="1"/>
    <x v="2"/>
  </r>
  <r>
    <x v="1"/>
    <s v="95042205755"/>
    <m/>
    <m/>
    <m/>
    <m/>
    <n v="94"/>
    <m/>
    <n v="67"/>
    <m/>
    <m/>
    <m/>
    <m/>
    <n v="60"/>
    <m/>
    <x v="1"/>
    <x v="0"/>
  </r>
  <r>
    <x v="1"/>
    <s v="95050205185"/>
    <m/>
    <m/>
    <m/>
    <m/>
    <n v="66"/>
    <m/>
    <n v="67"/>
    <m/>
    <m/>
    <m/>
    <m/>
    <n v="80"/>
    <n v="68"/>
    <x v="0"/>
    <x v="2"/>
  </r>
  <r>
    <x v="1"/>
    <s v="95050904503"/>
    <m/>
    <m/>
    <m/>
    <m/>
    <m/>
    <m/>
    <n v="92"/>
    <m/>
    <m/>
    <m/>
    <m/>
    <n v="45"/>
    <m/>
    <x v="0"/>
    <x v="1"/>
  </r>
  <r>
    <x v="1"/>
    <s v="95051201982"/>
    <m/>
    <m/>
    <m/>
    <m/>
    <m/>
    <m/>
    <n v="63"/>
    <m/>
    <m/>
    <m/>
    <m/>
    <n v="58"/>
    <n v="48"/>
    <x v="0"/>
    <x v="0"/>
  </r>
  <r>
    <x v="1"/>
    <s v="95052501302"/>
    <m/>
    <m/>
    <m/>
    <m/>
    <m/>
    <m/>
    <n v="69"/>
    <m/>
    <m/>
    <m/>
    <m/>
    <n v="70"/>
    <n v="38"/>
    <x v="0"/>
    <x v="0"/>
  </r>
  <r>
    <x v="1"/>
    <s v="95060201793"/>
    <n v="73"/>
    <n v="65"/>
    <m/>
    <m/>
    <m/>
    <m/>
    <m/>
    <m/>
    <m/>
    <m/>
    <m/>
    <m/>
    <m/>
    <x v="1"/>
    <x v="1"/>
  </r>
  <r>
    <x v="1"/>
    <s v="95062400343"/>
    <n v="50"/>
    <n v="47"/>
    <m/>
    <m/>
    <m/>
    <m/>
    <m/>
    <m/>
    <m/>
    <m/>
    <m/>
    <m/>
    <m/>
    <x v="0"/>
    <x v="1"/>
  </r>
  <r>
    <x v="1"/>
    <s v="95070400070"/>
    <m/>
    <m/>
    <m/>
    <m/>
    <n v="92"/>
    <m/>
    <n v="59"/>
    <m/>
    <m/>
    <m/>
    <m/>
    <n v="60"/>
    <n v="68"/>
    <x v="1"/>
    <x v="2"/>
  </r>
  <r>
    <x v="1"/>
    <s v="95080101408"/>
    <n v="73"/>
    <m/>
    <m/>
    <m/>
    <m/>
    <m/>
    <n v="74"/>
    <m/>
    <m/>
    <m/>
    <m/>
    <n v="73"/>
    <m/>
    <x v="0"/>
    <x v="0"/>
  </r>
  <r>
    <x v="1"/>
    <s v="95080902016"/>
    <m/>
    <m/>
    <m/>
    <m/>
    <n v="80"/>
    <m/>
    <n v="83"/>
    <m/>
    <m/>
    <m/>
    <m/>
    <n v="63"/>
    <m/>
    <x v="1"/>
    <x v="0"/>
  </r>
  <r>
    <x v="1"/>
    <s v="95081001141"/>
    <n v="35"/>
    <m/>
    <m/>
    <m/>
    <m/>
    <m/>
    <n v="84"/>
    <m/>
    <m/>
    <m/>
    <m/>
    <n v="63"/>
    <m/>
    <x v="0"/>
    <x v="0"/>
  </r>
  <r>
    <x v="1"/>
    <s v="95081600739"/>
    <m/>
    <m/>
    <m/>
    <n v="47"/>
    <m/>
    <m/>
    <n v="60"/>
    <m/>
    <m/>
    <m/>
    <m/>
    <n v="58"/>
    <n v="58"/>
    <x v="1"/>
    <x v="2"/>
  </r>
  <r>
    <x v="1"/>
    <s v="95083106189"/>
    <m/>
    <m/>
    <m/>
    <m/>
    <n v="42"/>
    <m/>
    <m/>
    <m/>
    <m/>
    <m/>
    <m/>
    <n v="75"/>
    <m/>
    <x v="0"/>
    <x v="1"/>
  </r>
  <r>
    <x v="1"/>
    <s v="95092111585"/>
    <m/>
    <m/>
    <m/>
    <m/>
    <n v="76"/>
    <m/>
    <n v="78"/>
    <m/>
    <m/>
    <m/>
    <m/>
    <n v="80"/>
    <m/>
    <x v="0"/>
    <x v="0"/>
  </r>
  <r>
    <x v="1"/>
    <s v="95092712281"/>
    <m/>
    <m/>
    <m/>
    <m/>
    <n v="80"/>
    <m/>
    <n v="34"/>
    <m/>
    <m/>
    <m/>
    <m/>
    <n v="80"/>
    <n v="62"/>
    <x v="0"/>
    <x v="2"/>
  </r>
  <r>
    <x v="1"/>
    <s v="95100600025"/>
    <m/>
    <m/>
    <m/>
    <m/>
    <m/>
    <m/>
    <m/>
    <m/>
    <m/>
    <m/>
    <m/>
    <n v="78"/>
    <n v="24"/>
    <x v="0"/>
    <x v="1"/>
  </r>
  <r>
    <x v="1"/>
    <s v="95100606458"/>
    <m/>
    <m/>
    <m/>
    <m/>
    <n v="88"/>
    <m/>
    <n v="92"/>
    <m/>
    <m/>
    <m/>
    <m/>
    <n v="53"/>
    <n v="72"/>
    <x v="1"/>
    <x v="2"/>
  </r>
  <r>
    <x v="1"/>
    <s v="95100700282"/>
    <m/>
    <m/>
    <m/>
    <m/>
    <n v="76"/>
    <m/>
    <n v="90"/>
    <m/>
    <m/>
    <m/>
    <m/>
    <n v="75"/>
    <m/>
    <x v="0"/>
    <x v="0"/>
  </r>
  <r>
    <x v="1"/>
    <s v="95101000947"/>
    <m/>
    <m/>
    <m/>
    <m/>
    <n v="96"/>
    <m/>
    <n v="91"/>
    <m/>
    <m/>
    <m/>
    <m/>
    <n v="85"/>
    <m/>
    <x v="0"/>
    <x v="0"/>
  </r>
  <r>
    <x v="1"/>
    <s v="95110605809"/>
    <m/>
    <m/>
    <m/>
    <m/>
    <n v="76"/>
    <m/>
    <n v="84"/>
    <m/>
    <m/>
    <m/>
    <m/>
    <n v="73"/>
    <m/>
    <x v="0"/>
    <x v="0"/>
  </r>
  <r>
    <x v="1"/>
    <s v="95110704362"/>
    <n v="48"/>
    <n v="17"/>
    <m/>
    <m/>
    <m/>
    <m/>
    <n v="92"/>
    <m/>
    <m/>
    <m/>
    <m/>
    <m/>
    <m/>
    <x v="0"/>
    <x v="0"/>
  </r>
  <r>
    <x v="1"/>
    <s v="95111800425"/>
    <m/>
    <m/>
    <m/>
    <m/>
    <n v="80"/>
    <m/>
    <n v="79"/>
    <m/>
    <m/>
    <m/>
    <m/>
    <n v="63"/>
    <n v="60"/>
    <x v="0"/>
    <x v="2"/>
  </r>
  <r>
    <x v="1"/>
    <s v="95112902461"/>
    <m/>
    <m/>
    <m/>
    <m/>
    <m/>
    <m/>
    <n v="66"/>
    <m/>
    <m/>
    <m/>
    <n v="24"/>
    <n v="40"/>
    <m/>
    <x v="0"/>
    <x v="0"/>
  </r>
  <r>
    <x v="2"/>
    <s v="94120209724"/>
    <m/>
    <m/>
    <m/>
    <m/>
    <m/>
    <m/>
    <n v="70"/>
    <m/>
    <m/>
    <m/>
    <n v="52"/>
    <m/>
    <m/>
    <x v="0"/>
    <x v="1"/>
  </r>
  <r>
    <x v="2"/>
    <s v="95011303864"/>
    <m/>
    <m/>
    <m/>
    <n v="42"/>
    <m/>
    <m/>
    <m/>
    <m/>
    <m/>
    <m/>
    <n v="40"/>
    <m/>
    <m/>
    <x v="0"/>
    <x v="1"/>
  </r>
  <r>
    <x v="2"/>
    <s v="95012701920"/>
    <m/>
    <m/>
    <m/>
    <n v="77"/>
    <m/>
    <m/>
    <n v="80"/>
    <m/>
    <m/>
    <m/>
    <n v="44"/>
    <m/>
    <m/>
    <x v="0"/>
    <x v="0"/>
  </r>
  <r>
    <x v="2"/>
    <s v="95012707551"/>
    <m/>
    <m/>
    <m/>
    <n v="55"/>
    <m/>
    <m/>
    <m/>
    <m/>
    <m/>
    <m/>
    <n v="42"/>
    <m/>
    <m/>
    <x v="1"/>
    <x v="1"/>
  </r>
  <r>
    <x v="2"/>
    <s v="95021105139"/>
    <m/>
    <m/>
    <m/>
    <n v="85"/>
    <m/>
    <m/>
    <n v="81"/>
    <m/>
    <m/>
    <m/>
    <n v="52"/>
    <m/>
    <m/>
    <x v="1"/>
    <x v="0"/>
  </r>
  <r>
    <x v="2"/>
    <s v="95021201255"/>
    <m/>
    <m/>
    <m/>
    <n v="68"/>
    <m/>
    <m/>
    <m/>
    <m/>
    <m/>
    <m/>
    <n v="14"/>
    <m/>
    <m/>
    <x v="1"/>
    <x v="1"/>
  </r>
  <r>
    <x v="2"/>
    <s v="95021303223"/>
    <m/>
    <m/>
    <m/>
    <n v="60"/>
    <m/>
    <m/>
    <m/>
    <m/>
    <m/>
    <m/>
    <n v="32"/>
    <m/>
    <m/>
    <x v="0"/>
    <x v="1"/>
  </r>
  <r>
    <x v="2"/>
    <s v="95030407844"/>
    <m/>
    <m/>
    <m/>
    <n v="70"/>
    <m/>
    <m/>
    <n v="84"/>
    <m/>
    <m/>
    <n v="90"/>
    <n v="56"/>
    <m/>
    <m/>
    <x v="0"/>
    <x v="2"/>
  </r>
  <r>
    <x v="2"/>
    <s v="95040309147"/>
    <m/>
    <m/>
    <m/>
    <n v="38"/>
    <m/>
    <m/>
    <m/>
    <m/>
    <m/>
    <m/>
    <m/>
    <m/>
    <m/>
    <x v="0"/>
    <x v="4"/>
  </r>
  <r>
    <x v="2"/>
    <s v="95040502267"/>
    <m/>
    <m/>
    <m/>
    <n v="83"/>
    <m/>
    <m/>
    <n v="93"/>
    <m/>
    <m/>
    <m/>
    <n v="64"/>
    <m/>
    <m/>
    <x v="0"/>
    <x v="0"/>
  </r>
  <r>
    <x v="2"/>
    <s v="95040601874"/>
    <m/>
    <m/>
    <m/>
    <n v="93"/>
    <m/>
    <m/>
    <n v="80"/>
    <m/>
    <m/>
    <m/>
    <n v="64"/>
    <m/>
    <m/>
    <x v="1"/>
    <x v="0"/>
  </r>
  <r>
    <x v="2"/>
    <s v="95062703248"/>
    <m/>
    <m/>
    <m/>
    <n v="63"/>
    <m/>
    <m/>
    <m/>
    <m/>
    <m/>
    <m/>
    <m/>
    <n v="43"/>
    <m/>
    <x v="0"/>
    <x v="1"/>
  </r>
  <r>
    <x v="2"/>
    <s v="95062704850"/>
    <m/>
    <m/>
    <m/>
    <n v="65"/>
    <m/>
    <m/>
    <m/>
    <m/>
    <m/>
    <m/>
    <m/>
    <m/>
    <m/>
    <x v="1"/>
    <x v="4"/>
  </r>
  <r>
    <x v="2"/>
    <s v="95070400629"/>
    <m/>
    <m/>
    <m/>
    <n v="50"/>
    <m/>
    <m/>
    <m/>
    <m/>
    <m/>
    <m/>
    <n v="36"/>
    <m/>
    <m/>
    <x v="0"/>
    <x v="1"/>
  </r>
  <r>
    <x v="2"/>
    <s v="95070600715"/>
    <m/>
    <m/>
    <m/>
    <n v="53"/>
    <m/>
    <m/>
    <n v="77"/>
    <m/>
    <m/>
    <m/>
    <n v="38"/>
    <m/>
    <n v="46"/>
    <x v="1"/>
    <x v="2"/>
  </r>
  <r>
    <x v="2"/>
    <s v="95071306764"/>
    <m/>
    <m/>
    <m/>
    <m/>
    <m/>
    <m/>
    <n v="81"/>
    <m/>
    <m/>
    <m/>
    <n v="40"/>
    <m/>
    <m/>
    <x v="0"/>
    <x v="1"/>
  </r>
  <r>
    <x v="2"/>
    <s v="95071307406"/>
    <m/>
    <m/>
    <m/>
    <n v="70"/>
    <m/>
    <m/>
    <n v="51"/>
    <m/>
    <m/>
    <m/>
    <m/>
    <n v="95"/>
    <m/>
    <x v="0"/>
    <x v="0"/>
  </r>
  <r>
    <x v="2"/>
    <s v="95072805323"/>
    <m/>
    <m/>
    <m/>
    <n v="68"/>
    <m/>
    <m/>
    <n v="55"/>
    <m/>
    <m/>
    <m/>
    <n v="48"/>
    <n v="55"/>
    <m/>
    <x v="0"/>
    <x v="2"/>
  </r>
  <r>
    <x v="2"/>
    <s v="95072901340"/>
    <m/>
    <m/>
    <m/>
    <m/>
    <m/>
    <m/>
    <n v="66"/>
    <m/>
    <m/>
    <m/>
    <n v="66"/>
    <n v="70"/>
    <m/>
    <x v="0"/>
    <x v="0"/>
  </r>
  <r>
    <x v="2"/>
    <s v="95072901364"/>
    <m/>
    <m/>
    <m/>
    <m/>
    <m/>
    <m/>
    <n v="92"/>
    <m/>
    <m/>
    <m/>
    <n v="52"/>
    <m/>
    <m/>
    <x v="0"/>
    <x v="1"/>
  </r>
  <r>
    <x v="2"/>
    <s v="95082206507"/>
    <m/>
    <m/>
    <m/>
    <n v="87"/>
    <m/>
    <m/>
    <m/>
    <m/>
    <m/>
    <m/>
    <n v="90"/>
    <m/>
    <m/>
    <x v="0"/>
    <x v="1"/>
  </r>
  <r>
    <x v="2"/>
    <s v="95091103271"/>
    <m/>
    <m/>
    <m/>
    <n v="47"/>
    <m/>
    <m/>
    <m/>
    <m/>
    <m/>
    <m/>
    <n v="40"/>
    <m/>
    <m/>
    <x v="1"/>
    <x v="1"/>
  </r>
  <r>
    <x v="2"/>
    <s v="95092301371"/>
    <m/>
    <m/>
    <m/>
    <m/>
    <m/>
    <m/>
    <n v="88"/>
    <m/>
    <m/>
    <m/>
    <n v="46"/>
    <m/>
    <m/>
    <x v="1"/>
    <x v="1"/>
  </r>
  <r>
    <x v="2"/>
    <s v="95100703063"/>
    <m/>
    <m/>
    <m/>
    <n v="68"/>
    <m/>
    <m/>
    <n v="78"/>
    <m/>
    <m/>
    <m/>
    <n v="54"/>
    <m/>
    <m/>
    <x v="0"/>
    <x v="0"/>
  </r>
  <r>
    <x v="2"/>
    <s v="95102509322"/>
    <m/>
    <m/>
    <m/>
    <n v="77"/>
    <m/>
    <m/>
    <n v="44"/>
    <m/>
    <m/>
    <m/>
    <n v="40"/>
    <m/>
    <m/>
    <x v="0"/>
    <x v="0"/>
  </r>
  <r>
    <x v="2"/>
    <s v="95121002200"/>
    <m/>
    <m/>
    <m/>
    <n v="80"/>
    <m/>
    <m/>
    <n v="82"/>
    <m/>
    <m/>
    <m/>
    <n v="94"/>
    <m/>
    <m/>
    <x v="0"/>
    <x v="0"/>
  </r>
  <r>
    <x v="2"/>
    <s v="96010806327"/>
    <m/>
    <m/>
    <m/>
    <n v="82"/>
    <m/>
    <m/>
    <n v="61"/>
    <m/>
    <m/>
    <m/>
    <m/>
    <m/>
    <m/>
    <x v="0"/>
    <x v="1"/>
  </r>
  <r>
    <x v="3"/>
    <s v="95010400678"/>
    <m/>
    <m/>
    <n v="70"/>
    <m/>
    <m/>
    <m/>
    <n v="73"/>
    <m/>
    <m/>
    <m/>
    <n v="70"/>
    <m/>
    <m/>
    <x v="1"/>
    <x v="0"/>
  </r>
  <r>
    <x v="3"/>
    <s v="95012402890"/>
    <m/>
    <m/>
    <n v="53"/>
    <m/>
    <m/>
    <m/>
    <n v="67"/>
    <m/>
    <m/>
    <m/>
    <n v="40"/>
    <m/>
    <m/>
    <x v="1"/>
    <x v="0"/>
  </r>
  <r>
    <x v="3"/>
    <s v="95012801194"/>
    <m/>
    <m/>
    <n v="75"/>
    <m/>
    <m/>
    <n v="78"/>
    <n v="96"/>
    <m/>
    <m/>
    <m/>
    <n v="90"/>
    <m/>
    <m/>
    <x v="1"/>
    <x v="2"/>
  </r>
  <r>
    <x v="3"/>
    <s v="95012904927"/>
    <m/>
    <m/>
    <n v="82"/>
    <m/>
    <m/>
    <m/>
    <n v="91"/>
    <m/>
    <m/>
    <m/>
    <n v="80"/>
    <m/>
    <m/>
    <x v="0"/>
    <x v="0"/>
  </r>
  <r>
    <x v="3"/>
    <s v="95020904777"/>
    <m/>
    <m/>
    <n v="32"/>
    <m/>
    <m/>
    <m/>
    <n v="74"/>
    <m/>
    <m/>
    <m/>
    <m/>
    <n v="25"/>
    <m/>
    <x v="1"/>
    <x v="0"/>
  </r>
  <r>
    <x v="3"/>
    <s v="95021601338"/>
    <m/>
    <m/>
    <n v="77"/>
    <m/>
    <m/>
    <n v="88"/>
    <n v="76"/>
    <m/>
    <m/>
    <m/>
    <n v="68"/>
    <m/>
    <m/>
    <x v="1"/>
    <x v="2"/>
  </r>
  <r>
    <x v="3"/>
    <s v="95032801943"/>
    <m/>
    <m/>
    <n v="70"/>
    <m/>
    <m/>
    <m/>
    <n v="65"/>
    <m/>
    <m/>
    <m/>
    <n v="78"/>
    <m/>
    <m/>
    <x v="0"/>
    <x v="0"/>
  </r>
  <r>
    <x v="3"/>
    <s v="95032801950"/>
    <m/>
    <m/>
    <n v="32"/>
    <m/>
    <m/>
    <m/>
    <n v="75"/>
    <m/>
    <m/>
    <m/>
    <n v="58"/>
    <m/>
    <m/>
    <x v="1"/>
    <x v="0"/>
  </r>
  <r>
    <x v="3"/>
    <s v="95040804338"/>
    <n v="37"/>
    <m/>
    <n v="37"/>
    <m/>
    <m/>
    <m/>
    <n v="84"/>
    <m/>
    <m/>
    <m/>
    <m/>
    <m/>
    <m/>
    <x v="1"/>
    <x v="0"/>
  </r>
  <r>
    <x v="3"/>
    <s v="95050803734"/>
    <m/>
    <m/>
    <n v="75"/>
    <m/>
    <m/>
    <m/>
    <n v="94"/>
    <m/>
    <m/>
    <m/>
    <n v="82"/>
    <m/>
    <m/>
    <x v="1"/>
    <x v="0"/>
  </r>
  <r>
    <x v="3"/>
    <s v="95052200645"/>
    <m/>
    <m/>
    <n v="92"/>
    <m/>
    <m/>
    <m/>
    <n v="86"/>
    <m/>
    <m/>
    <m/>
    <n v="88"/>
    <m/>
    <m/>
    <x v="0"/>
    <x v="0"/>
  </r>
  <r>
    <x v="3"/>
    <s v="95052901713"/>
    <m/>
    <m/>
    <m/>
    <n v="45"/>
    <m/>
    <m/>
    <n v="80"/>
    <m/>
    <m/>
    <m/>
    <n v="36"/>
    <m/>
    <m/>
    <x v="1"/>
    <x v="0"/>
  </r>
  <r>
    <x v="3"/>
    <s v="95060303600"/>
    <m/>
    <m/>
    <m/>
    <m/>
    <m/>
    <m/>
    <n v="94"/>
    <m/>
    <m/>
    <m/>
    <n v="74"/>
    <m/>
    <m/>
    <x v="0"/>
    <x v="1"/>
  </r>
  <r>
    <x v="3"/>
    <s v="95060705327"/>
    <m/>
    <m/>
    <m/>
    <m/>
    <m/>
    <m/>
    <n v="78"/>
    <m/>
    <m/>
    <m/>
    <m/>
    <m/>
    <m/>
    <x v="0"/>
    <x v="4"/>
  </r>
  <r>
    <x v="3"/>
    <s v="95060913018"/>
    <m/>
    <m/>
    <n v="72"/>
    <m/>
    <m/>
    <m/>
    <n v="79"/>
    <m/>
    <m/>
    <m/>
    <n v="78"/>
    <m/>
    <m/>
    <x v="1"/>
    <x v="0"/>
  </r>
  <r>
    <x v="3"/>
    <s v="95072510054"/>
    <m/>
    <m/>
    <n v="62"/>
    <m/>
    <m/>
    <m/>
    <n v="75"/>
    <m/>
    <m/>
    <m/>
    <n v="38"/>
    <m/>
    <m/>
    <x v="1"/>
    <x v="0"/>
  </r>
  <r>
    <x v="3"/>
    <s v="95080407818"/>
    <m/>
    <m/>
    <m/>
    <m/>
    <m/>
    <n v="70"/>
    <n v="79"/>
    <m/>
    <m/>
    <m/>
    <n v="62"/>
    <m/>
    <m/>
    <x v="1"/>
    <x v="0"/>
  </r>
  <r>
    <x v="3"/>
    <s v="95080805098"/>
    <m/>
    <m/>
    <n v="48"/>
    <m/>
    <m/>
    <m/>
    <n v="28"/>
    <m/>
    <m/>
    <m/>
    <n v="68"/>
    <m/>
    <m/>
    <x v="1"/>
    <x v="0"/>
  </r>
  <r>
    <x v="3"/>
    <s v="95081600791"/>
    <m/>
    <m/>
    <n v="62"/>
    <m/>
    <m/>
    <m/>
    <n v="79"/>
    <m/>
    <m/>
    <m/>
    <n v="66"/>
    <m/>
    <m/>
    <x v="1"/>
    <x v="0"/>
  </r>
  <r>
    <x v="3"/>
    <s v="95082906797"/>
    <m/>
    <m/>
    <n v="67"/>
    <m/>
    <m/>
    <m/>
    <n v="85"/>
    <m/>
    <m/>
    <m/>
    <n v="70"/>
    <m/>
    <m/>
    <x v="1"/>
    <x v="0"/>
  </r>
  <r>
    <x v="3"/>
    <s v="95083100398"/>
    <m/>
    <m/>
    <n v="67"/>
    <m/>
    <m/>
    <m/>
    <n v="78"/>
    <m/>
    <m/>
    <m/>
    <n v="68"/>
    <m/>
    <m/>
    <x v="1"/>
    <x v="0"/>
  </r>
  <r>
    <x v="3"/>
    <s v="95091803737"/>
    <m/>
    <m/>
    <m/>
    <m/>
    <m/>
    <n v="98"/>
    <n v="84"/>
    <m/>
    <m/>
    <m/>
    <n v="92"/>
    <m/>
    <m/>
    <x v="1"/>
    <x v="0"/>
  </r>
  <r>
    <x v="3"/>
    <s v="95100400649"/>
    <m/>
    <m/>
    <m/>
    <m/>
    <m/>
    <m/>
    <n v="86"/>
    <m/>
    <m/>
    <m/>
    <n v="60"/>
    <m/>
    <m/>
    <x v="0"/>
    <x v="1"/>
  </r>
  <r>
    <x v="3"/>
    <s v="95101104184"/>
    <m/>
    <m/>
    <n v="55"/>
    <m/>
    <m/>
    <m/>
    <n v="92"/>
    <m/>
    <m/>
    <m/>
    <n v="78"/>
    <m/>
    <m/>
    <x v="0"/>
    <x v="0"/>
  </r>
  <r>
    <x v="3"/>
    <s v="95101303842"/>
    <m/>
    <m/>
    <n v="78"/>
    <m/>
    <m/>
    <m/>
    <n v="85"/>
    <m/>
    <m/>
    <m/>
    <n v="92"/>
    <m/>
    <m/>
    <x v="0"/>
    <x v="0"/>
  </r>
  <r>
    <x v="3"/>
    <s v="95101902775"/>
    <m/>
    <m/>
    <m/>
    <m/>
    <m/>
    <n v="52"/>
    <n v="68"/>
    <m/>
    <m/>
    <m/>
    <n v="56"/>
    <m/>
    <m/>
    <x v="1"/>
    <x v="0"/>
  </r>
  <r>
    <x v="3"/>
    <s v="95102002757"/>
    <m/>
    <m/>
    <n v="70"/>
    <m/>
    <m/>
    <m/>
    <n v="86"/>
    <m/>
    <m/>
    <m/>
    <n v="78"/>
    <m/>
    <m/>
    <x v="1"/>
    <x v="0"/>
  </r>
  <r>
    <x v="3"/>
    <s v="95102301894"/>
    <m/>
    <m/>
    <n v="32"/>
    <m/>
    <m/>
    <m/>
    <n v="78"/>
    <m/>
    <m/>
    <m/>
    <n v="74"/>
    <m/>
    <m/>
    <x v="1"/>
    <x v="0"/>
  </r>
  <r>
    <x v="3"/>
    <s v="95112306692"/>
    <m/>
    <m/>
    <n v="75"/>
    <m/>
    <m/>
    <m/>
    <n v="64"/>
    <m/>
    <m/>
    <m/>
    <n v="74"/>
    <m/>
    <m/>
    <x v="1"/>
    <x v="0"/>
  </r>
  <r>
    <x v="3"/>
    <s v="95112702337"/>
    <m/>
    <m/>
    <n v="63"/>
    <m/>
    <m/>
    <m/>
    <m/>
    <m/>
    <m/>
    <m/>
    <n v="92"/>
    <m/>
    <m/>
    <x v="1"/>
    <x v="1"/>
  </r>
  <r>
    <x v="3"/>
    <s v="95122110962"/>
    <m/>
    <m/>
    <m/>
    <m/>
    <m/>
    <m/>
    <n v="65"/>
    <m/>
    <m/>
    <m/>
    <n v="68"/>
    <m/>
    <m/>
    <x v="0"/>
    <x v="1"/>
  </r>
  <r>
    <x v="3"/>
    <s v="95123001771"/>
    <m/>
    <m/>
    <m/>
    <m/>
    <m/>
    <m/>
    <n v="84"/>
    <m/>
    <m/>
    <m/>
    <n v="54"/>
    <m/>
    <m/>
    <x v="1"/>
    <x v="1"/>
  </r>
  <r>
    <x v="3"/>
    <s v="96011200502"/>
    <m/>
    <m/>
    <n v="77"/>
    <m/>
    <m/>
    <m/>
    <n v="86"/>
    <m/>
    <m/>
    <m/>
    <n v="64"/>
    <m/>
    <m/>
    <x v="0"/>
    <x v="0"/>
  </r>
  <r>
    <x v="4"/>
    <s v="94011110436"/>
    <m/>
    <m/>
    <m/>
    <m/>
    <m/>
    <m/>
    <m/>
    <m/>
    <n v="73"/>
    <m/>
    <m/>
    <n v="65"/>
    <m/>
    <x v="1"/>
    <x v="1"/>
  </r>
  <r>
    <x v="4"/>
    <s v="94013113642"/>
    <m/>
    <m/>
    <m/>
    <m/>
    <m/>
    <m/>
    <m/>
    <m/>
    <n v="61"/>
    <m/>
    <m/>
    <n v="58"/>
    <m/>
    <x v="0"/>
    <x v="1"/>
  </r>
  <r>
    <x v="4"/>
    <s v="94020211283"/>
    <m/>
    <m/>
    <m/>
    <m/>
    <m/>
    <m/>
    <m/>
    <m/>
    <n v="65"/>
    <m/>
    <m/>
    <n v="58"/>
    <m/>
    <x v="0"/>
    <x v="1"/>
  </r>
  <r>
    <x v="4"/>
    <s v="94021306625"/>
    <m/>
    <m/>
    <m/>
    <m/>
    <m/>
    <m/>
    <m/>
    <m/>
    <n v="68"/>
    <m/>
    <m/>
    <n v="88"/>
    <m/>
    <x v="0"/>
    <x v="1"/>
  </r>
  <r>
    <x v="4"/>
    <s v="94030804224"/>
    <m/>
    <m/>
    <m/>
    <n v="85"/>
    <m/>
    <m/>
    <n v="95"/>
    <m/>
    <m/>
    <m/>
    <m/>
    <n v="88"/>
    <m/>
    <x v="0"/>
    <x v="0"/>
  </r>
  <r>
    <x v="4"/>
    <s v="94031410644"/>
    <m/>
    <m/>
    <m/>
    <m/>
    <m/>
    <m/>
    <m/>
    <m/>
    <n v="45"/>
    <m/>
    <m/>
    <n v="83"/>
    <m/>
    <x v="0"/>
    <x v="1"/>
  </r>
  <r>
    <x v="4"/>
    <s v="94040607118"/>
    <m/>
    <m/>
    <m/>
    <m/>
    <m/>
    <m/>
    <n v="79"/>
    <m/>
    <n v="79"/>
    <m/>
    <m/>
    <n v="53"/>
    <m/>
    <x v="1"/>
    <x v="0"/>
  </r>
  <r>
    <x v="4"/>
    <s v="94042912726"/>
    <m/>
    <m/>
    <m/>
    <n v="38"/>
    <m/>
    <m/>
    <n v="69"/>
    <m/>
    <n v="72"/>
    <m/>
    <m/>
    <n v="60"/>
    <m/>
    <x v="0"/>
    <x v="2"/>
  </r>
  <r>
    <x v="4"/>
    <s v="94060604247"/>
    <n v="62"/>
    <n v="35"/>
    <m/>
    <m/>
    <m/>
    <m/>
    <m/>
    <m/>
    <n v="52"/>
    <m/>
    <m/>
    <m/>
    <m/>
    <x v="0"/>
    <x v="0"/>
  </r>
  <r>
    <x v="4"/>
    <s v="94062703166"/>
    <m/>
    <m/>
    <m/>
    <n v="50"/>
    <m/>
    <m/>
    <m/>
    <m/>
    <n v="63"/>
    <m/>
    <m/>
    <m/>
    <m/>
    <x v="0"/>
    <x v="1"/>
  </r>
  <r>
    <x v="4"/>
    <s v="94063002080"/>
    <m/>
    <m/>
    <m/>
    <n v="82"/>
    <m/>
    <m/>
    <m/>
    <m/>
    <m/>
    <m/>
    <n v="66"/>
    <n v="85"/>
    <m/>
    <x v="0"/>
    <x v="0"/>
  </r>
  <r>
    <x v="4"/>
    <s v="94081102166"/>
    <m/>
    <m/>
    <m/>
    <m/>
    <m/>
    <m/>
    <m/>
    <m/>
    <n v="79"/>
    <m/>
    <m/>
    <n v="83"/>
    <m/>
    <x v="0"/>
    <x v="1"/>
  </r>
  <r>
    <x v="4"/>
    <s v="94082703588"/>
    <m/>
    <m/>
    <m/>
    <m/>
    <n v="66"/>
    <m/>
    <n v="93"/>
    <m/>
    <n v="83"/>
    <m/>
    <m/>
    <n v="100"/>
    <m/>
    <x v="0"/>
    <x v="2"/>
  </r>
  <r>
    <x v="4"/>
    <s v="94082901146"/>
    <m/>
    <m/>
    <m/>
    <n v="75"/>
    <m/>
    <m/>
    <n v="83"/>
    <m/>
    <m/>
    <m/>
    <n v="30"/>
    <n v="80"/>
    <m/>
    <x v="0"/>
    <x v="2"/>
  </r>
  <r>
    <x v="4"/>
    <s v="94082905447"/>
    <m/>
    <m/>
    <m/>
    <m/>
    <m/>
    <m/>
    <m/>
    <m/>
    <n v="96"/>
    <m/>
    <m/>
    <m/>
    <m/>
    <x v="0"/>
    <x v="4"/>
  </r>
  <r>
    <x v="4"/>
    <s v="94083000868"/>
    <m/>
    <m/>
    <m/>
    <m/>
    <n v="24"/>
    <m/>
    <n v="63"/>
    <m/>
    <n v="61"/>
    <m/>
    <m/>
    <n v="58"/>
    <n v="16"/>
    <x v="0"/>
    <x v="3"/>
  </r>
  <r>
    <x v="4"/>
    <s v="94090909307"/>
    <m/>
    <m/>
    <m/>
    <m/>
    <n v="72"/>
    <m/>
    <n v="76"/>
    <m/>
    <n v="77"/>
    <m/>
    <m/>
    <n v="75"/>
    <n v="46"/>
    <x v="0"/>
    <x v="3"/>
  </r>
  <r>
    <x v="4"/>
    <s v="94091301085"/>
    <m/>
    <m/>
    <m/>
    <m/>
    <m/>
    <m/>
    <n v="71"/>
    <m/>
    <n v="70"/>
    <m/>
    <m/>
    <n v="55"/>
    <m/>
    <x v="0"/>
    <x v="0"/>
  </r>
  <r>
    <x v="4"/>
    <s v="94092207960"/>
    <m/>
    <m/>
    <m/>
    <m/>
    <m/>
    <m/>
    <n v="89"/>
    <m/>
    <m/>
    <m/>
    <m/>
    <n v="63"/>
    <m/>
    <x v="0"/>
    <x v="1"/>
  </r>
  <r>
    <x v="4"/>
    <s v="94100706007"/>
    <m/>
    <m/>
    <m/>
    <m/>
    <m/>
    <m/>
    <n v="74"/>
    <m/>
    <m/>
    <m/>
    <m/>
    <m/>
    <m/>
    <x v="0"/>
    <x v="4"/>
  </r>
  <r>
    <x v="4"/>
    <s v="94102604723"/>
    <m/>
    <m/>
    <m/>
    <m/>
    <m/>
    <m/>
    <m/>
    <n v="73"/>
    <n v="82"/>
    <m/>
    <m/>
    <n v="70"/>
    <m/>
    <x v="0"/>
    <x v="0"/>
  </r>
  <r>
    <x v="4"/>
    <s v="94103100907"/>
    <n v="18"/>
    <n v="12"/>
    <m/>
    <m/>
    <m/>
    <m/>
    <m/>
    <m/>
    <m/>
    <m/>
    <m/>
    <m/>
    <m/>
    <x v="0"/>
    <x v="1"/>
  </r>
  <r>
    <x v="4"/>
    <s v="94110205866"/>
    <m/>
    <m/>
    <m/>
    <m/>
    <m/>
    <m/>
    <n v="78"/>
    <m/>
    <m/>
    <m/>
    <n v="40"/>
    <m/>
    <m/>
    <x v="0"/>
    <x v="1"/>
  </r>
  <r>
    <x v="4"/>
    <s v="94121203482"/>
    <m/>
    <m/>
    <m/>
    <m/>
    <m/>
    <m/>
    <m/>
    <m/>
    <n v="71"/>
    <m/>
    <m/>
    <n v="58"/>
    <m/>
    <x v="0"/>
    <x v="1"/>
  </r>
  <r>
    <x v="4"/>
    <s v="94121709025"/>
    <m/>
    <m/>
    <m/>
    <n v="53"/>
    <m/>
    <m/>
    <n v="66"/>
    <m/>
    <n v="67"/>
    <m/>
    <m/>
    <n v="63"/>
    <m/>
    <x v="0"/>
    <x v="2"/>
  </r>
  <r>
    <x v="4"/>
    <s v="95011300625"/>
    <m/>
    <m/>
    <m/>
    <n v="52"/>
    <m/>
    <m/>
    <m/>
    <m/>
    <n v="70"/>
    <m/>
    <n v="36"/>
    <m/>
    <m/>
    <x v="0"/>
    <x v="0"/>
  </r>
  <r>
    <x v="4"/>
    <s v="95032804489"/>
    <n v="43"/>
    <n v="43"/>
    <m/>
    <m/>
    <m/>
    <m/>
    <m/>
    <m/>
    <n v="70"/>
    <m/>
    <m/>
    <m/>
    <m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531A9-1C48-433B-974F-BE08542412F1}" name="Tabela przestawna1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A4" firstHeaderRow="1" firstDataRow="1" firstDataCol="0"/>
  <pivotFields count="21">
    <pivotField showAll="0"/>
    <pivotField dataField="1" showAll="0">
      <items count="153"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65"/>
        <item x="148"/>
        <item x="149"/>
        <item x="92"/>
        <item x="0"/>
        <item x="150"/>
        <item x="66"/>
        <item x="1"/>
        <item x="34"/>
        <item x="2"/>
        <item x="93"/>
        <item x="35"/>
        <item x="67"/>
        <item x="68"/>
        <item x="94"/>
        <item x="95"/>
        <item x="36"/>
        <item x="96"/>
        <item x="69"/>
        <item x="70"/>
        <item x="71"/>
        <item x="97"/>
        <item x="37"/>
        <item x="38"/>
        <item x="72"/>
        <item x="3"/>
        <item x="39"/>
        <item x="4"/>
        <item x="5"/>
        <item x="40"/>
        <item x="41"/>
        <item x="6"/>
        <item x="7"/>
        <item x="98"/>
        <item x="99"/>
        <item x="151"/>
        <item x="73"/>
        <item x="8"/>
        <item x="74"/>
        <item x="75"/>
        <item x="100"/>
        <item x="9"/>
        <item x="10"/>
        <item x="42"/>
        <item x="43"/>
        <item x="101"/>
        <item x="44"/>
        <item x="45"/>
        <item x="102"/>
        <item x="46"/>
        <item x="11"/>
        <item x="103"/>
        <item x="47"/>
        <item x="104"/>
        <item x="105"/>
        <item x="106"/>
        <item x="12"/>
        <item x="13"/>
        <item x="14"/>
        <item x="48"/>
        <item x="76"/>
        <item x="77"/>
        <item x="49"/>
        <item x="78"/>
        <item x="79"/>
        <item x="80"/>
        <item x="81"/>
        <item x="15"/>
        <item x="16"/>
        <item x="107"/>
        <item x="82"/>
        <item x="17"/>
        <item x="83"/>
        <item x="84"/>
        <item x="18"/>
        <item x="50"/>
        <item x="108"/>
        <item x="19"/>
        <item x="109"/>
        <item x="51"/>
        <item x="52"/>
        <item x="20"/>
        <item x="53"/>
        <item x="110"/>
        <item x="21"/>
        <item x="85"/>
        <item x="22"/>
        <item x="23"/>
        <item x="111"/>
        <item x="112"/>
        <item x="54"/>
        <item x="24"/>
        <item x="86"/>
        <item x="25"/>
        <item x="113"/>
        <item x="55"/>
        <item x="87"/>
        <item x="56"/>
        <item x="114"/>
        <item x="57"/>
        <item x="58"/>
        <item x="59"/>
        <item x="88"/>
        <item x="60"/>
        <item x="115"/>
        <item x="116"/>
        <item x="117"/>
        <item x="118"/>
        <item x="119"/>
        <item x="89"/>
        <item x="26"/>
        <item x="27"/>
        <item x="61"/>
        <item x="62"/>
        <item x="28"/>
        <item x="63"/>
        <item x="29"/>
        <item x="120"/>
        <item x="121"/>
        <item x="64"/>
        <item x="30"/>
        <item x="31"/>
        <item x="32"/>
        <item x="90"/>
        <item x="122"/>
        <item x="33"/>
        <item x="123"/>
        <item x="91"/>
        <item x="124"/>
        <item t="default"/>
      </items>
    </pivotField>
    <pivotField showAll="0">
      <items count="31">
        <item x="28"/>
        <item x="1"/>
        <item x="25"/>
        <item x="27"/>
        <item x="29"/>
        <item x="19"/>
        <item x="26"/>
        <item x="24"/>
        <item x="0"/>
        <item x="15"/>
        <item x="9"/>
        <item x="10"/>
        <item x="4"/>
        <item x="5"/>
        <item x="18"/>
        <item x="14"/>
        <item x="2"/>
        <item x="17"/>
        <item x="22"/>
        <item x="12"/>
        <item x="7"/>
        <item x="16"/>
        <item x="21"/>
        <item x="20"/>
        <item x="13"/>
        <item x="23"/>
        <item x="3"/>
        <item x="8"/>
        <item x="1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Liczba z PESEL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2BA8F-4560-4D13-B9ED-BBB0B74B244A}" name="Tabela przestawna5" cacheId="1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3:J6" firstHeaderRow="0" firstDataRow="1" firstDataCol="1"/>
  <pivotFields count="5">
    <pivotField showAll="0"/>
    <pivotField showAll="0"/>
    <pivotField dataField="1"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Średnia z Matematyka-P" fld="2" subtotal="average" baseField="4" baseItem="0"/>
    <dataField name="Średnia z Polski-P" fld="3" subtotal="average" baseField="4" baseItem="0"/>
  </dataFields>
  <formats count="1">
    <format dxfId="4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6F2CC-2ED0-444D-A6A1-57F51D6C159D}" name="Tabela przestawna6" cacheId="2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S3:V10" firstHeaderRow="1" firstDataRow="2" firstDataCol="1" rowPageCount="1" colPageCount="1"/>
  <pivotFields count="17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dataField="1" multipleItemSelectionAllowed="1" showAll="0">
      <items count="6">
        <item h="1" x="4"/>
        <item h="1" x="1"/>
        <item x="0"/>
        <item x="2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5"/>
  </colFields>
  <colItems count="3">
    <i>
      <x/>
    </i>
    <i>
      <x v="1"/>
    </i>
    <i t="grand">
      <x/>
    </i>
  </colItems>
  <pageFields count="1">
    <pageField fld="16" hier="-1"/>
  </pageFields>
  <dataFields count="1">
    <dataField name="Liczba z ile przedmiotów" fld="16" subtotal="count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2B6910-9B3C-42EA-AD49-742F1935572E}" autoFormatId="16" applyNumberFormats="0" applyBorderFormats="0" applyFontFormats="0" applyPatternFormats="0" applyAlignmentFormats="0" applyWidthHeightFormats="0">
  <queryTableRefresh nextId="22">
    <queryTableFields count="21">
      <queryTableField id="1" name="KLASA" tableColumnId="1"/>
      <queryTableField id="2" name="PESEL" tableColumnId="2"/>
      <queryTableField id="3" name="Biologia-R" tableColumnId="3"/>
      <queryTableField id="4" name="Chemia-R" tableColumnId="4"/>
      <queryTableField id="5" name="Fizyka-R" tableColumnId="5"/>
      <queryTableField id="6" name="Geografia-R" tableColumnId="6"/>
      <queryTableField id="7" name="Historia-R" tableColumnId="7"/>
      <queryTableField id="8" name="Informatyka-R" tableColumnId="8"/>
      <queryTableField id="9" name="Angielski-P" tableColumnId="9"/>
      <queryTableField id="10" name="Angielski-R" tableColumnId="10"/>
      <queryTableField id="11" name="Francuski-P" tableColumnId="11"/>
      <queryTableField id="12" name="Francuski-R" tableColumnId="12"/>
      <queryTableField id="13" name="Hiszpański-P" tableColumnId="13"/>
      <queryTableField id="14" name="Hiszpański-R" tableColumnId="14"/>
      <queryTableField id="15" name="Niemiecki-P" tableColumnId="15"/>
      <queryTableField id="16" name="Niemiecki-R" tableColumnId="16"/>
      <queryTableField id="17" name="Matematyka-P" tableColumnId="17"/>
      <queryTableField id="18" name="Matematyka-R" tableColumnId="18"/>
      <queryTableField id="19" name="Polski-P" tableColumnId="19"/>
      <queryTableField id="20" name="Polski-R" tableColumnId="20"/>
      <queryTableField id="21" name="WOS-R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63B02D9-2566-4886-9EA2-BE266F28529D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KLASA" tableColumnId="1"/>
      <queryTableField id="2" name="PESEL" tableColumnId="2"/>
      <queryTableField id="3" name="Biologia-R" tableColumnId="3"/>
      <queryTableField id="4" name="Chemia-R" tableColumnId="4"/>
      <queryTableField id="5" name="Fizyka-R" tableColumnId="5"/>
      <queryTableField id="6" name="Geografia-R" tableColumnId="6"/>
      <queryTableField id="7" name="Historia-R" tableColumnId="7"/>
      <queryTableField id="8" name="Informatyka-R" tableColumnId="8"/>
      <queryTableField id="9" name="Angielski-P" tableColumnId="9"/>
      <queryTableField id="10" name="Angielski-R" tableColumnId="10"/>
      <queryTableField id="11" name="Francuski-P" tableColumnId="11"/>
      <queryTableField id="12" name="Francuski-R" tableColumnId="12"/>
      <queryTableField id="13" name="Hiszpański-P" tableColumnId="13"/>
      <queryTableField id="14" name="Hiszpański-R" tableColumnId="14"/>
      <queryTableField id="15" name="Niemiecki-P" tableColumnId="15"/>
      <queryTableField id="16" name="Niemiecki-R" tableColumnId="16"/>
      <queryTableField id="17" name="Matematyka-P" tableColumnId="17"/>
      <queryTableField id="18" name="Matematyka-R" tableColumnId="18"/>
      <queryTableField id="19" name="Polski-P" tableColumnId="19"/>
      <queryTableField id="20" name="Polski-R" tableColumnId="20"/>
      <queryTableField id="21" name="WOS-R" tableColumnId="21"/>
      <queryTableField id="22" dataBound="0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1BFFBE0-D041-40C5-A9B4-570BBD1A850B}" autoFormatId="16" applyNumberFormats="0" applyBorderFormats="0" applyFontFormats="0" applyPatternFormats="0" applyAlignmentFormats="0" applyWidthHeightFormats="0">
  <queryTableRefresh nextId="22">
    <queryTableFields count="21">
      <queryTableField id="1" name="KLASA" tableColumnId="1"/>
      <queryTableField id="2" name="PESEL" tableColumnId="2"/>
      <queryTableField id="3" name="Biologia-R" tableColumnId="3"/>
      <queryTableField id="4" name="Chemia-R" tableColumnId="4"/>
      <queryTableField id="5" name="Fizyka-R" tableColumnId="5"/>
      <queryTableField id="6" name="Geografia-R" tableColumnId="6"/>
      <queryTableField id="7" name="Historia-R" tableColumnId="7"/>
      <queryTableField id="8" name="Informatyka-R" tableColumnId="8"/>
      <queryTableField id="9" name="Angielski-P" tableColumnId="9"/>
      <queryTableField id="10" name="Angielski-R" tableColumnId="10"/>
      <queryTableField id="11" name="Francuski-P" tableColumnId="11"/>
      <queryTableField id="12" name="Francuski-R" tableColumnId="12"/>
      <queryTableField id="13" name="Hiszpański-P" tableColumnId="13"/>
      <queryTableField id="14" name="Hiszpański-R" tableColumnId="14"/>
      <queryTableField id="15" name="Niemiecki-P" tableColumnId="15"/>
      <queryTableField id="16" name="Niemiecki-R" tableColumnId="16"/>
      <queryTableField id="17" name="Matematyka-P" tableColumnId="17"/>
      <queryTableField id="18" name="Matematyka-R" tableColumnId="18"/>
      <queryTableField id="19" name="Polski-P" tableColumnId="19"/>
      <queryTableField id="20" name="Polski-R" tableColumnId="20"/>
      <queryTableField id="21" name="WOS-R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A4430E5-F2DD-4C3C-B0E8-B15A0FB86F64}" autoFormatId="16" applyNumberFormats="0" applyBorderFormats="0" applyFontFormats="0" applyPatternFormats="0" applyAlignmentFormats="0" applyWidthHeightFormats="0">
  <queryTableRefresh nextId="23" unboundColumnsRight="1">
    <queryTableFields count="5">
      <queryTableField id="1" name="KLASA" tableColumnId="1"/>
      <queryTableField id="2" name="PESEL" tableColumnId="2"/>
      <queryTableField id="17" name="Matematyka-P" tableColumnId="17"/>
      <queryTableField id="19" name="Polski-P" tableColumnId="19"/>
      <queryTableField id="22" dataBound="0" tableColumnId="22"/>
    </queryTableFields>
    <queryTableDeletedFields count="17">
      <deletedField name="Biologia-R"/>
      <deletedField name="Chemia-R"/>
      <deletedField name="Fizyka-R"/>
      <deletedField name="Geografia-R"/>
      <deletedField name="Historia-R"/>
      <deletedField name="Informatyka-R"/>
      <deletedField name="Angielski-P"/>
      <deletedField name="Angielski-R"/>
      <deletedField name="Francuski-P"/>
      <deletedField name="Francuski-R"/>
      <deletedField name="Hiszpański-P"/>
      <deletedField name="Hiszpański-R"/>
      <deletedField name="Matematyka-R"/>
      <deletedField name="Polski-R"/>
      <deletedField name="WOS-R"/>
      <deletedField name="Niemiecki-P"/>
      <deletedField name="Niemiecki-R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8E5BAF9-0A26-4B2B-B16E-F55A7004F63A}" autoFormatId="16" applyNumberFormats="0" applyBorderFormats="0" applyFontFormats="0" applyPatternFormats="0" applyAlignmentFormats="0" applyWidthHeightFormats="0">
  <queryTableRefresh nextId="24" unboundColumnsRight="2">
    <queryTableFields count="17">
      <queryTableField id="1" name="KLASA" tableColumnId="1"/>
      <queryTableField id="2" name="PESEL" tableColumnId="2"/>
      <queryTableField id="3" name="Biologia-R" tableColumnId="3"/>
      <queryTableField id="4" name="Chemia-R" tableColumnId="4"/>
      <queryTableField id="5" name="Fizyka-R" tableColumnId="5"/>
      <queryTableField id="6" name="Geografia-R" tableColumnId="6"/>
      <queryTableField id="7" name="Historia-R" tableColumnId="7"/>
      <queryTableField id="8" name="Informatyka-R" tableColumnId="8"/>
      <queryTableField id="10" name="Angielski-R" tableColumnId="10"/>
      <queryTableField id="12" name="Francuski-R" tableColumnId="12"/>
      <queryTableField id="14" name="Hiszpański-R" tableColumnId="14"/>
      <queryTableField id="16" name="Niemiecki-R" tableColumnId="16"/>
      <queryTableField id="18" name="Matematyka-R" tableColumnId="18"/>
      <queryTableField id="20" name="Polski-R" tableColumnId="20"/>
      <queryTableField id="21" name="WOS-R" tableColumnId="21"/>
      <queryTableField id="22" dataBound="0" tableColumnId="22"/>
      <queryTableField id="23" dataBound="0" tableColumnId="23"/>
    </queryTableFields>
    <queryTableDeletedFields count="6">
      <deletedField name="Angielski-P"/>
      <deletedField name="Francuski-P"/>
      <deletedField name="Hiszpański-P"/>
      <deletedField name="Niemiecki-P"/>
      <deletedField name="Matematyka-P"/>
      <deletedField name="Polski-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E8F0AB-6381-43CA-BE44-5DFBCB8ABAD8}" name="matura" displayName="matura" ref="A1:U153" tableType="queryTable" totalsRowShown="0">
  <autoFilter ref="A1:U153" xr:uid="{5FE8F0AB-6381-43CA-BE44-5DFBCB8ABAD8}"/>
  <tableColumns count="21">
    <tableColumn id="1" xr3:uid="{47B4446C-AAD5-4254-B135-AC5EA56D8C2A}" uniqueName="1" name="KLASA" queryTableFieldId="1" dataDxfId="14"/>
    <tableColumn id="2" xr3:uid="{BD5A2FF7-BEA4-4F5C-B164-F00D28B89D42}" uniqueName="2" name="PESEL" queryTableFieldId="2" dataDxfId="13"/>
    <tableColumn id="3" xr3:uid="{C8AFB78C-5128-458F-B6E5-EAA4E73DD0D4}" uniqueName="3" name="Biologia-R" queryTableFieldId="3"/>
    <tableColumn id="4" xr3:uid="{F62ABB2A-C615-4604-A7D2-30FA7394677C}" uniqueName="4" name="Chemia-R" queryTableFieldId="4"/>
    <tableColumn id="5" xr3:uid="{BBEE1688-F89B-4859-8F86-325FA85985ED}" uniqueName="5" name="Fizyka-R" queryTableFieldId="5"/>
    <tableColumn id="6" xr3:uid="{54015CD0-8D6D-45EB-9F86-38CD134870BC}" uniqueName="6" name="Geografia-R" queryTableFieldId="6"/>
    <tableColumn id="7" xr3:uid="{72A39BB8-FBE3-4B86-BA0A-C8518DCBCE12}" uniqueName="7" name="Historia-R" queryTableFieldId="7"/>
    <tableColumn id="8" xr3:uid="{6062F6C4-DF90-430A-9AC0-42F085B7D0E0}" uniqueName="8" name="Informatyka-R" queryTableFieldId="8"/>
    <tableColumn id="9" xr3:uid="{FB3C178B-03EA-49AF-8C6F-316CDFECDDE1}" uniqueName="9" name="Angielski-P" queryTableFieldId="9"/>
    <tableColumn id="10" xr3:uid="{DD6465A1-0BCF-4AC7-8A1B-0CA3B1DC1ED1}" uniqueName="10" name="Angielski-R" queryTableFieldId="10"/>
    <tableColumn id="11" xr3:uid="{2BCFE393-9DE0-4B1A-A831-7A5232890CAF}" uniqueName="11" name="Francuski-P" queryTableFieldId="11"/>
    <tableColumn id="12" xr3:uid="{8E1883A7-1199-4107-AC5B-F96BFACF7DEA}" uniqueName="12" name="Francuski-R" queryTableFieldId="12"/>
    <tableColumn id="13" xr3:uid="{0F0780BD-6D56-4295-912C-FA8F4DB8B6AC}" uniqueName="13" name="Hiszpański-P" queryTableFieldId="13"/>
    <tableColumn id="14" xr3:uid="{9FB4AD10-EC98-43E9-B258-949D65FCBB2C}" uniqueName="14" name="Hiszpański-R" queryTableFieldId="14"/>
    <tableColumn id="15" xr3:uid="{53DBD342-2590-4B5A-A4FC-5D59DC9C931C}" uniqueName="15" name="Niemiecki-P" queryTableFieldId="15"/>
    <tableColumn id="16" xr3:uid="{DC240CA8-CD1C-4F8E-AC03-A4E5A212013C}" uniqueName="16" name="Niemiecki-R" queryTableFieldId="16"/>
    <tableColumn id="17" xr3:uid="{307EBBFA-CEE7-4E57-8DAB-03D4B60ADABD}" uniqueName="17" name="Matematyka-P" queryTableFieldId="17"/>
    <tableColumn id="18" xr3:uid="{66E77F94-0554-40C9-9937-7C4B9579BF37}" uniqueName="18" name="Matematyka-R" queryTableFieldId="18"/>
    <tableColumn id="19" xr3:uid="{E267C74E-5D02-4813-B961-BD0616CBE765}" uniqueName="19" name="Polski-P" queryTableFieldId="19"/>
    <tableColumn id="20" xr3:uid="{C7B2DA01-E9C3-4710-A827-78F23AEB2196}" uniqueName="20" name="Polski-R" queryTableFieldId="20"/>
    <tableColumn id="21" xr3:uid="{C1D808A6-8A2C-4DED-ADBF-AFA6389A92ED}" uniqueName="21" name="WOS-R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45AFE9-F3C6-42EB-B018-CCFAE9CB1B18}" name="matura3" displayName="matura3" ref="A1:V153" tableType="queryTable" totalsRowShown="0">
  <autoFilter ref="A1:V153" xr:uid="{5FE8F0AB-6381-43CA-BE44-5DFBCB8ABAD8}">
    <filterColumn colId="21">
      <filters>
        <filter val="2"/>
        <filter val="3"/>
      </filters>
    </filterColumn>
  </autoFilter>
  <tableColumns count="22">
    <tableColumn id="1" xr3:uid="{2BD0A418-7094-414E-8838-10051AFAD835}" uniqueName="1" name="KLASA" queryTableFieldId="1" dataDxfId="12"/>
    <tableColumn id="2" xr3:uid="{D9143658-F7C0-4577-8304-1457BED4C85E}" uniqueName="2" name="PESEL" queryTableFieldId="2" dataDxfId="11"/>
    <tableColumn id="3" xr3:uid="{08D43879-1DBE-4C2B-9DE9-F1972C3588FD}" uniqueName="3" name="Biologia-R" queryTableFieldId="3"/>
    <tableColumn id="4" xr3:uid="{C04481AE-6A42-48FD-AAB3-DBB5F9C21820}" uniqueName="4" name="Chemia-R" queryTableFieldId="4"/>
    <tableColumn id="5" xr3:uid="{D1964948-F9E4-447E-BA06-4872C825DA5A}" uniqueName="5" name="Fizyka-R" queryTableFieldId="5"/>
    <tableColumn id="6" xr3:uid="{5A178CFE-D040-4C94-9FB3-87EA0E33A935}" uniqueName="6" name="Geografia-R" queryTableFieldId="6"/>
    <tableColumn id="7" xr3:uid="{152B089B-6B83-47B9-B48C-9F0C90FB7CF9}" uniqueName="7" name="Historia-R" queryTableFieldId="7"/>
    <tableColumn id="8" xr3:uid="{A0D2F6F8-91FE-41D2-A9A8-88B691E2BD6A}" uniqueName="8" name="Informatyka-R" queryTableFieldId="8"/>
    <tableColumn id="9" xr3:uid="{DE6578D8-6DFE-4FF6-B1D1-0BFF319A5812}" uniqueName="9" name="Angielski-P" queryTableFieldId="9"/>
    <tableColumn id="10" xr3:uid="{337FDA81-5952-4B68-B9AD-A9697336F2CF}" uniqueName="10" name="Angielski-R" queryTableFieldId="10"/>
    <tableColumn id="11" xr3:uid="{270B4C0C-6A72-4C85-8123-B3A21F20AFD0}" uniqueName="11" name="Francuski-P" queryTableFieldId="11"/>
    <tableColumn id="12" xr3:uid="{689CFD8A-B64E-41AD-86B2-9F629BEB5C87}" uniqueName="12" name="Francuski-R" queryTableFieldId="12"/>
    <tableColumn id="13" xr3:uid="{EAA071D8-39E9-4583-A4C1-0133061E6B7B}" uniqueName="13" name="Hiszpański-P" queryTableFieldId="13"/>
    <tableColumn id="14" xr3:uid="{D330431B-55BA-4203-8716-9F5C3A5D5646}" uniqueName="14" name="Hiszpański-R" queryTableFieldId="14"/>
    <tableColumn id="15" xr3:uid="{4E5C0DBD-4C8A-4E75-8328-E19832B6A6C8}" uniqueName="15" name="Niemiecki-P" queryTableFieldId="15"/>
    <tableColumn id="16" xr3:uid="{8541BB48-C0B9-4F34-8CAA-533B74BCF4C5}" uniqueName="16" name="Niemiecki-R" queryTableFieldId="16"/>
    <tableColumn id="17" xr3:uid="{B23C4A76-07B3-4A63-869B-3EBFF910779A}" uniqueName="17" name="Matematyka-P" queryTableFieldId="17"/>
    <tableColumn id="18" xr3:uid="{406043C2-01AB-4BF9-8CEF-1D656CDEB981}" uniqueName="18" name="Matematyka-R" queryTableFieldId="18"/>
    <tableColumn id="19" xr3:uid="{816D2916-3445-4266-ADF9-B8B2FF6DCF05}" uniqueName="19" name="Polski-P" queryTableFieldId="19"/>
    <tableColumn id="20" xr3:uid="{0CF00383-4CB8-4331-B50F-8A471BA9FECF}" uniqueName="20" name="Polski-R" queryTableFieldId="20"/>
    <tableColumn id="21" xr3:uid="{D7DE06C5-5595-454B-A966-5431B9E8375D}" uniqueName="21" name="WOS-R" queryTableFieldId="21"/>
    <tableColumn id="22" xr3:uid="{B1FFCDAF-F369-437D-9567-9D0371C3EC5E}" uniqueName="22" name="ile100" queryTableFieldId="22" dataDxfId="10">
      <calculatedColumnFormula>COUNTIF(matura3[[#This Row],[Biologia-R]:[WOS-R]],100)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CAD705-E966-4936-A967-0B144F741D1C}" name="matura4" displayName="matura4" ref="A1:U153" tableType="queryTable" totalsRowShown="0">
  <autoFilter ref="A1:U153" xr:uid="{5FE8F0AB-6381-43CA-BE44-5DFBCB8ABAD8}"/>
  <tableColumns count="21">
    <tableColumn id="1" xr3:uid="{AB478138-6FD7-4115-80FE-8E2842ADD148}" uniqueName="1" name="KLASA" queryTableFieldId="1" dataDxfId="9"/>
    <tableColumn id="2" xr3:uid="{2EE674E1-44ED-40B1-A5ED-606B12F770BF}" uniqueName="2" name="PESEL" queryTableFieldId="2" dataDxfId="8"/>
    <tableColumn id="3" xr3:uid="{9E061AC8-4661-4234-938F-0668FD8A8B70}" uniqueName="3" name="Biologia-R" queryTableFieldId="3"/>
    <tableColumn id="4" xr3:uid="{C45D7F18-F229-4B8B-B7C9-DB2D32822725}" uniqueName="4" name="Chemia-R" queryTableFieldId="4"/>
    <tableColumn id="5" xr3:uid="{159A7256-B38D-43B5-98D5-5F953A8BF68B}" uniqueName="5" name="Fizyka-R" queryTableFieldId="5"/>
    <tableColumn id="6" xr3:uid="{D87C3681-FB89-48F3-B131-C7213001F373}" uniqueName="6" name="Geografia-R" queryTableFieldId="6"/>
    <tableColumn id="7" xr3:uid="{D11B6435-4C45-4D5D-9E78-5C3CB7F66FDE}" uniqueName="7" name="Historia-R" queryTableFieldId="7"/>
    <tableColumn id="8" xr3:uid="{C9C399DE-0757-464E-9CA8-C02A64B0965B}" uniqueName="8" name="Informatyka-R" queryTableFieldId="8"/>
    <tableColumn id="9" xr3:uid="{E9BCB580-51D4-4710-95B2-50DD2E7239BE}" uniqueName="9" name="Angielski-P" queryTableFieldId="9"/>
    <tableColumn id="10" xr3:uid="{B5D5628D-B093-4BE4-8568-A1FB775EFAB5}" uniqueName="10" name="Angielski-R" queryTableFieldId="10"/>
    <tableColumn id="11" xr3:uid="{5B16243D-4F1B-49FD-99D2-5A6C2E74E9BB}" uniqueName="11" name="Francuski-P" queryTableFieldId="11"/>
    <tableColumn id="12" xr3:uid="{D0C955D2-C3D3-487C-BB03-B0BCDC2E9CAC}" uniqueName="12" name="Francuski-R" queryTableFieldId="12"/>
    <tableColumn id="13" xr3:uid="{E2ABA491-1E97-420D-B15E-1A60F25F4C2D}" uniqueName="13" name="Hiszpański-P" queryTableFieldId="13"/>
    <tableColumn id="14" xr3:uid="{ADF8A28B-A003-4645-9B33-E705A9BFF405}" uniqueName="14" name="Hiszpański-R" queryTableFieldId="14"/>
    <tableColumn id="15" xr3:uid="{33CB34FD-7203-45F8-BD3B-0309CBD2526B}" uniqueName="15" name="Niemiecki-P" queryTableFieldId="15"/>
    <tableColumn id="16" xr3:uid="{27EDC6B4-F8B9-462D-BBE7-3FAF7C1B9B75}" uniqueName="16" name="Niemiecki-R" queryTableFieldId="16"/>
    <tableColumn id="17" xr3:uid="{E5A066C8-92ED-4190-B600-D55E3BED011B}" uniqueName="17" name="Matematyka-P" queryTableFieldId="17"/>
    <tableColumn id="18" xr3:uid="{6C5BEBEB-6F95-4086-8227-BCF93AF50574}" uniqueName="18" name="Matematyka-R" queryTableFieldId="18"/>
    <tableColumn id="19" xr3:uid="{3648D488-2C5E-49EB-9030-9DCB2F0A0F7C}" uniqueName="19" name="Polski-P" queryTableFieldId="19"/>
    <tableColumn id="20" xr3:uid="{18B6CBAA-C2B6-416F-ACF4-8F65721AC384}" uniqueName="20" name="Polski-R" queryTableFieldId="20"/>
    <tableColumn id="21" xr3:uid="{1F66534D-8A8F-4F71-B3E2-3B520FF8C909}" uniqueName="21" name="WOS-R" queryTableField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42766C-D52E-42F2-9748-0A89D9FC1DF3}" name="matura7" displayName="matura7" ref="A1:E153" tableType="queryTable" totalsRowShown="0">
  <autoFilter ref="A1:E153" xr:uid="{5FE8F0AB-6381-43CA-BE44-5DFBCB8ABAD8}"/>
  <tableColumns count="5">
    <tableColumn id="1" xr3:uid="{3D0B41E5-5B63-403A-867E-90E589E45078}" uniqueName="1" name="KLASA" queryTableFieldId="1" dataDxfId="6"/>
    <tableColumn id="2" xr3:uid="{C764DB3D-1B2F-4828-9844-CE9E60950ADE}" uniqueName="2" name="PESEL" queryTableFieldId="2" dataDxfId="7"/>
    <tableColumn id="17" xr3:uid="{07683536-42AC-4936-B544-12E47AD0642D}" uniqueName="17" name="Matematyka-P" queryTableFieldId="17"/>
    <tableColumn id="19" xr3:uid="{B976882B-3F03-4389-8832-96513559F94B}" uniqueName="19" name="Polski-P" queryTableFieldId="19"/>
    <tableColumn id="22" xr3:uid="{D733F1DF-E0CC-43AC-9B68-2806210DA358}" uniqueName="22" name="Płeć" queryTableFieldId="22" dataDxfId="5">
      <calculatedColumnFormula>IF(MOD(VALUE(MID(matura7[[#This Row],[PESEL]],10,1)),2)=0,"K","M")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D86C16-4A2D-451A-AFEC-6E061A4F13BB}" name="matura8" displayName="matura8" ref="A1:Q153" tableType="queryTable" totalsRowShown="0">
  <autoFilter ref="A1:Q153" xr:uid="{5FE8F0AB-6381-43CA-BE44-5DFBCB8ABAD8}"/>
  <tableColumns count="17">
    <tableColumn id="1" xr3:uid="{DD2CC3B6-8907-4FF2-98E6-15E306476750}" uniqueName="1" name="KLASA" queryTableFieldId="1" dataDxfId="3"/>
    <tableColumn id="2" xr3:uid="{34A7C9A6-A51F-47E5-BB07-861198D4544E}" uniqueName="2" name="PESEL" queryTableFieldId="2" dataDxfId="2"/>
    <tableColumn id="3" xr3:uid="{811CCA6F-BF65-4B55-AD76-A55503D5FAC4}" uniqueName="3" name="Biologia-R" queryTableFieldId="3"/>
    <tableColumn id="4" xr3:uid="{3CCDC980-3E75-4204-9C0A-1A4455A30EB0}" uniqueName="4" name="Chemia-R" queryTableFieldId="4"/>
    <tableColumn id="5" xr3:uid="{2BB657EA-83B1-4A5D-A8AE-6CB3FF415DCA}" uniqueName="5" name="Fizyka-R" queryTableFieldId="5"/>
    <tableColumn id="6" xr3:uid="{1D41CE66-A88A-45B0-8018-7C35A08CA8EE}" uniqueName="6" name="Geografia-R" queryTableFieldId="6"/>
    <tableColumn id="7" xr3:uid="{052D6409-5908-40E6-B802-B4B68E334805}" uniqueName="7" name="Historia-R" queryTableFieldId="7"/>
    <tableColumn id="8" xr3:uid="{BBC7D0C2-4C54-473D-A306-28864AEBC68C}" uniqueName="8" name="Informatyka-R" queryTableFieldId="8"/>
    <tableColumn id="10" xr3:uid="{AD764D6E-3654-40CC-9B0B-8599BC3D0CF8}" uniqueName="10" name="Angielski-R" queryTableFieldId="10"/>
    <tableColumn id="12" xr3:uid="{ACDD0BDD-3853-4CB6-8507-D78E46AB06EA}" uniqueName="12" name="Francuski-R" queryTableFieldId="12"/>
    <tableColumn id="14" xr3:uid="{3F496149-0B92-47DE-9FC4-FFB7D9308DEB}" uniqueName="14" name="Hiszpański-R" queryTableFieldId="14"/>
    <tableColumn id="16" xr3:uid="{80C3FB9B-5535-47E4-AE54-A11391BB3CD6}" uniqueName="16" name="Niemiecki-R" queryTableFieldId="16"/>
    <tableColumn id="18" xr3:uid="{B35F2CE8-650E-4621-8E4B-E20D8D069BF0}" uniqueName="18" name="Matematyka-R" queryTableFieldId="18"/>
    <tableColumn id="20" xr3:uid="{0DF0AAA0-CCBD-49CA-8853-CA3E95FD1CD4}" uniqueName="20" name="Polski-R" queryTableFieldId="20"/>
    <tableColumn id="21" xr3:uid="{B395BEA5-8211-4615-A028-F48BC16D6BBE}" uniqueName="21" name="WOS-R" queryTableFieldId="21"/>
    <tableColumn id="22" xr3:uid="{3F5E5692-AF01-4155-92A9-C8882C9C0349}" uniqueName="22" name="płeć" queryTableFieldId="22" dataDxfId="1">
      <calculatedColumnFormula>IF(MOD(VALUE(MID(matura8[[#This Row],[PESEL]],10,1)),2)=0,"K","M")</calculatedColumnFormula>
    </tableColumn>
    <tableColumn id="23" xr3:uid="{82DFB16E-20F5-4F30-A570-BF9A0AC7114B}" uniqueName="23" name="ile przedmiotów" queryTableFieldId="23" dataDxfId="0">
      <calculatedColumnFormula>COUNTA(matura8[[#This Row],[Biologia-R]:[WOS-R]])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621B-B5A2-47B6-BDFE-9B69694BB491}">
  <dimension ref="A1:U153"/>
  <sheetViews>
    <sheetView topLeftCell="A2" zoomScale="115" zoomScaleNormal="115" workbookViewId="0">
      <selection activeCell="D17" sqref="D17"/>
    </sheetView>
  </sheetViews>
  <sheetFormatPr defaultRowHeight="14.4" x14ac:dyDescent="0.3"/>
  <cols>
    <col min="1" max="1" width="8.5546875" bestFit="1" customWidth="1"/>
    <col min="2" max="2" width="12" bestFit="1" customWidth="1"/>
    <col min="3" max="3" width="11.6640625" bestFit="1" customWidth="1"/>
    <col min="4" max="4" width="11.44140625" bestFit="1" customWidth="1"/>
    <col min="5" max="5" width="10.33203125" bestFit="1" customWidth="1"/>
    <col min="6" max="6" width="13" bestFit="1" customWidth="1"/>
    <col min="7" max="7" width="11.6640625" bestFit="1" customWidth="1"/>
    <col min="8" max="8" width="15" bestFit="1" customWidth="1"/>
    <col min="9" max="10" width="12.5546875" bestFit="1" customWidth="1"/>
    <col min="11" max="12" width="13.109375" bestFit="1" customWidth="1"/>
    <col min="13" max="14" width="14.21875" bestFit="1" customWidth="1"/>
    <col min="15" max="16" width="13.6640625" bestFit="1" customWidth="1"/>
    <col min="17" max="18" width="15.44140625" bestFit="1" customWidth="1"/>
    <col min="19" max="20" width="10.109375" bestFit="1" customWidth="1"/>
    <col min="21" max="21" width="9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21</v>
      </c>
      <c r="B2" s="1" t="s">
        <v>22</v>
      </c>
      <c r="C2">
        <v>52</v>
      </c>
      <c r="I2">
        <v>100</v>
      </c>
      <c r="J2">
        <v>91</v>
      </c>
      <c r="L2">
        <v>88</v>
      </c>
      <c r="Q2">
        <v>80</v>
      </c>
      <c r="S2">
        <v>67</v>
      </c>
    </row>
    <row r="3" spans="1:21" x14ac:dyDescent="0.3">
      <c r="A3" s="1" t="s">
        <v>21</v>
      </c>
      <c r="B3" s="1" t="s">
        <v>23</v>
      </c>
      <c r="C3">
        <v>33</v>
      </c>
      <c r="D3">
        <v>52</v>
      </c>
      <c r="I3">
        <v>73</v>
      </c>
      <c r="Q3">
        <v>56</v>
      </c>
      <c r="S3">
        <v>40</v>
      </c>
    </row>
    <row r="4" spans="1:21" x14ac:dyDescent="0.3">
      <c r="A4" s="1" t="s">
        <v>21</v>
      </c>
      <c r="B4" s="1" t="s">
        <v>24</v>
      </c>
      <c r="C4">
        <v>70</v>
      </c>
      <c r="D4">
        <v>58</v>
      </c>
      <c r="I4">
        <v>92</v>
      </c>
      <c r="Q4">
        <v>60</v>
      </c>
      <c r="S4">
        <v>61</v>
      </c>
    </row>
    <row r="5" spans="1:21" x14ac:dyDescent="0.3">
      <c r="A5" s="1" t="s">
        <v>21</v>
      </c>
      <c r="B5" s="1" t="s">
        <v>25</v>
      </c>
      <c r="C5">
        <v>90</v>
      </c>
      <c r="D5">
        <v>78</v>
      </c>
      <c r="I5">
        <v>98</v>
      </c>
      <c r="J5">
        <v>68</v>
      </c>
      <c r="Q5">
        <v>70</v>
      </c>
      <c r="S5">
        <v>73</v>
      </c>
    </row>
    <row r="6" spans="1:21" x14ac:dyDescent="0.3">
      <c r="A6" s="1" t="s">
        <v>21</v>
      </c>
      <c r="B6" s="1" t="s">
        <v>26</v>
      </c>
      <c r="C6">
        <v>62</v>
      </c>
      <c r="D6">
        <v>62</v>
      </c>
      <c r="I6">
        <v>87</v>
      </c>
      <c r="Q6">
        <v>70</v>
      </c>
      <c r="S6">
        <v>51</v>
      </c>
    </row>
    <row r="7" spans="1:21" x14ac:dyDescent="0.3">
      <c r="A7" s="1" t="s">
        <v>21</v>
      </c>
      <c r="B7" s="1" t="s">
        <v>27</v>
      </c>
      <c r="C7">
        <v>65</v>
      </c>
      <c r="D7">
        <v>65</v>
      </c>
      <c r="I7">
        <v>75</v>
      </c>
      <c r="Q7">
        <v>48</v>
      </c>
      <c r="S7">
        <v>40</v>
      </c>
    </row>
    <row r="8" spans="1:21" x14ac:dyDescent="0.3">
      <c r="A8" s="1" t="s">
        <v>21</v>
      </c>
      <c r="B8" s="1" t="s">
        <v>28</v>
      </c>
      <c r="D8">
        <v>58</v>
      </c>
      <c r="I8">
        <v>96</v>
      </c>
      <c r="J8">
        <v>61</v>
      </c>
      <c r="Q8">
        <v>94</v>
      </c>
      <c r="R8">
        <v>34</v>
      </c>
      <c r="S8">
        <v>74</v>
      </c>
    </row>
    <row r="9" spans="1:21" x14ac:dyDescent="0.3">
      <c r="A9" s="1" t="s">
        <v>21</v>
      </c>
      <c r="B9" s="1" t="s">
        <v>29</v>
      </c>
      <c r="C9">
        <v>77</v>
      </c>
      <c r="D9">
        <v>85</v>
      </c>
      <c r="I9">
        <v>96</v>
      </c>
      <c r="Q9">
        <v>96</v>
      </c>
      <c r="S9">
        <v>77</v>
      </c>
    </row>
    <row r="10" spans="1:21" x14ac:dyDescent="0.3">
      <c r="A10" s="1" t="s">
        <v>21</v>
      </c>
      <c r="B10" s="1" t="s">
        <v>30</v>
      </c>
      <c r="C10">
        <v>93</v>
      </c>
      <c r="D10">
        <v>67</v>
      </c>
      <c r="I10">
        <v>84</v>
      </c>
      <c r="Q10">
        <v>86</v>
      </c>
      <c r="S10">
        <v>73</v>
      </c>
    </row>
    <row r="11" spans="1:21" x14ac:dyDescent="0.3">
      <c r="A11" s="1" t="s">
        <v>21</v>
      </c>
      <c r="B11" s="1" t="s">
        <v>31</v>
      </c>
      <c r="C11">
        <v>57</v>
      </c>
      <c r="D11">
        <v>47</v>
      </c>
      <c r="I11">
        <v>87</v>
      </c>
      <c r="Q11">
        <v>40</v>
      </c>
      <c r="S11">
        <v>43</v>
      </c>
    </row>
    <row r="12" spans="1:21" x14ac:dyDescent="0.3">
      <c r="A12" s="1" t="s">
        <v>21</v>
      </c>
      <c r="B12" s="1" t="s">
        <v>32</v>
      </c>
      <c r="C12">
        <v>60</v>
      </c>
      <c r="I12">
        <v>96</v>
      </c>
      <c r="J12">
        <v>89</v>
      </c>
      <c r="Q12">
        <v>70</v>
      </c>
      <c r="S12">
        <v>76</v>
      </c>
    </row>
    <row r="13" spans="1:21" x14ac:dyDescent="0.3">
      <c r="A13" s="1" t="s">
        <v>21</v>
      </c>
      <c r="B13" s="1" t="s">
        <v>33</v>
      </c>
      <c r="F13">
        <v>90</v>
      </c>
      <c r="I13">
        <v>100</v>
      </c>
      <c r="J13">
        <v>100</v>
      </c>
      <c r="O13">
        <v>100</v>
      </c>
      <c r="Q13">
        <v>98</v>
      </c>
      <c r="R13">
        <v>86</v>
      </c>
      <c r="S13">
        <v>80</v>
      </c>
    </row>
    <row r="14" spans="1:21" x14ac:dyDescent="0.3">
      <c r="A14" s="1" t="s">
        <v>21</v>
      </c>
      <c r="B14" s="1" t="s">
        <v>34</v>
      </c>
      <c r="C14">
        <v>95</v>
      </c>
      <c r="D14">
        <v>88</v>
      </c>
      <c r="I14">
        <v>92</v>
      </c>
      <c r="Q14">
        <v>92</v>
      </c>
      <c r="S14">
        <v>79</v>
      </c>
    </row>
    <row r="15" spans="1:21" x14ac:dyDescent="0.3">
      <c r="A15" s="1" t="s">
        <v>21</v>
      </c>
      <c r="B15" s="1" t="s">
        <v>35</v>
      </c>
      <c r="C15">
        <v>75</v>
      </c>
      <c r="D15">
        <v>67</v>
      </c>
      <c r="I15">
        <v>91</v>
      </c>
      <c r="Q15">
        <v>88</v>
      </c>
      <c r="S15">
        <v>59</v>
      </c>
    </row>
    <row r="16" spans="1:21" x14ac:dyDescent="0.3">
      <c r="A16" s="1" t="s">
        <v>21</v>
      </c>
      <c r="B16" s="1" t="s">
        <v>36</v>
      </c>
      <c r="C16">
        <v>85</v>
      </c>
      <c r="D16">
        <v>83</v>
      </c>
      <c r="E16">
        <v>48</v>
      </c>
      <c r="I16">
        <v>94</v>
      </c>
      <c r="Q16">
        <v>92</v>
      </c>
      <c r="S16">
        <v>56</v>
      </c>
    </row>
    <row r="17" spans="1:19" x14ac:dyDescent="0.3">
      <c r="A17" s="1" t="s">
        <v>21</v>
      </c>
      <c r="B17" s="1" t="s">
        <v>37</v>
      </c>
      <c r="C17">
        <v>62</v>
      </c>
      <c r="D17">
        <v>48</v>
      </c>
      <c r="I17">
        <v>85</v>
      </c>
      <c r="Q17">
        <v>58</v>
      </c>
      <c r="S17">
        <v>59</v>
      </c>
    </row>
    <row r="18" spans="1:19" x14ac:dyDescent="0.3">
      <c r="A18" s="1" t="s">
        <v>21</v>
      </c>
      <c r="B18" s="1" t="s">
        <v>38</v>
      </c>
      <c r="C18">
        <v>68</v>
      </c>
      <c r="D18">
        <v>62</v>
      </c>
      <c r="I18">
        <v>99</v>
      </c>
      <c r="J18">
        <v>93</v>
      </c>
      <c r="Q18">
        <v>78</v>
      </c>
      <c r="S18">
        <v>54</v>
      </c>
    </row>
    <row r="19" spans="1:19" x14ac:dyDescent="0.3">
      <c r="A19" s="1" t="s">
        <v>21</v>
      </c>
      <c r="B19" s="1" t="s">
        <v>39</v>
      </c>
      <c r="C19">
        <v>55</v>
      </c>
      <c r="D19">
        <v>62</v>
      </c>
      <c r="I19">
        <v>96</v>
      </c>
      <c r="J19">
        <v>86</v>
      </c>
      <c r="Q19">
        <v>92</v>
      </c>
      <c r="S19">
        <v>73</v>
      </c>
    </row>
    <row r="20" spans="1:19" x14ac:dyDescent="0.3">
      <c r="A20" s="1" t="s">
        <v>21</v>
      </c>
      <c r="B20" s="1" t="s">
        <v>40</v>
      </c>
      <c r="C20">
        <v>68</v>
      </c>
      <c r="D20">
        <v>45</v>
      </c>
      <c r="I20">
        <v>92</v>
      </c>
      <c r="Q20">
        <v>78</v>
      </c>
      <c r="S20">
        <v>56</v>
      </c>
    </row>
    <row r="21" spans="1:19" x14ac:dyDescent="0.3">
      <c r="A21" s="1" t="s">
        <v>21</v>
      </c>
      <c r="B21" s="1" t="s">
        <v>41</v>
      </c>
      <c r="C21">
        <v>78</v>
      </c>
      <c r="I21">
        <v>95</v>
      </c>
      <c r="J21">
        <v>77</v>
      </c>
      <c r="Q21">
        <v>64</v>
      </c>
      <c r="S21">
        <v>84</v>
      </c>
    </row>
    <row r="22" spans="1:19" x14ac:dyDescent="0.3">
      <c r="A22" s="1" t="s">
        <v>21</v>
      </c>
      <c r="B22" s="1" t="s">
        <v>42</v>
      </c>
      <c r="C22">
        <v>72</v>
      </c>
      <c r="D22">
        <v>68</v>
      </c>
      <c r="I22">
        <v>92</v>
      </c>
      <c r="Q22">
        <v>70</v>
      </c>
      <c r="S22">
        <v>64</v>
      </c>
    </row>
    <row r="23" spans="1:19" x14ac:dyDescent="0.3">
      <c r="A23" s="1" t="s">
        <v>21</v>
      </c>
      <c r="B23" s="1" t="s">
        <v>43</v>
      </c>
      <c r="C23">
        <v>55</v>
      </c>
      <c r="D23">
        <v>50</v>
      </c>
      <c r="I23">
        <v>84</v>
      </c>
      <c r="Q23">
        <v>58</v>
      </c>
      <c r="S23">
        <v>54</v>
      </c>
    </row>
    <row r="24" spans="1:19" x14ac:dyDescent="0.3">
      <c r="A24" s="1" t="s">
        <v>21</v>
      </c>
      <c r="B24" s="1" t="s">
        <v>44</v>
      </c>
      <c r="C24">
        <v>67</v>
      </c>
      <c r="D24">
        <v>60</v>
      </c>
      <c r="I24">
        <v>92</v>
      </c>
      <c r="Q24">
        <v>76</v>
      </c>
      <c r="S24">
        <v>50</v>
      </c>
    </row>
    <row r="25" spans="1:19" x14ac:dyDescent="0.3">
      <c r="A25" s="1" t="s">
        <v>21</v>
      </c>
      <c r="B25" s="1" t="s">
        <v>45</v>
      </c>
      <c r="C25">
        <v>45</v>
      </c>
      <c r="D25">
        <v>30</v>
      </c>
      <c r="I25">
        <v>61</v>
      </c>
      <c r="Q25">
        <v>50</v>
      </c>
      <c r="S25">
        <v>33</v>
      </c>
    </row>
    <row r="26" spans="1:19" x14ac:dyDescent="0.3">
      <c r="A26" s="1" t="s">
        <v>21</v>
      </c>
      <c r="B26" s="1" t="s">
        <v>46</v>
      </c>
      <c r="C26">
        <v>83</v>
      </c>
      <c r="D26">
        <v>50</v>
      </c>
      <c r="I26">
        <v>100</v>
      </c>
      <c r="J26">
        <v>83</v>
      </c>
      <c r="Q26">
        <v>62</v>
      </c>
      <c r="S26">
        <v>76</v>
      </c>
    </row>
    <row r="27" spans="1:19" x14ac:dyDescent="0.3">
      <c r="A27" s="1" t="s">
        <v>21</v>
      </c>
      <c r="B27" s="1" t="s">
        <v>47</v>
      </c>
      <c r="C27">
        <v>80</v>
      </c>
      <c r="I27">
        <v>99</v>
      </c>
      <c r="J27">
        <v>83</v>
      </c>
      <c r="Q27">
        <v>72</v>
      </c>
      <c r="S27">
        <v>84</v>
      </c>
    </row>
    <row r="28" spans="1:19" x14ac:dyDescent="0.3">
      <c r="A28" s="1" t="s">
        <v>21</v>
      </c>
      <c r="B28" s="1" t="s">
        <v>48</v>
      </c>
      <c r="C28">
        <v>70</v>
      </c>
      <c r="D28">
        <v>60</v>
      </c>
      <c r="I28">
        <v>91</v>
      </c>
      <c r="Q28">
        <v>80</v>
      </c>
      <c r="S28">
        <v>74</v>
      </c>
    </row>
    <row r="29" spans="1:19" x14ac:dyDescent="0.3">
      <c r="A29" s="1" t="s">
        <v>21</v>
      </c>
      <c r="B29" s="1" t="s">
        <v>49</v>
      </c>
      <c r="E29">
        <v>55</v>
      </c>
      <c r="I29">
        <v>96</v>
      </c>
      <c r="J29">
        <v>86</v>
      </c>
      <c r="Q29">
        <v>86</v>
      </c>
      <c r="S29">
        <v>64</v>
      </c>
    </row>
    <row r="30" spans="1:19" x14ac:dyDescent="0.3">
      <c r="A30" s="1" t="s">
        <v>21</v>
      </c>
      <c r="B30" s="1" t="s">
        <v>50</v>
      </c>
      <c r="C30">
        <v>73</v>
      </c>
      <c r="D30">
        <v>78</v>
      </c>
      <c r="I30">
        <v>96</v>
      </c>
      <c r="Q30">
        <v>82</v>
      </c>
      <c r="S30">
        <v>60</v>
      </c>
    </row>
    <row r="31" spans="1:19" x14ac:dyDescent="0.3">
      <c r="A31" s="1" t="s">
        <v>21</v>
      </c>
      <c r="B31" s="1" t="s">
        <v>51</v>
      </c>
      <c r="C31">
        <v>80</v>
      </c>
      <c r="D31">
        <v>60</v>
      </c>
      <c r="I31">
        <v>88</v>
      </c>
      <c r="J31">
        <v>67</v>
      </c>
      <c r="Q31">
        <v>80</v>
      </c>
      <c r="S31">
        <v>63</v>
      </c>
    </row>
    <row r="32" spans="1:19" x14ac:dyDescent="0.3">
      <c r="A32" s="1" t="s">
        <v>21</v>
      </c>
      <c r="B32" s="1" t="s">
        <v>52</v>
      </c>
      <c r="C32">
        <v>93</v>
      </c>
      <c r="D32">
        <v>88</v>
      </c>
      <c r="I32">
        <v>100</v>
      </c>
      <c r="J32">
        <v>76</v>
      </c>
      <c r="Q32">
        <v>92</v>
      </c>
      <c r="S32">
        <v>76</v>
      </c>
    </row>
    <row r="33" spans="1:21" x14ac:dyDescent="0.3">
      <c r="A33" s="1" t="s">
        <v>21</v>
      </c>
      <c r="B33" s="1" t="s">
        <v>53</v>
      </c>
      <c r="C33">
        <v>85</v>
      </c>
      <c r="D33">
        <v>93</v>
      </c>
      <c r="E33">
        <v>82</v>
      </c>
      <c r="I33">
        <v>96</v>
      </c>
      <c r="Q33">
        <v>94</v>
      </c>
      <c r="R33">
        <v>74</v>
      </c>
      <c r="S33">
        <v>66</v>
      </c>
    </row>
    <row r="34" spans="1:21" x14ac:dyDescent="0.3">
      <c r="A34" s="1" t="s">
        <v>21</v>
      </c>
      <c r="B34" s="1" t="s">
        <v>54</v>
      </c>
      <c r="C34">
        <v>90</v>
      </c>
      <c r="D34">
        <v>82</v>
      </c>
      <c r="I34">
        <v>92</v>
      </c>
      <c r="Q34">
        <v>86</v>
      </c>
      <c r="S34">
        <v>63</v>
      </c>
    </row>
    <row r="35" spans="1:21" x14ac:dyDescent="0.3">
      <c r="A35" s="1" t="s">
        <v>21</v>
      </c>
      <c r="B35" s="1" t="s">
        <v>55</v>
      </c>
      <c r="C35">
        <v>87</v>
      </c>
      <c r="I35">
        <v>100</v>
      </c>
      <c r="Q35">
        <v>82</v>
      </c>
      <c r="S35">
        <v>79</v>
      </c>
      <c r="T35">
        <v>73</v>
      </c>
      <c r="U35">
        <v>64</v>
      </c>
    </row>
    <row r="36" spans="1:21" x14ac:dyDescent="0.3">
      <c r="A36" s="1" t="s">
        <v>56</v>
      </c>
      <c r="B36" s="1" t="s">
        <v>57</v>
      </c>
      <c r="I36">
        <v>93</v>
      </c>
      <c r="J36">
        <v>60</v>
      </c>
      <c r="Q36">
        <v>46</v>
      </c>
      <c r="S36">
        <v>60</v>
      </c>
      <c r="T36">
        <v>75</v>
      </c>
    </row>
    <row r="37" spans="1:21" x14ac:dyDescent="0.3">
      <c r="A37" s="1" t="s">
        <v>56</v>
      </c>
      <c r="B37" s="1" t="s">
        <v>58</v>
      </c>
      <c r="I37">
        <v>96</v>
      </c>
      <c r="J37">
        <v>87</v>
      </c>
      <c r="Q37">
        <v>50</v>
      </c>
      <c r="S37">
        <v>40</v>
      </c>
      <c r="T37">
        <v>70</v>
      </c>
      <c r="U37">
        <v>44</v>
      </c>
    </row>
    <row r="38" spans="1:21" x14ac:dyDescent="0.3">
      <c r="A38" s="1" t="s">
        <v>56</v>
      </c>
      <c r="B38" s="1" t="s">
        <v>59</v>
      </c>
      <c r="G38">
        <v>92</v>
      </c>
      <c r="I38">
        <v>100</v>
      </c>
      <c r="J38">
        <v>81</v>
      </c>
      <c r="Q38">
        <v>88</v>
      </c>
      <c r="S38">
        <v>57</v>
      </c>
      <c r="T38">
        <v>70</v>
      </c>
    </row>
    <row r="39" spans="1:21" x14ac:dyDescent="0.3">
      <c r="A39" s="1" t="s">
        <v>56</v>
      </c>
      <c r="B39" s="1" t="s">
        <v>60</v>
      </c>
      <c r="G39">
        <v>86</v>
      </c>
      <c r="I39">
        <v>100</v>
      </c>
      <c r="J39">
        <v>90</v>
      </c>
      <c r="Q39">
        <v>70</v>
      </c>
      <c r="S39">
        <v>56</v>
      </c>
      <c r="T39">
        <v>68</v>
      </c>
      <c r="U39">
        <v>78</v>
      </c>
    </row>
    <row r="40" spans="1:21" x14ac:dyDescent="0.3">
      <c r="A40" s="1" t="s">
        <v>56</v>
      </c>
      <c r="B40" s="1" t="s">
        <v>61</v>
      </c>
      <c r="G40">
        <v>90</v>
      </c>
      <c r="I40">
        <v>96</v>
      </c>
      <c r="J40">
        <v>93</v>
      </c>
      <c r="Q40">
        <v>86</v>
      </c>
      <c r="R40">
        <v>36</v>
      </c>
      <c r="S40">
        <v>53</v>
      </c>
      <c r="T40">
        <v>73</v>
      </c>
      <c r="U40">
        <v>100</v>
      </c>
    </row>
    <row r="41" spans="1:21" x14ac:dyDescent="0.3">
      <c r="A41" s="1" t="s">
        <v>56</v>
      </c>
      <c r="B41" s="1" t="s">
        <v>62</v>
      </c>
      <c r="I41">
        <v>59</v>
      </c>
      <c r="J41">
        <v>44</v>
      </c>
      <c r="Q41">
        <v>34</v>
      </c>
      <c r="S41">
        <v>30</v>
      </c>
      <c r="T41">
        <v>53</v>
      </c>
      <c r="U41">
        <v>34</v>
      </c>
    </row>
    <row r="42" spans="1:21" x14ac:dyDescent="0.3">
      <c r="A42" s="1" t="s">
        <v>56</v>
      </c>
      <c r="B42" s="1" t="s">
        <v>63</v>
      </c>
      <c r="G42">
        <v>88</v>
      </c>
      <c r="I42">
        <v>98</v>
      </c>
      <c r="J42">
        <v>95</v>
      </c>
      <c r="P42">
        <v>69</v>
      </c>
      <c r="Q42">
        <v>68</v>
      </c>
      <c r="S42">
        <v>70</v>
      </c>
      <c r="T42">
        <v>80</v>
      </c>
      <c r="U42">
        <v>72</v>
      </c>
    </row>
    <row r="43" spans="1:21" x14ac:dyDescent="0.3">
      <c r="A43" s="1" t="s">
        <v>56</v>
      </c>
      <c r="B43" s="1" t="s">
        <v>64</v>
      </c>
      <c r="G43">
        <v>92</v>
      </c>
      <c r="I43">
        <v>93</v>
      </c>
      <c r="J43">
        <v>95</v>
      </c>
      <c r="Q43">
        <v>56</v>
      </c>
      <c r="S43">
        <v>79</v>
      </c>
      <c r="T43">
        <v>55</v>
      </c>
      <c r="U43">
        <v>72</v>
      </c>
    </row>
    <row r="44" spans="1:21" x14ac:dyDescent="0.3">
      <c r="A44" s="1" t="s">
        <v>56</v>
      </c>
      <c r="B44" s="1" t="s">
        <v>65</v>
      </c>
      <c r="G44">
        <v>94</v>
      </c>
      <c r="I44">
        <v>90</v>
      </c>
      <c r="J44">
        <v>67</v>
      </c>
      <c r="Q44">
        <v>40</v>
      </c>
      <c r="S44">
        <v>80</v>
      </c>
      <c r="T44">
        <v>60</v>
      </c>
    </row>
    <row r="45" spans="1:21" x14ac:dyDescent="0.3">
      <c r="A45" s="1" t="s">
        <v>56</v>
      </c>
      <c r="B45" s="1" t="s">
        <v>66</v>
      </c>
      <c r="G45">
        <v>66</v>
      </c>
      <c r="I45">
        <v>98</v>
      </c>
      <c r="J45">
        <v>67</v>
      </c>
      <c r="Q45">
        <v>50</v>
      </c>
      <c r="S45">
        <v>54</v>
      </c>
      <c r="T45">
        <v>80</v>
      </c>
      <c r="U45">
        <v>68</v>
      </c>
    </row>
    <row r="46" spans="1:21" x14ac:dyDescent="0.3">
      <c r="A46" s="1" t="s">
        <v>56</v>
      </c>
      <c r="B46" s="1" t="s">
        <v>67</v>
      </c>
      <c r="I46">
        <v>100</v>
      </c>
      <c r="J46">
        <v>92</v>
      </c>
      <c r="Q46">
        <v>70</v>
      </c>
      <c r="S46">
        <v>63</v>
      </c>
      <c r="T46">
        <v>45</v>
      </c>
    </row>
    <row r="47" spans="1:21" x14ac:dyDescent="0.3">
      <c r="A47" s="1" t="s">
        <v>56</v>
      </c>
      <c r="B47" s="1" t="s">
        <v>68</v>
      </c>
      <c r="I47">
        <v>96</v>
      </c>
      <c r="J47">
        <v>63</v>
      </c>
      <c r="Q47">
        <v>64</v>
      </c>
      <c r="S47">
        <v>63</v>
      </c>
      <c r="T47">
        <v>58</v>
      </c>
      <c r="U47">
        <v>48</v>
      </c>
    </row>
    <row r="48" spans="1:21" x14ac:dyDescent="0.3">
      <c r="A48" s="1" t="s">
        <v>56</v>
      </c>
      <c r="B48" s="1" t="s">
        <v>69</v>
      </c>
      <c r="I48">
        <v>96</v>
      </c>
      <c r="J48">
        <v>69</v>
      </c>
      <c r="Q48">
        <v>68</v>
      </c>
      <c r="S48">
        <v>51</v>
      </c>
      <c r="T48">
        <v>70</v>
      </c>
      <c r="U48">
        <v>38</v>
      </c>
    </row>
    <row r="49" spans="1:21" x14ac:dyDescent="0.3">
      <c r="A49" s="1" t="s">
        <v>56</v>
      </c>
      <c r="B49" s="1" t="s">
        <v>70</v>
      </c>
      <c r="C49">
        <v>73</v>
      </c>
      <c r="D49">
        <v>65</v>
      </c>
      <c r="I49">
        <v>80</v>
      </c>
      <c r="Q49">
        <v>52</v>
      </c>
      <c r="S49">
        <v>56</v>
      </c>
    </row>
    <row r="50" spans="1:21" x14ac:dyDescent="0.3">
      <c r="A50" s="1" t="s">
        <v>56</v>
      </c>
      <c r="B50" s="1" t="s">
        <v>71</v>
      </c>
      <c r="C50">
        <v>50</v>
      </c>
      <c r="D50">
        <v>47</v>
      </c>
      <c r="I50">
        <v>92</v>
      </c>
      <c r="Q50">
        <v>58</v>
      </c>
      <c r="S50">
        <v>51</v>
      </c>
    </row>
    <row r="51" spans="1:21" x14ac:dyDescent="0.3">
      <c r="A51" s="1" t="s">
        <v>56</v>
      </c>
      <c r="B51" s="1" t="s">
        <v>72</v>
      </c>
      <c r="G51">
        <v>92</v>
      </c>
      <c r="I51">
        <v>92</v>
      </c>
      <c r="J51">
        <v>59</v>
      </c>
      <c r="Q51">
        <v>72</v>
      </c>
      <c r="S51">
        <v>41</v>
      </c>
      <c r="T51">
        <v>60</v>
      </c>
      <c r="U51">
        <v>68</v>
      </c>
    </row>
    <row r="52" spans="1:21" x14ac:dyDescent="0.3">
      <c r="A52" s="1" t="s">
        <v>56</v>
      </c>
      <c r="B52" s="1" t="s">
        <v>73</v>
      </c>
      <c r="C52">
        <v>73</v>
      </c>
      <c r="I52">
        <v>97</v>
      </c>
      <c r="J52">
        <v>74</v>
      </c>
      <c r="Q52">
        <v>56</v>
      </c>
      <c r="S52">
        <v>60</v>
      </c>
      <c r="T52">
        <v>73</v>
      </c>
    </row>
    <row r="53" spans="1:21" x14ac:dyDescent="0.3">
      <c r="A53" s="1" t="s">
        <v>56</v>
      </c>
      <c r="B53" s="1" t="s">
        <v>74</v>
      </c>
      <c r="G53">
        <v>80</v>
      </c>
      <c r="I53">
        <v>97</v>
      </c>
      <c r="J53">
        <v>83</v>
      </c>
      <c r="Q53">
        <v>44</v>
      </c>
      <c r="S53">
        <v>66</v>
      </c>
      <c r="T53">
        <v>63</v>
      </c>
    </row>
    <row r="54" spans="1:21" x14ac:dyDescent="0.3">
      <c r="A54" s="1" t="s">
        <v>56</v>
      </c>
      <c r="B54" s="1" t="s">
        <v>75</v>
      </c>
      <c r="C54">
        <v>35</v>
      </c>
      <c r="I54">
        <v>96</v>
      </c>
      <c r="J54">
        <v>84</v>
      </c>
      <c r="Q54">
        <v>32</v>
      </c>
      <c r="S54">
        <v>51</v>
      </c>
      <c r="T54">
        <v>63</v>
      </c>
    </row>
    <row r="55" spans="1:21" x14ac:dyDescent="0.3">
      <c r="A55" s="1" t="s">
        <v>56</v>
      </c>
      <c r="B55" s="1" t="s">
        <v>76</v>
      </c>
      <c r="F55">
        <v>47</v>
      </c>
      <c r="I55">
        <v>86</v>
      </c>
      <c r="J55">
        <v>60</v>
      </c>
      <c r="Q55">
        <v>66</v>
      </c>
      <c r="S55">
        <v>34</v>
      </c>
      <c r="T55">
        <v>58</v>
      </c>
      <c r="U55">
        <v>58</v>
      </c>
    </row>
    <row r="56" spans="1:21" x14ac:dyDescent="0.3">
      <c r="A56" s="1" t="s">
        <v>56</v>
      </c>
      <c r="B56" s="1" t="s">
        <v>77</v>
      </c>
      <c r="G56">
        <v>42</v>
      </c>
      <c r="I56">
        <v>66</v>
      </c>
      <c r="Q56">
        <v>64</v>
      </c>
      <c r="S56">
        <v>56</v>
      </c>
      <c r="T56">
        <v>75</v>
      </c>
    </row>
    <row r="57" spans="1:21" x14ac:dyDescent="0.3">
      <c r="A57" s="1" t="s">
        <v>56</v>
      </c>
      <c r="B57" s="1" t="s">
        <v>78</v>
      </c>
      <c r="G57">
        <v>76</v>
      </c>
      <c r="I57">
        <v>97</v>
      </c>
      <c r="J57">
        <v>78</v>
      </c>
      <c r="Q57">
        <v>72</v>
      </c>
      <c r="S57">
        <v>60</v>
      </c>
      <c r="T57">
        <v>80</v>
      </c>
    </row>
    <row r="58" spans="1:21" x14ac:dyDescent="0.3">
      <c r="A58" s="1" t="s">
        <v>56</v>
      </c>
      <c r="B58" s="1" t="s">
        <v>79</v>
      </c>
      <c r="G58">
        <v>80</v>
      </c>
      <c r="I58">
        <v>78</v>
      </c>
      <c r="J58">
        <v>34</v>
      </c>
      <c r="Q58">
        <v>52</v>
      </c>
      <c r="S58">
        <v>46</v>
      </c>
      <c r="T58">
        <v>80</v>
      </c>
      <c r="U58">
        <v>62</v>
      </c>
    </row>
    <row r="59" spans="1:21" x14ac:dyDescent="0.3">
      <c r="A59" s="1" t="s">
        <v>56</v>
      </c>
      <c r="B59" s="1" t="s">
        <v>80</v>
      </c>
      <c r="I59">
        <v>65</v>
      </c>
      <c r="Q59">
        <v>50</v>
      </c>
      <c r="S59">
        <v>43</v>
      </c>
      <c r="T59">
        <v>78</v>
      </c>
      <c r="U59">
        <v>24</v>
      </c>
    </row>
    <row r="60" spans="1:21" x14ac:dyDescent="0.3">
      <c r="A60" s="1" t="s">
        <v>56</v>
      </c>
      <c r="B60" s="1" t="s">
        <v>81</v>
      </c>
      <c r="G60">
        <v>88</v>
      </c>
      <c r="I60">
        <v>96</v>
      </c>
      <c r="J60">
        <v>92</v>
      </c>
      <c r="Q60">
        <v>58</v>
      </c>
      <c r="S60">
        <v>59</v>
      </c>
      <c r="T60">
        <v>53</v>
      </c>
      <c r="U60">
        <v>72</v>
      </c>
    </row>
    <row r="61" spans="1:21" x14ac:dyDescent="0.3">
      <c r="A61" s="1" t="s">
        <v>56</v>
      </c>
      <c r="B61" s="1" t="s">
        <v>82</v>
      </c>
      <c r="G61">
        <v>76</v>
      </c>
      <c r="I61">
        <v>100</v>
      </c>
      <c r="J61">
        <v>90</v>
      </c>
      <c r="O61">
        <v>100</v>
      </c>
      <c r="Q61">
        <v>78</v>
      </c>
      <c r="S61">
        <v>66</v>
      </c>
      <c r="T61">
        <v>75</v>
      </c>
    </row>
    <row r="62" spans="1:21" x14ac:dyDescent="0.3">
      <c r="A62" s="1" t="s">
        <v>56</v>
      </c>
      <c r="B62" s="1" t="s">
        <v>83</v>
      </c>
      <c r="G62">
        <v>96</v>
      </c>
      <c r="I62">
        <v>98</v>
      </c>
      <c r="J62">
        <v>91</v>
      </c>
      <c r="Q62">
        <v>72</v>
      </c>
      <c r="S62">
        <v>69</v>
      </c>
      <c r="T62">
        <v>85</v>
      </c>
    </row>
    <row r="63" spans="1:21" x14ac:dyDescent="0.3">
      <c r="A63" s="1" t="s">
        <v>56</v>
      </c>
      <c r="B63" s="1" t="s">
        <v>84</v>
      </c>
      <c r="G63">
        <v>76</v>
      </c>
      <c r="I63">
        <v>99</v>
      </c>
      <c r="J63">
        <v>84</v>
      </c>
      <c r="K63">
        <v>78</v>
      </c>
      <c r="Q63">
        <v>70</v>
      </c>
      <c r="S63">
        <v>53</v>
      </c>
      <c r="T63">
        <v>73</v>
      </c>
    </row>
    <row r="64" spans="1:21" x14ac:dyDescent="0.3">
      <c r="A64" s="1" t="s">
        <v>56</v>
      </c>
      <c r="B64" s="1" t="s">
        <v>85</v>
      </c>
      <c r="C64">
        <v>48</v>
      </c>
      <c r="D64">
        <v>17</v>
      </c>
      <c r="I64">
        <v>100</v>
      </c>
      <c r="J64">
        <v>92</v>
      </c>
      <c r="Q64">
        <v>60</v>
      </c>
      <c r="S64">
        <v>47</v>
      </c>
    </row>
    <row r="65" spans="1:21" x14ac:dyDescent="0.3">
      <c r="A65" s="1" t="s">
        <v>56</v>
      </c>
      <c r="B65" s="1" t="s">
        <v>86</v>
      </c>
      <c r="G65">
        <v>80</v>
      </c>
      <c r="I65">
        <v>98</v>
      </c>
      <c r="J65">
        <v>79</v>
      </c>
      <c r="Q65">
        <v>66</v>
      </c>
      <c r="S65">
        <v>66</v>
      </c>
      <c r="T65">
        <v>63</v>
      </c>
      <c r="U65">
        <v>60</v>
      </c>
    </row>
    <row r="66" spans="1:21" x14ac:dyDescent="0.3">
      <c r="A66" s="1" t="s">
        <v>56</v>
      </c>
      <c r="B66" s="1" t="s">
        <v>87</v>
      </c>
      <c r="I66">
        <v>94</v>
      </c>
      <c r="J66">
        <v>66</v>
      </c>
      <c r="Q66">
        <v>76</v>
      </c>
      <c r="R66">
        <v>24</v>
      </c>
      <c r="S66">
        <v>44</v>
      </c>
      <c r="T66">
        <v>40</v>
      </c>
    </row>
    <row r="67" spans="1:21" x14ac:dyDescent="0.3">
      <c r="A67" s="1" t="s">
        <v>88</v>
      </c>
      <c r="B67" s="1" t="s">
        <v>89</v>
      </c>
      <c r="I67">
        <v>95</v>
      </c>
      <c r="J67">
        <v>70</v>
      </c>
      <c r="M67">
        <v>51</v>
      </c>
      <c r="Q67">
        <v>76</v>
      </c>
      <c r="R67">
        <v>52</v>
      </c>
      <c r="S67">
        <v>49</v>
      </c>
    </row>
    <row r="68" spans="1:21" x14ac:dyDescent="0.3">
      <c r="A68" s="1" t="s">
        <v>88</v>
      </c>
      <c r="B68" s="1" t="s">
        <v>90</v>
      </c>
      <c r="F68">
        <v>42</v>
      </c>
      <c r="I68">
        <v>52</v>
      </c>
      <c r="Q68">
        <v>76</v>
      </c>
      <c r="R68">
        <v>40</v>
      </c>
      <c r="S68">
        <v>36</v>
      </c>
    </row>
    <row r="69" spans="1:21" x14ac:dyDescent="0.3">
      <c r="A69" s="1" t="s">
        <v>88</v>
      </c>
      <c r="B69" s="1" t="s">
        <v>91</v>
      </c>
      <c r="F69">
        <v>77</v>
      </c>
      <c r="I69">
        <v>92</v>
      </c>
      <c r="J69">
        <v>80</v>
      </c>
      <c r="K69">
        <v>68</v>
      </c>
      <c r="Q69">
        <v>66</v>
      </c>
      <c r="R69">
        <v>44</v>
      </c>
      <c r="S69">
        <v>54</v>
      </c>
    </row>
    <row r="70" spans="1:21" x14ac:dyDescent="0.3">
      <c r="A70" s="1" t="s">
        <v>88</v>
      </c>
      <c r="B70" s="1" t="s">
        <v>92</v>
      </c>
      <c r="F70">
        <v>55</v>
      </c>
      <c r="I70">
        <v>88</v>
      </c>
      <c r="Q70">
        <v>72</v>
      </c>
      <c r="R70">
        <v>42</v>
      </c>
      <c r="S70">
        <v>49</v>
      </c>
    </row>
    <row r="71" spans="1:21" x14ac:dyDescent="0.3">
      <c r="A71" s="1" t="s">
        <v>88</v>
      </c>
      <c r="B71" s="1" t="s">
        <v>93</v>
      </c>
      <c r="F71">
        <v>85</v>
      </c>
      <c r="I71">
        <v>100</v>
      </c>
      <c r="J71">
        <v>81</v>
      </c>
      <c r="M71">
        <v>94</v>
      </c>
      <c r="Q71">
        <v>94</v>
      </c>
      <c r="R71">
        <v>52</v>
      </c>
      <c r="S71">
        <v>71</v>
      </c>
    </row>
    <row r="72" spans="1:21" x14ac:dyDescent="0.3">
      <c r="A72" s="1" t="s">
        <v>88</v>
      </c>
      <c r="B72" s="1" t="s">
        <v>94</v>
      </c>
      <c r="F72">
        <v>68</v>
      </c>
      <c r="I72">
        <v>84</v>
      </c>
      <c r="Q72">
        <v>52</v>
      </c>
      <c r="R72">
        <v>14</v>
      </c>
      <c r="S72">
        <v>34</v>
      </c>
    </row>
    <row r="73" spans="1:21" x14ac:dyDescent="0.3">
      <c r="A73" s="1" t="s">
        <v>88</v>
      </c>
      <c r="B73" s="1" t="s">
        <v>95</v>
      </c>
      <c r="F73">
        <v>60</v>
      </c>
      <c r="I73">
        <v>92</v>
      </c>
      <c r="Q73">
        <v>70</v>
      </c>
      <c r="R73">
        <v>32</v>
      </c>
      <c r="S73">
        <v>63</v>
      </c>
    </row>
    <row r="74" spans="1:21" x14ac:dyDescent="0.3">
      <c r="A74" s="1" t="s">
        <v>88</v>
      </c>
      <c r="B74" s="1" t="s">
        <v>96</v>
      </c>
      <c r="F74">
        <v>70</v>
      </c>
      <c r="I74">
        <v>94</v>
      </c>
      <c r="J74">
        <v>84</v>
      </c>
      <c r="P74">
        <v>90</v>
      </c>
      <c r="Q74">
        <v>88</v>
      </c>
      <c r="R74">
        <v>56</v>
      </c>
      <c r="S74">
        <v>64</v>
      </c>
    </row>
    <row r="75" spans="1:21" x14ac:dyDescent="0.3">
      <c r="A75" s="1" t="s">
        <v>88</v>
      </c>
      <c r="B75" s="1" t="s">
        <v>97</v>
      </c>
      <c r="F75">
        <v>38</v>
      </c>
      <c r="I75">
        <v>51</v>
      </c>
      <c r="Q75">
        <v>48</v>
      </c>
      <c r="S75">
        <v>49</v>
      </c>
    </row>
    <row r="76" spans="1:21" x14ac:dyDescent="0.3">
      <c r="A76" s="1" t="s">
        <v>88</v>
      </c>
      <c r="B76" s="1" t="s">
        <v>98</v>
      </c>
      <c r="F76">
        <v>83</v>
      </c>
      <c r="J76">
        <v>93</v>
      </c>
      <c r="O76">
        <v>96</v>
      </c>
      <c r="Q76">
        <v>72</v>
      </c>
      <c r="R76">
        <v>64</v>
      </c>
      <c r="S76">
        <v>57</v>
      </c>
    </row>
    <row r="77" spans="1:21" x14ac:dyDescent="0.3">
      <c r="A77" s="1" t="s">
        <v>88</v>
      </c>
      <c r="B77" s="1" t="s">
        <v>99</v>
      </c>
      <c r="F77">
        <v>93</v>
      </c>
      <c r="I77">
        <v>98</v>
      </c>
      <c r="J77">
        <v>80</v>
      </c>
      <c r="K77">
        <v>80</v>
      </c>
      <c r="Q77">
        <v>78</v>
      </c>
      <c r="R77">
        <v>64</v>
      </c>
      <c r="S77">
        <v>63</v>
      </c>
    </row>
    <row r="78" spans="1:21" x14ac:dyDescent="0.3">
      <c r="A78" s="1" t="s">
        <v>88</v>
      </c>
      <c r="B78" s="1" t="s">
        <v>100</v>
      </c>
      <c r="F78">
        <v>63</v>
      </c>
      <c r="I78">
        <v>88</v>
      </c>
      <c r="Q78">
        <v>64</v>
      </c>
      <c r="S78">
        <v>63</v>
      </c>
      <c r="T78">
        <v>43</v>
      </c>
    </row>
    <row r="79" spans="1:21" x14ac:dyDescent="0.3">
      <c r="A79" s="1" t="s">
        <v>88</v>
      </c>
      <c r="B79" s="1" t="s">
        <v>101</v>
      </c>
      <c r="F79">
        <v>65</v>
      </c>
      <c r="I79">
        <v>69</v>
      </c>
      <c r="Q79">
        <v>52</v>
      </c>
      <c r="S79">
        <v>51</v>
      </c>
    </row>
    <row r="80" spans="1:21" x14ac:dyDescent="0.3">
      <c r="A80" s="1" t="s">
        <v>88</v>
      </c>
      <c r="B80" s="1" t="s">
        <v>102</v>
      </c>
      <c r="F80">
        <v>50</v>
      </c>
      <c r="I80">
        <v>82</v>
      </c>
      <c r="Q80">
        <v>68</v>
      </c>
      <c r="R80">
        <v>36</v>
      </c>
      <c r="S80">
        <v>47</v>
      </c>
    </row>
    <row r="81" spans="1:21" x14ac:dyDescent="0.3">
      <c r="A81" s="1" t="s">
        <v>88</v>
      </c>
      <c r="B81" s="1" t="s">
        <v>103</v>
      </c>
      <c r="F81">
        <v>53</v>
      </c>
      <c r="I81">
        <v>100</v>
      </c>
      <c r="J81">
        <v>77</v>
      </c>
      <c r="Q81">
        <v>82</v>
      </c>
      <c r="R81">
        <v>38</v>
      </c>
      <c r="S81">
        <v>53</v>
      </c>
      <c r="U81">
        <v>46</v>
      </c>
    </row>
    <row r="82" spans="1:21" x14ac:dyDescent="0.3">
      <c r="A82" s="1" t="s">
        <v>88</v>
      </c>
      <c r="B82" s="1" t="s">
        <v>104</v>
      </c>
      <c r="I82">
        <v>98</v>
      </c>
      <c r="J82">
        <v>81</v>
      </c>
      <c r="Q82">
        <v>88</v>
      </c>
      <c r="R82">
        <v>40</v>
      </c>
      <c r="S82">
        <v>59</v>
      </c>
    </row>
    <row r="83" spans="1:21" x14ac:dyDescent="0.3">
      <c r="A83" s="1" t="s">
        <v>88</v>
      </c>
      <c r="B83" s="1" t="s">
        <v>105</v>
      </c>
      <c r="F83">
        <v>70</v>
      </c>
      <c r="I83">
        <v>96</v>
      </c>
      <c r="J83">
        <v>51</v>
      </c>
      <c r="Q83">
        <v>76</v>
      </c>
      <c r="S83">
        <v>66</v>
      </c>
      <c r="T83">
        <v>95</v>
      </c>
    </row>
    <row r="84" spans="1:21" x14ac:dyDescent="0.3">
      <c r="A84" s="1" t="s">
        <v>88</v>
      </c>
      <c r="B84" s="1" t="s">
        <v>106</v>
      </c>
      <c r="F84">
        <v>68</v>
      </c>
      <c r="I84">
        <v>87</v>
      </c>
      <c r="J84">
        <v>55</v>
      </c>
      <c r="Q84">
        <v>86</v>
      </c>
      <c r="R84">
        <v>48</v>
      </c>
      <c r="S84">
        <v>63</v>
      </c>
      <c r="T84">
        <v>55</v>
      </c>
    </row>
    <row r="85" spans="1:21" x14ac:dyDescent="0.3">
      <c r="A85" s="1" t="s">
        <v>88</v>
      </c>
      <c r="B85" s="1" t="s">
        <v>107</v>
      </c>
      <c r="I85">
        <v>91</v>
      </c>
      <c r="J85">
        <v>66</v>
      </c>
      <c r="Q85">
        <v>100</v>
      </c>
      <c r="R85">
        <v>66</v>
      </c>
      <c r="S85">
        <v>76</v>
      </c>
      <c r="T85">
        <v>70</v>
      </c>
    </row>
    <row r="86" spans="1:21" x14ac:dyDescent="0.3">
      <c r="A86" s="1" t="s">
        <v>88</v>
      </c>
      <c r="B86" s="1" t="s">
        <v>108</v>
      </c>
      <c r="I86">
        <v>100</v>
      </c>
      <c r="J86">
        <v>92</v>
      </c>
      <c r="K86">
        <v>72</v>
      </c>
      <c r="Q86">
        <v>74</v>
      </c>
      <c r="R86">
        <v>52</v>
      </c>
      <c r="S86">
        <v>54</v>
      </c>
    </row>
    <row r="87" spans="1:21" x14ac:dyDescent="0.3">
      <c r="A87" s="1" t="s">
        <v>88</v>
      </c>
      <c r="B87" s="1" t="s">
        <v>109</v>
      </c>
      <c r="F87">
        <v>87</v>
      </c>
      <c r="I87">
        <v>98</v>
      </c>
      <c r="Q87">
        <v>96</v>
      </c>
      <c r="R87">
        <v>90</v>
      </c>
      <c r="S87">
        <v>91</v>
      </c>
    </row>
    <row r="88" spans="1:21" x14ac:dyDescent="0.3">
      <c r="A88" s="1" t="s">
        <v>88</v>
      </c>
      <c r="B88" s="1" t="s">
        <v>110</v>
      </c>
      <c r="F88">
        <v>47</v>
      </c>
      <c r="I88">
        <v>89</v>
      </c>
      <c r="Q88">
        <v>76</v>
      </c>
      <c r="R88">
        <v>40</v>
      </c>
      <c r="S88">
        <v>54</v>
      </c>
    </row>
    <row r="89" spans="1:21" x14ac:dyDescent="0.3">
      <c r="A89" s="1" t="s">
        <v>88</v>
      </c>
      <c r="B89" s="1" t="s">
        <v>111</v>
      </c>
      <c r="I89">
        <v>94</v>
      </c>
      <c r="J89">
        <v>88</v>
      </c>
      <c r="Q89">
        <v>88</v>
      </c>
      <c r="R89">
        <v>46</v>
      </c>
      <c r="S89">
        <v>77</v>
      </c>
    </row>
    <row r="90" spans="1:21" x14ac:dyDescent="0.3">
      <c r="A90" s="1" t="s">
        <v>88</v>
      </c>
      <c r="B90" s="1" t="s">
        <v>112</v>
      </c>
      <c r="F90">
        <v>68</v>
      </c>
      <c r="I90">
        <v>94</v>
      </c>
      <c r="J90">
        <v>78</v>
      </c>
      <c r="O90">
        <v>96</v>
      </c>
      <c r="Q90">
        <v>100</v>
      </c>
      <c r="R90">
        <v>54</v>
      </c>
      <c r="S90">
        <v>50</v>
      </c>
    </row>
    <row r="91" spans="1:21" x14ac:dyDescent="0.3">
      <c r="A91" s="1" t="s">
        <v>88</v>
      </c>
      <c r="B91" s="1" t="s">
        <v>113</v>
      </c>
      <c r="F91">
        <v>77</v>
      </c>
      <c r="I91">
        <v>72</v>
      </c>
      <c r="J91">
        <v>44</v>
      </c>
      <c r="Q91">
        <v>78</v>
      </c>
      <c r="R91">
        <v>40</v>
      </c>
      <c r="S91">
        <v>60</v>
      </c>
    </row>
    <row r="92" spans="1:21" x14ac:dyDescent="0.3">
      <c r="A92" s="1" t="s">
        <v>88</v>
      </c>
      <c r="B92" s="1" t="s">
        <v>114</v>
      </c>
      <c r="F92">
        <v>80</v>
      </c>
      <c r="I92">
        <v>100</v>
      </c>
      <c r="J92">
        <v>82</v>
      </c>
      <c r="O92">
        <v>100</v>
      </c>
      <c r="Q92">
        <v>86</v>
      </c>
      <c r="R92">
        <v>94</v>
      </c>
      <c r="S92">
        <v>63</v>
      </c>
    </row>
    <row r="93" spans="1:21" x14ac:dyDescent="0.3">
      <c r="A93" s="1" t="s">
        <v>88</v>
      </c>
      <c r="B93" s="1" t="s">
        <v>115</v>
      </c>
      <c r="F93">
        <v>82</v>
      </c>
      <c r="I93">
        <v>94</v>
      </c>
      <c r="J93">
        <v>61</v>
      </c>
      <c r="Q93">
        <v>68</v>
      </c>
      <c r="S93">
        <v>71</v>
      </c>
    </row>
    <row r="94" spans="1:21" x14ac:dyDescent="0.3">
      <c r="A94" s="1" t="s">
        <v>116</v>
      </c>
      <c r="B94" s="1" t="s">
        <v>117</v>
      </c>
      <c r="E94">
        <v>70</v>
      </c>
      <c r="I94">
        <v>94</v>
      </c>
      <c r="J94">
        <v>73</v>
      </c>
      <c r="Q94">
        <v>90</v>
      </c>
      <c r="R94">
        <v>70</v>
      </c>
      <c r="S94">
        <v>59</v>
      </c>
    </row>
    <row r="95" spans="1:21" x14ac:dyDescent="0.3">
      <c r="A95" s="1" t="s">
        <v>116</v>
      </c>
      <c r="B95" s="1" t="s">
        <v>118</v>
      </c>
      <c r="E95">
        <v>53</v>
      </c>
      <c r="I95">
        <v>96</v>
      </c>
      <c r="J95">
        <v>67</v>
      </c>
      <c r="Q95">
        <v>90</v>
      </c>
      <c r="R95">
        <v>40</v>
      </c>
      <c r="S95">
        <v>64</v>
      </c>
    </row>
    <row r="96" spans="1:21" x14ac:dyDescent="0.3">
      <c r="A96" s="1" t="s">
        <v>116</v>
      </c>
      <c r="B96" s="1" t="s">
        <v>119</v>
      </c>
      <c r="E96">
        <v>75</v>
      </c>
      <c r="H96">
        <v>78</v>
      </c>
      <c r="I96">
        <v>98</v>
      </c>
      <c r="J96">
        <v>96</v>
      </c>
      <c r="Q96">
        <v>100</v>
      </c>
      <c r="R96">
        <v>90</v>
      </c>
      <c r="S96">
        <v>80</v>
      </c>
    </row>
    <row r="97" spans="1:20" x14ac:dyDescent="0.3">
      <c r="A97" s="1" t="s">
        <v>116</v>
      </c>
      <c r="B97" s="1" t="s">
        <v>120</v>
      </c>
      <c r="E97">
        <v>82</v>
      </c>
      <c r="I97">
        <v>100</v>
      </c>
      <c r="J97">
        <v>91</v>
      </c>
      <c r="Q97">
        <v>86</v>
      </c>
      <c r="R97">
        <v>80</v>
      </c>
      <c r="S97">
        <v>84</v>
      </c>
    </row>
    <row r="98" spans="1:20" x14ac:dyDescent="0.3">
      <c r="A98" s="1" t="s">
        <v>116</v>
      </c>
      <c r="B98" s="1" t="s">
        <v>121</v>
      </c>
      <c r="E98">
        <v>32</v>
      </c>
      <c r="I98">
        <v>96</v>
      </c>
      <c r="J98">
        <v>74</v>
      </c>
      <c r="Q98">
        <v>82</v>
      </c>
      <c r="S98">
        <v>60</v>
      </c>
      <c r="T98">
        <v>25</v>
      </c>
    </row>
    <row r="99" spans="1:20" x14ac:dyDescent="0.3">
      <c r="A99" s="1" t="s">
        <v>116</v>
      </c>
      <c r="B99" s="1" t="s">
        <v>122</v>
      </c>
      <c r="E99">
        <v>77</v>
      </c>
      <c r="H99">
        <v>88</v>
      </c>
      <c r="I99">
        <v>98</v>
      </c>
      <c r="J99">
        <v>76</v>
      </c>
      <c r="Q99">
        <v>98</v>
      </c>
      <c r="R99">
        <v>68</v>
      </c>
      <c r="S99">
        <v>73</v>
      </c>
    </row>
    <row r="100" spans="1:20" x14ac:dyDescent="0.3">
      <c r="A100" s="1" t="s">
        <v>116</v>
      </c>
      <c r="B100" s="1" t="s">
        <v>123</v>
      </c>
      <c r="E100">
        <v>70</v>
      </c>
      <c r="I100">
        <v>97</v>
      </c>
      <c r="J100">
        <v>65</v>
      </c>
      <c r="Q100">
        <v>94</v>
      </c>
      <c r="R100">
        <v>78</v>
      </c>
      <c r="S100">
        <v>76</v>
      </c>
    </row>
    <row r="101" spans="1:20" x14ac:dyDescent="0.3">
      <c r="A101" s="1" t="s">
        <v>116</v>
      </c>
      <c r="B101" s="1" t="s">
        <v>124</v>
      </c>
      <c r="E101">
        <v>32</v>
      </c>
      <c r="I101">
        <v>95</v>
      </c>
      <c r="J101">
        <v>75</v>
      </c>
      <c r="Q101">
        <v>72</v>
      </c>
      <c r="R101">
        <v>58</v>
      </c>
      <c r="S101">
        <v>54</v>
      </c>
    </row>
    <row r="102" spans="1:20" x14ac:dyDescent="0.3">
      <c r="A102" s="1" t="s">
        <v>116</v>
      </c>
      <c r="B102" s="1" t="s">
        <v>125</v>
      </c>
      <c r="C102">
        <v>37</v>
      </c>
      <c r="E102">
        <v>37</v>
      </c>
      <c r="I102">
        <v>96</v>
      </c>
      <c r="J102">
        <v>84</v>
      </c>
      <c r="Q102">
        <v>86</v>
      </c>
      <c r="S102">
        <v>53</v>
      </c>
    </row>
    <row r="103" spans="1:20" x14ac:dyDescent="0.3">
      <c r="A103" s="1" t="s">
        <v>116</v>
      </c>
      <c r="B103" s="1" t="s">
        <v>126</v>
      </c>
      <c r="E103">
        <v>75</v>
      </c>
      <c r="I103">
        <v>98</v>
      </c>
      <c r="J103">
        <v>94</v>
      </c>
      <c r="Q103">
        <v>84</v>
      </c>
      <c r="R103">
        <v>82</v>
      </c>
      <c r="S103">
        <v>56</v>
      </c>
    </row>
    <row r="104" spans="1:20" x14ac:dyDescent="0.3">
      <c r="A104" s="1" t="s">
        <v>116</v>
      </c>
      <c r="B104" s="1" t="s">
        <v>127</v>
      </c>
      <c r="E104">
        <v>92</v>
      </c>
      <c r="I104">
        <v>98</v>
      </c>
      <c r="J104">
        <v>86</v>
      </c>
      <c r="Q104">
        <v>94</v>
      </c>
      <c r="R104">
        <v>88</v>
      </c>
      <c r="S104">
        <v>77</v>
      </c>
    </row>
    <row r="105" spans="1:20" x14ac:dyDescent="0.3">
      <c r="A105" s="1" t="s">
        <v>116</v>
      </c>
      <c r="B105" s="1" t="s">
        <v>128</v>
      </c>
      <c r="F105">
        <v>45</v>
      </c>
      <c r="I105">
        <v>100</v>
      </c>
      <c r="J105">
        <v>80</v>
      </c>
      <c r="Q105">
        <v>78</v>
      </c>
      <c r="R105">
        <v>36</v>
      </c>
      <c r="S105">
        <v>30</v>
      </c>
    </row>
    <row r="106" spans="1:20" x14ac:dyDescent="0.3">
      <c r="A106" s="1" t="s">
        <v>116</v>
      </c>
      <c r="B106" s="1" t="s">
        <v>129</v>
      </c>
      <c r="I106">
        <v>100</v>
      </c>
      <c r="J106">
        <v>94</v>
      </c>
      <c r="K106">
        <v>99</v>
      </c>
      <c r="Q106">
        <v>80</v>
      </c>
      <c r="R106">
        <v>74</v>
      </c>
      <c r="S106">
        <v>74</v>
      </c>
    </row>
    <row r="107" spans="1:20" x14ac:dyDescent="0.3">
      <c r="A107" s="1" t="s">
        <v>116</v>
      </c>
      <c r="B107" s="1" t="s">
        <v>130</v>
      </c>
      <c r="I107">
        <v>98</v>
      </c>
      <c r="J107">
        <v>78</v>
      </c>
      <c r="Q107">
        <v>64</v>
      </c>
      <c r="S107">
        <v>54</v>
      </c>
    </row>
    <row r="108" spans="1:20" x14ac:dyDescent="0.3">
      <c r="A108" s="1" t="s">
        <v>116</v>
      </c>
      <c r="B108" s="1" t="s">
        <v>131</v>
      </c>
      <c r="E108">
        <v>72</v>
      </c>
      <c r="I108">
        <v>98</v>
      </c>
      <c r="J108">
        <v>79</v>
      </c>
      <c r="Q108">
        <v>100</v>
      </c>
      <c r="R108">
        <v>78</v>
      </c>
      <c r="S108">
        <v>64</v>
      </c>
    </row>
    <row r="109" spans="1:20" x14ac:dyDescent="0.3">
      <c r="A109" s="1" t="s">
        <v>116</v>
      </c>
      <c r="B109" s="1" t="s">
        <v>132</v>
      </c>
      <c r="E109">
        <v>62</v>
      </c>
      <c r="I109">
        <v>100</v>
      </c>
      <c r="J109">
        <v>75</v>
      </c>
      <c r="Q109">
        <v>92</v>
      </c>
      <c r="R109">
        <v>38</v>
      </c>
      <c r="S109">
        <v>74</v>
      </c>
    </row>
    <row r="110" spans="1:20" x14ac:dyDescent="0.3">
      <c r="A110" s="1" t="s">
        <v>116</v>
      </c>
      <c r="B110" s="1" t="s">
        <v>133</v>
      </c>
      <c r="H110">
        <v>70</v>
      </c>
      <c r="I110">
        <v>98</v>
      </c>
      <c r="J110">
        <v>79</v>
      </c>
      <c r="Q110">
        <v>94</v>
      </c>
      <c r="R110">
        <v>62</v>
      </c>
      <c r="S110">
        <v>59</v>
      </c>
    </row>
    <row r="111" spans="1:20" x14ac:dyDescent="0.3">
      <c r="A111" s="1" t="s">
        <v>116</v>
      </c>
      <c r="B111" s="1" t="s">
        <v>134</v>
      </c>
      <c r="E111">
        <v>48</v>
      </c>
      <c r="I111">
        <v>84</v>
      </c>
      <c r="J111">
        <v>28</v>
      </c>
      <c r="Q111">
        <v>88</v>
      </c>
      <c r="R111">
        <v>68</v>
      </c>
      <c r="S111">
        <v>51</v>
      </c>
    </row>
    <row r="112" spans="1:20" x14ac:dyDescent="0.3">
      <c r="A112" s="1" t="s">
        <v>116</v>
      </c>
      <c r="B112" s="1" t="s">
        <v>135</v>
      </c>
      <c r="E112">
        <v>62</v>
      </c>
      <c r="I112">
        <v>98</v>
      </c>
      <c r="J112">
        <v>79</v>
      </c>
      <c r="Q112">
        <v>100</v>
      </c>
      <c r="R112">
        <v>66</v>
      </c>
      <c r="S112">
        <v>51</v>
      </c>
    </row>
    <row r="113" spans="1:20" x14ac:dyDescent="0.3">
      <c r="A113" s="1" t="s">
        <v>116</v>
      </c>
      <c r="B113" s="1" t="s">
        <v>136</v>
      </c>
      <c r="E113">
        <v>67</v>
      </c>
      <c r="I113">
        <v>100</v>
      </c>
      <c r="J113">
        <v>85</v>
      </c>
      <c r="Q113">
        <v>92</v>
      </c>
      <c r="R113">
        <v>70</v>
      </c>
      <c r="S113">
        <v>63</v>
      </c>
    </row>
    <row r="114" spans="1:20" x14ac:dyDescent="0.3">
      <c r="A114" s="1" t="s">
        <v>116</v>
      </c>
      <c r="B114" s="1" t="s">
        <v>137</v>
      </c>
      <c r="E114">
        <v>67</v>
      </c>
      <c r="I114">
        <v>100</v>
      </c>
      <c r="J114">
        <v>78</v>
      </c>
      <c r="Q114">
        <v>98</v>
      </c>
      <c r="R114">
        <v>68</v>
      </c>
      <c r="S114">
        <v>63</v>
      </c>
    </row>
    <row r="115" spans="1:20" x14ac:dyDescent="0.3">
      <c r="A115" s="1" t="s">
        <v>116</v>
      </c>
      <c r="B115" s="1" t="s">
        <v>138</v>
      </c>
      <c r="H115">
        <v>98</v>
      </c>
      <c r="I115">
        <v>99</v>
      </c>
      <c r="J115">
        <v>84</v>
      </c>
      <c r="Q115">
        <v>96</v>
      </c>
      <c r="R115">
        <v>92</v>
      </c>
      <c r="S115">
        <v>66</v>
      </c>
    </row>
    <row r="116" spans="1:20" x14ac:dyDescent="0.3">
      <c r="A116" s="1" t="s">
        <v>116</v>
      </c>
      <c r="B116" s="1" t="s">
        <v>139</v>
      </c>
      <c r="I116">
        <v>96</v>
      </c>
      <c r="J116">
        <v>86</v>
      </c>
      <c r="Q116">
        <v>94</v>
      </c>
      <c r="R116">
        <v>60</v>
      </c>
      <c r="S116">
        <v>57</v>
      </c>
    </row>
    <row r="117" spans="1:20" x14ac:dyDescent="0.3">
      <c r="A117" s="1" t="s">
        <v>116</v>
      </c>
      <c r="B117" s="1" t="s">
        <v>140</v>
      </c>
      <c r="E117">
        <v>55</v>
      </c>
      <c r="I117">
        <v>97</v>
      </c>
      <c r="J117">
        <v>92</v>
      </c>
      <c r="Q117">
        <v>94</v>
      </c>
      <c r="R117">
        <v>78</v>
      </c>
      <c r="S117">
        <v>63</v>
      </c>
    </row>
    <row r="118" spans="1:20" x14ac:dyDescent="0.3">
      <c r="A118" s="1" t="s">
        <v>116</v>
      </c>
      <c r="B118" s="1" t="s">
        <v>141</v>
      </c>
      <c r="E118">
        <v>78</v>
      </c>
      <c r="I118">
        <v>98</v>
      </c>
      <c r="J118">
        <v>85</v>
      </c>
      <c r="Q118">
        <v>100</v>
      </c>
      <c r="R118">
        <v>92</v>
      </c>
      <c r="S118">
        <v>70</v>
      </c>
    </row>
    <row r="119" spans="1:20" x14ac:dyDescent="0.3">
      <c r="A119" s="1" t="s">
        <v>116</v>
      </c>
      <c r="B119" s="1" t="s">
        <v>142</v>
      </c>
      <c r="H119">
        <v>52</v>
      </c>
      <c r="I119">
        <v>96</v>
      </c>
      <c r="J119">
        <v>68</v>
      </c>
      <c r="Q119">
        <v>94</v>
      </c>
      <c r="R119">
        <v>56</v>
      </c>
      <c r="S119">
        <v>57</v>
      </c>
    </row>
    <row r="120" spans="1:20" x14ac:dyDescent="0.3">
      <c r="A120" s="1" t="s">
        <v>116</v>
      </c>
      <c r="B120" s="1" t="s">
        <v>143</v>
      </c>
      <c r="E120">
        <v>70</v>
      </c>
      <c r="I120">
        <v>100</v>
      </c>
      <c r="J120">
        <v>86</v>
      </c>
      <c r="Q120">
        <v>98</v>
      </c>
      <c r="R120">
        <v>78</v>
      </c>
      <c r="S120">
        <v>90</v>
      </c>
    </row>
    <row r="121" spans="1:20" x14ac:dyDescent="0.3">
      <c r="A121" s="1" t="s">
        <v>116</v>
      </c>
      <c r="B121" s="1" t="s">
        <v>144</v>
      </c>
      <c r="E121">
        <v>32</v>
      </c>
      <c r="I121">
        <v>96</v>
      </c>
      <c r="J121">
        <v>78</v>
      </c>
      <c r="Q121">
        <v>90</v>
      </c>
      <c r="R121">
        <v>74</v>
      </c>
      <c r="S121">
        <v>74</v>
      </c>
    </row>
    <row r="122" spans="1:20" x14ac:dyDescent="0.3">
      <c r="A122" s="1" t="s">
        <v>116</v>
      </c>
      <c r="B122" s="1" t="s">
        <v>145</v>
      </c>
      <c r="E122">
        <v>75</v>
      </c>
      <c r="I122">
        <v>100</v>
      </c>
      <c r="J122">
        <v>64</v>
      </c>
      <c r="Q122">
        <v>92</v>
      </c>
      <c r="R122">
        <v>74</v>
      </c>
      <c r="S122">
        <v>70</v>
      </c>
    </row>
    <row r="123" spans="1:20" x14ac:dyDescent="0.3">
      <c r="A123" s="1" t="s">
        <v>116</v>
      </c>
      <c r="B123" s="1" t="s">
        <v>146</v>
      </c>
      <c r="E123">
        <v>63</v>
      </c>
      <c r="I123">
        <v>96</v>
      </c>
      <c r="Q123">
        <v>96</v>
      </c>
      <c r="R123">
        <v>92</v>
      </c>
      <c r="S123">
        <v>67</v>
      </c>
    </row>
    <row r="124" spans="1:20" x14ac:dyDescent="0.3">
      <c r="A124" s="1" t="s">
        <v>116</v>
      </c>
      <c r="B124" s="1" t="s">
        <v>147</v>
      </c>
      <c r="I124">
        <v>98</v>
      </c>
      <c r="J124">
        <v>65</v>
      </c>
      <c r="Q124">
        <v>94</v>
      </c>
      <c r="R124">
        <v>68</v>
      </c>
      <c r="S124">
        <v>81</v>
      </c>
    </row>
    <row r="125" spans="1:20" x14ac:dyDescent="0.3">
      <c r="A125" s="1" t="s">
        <v>116</v>
      </c>
      <c r="B125" s="1" t="s">
        <v>148</v>
      </c>
      <c r="I125">
        <v>98</v>
      </c>
      <c r="J125">
        <v>84</v>
      </c>
      <c r="Q125">
        <v>82</v>
      </c>
      <c r="R125">
        <v>54</v>
      </c>
      <c r="S125">
        <v>73</v>
      </c>
    </row>
    <row r="126" spans="1:20" x14ac:dyDescent="0.3">
      <c r="A126" s="1" t="s">
        <v>116</v>
      </c>
      <c r="B126" s="1" t="s">
        <v>149</v>
      </c>
      <c r="E126">
        <v>77</v>
      </c>
      <c r="I126">
        <v>94</v>
      </c>
      <c r="J126">
        <v>86</v>
      </c>
      <c r="Q126">
        <v>98</v>
      </c>
      <c r="R126">
        <v>64</v>
      </c>
      <c r="S126">
        <v>59</v>
      </c>
    </row>
    <row r="127" spans="1:20" x14ac:dyDescent="0.3">
      <c r="A127" s="1" t="s">
        <v>150</v>
      </c>
      <c r="B127" s="1" t="s">
        <v>151</v>
      </c>
      <c r="I127">
        <v>96</v>
      </c>
      <c r="M127">
        <v>97</v>
      </c>
      <c r="N127">
        <v>73</v>
      </c>
      <c r="Q127">
        <v>58</v>
      </c>
      <c r="S127">
        <v>69</v>
      </c>
      <c r="T127">
        <v>65</v>
      </c>
    </row>
    <row r="128" spans="1:20" x14ac:dyDescent="0.3">
      <c r="A128" s="1" t="s">
        <v>150</v>
      </c>
      <c r="B128" s="1" t="s">
        <v>152</v>
      </c>
      <c r="I128">
        <v>96</v>
      </c>
      <c r="M128">
        <v>83</v>
      </c>
      <c r="N128">
        <v>61</v>
      </c>
      <c r="Q128">
        <v>68</v>
      </c>
      <c r="S128">
        <v>69</v>
      </c>
      <c r="T128">
        <v>58</v>
      </c>
    </row>
    <row r="129" spans="1:21" x14ac:dyDescent="0.3">
      <c r="A129" s="1" t="s">
        <v>150</v>
      </c>
      <c r="B129" s="1" t="s">
        <v>153</v>
      </c>
      <c r="I129">
        <v>88</v>
      </c>
      <c r="M129">
        <v>90</v>
      </c>
      <c r="N129">
        <v>65</v>
      </c>
      <c r="Q129">
        <v>50</v>
      </c>
      <c r="S129">
        <v>81</v>
      </c>
      <c r="T129">
        <v>58</v>
      </c>
    </row>
    <row r="130" spans="1:21" x14ac:dyDescent="0.3">
      <c r="A130" s="1" t="s">
        <v>150</v>
      </c>
      <c r="B130" s="1" t="s">
        <v>154</v>
      </c>
      <c r="I130">
        <v>90</v>
      </c>
      <c r="M130">
        <v>84</v>
      </c>
      <c r="N130">
        <v>68</v>
      </c>
      <c r="Q130">
        <v>58</v>
      </c>
      <c r="S130">
        <v>76</v>
      </c>
      <c r="T130">
        <v>88</v>
      </c>
    </row>
    <row r="131" spans="1:21" x14ac:dyDescent="0.3">
      <c r="A131" s="1" t="s">
        <v>150</v>
      </c>
      <c r="B131" s="1" t="s">
        <v>155</v>
      </c>
      <c r="F131">
        <v>85</v>
      </c>
      <c r="J131">
        <v>95</v>
      </c>
      <c r="M131">
        <v>100</v>
      </c>
      <c r="Q131">
        <v>82</v>
      </c>
      <c r="S131">
        <v>73</v>
      </c>
      <c r="T131">
        <v>88</v>
      </c>
    </row>
    <row r="132" spans="1:21" x14ac:dyDescent="0.3">
      <c r="A132" s="1" t="s">
        <v>150</v>
      </c>
      <c r="B132" s="1" t="s">
        <v>156</v>
      </c>
      <c r="I132">
        <v>96</v>
      </c>
      <c r="N132">
        <v>45</v>
      </c>
      <c r="Q132">
        <v>74</v>
      </c>
      <c r="S132">
        <v>61</v>
      </c>
      <c r="T132">
        <v>83</v>
      </c>
    </row>
    <row r="133" spans="1:21" x14ac:dyDescent="0.3">
      <c r="A133" s="1" t="s">
        <v>150</v>
      </c>
      <c r="B133" s="1" t="s">
        <v>157</v>
      </c>
      <c r="I133">
        <v>94</v>
      </c>
      <c r="J133">
        <v>79</v>
      </c>
      <c r="N133">
        <v>79</v>
      </c>
      <c r="Q133">
        <v>64</v>
      </c>
      <c r="S133">
        <v>74</v>
      </c>
      <c r="T133">
        <v>53</v>
      </c>
    </row>
    <row r="134" spans="1:21" x14ac:dyDescent="0.3">
      <c r="A134" s="1" t="s">
        <v>150</v>
      </c>
      <c r="B134" s="1" t="s">
        <v>158</v>
      </c>
      <c r="F134">
        <v>38</v>
      </c>
      <c r="I134">
        <v>87</v>
      </c>
      <c r="J134">
        <v>69</v>
      </c>
      <c r="N134">
        <v>72</v>
      </c>
      <c r="Q134">
        <v>56</v>
      </c>
      <c r="S134">
        <v>54</v>
      </c>
      <c r="T134">
        <v>60</v>
      </c>
    </row>
    <row r="135" spans="1:21" x14ac:dyDescent="0.3">
      <c r="A135" s="1" t="s">
        <v>150</v>
      </c>
      <c r="B135" s="1" t="s">
        <v>159</v>
      </c>
      <c r="C135">
        <v>62</v>
      </c>
      <c r="D135">
        <v>35</v>
      </c>
      <c r="I135">
        <v>97</v>
      </c>
      <c r="M135">
        <v>92</v>
      </c>
      <c r="N135">
        <v>52</v>
      </c>
      <c r="Q135">
        <v>56</v>
      </c>
      <c r="S135">
        <v>67</v>
      </c>
    </row>
    <row r="136" spans="1:21" x14ac:dyDescent="0.3">
      <c r="A136" s="1" t="s">
        <v>150</v>
      </c>
      <c r="B136" s="1" t="s">
        <v>160</v>
      </c>
      <c r="F136">
        <v>50</v>
      </c>
      <c r="I136">
        <v>92</v>
      </c>
      <c r="M136">
        <v>84</v>
      </c>
      <c r="N136">
        <v>63</v>
      </c>
      <c r="Q136">
        <v>54</v>
      </c>
      <c r="S136">
        <v>60</v>
      </c>
    </row>
    <row r="137" spans="1:21" x14ac:dyDescent="0.3">
      <c r="A137" s="1" t="s">
        <v>150</v>
      </c>
      <c r="B137" s="1" t="s">
        <v>161</v>
      </c>
      <c r="F137">
        <v>82</v>
      </c>
      <c r="I137">
        <v>100</v>
      </c>
      <c r="M137">
        <v>100</v>
      </c>
      <c r="Q137">
        <v>100</v>
      </c>
      <c r="R137">
        <v>66</v>
      </c>
      <c r="S137">
        <v>73</v>
      </c>
      <c r="T137">
        <v>85</v>
      </c>
    </row>
    <row r="138" spans="1:21" x14ac:dyDescent="0.3">
      <c r="A138" s="1" t="s">
        <v>150</v>
      </c>
      <c r="B138" s="1" t="s">
        <v>162</v>
      </c>
      <c r="I138">
        <v>96</v>
      </c>
      <c r="N138">
        <v>79</v>
      </c>
      <c r="Q138">
        <v>56</v>
      </c>
      <c r="S138">
        <v>81</v>
      </c>
      <c r="T138">
        <v>83</v>
      </c>
    </row>
    <row r="139" spans="1:21" x14ac:dyDescent="0.3">
      <c r="A139" s="1" t="s">
        <v>150</v>
      </c>
      <c r="B139" s="1" t="s">
        <v>163</v>
      </c>
      <c r="G139">
        <v>66</v>
      </c>
      <c r="I139">
        <v>94</v>
      </c>
      <c r="J139">
        <v>93</v>
      </c>
      <c r="N139">
        <v>83</v>
      </c>
      <c r="Q139">
        <v>78</v>
      </c>
      <c r="S139">
        <v>90</v>
      </c>
      <c r="T139">
        <v>100</v>
      </c>
    </row>
    <row r="140" spans="1:21" x14ac:dyDescent="0.3">
      <c r="A140" s="1" t="s">
        <v>150</v>
      </c>
      <c r="B140" s="1" t="s">
        <v>164</v>
      </c>
      <c r="F140">
        <v>75</v>
      </c>
      <c r="I140">
        <v>99</v>
      </c>
      <c r="J140">
        <v>83</v>
      </c>
      <c r="M140">
        <v>100</v>
      </c>
      <c r="Q140">
        <v>78</v>
      </c>
      <c r="R140">
        <v>30</v>
      </c>
      <c r="S140">
        <v>79</v>
      </c>
      <c r="T140">
        <v>80</v>
      </c>
    </row>
    <row r="141" spans="1:21" x14ac:dyDescent="0.3">
      <c r="A141" s="1" t="s">
        <v>150</v>
      </c>
      <c r="B141" s="1" t="s">
        <v>165</v>
      </c>
      <c r="I141">
        <v>96</v>
      </c>
      <c r="M141">
        <v>98</v>
      </c>
      <c r="N141">
        <v>96</v>
      </c>
      <c r="Q141">
        <v>44</v>
      </c>
      <c r="S141">
        <v>69</v>
      </c>
    </row>
    <row r="142" spans="1:21" x14ac:dyDescent="0.3">
      <c r="A142" s="1" t="s">
        <v>150</v>
      </c>
      <c r="B142" s="1" t="s">
        <v>166</v>
      </c>
      <c r="G142">
        <v>24</v>
      </c>
      <c r="I142">
        <v>100</v>
      </c>
      <c r="J142">
        <v>63</v>
      </c>
      <c r="N142">
        <v>61</v>
      </c>
      <c r="Q142">
        <v>40</v>
      </c>
      <c r="S142">
        <v>76</v>
      </c>
      <c r="T142">
        <v>58</v>
      </c>
      <c r="U142">
        <v>16</v>
      </c>
    </row>
    <row r="143" spans="1:21" x14ac:dyDescent="0.3">
      <c r="A143" s="1" t="s">
        <v>150</v>
      </c>
      <c r="B143" s="1" t="s">
        <v>167</v>
      </c>
      <c r="G143">
        <v>72</v>
      </c>
      <c r="I143">
        <v>98</v>
      </c>
      <c r="J143">
        <v>76</v>
      </c>
      <c r="N143">
        <v>77</v>
      </c>
      <c r="Q143">
        <v>64</v>
      </c>
      <c r="S143">
        <v>79</v>
      </c>
      <c r="T143">
        <v>75</v>
      </c>
      <c r="U143">
        <v>46</v>
      </c>
    </row>
    <row r="144" spans="1:21" x14ac:dyDescent="0.3">
      <c r="A144" s="1" t="s">
        <v>150</v>
      </c>
      <c r="B144" s="1" t="s">
        <v>168</v>
      </c>
      <c r="I144">
        <v>96</v>
      </c>
      <c r="J144">
        <v>71</v>
      </c>
      <c r="N144">
        <v>70</v>
      </c>
      <c r="Q144">
        <v>40</v>
      </c>
      <c r="S144">
        <v>37</v>
      </c>
      <c r="T144">
        <v>55</v>
      </c>
    </row>
    <row r="145" spans="1:20" x14ac:dyDescent="0.3">
      <c r="A145" s="1" t="s">
        <v>150</v>
      </c>
      <c r="B145" s="1" t="s">
        <v>169</v>
      </c>
      <c r="J145">
        <v>89</v>
      </c>
      <c r="M145">
        <v>96</v>
      </c>
      <c r="Q145">
        <v>56</v>
      </c>
      <c r="S145">
        <v>57</v>
      </c>
      <c r="T145">
        <v>63</v>
      </c>
    </row>
    <row r="146" spans="1:20" x14ac:dyDescent="0.3">
      <c r="A146" s="1" t="s">
        <v>150</v>
      </c>
      <c r="B146" s="1" t="s">
        <v>170</v>
      </c>
      <c r="J146">
        <v>74</v>
      </c>
      <c r="M146">
        <v>98</v>
      </c>
      <c r="Q146">
        <v>66</v>
      </c>
      <c r="S146">
        <v>56</v>
      </c>
    </row>
    <row r="147" spans="1:20" x14ac:dyDescent="0.3">
      <c r="A147" s="1" t="s">
        <v>150</v>
      </c>
      <c r="B147" s="1" t="s">
        <v>171</v>
      </c>
      <c r="L147">
        <v>73</v>
      </c>
      <c r="M147">
        <v>98</v>
      </c>
      <c r="N147">
        <v>82</v>
      </c>
      <c r="Q147">
        <v>68</v>
      </c>
      <c r="S147">
        <v>50</v>
      </c>
      <c r="T147">
        <v>70</v>
      </c>
    </row>
    <row r="148" spans="1:20" x14ac:dyDescent="0.3">
      <c r="A148" s="1" t="s">
        <v>150</v>
      </c>
      <c r="B148" s="1" t="s">
        <v>172</v>
      </c>
      <c r="C148">
        <v>18</v>
      </c>
      <c r="D148">
        <v>12</v>
      </c>
      <c r="I148">
        <v>70</v>
      </c>
      <c r="M148">
        <v>58</v>
      </c>
      <c r="Q148">
        <v>58</v>
      </c>
      <c r="S148">
        <v>43</v>
      </c>
    </row>
    <row r="149" spans="1:20" x14ac:dyDescent="0.3">
      <c r="A149" s="1" t="s">
        <v>150</v>
      </c>
      <c r="B149" s="1" t="s">
        <v>173</v>
      </c>
      <c r="J149">
        <v>78</v>
      </c>
      <c r="M149">
        <v>100</v>
      </c>
      <c r="Q149">
        <v>96</v>
      </c>
      <c r="R149">
        <v>40</v>
      </c>
      <c r="S149">
        <v>80</v>
      </c>
    </row>
    <row r="150" spans="1:20" x14ac:dyDescent="0.3">
      <c r="A150" s="1" t="s">
        <v>150</v>
      </c>
      <c r="B150" s="1" t="s">
        <v>174</v>
      </c>
      <c r="I150">
        <v>90</v>
      </c>
      <c r="M150">
        <v>92</v>
      </c>
      <c r="N150">
        <v>71</v>
      </c>
      <c r="Q150">
        <v>38</v>
      </c>
      <c r="S150">
        <v>47</v>
      </c>
      <c r="T150">
        <v>58</v>
      </c>
    </row>
    <row r="151" spans="1:20" x14ac:dyDescent="0.3">
      <c r="A151" s="1" t="s">
        <v>150</v>
      </c>
      <c r="B151" s="1" t="s">
        <v>175</v>
      </c>
      <c r="F151">
        <v>53</v>
      </c>
      <c r="I151">
        <v>98</v>
      </c>
      <c r="J151">
        <v>66</v>
      </c>
      <c r="N151">
        <v>67</v>
      </c>
      <c r="Q151">
        <v>62</v>
      </c>
      <c r="S151">
        <v>71</v>
      </c>
      <c r="T151">
        <v>63</v>
      </c>
    </row>
    <row r="152" spans="1:20" x14ac:dyDescent="0.3">
      <c r="A152" s="1" t="s">
        <v>150</v>
      </c>
      <c r="B152" s="1" t="s">
        <v>176</v>
      </c>
      <c r="F152">
        <v>52</v>
      </c>
      <c r="I152">
        <v>98</v>
      </c>
      <c r="M152">
        <v>93</v>
      </c>
      <c r="N152">
        <v>70</v>
      </c>
      <c r="Q152">
        <v>58</v>
      </c>
      <c r="R152">
        <v>36</v>
      </c>
      <c r="S152">
        <v>41</v>
      </c>
    </row>
    <row r="153" spans="1:20" x14ac:dyDescent="0.3">
      <c r="A153" s="1" t="s">
        <v>150</v>
      </c>
      <c r="B153" s="1" t="s">
        <v>177</v>
      </c>
      <c r="C153">
        <v>43</v>
      </c>
      <c r="D153">
        <v>43</v>
      </c>
      <c r="I153">
        <v>95</v>
      </c>
      <c r="N153">
        <v>70</v>
      </c>
      <c r="Q153">
        <v>62</v>
      </c>
      <c r="S153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FFBA-9A67-4F54-97DB-868130752509}">
  <dimension ref="A1:V153"/>
  <sheetViews>
    <sheetView topLeftCell="O1" zoomScaleNormal="100" workbookViewId="0">
      <selection activeCell="S169" sqref="S169"/>
    </sheetView>
  </sheetViews>
  <sheetFormatPr defaultRowHeight="14.4" x14ac:dyDescent="0.3"/>
  <cols>
    <col min="1" max="1" width="8.5546875" bestFit="1" customWidth="1"/>
    <col min="2" max="2" width="12" bestFit="1" customWidth="1"/>
    <col min="3" max="3" width="11.6640625" bestFit="1" customWidth="1"/>
    <col min="4" max="4" width="11.44140625" bestFit="1" customWidth="1"/>
    <col min="5" max="5" width="10.33203125" bestFit="1" customWidth="1"/>
    <col min="6" max="6" width="13" bestFit="1" customWidth="1"/>
    <col min="7" max="7" width="11.6640625" bestFit="1" customWidth="1"/>
    <col min="8" max="8" width="15" bestFit="1" customWidth="1"/>
    <col min="9" max="10" width="12.5546875" bestFit="1" customWidth="1"/>
    <col min="11" max="12" width="13.109375" bestFit="1" customWidth="1"/>
    <col min="13" max="14" width="14.21875" bestFit="1" customWidth="1"/>
    <col min="15" max="16" width="13.6640625" bestFit="1" customWidth="1"/>
    <col min="17" max="18" width="15.44140625" bestFit="1" customWidth="1"/>
    <col min="19" max="20" width="10.109375" bestFit="1" customWidth="1"/>
    <col min="21" max="21" width="9.109375" bestFit="1" customWidth="1"/>
  </cols>
  <sheetData>
    <row r="1" spans="1:22" x14ac:dyDescent="0.3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178</v>
      </c>
    </row>
    <row r="2" spans="1:22" hidden="1" x14ac:dyDescent="0.3">
      <c r="A2" s="1" t="s">
        <v>21</v>
      </c>
      <c r="B2" s="1" t="s">
        <v>22</v>
      </c>
      <c r="C2">
        <v>52</v>
      </c>
      <c r="I2">
        <v>100</v>
      </c>
      <c r="J2">
        <v>91</v>
      </c>
      <c r="L2">
        <v>88</v>
      </c>
      <c r="Q2">
        <v>80</v>
      </c>
      <c r="S2">
        <v>67</v>
      </c>
      <c r="V2">
        <f>COUNTIF(matura3[[#This Row],[Biologia-R]:[WOS-R]],100)</f>
        <v>1</v>
      </c>
    </row>
    <row r="3" spans="1:22" hidden="1" x14ac:dyDescent="0.3">
      <c r="A3" s="1" t="s">
        <v>21</v>
      </c>
      <c r="B3" s="1" t="s">
        <v>23</v>
      </c>
      <c r="C3">
        <v>33</v>
      </c>
      <c r="D3">
        <v>52</v>
      </c>
      <c r="I3">
        <v>73</v>
      </c>
      <c r="Q3">
        <v>56</v>
      </c>
      <c r="S3">
        <v>40</v>
      </c>
      <c r="V3">
        <f>COUNTIF(matura3[[#This Row],[Biologia-R]:[WOS-R]],100)</f>
        <v>0</v>
      </c>
    </row>
    <row r="4" spans="1:22" hidden="1" x14ac:dyDescent="0.3">
      <c r="A4" s="1" t="s">
        <v>21</v>
      </c>
      <c r="B4" s="1" t="s">
        <v>24</v>
      </c>
      <c r="C4">
        <v>70</v>
      </c>
      <c r="D4">
        <v>58</v>
      </c>
      <c r="I4">
        <v>92</v>
      </c>
      <c r="Q4">
        <v>60</v>
      </c>
      <c r="S4">
        <v>61</v>
      </c>
      <c r="V4">
        <f>COUNTIF(matura3[[#This Row],[Biologia-R]:[WOS-R]],100)</f>
        <v>0</v>
      </c>
    </row>
    <row r="5" spans="1:22" hidden="1" x14ac:dyDescent="0.3">
      <c r="A5" s="1" t="s">
        <v>21</v>
      </c>
      <c r="B5" s="1" t="s">
        <v>25</v>
      </c>
      <c r="C5">
        <v>90</v>
      </c>
      <c r="D5">
        <v>78</v>
      </c>
      <c r="I5">
        <v>98</v>
      </c>
      <c r="J5">
        <v>68</v>
      </c>
      <c r="Q5">
        <v>70</v>
      </c>
      <c r="S5">
        <v>73</v>
      </c>
      <c r="V5">
        <f>COUNTIF(matura3[[#This Row],[Biologia-R]:[WOS-R]],100)</f>
        <v>0</v>
      </c>
    </row>
    <row r="6" spans="1:22" hidden="1" x14ac:dyDescent="0.3">
      <c r="A6" s="1" t="s">
        <v>21</v>
      </c>
      <c r="B6" s="1" t="s">
        <v>26</v>
      </c>
      <c r="C6">
        <v>62</v>
      </c>
      <c r="D6">
        <v>62</v>
      </c>
      <c r="I6">
        <v>87</v>
      </c>
      <c r="Q6">
        <v>70</v>
      </c>
      <c r="S6">
        <v>51</v>
      </c>
      <c r="V6">
        <f>COUNTIF(matura3[[#This Row],[Biologia-R]:[WOS-R]],100)</f>
        <v>0</v>
      </c>
    </row>
    <row r="7" spans="1:22" hidden="1" x14ac:dyDescent="0.3">
      <c r="A7" s="1" t="s">
        <v>21</v>
      </c>
      <c r="B7" s="1" t="s">
        <v>27</v>
      </c>
      <c r="C7">
        <v>65</v>
      </c>
      <c r="D7">
        <v>65</v>
      </c>
      <c r="I7">
        <v>75</v>
      </c>
      <c r="Q7">
        <v>48</v>
      </c>
      <c r="S7">
        <v>40</v>
      </c>
      <c r="V7">
        <f>COUNTIF(matura3[[#This Row],[Biologia-R]:[WOS-R]],100)</f>
        <v>0</v>
      </c>
    </row>
    <row r="8" spans="1:22" hidden="1" x14ac:dyDescent="0.3">
      <c r="A8" s="1" t="s">
        <v>21</v>
      </c>
      <c r="B8" s="1" t="s">
        <v>28</v>
      </c>
      <c r="D8">
        <v>58</v>
      </c>
      <c r="I8">
        <v>96</v>
      </c>
      <c r="J8">
        <v>61</v>
      </c>
      <c r="Q8">
        <v>94</v>
      </c>
      <c r="R8">
        <v>34</v>
      </c>
      <c r="S8">
        <v>74</v>
      </c>
      <c r="V8">
        <f>COUNTIF(matura3[[#This Row],[Biologia-R]:[WOS-R]],100)</f>
        <v>0</v>
      </c>
    </row>
    <row r="9" spans="1:22" hidden="1" x14ac:dyDescent="0.3">
      <c r="A9" s="1" t="s">
        <v>21</v>
      </c>
      <c r="B9" s="1" t="s">
        <v>29</v>
      </c>
      <c r="C9">
        <v>77</v>
      </c>
      <c r="D9">
        <v>85</v>
      </c>
      <c r="I9">
        <v>96</v>
      </c>
      <c r="Q9">
        <v>96</v>
      </c>
      <c r="S9">
        <v>77</v>
      </c>
      <c r="V9">
        <f>COUNTIF(matura3[[#This Row],[Biologia-R]:[WOS-R]],100)</f>
        <v>0</v>
      </c>
    </row>
    <row r="10" spans="1:22" hidden="1" x14ac:dyDescent="0.3">
      <c r="A10" s="1" t="s">
        <v>21</v>
      </c>
      <c r="B10" s="1" t="s">
        <v>30</v>
      </c>
      <c r="C10">
        <v>93</v>
      </c>
      <c r="D10">
        <v>67</v>
      </c>
      <c r="I10">
        <v>84</v>
      </c>
      <c r="Q10">
        <v>86</v>
      </c>
      <c r="S10">
        <v>73</v>
      </c>
      <c r="V10">
        <f>COUNTIF(matura3[[#This Row],[Biologia-R]:[WOS-R]],100)</f>
        <v>0</v>
      </c>
    </row>
    <row r="11" spans="1:22" hidden="1" x14ac:dyDescent="0.3">
      <c r="A11" s="1" t="s">
        <v>21</v>
      </c>
      <c r="B11" s="1" t="s">
        <v>31</v>
      </c>
      <c r="C11">
        <v>57</v>
      </c>
      <c r="D11">
        <v>47</v>
      </c>
      <c r="I11">
        <v>87</v>
      </c>
      <c r="Q11">
        <v>40</v>
      </c>
      <c r="S11">
        <v>43</v>
      </c>
      <c r="V11">
        <f>COUNTIF(matura3[[#This Row],[Biologia-R]:[WOS-R]],100)</f>
        <v>0</v>
      </c>
    </row>
    <row r="12" spans="1:22" hidden="1" x14ac:dyDescent="0.3">
      <c r="A12" s="1" t="s">
        <v>21</v>
      </c>
      <c r="B12" s="1" t="s">
        <v>32</v>
      </c>
      <c r="C12">
        <v>60</v>
      </c>
      <c r="I12">
        <v>96</v>
      </c>
      <c r="J12">
        <v>89</v>
      </c>
      <c r="Q12">
        <v>70</v>
      </c>
      <c r="S12">
        <v>76</v>
      </c>
      <c r="V12">
        <f>COUNTIF(matura3[[#This Row],[Biologia-R]:[WOS-R]],100)</f>
        <v>0</v>
      </c>
    </row>
    <row r="13" spans="1:22" x14ac:dyDescent="0.3">
      <c r="A13" s="4" t="s">
        <v>21</v>
      </c>
      <c r="B13" s="4" t="s">
        <v>33</v>
      </c>
      <c r="F13">
        <v>90</v>
      </c>
      <c r="I13">
        <v>100</v>
      </c>
      <c r="J13">
        <v>100</v>
      </c>
      <c r="O13">
        <v>100</v>
      </c>
      <c r="Q13">
        <v>98</v>
      </c>
      <c r="R13">
        <v>86</v>
      </c>
      <c r="S13">
        <v>80</v>
      </c>
      <c r="V13">
        <f>COUNTIF(matura3[[#This Row],[Biologia-R]:[WOS-R]],100)</f>
        <v>3</v>
      </c>
    </row>
    <row r="14" spans="1:22" hidden="1" x14ac:dyDescent="0.3">
      <c r="A14" s="1" t="s">
        <v>21</v>
      </c>
      <c r="B14" s="1" t="s">
        <v>34</v>
      </c>
      <c r="C14">
        <v>95</v>
      </c>
      <c r="D14">
        <v>88</v>
      </c>
      <c r="I14">
        <v>92</v>
      </c>
      <c r="Q14">
        <v>92</v>
      </c>
      <c r="S14">
        <v>79</v>
      </c>
      <c r="V14">
        <f>COUNTIF(matura3[[#This Row],[Biologia-R]:[WOS-R]],100)</f>
        <v>0</v>
      </c>
    </row>
    <row r="15" spans="1:22" hidden="1" x14ac:dyDescent="0.3">
      <c r="A15" s="1" t="s">
        <v>21</v>
      </c>
      <c r="B15" s="1" t="s">
        <v>35</v>
      </c>
      <c r="C15">
        <v>75</v>
      </c>
      <c r="D15">
        <v>67</v>
      </c>
      <c r="I15">
        <v>91</v>
      </c>
      <c r="Q15">
        <v>88</v>
      </c>
      <c r="S15">
        <v>59</v>
      </c>
      <c r="V15">
        <f>COUNTIF(matura3[[#This Row],[Biologia-R]:[WOS-R]],100)</f>
        <v>0</v>
      </c>
    </row>
    <row r="16" spans="1:22" hidden="1" x14ac:dyDescent="0.3">
      <c r="A16" s="1" t="s">
        <v>21</v>
      </c>
      <c r="B16" s="1" t="s">
        <v>36</v>
      </c>
      <c r="C16">
        <v>85</v>
      </c>
      <c r="D16">
        <v>83</v>
      </c>
      <c r="E16">
        <v>48</v>
      </c>
      <c r="I16">
        <v>94</v>
      </c>
      <c r="Q16">
        <v>92</v>
      </c>
      <c r="S16">
        <v>56</v>
      </c>
      <c r="V16">
        <f>COUNTIF(matura3[[#This Row],[Biologia-R]:[WOS-R]],100)</f>
        <v>0</v>
      </c>
    </row>
    <row r="17" spans="1:22" hidden="1" x14ac:dyDescent="0.3">
      <c r="A17" s="1" t="s">
        <v>21</v>
      </c>
      <c r="B17" s="1" t="s">
        <v>37</v>
      </c>
      <c r="C17">
        <v>62</v>
      </c>
      <c r="D17">
        <v>48</v>
      </c>
      <c r="I17">
        <v>85</v>
      </c>
      <c r="Q17">
        <v>58</v>
      </c>
      <c r="S17">
        <v>59</v>
      </c>
      <c r="V17">
        <f>COUNTIF(matura3[[#This Row],[Biologia-R]:[WOS-R]],100)</f>
        <v>0</v>
      </c>
    </row>
    <row r="18" spans="1:22" hidden="1" x14ac:dyDescent="0.3">
      <c r="A18" s="1" t="s">
        <v>21</v>
      </c>
      <c r="B18" s="1" t="s">
        <v>38</v>
      </c>
      <c r="C18">
        <v>68</v>
      </c>
      <c r="D18">
        <v>62</v>
      </c>
      <c r="I18">
        <v>99</v>
      </c>
      <c r="J18">
        <v>93</v>
      </c>
      <c r="Q18">
        <v>78</v>
      </c>
      <c r="S18">
        <v>54</v>
      </c>
      <c r="V18">
        <f>COUNTIF(matura3[[#This Row],[Biologia-R]:[WOS-R]],100)</f>
        <v>0</v>
      </c>
    </row>
    <row r="19" spans="1:22" hidden="1" x14ac:dyDescent="0.3">
      <c r="A19" s="1" t="s">
        <v>21</v>
      </c>
      <c r="B19" s="1" t="s">
        <v>39</v>
      </c>
      <c r="C19">
        <v>55</v>
      </c>
      <c r="D19">
        <v>62</v>
      </c>
      <c r="I19">
        <v>96</v>
      </c>
      <c r="J19">
        <v>86</v>
      </c>
      <c r="Q19">
        <v>92</v>
      </c>
      <c r="S19">
        <v>73</v>
      </c>
      <c r="V19">
        <f>COUNTIF(matura3[[#This Row],[Biologia-R]:[WOS-R]],100)</f>
        <v>0</v>
      </c>
    </row>
    <row r="20" spans="1:22" hidden="1" x14ac:dyDescent="0.3">
      <c r="A20" s="1" t="s">
        <v>21</v>
      </c>
      <c r="B20" s="1" t="s">
        <v>40</v>
      </c>
      <c r="C20">
        <v>68</v>
      </c>
      <c r="D20">
        <v>45</v>
      </c>
      <c r="I20">
        <v>92</v>
      </c>
      <c r="Q20">
        <v>78</v>
      </c>
      <c r="S20">
        <v>56</v>
      </c>
      <c r="V20">
        <f>COUNTIF(matura3[[#This Row],[Biologia-R]:[WOS-R]],100)</f>
        <v>0</v>
      </c>
    </row>
    <row r="21" spans="1:22" hidden="1" x14ac:dyDescent="0.3">
      <c r="A21" s="1" t="s">
        <v>21</v>
      </c>
      <c r="B21" s="1" t="s">
        <v>41</v>
      </c>
      <c r="C21">
        <v>78</v>
      </c>
      <c r="I21">
        <v>95</v>
      </c>
      <c r="J21">
        <v>77</v>
      </c>
      <c r="Q21">
        <v>64</v>
      </c>
      <c r="S21">
        <v>84</v>
      </c>
      <c r="V21">
        <f>COUNTIF(matura3[[#This Row],[Biologia-R]:[WOS-R]],100)</f>
        <v>0</v>
      </c>
    </row>
    <row r="22" spans="1:22" hidden="1" x14ac:dyDescent="0.3">
      <c r="A22" s="1" t="s">
        <v>21</v>
      </c>
      <c r="B22" s="1" t="s">
        <v>42</v>
      </c>
      <c r="C22">
        <v>72</v>
      </c>
      <c r="D22">
        <v>68</v>
      </c>
      <c r="I22">
        <v>92</v>
      </c>
      <c r="Q22">
        <v>70</v>
      </c>
      <c r="S22">
        <v>64</v>
      </c>
      <c r="V22">
        <f>COUNTIF(matura3[[#This Row],[Biologia-R]:[WOS-R]],100)</f>
        <v>0</v>
      </c>
    </row>
    <row r="23" spans="1:22" hidden="1" x14ac:dyDescent="0.3">
      <c r="A23" s="1" t="s">
        <v>21</v>
      </c>
      <c r="B23" s="1" t="s">
        <v>43</v>
      </c>
      <c r="C23">
        <v>55</v>
      </c>
      <c r="D23">
        <v>50</v>
      </c>
      <c r="I23">
        <v>84</v>
      </c>
      <c r="Q23">
        <v>58</v>
      </c>
      <c r="S23">
        <v>54</v>
      </c>
      <c r="V23">
        <f>COUNTIF(matura3[[#This Row],[Biologia-R]:[WOS-R]],100)</f>
        <v>0</v>
      </c>
    </row>
    <row r="24" spans="1:22" hidden="1" x14ac:dyDescent="0.3">
      <c r="A24" s="1" t="s">
        <v>21</v>
      </c>
      <c r="B24" s="1" t="s">
        <v>44</v>
      </c>
      <c r="C24">
        <v>67</v>
      </c>
      <c r="D24">
        <v>60</v>
      </c>
      <c r="I24">
        <v>92</v>
      </c>
      <c r="Q24">
        <v>76</v>
      </c>
      <c r="S24">
        <v>50</v>
      </c>
      <c r="V24">
        <f>COUNTIF(matura3[[#This Row],[Biologia-R]:[WOS-R]],100)</f>
        <v>0</v>
      </c>
    </row>
    <row r="25" spans="1:22" hidden="1" x14ac:dyDescent="0.3">
      <c r="A25" s="1" t="s">
        <v>21</v>
      </c>
      <c r="B25" s="1" t="s">
        <v>45</v>
      </c>
      <c r="C25">
        <v>45</v>
      </c>
      <c r="D25">
        <v>30</v>
      </c>
      <c r="I25">
        <v>61</v>
      </c>
      <c r="Q25">
        <v>50</v>
      </c>
      <c r="S25">
        <v>33</v>
      </c>
      <c r="V25">
        <f>COUNTIF(matura3[[#This Row],[Biologia-R]:[WOS-R]],100)</f>
        <v>0</v>
      </c>
    </row>
    <row r="26" spans="1:22" hidden="1" x14ac:dyDescent="0.3">
      <c r="A26" s="1" t="s">
        <v>21</v>
      </c>
      <c r="B26" s="1" t="s">
        <v>46</v>
      </c>
      <c r="C26">
        <v>83</v>
      </c>
      <c r="D26">
        <v>50</v>
      </c>
      <c r="I26">
        <v>100</v>
      </c>
      <c r="J26">
        <v>83</v>
      </c>
      <c r="Q26">
        <v>62</v>
      </c>
      <c r="S26">
        <v>76</v>
      </c>
      <c r="V26">
        <f>COUNTIF(matura3[[#This Row],[Biologia-R]:[WOS-R]],100)</f>
        <v>1</v>
      </c>
    </row>
    <row r="27" spans="1:22" hidden="1" x14ac:dyDescent="0.3">
      <c r="A27" s="1" t="s">
        <v>21</v>
      </c>
      <c r="B27" s="1" t="s">
        <v>47</v>
      </c>
      <c r="C27">
        <v>80</v>
      </c>
      <c r="I27">
        <v>99</v>
      </c>
      <c r="J27">
        <v>83</v>
      </c>
      <c r="Q27">
        <v>72</v>
      </c>
      <c r="S27">
        <v>84</v>
      </c>
      <c r="V27">
        <f>COUNTIF(matura3[[#This Row],[Biologia-R]:[WOS-R]],100)</f>
        <v>0</v>
      </c>
    </row>
    <row r="28" spans="1:22" hidden="1" x14ac:dyDescent="0.3">
      <c r="A28" s="1" t="s">
        <v>21</v>
      </c>
      <c r="B28" s="1" t="s">
        <v>48</v>
      </c>
      <c r="C28">
        <v>70</v>
      </c>
      <c r="D28">
        <v>60</v>
      </c>
      <c r="I28">
        <v>91</v>
      </c>
      <c r="Q28">
        <v>80</v>
      </c>
      <c r="S28">
        <v>74</v>
      </c>
      <c r="V28">
        <f>COUNTIF(matura3[[#This Row],[Biologia-R]:[WOS-R]],100)</f>
        <v>0</v>
      </c>
    </row>
    <row r="29" spans="1:22" hidden="1" x14ac:dyDescent="0.3">
      <c r="A29" s="1" t="s">
        <v>21</v>
      </c>
      <c r="B29" s="1" t="s">
        <v>49</v>
      </c>
      <c r="E29">
        <v>55</v>
      </c>
      <c r="I29">
        <v>96</v>
      </c>
      <c r="J29">
        <v>86</v>
      </c>
      <c r="Q29">
        <v>86</v>
      </c>
      <c r="S29">
        <v>64</v>
      </c>
      <c r="V29">
        <f>COUNTIF(matura3[[#This Row],[Biologia-R]:[WOS-R]],100)</f>
        <v>0</v>
      </c>
    </row>
    <row r="30" spans="1:22" hidden="1" x14ac:dyDescent="0.3">
      <c r="A30" s="1" t="s">
        <v>21</v>
      </c>
      <c r="B30" s="1" t="s">
        <v>50</v>
      </c>
      <c r="C30">
        <v>73</v>
      </c>
      <c r="D30">
        <v>78</v>
      </c>
      <c r="I30">
        <v>96</v>
      </c>
      <c r="Q30">
        <v>82</v>
      </c>
      <c r="S30">
        <v>60</v>
      </c>
      <c r="V30">
        <f>COUNTIF(matura3[[#This Row],[Biologia-R]:[WOS-R]],100)</f>
        <v>0</v>
      </c>
    </row>
    <row r="31" spans="1:22" hidden="1" x14ac:dyDescent="0.3">
      <c r="A31" s="1" t="s">
        <v>21</v>
      </c>
      <c r="B31" s="1" t="s">
        <v>51</v>
      </c>
      <c r="C31">
        <v>80</v>
      </c>
      <c r="D31">
        <v>60</v>
      </c>
      <c r="I31">
        <v>88</v>
      </c>
      <c r="J31">
        <v>67</v>
      </c>
      <c r="Q31">
        <v>80</v>
      </c>
      <c r="S31">
        <v>63</v>
      </c>
      <c r="V31">
        <f>COUNTIF(matura3[[#This Row],[Biologia-R]:[WOS-R]],100)</f>
        <v>0</v>
      </c>
    </row>
    <row r="32" spans="1:22" hidden="1" x14ac:dyDescent="0.3">
      <c r="A32" s="1" t="s">
        <v>21</v>
      </c>
      <c r="B32" s="1" t="s">
        <v>52</v>
      </c>
      <c r="C32">
        <v>93</v>
      </c>
      <c r="D32">
        <v>88</v>
      </c>
      <c r="I32">
        <v>100</v>
      </c>
      <c r="J32">
        <v>76</v>
      </c>
      <c r="Q32">
        <v>92</v>
      </c>
      <c r="S32">
        <v>76</v>
      </c>
      <c r="V32">
        <f>COUNTIF(matura3[[#This Row],[Biologia-R]:[WOS-R]],100)</f>
        <v>1</v>
      </c>
    </row>
    <row r="33" spans="1:22" hidden="1" x14ac:dyDescent="0.3">
      <c r="A33" s="1" t="s">
        <v>21</v>
      </c>
      <c r="B33" s="1" t="s">
        <v>53</v>
      </c>
      <c r="C33">
        <v>85</v>
      </c>
      <c r="D33">
        <v>93</v>
      </c>
      <c r="E33">
        <v>82</v>
      </c>
      <c r="I33">
        <v>96</v>
      </c>
      <c r="Q33">
        <v>94</v>
      </c>
      <c r="R33">
        <v>74</v>
      </c>
      <c r="S33">
        <v>66</v>
      </c>
      <c r="V33">
        <f>COUNTIF(matura3[[#This Row],[Biologia-R]:[WOS-R]],100)</f>
        <v>0</v>
      </c>
    </row>
    <row r="34" spans="1:22" hidden="1" x14ac:dyDescent="0.3">
      <c r="A34" s="1" t="s">
        <v>21</v>
      </c>
      <c r="B34" s="1" t="s">
        <v>54</v>
      </c>
      <c r="C34">
        <v>90</v>
      </c>
      <c r="D34">
        <v>82</v>
      </c>
      <c r="I34">
        <v>92</v>
      </c>
      <c r="Q34">
        <v>86</v>
      </c>
      <c r="S34">
        <v>63</v>
      </c>
      <c r="V34">
        <f>COUNTIF(matura3[[#This Row],[Biologia-R]:[WOS-R]],100)</f>
        <v>0</v>
      </c>
    </row>
    <row r="35" spans="1:22" hidden="1" x14ac:dyDescent="0.3">
      <c r="A35" s="1" t="s">
        <v>21</v>
      </c>
      <c r="B35" s="1" t="s">
        <v>55</v>
      </c>
      <c r="C35">
        <v>87</v>
      </c>
      <c r="I35">
        <v>100</v>
      </c>
      <c r="Q35">
        <v>82</v>
      </c>
      <c r="S35">
        <v>79</v>
      </c>
      <c r="T35">
        <v>73</v>
      </c>
      <c r="U35">
        <v>64</v>
      </c>
      <c r="V35">
        <f>COUNTIF(matura3[[#This Row],[Biologia-R]:[WOS-R]],100)</f>
        <v>1</v>
      </c>
    </row>
    <row r="36" spans="1:22" hidden="1" x14ac:dyDescent="0.3">
      <c r="A36" s="1" t="s">
        <v>56</v>
      </c>
      <c r="B36" s="1" t="s">
        <v>57</v>
      </c>
      <c r="I36">
        <v>93</v>
      </c>
      <c r="J36">
        <v>60</v>
      </c>
      <c r="Q36">
        <v>46</v>
      </c>
      <c r="S36">
        <v>60</v>
      </c>
      <c r="T36">
        <v>75</v>
      </c>
      <c r="V36">
        <f>COUNTIF(matura3[[#This Row],[Biologia-R]:[WOS-R]],100)</f>
        <v>0</v>
      </c>
    </row>
    <row r="37" spans="1:22" hidden="1" x14ac:dyDescent="0.3">
      <c r="A37" s="1" t="s">
        <v>56</v>
      </c>
      <c r="B37" s="1" t="s">
        <v>58</v>
      </c>
      <c r="I37">
        <v>96</v>
      </c>
      <c r="J37">
        <v>87</v>
      </c>
      <c r="Q37">
        <v>50</v>
      </c>
      <c r="S37">
        <v>40</v>
      </c>
      <c r="T37">
        <v>70</v>
      </c>
      <c r="U37">
        <v>44</v>
      </c>
      <c r="V37">
        <f>COUNTIF(matura3[[#This Row],[Biologia-R]:[WOS-R]],100)</f>
        <v>0</v>
      </c>
    </row>
    <row r="38" spans="1:22" hidden="1" x14ac:dyDescent="0.3">
      <c r="A38" s="1" t="s">
        <v>56</v>
      </c>
      <c r="B38" s="1" t="s">
        <v>59</v>
      </c>
      <c r="G38">
        <v>92</v>
      </c>
      <c r="I38">
        <v>100</v>
      </c>
      <c r="J38">
        <v>81</v>
      </c>
      <c r="Q38">
        <v>88</v>
      </c>
      <c r="S38">
        <v>57</v>
      </c>
      <c r="T38">
        <v>70</v>
      </c>
      <c r="V38">
        <f>COUNTIF(matura3[[#This Row],[Biologia-R]:[WOS-R]],100)</f>
        <v>1</v>
      </c>
    </row>
    <row r="39" spans="1:22" hidden="1" x14ac:dyDescent="0.3">
      <c r="A39" s="1" t="s">
        <v>56</v>
      </c>
      <c r="B39" s="1" t="s">
        <v>60</v>
      </c>
      <c r="G39">
        <v>86</v>
      </c>
      <c r="I39">
        <v>100</v>
      </c>
      <c r="J39">
        <v>90</v>
      </c>
      <c r="Q39">
        <v>70</v>
      </c>
      <c r="S39">
        <v>56</v>
      </c>
      <c r="T39">
        <v>68</v>
      </c>
      <c r="U39">
        <v>78</v>
      </c>
      <c r="V39">
        <f>COUNTIF(matura3[[#This Row],[Biologia-R]:[WOS-R]],100)</f>
        <v>1</v>
      </c>
    </row>
    <row r="40" spans="1:22" hidden="1" x14ac:dyDescent="0.3">
      <c r="A40" s="1" t="s">
        <v>56</v>
      </c>
      <c r="B40" s="1" t="s">
        <v>61</v>
      </c>
      <c r="G40">
        <v>90</v>
      </c>
      <c r="I40">
        <v>96</v>
      </c>
      <c r="J40">
        <v>93</v>
      </c>
      <c r="Q40">
        <v>86</v>
      </c>
      <c r="R40">
        <v>36</v>
      </c>
      <c r="S40">
        <v>53</v>
      </c>
      <c r="T40">
        <v>73</v>
      </c>
      <c r="U40">
        <v>100</v>
      </c>
      <c r="V40">
        <f>COUNTIF(matura3[[#This Row],[Biologia-R]:[WOS-R]],100)</f>
        <v>1</v>
      </c>
    </row>
    <row r="41" spans="1:22" hidden="1" x14ac:dyDescent="0.3">
      <c r="A41" s="1" t="s">
        <v>56</v>
      </c>
      <c r="B41" s="1" t="s">
        <v>62</v>
      </c>
      <c r="I41">
        <v>59</v>
      </c>
      <c r="J41">
        <v>44</v>
      </c>
      <c r="Q41">
        <v>34</v>
      </c>
      <c r="S41">
        <v>30</v>
      </c>
      <c r="T41">
        <v>53</v>
      </c>
      <c r="U41">
        <v>34</v>
      </c>
      <c r="V41">
        <f>COUNTIF(matura3[[#This Row],[Biologia-R]:[WOS-R]],100)</f>
        <v>0</v>
      </c>
    </row>
    <row r="42" spans="1:22" hidden="1" x14ac:dyDescent="0.3">
      <c r="A42" s="1" t="s">
        <v>56</v>
      </c>
      <c r="B42" s="1" t="s">
        <v>63</v>
      </c>
      <c r="G42">
        <v>88</v>
      </c>
      <c r="I42">
        <v>98</v>
      </c>
      <c r="J42">
        <v>95</v>
      </c>
      <c r="P42">
        <v>69</v>
      </c>
      <c r="Q42">
        <v>68</v>
      </c>
      <c r="S42">
        <v>70</v>
      </c>
      <c r="T42">
        <v>80</v>
      </c>
      <c r="U42">
        <v>72</v>
      </c>
      <c r="V42">
        <f>COUNTIF(matura3[[#This Row],[Biologia-R]:[WOS-R]],100)</f>
        <v>0</v>
      </c>
    </row>
    <row r="43" spans="1:22" hidden="1" x14ac:dyDescent="0.3">
      <c r="A43" s="1" t="s">
        <v>56</v>
      </c>
      <c r="B43" s="1" t="s">
        <v>64</v>
      </c>
      <c r="G43">
        <v>92</v>
      </c>
      <c r="I43">
        <v>93</v>
      </c>
      <c r="J43">
        <v>95</v>
      </c>
      <c r="Q43">
        <v>56</v>
      </c>
      <c r="S43">
        <v>79</v>
      </c>
      <c r="T43">
        <v>55</v>
      </c>
      <c r="U43">
        <v>72</v>
      </c>
      <c r="V43">
        <f>COUNTIF(matura3[[#This Row],[Biologia-R]:[WOS-R]],100)</f>
        <v>0</v>
      </c>
    </row>
    <row r="44" spans="1:22" hidden="1" x14ac:dyDescent="0.3">
      <c r="A44" s="1" t="s">
        <v>56</v>
      </c>
      <c r="B44" s="1" t="s">
        <v>65</v>
      </c>
      <c r="G44">
        <v>94</v>
      </c>
      <c r="I44">
        <v>90</v>
      </c>
      <c r="J44">
        <v>67</v>
      </c>
      <c r="Q44">
        <v>40</v>
      </c>
      <c r="S44">
        <v>80</v>
      </c>
      <c r="T44">
        <v>60</v>
      </c>
      <c r="V44">
        <f>COUNTIF(matura3[[#This Row],[Biologia-R]:[WOS-R]],100)</f>
        <v>0</v>
      </c>
    </row>
    <row r="45" spans="1:22" hidden="1" x14ac:dyDescent="0.3">
      <c r="A45" s="1" t="s">
        <v>56</v>
      </c>
      <c r="B45" s="1" t="s">
        <v>66</v>
      </c>
      <c r="G45">
        <v>66</v>
      </c>
      <c r="I45">
        <v>98</v>
      </c>
      <c r="J45">
        <v>67</v>
      </c>
      <c r="Q45">
        <v>50</v>
      </c>
      <c r="S45">
        <v>54</v>
      </c>
      <c r="T45">
        <v>80</v>
      </c>
      <c r="U45">
        <v>68</v>
      </c>
      <c r="V45">
        <f>COUNTIF(matura3[[#This Row],[Biologia-R]:[WOS-R]],100)</f>
        <v>0</v>
      </c>
    </row>
    <row r="46" spans="1:22" hidden="1" x14ac:dyDescent="0.3">
      <c r="A46" s="1" t="s">
        <v>56</v>
      </c>
      <c r="B46" s="1" t="s">
        <v>67</v>
      </c>
      <c r="I46">
        <v>100</v>
      </c>
      <c r="J46">
        <v>92</v>
      </c>
      <c r="Q46">
        <v>70</v>
      </c>
      <c r="S46">
        <v>63</v>
      </c>
      <c r="T46">
        <v>45</v>
      </c>
      <c r="V46">
        <f>COUNTIF(matura3[[#This Row],[Biologia-R]:[WOS-R]],100)</f>
        <v>1</v>
      </c>
    </row>
    <row r="47" spans="1:22" hidden="1" x14ac:dyDescent="0.3">
      <c r="A47" s="1" t="s">
        <v>56</v>
      </c>
      <c r="B47" s="1" t="s">
        <v>68</v>
      </c>
      <c r="I47">
        <v>96</v>
      </c>
      <c r="J47">
        <v>63</v>
      </c>
      <c r="Q47">
        <v>64</v>
      </c>
      <c r="S47">
        <v>63</v>
      </c>
      <c r="T47">
        <v>58</v>
      </c>
      <c r="U47">
        <v>48</v>
      </c>
      <c r="V47">
        <f>COUNTIF(matura3[[#This Row],[Biologia-R]:[WOS-R]],100)</f>
        <v>0</v>
      </c>
    </row>
    <row r="48" spans="1:22" hidden="1" x14ac:dyDescent="0.3">
      <c r="A48" s="1" t="s">
        <v>56</v>
      </c>
      <c r="B48" s="1" t="s">
        <v>69</v>
      </c>
      <c r="I48">
        <v>96</v>
      </c>
      <c r="J48">
        <v>69</v>
      </c>
      <c r="Q48">
        <v>68</v>
      </c>
      <c r="S48">
        <v>51</v>
      </c>
      <c r="T48">
        <v>70</v>
      </c>
      <c r="U48">
        <v>38</v>
      </c>
      <c r="V48">
        <f>COUNTIF(matura3[[#This Row],[Biologia-R]:[WOS-R]],100)</f>
        <v>0</v>
      </c>
    </row>
    <row r="49" spans="1:22" hidden="1" x14ac:dyDescent="0.3">
      <c r="A49" s="1" t="s">
        <v>56</v>
      </c>
      <c r="B49" s="1" t="s">
        <v>70</v>
      </c>
      <c r="C49">
        <v>73</v>
      </c>
      <c r="D49">
        <v>65</v>
      </c>
      <c r="I49">
        <v>80</v>
      </c>
      <c r="Q49">
        <v>52</v>
      </c>
      <c r="S49">
        <v>56</v>
      </c>
      <c r="V49">
        <f>COUNTIF(matura3[[#This Row],[Biologia-R]:[WOS-R]],100)</f>
        <v>0</v>
      </c>
    </row>
    <row r="50" spans="1:22" hidden="1" x14ac:dyDescent="0.3">
      <c r="A50" s="1" t="s">
        <v>56</v>
      </c>
      <c r="B50" s="1" t="s">
        <v>71</v>
      </c>
      <c r="C50">
        <v>50</v>
      </c>
      <c r="D50">
        <v>47</v>
      </c>
      <c r="I50">
        <v>92</v>
      </c>
      <c r="Q50">
        <v>58</v>
      </c>
      <c r="S50">
        <v>51</v>
      </c>
      <c r="V50">
        <f>COUNTIF(matura3[[#This Row],[Biologia-R]:[WOS-R]],100)</f>
        <v>0</v>
      </c>
    </row>
    <row r="51" spans="1:22" hidden="1" x14ac:dyDescent="0.3">
      <c r="A51" s="1" t="s">
        <v>56</v>
      </c>
      <c r="B51" s="1" t="s">
        <v>72</v>
      </c>
      <c r="G51">
        <v>92</v>
      </c>
      <c r="I51">
        <v>92</v>
      </c>
      <c r="J51">
        <v>59</v>
      </c>
      <c r="Q51">
        <v>72</v>
      </c>
      <c r="S51">
        <v>41</v>
      </c>
      <c r="T51">
        <v>60</v>
      </c>
      <c r="U51">
        <v>68</v>
      </c>
      <c r="V51">
        <f>COUNTIF(matura3[[#This Row],[Biologia-R]:[WOS-R]],100)</f>
        <v>0</v>
      </c>
    </row>
    <row r="52" spans="1:22" hidden="1" x14ac:dyDescent="0.3">
      <c r="A52" s="1" t="s">
        <v>56</v>
      </c>
      <c r="B52" s="1" t="s">
        <v>73</v>
      </c>
      <c r="C52">
        <v>73</v>
      </c>
      <c r="I52">
        <v>97</v>
      </c>
      <c r="J52">
        <v>74</v>
      </c>
      <c r="Q52">
        <v>56</v>
      </c>
      <c r="S52">
        <v>60</v>
      </c>
      <c r="T52">
        <v>73</v>
      </c>
      <c r="V52">
        <f>COUNTIF(matura3[[#This Row],[Biologia-R]:[WOS-R]],100)</f>
        <v>0</v>
      </c>
    </row>
    <row r="53" spans="1:22" hidden="1" x14ac:dyDescent="0.3">
      <c r="A53" s="1" t="s">
        <v>56</v>
      </c>
      <c r="B53" s="1" t="s">
        <v>74</v>
      </c>
      <c r="G53">
        <v>80</v>
      </c>
      <c r="I53">
        <v>97</v>
      </c>
      <c r="J53">
        <v>83</v>
      </c>
      <c r="Q53">
        <v>44</v>
      </c>
      <c r="S53">
        <v>66</v>
      </c>
      <c r="T53">
        <v>63</v>
      </c>
      <c r="V53">
        <f>COUNTIF(matura3[[#This Row],[Biologia-R]:[WOS-R]],100)</f>
        <v>0</v>
      </c>
    </row>
    <row r="54" spans="1:22" hidden="1" x14ac:dyDescent="0.3">
      <c r="A54" s="1" t="s">
        <v>56</v>
      </c>
      <c r="B54" s="1" t="s">
        <v>75</v>
      </c>
      <c r="C54">
        <v>35</v>
      </c>
      <c r="I54">
        <v>96</v>
      </c>
      <c r="J54">
        <v>84</v>
      </c>
      <c r="Q54">
        <v>32</v>
      </c>
      <c r="S54">
        <v>51</v>
      </c>
      <c r="T54">
        <v>63</v>
      </c>
      <c r="V54">
        <f>COUNTIF(matura3[[#This Row],[Biologia-R]:[WOS-R]],100)</f>
        <v>0</v>
      </c>
    </row>
    <row r="55" spans="1:22" hidden="1" x14ac:dyDescent="0.3">
      <c r="A55" s="1" t="s">
        <v>56</v>
      </c>
      <c r="B55" s="1" t="s">
        <v>76</v>
      </c>
      <c r="F55">
        <v>47</v>
      </c>
      <c r="I55">
        <v>86</v>
      </c>
      <c r="J55">
        <v>60</v>
      </c>
      <c r="Q55">
        <v>66</v>
      </c>
      <c r="S55">
        <v>34</v>
      </c>
      <c r="T55">
        <v>58</v>
      </c>
      <c r="U55">
        <v>58</v>
      </c>
      <c r="V55">
        <f>COUNTIF(matura3[[#This Row],[Biologia-R]:[WOS-R]],100)</f>
        <v>0</v>
      </c>
    </row>
    <row r="56" spans="1:22" hidden="1" x14ac:dyDescent="0.3">
      <c r="A56" s="1" t="s">
        <v>56</v>
      </c>
      <c r="B56" s="1" t="s">
        <v>77</v>
      </c>
      <c r="G56">
        <v>42</v>
      </c>
      <c r="I56">
        <v>66</v>
      </c>
      <c r="Q56">
        <v>64</v>
      </c>
      <c r="S56">
        <v>56</v>
      </c>
      <c r="T56">
        <v>75</v>
      </c>
      <c r="V56">
        <f>COUNTIF(matura3[[#This Row],[Biologia-R]:[WOS-R]],100)</f>
        <v>0</v>
      </c>
    </row>
    <row r="57" spans="1:22" hidden="1" x14ac:dyDescent="0.3">
      <c r="A57" s="1" t="s">
        <v>56</v>
      </c>
      <c r="B57" s="1" t="s">
        <v>78</v>
      </c>
      <c r="G57">
        <v>76</v>
      </c>
      <c r="I57">
        <v>97</v>
      </c>
      <c r="J57">
        <v>78</v>
      </c>
      <c r="Q57">
        <v>72</v>
      </c>
      <c r="S57">
        <v>60</v>
      </c>
      <c r="T57">
        <v>80</v>
      </c>
      <c r="V57">
        <f>COUNTIF(matura3[[#This Row],[Biologia-R]:[WOS-R]],100)</f>
        <v>0</v>
      </c>
    </row>
    <row r="58" spans="1:22" hidden="1" x14ac:dyDescent="0.3">
      <c r="A58" s="1" t="s">
        <v>56</v>
      </c>
      <c r="B58" s="1" t="s">
        <v>79</v>
      </c>
      <c r="G58">
        <v>80</v>
      </c>
      <c r="I58">
        <v>78</v>
      </c>
      <c r="J58">
        <v>34</v>
      </c>
      <c r="Q58">
        <v>52</v>
      </c>
      <c r="S58">
        <v>46</v>
      </c>
      <c r="T58">
        <v>80</v>
      </c>
      <c r="U58">
        <v>62</v>
      </c>
      <c r="V58">
        <f>COUNTIF(matura3[[#This Row],[Biologia-R]:[WOS-R]],100)</f>
        <v>0</v>
      </c>
    </row>
    <row r="59" spans="1:22" hidden="1" x14ac:dyDescent="0.3">
      <c r="A59" s="1" t="s">
        <v>56</v>
      </c>
      <c r="B59" s="1" t="s">
        <v>80</v>
      </c>
      <c r="I59">
        <v>65</v>
      </c>
      <c r="Q59">
        <v>50</v>
      </c>
      <c r="S59">
        <v>43</v>
      </c>
      <c r="T59">
        <v>78</v>
      </c>
      <c r="U59">
        <v>24</v>
      </c>
      <c r="V59">
        <f>COUNTIF(matura3[[#This Row],[Biologia-R]:[WOS-R]],100)</f>
        <v>0</v>
      </c>
    </row>
    <row r="60" spans="1:22" hidden="1" x14ac:dyDescent="0.3">
      <c r="A60" s="1" t="s">
        <v>56</v>
      </c>
      <c r="B60" s="1" t="s">
        <v>81</v>
      </c>
      <c r="G60">
        <v>88</v>
      </c>
      <c r="I60">
        <v>96</v>
      </c>
      <c r="J60">
        <v>92</v>
      </c>
      <c r="Q60">
        <v>58</v>
      </c>
      <c r="S60">
        <v>59</v>
      </c>
      <c r="T60">
        <v>53</v>
      </c>
      <c r="U60">
        <v>72</v>
      </c>
      <c r="V60">
        <f>COUNTIF(matura3[[#This Row],[Biologia-R]:[WOS-R]],100)</f>
        <v>0</v>
      </c>
    </row>
    <row r="61" spans="1:22" x14ac:dyDescent="0.3">
      <c r="A61" s="4" t="s">
        <v>56</v>
      </c>
      <c r="B61" s="4" t="s">
        <v>82</v>
      </c>
      <c r="G61">
        <v>76</v>
      </c>
      <c r="I61">
        <v>100</v>
      </c>
      <c r="J61">
        <v>90</v>
      </c>
      <c r="O61">
        <v>100</v>
      </c>
      <c r="Q61">
        <v>78</v>
      </c>
      <c r="S61">
        <v>66</v>
      </c>
      <c r="T61">
        <v>75</v>
      </c>
      <c r="V61">
        <f>COUNTIF(matura3[[#This Row],[Biologia-R]:[WOS-R]],100)</f>
        <v>2</v>
      </c>
    </row>
    <row r="62" spans="1:22" hidden="1" x14ac:dyDescent="0.3">
      <c r="A62" s="1" t="s">
        <v>56</v>
      </c>
      <c r="B62" s="1" t="s">
        <v>83</v>
      </c>
      <c r="G62">
        <v>96</v>
      </c>
      <c r="I62">
        <v>98</v>
      </c>
      <c r="J62">
        <v>91</v>
      </c>
      <c r="Q62">
        <v>72</v>
      </c>
      <c r="S62">
        <v>69</v>
      </c>
      <c r="T62">
        <v>85</v>
      </c>
      <c r="V62">
        <f>COUNTIF(matura3[[#This Row],[Biologia-R]:[WOS-R]],100)</f>
        <v>0</v>
      </c>
    </row>
    <row r="63" spans="1:22" hidden="1" x14ac:dyDescent="0.3">
      <c r="A63" s="1" t="s">
        <v>56</v>
      </c>
      <c r="B63" s="1" t="s">
        <v>84</v>
      </c>
      <c r="G63">
        <v>76</v>
      </c>
      <c r="I63">
        <v>99</v>
      </c>
      <c r="J63">
        <v>84</v>
      </c>
      <c r="K63">
        <v>78</v>
      </c>
      <c r="Q63">
        <v>70</v>
      </c>
      <c r="S63">
        <v>53</v>
      </c>
      <c r="T63">
        <v>73</v>
      </c>
      <c r="V63">
        <f>COUNTIF(matura3[[#This Row],[Biologia-R]:[WOS-R]],100)</f>
        <v>0</v>
      </c>
    </row>
    <row r="64" spans="1:22" hidden="1" x14ac:dyDescent="0.3">
      <c r="A64" s="1" t="s">
        <v>56</v>
      </c>
      <c r="B64" s="1" t="s">
        <v>85</v>
      </c>
      <c r="C64">
        <v>48</v>
      </c>
      <c r="D64">
        <v>17</v>
      </c>
      <c r="I64">
        <v>100</v>
      </c>
      <c r="J64">
        <v>92</v>
      </c>
      <c r="Q64">
        <v>60</v>
      </c>
      <c r="S64">
        <v>47</v>
      </c>
      <c r="V64">
        <f>COUNTIF(matura3[[#This Row],[Biologia-R]:[WOS-R]],100)</f>
        <v>1</v>
      </c>
    </row>
    <row r="65" spans="1:22" hidden="1" x14ac:dyDescent="0.3">
      <c r="A65" s="1" t="s">
        <v>56</v>
      </c>
      <c r="B65" s="1" t="s">
        <v>86</v>
      </c>
      <c r="G65">
        <v>80</v>
      </c>
      <c r="I65">
        <v>98</v>
      </c>
      <c r="J65">
        <v>79</v>
      </c>
      <c r="Q65">
        <v>66</v>
      </c>
      <c r="S65">
        <v>66</v>
      </c>
      <c r="T65">
        <v>63</v>
      </c>
      <c r="U65">
        <v>60</v>
      </c>
      <c r="V65">
        <f>COUNTIF(matura3[[#This Row],[Biologia-R]:[WOS-R]],100)</f>
        <v>0</v>
      </c>
    </row>
    <row r="66" spans="1:22" hidden="1" x14ac:dyDescent="0.3">
      <c r="A66" s="1" t="s">
        <v>56</v>
      </c>
      <c r="B66" s="1" t="s">
        <v>87</v>
      </c>
      <c r="I66">
        <v>94</v>
      </c>
      <c r="J66">
        <v>66</v>
      </c>
      <c r="Q66">
        <v>76</v>
      </c>
      <c r="R66">
        <v>24</v>
      </c>
      <c r="S66">
        <v>44</v>
      </c>
      <c r="T66">
        <v>40</v>
      </c>
      <c r="V66">
        <f>COUNTIF(matura3[[#This Row],[Biologia-R]:[WOS-R]],100)</f>
        <v>0</v>
      </c>
    </row>
    <row r="67" spans="1:22" hidden="1" x14ac:dyDescent="0.3">
      <c r="A67" s="1" t="s">
        <v>88</v>
      </c>
      <c r="B67" s="1" t="s">
        <v>89</v>
      </c>
      <c r="I67">
        <v>95</v>
      </c>
      <c r="J67">
        <v>70</v>
      </c>
      <c r="M67">
        <v>51</v>
      </c>
      <c r="Q67">
        <v>76</v>
      </c>
      <c r="R67">
        <v>52</v>
      </c>
      <c r="S67">
        <v>49</v>
      </c>
      <c r="V67">
        <f>COUNTIF(matura3[[#This Row],[Biologia-R]:[WOS-R]],100)</f>
        <v>0</v>
      </c>
    </row>
    <row r="68" spans="1:22" hidden="1" x14ac:dyDescent="0.3">
      <c r="A68" s="1" t="s">
        <v>88</v>
      </c>
      <c r="B68" s="1" t="s">
        <v>90</v>
      </c>
      <c r="F68">
        <v>42</v>
      </c>
      <c r="I68">
        <v>52</v>
      </c>
      <c r="Q68">
        <v>76</v>
      </c>
      <c r="R68">
        <v>40</v>
      </c>
      <c r="S68">
        <v>36</v>
      </c>
      <c r="V68">
        <f>COUNTIF(matura3[[#This Row],[Biologia-R]:[WOS-R]],100)</f>
        <v>0</v>
      </c>
    </row>
    <row r="69" spans="1:22" hidden="1" x14ac:dyDescent="0.3">
      <c r="A69" s="1" t="s">
        <v>88</v>
      </c>
      <c r="B69" s="1" t="s">
        <v>91</v>
      </c>
      <c r="F69">
        <v>77</v>
      </c>
      <c r="I69">
        <v>92</v>
      </c>
      <c r="J69">
        <v>80</v>
      </c>
      <c r="K69">
        <v>68</v>
      </c>
      <c r="Q69">
        <v>66</v>
      </c>
      <c r="R69">
        <v>44</v>
      </c>
      <c r="S69">
        <v>54</v>
      </c>
      <c r="V69">
        <f>COUNTIF(matura3[[#This Row],[Biologia-R]:[WOS-R]],100)</f>
        <v>0</v>
      </c>
    </row>
    <row r="70" spans="1:22" hidden="1" x14ac:dyDescent="0.3">
      <c r="A70" s="1" t="s">
        <v>88</v>
      </c>
      <c r="B70" s="1" t="s">
        <v>92</v>
      </c>
      <c r="F70">
        <v>55</v>
      </c>
      <c r="I70">
        <v>88</v>
      </c>
      <c r="Q70">
        <v>72</v>
      </c>
      <c r="R70">
        <v>42</v>
      </c>
      <c r="S70">
        <v>49</v>
      </c>
      <c r="V70">
        <f>COUNTIF(matura3[[#This Row],[Biologia-R]:[WOS-R]],100)</f>
        <v>0</v>
      </c>
    </row>
    <row r="71" spans="1:22" hidden="1" x14ac:dyDescent="0.3">
      <c r="A71" s="1" t="s">
        <v>88</v>
      </c>
      <c r="B71" s="1" t="s">
        <v>93</v>
      </c>
      <c r="F71">
        <v>85</v>
      </c>
      <c r="I71">
        <v>100</v>
      </c>
      <c r="J71">
        <v>81</v>
      </c>
      <c r="M71">
        <v>94</v>
      </c>
      <c r="Q71">
        <v>94</v>
      </c>
      <c r="R71">
        <v>52</v>
      </c>
      <c r="S71">
        <v>71</v>
      </c>
      <c r="V71">
        <f>COUNTIF(matura3[[#This Row],[Biologia-R]:[WOS-R]],100)</f>
        <v>1</v>
      </c>
    </row>
    <row r="72" spans="1:22" hidden="1" x14ac:dyDescent="0.3">
      <c r="A72" s="1" t="s">
        <v>88</v>
      </c>
      <c r="B72" s="1" t="s">
        <v>94</v>
      </c>
      <c r="F72">
        <v>68</v>
      </c>
      <c r="I72">
        <v>84</v>
      </c>
      <c r="Q72">
        <v>52</v>
      </c>
      <c r="R72">
        <v>14</v>
      </c>
      <c r="S72">
        <v>34</v>
      </c>
      <c r="V72">
        <f>COUNTIF(matura3[[#This Row],[Biologia-R]:[WOS-R]],100)</f>
        <v>0</v>
      </c>
    </row>
    <row r="73" spans="1:22" hidden="1" x14ac:dyDescent="0.3">
      <c r="A73" s="1" t="s">
        <v>88</v>
      </c>
      <c r="B73" s="1" t="s">
        <v>95</v>
      </c>
      <c r="F73">
        <v>60</v>
      </c>
      <c r="I73">
        <v>92</v>
      </c>
      <c r="Q73">
        <v>70</v>
      </c>
      <c r="R73">
        <v>32</v>
      </c>
      <c r="S73">
        <v>63</v>
      </c>
      <c r="V73">
        <f>COUNTIF(matura3[[#This Row],[Biologia-R]:[WOS-R]],100)</f>
        <v>0</v>
      </c>
    </row>
    <row r="74" spans="1:22" hidden="1" x14ac:dyDescent="0.3">
      <c r="A74" s="1" t="s">
        <v>88</v>
      </c>
      <c r="B74" s="1" t="s">
        <v>96</v>
      </c>
      <c r="F74">
        <v>70</v>
      </c>
      <c r="I74">
        <v>94</v>
      </c>
      <c r="J74">
        <v>84</v>
      </c>
      <c r="P74">
        <v>90</v>
      </c>
      <c r="Q74">
        <v>88</v>
      </c>
      <c r="R74">
        <v>56</v>
      </c>
      <c r="S74">
        <v>64</v>
      </c>
      <c r="V74">
        <f>COUNTIF(matura3[[#This Row],[Biologia-R]:[WOS-R]],100)</f>
        <v>0</v>
      </c>
    </row>
    <row r="75" spans="1:22" hidden="1" x14ac:dyDescent="0.3">
      <c r="A75" s="1" t="s">
        <v>88</v>
      </c>
      <c r="B75" s="1" t="s">
        <v>97</v>
      </c>
      <c r="F75">
        <v>38</v>
      </c>
      <c r="I75">
        <v>51</v>
      </c>
      <c r="Q75">
        <v>48</v>
      </c>
      <c r="S75">
        <v>49</v>
      </c>
      <c r="V75">
        <f>COUNTIF(matura3[[#This Row],[Biologia-R]:[WOS-R]],100)</f>
        <v>0</v>
      </c>
    </row>
    <row r="76" spans="1:22" hidden="1" x14ac:dyDescent="0.3">
      <c r="A76" s="1" t="s">
        <v>88</v>
      </c>
      <c r="B76" s="1" t="s">
        <v>98</v>
      </c>
      <c r="F76">
        <v>83</v>
      </c>
      <c r="J76">
        <v>93</v>
      </c>
      <c r="O76">
        <v>96</v>
      </c>
      <c r="Q76">
        <v>72</v>
      </c>
      <c r="R76">
        <v>64</v>
      </c>
      <c r="S76">
        <v>57</v>
      </c>
      <c r="V76">
        <f>COUNTIF(matura3[[#This Row],[Biologia-R]:[WOS-R]],100)</f>
        <v>0</v>
      </c>
    </row>
    <row r="77" spans="1:22" hidden="1" x14ac:dyDescent="0.3">
      <c r="A77" s="1" t="s">
        <v>88</v>
      </c>
      <c r="B77" s="1" t="s">
        <v>99</v>
      </c>
      <c r="F77">
        <v>93</v>
      </c>
      <c r="I77">
        <v>98</v>
      </c>
      <c r="J77">
        <v>80</v>
      </c>
      <c r="K77">
        <v>80</v>
      </c>
      <c r="Q77">
        <v>78</v>
      </c>
      <c r="R77">
        <v>64</v>
      </c>
      <c r="S77">
        <v>63</v>
      </c>
      <c r="V77">
        <f>COUNTIF(matura3[[#This Row],[Biologia-R]:[WOS-R]],100)</f>
        <v>0</v>
      </c>
    </row>
    <row r="78" spans="1:22" hidden="1" x14ac:dyDescent="0.3">
      <c r="A78" s="1" t="s">
        <v>88</v>
      </c>
      <c r="B78" s="1" t="s">
        <v>100</v>
      </c>
      <c r="F78">
        <v>63</v>
      </c>
      <c r="I78">
        <v>88</v>
      </c>
      <c r="Q78">
        <v>64</v>
      </c>
      <c r="S78">
        <v>63</v>
      </c>
      <c r="T78">
        <v>43</v>
      </c>
      <c r="V78">
        <f>COUNTIF(matura3[[#This Row],[Biologia-R]:[WOS-R]],100)</f>
        <v>0</v>
      </c>
    </row>
    <row r="79" spans="1:22" hidden="1" x14ac:dyDescent="0.3">
      <c r="A79" s="1" t="s">
        <v>88</v>
      </c>
      <c r="B79" s="1" t="s">
        <v>101</v>
      </c>
      <c r="F79">
        <v>65</v>
      </c>
      <c r="I79">
        <v>69</v>
      </c>
      <c r="Q79">
        <v>52</v>
      </c>
      <c r="S79">
        <v>51</v>
      </c>
      <c r="V79">
        <f>COUNTIF(matura3[[#This Row],[Biologia-R]:[WOS-R]],100)</f>
        <v>0</v>
      </c>
    </row>
    <row r="80" spans="1:22" hidden="1" x14ac:dyDescent="0.3">
      <c r="A80" s="1" t="s">
        <v>88</v>
      </c>
      <c r="B80" s="1" t="s">
        <v>102</v>
      </c>
      <c r="F80">
        <v>50</v>
      </c>
      <c r="I80">
        <v>82</v>
      </c>
      <c r="Q80">
        <v>68</v>
      </c>
      <c r="R80">
        <v>36</v>
      </c>
      <c r="S80">
        <v>47</v>
      </c>
      <c r="V80">
        <f>COUNTIF(matura3[[#This Row],[Biologia-R]:[WOS-R]],100)</f>
        <v>0</v>
      </c>
    </row>
    <row r="81" spans="1:22" hidden="1" x14ac:dyDescent="0.3">
      <c r="A81" s="1" t="s">
        <v>88</v>
      </c>
      <c r="B81" s="1" t="s">
        <v>103</v>
      </c>
      <c r="F81">
        <v>53</v>
      </c>
      <c r="I81">
        <v>100</v>
      </c>
      <c r="J81">
        <v>77</v>
      </c>
      <c r="Q81">
        <v>82</v>
      </c>
      <c r="R81">
        <v>38</v>
      </c>
      <c r="S81">
        <v>53</v>
      </c>
      <c r="U81">
        <v>46</v>
      </c>
      <c r="V81">
        <f>COUNTIF(matura3[[#This Row],[Biologia-R]:[WOS-R]],100)</f>
        <v>1</v>
      </c>
    </row>
    <row r="82" spans="1:22" hidden="1" x14ac:dyDescent="0.3">
      <c r="A82" s="1" t="s">
        <v>88</v>
      </c>
      <c r="B82" s="1" t="s">
        <v>104</v>
      </c>
      <c r="I82">
        <v>98</v>
      </c>
      <c r="J82">
        <v>81</v>
      </c>
      <c r="Q82">
        <v>88</v>
      </c>
      <c r="R82">
        <v>40</v>
      </c>
      <c r="S82">
        <v>59</v>
      </c>
      <c r="V82">
        <f>COUNTIF(matura3[[#This Row],[Biologia-R]:[WOS-R]],100)</f>
        <v>0</v>
      </c>
    </row>
    <row r="83" spans="1:22" hidden="1" x14ac:dyDescent="0.3">
      <c r="A83" s="1" t="s">
        <v>88</v>
      </c>
      <c r="B83" s="1" t="s">
        <v>105</v>
      </c>
      <c r="F83">
        <v>70</v>
      </c>
      <c r="I83">
        <v>96</v>
      </c>
      <c r="J83">
        <v>51</v>
      </c>
      <c r="Q83">
        <v>76</v>
      </c>
      <c r="S83">
        <v>66</v>
      </c>
      <c r="T83">
        <v>95</v>
      </c>
      <c r="V83">
        <f>COUNTIF(matura3[[#This Row],[Biologia-R]:[WOS-R]],100)</f>
        <v>0</v>
      </c>
    </row>
    <row r="84" spans="1:22" hidden="1" x14ac:dyDescent="0.3">
      <c r="A84" s="1" t="s">
        <v>88</v>
      </c>
      <c r="B84" s="1" t="s">
        <v>106</v>
      </c>
      <c r="F84">
        <v>68</v>
      </c>
      <c r="I84">
        <v>87</v>
      </c>
      <c r="J84">
        <v>55</v>
      </c>
      <c r="Q84">
        <v>86</v>
      </c>
      <c r="R84">
        <v>48</v>
      </c>
      <c r="S84">
        <v>63</v>
      </c>
      <c r="T84">
        <v>55</v>
      </c>
      <c r="V84">
        <f>COUNTIF(matura3[[#This Row],[Biologia-R]:[WOS-R]],100)</f>
        <v>0</v>
      </c>
    </row>
    <row r="85" spans="1:22" hidden="1" x14ac:dyDescent="0.3">
      <c r="A85" s="1" t="s">
        <v>88</v>
      </c>
      <c r="B85" s="1" t="s">
        <v>107</v>
      </c>
      <c r="I85">
        <v>91</v>
      </c>
      <c r="J85">
        <v>66</v>
      </c>
      <c r="Q85">
        <v>100</v>
      </c>
      <c r="R85">
        <v>66</v>
      </c>
      <c r="S85">
        <v>76</v>
      </c>
      <c r="T85">
        <v>70</v>
      </c>
      <c r="V85">
        <f>COUNTIF(matura3[[#This Row],[Biologia-R]:[WOS-R]],100)</f>
        <v>1</v>
      </c>
    </row>
    <row r="86" spans="1:22" hidden="1" x14ac:dyDescent="0.3">
      <c r="A86" s="1" t="s">
        <v>88</v>
      </c>
      <c r="B86" s="1" t="s">
        <v>108</v>
      </c>
      <c r="I86">
        <v>100</v>
      </c>
      <c r="J86">
        <v>92</v>
      </c>
      <c r="K86">
        <v>72</v>
      </c>
      <c r="Q86">
        <v>74</v>
      </c>
      <c r="R86">
        <v>52</v>
      </c>
      <c r="S86">
        <v>54</v>
      </c>
      <c r="V86">
        <f>COUNTIF(matura3[[#This Row],[Biologia-R]:[WOS-R]],100)</f>
        <v>1</v>
      </c>
    </row>
    <row r="87" spans="1:22" hidden="1" x14ac:dyDescent="0.3">
      <c r="A87" s="1" t="s">
        <v>88</v>
      </c>
      <c r="B87" s="1" t="s">
        <v>109</v>
      </c>
      <c r="F87">
        <v>87</v>
      </c>
      <c r="I87">
        <v>98</v>
      </c>
      <c r="Q87">
        <v>96</v>
      </c>
      <c r="R87">
        <v>90</v>
      </c>
      <c r="S87">
        <v>91</v>
      </c>
      <c r="V87">
        <f>COUNTIF(matura3[[#This Row],[Biologia-R]:[WOS-R]],100)</f>
        <v>0</v>
      </c>
    </row>
    <row r="88" spans="1:22" hidden="1" x14ac:dyDescent="0.3">
      <c r="A88" s="1" t="s">
        <v>88</v>
      </c>
      <c r="B88" s="1" t="s">
        <v>110</v>
      </c>
      <c r="F88">
        <v>47</v>
      </c>
      <c r="I88">
        <v>89</v>
      </c>
      <c r="Q88">
        <v>76</v>
      </c>
      <c r="R88">
        <v>40</v>
      </c>
      <c r="S88">
        <v>54</v>
      </c>
      <c r="V88">
        <f>COUNTIF(matura3[[#This Row],[Biologia-R]:[WOS-R]],100)</f>
        <v>0</v>
      </c>
    </row>
    <row r="89" spans="1:22" hidden="1" x14ac:dyDescent="0.3">
      <c r="A89" s="1" t="s">
        <v>88</v>
      </c>
      <c r="B89" s="1" t="s">
        <v>111</v>
      </c>
      <c r="I89">
        <v>94</v>
      </c>
      <c r="J89">
        <v>88</v>
      </c>
      <c r="Q89">
        <v>88</v>
      </c>
      <c r="R89">
        <v>46</v>
      </c>
      <c r="S89">
        <v>77</v>
      </c>
      <c r="V89">
        <f>COUNTIF(matura3[[#This Row],[Biologia-R]:[WOS-R]],100)</f>
        <v>0</v>
      </c>
    </row>
    <row r="90" spans="1:22" hidden="1" x14ac:dyDescent="0.3">
      <c r="A90" s="1" t="s">
        <v>88</v>
      </c>
      <c r="B90" s="1" t="s">
        <v>112</v>
      </c>
      <c r="F90">
        <v>68</v>
      </c>
      <c r="I90">
        <v>94</v>
      </c>
      <c r="J90">
        <v>78</v>
      </c>
      <c r="O90">
        <v>96</v>
      </c>
      <c r="Q90">
        <v>100</v>
      </c>
      <c r="R90">
        <v>54</v>
      </c>
      <c r="S90">
        <v>50</v>
      </c>
      <c r="V90">
        <f>COUNTIF(matura3[[#This Row],[Biologia-R]:[WOS-R]],100)</f>
        <v>1</v>
      </c>
    </row>
    <row r="91" spans="1:22" hidden="1" x14ac:dyDescent="0.3">
      <c r="A91" s="1" t="s">
        <v>88</v>
      </c>
      <c r="B91" s="1" t="s">
        <v>113</v>
      </c>
      <c r="F91">
        <v>77</v>
      </c>
      <c r="I91">
        <v>72</v>
      </c>
      <c r="J91">
        <v>44</v>
      </c>
      <c r="Q91">
        <v>78</v>
      </c>
      <c r="R91">
        <v>40</v>
      </c>
      <c r="S91">
        <v>60</v>
      </c>
      <c r="V91">
        <f>COUNTIF(matura3[[#This Row],[Biologia-R]:[WOS-R]],100)</f>
        <v>0</v>
      </c>
    </row>
    <row r="92" spans="1:22" x14ac:dyDescent="0.3">
      <c r="A92" s="4" t="s">
        <v>88</v>
      </c>
      <c r="B92" s="4" t="s">
        <v>114</v>
      </c>
      <c r="F92">
        <v>80</v>
      </c>
      <c r="I92">
        <v>100</v>
      </c>
      <c r="J92">
        <v>82</v>
      </c>
      <c r="O92">
        <v>100</v>
      </c>
      <c r="Q92">
        <v>86</v>
      </c>
      <c r="R92">
        <v>94</v>
      </c>
      <c r="S92">
        <v>63</v>
      </c>
      <c r="V92">
        <f>COUNTIF(matura3[[#This Row],[Biologia-R]:[WOS-R]],100)</f>
        <v>2</v>
      </c>
    </row>
    <row r="93" spans="1:22" hidden="1" x14ac:dyDescent="0.3">
      <c r="A93" s="1" t="s">
        <v>88</v>
      </c>
      <c r="B93" s="1" t="s">
        <v>115</v>
      </c>
      <c r="F93">
        <v>82</v>
      </c>
      <c r="I93">
        <v>94</v>
      </c>
      <c r="J93">
        <v>61</v>
      </c>
      <c r="Q93">
        <v>68</v>
      </c>
      <c r="S93">
        <v>71</v>
      </c>
      <c r="V93">
        <f>COUNTIF(matura3[[#This Row],[Biologia-R]:[WOS-R]],100)</f>
        <v>0</v>
      </c>
    </row>
    <row r="94" spans="1:22" hidden="1" x14ac:dyDescent="0.3">
      <c r="A94" s="1" t="s">
        <v>116</v>
      </c>
      <c r="B94" s="1" t="s">
        <v>117</v>
      </c>
      <c r="E94">
        <v>70</v>
      </c>
      <c r="I94">
        <v>94</v>
      </c>
      <c r="J94">
        <v>73</v>
      </c>
      <c r="Q94">
        <v>90</v>
      </c>
      <c r="R94">
        <v>70</v>
      </c>
      <c r="S94">
        <v>59</v>
      </c>
      <c r="V94">
        <f>COUNTIF(matura3[[#This Row],[Biologia-R]:[WOS-R]],100)</f>
        <v>0</v>
      </c>
    </row>
    <row r="95" spans="1:22" hidden="1" x14ac:dyDescent="0.3">
      <c r="A95" s="1" t="s">
        <v>116</v>
      </c>
      <c r="B95" s="1" t="s">
        <v>118</v>
      </c>
      <c r="E95">
        <v>53</v>
      </c>
      <c r="I95">
        <v>96</v>
      </c>
      <c r="J95">
        <v>67</v>
      </c>
      <c r="Q95">
        <v>90</v>
      </c>
      <c r="R95">
        <v>40</v>
      </c>
      <c r="S95">
        <v>64</v>
      </c>
      <c r="V95">
        <f>COUNTIF(matura3[[#This Row],[Biologia-R]:[WOS-R]],100)</f>
        <v>0</v>
      </c>
    </row>
    <row r="96" spans="1:22" hidden="1" x14ac:dyDescent="0.3">
      <c r="A96" s="1" t="s">
        <v>116</v>
      </c>
      <c r="B96" s="1" t="s">
        <v>119</v>
      </c>
      <c r="E96">
        <v>75</v>
      </c>
      <c r="H96">
        <v>78</v>
      </c>
      <c r="I96">
        <v>98</v>
      </c>
      <c r="J96">
        <v>96</v>
      </c>
      <c r="Q96">
        <v>100</v>
      </c>
      <c r="R96">
        <v>90</v>
      </c>
      <c r="S96">
        <v>80</v>
      </c>
      <c r="V96">
        <f>COUNTIF(matura3[[#This Row],[Biologia-R]:[WOS-R]],100)</f>
        <v>1</v>
      </c>
    </row>
    <row r="97" spans="1:22" hidden="1" x14ac:dyDescent="0.3">
      <c r="A97" s="1" t="s">
        <v>116</v>
      </c>
      <c r="B97" s="1" t="s">
        <v>120</v>
      </c>
      <c r="E97">
        <v>82</v>
      </c>
      <c r="I97">
        <v>100</v>
      </c>
      <c r="J97">
        <v>91</v>
      </c>
      <c r="Q97">
        <v>86</v>
      </c>
      <c r="R97">
        <v>80</v>
      </c>
      <c r="S97">
        <v>84</v>
      </c>
      <c r="V97">
        <f>COUNTIF(matura3[[#This Row],[Biologia-R]:[WOS-R]],100)</f>
        <v>1</v>
      </c>
    </row>
    <row r="98" spans="1:22" hidden="1" x14ac:dyDescent="0.3">
      <c r="A98" s="1" t="s">
        <v>116</v>
      </c>
      <c r="B98" s="1" t="s">
        <v>121</v>
      </c>
      <c r="E98">
        <v>32</v>
      </c>
      <c r="I98">
        <v>96</v>
      </c>
      <c r="J98">
        <v>74</v>
      </c>
      <c r="Q98">
        <v>82</v>
      </c>
      <c r="S98">
        <v>60</v>
      </c>
      <c r="T98">
        <v>25</v>
      </c>
      <c r="V98">
        <f>COUNTIF(matura3[[#This Row],[Biologia-R]:[WOS-R]],100)</f>
        <v>0</v>
      </c>
    </row>
    <row r="99" spans="1:22" hidden="1" x14ac:dyDescent="0.3">
      <c r="A99" s="1" t="s">
        <v>116</v>
      </c>
      <c r="B99" s="1" t="s">
        <v>122</v>
      </c>
      <c r="E99">
        <v>77</v>
      </c>
      <c r="H99">
        <v>88</v>
      </c>
      <c r="I99">
        <v>98</v>
      </c>
      <c r="J99">
        <v>76</v>
      </c>
      <c r="Q99">
        <v>98</v>
      </c>
      <c r="R99">
        <v>68</v>
      </c>
      <c r="S99">
        <v>73</v>
      </c>
      <c r="V99">
        <f>COUNTIF(matura3[[#This Row],[Biologia-R]:[WOS-R]],100)</f>
        <v>0</v>
      </c>
    </row>
    <row r="100" spans="1:22" hidden="1" x14ac:dyDescent="0.3">
      <c r="A100" s="1" t="s">
        <v>116</v>
      </c>
      <c r="B100" s="1" t="s">
        <v>123</v>
      </c>
      <c r="E100">
        <v>70</v>
      </c>
      <c r="I100">
        <v>97</v>
      </c>
      <c r="J100">
        <v>65</v>
      </c>
      <c r="Q100">
        <v>94</v>
      </c>
      <c r="R100">
        <v>78</v>
      </c>
      <c r="S100">
        <v>76</v>
      </c>
      <c r="V100">
        <f>COUNTIF(matura3[[#This Row],[Biologia-R]:[WOS-R]],100)</f>
        <v>0</v>
      </c>
    </row>
    <row r="101" spans="1:22" hidden="1" x14ac:dyDescent="0.3">
      <c r="A101" s="1" t="s">
        <v>116</v>
      </c>
      <c r="B101" s="1" t="s">
        <v>124</v>
      </c>
      <c r="E101">
        <v>32</v>
      </c>
      <c r="I101">
        <v>95</v>
      </c>
      <c r="J101">
        <v>75</v>
      </c>
      <c r="Q101">
        <v>72</v>
      </c>
      <c r="R101">
        <v>58</v>
      </c>
      <c r="S101">
        <v>54</v>
      </c>
      <c r="V101">
        <f>COUNTIF(matura3[[#This Row],[Biologia-R]:[WOS-R]],100)</f>
        <v>0</v>
      </c>
    </row>
    <row r="102" spans="1:22" hidden="1" x14ac:dyDescent="0.3">
      <c r="A102" s="1" t="s">
        <v>116</v>
      </c>
      <c r="B102" s="1" t="s">
        <v>125</v>
      </c>
      <c r="C102">
        <v>37</v>
      </c>
      <c r="E102">
        <v>37</v>
      </c>
      <c r="I102">
        <v>96</v>
      </c>
      <c r="J102">
        <v>84</v>
      </c>
      <c r="Q102">
        <v>86</v>
      </c>
      <c r="S102">
        <v>53</v>
      </c>
      <c r="V102">
        <f>COUNTIF(matura3[[#This Row],[Biologia-R]:[WOS-R]],100)</f>
        <v>0</v>
      </c>
    </row>
    <row r="103" spans="1:22" hidden="1" x14ac:dyDescent="0.3">
      <c r="A103" s="1" t="s">
        <v>116</v>
      </c>
      <c r="B103" s="1" t="s">
        <v>126</v>
      </c>
      <c r="E103">
        <v>75</v>
      </c>
      <c r="I103">
        <v>98</v>
      </c>
      <c r="J103">
        <v>94</v>
      </c>
      <c r="Q103">
        <v>84</v>
      </c>
      <c r="R103">
        <v>82</v>
      </c>
      <c r="S103">
        <v>56</v>
      </c>
      <c r="V103">
        <f>COUNTIF(matura3[[#This Row],[Biologia-R]:[WOS-R]],100)</f>
        <v>0</v>
      </c>
    </row>
    <row r="104" spans="1:22" hidden="1" x14ac:dyDescent="0.3">
      <c r="A104" s="1" t="s">
        <v>116</v>
      </c>
      <c r="B104" s="1" t="s">
        <v>127</v>
      </c>
      <c r="E104">
        <v>92</v>
      </c>
      <c r="I104">
        <v>98</v>
      </c>
      <c r="J104">
        <v>86</v>
      </c>
      <c r="Q104">
        <v>94</v>
      </c>
      <c r="R104">
        <v>88</v>
      </c>
      <c r="S104">
        <v>77</v>
      </c>
      <c r="V104">
        <f>COUNTIF(matura3[[#This Row],[Biologia-R]:[WOS-R]],100)</f>
        <v>0</v>
      </c>
    </row>
    <row r="105" spans="1:22" hidden="1" x14ac:dyDescent="0.3">
      <c r="A105" s="1" t="s">
        <v>116</v>
      </c>
      <c r="B105" s="1" t="s">
        <v>128</v>
      </c>
      <c r="F105">
        <v>45</v>
      </c>
      <c r="I105">
        <v>100</v>
      </c>
      <c r="J105">
        <v>80</v>
      </c>
      <c r="Q105">
        <v>78</v>
      </c>
      <c r="R105">
        <v>36</v>
      </c>
      <c r="S105">
        <v>30</v>
      </c>
      <c r="V105">
        <f>COUNTIF(matura3[[#This Row],[Biologia-R]:[WOS-R]],100)</f>
        <v>1</v>
      </c>
    </row>
    <row r="106" spans="1:22" hidden="1" x14ac:dyDescent="0.3">
      <c r="A106" s="1" t="s">
        <v>116</v>
      </c>
      <c r="B106" s="1" t="s">
        <v>129</v>
      </c>
      <c r="I106">
        <v>100</v>
      </c>
      <c r="J106">
        <v>94</v>
      </c>
      <c r="K106">
        <v>99</v>
      </c>
      <c r="Q106">
        <v>80</v>
      </c>
      <c r="R106">
        <v>74</v>
      </c>
      <c r="S106">
        <v>74</v>
      </c>
      <c r="V106">
        <f>COUNTIF(matura3[[#This Row],[Biologia-R]:[WOS-R]],100)</f>
        <v>1</v>
      </c>
    </row>
    <row r="107" spans="1:22" hidden="1" x14ac:dyDescent="0.3">
      <c r="A107" s="1" t="s">
        <v>116</v>
      </c>
      <c r="B107" s="1" t="s">
        <v>130</v>
      </c>
      <c r="I107">
        <v>98</v>
      </c>
      <c r="J107">
        <v>78</v>
      </c>
      <c r="Q107">
        <v>64</v>
      </c>
      <c r="S107">
        <v>54</v>
      </c>
      <c r="V107">
        <f>COUNTIF(matura3[[#This Row],[Biologia-R]:[WOS-R]],100)</f>
        <v>0</v>
      </c>
    </row>
    <row r="108" spans="1:22" hidden="1" x14ac:dyDescent="0.3">
      <c r="A108" s="1" t="s">
        <v>116</v>
      </c>
      <c r="B108" s="1" t="s">
        <v>131</v>
      </c>
      <c r="E108">
        <v>72</v>
      </c>
      <c r="I108">
        <v>98</v>
      </c>
      <c r="J108">
        <v>79</v>
      </c>
      <c r="Q108">
        <v>100</v>
      </c>
      <c r="R108">
        <v>78</v>
      </c>
      <c r="S108">
        <v>64</v>
      </c>
      <c r="V108">
        <f>COUNTIF(matura3[[#This Row],[Biologia-R]:[WOS-R]],100)</f>
        <v>1</v>
      </c>
    </row>
    <row r="109" spans="1:22" hidden="1" x14ac:dyDescent="0.3">
      <c r="A109" s="1" t="s">
        <v>116</v>
      </c>
      <c r="B109" s="1" t="s">
        <v>132</v>
      </c>
      <c r="E109">
        <v>62</v>
      </c>
      <c r="I109">
        <v>100</v>
      </c>
      <c r="J109">
        <v>75</v>
      </c>
      <c r="Q109">
        <v>92</v>
      </c>
      <c r="R109">
        <v>38</v>
      </c>
      <c r="S109">
        <v>74</v>
      </c>
      <c r="V109">
        <f>COUNTIF(matura3[[#This Row],[Biologia-R]:[WOS-R]],100)</f>
        <v>1</v>
      </c>
    </row>
    <row r="110" spans="1:22" hidden="1" x14ac:dyDescent="0.3">
      <c r="A110" s="1" t="s">
        <v>116</v>
      </c>
      <c r="B110" s="1" t="s">
        <v>133</v>
      </c>
      <c r="H110">
        <v>70</v>
      </c>
      <c r="I110">
        <v>98</v>
      </c>
      <c r="J110">
        <v>79</v>
      </c>
      <c r="Q110">
        <v>94</v>
      </c>
      <c r="R110">
        <v>62</v>
      </c>
      <c r="S110">
        <v>59</v>
      </c>
      <c r="V110">
        <f>COUNTIF(matura3[[#This Row],[Biologia-R]:[WOS-R]],100)</f>
        <v>0</v>
      </c>
    </row>
    <row r="111" spans="1:22" hidden="1" x14ac:dyDescent="0.3">
      <c r="A111" s="1" t="s">
        <v>116</v>
      </c>
      <c r="B111" s="1" t="s">
        <v>134</v>
      </c>
      <c r="E111">
        <v>48</v>
      </c>
      <c r="I111">
        <v>84</v>
      </c>
      <c r="J111">
        <v>28</v>
      </c>
      <c r="Q111">
        <v>88</v>
      </c>
      <c r="R111">
        <v>68</v>
      </c>
      <c r="S111">
        <v>51</v>
      </c>
      <c r="V111">
        <f>COUNTIF(matura3[[#This Row],[Biologia-R]:[WOS-R]],100)</f>
        <v>0</v>
      </c>
    </row>
    <row r="112" spans="1:22" hidden="1" x14ac:dyDescent="0.3">
      <c r="A112" s="1" t="s">
        <v>116</v>
      </c>
      <c r="B112" s="1" t="s">
        <v>135</v>
      </c>
      <c r="E112">
        <v>62</v>
      </c>
      <c r="I112">
        <v>98</v>
      </c>
      <c r="J112">
        <v>79</v>
      </c>
      <c r="Q112">
        <v>100</v>
      </c>
      <c r="R112">
        <v>66</v>
      </c>
      <c r="S112">
        <v>51</v>
      </c>
      <c r="V112">
        <f>COUNTIF(matura3[[#This Row],[Biologia-R]:[WOS-R]],100)</f>
        <v>1</v>
      </c>
    </row>
    <row r="113" spans="1:22" hidden="1" x14ac:dyDescent="0.3">
      <c r="A113" s="1" t="s">
        <v>116</v>
      </c>
      <c r="B113" s="1" t="s">
        <v>136</v>
      </c>
      <c r="E113">
        <v>67</v>
      </c>
      <c r="I113">
        <v>100</v>
      </c>
      <c r="J113">
        <v>85</v>
      </c>
      <c r="Q113">
        <v>92</v>
      </c>
      <c r="R113">
        <v>70</v>
      </c>
      <c r="S113">
        <v>63</v>
      </c>
      <c r="V113">
        <f>COUNTIF(matura3[[#This Row],[Biologia-R]:[WOS-R]],100)</f>
        <v>1</v>
      </c>
    </row>
    <row r="114" spans="1:22" hidden="1" x14ac:dyDescent="0.3">
      <c r="A114" s="1" t="s">
        <v>116</v>
      </c>
      <c r="B114" s="1" t="s">
        <v>137</v>
      </c>
      <c r="E114">
        <v>67</v>
      </c>
      <c r="I114">
        <v>100</v>
      </c>
      <c r="J114">
        <v>78</v>
      </c>
      <c r="Q114">
        <v>98</v>
      </c>
      <c r="R114">
        <v>68</v>
      </c>
      <c r="S114">
        <v>63</v>
      </c>
      <c r="V114">
        <f>COUNTIF(matura3[[#This Row],[Biologia-R]:[WOS-R]],100)</f>
        <v>1</v>
      </c>
    </row>
    <row r="115" spans="1:22" hidden="1" x14ac:dyDescent="0.3">
      <c r="A115" s="1" t="s">
        <v>116</v>
      </c>
      <c r="B115" s="1" t="s">
        <v>138</v>
      </c>
      <c r="H115">
        <v>98</v>
      </c>
      <c r="I115">
        <v>99</v>
      </c>
      <c r="J115">
        <v>84</v>
      </c>
      <c r="Q115">
        <v>96</v>
      </c>
      <c r="R115">
        <v>92</v>
      </c>
      <c r="S115">
        <v>66</v>
      </c>
      <c r="V115">
        <f>COUNTIF(matura3[[#This Row],[Biologia-R]:[WOS-R]],100)</f>
        <v>0</v>
      </c>
    </row>
    <row r="116" spans="1:22" hidden="1" x14ac:dyDescent="0.3">
      <c r="A116" s="1" t="s">
        <v>116</v>
      </c>
      <c r="B116" s="1" t="s">
        <v>139</v>
      </c>
      <c r="I116">
        <v>96</v>
      </c>
      <c r="J116">
        <v>86</v>
      </c>
      <c r="Q116">
        <v>94</v>
      </c>
      <c r="R116">
        <v>60</v>
      </c>
      <c r="S116">
        <v>57</v>
      </c>
      <c r="V116">
        <f>COUNTIF(matura3[[#This Row],[Biologia-R]:[WOS-R]],100)</f>
        <v>0</v>
      </c>
    </row>
    <row r="117" spans="1:22" hidden="1" x14ac:dyDescent="0.3">
      <c r="A117" s="1" t="s">
        <v>116</v>
      </c>
      <c r="B117" s="1" t="s">
        <v>140</v>
      </c>
      <c r="E117">
        <v>55</v>
      </c>
      <c r="I117">
        <v>97</v>
      </c>
      <c r="J117">
        <v>92</v>
      </c>
      <c r="Q117">
        <v>94</v>
      </c>
      <c r="R117">
        <v>78</v>
      </c>
      <c r="S117">
        <v>63</v>
      </c>
      <c r="V117">
        <f>COUNTIF(matura3[[#This Row],[Biologia-R]:[WOS-R]],100)</f>
        <v>0</v>
      </c>
    </row>
    <row r="118" spans="1:22" hidden="1" x14ac:dyDescent="0.3">
      <c r="A118" s="1" t="s">
        <v>116</v>
      </c>
      <c r="B118" s="1" t="s">
        <v>141</v>
      </c>
      <c r="E118">
        <v>78</v>
      </c>
      <c r="I118">
        <v>98</v>
      </c>
      <c r="J118">
        <v>85</v>
      </c>
      <c r="Q118">
        <v>100</v>
      </c>
      <c r="R118">
        <v>92</v>
      </c>
      <c r="S118">
        <v>70</v>
      </c>
      <c r="V118">
        <f>COUNTIF(matura3[[#This Row],[Biologia-R]:[WOS-R]],100)</f>
        <v>1</v>
      </c>
    </row>
    <row r="119" spans="1:22" hidden="1" x14ac:dyDescent="0.3">
      <c r="A119" s="1" t="s">
        <v>116</v>
      </c>
      <c r="B119" s="1" t="s">
        <v>142</v>
      </c>
      <c r="H119">
        <v>52</v>
      </c>
      <c r="I119">
        <v>96</v>
      </c>
      <c r="J119">
        <v>68</v>
      </c>
      <c r="Q119">
        <v>94</v>
      </c>
      <c r="R119">
        <v>56</v>
      </c>
      <c r="S119">
        <v>57</v>
      </c>
      <c r="V119">
        <f>COUNTIF(matura3[[#This Row],[Biologia-R]:[WOS-R]],100)</f>
        <v>0</v>
      </c>
    </row>
    <row r="120" spans="1:22" hidden="1" x14ac:dyDescent="0.3">
      <c r="A120" s="1" t="s">
        <v>116</v>
      </c>
      <c r="B120" s="1" t="s">
        <v>143</v>
      </c>
      <c r="E120">
        <v>70</v>
      </c>
      <c r="I120">
        <v>100</v>
      </c>
      <c r="J120">
        <v>86</v>
      </c>
      <c r="Q120">
        <v>98</v>
      </c>
      <c r="R120">
        <v>78</v>
      </c>
      <c r="S120">
        <v>90</v>
      </c>
      <c r="V120">
        <f>COUNTIF(matura3[[#This Row],[Biologia-R]:[WOS-R]],100)</f>
        <v>1</v>
      </c>
    </row>
    <row r="121" spans="1:22" hidden="1" x14ac:dyDescent="0.3">
      <c r="A121" s="1" t="s">
        <v>116</v>
      </c>
      <c r="B121" s="1" t="s">
        <v>144</v>
      </c>
      <c r="E121">
        <v>32</v>
      </c>
      <c r="I121">
        <v>96</v>
      </c>
      <c r="J121">
        <v>78</v>
      </c>
      <c r="Q121">
        <v>90</v>
      </c>
      <c r="R121">
        <v>74</v>
      </c>
      <c r="S121">
        <v>74</v>
      </c>
      <c r="V121">
        <f>COUNTIF(matura3[[#This Row],[Biologia-R]:[WOS-R]],100)</f>
        <v>0</v>
      </c>
    </row>
    <row r="122" spans="1:22" hidden="1" x14ac:dyDescent="0.3">
      <c r="A122" s="1" t="s">
        <v>116</v>
      </c>
      <c r="B122" s="1" t="s">
        <v>145</v>
      </c>
      <c r="E122">
        <v>75</v>
      </c>
      <c r="I122">
        <v>100</v>
      </c>
      <c r="J122">
        <v>64</v>
      </c>
      <c r="Q122">
        <v>92</v>
      </c>
      <c r="R122">
        <v>74</v>
      </c>
      <c r="S122">
        <v>70</v>
      </c>
      <c r="V122">
        <f>COUNTIF(matura3[[#This Row],[Biologia-R]:[WOS-R]],100)</f>
        <v>1</v>
      </c>
    </row>
    <row r="123" spans="1:22" hidden="1" x14ac:dyDescent="0.3">
      <c r="A123" s="1" t="s">
        <v>116</v>
      </c>
      <c r="B123" s="1" t="s">
        <v>146</v>
      </c>
      <c r="E123">
        <v>63</v>
      </c>
      <c r="I123">
        <v>96</v>
      </c>
      <c r="Q123">
        <v>96</v>
      </c>
      <c r="R123">
        <v>92</v>
      </c>
      <c r="S123">
        <v>67</v>
      </c>
      <c r="V123">
        <f>COUNTIF(matura3[[#This Row],[Biologia-R]:[WOS-R]],100)</f>
        <v>0</v>
      </c>
    </row>
    <row r="124" spans="1:22" hidden="1" x14ac:dyDescent="0.3">
      <c r="A124" s="1" t="s">
        <v>116</v>
      </c>
      <c r="B124" s="1" t="s">
        <v>147</v>
      </c>
      <c r="I124">
        <v>98</v>
      </c>
      <c r="J124">
        <v>65</v>
      </c>
      <c r="Q124">
        <v>94</v>
      </c>
      <c r="R124">
        <v>68</v>
      </c>
      <c r="S124">
        <v>81</v>
      </c>
      <c r="V124">
        <f>COUNTIF(matura3[[#This Row],[Biologia-R]:[WOS-R]],100)</f>
        <v>0</v>
      </c>
    </row>
    <row r="125" spans="1:22" hidden="1" x14ac:dyDescent="0.3">
      <c r="A125" s="1" t="s">
        <v>116</v>
      </c>
      <c r="B125" s="1" t="s">
        <v>148</v>
      </c>
      <c r="I125">
        <v>98</v>
      </c>
      <c r="J125">
        <v>84</v>
      </c>
      <c r="Q125">
        <v>82</v>
      </c>
      <c r="R125">
        <v>54</v>
      </c>
      <c r="S125">
        <v>73</v>
      </c>
      <c r="V125">
        <f>COUNTIF(matura3[[#This Row],[Biologia-R]:[WOS-R]],100)</f>
        <v>0</v>
      </c>
    </row>
    <row r="126" spans="1:22" hidden="1" x14ac:dyDescent="0.3">
      <c r="A126" s="1" t="s">
        <v>116</v>
      </c>
      <c r="B126" s="1" t="s">
        <v>149</v>
      </c>
      <c r="E126">
        <v>77</v>
      </c>
      <c r="I126">
        <v>94</v>
      </c>
      <c r="J126">
        <v>86</v>
      </c>
      <c r="Q126">
        <v>98</v>
      </c>
      <c r="R126">
        <v>64</v>
      </c>
      <c r="S126">
        <v>59</v>
      </c>
      <c r="V126">
        <f>COUNTIF(matura3[[#This Row],[Biologia-R]:[WOS-R]],100)</f>
        <v>0</v>
      </c>
    </row>
    <row r="127" spans="1:22" hidden="1" x14ac:dyDescent="0.3">
      <c r="A127" s="1" t="s">
        <v>150</v>
      </c>
      <c r="B127" s="1" t="s">
        <v>151</v>
      </c>
      <c r="I127">
        <v>96</v>
      </c>
      <c r="M127">
        <v>97</v>
      </c>
      <c r="N127">
        <v>73</v>
      </c>
      <c r="Q127">
        <v>58</v>
      </c>
      <c r="S127">
        <v>69</v>
      </c>
      <c r="T127">
        <v>65</v>
      </c>
      <c r="V127">
        <f>COUNTIF(matura3[[#This Row],[Biologia-R]:[WOS-R]],100)</f>
        <v>0</v>
      </c>
    </row>
    <row r="128" spans="1:22" hidden="1" x14ac:dyDescent="0.3">
      <c r="A128" s="1" t="s">
        <v>150</v>
      </c>
      <c r="B128" s="1" t="s">
        <v>152</v>
      </c>
      <c r="I128">
        <v>96</v>
      </c>
      <c r="M128">
        <v>83</v>
      </c>
      <c r="N128">
        <v>61</v>
      </c>
      <c r="Q128">
        <v>68</v>
      </c>
      <c r="S128">
        <v>69</v>
      </c>
      <c r="T128">
        <v>58</v>
      </c>
      <c r="V128">
        <f>COUNTIF(matura3[[#This Row],[Biologia-R]:[WOS-R]],100)</f>
        <v>0</v>
      </c>
    </row>
    <row r="129" spans="1:22" hidden="1" x14ac:dyDescent="0.3">
      <c r="A129" s="1" t="s">
        <v>150</v>
      </c>
      <c r="B129" s="1" t="s">
        <v>153</v>
      </c>
      <c r="I129">
        <v>88</v>
      </c>
      <c r="M129">
        <v>90</v>
      </c>
      <c r="N129">
        <v>65</v>
      </c>
      <c r="Q129">
        <v>50</v>
      </c>
      <c r="S129">
        <v>81</v>
      </c>
      <c r="T129">
        <v>58</v>
      </c>
      <c r="V129">
        <f>COUNTIF(matura3[[#This Row],[Biologia-R]:[WOS-R]],100)</f>
        <v>0</v>
      </c>
    </row>
    <row r="130" spans="1:22" hidden="1" x14ac:dyDescent="0.3">
      <c r="A130" s="1" t="s">
        <v>150</v>
      </c>
      <c r="B130" s="1" t="s">
        <v>154</v>
      </c>
      <c r="I130">
        <v>90</v>
      </c>
      <c r="M130">
        <v>84</v>
      </c>
      <c r="N130">
        <v>68</v>
      </c>
      <c r="Q130">
        <v>58</v>
      </c>
      <c r="S130">
        <v>76</v>
      </c>
      <c r="T130">
        <v>88</v>
      </c>
      <c r="V130">
        <f>COUNTIF(matura3[[#This Row],[Biologia-R]:[WOS-R]],100)</f>
        <v>0</v>
      </c>
    </row>
    <row r="131" spans="1:22" hidden="1" x14ac:dyDescent="0.3">
      <c r="A131" s="1" t="s">
        <v>150</v>
      </c>
      <c r="B131" s="1" t="s">
        <v>155</v>
      </c>
      <c r="F131">
        <v>85</v>
      </c>
      <c r="J131">
        <v>95</v>
      </c>
      <c r="M131">
        <v>100</v>
      </c>
      <c r="Q131">
        <v>82</v>
      </c>
      <c r="S131">
        <v>73</v>
      </c>
      <c r="T131">
        <v>88</v>
      </c>
      <c r="V131">
        <f>COUNTIF(matura3[[#This Row],[Biologia-R]:[WOS-R]],100)</f>
        <v>1</v>
      </c>
    </row>
    <row r="132" spans="1:22" hidden="1" x14ac:dyDescent="0.3">
      <c r="A132" s="1" t="s">
        <v>150</v>
      </c>
      <c r="B132" s="1" t="s">
        <v>156</v>
      </c>
      <c r="I132">
        <v>96</v>
      </c>
      <c r="N132">
        <v>45</v>
      </c>
      <c r="Q132">
        <v>74</v>
      </c>
      <c r="S132">
        <v>61</v>
      </c>
      <c r="T132">
        <v>83</v>
      </c>
      <c r="V132">
        <f>COUNTIF(matura3[[#This Row],[Biologia-R]:[WOS-R]],100)</f>
        <v>0</v>
      </c>
    </row>
    <row r="133" spans="1:22" hidden="1" x14ac:dyDescent="0.3">
      <c r="A133" s="1" t="s">
        <v>150</v>
      </c>
      <c r="B133" s="1" t="s">
        <v>157</v>
      </c>
      <c r="I133">
        <v>94</v>
      </c>
      <c r="J133">
        <v>79</v>
      </c>
      <c r="N133">
        <v>79</v>
      </c>
      <c r="Q133">
        <v>64</v>
      </c>
      <c r="S133">
        <v>74</v>
      </c>
      <c r="T133">
        <v>53</v>
      </c>
      <c r="V133">
        <f>COUNTIF(matura3[[#This Row],[Biologia-R]:[WOS-R]],100)</f>
        <v>0</v>
      </c>
    </row>
    <row r="134" spans="1:22" hidden="1" x14ac:dyDescent="0.3">
      <c r="A134" s="1" t="s">
        <v>150</v>
      </c>
      <c r="B134" s="1" t="s">
        <v>158</v>
      </c>
      <c r="F134">
        <v>38</v>
      </c>
      <c r="I134">
        <v>87</v>
      </c>
      <c r="J134">
        <v>69</v>
      </c>
      <c r="N134">
        <v>72</v>
      </c>
      <c r="Q134">
        <v>56</v>
      </c>
      <c r="S134">
        <v>54</v>
      </c>
      <c r="T134">
        <v>60</v>
      </c>
      <c r="V134">
        <f>COUNTIF(matura3[[#This Row],[Biologia-R]:[WOS-R]],100)</f>
        <v>0</v>
      </c>
    </row>
    <row r="135" spans="1:22" hidden="1" x14ac:dyDescent="0.3">
      <c r="A135" s="1" t="s">
        <v>150</v>
      </c>
      <c r="B135" s="1" t="s">
        <v>159</v>
      </c>
      <c r="C135">
        <v>62</v>
      </c>
      <c r="D135">
        <v>35</v>
      </c>
      <c r="I135">
        <v>97</v>
      </c>
      <c r="M135">
        <v>92</v>
      </c>
      <c r="N135">
        <v>52</v>
      </c>
      <c r="Q135">
        <v>56</v>
      </c>
      <c r="S135">
        <v>67</v>
      </c>
      <c r="V135">
        <f>COUNTIF(matura3[[#This Row],[Biologia-R]:[WOS-R]],100)</f>
        <v>0</v>
      </c>
    </row>
    <row r="136" spans="1:22" hidden="1" x14ac:dyDescent="0.3">
      <c r="A136" s="1" t="s">
        <v>150</v>
      </c>
      <c r="B136" s="1" t="s">
        <v>160</v>
      </c>
      <c r="F136">
        <v>50</v>
      </c>
      <c r="I136">
        <v>92</v>
      </c>
      <c r="M136">
        <v>84</v>
      </c>
      <c r="N136">
        <v>63</v>
      </c>
      <c r="Q136">
        <v>54</v>
      </c>
      <c r="S136">
        <v>60</v>
      </c>
      <c r="V136">
        <f>COUNTIF(matura3[[#This Row],[Biologia-R]:[WOS-R]],100)</f>
        <v>0</v>
      </c>
    </row>
    <row r="137" spans="1:22" x14ac:dyDescent="0.3">
      <c r="A137" s="4" t="s">
        <v>150</v>
      </c>
      <c r="B137" s="4" t="s">
        <v>161</v>
      </c>
      <c r="F137">
        <v>82</v>
      </c>
      <c r="I137">
        <v>100</v>
      </c>
      <c r="M137">
        <v>100</v>
      </c>
      <c r="Q137">
        <v>100</v>
      </c>
      <c r="R137">
        <v>66</v>
      </c>
      <c r="S137">
        <v>73</v>
      </c>
      <c r="T137">
        <v>85</v>
      </c>
      <c r="V137">
        <f>COUNTIF(matura3[[#This Row],[Biologia-R]:[WOS-R]],100)</f>
        <v>3</v>
      </c>
    </row>
    <row r="138" spans="1:22" hidden="1" x14ac:dyDescent="0.3">
      <c r="A138" s="1" t="s">
        <v>150</v>
      </c>
      <c r="B138" s="1" t="s">
        <v>162</v>
      </c>
      <c r="I138">
        <v>96</v>
      </c>
      <c r="N138">
        <v>79</v>
      </c>
      <c r="Q138">
        <v>56</v>
      </c>
      <c r="S138">
        <v>81</v>
      </c>
      <c r="T138">
        <v>83</v>
      </c>
      <c r="V138">
        <f>COUNTIF(matura3[[#This Row],[Biologia-R]:[WOS-R]],100)</f>
        <v>0</v>
      </c>
    </row>
    <row r="139" spans="1:22" hidden="1" x14ac:dyDescent="0.3">
      <c r="A139" s="1" t="s">
        <v>150</v>
      </c>
      <c r="B139" s="1" t="s">
        <v>163</v>
      </c>
      <c r="G139">
        <v>66</v>
      </c>
      <c r="I139">
        <v>94</v>
      </c>
      <c r="J139">
        <v>93</v>
      </c>
      <c r="N139">
        <v>83</v>
      </c>
      <c r="Q139">
        <v>78</v>
      </c>
      <c r="S139">
        <v>90</v>
      </c>
      <c r="T139">
        <v>100</v>
      </c>
      <c r="V139">
        <f>COUNTIF(matura3[[#This Row],[Biologia-R]:[WOS-R]],100)</f>
        <v>1</v>
      </c>
    </row>
    <row r="140" spans="1:22" hidden="1" x14ac:dyDescent="0.3">
      <c r="A140" s="1" t="s">
        <v>150</v>
      </c>
      <c r="B140" s="1" t="s">
        <v>164</v>
      </c>
      <c r="F140">
        <v>75</v>
      </c>
      <c r="I140">
        <v>99</v>
      </c>
      <c r="J140">
        <v>83</v>
      </c>
      <c r="M140">
        <v>100</v>
      </c>
      <c r="Q140">
        <v>78</v>
      </c>
      <c r="R140">
        <v>30</v>
      </c>
      <c r="S140">
        <v>79</v>
      </c>
      <c r="T140">
        <v>80</v>
      </c>
      <c r="V140">
        <f>COUNTIF(matura3[[#This Row],[Biologia-R]:[WOS-R]],100)</f>
        <v>1</v>
      </c>
    </row>
    <row r="141" spans="1:22" hidden="1" x14ac:dyDescent="0.3">
      <c r="A141" s="1" t="s">
        <v>150</v>
      </c>
      <c r="B141" s="1" t="s">
        <v>165</v>
      </c>
      <c r="I141">
        <v>96</v>
      </c>
      <c r="M141">
        <v>98</v>
      </c>
      <c r="N141">
        <v>96</v>
      </c>
      <c r="Q141">
        <v>44</v>
      </c>
      <c r="S141">
        <v>69</v>
      </c>
      <c r="V141">
        <f>COUNTIF(matura3[[#This Row],[Biologia-R]:[WOS-R]],100)</f>
        <v>0</v>
      </c>
    </row>
    <row r="142" spans="1:22" hidden="1" x14ac:dyDescent="0.3">
      <c r="A142" s="1" t="s">
        <v>150</v>
      </c>
      <c r="B142" s="1" t="s">
        <v>166</v>
      </c>
      <c r="G142">
        <v>24</v>
      </c>
      <c r="I142">
        <v>100</v>
      </c>
      <c r="J142">
        <v>63</v>
      </c>
      <c r="N142">
        <v>61</v>
      </c>
      <c r="Q142">
        <v>40</v>
      </c>
      <c r="S142">
        <v>76</v>
      </c>
      <c r="T142">
        <v>58</v>
      </c>
      <c r="U142">
        <v>16</v>
      </c>
      <c r="V142">
        <f>COUNTIF(matura3[[#This Row],[Biologia-R]:[WOS-R]],100)</f>
        <v>1</v>
      </c>
    </row>
    <row r="143" spans="1:22" hidden="1" x14ac:dyDescent="0.3">
      <c r="A143" s="1" t="s">
        <v>150</v>
      </c>
      <c r="B143" s="1" t="s">
        <v>167</v>
      </c>
      <c r="G143">
        <v>72</v>
      </c>
      <c r="I143">
        <v>98</v>
      </c>
      <c r="J143">
        <v>76</v>
      </c>
      <c r="N143">
        <v>77</v>
      </c>
      <c r="Q143">
        <v>64</v>
      </c>
      <c r="S143">
        <v>79</v>
      </c>
      <c r="T143">
        <v>75</v>
      </c>
      <c r="U143">
        <v>46</v>
      </c>
      <c r="V143">
        <f>COUNTIF(matura3[[#This Row],[Biologia-R]:[WOS-R]],100)</f>
        <v>0</v>
      </c>
    </row>
    <row r="144" spans="1:22" hidden="1" x14ac:dyDescent="0.3">
      <c r="A144" s="1" t="s">
        <v>150</v>
      </c>
      <c r="B144" s="1" t="s">
        <v>168</v>
      </c>
      <c r="I144">
        <v>96</v>
      </c>
      <c r="J144">
        <v>71</v>
      </c>
      <c r="N144">
        <v>70</v>
      </c>
      <c r="Q144">
        <v>40</v>
      </c>
      <c r="S144">
        <v>37</v>
      </c>
      <c r="T144">
        <v>55</v>
      </c>
      <c r="V144">
        <f>COUNTIF(matura3[[#This Row],[Biologia-R]:[WOS-R]],100)</f>
        <v>0</v>
      </c>
    </row>
    <row r="145" spans="1:22" hidden="1" x14ac:dyDescent="0.3">
      <c r="A145" s="1" t="s">
        <v>150</v>
      </c>
      <c r="B145" s="1" t="s">
        <v>169</v>
      </c>
      <c r="J145">
        <v>89</v>
      </c>
      <c r="M145">
        <v>96</v>
      </c>
      <c r="Q145">
        <v>56</v>
      </c>
      <c r="S145">
        <v>57</v>
      </c>
      <c r="T145">
        <v>63</v>
      </c>
      <c r="V145">
        <f>COUNTIF(matura3[[#This Row],[Biologia-R]:[WOS-R]],100)</f>
        <v>0</v>
      </c>
    </row>
    <row r="146" spans="1:22" hidden="1" x14ac:dyDescent="0.3">
      <c r="A146" s="1" t="s">
        <v>150</v>
      </c>
      <c r="B146" s="1" t="s">
        <v>170</v>
      </c>
      <c r="J146">
        <v>74</v>
      </c>
      <c r="M146">
        <v>98</v>
      </c>
      <c r="Q146">
        <v>66</v>
      </c>
      <c r="S146">
        <v>56</v>
      </c>
      <c r="V146">
        <f>COUNTIF(matura3[[#This Row],[Biologia-R]:[WOS-R]],100)</f>
        <v>0</v>
      </c>
    </row>
    <row r="147" spans="1:22" hidden="1" x14ac:dyDescent="0.3">
      <c r="A147" s="1" t="s">
        <v>150</v>
      </c>
      <c r="B147" s="1" t="s">
        <v>171</v>
      </c>
      <c r="L147">
        <v>73</v>
      </c>
      <c r="M147">
        <v>98</v>
      </c>
      <c r="N147">
        <v>82</v>
      </c>
      <c r="Q147">
        <v>68</v>
      </c>
      <c r="S147">
        <v>50</v>
      </c>
      <c r="T147">
        <v>70</v>
      </c>
      <c r="V147">
        <f>COUNTIF(matura3[[#This Row],[Biologia-R]:[WOS-R]],100)</f>
        <v>0</v>
      </c>
    </row>
    <row r="148" spans="1:22" hidden="1" x14ac:dyDescent="0.3">
      <c r="A148" s="1" t="s">
        <v>150</v>
      </c>
      <c r="B148" s="1" t="s">
        <v>172</v>
      </c>
      <c r="C148">
        <v>18</v>
      </c>
      <c r="D148">
        <v>12</v>
      </c>
      <c r="I148">
        <v>70</v>
      </c>
      <c r="M148">
        <v>58</v>
      </c>
      <c r="Q148">
        <v>58</v>
      </c>
      <c r="S148">
        <v>43</v>
      </c>
      <c r="V148">
        <f>COUNTIF(matura3[[#This Row],[Biologia-R]:[WOS-R]],100)</f>
        <v>0</v>
      </c>
    </row>
    <row r="149" spans="1:22" hidden="1" x14ac:dyDescent="0.3">
      <c r="A149" s="1" t="s">
        <v>150</v>
      </c>
      <c r="B149" s="1" t="s">
        <v>173</v>
      </c>
      <c r="J149">
        <v>78</v>
      </c>
      <c r="M149">
        <v>100</v>
      </c>
      <c r="Q149">
        <v>96</v>
      </c>
      <c r="R149">
        <v>40</v>
      </c>
      <c r="S149">
        <v>80</v>
      </c>
      <c r="V149">
        <f>COUNTIF(matura3[[#This Row],[Biologia-R]:[WOS-R]],100)</f>
        <v>1</v>
      </c>
    </row>
    <row r="150" spans="1:22" hidden="1" x14ac:dyDescent="0.3">
      <c r="A150" s="1" t="s">
        <v>150</v>
      </c>
      <c r="B150" s="1" t="s">
        <v>174</v>
      </c>
      <c r="I150">
        <v>90</v>
      </c>
      <c r="M150">
        <v>92</v>
      </c>
      <c r="N150">
        <v>71</v>
      </c>
      <c r="Q150">
        <v>38</v>
      </c>
      <c r="S150">
        <v>47</v>
      </c>
      <c r="T150">
        <v>58</v>
      </c>
      <c r="V150">
        <f>COUNTIF(matura3[[#This Row],[Biologia-R]:[WOS-R]],100)</f>
        <v>0</v>
      </c>
    </row>
    <row r="151" spans="1:22" hidden="1" x14ac:dyDescent="0.3">
      <c r="A151" s="1" t="s">
        <v>150</v>
      </c>
      <c r="B151" s="1" t="s">
        <v>175</v>
      </c>
      <c r="F151">
        <v>53</v>
      </c>
      <c r="I151">
        <v>98</v>
      </c>
      <c r="J151">
        <v>66</v>
      </c>
      <c r="N151">
        <v>67</v>
      </c>
      <c r="Q151">
        <v>62</v>
      </c>
      <c r="S151">
        <v>71</v>
      </c>
      <c r="T151">
        <v>63</v>
      </c>
      <c r="V151">
        <f>COUNTIF(matura3[[#This Row],[Biologia-R]:[WOS-R]],100)</f>
        <v>0</v>
      </c>
    </row>
    <row r="152" spans="1:22" hidden="1" x14ac:dyDescent="0.3">
      <c r="A152" s="1" t="s">
        <v>150</v>
      </c>
      <c r="B152" s="1" t="s">
        <v>176</v>
      </c>
      <c r="F152">
        <v>52</v>
      </c>
      <c r="I152">
        <v>98</v>
      </c>
      <c r="M152">
        <v>93</v>
      </c>
      <c r="N152">
        <v>70</v>
      </c>
      <c r="Q152">
        <v>58</v>
      </c>
      <c r="R152">
        <v>36</v>
      </c>
      <c r="S152">
        <v>41</v>
      </c>
      <c r="V152">
        <f>COUNTIF(matura3[[#This Row],[Biologia-R]:[WOS-R]],100)</f>
        <v>0</v>
      </c>
    </row>
    <row r="153" spans="1:22" hidden="1" x14ac:dyDescent="0.3">
      <c r="A153" s="1" t="s">
        <v>150</v>
      </c>
      <c r="B153" s="1" t="s">
        <v>177</v>
      </c>
      <c r="C153">
        <v>43</v>
      </c>
      <c r="D153">
        <v>43</v>
      </c>
      <c r="I153">
        <v>95</v>
      </c>
      <c r="N153">
        <v>70</v>
      </c>
      <c r="Q153">
        <v>62</v>
      </c>
      <c r="S153">
        <v>59</v>
      </c>
      <c r="V153">
        <f>COUNTIF(matura3[[#This Row],[Biologia-R]:[WOS-R]],100)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0FF0-2526-4842-89C5-49D73ABED5CB}">
  <dimension ref="A1:U157"/>
  <sheetViews>
    <sheetView topLeftCell="A136" zoomScale="115" zoomScaleNormal="115" workbookViewId="0">
      <selection activeCell="C158" sqref="C158"/>
    </sheetView>
  </sheetViews>
  <sheetFormatPr defaultRowHeight="14.4" x14ac:dyDescent="0.3"/>
  <cols>
    <col min="1" max="1" width="8.5546875" bestFit="1" customWidth="1"/>
    <col min="2" max="2" width="12" bestFit="1" customWidth="1"/>
    <col min="3" max="3" width="11.6640625" bestFit="1" customWidth="1"/>
    <col min="4" max="4" width="11.44140625" bestFit="1" customWidth="1"/>
    <col min="5" max="5" width="10.33203125" bestFit="1" customWidth="1"/>
    <col min="6" max="6" width="13" bestFit="1" customWidth="1"/>
    <col min="7" max="7" width="11.6640625" bestFit="1" customWidth="1"/>
    <col min="8" max="8" width="15" bestFit="1" customWidth="1"/>
    <col min="9" max="10" width="12.5546875" bestFit="1" customWidth="1"/>
    <col min="11" max="12" width="13.109375" bestFit="1" customWidth="1"/>
    <col min="13" max="14" width="14.21875" bestFit="1" customWidth="1"/>
    <col min="15" max="16" width="13.6640625" bestFit="1" customWidth="1"/>
    <col min="17" max="18" width="15.44140625" bestFit="1" customWidth="1"/>
    <col min="19" max="20" width="10.109375" bestFit="1" customWidth="1"/>
    <col min="21" max="21" width="9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21</v>
      </c>
      <c r="B2" s="1" t="s">
        <v>22</v>
      </c>
      <c r="C2">
        <v>52</v>
      </c>
      <c r="I2">
        <v>100</v>
      </c>
      <c r="J2">
        <v>91</v>
      </c>
      <c r="L2">
        <v>88</v>
      </c>
      <c r="Q2">
        <v>80</v>
      </c>
      <c r="S2">
        <v>67</v>
      </c>
    </row>
    <row r="3" spans="1:21" x14ac:dyDescent="0.3">
      <c r="A3" s="1" t="s">
        <v>21</v>
      </c>
      <c r="B3" s="1" t="s">
        <v>23</v>
      </c>
      <c r="C3">
        <v>33</v>
      </c>
      <c r="D3">
        <v>52</v>
      </c>
      <c r="I3">
        <v>73</v>
      </c>
      <c r="Q3">
        <v>56</v>
      </c>
      <c r="S3">
        <v>40</v>
      </c>
    </row>
    <row r="4" spans="1:21" x14ac:dyDescent="0.3">
      <c r="A4" s="1" t="s">
        <v>21</v>
      </c>
      <c r="B4" s="1" t="s">
        <v>24</v>
      </c>
      <c r="C4">
        <v>70</v>
      </c>
      <c r="D4">
        <v>58</v>
      </c>
      <c r="I4">
        <v>92</v>
      </c>
      <c r="Q4">
        <v>60</v>
      </c>
      <c r="S4">
        <v>61</v>
      </c>
    </row>
    <row r="5" spans="1:21" x14ac:dyDescent="0.3">
      <c r="A5" s="1" t="s">
        <v>21</v>
      </c>
      <c r="B5" s="1" t="s">
        <v>25</v>
      </c>
      <c r="C5">
        <v>90</v>
      </c>
      <c r="D5">
        <v>78</v>
      </c>
      <c r="I5">
        <v>98</v>
      </c>
      <c r="J5">
        <v>68</v>
      </c>
      <c r="Q5">
        <v>70</v>
      </c>
      <c r="S5">
        <v>73</v>
      </c>
    </row>
    <row r="6" spans="1:21" x14ac:dyDescent="0.3">
      <c r="A6" s="1" t="s">
        <v>21</v>
      </c>
      <c r="B6" s="1" t="s">
        <v>26</v>
      </c>
      <c r="C6">
        <v>62</v>
      </c>
      <c r="D6">
        <v>62</v>
      </c>
      <c r="I6">
        <v>87</v>
      </c>
      <c r="Q6">
        <v>70</v>
      </c>
      <c r="S6">
        <v>51</v>
      </c>
    </row>
    <row r="7" spans="1:21" x14ac:dyDescent="0.3">
      <c r="A7" s="1" t="s">
        <v>21</v>
      </c>
      <c r="B7" s="1" t="s">
        <v>27</v>
      </c>
      <c r="C7">
        <v>65</v>
      </c>
      <c r="D7">
        <v>65</v>
      </c>
      <c r="I7">
        <v>75</v>
      </c>
      <c r="Q7">
        <v>48</v>
      </c>
      <c r="S7">
        <v>40</v>
      </c>
    </row>
    <row r="8" spans="1:21" x14ac:dyDescent="0.3">
      <c r="A8" s="1" t="s">
        <v>21</v>
      </c>
      <c r="B8" s="1" t="s">
        <v>28</v>
      </c>
      <c r="D8">
        <v>58</v>
      </c>
      <c r="I8">
        <v>96</v>
      </c>
      <c r="J8">
        <v>61</v>
      </c>
      <c r="Q8">
        <v>94</v>
      </c>
      <c r="R8">
        <v>34</v>
      </c>
      <c r="S8">
        <v>74</v>
      </c>
    </row>
    <row r="9" spans="1:21" x14ac:dyDescent="0.3">
      <c r="A9" s="1" t="s">
        <v>21</v>
      </c>
      <c r="B9" s="1" t="s">
        <v>29</v>
      </c>
      <c r="C9">
        <v>77</v>
      </c>
      <c r="D9">
        <v>85</v>
      </c>
      <c r="I9">
        <v>96</v>
      </c>
      <c r="Q9">
        <v>96</v>
      </c>
      <c r="S9">
        <v>77</v>
      </c>
    </row>
    <row r="10" spans="1:21" x14ac:dyDescent="0.3">
      <c r="A10" s="1" t="s">
        <v>21</v>
      </c>
      <c r="B10" s="1" t="s">
        <v>30</v>
      </c>
      <c r="C10">
        <v>93</v>
      </c>
      <c r="D10">
        <v>67</v>
      </c>
      <c r="I10">
        <v>84</v>
      </c>
      <c r="Q10">
        <v>86</v>
      </c>
      <c r="S10">
        <v>73</v>
      </c>
    </row>
    <row r="11" spans="1:21" x14ac:dyDescent="0.3">
      <c r="A11" s="1" t="s">
        <v>21</v>
      </c>
      <c r="B11" s="1" t="s">
        <v>31</v>
      </c>
      <c r="C11">
        <v>57</v>
      </c>
      <c r="D11">
        <v>47</v>
      </c>
      <c r="I11">
        <v>87</v>
      </c>
      <c r="Q11">
        <v>40</v>
      </c>
      <c r="S11">
        <v>43</v>
      </c>
    </row>
    <row r="12" spans="1:21" x14ac:dyDescent="0.3">
      <c r="A12" s="1" t="s">
        <v>21</v>
      </c>
      <c r="B12" s="1" t="s">
        <v>32</v>
      </c>
      <c r="C12">
        <v>60</v>
      </c>
      <c r="I12">
        <v>96</v>
      </c>
      <c r="J12">
        <v>89</v>
      </c>
      <c r="Q12">
        <v>70</v>
      </c>
      <c r="S12">
        <v>76</v>
      </c>
    </row>
    <row r="13" spans="1:21" x14ac:dyDescent="0.3">
      <c r="A13" s="1" t="s">
        <v>21</v>
      </c>
      <c r="B13" s="1" t="s">
        <v>33</v>
      </c>
      <c r="F13">
        <v>90</v>
      </c>
      <c r="I13">
        <v>100</v>
      </c>
      <c r="J13">
        <v>100</v>
      </c>
      <c r="O13">
        <v>100</v>
      </c>
      <c r="Q13">
        <v>98</v>
      </c>
      <c r="R13">
        <v>86</v>
      </c>
      <c r="S13">
        <v>80</v>
      </c>
    </row>
    <row r="14" spans="1:21" x14ac:dyDescent="0.3">
      <c r="A14" s="1" t="s">
        <v>21</v>
      </c>
      <c r="B14" s="1" t="s">
        <v>34</v>
      </c>
      <c r="C14">
        <v>95</v>
      </c>
      <c r="D14">
        <v>88</v>
      </c>
      <c r="I14">
        <v>92</v>
      </c>
      <c r="Q14">
        <v>92</v>
      </c>
      <c r="S14">
        <v>79</v>
      </c>
    </row>
    <row r="15" spans="1:21" x14ac:dyDescent="0.3">
      <c r="A15" s="1" t="s">
        <v>21</v>
      </c>
      <c r="B15" s="1" t="s">
        <v>35</v>
      </c>
      <c r="C15">
        <v>75</v>
      </c>
      <c r="D15">
        <v>67</v>
      </c>
      <c r="I15">
        <v>91</v>
      </c>
      <c r="Q15">
        <v>88</v>
      </c>
      <c r="S15">
        <v>59</v>
      </c>
    </row>
    <row r="16" spans="1:21" x14ac:dyDescent="0.3">
      <c r="A16" s="1" t="s">
        <v>21</v>
      </c>
      <c r="B16" s="1" t="s">
        <v>36</v>
      </c>
      <c r="C16">
        <v>85</v>
      </c>
      <c r="D16">
        <v>83</v>
      </c>
      <c r="E16">
        <v>48</v>
      </c>
      <c r="I16">
        <v>94</v>
      </c>
      <c r="Q16">
        <v>92</v>
      </c>
      <c r="S16">
        <v>56</v>
      </c>
    </row>
    <row r="17" spans="1:19" x14ac:dyDescent="0.3">
      <c r="A17" s="1" t="s">
        <v>21</v>
      </c>
      <c r="B17" s="1" t="s">
        <v>37</v>
      </c>
      <c r="C17">
        <v>62</v>
      </c>
      <c r="D17">
        <v>48</v>
      </c>
      <c r="I17">
        <v>85</v>
      </c>
      <c r="Q17">
        <v>58</v>
      </c>
      <c r="S17">
        <v>59</v>
      </c>
    </row>
    <row r="18" spans="1:19" x14ac:dyDescent="0.3">
      <c r="A18" s="1" t="s">
        <v>21</v>
      </c>
      <c r="B18" s="1" t="s">
        <v>38</v>
      </c>
      <c r="C18">
        <v>68</v>
      </c>
      <c r="D18">
        <v>62</v>
      </c>
      <c r="I18">
        <v>99</v>
      </c>
      <c r="J18">
        <v>93</v>
      </c>
      <c r="Q18">
        <v>78</v>
      </c>
      <c r="S18">
        <v>54</v>
      </c>
    </row>
    <row r="19" spans="1:19" x14ac:dyDescent="0.3">
      <c r="A19" s="1" t="s">
        <v>21</v>
      </c>
      <c r="B19" s="1" t="s">
        <v>39</v>
      </c>
      <c r="C19">
        <v>55</v>
      </c>
      <c r="D19">
        <v>62</v>
      </c>
      <c r="I19">
        <v>96</v>
      </c>
      <c r="J19">
        <v>86</v>
      </c>
      <c r="Q19">
        <v>92</v>
      </c>
      <c r="S19">
        <v>73</v>
      </c>
    </row>
    <row r="20" spans="1:19" x14ac:dyDescent="0.3">
      <c r="A20" s="1" t="s">
        <v>21</v>
      </c>
      <c r="B20" s="1" t="s">
        <v>40</v>
      </c>
      <c r="C20">
        <v>68</v>
      </c>
      <c r="D20">
        <v>45</v>
      </c>
      <c r="I20">
        <v>92</v>
      </c>
      <c r="Q20">
        <v>78</v>
      </c>
      <c r="S20">
        <v>56</v>
      </c>
    </row>
    <row r="21" spans="1:19" x14ac:dyDescent="0.3">
      <c r="A21" s="1" t="s">
        <v>21</v>
      </c>
      <c r="B21" s="1" t="s">
        <v>41</v>
      </c>
      <c r="C21">
        <v>78</v>
      </c>
      <c r="I21">
        <v>95</v>
      </c>
      <c r="J21">
        <v>77</v>
      </c>
      <c r="Q21">
        <v>64</v>
      </c>
      <c r="S21">
        <v>84</v>
      </c>
    </row>
    <row r="22" spans="1:19" x14ac:dyDescent="0.3">
      <c r="A22" s="1" t="s">
        <v>21</v>
      </c>
      <c r="B22" s="1" t="s">
        <v>42</v>
      </c>
      <c r="C22">
        <v>72</v>
      </c>
      <c r="D22">
        <v>68</v>
      </c>
      <c r="I22">
        <v>92</v>
      </c>
      <c r="Q22">
        <v>70</v>
      </c>
      <c r="S22">
        <v>64</v>
      </c>
    </row>
    <row r="23" spans="1:19" x14ac:dyDescent="0.3">
      <c r="A23" s="1" t="s">
        <v>21</v>
      </c>
      <c r="B23" s="1" t="s">
        <v>43</v>
      </c>
      <c r="C23">
        <v>55</v>
      </c>
      <c r="D23">
        <v>50</v>
      </c>
      <c r="I23">
        <v>84</v>
      </c>
      <c r="Q23">
        <v>58</v>
      </c>
      <c r="S23">
        <v>54</v>
      </c>
    </row>
    <row r="24" spans="1:19" x14ac:dyDescent="0.3">
      <c r="A24" s="1" t="s">
        <v>21</v>
      </c>
      <c r="B24" s="1" t="s">
        <v>44</v>
      </c>
      <c r="C24">
        <v>67</v>
      </c>
      <c r="D24">
        <v>60</v>
      </c>
      <c r="I24">
        <v>92</v>
      </c>
      <c r="Q24">
        <v>76</v>
      </c>
      <c r="S24">
        <v>50</v>
      </c>
    </row>
    <row r="25" spans="1:19" x14ac:dyDescent="0.3">
      <c r="A25" s="1" t="s">
        <v>21</v>
      </c>
      <c r="B25" s="1" t="s">
        <v>45</v>
      </c>
      <c r="C25">
        <v>45</v>
      </c>
      <c r="D25">
        <v>30</v>
      </c>
      <c r="I25">
        <v>61</v>
      </c>
      <c r="Q25">
        <v>50</v>
      </c>
      <c r="S25">
        <v>33</v>
      </c>
    </row>
    <row r="26" spans="1:19" x14ac:dyDescent="0.3">
      <c r="A26" s="1" t="s">
        <v>21</v>
      </c>
      <c r="B26" s="1" t="s">
        <v>46</v>
      </c>
      <c r="C26">
        <v>83</v>
      </c>
      <c r="D26">
        <v>50</v>
      </c>
      <c r="I26">
        <v>100</v>
      </c>
      <c r="J26">
        <v>83</v>
      </c>
      <c r="Q26">
        <v>62</v>
      </c>
      <c r="S26">
        <v>76</v>
      </c>
    </row>
    <row r="27" spans="1:19" x14ac:dyDescent="0.3">
      <c r="A27" s="1" t="s">
        <v>21</v>
      </c>
      <c r="B27" s="1" t="s">
        <v>47</v>
      </c>
      <c r="C27">
        <v>80</v>
      </c>
      <c r="I27">
        <v>99</v>
      </c>
      <c r="J27">
        <v>83</v>
      </c>
      <c r="Q27">
        <v>72</v>
      </c>
      <c r="S27">
        <v>84</v>
      </c>
    </row>
    <row r="28" spans="1:19" x14ac:dyDescent="0.3">
      <c r="A28" s="1" t="s">
        <v>21</v>
      </c>
      <c r="B28" s="1" t="s">
        <v>48</v>
      </c>
      <c r="C28">
        <v>70</v>
      </c>
      <c r="D28">
        <v>60</v>
      </c>
      <c r="I28">
        <v>91</v>
      </c>
      <c r="Q28">
        <v>80</v>
      </c>
      <c r="S28">
        <v>74</v>
      </c>
    </row>
    <row r="29" spans="1:19" x14ac:dyDescent="0.3">
      <c r="A29" s="1" t="s">
        <v>21</v>
      </c>
      <c r="B29" s="1" t="s">
        <v>49</v>
      </c>
      <c r="E29">
        <v>55</v>
      </c>
      <c r="I29">
        <v>96</v>
      </c>
      <c r="J29">
        <v>86</v>
      </c>
      <c r="Q29">
        <v>86</v>
      </c>
      <c r="S29">
        <v>64</v>
      </c>
    </row>
    <row r="30" spans="1:19" x14ac:dyDescent="0.3">
      <c r="A30" s="1" t="s">
        <v>21</v>
      </c>
      <c r="B30" s="1" t="s">
        <v>50</v>
      </c>
      <c r="C30">
        <v>73</v>
      </c>
      <c r="D30">
        <v>78</v>
      </c>
      <c r="I30">
        <v>96</v>
      </c>
      <c r="Q30">
        <v>82</v>
      </c>
      <c r="S30">
        <v>60</v>
      </c>
    </row>
    <row r="31" spans="1:19" x14ac:dyDescent="0.3">
      <c r="A31" s="1" t="s">
        <v>21</v>
      </c>
      <c r="B31" s="1" t="s">
        <v>51</v>
      </c>
      <c r="C31">
        <v>80</v>
      </c>
      <c r="D31">
        <v>60</v>
      </c>
      <c r="I31">
        <v>88</v>
      </c>
      <c r="J31">
        <v>67</v>
      </c>
      <c r="Q31">
        <v>80</v>
      </c>
      <c r="S31">
        <v>63</v>
      </c>
    </row>
    <row r="32" spans="1:19" x14ac:dyDescent="0.3">
      <c r="A32" s="1" t="s">
        <v>21</v>
      </c>
      <c r="B32" s="1" t="s">
        <v>52</v>
      </c>
      <c r="C32">
        <v>93</v>
      </c>
      <c r="D32">
        <v>88</v>
      </c>
      <c r="I32">
        <v>100</v>
      </c>
      <c r="J32">
        <v>76</v>
      </c>
      <c r="Q32">
        <v>92</v>
      </c>
      <c r="S32">
        <v>76</v>
      </c>
    </row>
    <row r="33" spans="1:21" x14ac:dyDescent="0.3">
      <c r="A33" s="1" t="s">
        <v>21</v>
      </c>
      <c r="B33" s="1" t="s">
        <v>53</v>
      </c>
      <c r="C33">
        <v>85</v>
      </c>
      <c r="D33">
        <v>93</v>
      </c>
      <c r="E33">
        <v>82</v>
      </c>
      <c r="I33">
        <v>96</v>
      </c>
      <c r="Q33">
        <v>94</v>
      </c>
      <c r="R33">
        <v>74</v>
      </c>
      <c r="S33">
        <v>66</v>
      </c>
    </row>
    <row r="34" spans="1:21" x14ac:dyDescent="0.3">
      <c r="A34" s="1" t="s">
        <v>21</v>
      </c>
      <c r="B34" s="1" t="s">
        <v>54</v>
      </c>
      <c r="C34">
        <v>90</v>
      </c>
      <c r="D34">
        <v>82</v>
      </c>
      <c r="I34">
        <v>92</v>
      </c>
      <c r="Q34">
        <v>86</v>
      </c>
      <c r="S34">
        <v>63</v>
      </c>
    </row>
    <row r="35" spans="1:21" x14ac:dyDescent="0.3">
      <c r="A35" s="1" t="s">
        <v>21</v>
      </c>
      <c r="B35" s="1" t="s">
        <v>55</v>
      </c>
      <c r="C35">
        <v>87</v>
      </c>
      <c r="I35">
        <v>100</v>
      </c>
      <c r="Q35">
        <v>82</v>
      </c>
      <c r="S35">
        <v>79</v>
      </c>
      <c r="T35">
        <v>73</v>
      </c>
      <c r="U35">
        <v>64</v>
      </c>
    </row>
    <row r="36" spans="1:21" x14ac:dyDescent="0.3">
      <c r="A36" s="1" t="s">
        <v>56</v>
      </c>
      <c r="B36" s="1" t="s">
        <v>57</v>
      </c>
      <c r="I36">
        <v>93</v>
      </c>
      <c r="J36">
        <v>60</v>
      </c>
      <c r="Q36">
        <v>46</v>
      </c>
      <c r="S36">
        <v>60</v>
      </c>
      <c r="T36">
        <v>75</v>
      </c>
    </row>
    <row r="37" spans="1:21" x14ac:dyDescent="0.3">
      <c r="A37" s="1" t="s">
        <v>56</v>
      </c>
      <c r="B37" s="1" t="s">
        <v>58</v>
      </c>
      <c r="I37">
        <v>96</v>
      </c>
      <c r="J37">
        <v>87</v>
      </c>
      <c r="Q37">
        <v>50</v>
      </c>
      <c r="S37">
        <v>40</v>
      </c>
      <c r="T37">
        <v>70</v>
      </c>
      <c r="U37">
        <v>44</v>
      </c>
    </row>
    <row r="38" spans="1:21" x14ac:dyDescent="0.3">
      <c r="A38" s="1" t="s">
        <v>56</v>
      </c>
      <c r="B38" s="1" t="s">
        <v>59</v>
      </c>
      <c r="G38">
        <v>92</v>
      </c>
      <c r="I38">
        <v>100</v>
      </c>
      <c r="J38">
        <v>81</v>
      </c>
      <c r="Q38">
        <v>88</v>
      </c>
      <c r="S38">
        <v>57</v>
      </c>
      <c r="T38">
        <v>70</v>
      </c>
    </row>
    <row r="39" spans="1:21" x14ac:dyDescent="0.3">
      <c r="A39" s="1" t="s">
        <v>56</v>
      </c>
      <c r="B39" s="1" t="s">
        <v>60</v>
      </c>
      <c r="G39">
        <v>86</v>
      </c>
      <c r="I39">
        <v>100</v>
      </c>
      <c r="J39">
        <v>90</v>
      </c>
      <c r="Q39">
        <v>70</v>
      </c>
      <c r="S39">
        <v>56</v>
      </c>
      <c r="T39">
        <v>68</v>
      </c>
      <c r="U39">
        <v>78</v>
      </c>
    </row>
    <row r="40" spans="1:21" x14ac:dyDescent="0.3">
      <c r="A40" s="1" t="s">
        <v>56</v>
      </c>
      <c r="B40" s="1" t="s">
        <v>61</v>
      </c>
      <c r="G40">
        <v>90</v>
      </c>
      <c r="I40">
        <v>96</v>
      </c>
      <c r="J40">
        <v>93</v>
      </c>
      <c r="Q40">
        <v>86</v>
      </c>
      <c r="R40">
        <v>36</v>
      </c>
      <c r="S40">
        <v>53</v>
      </c>
      <c r="T40">
        <v>73</v>
      </c>
      <c r="U40">
        <v>100</v>
      </c>
    </row>
    <row r="41" spans="1:21" x14ac:dyDescent="0.3">
      <c r="A41" s="1" t="s">
        <v>56</v>
      </c>
      <c r="B41" s="1" t="s">
        <v>62</v>
      </c>
      <c r="I41">
        <v>59</v>
      </c>
      <c r="J41">
        <v>44</v>
      </c>
      <c r="Q41">
        <v>34</v>
      </c>
      <c r="S41">
        <v>30</v>
      </c>
      <c r="T41">
        <v>53</v>
      </c>
      <c r="U41">
        <v>34</v>
      </c>
    </row>
    <row r="42" spans="1:21" x14ac:dyDescent="0.3">
      <c r="A42" s="1" t="s">
        <v>56</v>
      </c>
      <c r="B42" s="1" t="s">
        <v>63</v>
      </c>
      <c r="G42">
        <v>88</v>
      </c>
      <c r="I42">
        <v>98</v>
      </c>
      <c r="J42">
        <v>95</v>
      </c>
      <c r="P42">
        <v>69</v>
      </c>
      <c r="Q42">
        <v>68</v>
      </c>
      <c r="S42">
        <v>70</v>
      </c>
      <c r="T42">
        <v>80</v>
      </c>
      <c r="U42">
        <v>72</v>
      </c>
    </row>
    <row r="43" spans="1:21" x14ac:dyDescent="0.3">
      <c r="A43" s="1" t="s">
        <v>56</v>
      </c>
      <c r="B43" s="1" t="s">
        <v>64</v>
      </c>
      <c r="G43">
        <v>92</v>
      </c>
      <c r="I43">
        <v>93</v>
      </c>
      <c r="J43">
        <v>95</v>
      </c>
      <c r="Q43">
        <v>56</v>
      </c>
      <c r="S43">
        <v>79</v>
      </c>
      <c r="T43">
        <v>55</v>
      </c>
      <c r="U43">
        <v>72</v>
      </c>
    </row>
    <row r="44" spans="1:21" x14ac:dyDescent="0.3">
      <c r="A44" s="1" t="s">
        <v>56</v>
      </c>
      <c r="B44" s="1" t="s">
        <v>65</v>
      </c>
      <c r="G44">
        <v>94</v>
      </c>
      <c r="I44">
        <v>90</v>
      </c>
      <c r="J44">
        <v>67</v>
      </c>
      <c r="Q44">
        <v>40</v>
      </c>
      <c r="S44">
        <v>80</v>
      </c>
      <c r="T44">
        <v>60</v>
      </c>
    </row>
    <row r="45" spans="1:21" x14ac:dyDescent="0.3">
      <c r="A45" s="1" t="s">
        <v>56</v>
      </c>
      <c r="B45" s="1" t="s">
        <v>66</v>
      </c>
      <c r="G45">
        <v>66</v>
      </c>
      <c r="I45">
        <v>98</v>
      </c>
      <c r="J45">
        <v>67</v>
      </c>
      <c r="Q45">
        <v>50</v>
      </c>
      <c r="S45">
        <v>54</v>
      </c>
      <c r="T45">
        <v>80</v>
      </c>
      <c r="U45">
        <v>68</v>
      </c>
    </row>
    <row r="46" spans="1:21" x14ac:dyDescent="0.3">
      <c r="A46" s="1" t="s">
        <v>56</v>
      </c>
      <c r="B46" s="1" t="s">
        <v>67</v>
      </c>
      <c r="I46">
        <v>100</v>
      </c>
      <c r="J46">
        <v>92</v>
      </c>
      <c r="Q46">
        <v>70</v>
      </c>
      <c r="S46">
        <v>63</v>
      </c>
      <c r="T46">
        <v>45</v>
      </c>
    </row>
    <row r="47" spans="1:21" x14ac:dyDescent="0.3">
      <c r="A47" s="1" t="s">
        <v>56</v>
      </c>
      <c r="B47" s="1" t="s">
        <v>68</v>
      </c>
      <c r="I47">
        <v>96</v>
      </c>
      <c r="J47">
        <v>63</v>
      </c>
      <c r="Q47">
        <v>64</v>
      </c>
      <c r="S47">
        <v>63</v>
      </c>
      <c r="T47">
        <v>58</v>
      </c>
      <c r="U47">
        <v>48</v>
      </c>
    </row>
    <row r="48" spans="1:21" x14ac:dyDescent="0.3">
      <c r="A48" s="1" t="s">
        <v>56</v>
      </c>
      <c r="B48" s="1" t="s">
        <v>69</v>
      </c>
      <c r="I48">
        <v>96</v>
      </c>
      <c r="J48">
        <v>69</v>
      </c>
      <c r="Q48">
        <v>68</v>
      </c>
      <c r="S48">
        <v>51</v>
      </c>
      <c r="T48">
        <v>70</v>
      </c>
      <c r="U48">
        <v>38</v>
      </c>
    </row>
    <row r="49" spans="1:21" x14ac:dyDescent="0.3">
      <c r="A49" s="1" t="s">
        <v>56</v>
      </c>
      <c r="B49" s="1" t="s">
        <v>70</v>
      </c>
      <c r="C49">
        <v>73</v>
      </c>
      <c r="D49">
        <v>65</v>
      </c>
      <c r="I49">
        <v>80</v>
      </c>
      <c r="Q49">
        <v>52</v>
      </c>
      <c r="S49">
        <v>56</v>
      </c>
    </row>
    <row r="50" spans="1:21" x14ac:dyDescent="0.3">
      <c r="A50" s="1" t="s">
        <v>56</v>
      </c>
      <c r="B50" s="1" t="s">
        <v>71</v>
      </c>
      <c r="C50">
        <v>50</v>
      </c>
      <c r="D50">
        <v>47</v>
      </c>
      <c r="I50">
        <v>92</v>
      </c>
      <c r="Q50">
        <v>58</v>
      </c>
      <c r="S50">
        <v>51</v>
      </c>
    </row>
    <row r="51" spans="1:21" x14ac:dyDescent="0.3">
      <c r="A51" s="1" t="s">
        <v>56</v>
      </c>
      <c r="B51" s="1" t="s">
        <v>72</v>
      </c>
      <c r="G51">
        <v>92</v>
      </c>
      <c r="I51">
        <v>92</v>
      </c>
      <c r="J51">
        <v>59</v>
      </c>
      <c r="Q51">
        <v>72</v>
      </c>
      <c r="S51">
        <v>41</v>
      </c>
      <c r="T51">
        <v>60</v>
      </c>
      <c r="U51">
        <v>68</v>
      </c>
    </row>
    <row r="52" spans="1:21" x14ac:dyDescent="0.3">
      <c r="A52" s="1" t="s">
        <v>56</v>
      </c>
      <c r="B52" s="1" t="s">
        <v>73</v>
      </c>
      <c r="C52">
        <v>73</v>
      </c>
      <c r="I52">
        <v>97</v>
      </c>
      <c r="J52">
        <v>74</v>
      </c>
      <c r="Q52">
        <v>56</v>
      </c>
      <c r="S52">
        <v>60</v>
      </c>
      <c r="T52">
        <v>73</v>
      </c>
    </row>
    <row r="53" spans="1:21" x14ac:dyDescent="0.3">
      <c r="A53" s="1" t="s">
        <v>56</v>
      </c>
      <c r="B53" s="1" t="s">
        <v>74</v>
      </c>
      <c r="G53">
        <v>80</v>
      </c>
      <c r="I53">
        <v>97</v>
      </c>
      <c r="J53">
        <v>83</v>
      </c>
      <c r="Q53">
        <v>44</v>
      </c>
      <c r="S53">
        <v>66</v>
      </c>
      <c r="T53">
        <v>63</v>
      </c>
    </row>
    <row r="54" spans="1:21" x14ac:dyDescent="0.3">
      <c r="A54" s="1" t="s">
        <v>56</v>
      </c>
      <c r="B54" s="1" t="s">
        <v>75</v>
      </c>
      <c r="C54">
        <v>35</v>
      </c>
      <c r="I54">
        <v>96</v>
      </c>
      <c r="J54">
        <v>84</v>
      </c>
      <c r="Q54">
        <v>32</v>
      </c>
      <c r="S54">
        <v>51</v>
      </c>
      <c r="T54">
        <v>63</v>
      </c>
    </row>
    <row r="55" spans="1:21" x14ac:dyDescent="0.3">
      <c r="A55" s="1" t="s">
        <v>56</v>
      </c>
      <c r="B55" s="1" t="s">
        <v>76</v>
      </c>
      <c r="F55">
        <v>47</v>
      </c>
      <c r="I55">
        <v>86</v>
      </c>
      <c r="J55">
        <v>60</v>
      </c>
      <c r="Q55">
        <v>66</v>
      </c>
      <c r="S55">
        <v>34</v>
      </c>
      <c r="T55">
        <v>58</v>
      </c>
      <c r="U55">
        <v>58</v>
      </c>
    </row>
    <row r="56" spans="1:21" x14ac:dyDescent="0.3">
      <c r="A56" s="1" t="s">
        <v>56</v>
      </c>
      <c r="B56" s="1" t="s">
        <v>77</v>
      </c>
      <c r="G56">
        <v>42</v>
      </c>
      <c r="I56">
        <v>66</v>
      </c>
      <c r="Q56">
        <v>64</v>
      </c>
      <c r="S56">
        <v>56</v>
      </c>
      <c r="T56">
        <v>75</v>
      </c>
    </row>
    <row r="57" spans="1:21" x14ac:dyDescent="0.3">
      <c r="A57" s="1" t="s">
        <v>56</v>
      </c>
      <c r="B57" s="1" t="s">
        <v>78</v>
      </c>
      <c r="G57">
        <v>76</v>
      </c>
      <c r="I57">
        <v>97</v>
      </c>
      <c r="J57">
        <v>78</v>
      </c>
      <c r="Q57">
        <v>72</v>
      </c>
      <c r="S57">
        <v>60</v>
      </c>
      <c r="T57">
        <v>80</v>
      </c>
    </row>
    <row r="58" spans="1:21" x14ac:dyDescent="0.3">
      <c r="A58" s="1" t="s">
        <v>56</v>
      </c>
      <c r="B58" s="1" t="s">
        <v>79</v>
      </c>
      <c r="G58">
        <v>80</v>
      </c>
      <c r="I58">
        <v>78</v>
      </c>
      <c r="J58">
        <v>34</v>
      </c>
      <c r="Q58">
        <v>52</v>
      </c>
      <c r="S58">
        <v>46</v>
      </c>
      <c r="T58">
        <v>80</v>
      </c>
      <c r="U58">
        <v>62</v>
      </c>
    </row>
    <row r="59" spans="1:21" x14ac:dyDescent="0.3">
      <c r="A59" s="1" t="s">
        <v>56</v>
      </c>
      <c r="B59" s="1" t="s">
        <v>80</v>
      </c>
      <c r="I59">
        <v>65</v>
      </c>
      <c r="Q59">
        <v>50</v>
      </c>
      <c r="S59">
        <v>43</v>
      </c>
      <c r="T59">
        <v>78</v>
      </c>
      <c r="U59">
        <v>24</v>
      </c>
    </row>
    <row r="60" spans="1:21" x14ac:dyDescent="0.3">
      <c r="A60" s="1" t="s">
        <v>56</v>
      </c>
      <c r="B60" s="1" t="s">
        <v>81</v>
      </c>
      <c r="G60">
        <v>88</v>
      </c>
      <c r="I60">
        <v>96</v>
      </c>
      <c r="J60">
        <v>92</v>
      </c>
      <c r="Q60">
        <v>58</v>
      </c>
      <c r="S60">
        <v>59</v>
      </c>
      <c r="T60">
        <v>53</v>
      </c>
      <c r="U60">
        <v>72</v>
      </c>
    </row>
    <row r="61" spans="1:21" x14ac:dyDescent="0.3">
      <c r="A61" s="1" t="s">
        <v>56</v>
      </c>
      <c r="B61" s="1" t="s">
        <v>82</v>
      </c>
      <c r="G61">
        <v>76</v>
      </c>
      <c r="I61">
        <v>100</v>
      </c>
      <c r="J61">
        <v>90</v>
      </c>
      <c r="O61">
        <v>100</v>
      </c>
      <c r="Q61">
        <v>78</v>
      </c>
      <c r="S61">
        <v>66</v>
      </c>
      <c r="T61">
        <v>75</v>
      </c>
    </row>
    <row r="62" spans="1:21" x14ac:dyDescent="0.3">
      <c r="A62" s="1" t="s">
        <v>56</v>
      </c>
      <c r="B62" s="1" t="s">
        <v>83</v>
      </c>
      <c r="G62">
        <v>96</v>
      </c>
      <c r="I62">
        <v>98</v>
      </c>
      <c r="J62">
        <v>91</v>
      </c>
      <c r="Q62">
        <v>72</v>
      </c>
      <c r="S62">
        <v>69</v>
      </c>
      <c r="T62">
        <v>85</v>
      </c>
    </row>
    <row r="63" spans="1:21" x14ac:dyDescent="0.3">
      <c r="A63" s="1" t="s">
        <v>56</v>
      </c>
      <c r="B63" s="1" t="s">
        <v>84</v>
      </c>
      <c r="G63">
        <v>76</v>
      </c>
      <c r="I63">
        <v>99</v>
      </c>
      <c r="J63">
        <v>84</v>
      </c>
      <c r="K63">
        <v>78</v>
      </c>
      <c r="Q63">
        <v>70</v>
      </c>
      <c r="S63">
        <v>53</v>
      </c>
      <c r="T63">
        <v>73</v>
      </c>
    </row>
    <row r="64" spans="1:21" x14ac:dyDescent="0.3">
      <c r="A64" s="1" t="s">
        <v>56</v>
      </c>
      <c r="B64" s="1" t="s">
        <v>85</v>
      </c>
      <c r="C64">
        <v>48</v>
      </c>
      <c r="D64">
        <v>17</v>
      </c>
      <c r="I64">
        <v>100</v>
      </c>
      <c r="J64">
        <v>92</v>
      </c>
      <c r="Q64">
        <v>60</v>
      </c>
      <c r="S64">
        <v>47</v>
      </c>
    </row>
    <row r="65" spans="1:21" x14ac:dyDescent="0.3">
      <c r="A65" s="1" t="s">
        <v>56</v>
      </c>
      <c r="B65" s="1" t="s">
        <v>86</v>
      </c>
      <c r="G65">
        <v>80</v>
      </c>
      <c r="I65">
        <v>98</v>
      </c>
      <c r="J65">
        <v>79</v>
      </c>
      <c r="Q65">
        <v>66</v>
      </c>
      <c r="S65">
        <v>66</v>
      </c>
      <c r="T65">
        <v>63</v>
      </c>
      <c r="U65">
        <v>60</v>
      </c>
    </row>
    <row r="66" spans="1:21" x14ac:dyDescent="0.3">
      <c r="A66" s="1" t="s">
        <v>56</v>
      </c>
      <c r="B66" s="1" t="s">
        <v>87</v>
      </c>
      <c r="I66">
        <v>94</v>
      </c>
      <c r="J66">
        <v>66</v>
      </c>
      <c r="Q66">
        <v>76</v>
      </c>
      <c r="R66">
        <v>24</v>
      </c>
      <c r="S66">
        <v>44</v>
      </c>
      <c r="T66">
        <v>40</v>
      </c>
    </row>
    <row r="67" spans="1:21" x14ac:dyDescent="0.3">
      <c r="A67" s="1" t="s">
        <v>88</v>
      </c>
      <c r="B67" s="1" t="s">
        <v>89</v>
      </c>
      <c r="I67">
        <v>95</v>
      </c>
      <c r="J67">
        <v>70</v>
      </c>
      <c r="M67">
        <v>51</v>
      </c>
      <c r="Q67">
        <v>76</v>
      </c>
      <c r="R67">
        <v>52</v>
      </c>
      <c r="S67">
        <v>49</v>
      </c>
    </row>
    <row r="68" spans="1:21" x14ac:dyDescent="0.3">
      <c r="A68" s="1" t="s">
        <v>88</v>
      </c>
      <c r="B68" s="1" t="s">
        <v>90</v>
      </c>
      <c r="F68">
        <v>42</v>
      </c>
      <c r="I68">
        <v>52</v>
      </c>
      <c r="Q68">
        <v>76</v>
      </c>
      <c r="R68">
        <v>40</v>
      </c>
      <c r="S68">
        <v>36</v>
      </c>
    </row>
    <row r="69" spans="1:21" x14ac:dyDescent="0.3">
      <c r="A69" s="1" t="s">
        <v>88</v>
      </c>
      <c r="B69" s="1" t="s">
        <v>91</v>
      </c>
      <c r="F69">
        <v>77</v>
      </c>
      <c r="I69">
        <v>92</v>
      </c>
      <c r="J69">
        <v>80</v>
      </c>
      <c r="K69">
        <v>68</v>
      </c>
      <c r="Q69">
        <v>66</v>
      </c>
      <c r="R69">
        <v>44</v>
      </c>
      <c r="S69">
        <v>54</v>
      </c>
    </row>
    <row r="70" spans="1:21" x14ac:dyDescent="0.3">
      <c r="A70" s="1" t="s">
        <v>88</v>
      </c>
      <c r="B70" s="1" t="s">
        <v>92</v>
      </c>
      <c r="F70">
        <v>55</v>
      </c>
      <c r="I70">
        <v>88</v>
      </c>
      <c r="Q70">
        <v>72</v>
      </c>
      <c r="R70">
        <v>42</v>
      </c>
      <c r="S70">
        <v>49</v>
      </c>
    </row>
    <row r="71" spans="1:21" x14ac:dyDescent="0.3">
      <c r="A71" s="1" t="s">
        <v>88</v>
      </c>
      <c r="B71" s="1" t="s">
        <v>93</v>
      </c>
      <c r="F71">
        <v>85</v>
      </c>
      <c r="I71">
        <v>100</v>
      </c>
      <c r="J71">
        <v>81</v>
      </c>
      <c r="M71">
        <v>94</v>
      </c>
      <c r="Q71">
        <v>94</v>
      </c>
      <c r="R71">
        <v>52</v>
      </c>
      <c r="S71">
        <v>71</v>
      </c>
    </row>
    <row r="72" spans="1:21" x14ac:dyDescent="0.3">
      <c r="A72" s="1" t="s">
        <v>88</v>
      </c>
      <c r="B72" s="1" t="s">
        <v>94</v>
      </c>
      <c r="F72">
        <v>68</v>
      </c>
      <c r="I72">
        <v>84</v>
      </c>
      <c r="Q72">
        <v>52</v>
      </c>
      <c r="R72">
        <v>14</v>
      </c>
      <c r="S72">
        <v>34</v>
      </c>
    </row>
    <row r="73" spans="1:21" x14ac:dyDescent="0.3">
      <c r="A73" s="1" t="s">
        <v>88</v>
      </c>
      <c r="B73" s="1" t="s">
        <v>95</v>
      </c>
      <c r="F73">
        <v>60</v>
      </c>
      <c r="I73">
        <v>92</v>
      </c>
      <c r="Q73">
        <v>70</v>
      </c>
      <c r="R73">
        <v>32</v>
      </c>
      <c r="S73">
        <v>63</v>
      </c>
    </row>
    <row r="74" spans="1:21" x14ac:dyDescent="0.3">
      <c r="A74" s="1" t="s">
        <v>88</v>
      </c>
      <c r="B74" s="1" t="s">
        <v>96</v>
      </c>
      <c r="F74">
        <v>70</v>
      </c>
      <c r="I74">
        <v>94</v>
      </c>
      <c r="J74">
        <v>84</v>
      </c>
      <c r="P74">
        <v>90</v>
      </c>
      <c r="Q74">
        <v>88</v>
      </c>
      <c r="R74">
        <v>56</v>
      </c>
      <c r="S74">
        <v>64</v>
      </c>
    </row>
    <row r="75" spans="1:21" x14ac:dyDescent="0.3">
      <c r="A75" s="1" t="s">
        <v>88</v>
      </c>
      <c r="B75" s="1" t="s">
        <v>97</v>
      </c>
      <c r="F75">
        <v>38</v>
      </c>
      <c r="I75">
        <v>51</v>
      </c>
      <c r="Q75">
        <v>48</v>
      </c>
      <c r="S75">
        <v>49</v>
      </c>
    </row>
    <row r="76" spans="1:21" x14ac:dyDescent="0.3">
      <c r="A76" s="1" t="s">
        <v>88</v>
      </c>
      <c r="B76" s="1" t="s">
        <v>98</v>
      </c>
      <c r="F76">
        <v>83</v>
      </c>
      <c r="J76">
        <v>93</v>
      </c>
      <c r="O76">
        <v>96</v>
      </c>
      <c r="Q76">
        <v>72</v>
      </c>
      <c r="R76">
        <v>64</v>
      </c>
      <c r="S76">
        <v>57</v>
      </c>
    </row>
    <row r="77" spans="1:21" x14ac:dyDescent="0.3">
      <c r="A77" s="1" t="s">
        <v>88</v>
      </c>
      <c r="B77" s="1" t="s">
        <v>99</v>
      </c>
      <c r="F77">
        <v>93</v>
      </c>
      <c r="I77">
        <v>98</v>
      </c>
      <c r="J77">
        <v>80</v>
      </c>
      <c r="K77">
        <v>80</v>
      </c>
      <c r="Q77">
        <v>78</v>
      </c>
      <c r="R77">
        <v>64</v>
      </c>
      <c r="S77">
        <v>63</v>
      </c>
    </row>
    <row r="78" spans="1:21" x14ac:dyDescent="0.3">
      <c r="A78" s="1" t="s">
        <v>88</v>
      </c>
      <c r="B78" s="1" t="s">
        <v>100</v>
      </c>
      <c r="F78">
        <v>63</v>
      </c>
      <c r="I78">
        <v>88</v>
      </c>
      <c r="Q78">
        <v>64</v>
      </c>
      <c r="S78">
        <v>63</v>
      </c>
      <c r="T78">
        <v>43</v>
      </c>
    </row>
    <row r="79" spans="1:21" x14ac:dyDescent="0.3">
      <c r="A79" s="1" t="s">
        <v>88</v>
      </c>
      <c r="B79" s="1" t="s">
        <v>101</v>
      </c>
      <c r="F79">
        <v>65</v>
      </c>
      <c r="I79">
        <v>69</v>
      </c>
      <c r="Q79">
        <v>52</v>
      </c>
      <c r="S79">
        <v>51</v>
      </c>
    </row>
    <row r="80" spans="1:21" x14ac:dyDescent="0.3">
      <c r="A80" s="1" t="s">
        <v>88</v>
      </c>
      <c r="B80" s="1" t="s">
        <v>102</v>
      </c>
      <c r="F80">
        <v>50</v>
      </c>
      <c r="I80">
        <v>82</v>
      </c>
      <c r="Q80">
        <v>68</v>
      </c>
      <c r="R80">
        <v>36</v>
      </c>
      <c r="S80">
        <v>47</v>
      </c>
    </row>
    <row r="81" spans="1:21" x14ac:dyDescent="0.3">
      <c r="A81" s="1" t="s">
        <v>88</v>
      </c>
      <c r="B81" s="1" t="s">
        <v>103</v>
      </c>
      <c r="F81">
        <v>53</v>
      </c>
      <c r="I81">
        <v>100</v>
      </c>
      <c r="J81">
        <v>77</v>
      </c>
      <c r="Q81">
        <v>82</v>
      </c>
      <c r="R81">
        <v>38</v>
      </c>
      <c r="S81">
        <v>53</v>
      </c>
      <c r="U81">
        <v>46</v>
      </c>
    </row>
    <row r="82" spans="1:21" x14ac:dyDescent="0.3">
      <c r="A82" s="1" t="s">
        <v>88</v>
      </c>
      <c r="B82" s="1" t="s">
        <v>104</v>
      </c>
      <c r="I82">
        <v>98</v>
      </c>
      <c r="J82">
        <v>81</v>
      </c>
      <c r="Q82">
        <v>88</v>
      </c>
      <c r="R82">
        <v>40</v>
      </c>
      <c r="S82">
        <v>59</v>
      </c>
    </row>
    <row r="83" spans="1:21" x14ac:dyDescent="0.3">
      <c r="A83" s="1" t="s">
        <v>88</v>
      </c>
      <c r="B83" s="1" t="s">
        <v>105</v>
      </c>
      <c r="F83">
        <v>70</v>
      </c>
      <c r="I83">
        <v>96</v>
      </c>
      <c r="J83">
        <v>51</v>
      </c>
      <c r="Q83">
        <v>76</v>
      </c>
      <c r="S83">
        <v>66</v>
      </c>
      <c r="T83">
        <v>95</v>
      </c>
    </row>
    <row r="84" spans="1:21" x14ac:dyDescent="0.3">
      <c r="A84" s="1" t="s">
        <v>88</v>
      </c>
      <c r="B84" s="1" t="s">
        <v>106</v>
      </c>
      <c r="F84">
        <v>68</v>
      </c>
      <c r="I84">
        <v>87</v>
      </c>
      <c r="J84">
        <v>55</v>
      </c>
      <c r="Q84">
        <v>86</v>
      </c>
      <c r="R84">
        <v>48</v>
      </c>
      <c r="S84">
        <v>63</v>
      </c>
      <c r="T84">
        <v>55</v>
      </c>
    </row>
    <row r="85" spans="1:21" x14ac:dyDescent="0.3">
      <c r="A85" s="1" t="s">
        <v>88</v>
      </c>
      <c r="B85" s="1" t="s">
        <v>107</v>
      </c>
      <c r="I85">
        <v>91</v>
      </c>
      <c r="J85">
        <v>66</v>
      </c>
      <c r="Q85">
        <v>100</v>
      </c>
      <c r="R85">
        <v>66</v>
      </c>
      <c r="S85">
        <v>76</v>
      </c>
      <c r="T85">
        <v>70</v>
      </c>
    </row>
    <row r="86" spans="1:21" x14ac:dyDescent="0.3">
      <c r="A86" s="1" t="s">
        <v>88</v>
      </c>
      <c r="B86" s="1" t="s">
        <v>108</v>
      </c>
      <c r="I86">
        <v>100</v>
      </c>
      <c r="J86">
        <v>92</v>
      </c>
      <c r="K86">
        <v>72</v>
      </c>
      <c r="Q86">
        <v>74</v>
      </c>
      <c r="R86">
        <v>52</v>
      </c>
      <c r="S86">
        <v>54</v>
      </c>
    </row>
    <row r="87" spans="1:21" x14ac:dyDescent="0.3">
      <c r="A87" s="1" t="s">
        <v>88</v>
      </c>
      <c r="B87" s="1" t="s">
        <v>109</v>
      </c>
      <c r="F87">
        <v>87</v>
      </c>
      <c r="I87">
        <v>98</v>
      </c>
      <c r="Q87">
        <v>96</v>
      </c>
      <c r="R87">
        <v>90</v>
      </c>
      <c r="S87">
        <v>91</v>
      </c>
    </row>
    <row r="88" spans="1:21" x14ac:dyDescent="0.3">
      <c r="A88" s="1" t="s">
        <v>88</v>
      </c>
      <c r="B88" s="1" t="s">
        <v>110</v>
      </c>
      <c r="F88">
        <v>47</v>
      </c>
      <c r="I88">
        <v>89</v>
      </c>
      <c r="Q88">
        <v>76</v>
      </c>
      <c r="R88">
        <v>40</v>
      </c>
      <c r="S88">
        <v>54</v>
      </c>
    </row>
    <row r="89" spans="1:21" x14ac:dyDescent="0.3">
      <c r="A89" s="1" t="s">
        <v>88</v>
      </c>
      <c r="B89" s="1" t="s">
        <v>111</v>
      </c>
      <c r="I89">
        <v>94</v>
      </c>
      <c r="J89">
        <v>88</v>
      </c>
      <c r="Q89">
        <v>88</v>
      </c>
      <c r="R89">
        <v>46</v>
      </c>
      <c r="S89">
        <v>77</v>
      </c>
    </row>
    <row r="90" spans="1:21" x14ac:dyDescent="0.3">
      <c r="A90" s="1" t="s">
        <v>88</v>
      </c>
      <c r="B90" s="1" t="s">
        <v>112</v>
      </c>
      <c r="F90">
        <v>68</v>
      </c>
      <c r="I90">
        <v>94</v>
      </c>
      <c r="J90">
        <v>78</v>
      </c>
      <c r="O90">
        <v>96</v>
      </c>
      <c r="Q90">
        <v>100</v>
      </c>
      <c r="R90">
        <v>54</v>
      </c>
      <c r="S90">
        <v>50</v>
      </c>
    </row>
    <row r="91" spans="1:21" x14ac:dyDescent="0.3">
      <c r="A91" s="1" t="s">
        <v>88</v>
      </c>
      <c r="B91" s="1" t="s">
        <v>113</v>
      </c>
      <c r="F91">
        <v>77</v>
      </c>
      <c r="I91">
        <v>72</v>
      </c>
      <c r="J91">
        <v>44</v>
      </c>
      <c r="Q91">
        <v>78</v>
      </c>
      <c r="R91">
        <v>40</v>
      </c>
      <c r="S91">
        <v>60</v>
      </c>
    </row>
    <row r="92" spans="1:21" x14ac:dyDescent="0.3">
      <c r="A92" s="1" t="s">
        <v>88</v>
      </c>
      <c r="B92" s="1" t="s">
        <v>114</v>
      </c>
      <c r="F92">
        <v>80</v>
      </c>
      <c r="I92">
        <v>100</v>
      </c>
      <c r="J92">
        <v>82</v>
      </c>
      <c r="O92">
        <v>100</v>
      </c>
      <c r="Q92">
        <v>86</v>
      </c>
      <c r="R92">
        <v>94</v>
      </c>
      <c r="S92">
        <v>63</v>
      </c>
    </row>
    <row r="93" spans="1:21" x14ac:dyDescent="0.3">
      <c r="A93" s="1" t="s">
        <v>88</v>
      </c>
      <c r="B93" s="1" t="s">
        <v>115</v>
      </c>
      <c r="F93">
        <v>82</v>
      </c>
      <c r="I93">
        <v>94</v>
      </c>
      <c r="J93">
        <v>61</v>
      </c>
      <c r="Q93">
        <v>68</v>
      </c>
      <c r="S93">
        <v>71</v>
      </c>
    </row>
    <row r="94" spans="1:21" x14ac:dyDescent="0.3">
      <c r="A94" s="1" t="s">
        <v>116</v>
      </c>
      <c r="B94" s="1" t="s">
        <v>117</v>
      </c>
      <c r="E94">
        <v>70</v>
      </c>
      <c r="I94">
        <v>94</v>
      </c>
      <c r="J94">
        <v>73</v>
      </c>
      <c r="Q94">
        <v>90</v>
      </c>
      <c r="R94">
        <v>70</v>
      </c>
      <c r="S94">
        <v>59</v>
      </c>
    </row>
    <row r="95" spans="1:21" x14ac:dyDescent="0.3">
      <c r="A95" s="1" t="s">
        <v>116</v>
      </c>
      <c r="B95" s="1" t="s">
        <v>118</v>
      </c>
      <c r="E95">
        <v>53</v>
      </c>
      <c r="I95">
        <v>96</v>
      </c>
      <c r="J95">
        <v>67</v>
      </c>
      <c r="Q95">
        <v>90</v>
      </c>
      <c r="R95">
        <v>40</v>
      </c>
      <c r="S95">
        <v>64</v>
      </c>
    </row>
    <row r="96" spans="1:21" x14ac:dyDescent="0.3">
      <c r="A96" s="1" t="s">
        <v>116</v>
      </c>
      <c r="B96" s="1" t="s">
        <v>119</v>
      </c>
      <c r="E96">
        <v>75</v>
      </c>
      <c r="H96">
        <v>78</v>
      </c>
      <c r="I96">
        <v>98</v>
      </c>
      <c r="J96">
        <v>96</v>
      </c>
      <c r="Q96">
        <v>100</v>
      </c>
      <c r="R96">
        <v>90</v>
      </c>
      <c r="S96">
        <v>80</v>
      </c>
    </row>
    <row r="97" spans="1:20" x14ac:dyDescent="0.3">
      <c r="A97" s="1" t="s">
        <v>116</v>
      </c>
      <c r="B97" s="1" t="s">
        <v>120</v>
      </c>
      <c r="E97">
        <v>82</v>
      </c>
      <c r="I97">
        <v>100</v>
      </c>
      <c r="J97">
        <v>91</v>
      </c>
      <c r="Q97">
        <v>86</v>
      </c>
      <c r="R97">
        <v>80</v>
      </c>
      <c r="S97">
        <v>84</v>
      </c>
    </row>
    <row r="98" spans="1:20" x14ac:dyDescent="0.3">
      <c r="A98" s="1" t="s">
        <v>116</v>
      </c>
      <c r="B98" s="1" t="s">
        <v>121</v>
      </c>
      <c r="E98">
        <v>32</v>
      </c>
      <c r="I98">
        <v>96</v>
      </c>
      <c r="J98">
        <v>74</v>
      </c>
      <c r="Q98">
        <v>82</v>
      </c>
      <c r="S98">
        <v>60</v>
      </c>
      <c r="T98">
        <v>25</v>
      </c>
    </row>
    <row r="99" spans="1:20" x14ac:dyDescent="0.3">
      <c r="A99" s="1" t="s">
        <v>116</v>
      </c>
      <c r="B99" s="1" t="s">
        <v>122</v>
      </c>
      <c r="E99">
        <v>77</v>
      </c>
      <c r="H99">
        <v>88</v>
      </c>
      <c r="I99">
        <v>98</v>
      </c>
      <c r="J99">
        <v>76</v>
      </c>
      <c r="Q99">
        <v>98</v>
      </c>
      <c r="R99">
        <v>68</v>
      </c>
      <c r="S99">
        <v>73</v>
      </c>
    </row>
    <row r="100" spans="1:20" x14ac:dyDescent="0.3">
      <c r="A100" s="1" t="s">
        <v>116</v>
      </c>
      <c r="B100" s="1" t="s">
        <v>123</v>
      </c>
      <c r="E100">
        <v>70</v>
      </c>
      <c r="I100">
        <v>97</v>
      </c>
      <c r="J100">
        <v>65</v>
      </c>
      <c r="Q100">
        <v>94</v>
      </c>
      <c r="R100">
        <v>78</v>
      </c>
      <c r="S100">
        <v>76</v>
      </c>
    </row>
    <row r="101" spans="1:20" x14ac:dyDescent="0.3">
      <c r="A101" s="1" t="s">
        <v>116</v>
      </c>
      <c r="B101" s="1" t="s">
        <v>124</v>
      </c>
      <c r="E101">
        <v>32</v>
      </c>
      <c r="I101">
        <v>95</v>
      </c>
      <c r="J101">
        <v>75</v>
      </c>
      <c r="Q101">
        <v>72</v>
      </c>
      <c r="R101">
        <v>58</v>
      </c>
      <c r="S101">
        <v>54</v>
      </c>
    </row>
    <row r="102" spans="1:20" x14ac:dyDescent="0.3">
      <c r="A102" s="1" t="s">
        <v>116</v>
      </c>
      <c r="B102" s="1" t="s">
        <v>125</v>
      </c>
      <c r="C102">
        <v>37</v>
      </c>
      <c r="E102">
        <v>37</v>
      </c>
      <c r="I102">
        <v>96</v>
      </c>
      <c r="J102">
        <v>84</v>
      </c>
      <c r="Q102">
        <v>86</v>
      </c>
      <c r="S102">
        <v>53</v>
      </c>
    </row>
    <row r="103" spans="1:20" x14ac:dyDescent="0.3">
      <c r="A103" s="1" t="s">
        <v>116</v>
      </c>
      <c r="B103" s="1" t="s">
        <v>126</v>
      </c>
      <c r="E103">
        <v>75</v>
      </c>
      <c r="I103">
        <v>98</v>
      </c>
      <c r="J103">
        <v>94</v>
      </c>
      <c r="Q103">
        <v>84</v>
      </c>
      <c r="R103">
        <v>82</v>
      </c>
      <c r="S103">
        <v>56</v>
      </c>
    </row>
    <row r="104" spans="1:20" x14ac:dyDescent="0.3">
      <c r="A104" s="1" t="s">
        <v>116</v>
      </c>
      <c r="B104" s="1" t="s">
        <v>127</v>
      </c>
      <c r="E104">
        <v>92</v>
      </c>
      <c r="I104">
        <v>98</v>
      </c>
      <c r="J104">
        <v>86</v>
      </c>
      <c r="Q104">
        <v>94</v>
      </c>
      <c r="R104">
        <v>88</v>
      </c>
      <c r="S104">
        <v>77</v>
      </c>
    </row>
    <row r="105" spans="1:20" x14ac:dyDescent="0.3">
      <c r="A105" s="1" t="s">
        <v>116</v>
      </c>
      <c r="B105" s="1" t="s">
        <v>128</v>
      </c>
      <c r="F105">
        <v>45</v>
      </c>
      <c r="I105">
        <v>100</v>
      </c>
      <c r="J105">
        <v>80</v>
      </c>
      <c r="Q105">
        <v>78</v>
      </c>
      <c r="R105">
        <v>36</v>
      </c>
      <c r="S105">
        <v>30</v>
      </c>
    </row>
    <row r="106" spans="1:20" x14ac:dyDescent="0.3">
      <c r="A106" s="1" t="s">
        <v>116</v>
      </c>
      <c r="B106" s="1" t="s">
        <v>129</v>
      </c>
      <c r="I106">
        <v>100</v>
      </c>
      <c r="J106">
        <v>94</v>
      </c>
      <c r="K106">
        <v>99</v>
      </c>
      <c r="Q106">
        <v>80</v>
      </c>
      <c r="R106">
        <v>74</v>
      </c>
      <c r="S106">
        <v>74</v>
      </c>
    </row>
    <row r="107" spans="1:20" x14ac:dyDescent="0.3">
      <c r="A107" s="1" t="s">
        <v>116</v>
      </c>
      <c r="B107" s="1" t="s">
        <v>130</v>
      </c>
      <c r="I107">
        <v>98</v>
      </c>
      <c r="J107">
        <v>78</v>
      </c>
      <c r="Q107">
        <v>64</v>
      </c>
      <c r="S107">
        <v>54</v>
      </c>
    </row>
    <row r="108" spans="1:20" x14ac:dyDescent="0.3">
      <c r="A108" s="1" t="s">
        <v>116</v>
      </c>
      <c r="B108" s="1" t="s">
        <v>131</v>
      </c>
      <c r="E108">
        <v>72</v>
      </c>
      <c r="I108">
        <v>98</v>
      </c>
      <c r="J108">
        <v>79</v>
      </c>
      <c r="Q108">
        <v>100</v>
      </c>
      <c r="R108">
        <v>78</v>
      </c>
      <c r="S108">
        <v>64</v>
      </c>
    </row>
    <row r="109" spans="1:20" x14ac:dyDescent="0.3">
      <c r="A109" s="1" t="s">
        <v>116</v>
      </c>
      <c r="B109" s="1" t="s">
        <v>132</v>
      </c>
      <c r="E109">
        <v>62</v>
      </c>
      <c r="I109">
        <v>100</v>
      </c>
      <c r="J109">
        <v>75</v>
      </c>
      <c r="Q109">
        <v>92</v>
      </c>
      <c r="R109">
        <v>38</v>
      </c>
      <c r="S109">
        <v>74</v>
      </c>
    </row>
    <row r="110" spans="1:20" x14ac:dyDescent="0.3">
      <c r="A110" s="1" t="s">
        <v>116</v>
      </c>
      <c r="B110" s="1" t="s">
        <v>133</v>
      </c>
      <c r="H110">
        <v>70</v>
      </c>
      <c r="I110">
        <v>98</v>
      </c>
      <c r="J110">
        <v>79</v>
      </c>
      <c r="Q110">
        <v>94</v>
      </c>
      <c r="R110">
        <v>62</v>
      </c>
      <c r="S110">
        <v>59</v>
      </c>
    </row>
    <row r="111" spans="1:20" x14ac:dyDescent="0.3">
      <c r="A111" s="1" t="s">
        <v>116</v>
      </c>
      <c r="B111" s="1" t="s">
        <v>134</v>
      </c>
      <c r="E111">
        <v>48</v>
      </c>
      <c r="I111">
        <v>84</v>
      </c>
      <c r="J111">
        <v>28</v>
      </c>
      <c r="Q111">
        <v>88</v>
      </c>
      <c r="R111">
        <v>68</v>
      </c>
      <c r="S111">
        <v>51</v>
      </c>
    </row>
    <row r="112" spans="1:20" x14ac:dyDescent="0.3">
      <c r="A112" s="1" t="s">
        <v>116</v>
      </c>
      <c r="B112" s="1" t="s">
        <v>135</v>
      </c>
      <c r="E112">
        <v>62</v>
      </c>
      <c r="I112">
        <v>98</v>
      </c>
      <c r="J112">
        <v>79</v>
      </c>
      <c r="Q112">
        <v>100</v>
      </c>
      <c r="R112">
        <v>66</v>
      </c>
      <c r="S112">
        <v>51</v>
      </c>
    </row>
    <row r="113" spans="1:20" x14ac:dyDescent="0.3">
      <c r="A113" s="1" t="s">
        <v>116</v>
      </c>
      <c r="B113" s="1" t="s">
        <v>136</v>
      </c>
      <c r="E113">
        <v>67</v>
      </c>
      <c r="I113">
        <v>100</v>
      </c>
      <c r="J113">
        <v>85</v>
      </c>
      <c r="Q113">
        <v>92</v>
      </c>
      <c r="R113">
        <v>70</v>
      </c>
      <c r="S113">
        <v>63</v>
      </c>
    </row>
    <row r="114" spans="1:20" x14ac:dyDescent="0.3">
      <c r="A114" s="1" t="s">
        <v>116</v>
      </c>
      <c r="B114" s="1" t="s">
        <v>137</v>
      </c>
      <c r="E114">
        <v>67</v>
      </c>
      <c r="I114">
        <v>100</v>
      </c>
      <c r="J114">
        <v>78</v>
      </c>
      <c r="Q114">
        <v>98</v>
      </c>
      <c r="R114">
        <v>68</v>
      </c>
      <c r="S114">
        <v>63</v>
      </c>
    </row>
    <row r="115" spans="1:20" x14ac:dyDescent="0.3">
      <c r="A115" s="1" t="s">
        <v>116</v>
      </c>
      <c r="B115" s="1" t="s">
        <v>138</v>
      </c>
      <c r="H115">
        <v>98</v>
      </c>
      <c r="I115">
        <v>99</v>
      </c>
      <c r="J115">
        <v>84</v>
      </c>
      <c r="Q115">
        <v>96</v>
      </c>
      <c r="R115">
        <v>92</v>
      </c>
      <c r="S115">
        <v>66</v>
      </c>
    </row>
    <row r="116" spans="1:20" x14ac:dyDescent="0.3">
      <c r="A116" s="1" t="s">
        <v>116</v>
      </c>
      <c r="B116" s="1" t="s">
        <v>139</v>
      </c>
      <c r="I116">
        <v>96</v>
      </c>
      <c r="J116">
        <v>86</v>
      </c>
      <c r="Q116">
        <v>94</v>
      </c>
      <c r="R116">
        <v>60</v>
      </c>
      <c r="S116">
        <v>57</v>
      </c>
    </row>
    <row r="117" spans="1:20" x14ac:dyDescent="0.3">
      <c r="A117" s="1" t="s">
        <v>116</v>
      </c>
      <c r="B117" s="1" t="s">
        <v>140</v>
      </c>
      <c r="E117">
        <v>55</v>
      </c>
      <c r="I117">
        <v>97</v>
      </c>
      <c r="J117">
        <v>92</v>
      </c>
      <c r="Q117">
        <v>94</v>
      </c>
      <c r="R117">
        <v>78</v>
      </c>
      <c r="S117">
        <v>63</v>
      </c>
    </row>
    <row r="118" spans="1:20" x14ac:dyDescent="0.3">
      <c r="A118" s="1" t="s">
        <v>116</v>
      </c>
      <c r="B118" s="1" t="s">
        <v>141</v>
      </c>
      <c r="E118">
        <v>78</v>
      </c>
      <c r="I118">
        <v>98</v>
      </c>
      <c r="J118">
        <v>85</v>
      </c>
      <c r="Q118">
        <v>100</v>
      </c>
      <c r="R118">
        <v>92</v>
      </c>
      <c r="S118">
        <v>70</v>
      </c>
    </row>
    <row r="119" spans="1:20" x14ac:dyDescent="0.3">
      <c r="A119" s="1" t="s">
        <v>116</v>
      </c>
      <c r="B119" s="1" t="s">
        <v>142</v>
      </c>
      <c r="H119">
        <v>52</v>
      </c>
      <c r="I119">
        <v>96</v>
      </c>
      <c r="J119">
        <v>68</v>
      </c>
      <c r="Q119">
        <v>94</v>
      </c>
      <c r="R119">
        <v>56</v>
      </c>
      <c r="S119">
        <v>57</v>
      </c>
    </row>
    <row r="120" spans="1:20" x14ac:dyDescent="0.3">
      <c r="A120" s="1" t="s">
        <v>116</v>
      </c>
      <c r="B120" s="1" t="s">
        <v>143</v>
      </c>
      <c r="E120">
        <v>70</v>
      </c>
      <c r="I120">
        <v>100</v>
      </c>
      <c r="J120">
        <v>86</v>
      </c>
      <c r="Q120">
        <v>98</v>
      </c>
      <c r="R120">
        <v>78</v>
      </c>
      <c r="S120">
        <v>90</v>
      </c>
    </row>
    <row r="121" spans="1:20" x14ac:dyDescent="0.3">
      <c r="A121" s="1" t="s">
        <v>116</v>
      </c>
      <c r="B121" s="1" t="s">
        <v>144</v>
      </c>
      <c r="E121">
        <v>32</v>
      </c>
      <c r="I121">
        <v>96</v>
      </c>
      <c r="J121">
        <v>78</v>
      </c>
      <c r="Q121">
        <v>90</v>
      </c>
      <c r="R121">
        <v>74</v>
      </c>
      <c r="S121">
        <v>74</v>
      </c>
    </row>
    <row r="122" spans="1:20" x14ac:dyDescent="0.3">
      <c r="A122" s="1" t="s">
        <v>116</v>
      </c>
      <c r="B122" s="1" t="s">
        <v>145</v>
      </c>
      <c r="E122">
        <v>75</v>
      </c>
      <c r="I122">
        <v>100</v>
      </c>
      <c r="J122">
        <v>64</v>
      </c>
      <c r="Q122">
        <v>92</v>
      </c>
      <c r="R122">
        <v>74</v>
      </c>
      <c r="S122">
        <v>70</v>
      </c>
    </row>
    <row r="123" spans="1:20" x14ac:dyDescent="0.3">
      <c r="A123" s="1" t="s">
        <v>116</v>
      </c>
      <c r="B123" s="1" t="s">
        <v>146</v>
      </c>
      <c r="E123">
        <v>63</v>
      </c>
      <c r="I123">
        <v>96</v>
      </c>
      <c r="Q123">
        <v>96</v>
      </c>
      <c r="R123">
        <v>92</v>
      </c>
      <c r="S123">
        <v>67</v>
      </c>
    </row>
    <row r="124" spans="1:20" x14ac:dyDescent="0.3">
      <c r="A124" s="1" t="s">
        <v>116</v>
      </c>
      <c r="B124" s="1" t="s">
        <v>147</v>
      </c>
      <c r="I124">
        <v>98</v>
      </c>
      <c r="J124">
        <v>65</v>
      </c>
      <c r="Q124">
        <v>94</v>
      </c>
      <c r="R124">
        <v>68</v>
      </c>
      <c r="S124">
        <v>81</v>
      </c>
    </row>
    <row r="125" spans="1:20" x14ac:dyDescent="0.3">
      <c r="A125" s="1" t="s">
        <v>116</v>
      </c>
      <c r="B125" s="1" t="s">
        <v>148</v>
      </c>
      <c r="I125">
        <v>98</v>
      </c>
      <c r="J125">
        <v>84</v>
      </c>
      <c r="Q125">
        <v>82</v>
      </c>
      <c r="R125">
        <v>54</v>
      </c>
      <c r="S125">
        <v>73</v>
      </c>
    </row>
    <row r="126" spans="1:20" x14ac:dyDescent="0.3">
      <c r="A126" s="1" t="s">
        <v>116</v>
      </c>
      <c r="B126" s="1" t="s">
        <v>149</v>
      </c>
      <c r="E126">
        <v>77</v>
      </c>
      <c r="I126">
        <v>94</v>
      </c>
      <c r="J126">
        <v>86</v>
      </c>
      <c r="Q126">
        <v>98</v>
      </c>
      <c r="R126">
        <v>64</v>
      </c>
      <c r="S126">
        <v>59</v>
      </c>
    </row>
    <row r="127" spans="1:20" x14ac:dyDescent="0.3">
      <c r="A127" s="1" t="s">
        <v>150</v>
      </c>
      <c r="B127" s="1" t="s">
        <v>151</v>
      </c>
      <c r="I127">
        <v>96</v>
      </c>
      <c r="M127">
        <v>97</v>
      </c>
      <c r="N127">
        <v>73</v>
      </c>
      <c r="Q127">
        <v>58</v>
      </c>
      <c r="S127">
        <v>69</v>
      </c>
      <c r="T127">
        <v>65</v>
      </c>
    </row>
    <row r="128" spans="1:20" x14ac:dyDescent="0.3">
      <c r="A128" s="1" t="s">
        <v>150</v>
      </c>
      <c r="B128" s="1" t="s">
        <v>152</v>
      </c>
      <c r="I128">
        <v>96</v>
      </c>
      <c r="M128">
        <v>83</v>
      </c>
      <c r="N128">
        <v>61</v>
      </c>
      <c r="Q128">
        <v>68</v>
      </c>
      <c r="S128">
        <v>69</v>
      </c>
      <c r="T128">
        <v>58</v>
      </c>
    </row>
    <row r="129" spans="1:21" x14ac:dyDescent="0.3">
      <c r="A129" s="1" t="s">
        <v>150</v>
      </c>
      <c r="B129" s="1" t="s">
        <v>153</v>
      </c>
      <c r="I129">
        <v>88</v>
      </c>
      <c r="M129">
        <v>90</v>
      </c>
      <c r="N129">
        <v>65</v>
      </c>
      <c r="Q129">
        <v>50</v>
      </c>
      <c r="S129">
        <v>81</v>
      </c>
      <c r="T129">
        <v>58</v>
      </c>
    </row>
    <row r="130" spans="1:21" x14ac:dyDescent="0.3">
      <c r="A130" s="1" t="s">
        <v>150</v>
      </c>
      <c r="B130" s="1" t="s">
        <v>154</v>
      </c>
      <c r="I130">
        <v>90</v>
      </c>
      <c r="M130">
        <v>84</v>
      </c>
      <c r="N130">
        <v>68</v>
      </c>
      <c r="Q130">
        <v>58</v>
      </c>
      <c r="S130">
        <v>76</v>
      </c>
      <c r="T130">
        <v>88</v>
      </c>
    </row>
    <row r="131" spans="1:21" x14ac:dyDescent="0.3">
      <c r="A131" s="1" t="s">
        <v>150</v>
      </c>
      <c r="B131" s="1" t="s">
        <v>155</v>
      </c>
      <c r="F131">
        <v>85</v>
      </c>
      <c r="J131">
        <v>95</v>
      </c>
      <c r="M131">
        <v>100</v>
      </c>
      <c r="Q131">
        <v>82</v>
      </c>
      <c r="S131">
        <v>73</v>
      </c>
      <c r="T131">
        <v>88</v>
      </c>
    </row>
    <row r="132" spans="1:21" x14ac:dyDescent="0.3">
      <c r="A132" s="1" t="s">
        <v>150</v>
      </c>
      <c r="B132" s="1" t="s">
        <v>156</v>
      </c>
      <c r="I132">
        <v>96</v>
      </c>
      <c r="N132">
        <v>45</v>
      </c>
      <c r="Q132">
        <v>74</v>
      </c>
      <c r="S132">
        <v>61</v>
      </c>
      <c r="T132">
        <v>83</v>
      </c>
    </row>
    <row r="133" spans="1:21" x14ac:dyDescent="0.3">
      <c r="A133" s="1" t="s">
        <v>150</v>
      </c>
      <c r="B133" s="1" t="s">
        <v>157</v>
      </c>
      <c r="I133">
        <v>94</v>
      </c>
      <c r="J133">
        <v>79</v>
      </c>
      <c r="N133">
        <v>79</v>
      </c>
      <c r="Q133">
        <v>64</v>
      </c>
      <c r="S133">
        <v>74</v>
      </c>
      <c r="T133">
        <v>53</v>
      </c>
    </row>
    <row r="134" spans="1:21" x14ac:dyDescent="0.3">
      <c r="A134" s="1" t="s">
        <v>150</v>
      </c>
      <c r="B134" s="1" t="s">
        <v>158</v>
      </c>
      <c r="F134">
        <v>38</v>
      </c>
      <c r="I134">
        <v>87</v>
      </c>
      <c r="J134">
        <v>69</v>
      </c>
      <c r="N134">
        <v>72</v>
      </c>
      <c r="Q134">
        <v>56</v>
      </c>
      <c r="S134">
        <v>54</v>
      </c>
      <c r="T134">
        <v>60</v>
      </c>
    </row>
    <row r="135" spans="1:21" x14ac:dyDescent="0.3">
      <c r="A135" s="1" t="s">
        <v>150</v>
      </c>
      <c r="B135" s="1" t="s">
        <v>159</v>
      </c>
      <c r="C135">
        <v>62</v>
      </c>
      <c r="D135">
        <v>35</v>
      </c>
      <c r="I135">
        <v>97</v>
      </c>
      <c r="M135">
        <v>92</v>
      </c>
      <c r="N135">
        <v>52</v>
      </c>
      <c r="Q135">
        <v>56</v>
      </c>
      <c r="S135">
        <v>67</v>
      </c>
    </row>
    <row r="136" spans="1:21" x14ac:dyDescent="0.3">
      <c r="A136" s="1" t="s">
        <v>150</v>
      </c>
      <c r="B136" s="1" t="s">
        <v>160</v>
      </c>
      <c r="F136">
        <v>50</v>
      </c>
      <c r="I136">
        <v>92</v>
      </c>
      <c r="M136">
        <v>84</v>
      </c>
      <c r="N136">
        <v>63</v>
      </c>
      <c r="Q136">
        <v>54</v>
      </c>
      <c r="S136">
        <v>60</v>
      </c>
    </row>
    <row r="137" spans="1:21" x14ac:dyDescent="0.3">
      <c r="A137" s="1" t="s">
        <v>150</v>
      </c>
      <c r="B137" s="1" t="s">
        <v>161</v>
      </c>
      <c r="F137">
        <v>82</v>
      </c>
      <c r="I137">
        <v>100</v>
      </c>
      <c r="M137">
        <v>100</v>
      </c>
      <c r="Q137">
        <v>100</v>
      </c>
      <c r="R137">
        <v>66</v>
      </c>
      <c r="S137">
        <v>73</v>
      </c>
      <c r="T137">
        <v>85</v>
      </c>
    </row>
    <row r="138" spans="1:21" x14ac:dyDescent="0.3">
      <c r="A138" s="1" t="s">
        <v>150</v>
      </c>
      <c r="B138" s="1" t="s">
        <v>162</v>
      </c>
      <c r="I138">
        <v>96</v>
      </c>
      <c r="N138">
        <v>79</v>
      </c>
      <c r="Q138">
        <v>56</v>
      </c>
      <c r="S138">
        <v>81</v>
      </c>
      <c r="T138">
        <v>83</v>
      </c>
    </row>
    <row r="139" spans="1:21" x14ac:dyDescent="0.3">
      <c r="A139" s="1" t="s">
        <v>150</v>
      </c>
      <c r="B139" s="1" t="s">
        <v>163</v>
      </c>
      <c r="G139">
        <v>66</v>
      </c>
      <c r="I139">
        <v>94</v>
      </c>
      <c r="J139">
        <v>93</v>
      </c>
      <c r="N139">
        <v>83</v>
      </c>
      <c r="Q139">
        <v>78</v>
      </c>
      <c r="S139">
        <v>90</v>
      </c>
      <c r="T139">
        <v>100</v>
      </c>
    </row>
    <row r="140" spans="1:21" x14ac:dyDescent="0.3">
      <c r="A140" s="1" t="s">
        <v>150</v>
      </c>
      <c r="B140" s="1" t="s">
        <v>164</v>
      </c>
      <c r="F140">
        <v>75</v>
      </c>
      <c r="I140">
        <v>99</v>
      </c>
      <c r="J140">
        <v>83</v>
      </c>
      <c r="M140">
        <v>100</v>
      </c>
      <c r="Q140">
        <v>78</v>
      </c>
      <c r="R140">
        <v>30</v>
      </c>
      <c r="S140">
        <v>79</v>
      </c>
      <c r="T140">
        <v>80</v>
      </c>
    </row>
    <row r="141" spans="1:21" x14ac:dyDescent="0.3">
      <c r="A141" s="1" t="s">
        <v>150</v>
      </c>
      <c r="B141" s="1" t="s">
        <v>165</v>
      </c>
      <c r="I141">
        <v>96</v>
      </c>
      <c r="M141">
        <v>98</v>
      </c>
      <c r="N141">
        <v>96</v>
      </c>
      <c r="Q141">
        <v>44</v>
      </c>
      <c r="S141">
        <v>69</v>
      </c>
    </row>
    <row r="142" spans="1:21" x14ac:dyDescent="0.3">
      <c r="A142" s="1" t="s">
        <v>150</v>
      </c>
      <c r="B142" s="1" t="s">
        <v>166</v>
      </c>
      <c r="G142">
        <v>24</v>
      </c>
      <c r="I142">
        <v>100</v>
      </c>
      <c r="J142">
        <v>63</v>
      </c>
      <c r="N142">
        <v>61</v>
      </c>
      <c r="Q142">
        <v>40</v>
      </c>
      <c r="S142">
        <v>76</v>
      </c>
      <c r="T142">
        <v>58</v>
      </c>
      <c r="U142">
        <v>16</v>
      </c>
    </row>
    <row r="143" spans="1:21" x14ac:dyDescent="0.3">
      <c r="A143" s="1" t="s">
        <v>150</v>
      </c>
      <c r="B143" s="1" t="s">
        <v>167</v>
      </c>
      <c r="G143">
        <v>72</v>
      </c>
      <c r="I143">
        <v>98</v>
      </c>
      <c r="J143">
        <v>76</v>
      </c>
      <c r="N143">
        <v>77</v>
      </c>
      <c r="Q143">
        <v>64</v>
      </c>
      <c r="S143">
        <v>79</v>
      </c>
      <c r="T143">
        <v>75</v>
      </c>
      <c r="U143">
        <v>46</v>
      </c>
    </row>
    <row r="144" spans="1:21" x14ac:dyDescent="0.3">
      <c r="A144" s="1" t="s">
        <v>150</v>
      </c>
      <c r="B144" s="1" t="s">
        <v>168</v>
      </c>
      <c r="I144">
        <v>96</v>
      </c>
      <c r="J144">
        <v>71</v>
      </c>
      <c r="N144">
        <v>70</v>
      </c>
      <c r="Q144">
        <v>40</v>
      </c>
      <c r="S144">
        <v>37</v>
      </c>
      <c r="T144">
        <v>55</v>
      </c>
    </row>
    <row r="145" spans="1:21" x14ac:dyDescent="0.3">
      <c r="A145" s="1" t="s">
        <v>150</v>
      </c>
      <c r="B145" s="1" t="s">
        <v>169</v>
      </c>
      <c r="J145">
        <v>89</v>
      </c>
      <c r="M145">
        <v>96</v>
      </c>
      <c r="Q145">
        <v>56</v>
      </c>
      <c r="S145">
        <v>57</v>
      </c>
      <c r="T145">
        <v>63</v>
      </c>
    </row>
    <row r="146" spans="1:21" x14ac:dyDescent="0.3">
      <c r="A146" s="1" t="s">
        <v>150</v>
      </c>
      <c r="B146" s="1" t="s">
        <v>170</v>
      </c>
      <c r="J146">
        <v>74</v>
      </c>
      <c r="M146">
        <v>98</v>
      </c>
      <c r="Q146">
        <v>66</v>
      </c>
      <c r="S146">
        <v>56</v>
      </c>
    </row>
    <row r="147" spans="1:21" x14ac:dyDescent="0.3">
      <c r="A147" s="1" t="s">
        <v>150</v>
      </c>
      <c r="B147" s="1" t="s">
        <v>171</v>
      </c>
      <c r="L147">
        <v>73</v>
      </c>
      <c r="M147">
        <v>98</v>
      </c>
      <c r="N147">
        <v>82</v>
      </c>
      <c r="Q147">
        <v>68</v>
      </c>
      <c r="S147">
        <v>50</v>
      </c>
      <c r="T147">
        <v>70</v>
      </c>
    </row>
    <row r="148" spans="1:21" x14ac:dyDescent="0.3">
      <c r="A148" s="1" t="s">
        <v>150</v>
      </c>
      <c r="B148" s="1" t="s">
        <v>172</v>
      </c>
      <c r="C148">
        <v>18</v>
      </c>
      <c r="D148">
        <v>12</v>
      </c>
      <c r="I148">
        <v>70</v>
      </c>
      <c r="M148">
        <v>58</v>
      </c>
      <c r="Q148">
        <v>58</v>
      </c>
      <c r="S148">
        <v>43</v>
      </c>
    </row>
    <row r="149" spans="1:21" x14ac:dyDescent="0.3">
      <c r="A149" s="1" t="s">
        <v>150</v>
      </c>
      <c r="B149" s="1" t="s">
        <v>173</v>
      </c>
      <c r="J149">
        <v>78</v>
      </c>
      <c r="M149">
        <v>100</v>
      </c>
      <c r="Q149">
        <v>96</v>
      </c>
      <c r="R149">
        <v>40</v>
      </c>
      <c r="S149">
        <v>80</v>
      </c>
    </row>
    <row r="150" spans="1:21" x14ac:dyDescent="0.3">
      <c r="A150" s="1" t="s">
        <v>150</v>
      </c>
      <c r="B150" s="1" t="s">
        <v>174</v>
      </c>
      <c r="I150">
        <v>90</v>
      </c>
      <c r="M150">
        <v>92</v>
      </c>
      <c r="N150">
        <v>71</v>
      </c>
      <c r="Q150">
        <v>38</v>
      </c>
      <c r="S150">
        <v>47</v>
      </c>
      <c r="T150">
        <v>58</v>
      </c>
    </row>
    <row r="151" spans="1:21" x14ac:dyDescent="0.3">
      <c r="A151" s="1" t="s">
        <v>150</v>
      </c>
      <c r="B151" s="1" t="s">
        <v>175</v>
      </c>
      <c r="F151">
        <v>53</v>
      </c>
      <c r="I151">
        <v>98</v>
      </c>
      <c r="J151">
        <v>66</v>
      </c>
      <c r="N151">
        <v>67</v>
      </c>
      <c r="Q151">
        <v>62</v>
      </c>
      <c r="S151">
        <v>71</v>
      </c>
      <c r="T151">
        <v>63</v>
      </c>
    </row>
    <row r="152" spans="1:21" x14ac:dyDescent="0.3">
      <c r="A152" s="1" t="s">
        <v>150</v>
      </c>
      <c r="B152" s="1" t="s">
        <v>176</v>
      </c>
      <c r="F152">
        <v>52</v>
      </c>
      <c r="I152">
        <v>98</v>
      </c>
      <c r="M152">
        <v>93</v>
      </c>
      <c r="N152">
        <v>70</v>
      </c>
      <c r="Q152">
        <v>58</v>
      </c>
      <c r="R152">
        <v>36</v>
      </c>
      <c r="S152">
        <v>41</v>
      </c>
    </row>
    <row r="153" spans="1:21" x14ac:dyDescent="0.3">
      <c r="A153" s="1" t="s">
        <v>150</v>
      </c>
      <c r="B153" s="1" t="s">
        <v>177</v>
      </c>
      <c r="C153">
        <v>43</v>
      </c>
      <c r="D153">
        <v>43</v>
      </c>
      <c r="I153">
        <v>95</v>
      </c>
      <c r="N153">
        <v>70</v>
      </c>
      <c r="Q153">
        <v>62</v>
      </c>
      <c r="S153">
        <v>59</v>
      </c>
    </row>
    <row r="155" spans="1:21" x14ac:dyDescent="0.3"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t="s">
        <v>7</v>
      </c>
      <c r="I155" t="s">
        <v>8</v>
      </c>
      <c r="J155" t="s">
        <v>9</v>
      </c>
      <c r="K155" t="s">
        <v>10</v>
      </c>
      <c r="L155" t="s">
        <v>11</v>
      </c>
      <c r="M155" t="s">
        <v>12</v>
      </c>
      <c r="N155" t="s">
        <v>13</v>
      </c>
      <c r="O155" t="s">
        <v>14</v>
      </c>
      <c r="P155" t="s">
        <v>15</v>
      </c>
      <c r="Q155" t="s">
        <v>16</v>
      </c>
      <c r="R155" t="s">
        <v>17</v>
      </c>
      <c r="S155" t="s">
        <v>18</v>
      </c>
      <c r="T155" t="s">
        <v>19</v>
      </c>
      <c r="U155" t="s">
        <v>20</v>
      </c>
    </row>
    <row r="156" spans="1:21" x14ac:dyDescent="0.3">
      <c r="C156">
        <f>AVERAGE(matura4[Biologia-R])</f>
        <v>66.599999999999994</v>
      </c>
      <c r="D156">
        <f>AVERAGE(matura4[Chemia-R])</f>
        <v>59.545454545454547</v>
      </c>
      <c r="E156">
        <f>AVERAGE(matura4[Fizyka-R])</f>
        <v>63.25925925925926</v>
      </c>
      <c r="F156">
        <f>AVERAGE(matura4[Geografia-R])</f>
        <v>65.5625</v>
      </c>
      <c r="G156">
        <f>AVERAGE(matura4[Historia-R])</f>
        <v>77.8</v>
      </c>
      <c r="H156">
        <f>AVERAGE(matura4[Informatyka-R])</f>
        <v>77.2</v>
      </c>
      <c r="I156">
        <f>AVERAGE(matura4[Angielski-P])</f>
        <v>92.705479452054789</v>
      </c>
      <c r="J156">
        <f>AVERAGE(matura4[Angielski-R])</f>
        <v>77.643564356435647</v>
      </c>
      <c r="K156">
        <f>AVERAGE(matura4[Francuski-P])</f>
        <v>79.400000000000006</v>
      </c>
      <c r="L156">
        <f>AVERAGE(matura4[Francuski-R])</f>
        <v>80.5</v>
      </c>
      <c r="M156">
        <f>AVERAGE(matura4[Hiszpański-P])</f>
        <v>89.89473684210526</v>
      </c>
      <c r="N156">
        <f>AVERAGE(matura4[Hiszpański-R])</f>
        <v>70.2</v>
      </c>
      <c r="O156">
        <f>AVERAGE(matura4[Niemiecki-P])</f>
        <v>98.4</v>
      </c>
      <c r="P156">
        <f>AVERAGE(matura4[Niemiecki-R])</f>
        <v>79.5</v>
      </c>
      <c r="Q156">
        <f>AVERAGE(matura4[Matematyka-P])</f>
        <v>73.78947368421052</v>
      </c>
      <c r="R156">
        <f>AVERAGE(matura4[Matematyka-R])</f>
        <v>59.442622950819676</v>
      </c>
      <c r="S156">
        <f>AVERAGE(matura4[Polski-P])</f>
        <v>61.907894736842103</v>
      </c>
      <c r="T156">
        <f>AVERAGE(matura4[Polski-R])</f>
        <v>67.547169811320757</v>
      </c>
      <c r="U156">
        <f>AVERAGE(matura4[WOS-R])</f>
        <v>56.315789473684212</v>
      </c>
    </row>
    <row r="157" spans="1:21" x14ac:dyDescent="0.3">
      <c r="C157">
        <f>COUNTA(matura4[Biologia-R])</f>
        <v>40</v>
      </c>
      <c r="D157">
        <f>COUNTA(matura4[Chemia-R])</f>
        <v>33</v>
      </c>
      <c r="E157">
        <f>COUNTA(matura4[Fizyka-R])</f>
        <v>27</v>
      </c>
      <c r="F157">
        <f>COUNTA(matura4[Geografia-R])</f>
        <v>32</v>
      </c>
      <c r="G157">
        <f>COUNTA(matura4[Historia-R])</f>
        <v>20</v>
      </c>
      <c r="H157">
        <f>COUNTA(matura4[Informatyka-R])</f>
        <v>5</v>
      </c>
      <c r="I157">
        <f>COUNTA(matura4[Angielski-P])</f>
        <v>146</v>
      </c>
      <c r="J157">
        <f>COUNTA(matura4[Angielski-R])</f>
        <v>101</v>
      </c>
      <c r="K157">
        <f>COUNTA(matura4[Francuski-P])</f>
        <v>5</v>
      </c>
      <c r="L157">
        <f>COUNTA(matura4[Francuski-R])</f>
        <v>2</v>
      </c>
      <c r="M157">
        <f>COUNTA(matura4[Hiszpański-P])</f>
        <v>19</v>
      </c>
      <c r="N157">
        <f>COUNTA(matura4[Hiszpański-R])</f>
        <v>20</v>
      </c>
      <c r="O157">
        <f>COUNTA(matura4[Niemiecki-P])</f>
        <v>5</v>
      </c>
      <c r="P157">
        <f>COUNTA(matura4[Niemiecki-R])</f>
        <v>2</v>
      </c>
      <c r="Q157">
        <f>COUNTA(matura4[Matematyka-P])</f>
        <v>152</v>
      </c>
      <c r="R157">
        <f>COUNTA(matura4[Matematyka-R])</f>
        <v>61</v>
      </c>
      <c r="S157">
        <f>COUNTA(matura4[Polski-P])</f>
        <v>152</v>
      </c>
      <c r="T157">
        <f>COUNTA(matura4[Polski-R])</f>
        <v>53</v>
      </c>
      <c r="U157">
        <f>COUNTA(matura4[WOS-R])</f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2A03-D4E6-4767-A05F-9FF00249420D}">
  <dimension ref="A3:U11"/>
  <sheetViews>
    <sheetView workbookViewId="0">
      <selection activeCell="J23" sqref="J23"/>
    </sheetView>
  </sheetViews>
  <sheetFormatPr defaultRowHeight="14.4" x14ac:dyDescent="0.3"/>
  <cols>
    <col min="1" max="1" width="13.21875" bestFit="1" customWidth="1"/>
    <col min="2" max="2" width="15.88671875" bestFit="1" customWidth="1"/>
  </cols>
  <sheetData>
    <row r="3" spans="1:21" x14ac:dyDescent="0.3">
      <c r="A3" t="s">
        <v>181</v>
      </c>
    </row>
    <row r="4" spans="1:21" x14ac:dyDescent="0.3">
      <c r="A4" s="1">
        <v>152</v>
      </c>
    </row>
    <row r="9" spans="1:21" x14ac:dyDescent="0.3"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  <c r="Q9" t="s">
        <v>16</v>
      </c>
      <c r="R9" t="s">
        <v>17</v>
      </c>
      <c r="S9" t="s">
        <v>18</v>
      </c>
      <c r="T9" t="s">
        <v>19</v>
      </c>
      <c r="U9" t="s">
        <v>20</v>
      </c>
    </row>
    <row r="10" spans="1:21" x14ac:dyDescent="0.3">
      <c r="B10" t="s">
        <v>182</v>
      </c>
      <c r="C10" s="7">
        <v>66.599999999999994</v>
      </c>
      <c r="D10" s="7">
        <v>59.545454545454547</v>
      </c>
      <c r="E10" s="7">
        <v>63.25925925925926</v>
      </c>
      <c r="F10" s="7">
        <v>65.5625</v>
      </c>
      <c r="G10" s="7">
        <v>77.8</v>
      </c>
      <c r="H10" s="7">
        <v>77.2</v>
      </c>
      <c r="I10" s="7">
        <v>92.705479452054789</v>
      </c>
      <c r="J10" s="7">
        <v>77.643564356435647</v>
      </c>
      <c r="K10" s="7">
        <v>79.400000000000006</v>
      </c>
      <c r="L10" s="7">
        <v>80.5</v>
      </c>
      <c r="M10" s="7">
        <v>89.89473684210526</v>
      </c>
      <c r="N10" s="7">
        <v>70.2</v>
      </c>
      <c r="O10" s="7">
        <v>98.4</v>
      </c>
      <c r="P10" s="7">
        <v>79.5</v>
      </c>
      <c r="Q10" s="7">
        <v>73.78947368421052</v>
      </c>
      <c r="R10" s="7">
        <v>59.442622950819676</v>
      </c>
      <c r="S10" s="7">
        <v>61.907894736842103</v>
      </c>
      <c r="T10" s="7">
        <v>67.547169811320757</v>
      </c>
      <c r="U10" s="7">
        <v>56.315789473684212</v>
      </c>
    </row>
    <row r="11" spans="1:21" x14ac:dyDescent="0.3">
      <c r="B11" t="s">
        <v>183</v>
      </c>
      <c r="C11">
        <v>40</v>
      </c>
      <c r="D11">
        <v>33</v>
      </c>
      <c r="E11">
        <v>27</v>
      </c>
      <c r="F11">
        <v>32</v>
      </c>
      <c r="G11">
        <v>20</v>
      </c>
      <c r="H11">
        <v>5</v>
      </c>
      <c r="I11">
        <v>146</v>
      </c>
      <c r="J11">
        <v>101</v>
      </c>
      <c r="K11">
        <v>5</v>
      </c>
      <c r="L11">
        <v>2</v>
      </c>
      <c r="M11">
        <v>19</v>
      </c>
      <c r="N11">
        <v>20</v>
      </c>
      <c r="O11">
        <v>5</v>
      </c>
      <c r="P11">
        <v>2</v>
      </c>
      <c r="Q11">
        <v>152</v>
      </c>
      <c r="R11">
        <v>61</v>
      </c>
      <c r="S11">
        <v>152</v>
      </c>
      <c r="T11">
        <v>53</v>
      </c>
      <c r="U11">
        <v>19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A8B5-3918-4EB0-A9E6-2B04CC77225A}">
  <dimension ref="A1:I153"/>
  <sheetViews>
    <sheetView topLeftCell="E4" zoomScale="115" zoomScaleNormal="115" workbookViewId="0">
      <selection activeCell="I28" sqref="I28"/>
    </sheetView>
  </sheetViews>
  <sheetFormatPr defaultRowHeight="14.4" x14ac:dyDescent="0.3"/>
  <cols>
    <col min="1" max="1" width="8.5546875" bestFit="1" customWidth="1"/>
    <col min="2" max="2" width="12" bestFit="1" customWidth="1"/>
    <col min="3" max="3" width="15.44140625" bestFit="1" customWidth="1"/>
    <col min="4" max="4" width="11" customWidth="1"/>
    <col min="5" max="5" width="21.5546875" bestFit="1" customWidth="1"/>
    <col min="7" max="7" width="15" bestFit="1" customWidth="1"/>
    <col min="8" max="8" width="18.33203125" bestFit="1" customWidth="1"/>
    <col min="9" max="9" width="22.44140625" bestFit="1" customWidth="1"/>
  </cols>
  <sheetData>
    <row r="1" spans="1:9" x14ac:dyDescent="0.3">
      <c r="A1" s="8" t="s">
        <v>0</v>
      </c>
      <c r="B1" s="9" t="s">
        <v>1</v>
      </c>
      <c r="C1" s="9" t="s">
        <v>16</v>
      </c>
      <c r="D1" s="20" t="s">
        <v>194</v>
      </c>
      <c r="E1" s="20" t="s">
        <v>193</v>
      </c>
      <c r="F1" s="19"/>
    </row>
    <row r="2" spans="1:9" x14ac:dyDescent="0.3">
      <c r="A2" s="10" t="s">
        <v>56</v>
      </c>
      <c r="B2" s="11" t="s">
        <v>75</v>
      </c>
      <c r="C2" s="12">
        <v>32</v>
      </c>
      <c r="D2" s="13" t="str" cm="1">
        <f t="array" ref="D2">_xlfn.IFS(C2&lt;$G$4,$H$4,C2&lt;$G$5,$H$5,C2&lt;$G$6,$H$6,C2&lt;$G$7,$H$7,C2&lt;$G$8,$H$8,C2=$G$9,$H$9)</f>
        <v>31-50</v>
      </c>
      <c r="E2" t="str">
        <f>VLOOKUP(C2,$G$3:$I$8,3,TRUE)</f>
        <v>31-50</v>
      </c>
      <c r="G2" t="s">
        <v>190</v>
      </c>
      <c r="H2" t="s">
        <v>191</v>
      </c>
      <c r="I2" t="s">
        <v>192</v>
      </c>
    </row>
    <row r="3" spans="1:9" x14ac:dyDescent="0.3">
      <c r="A3" s="14" t="s">
        <v>56</v>
      </c>
      <c r="B3" s="15" t="s">
        <v>62</v>
      </c>
      <c r="C3" s="16">
        <v>34</v>
      </c>
      <c r="D3" s="13" t="str" cm="1">
        <f t="array" ref="D3">_xlfn.IFS(C3&lt;$G$4,$H$4,C3&lt;$G$5,$H$5,C3&lt;$G$6,$H$6,C3&lt;$G$7,$H$7,C3&lt;$G$8,$H$8,C3=$G$9,$H$9)</f>
        <v>31-50</v>
      </c>
      <c r="E3" t="str">
        <f t="shared" ref="E3:E66" si="0">VLOOKUP(C3,$G$3:$I$8,3,TRUE)</f>
        <v>31-50</v>
      </c>
      <c r="G3">
        <v>0</v>
      </c>
      <c r="I3" t="s">
        <v>184</v>
      </c>
    </row>
    <row r="4" spans="1:9" x14ac:dyDescent="0.3">
      <c r="A4" s="10" t="s">
        <v>150</v>
      </c>
      <c r="B4" s="11" t="s">
        <v>174</v>
      </c>
      <c r="C4" s="12">
        <v>38</v>
      </c>
      <c r="D4" s="13" t="str" cm="1">
        <f t="array" ref="D4">_xlfn.IFS(C4&lt;$G$4,$H$4,C4&lt;$G$5,$H$5,C4&lt;$G$6,$H$6,C4&lt;$G$7,$H$7,C4&lt;$G$8,$H$8,C4=$G$9,$H$9)</f>
        <v>31-50</v>
      </c>
      <c r="E4" t="str">
        <f t="shared" si="0"/>
        <v>31-50</v>
      </c>
      <c r="G4">
        <v>31</v>
      </c>
      <c r="H4" t="s">
        <v>184</v>
      </c>
      <c r="I4" t="s">
        <v>185</v>
      </c>
    </row>
    <row r="5" spans="1:9" x14ac:dyDescent="0.3">
      <c r="A5" s="14" t="s">
        <v>21</v>
      </c>
      <c r="B5" s="15" t="s">
        <v>31</v>
      </c>
      <c r="C5" s="16">
        <v>40</v>
      </c>
      <c r="D5" s="13" t="str" cm="1">
        <f t="array" ref="D5">_xlfn.IFS(C5&lt;$G$4,$H$4,C5&lt;$G$5,$H$5,C5&lt;$G$6,$H$6,C5&lt;$G$7,$H$7,C5&lt;$G$8,$H$8,C5=$G$9,$H$9)</f>
        <v>31-50</v>
      </c>
      <c r="E5" t="str">
        <f t="shared" si="0"/>
        <v>31-50</v>
      </c>
      <c r="G5">
        <v>51</v>
      </c>
      <c r="H5" t="s">
        <v>185</v>
      </c>
      <c r="I5" t="s">
        <v>186</v>
      </c>
    </row>
    <row r="6" spans="1:9" x14ac:dyDescent="0.3">
      <c r="A6" s="10" t="s">
        <v>56</v>
      </c>
      <c r="B6" s="11" t="s">
        <v>65</v>
      </c>
      <c r="C6" s="12">
        <v>40</v>
      </c>
      <c r="D6" s="13" t="str" cm="1">
        <f t="array" ref="D6">_xlfn.IFS(C6&lt;$G$4,$H$4,C6&lt;$G$5,$H$5,C6&lt;$G$6,$H$6,C6&lt;$G$7,$H$7,C6&lt;$G$8,$H$8,C6=$G$9,$H$9)</f>
        <v>31-50</v>
      </c>
      <c r="E6" t="str">
        <f t="shared" si="0"/>
        <v>31-50</v>
      </c>
      <c r="G6">
        <v>76</v>
      </c>
      <c r="H6" t="s">
        <v>186</v>
      </c>
      <c r="I6" t="s">
        <v>187</v>
      </c>
    </row>
    <row r="7" spans="1:9" x14ac:dyDescent="0.3">
      <c r="A7" s="14" t="s">
        <v>150</v>
      </c>
      <c r="B7" s="15" t="s">
        <v>166</v>
      </c>
      <c r="C7" s="16">
        <v>40</v>
      </c>
      <c r="D7" s="13" t="str" cm="1">
        <f t="array" ref="D7">_xlfn.IFS(C7&lt;$G$4,$H$4,C7&lt;$G$5,$H$5,C7&lt;$G$6,$H$6,C7&lt;$G$7,$H$7,C7&lt;$G$8,$H$8,C7=$G$9,$H$9)</f>
        <v>31-50</v>
      </c>
      <c r="E7" t="str">
        <f t="shared" si="0"/>
        <v>31-50</v>
      </c>
      <c r="G7">
        <v>91</v>
      </c>
      <c r="H7" t="s">
        <v>187</v>
      </c>
      <c r="I7" t="s">
        <v>188</v>
      </c>
    </row>
    <row r="8" spans="1:9" x14ac:dyDescent="0.3">
      <c r="A8" s="10" t="s">
        <v>150</v>
      </c>
      <c r="B8" s="11" t="s">
        <v>168</v>
      </c>
      <c r="C8" s="12">
        <v>40</v>
      </c>
      <c r="D8" s="13" t="str" cm="1">
        <f t="array" ref="D8">_xlfn.IFS(C8&lt;$G$4,$H$4,C8&lt;$G$5,$H$5,C8&lt;$G$6,$H$6,C8&lt;$G$7,$H$7,C8&lt;$G$8,$H$8,C8=$G$9,$H$9)</f>
        <v>31-50</v>
      </c>
      <c r="E8" t="str">
        <f t="shared" si="0"/>
        <v>31-50</v>
      </c>
      <c r="G8">
        <v>100</v>
      </c>
      <c r="H8" t="s">
        <v>188</v>
      </c>
      <c r="I8">
        <v>100</v>
      </c>
    </row>
    <row r="9" spans="1:9" x14ac:dyDescent="0.3">
      <c r="A9" s="14" t="s">
        <v>56</v>
      </c>
      <c r="B9" s="15" t="s">
        <v>74</v>
      </c>
      <c r="C9" s="16">
        <v>44</v>
      </c>
      <c r="D9" s="13" t="str" cm="1">
        <f t="array" ref="D9">_xlfn.IFS(C9&lt;$G$4,$H$4,C9&lt;$G$5,$H$5,C9&lt;$G$6,$H$6,C9&lt;$G$7,$H$7,C9&lt;$G$8,$H$8,C9=$G$9,$H$9)</f>
        <v>31-50</v>
      </c>
      <c r="E9" t="str">
        <f t="shared" si="0"/>
        <v>31-50</v>
      </c>
      <c r="G9">
        <v>100</v>
      </c>
      <c r="H9">
        <v>100</v>
      </c>
    </row>
    <row r="10" spans="1:9" x14ac:dyDescent="0.3">
      <c r="A10" s="10" t="s">
        <v>150</v>
      </c>
      <c r="B10" s="11" t="s">
        <v>165</v>
      </c>
      <c r="C10" s="12">
        <v>44</v>
      </c>
      <c r="D10" s="13" t="str" cm="1">
        <f t="array" ref="D10">_xlfn.IFS(C10&lt;$G$4,$H$4,C10&lt;$G$5,$H$5,C10&lt;$G$6,$H$6,C10&lt;$G$7,$H$7,C10&lt;$G$8,$H$8,C10=$G$9,$H$9)</f>
        <v>31-50</v>
      </c>
      <c r="E10" t="str">
        <f t="shared" si="0"/>
        <v>31-50</v>
      </c>
    </row>
    <row r="11" spans="1:9" x14ac:dyDescent="0.3">
      <c r="A11" s="14" t="s">
        <v>56</v>
      </c>
      <c r="B11" s="15" t="s">
        <v>57</v>
      </c>
      <c r="C11" s="16">
        <v>46</v>
      </c>
      <c r="D11" s="13" t="str" cm="1">
        <f t="array" ref="D11">_xlfn.IFS(C11&lt;$G$4,$H$4,C11&lt;$G$5,$H$5,C11&lt;$G$6,$H$6,C11&lt;$G$7,$H$7,C11&lt;$G$8,$H$8,C11=$G$9,$H$9)</f>
        <v>31-50</v>
      </c>
      <c r="E11" t="str">
        <f t="shared" si="0"/>
        <v>31-50</v>
      </c>
    </row>
    <row r="12" spans="1:9" x14ac:dyDescent="0.3">
      <c r="A12" s="10" t="s">
        <v>21</v>
      </c>
      <c r="B12" s="11" t="s">
        <v>27</v>
      </c>
      <c r="C12" s="12">
        <v>48</v>
      </c>
      <c r="D12" s="13" t="str" cm="1">
        <f t="array" ref="D12">_xlfn.IFS(C12&lt;$G$4,$H$4,C12&lt;$G$5,$H$5,C12&lt;$G$6,$H$6,C12&lt;$G$7,$H$7,C12&lt;$G$8,$H$8,C12=$G$9,$H$9)</f>
        <v>31-50</v>
      </c>
      <c r="E12" t="str">
        <f t="shared" si="0"/>
        <v>31-50</v>
      </c>
      <c r="G12" t="s">
        <v>189</v>
      </c>
      <c r="H12" t="s">
        <v>195</v>
      </c>
    </row>
    <row r="13" spans="1:9" x14ac:dyDescent="0.3">
      <c r="A13" s="14" t="s">
        <v>88</v>
      </c>
      <c r="B13" s="15" t="s">
        <v>97</v>
      </c>
      <c r="C13" s="16">
        <v>48</v>
      </c>
      <c r="D13" s="13" t="str" cm="1">
        <f t="array" ref="D13">_xlfn.IFS(C13&lt;$G$4,$H$4,C13&lt;$G$5,$H$5,C13&lt;$G$6,$H$6,C13&lt;$G$7,$H$7,C13&lt;$G$8,$H$8,C13=$G$9,$H$9)</f>
        <v>31-50</v>
      </c>
      <c r="E13" t="str">
        <f t="shared" si="0"/>
        <v>31-50</v>
      </c>
      <c r="G13" t="s">
        <v>184</v>
      </c>
      <c r="H13">
        <f>COUNTIF(E:E,G13)</f>
        <v>0</v>
      </c>
    </row>
    <row r="14" spans="1:9" x14ac:dyDescent="0.3">
      <c r="A14" s="10" t="s">
        <v>21</v>
      </c>
      <c r="B14" s="11" t="s">
        <v>45</v>
      </c>
      <c r="C14" s="12">
        <v>50</v>
      </c>
      <c r="D14" s="13" t="str" cm="1">
        <f t="array" ref="D14">_xlfn.IFS(C14&lt;$G$4,$H$4,C14&lt;$G$5,$H$5,C14&lt;$G$6,$H$6,C14&lt;$G$7,$H$7,C14&lt;$G$8,$H$8,C14=$G$9,$H$9)</f>
        <v>31-50</v>
      </c>
      <c r="E14" t="str">
        <f t="shared" si="0"/>
        <v>31-50</v>
      </c>
      <c r="G14" t="s">
        <v>185</v>
      </c>
      <c r="H14">
        <f>COUNTIF(E:E,G14)</f>
        <v>17</v>
      </c>
    </row>
    <row r="15" spans="1:9" x14ac:dyDescent="0.3">
      <c r="A15" s="14" t="s">
        <v>56</v>
      </c>
      <c r="B15" s="15" t="s">
        <v>58</v>
      </c>
      <c r="C15" s="16">
        <v>50</v>
      </c>
      <c r="D15" s="13" t="str" cm="1">
        <f t="array" ref="D15">_xlfn.IFS(C15&lt;$G$4,$H$4,C15&lt;$G$5,$H$5,C15&lt;$G$6,$H$6,C15&lt;$G$7,$H$7,C15&lt;$G$8,$H$8,C15=$G$9,$H$9)</f>
        <v>31-50</v>
      </c>
      <c r="E15" t="str">
        <f t="shared" si="0"/>
        <v>31-50</v>
      </c>
      <c r="G15" t="s">
        <v>186</v>
      </c>
      <c r="H15">
        <f t="shared" ref="H14:H18" si="1">COUNTIF(E:E,G15)</f>
        <v>59</v>
      </c>
    </row>
    <row r="16" spans="1:9" x14ac:dyDescent="0.3">
      <c r="A16" s="10" t="s">
        <v>56</v>
      </c>
      <c r="B16" s="11" t="s">
        <v>66</v>
      </c>
      <c r="C16" s="12">
        <v>50</v>
      </c>
      <c r="D16" s="13" t="str" cm="1">
        <f t="array" ref="D16">_xlfn.IFS(C16&lt;$G$4,$H$4,C16&lt;$G$5,$H$5,C16&lt;$G$6,$H$6,C16&lt;$G$7,$H$7,C16&lt;$G$8,$H$8,C16=$G$9,$H$9)</f>
        <v>31-50</v>
      </c>
      <c r="E16" t="str">
        <f t="shared" si="0"/>
        <v>31-50</v>
      </c>
      <c r="G16" t="s">
        <v>187</v>
      </c>
      <c r="H16">
        <f t="shared" si="1"/>
        <v>42</v>
      </c>
    </row>
    <row r="17" spans="1:9" x14ac:dyDescent="0.3">
      <c r="A17" s="14" t="s">
        <v>56</v>
      </c>
      <c r="B17" s="15" t="s">
        <v>80</v>
      </c>
      <c r="C17" s="16">
        <v>50</v>
      </c>
      <c r="D17" s="13" t="str" cm="1">
        <f t="array" ref="D17">_xlfn.IFS(C17&lt;$G$4,$H$4,C17&lt;$G$5,$H$5,C17&lt;$G$6,$H$6,C17&lt;$G$7,$H$7,C17&lt;$G$8,$H$8,C17=$G$9,$H$9)</f>
        <v>31-50</v>
      </c>
      <c r="E17" t="str">
        <f t="shared" si="0"/>
        <v>31-50</v>
      </c>
      <c r="G17" t="s">
        <v>188</v>
      </c>
      <c r="H17">
        <f t="shared" si="1"/>
        <v>27</v>
      </c>
    </row>
    <row r="18" spans="1:9" x14ac:dyDescent="0.3">
      <c r="A18" s="10" t="s">
        <v>150</v>
      </c>
      <c r="B18" s="11" t="s">
        <v>153</v>
      </c>
      <c r="C18" s="12">
        <v>50</v>
      </c>
      <c r="D18" s="13" t="str" cm="1">
        <f t="array" ref="D18">_xlfn.IFS(C18&lt;$G$4,$H$4,C18&lt;$G$5,$H$5,C18&lt;$G$6,$H$6,C18&lt;$G$7,$H$7,C18&lt;$G$8,$H$8,C18=$G$9,$H$9)</f>
        <v>31-50</v>
      </c>
      <c r="E18" t="str">
        <f t="shared" si="0"/>
        <v>31-50</v>
      </c>
      <c r="G18">
        <v>100</v>
      </c>
      <c r="H18">
        <f t="shared" si="1"/>
        <v>7</v>
      </c>
    </row>
    <row r="19" spans="1:9" x14ac:dyDescent="0.3">
      <c r="A19" s="14" t="s">
        <v>56</v>
      </c>
      <c r="B19" s="15" t="s">
        <v>70</v>
      </c>
      <c r="C19" s="16">
        <v>52</v>
      </c>
      <c r="D19" s="13" t="str" cm="1">
        <f t="array" ref="D19">_xlfn.IFS(C19&lt;$G$4,$H$4,C19&lt;$G$5,$H$5,C19&lt;$G$6,$H$6,C19&lt;$G$7,$H$7,C19&lt;$G$8,$H$8,C19=$G$9,$H$9)</f>
        <v>51-75</v>
      </c>
      <c r="E19" t="str">
        <f t="shared" si="0"/>
        <v>51-75</v>
      </c>
    </row>
    <row r="20" spans="1:9" x14ac:dyDescent="0.3">
      <c r="A20" s="10" t="s">
        <v>56</v>
      </c>
      <c r="B20" s="11" t="s">
        <v>79</v>
      </c>
      <c r="C20" s="12">
        <v>52</v>
      </c>
      <c r="D20" s="13" t="str" cm="1">
        <f t="array" ref="D20">_xlfn.IFS(C20&lt;$G$4,$H$4,C20&lt;$G$5,$H$5,C20&lt;$G$6,$H$6,C20&lt;$G$7,$H$7,C20&lt;$G$8,$H$8,C20=$G$9,$H$9)</f>
        <v>51-75</v>
      </c>
      <c r="E20" t="str">
        <f t="shared" si="0"/>
        <v>51-75</v>
      </c>
    </row>
    <row r="21" spans="1:9" x14ac:dyDescent="0.3">
      <c r="A21" s="14" t="s">
        <v>88</v>
      </c>
      <c r="B21" s="15" t="s">
        <v>94</v>
      </c>
      <c r="C21" s="16">
        <v>52</v>
      </c>
      <c r="D21" s="13" t="str" cm="1">
        <f t="array" ref="D21">_xlfn.IFS(C21&lt;$G$4,$H$4,C21&lt;$G$5,$H$5,C21&lt;$G$6,$H$6,C21&lt;$G$7,$H$7,C21&lt;$G$8,$H$8,C21=$G$9,$H$9)</f>
        <v>51-75</v>
      </c>
      <c r="E21" t="str">
        <f t="shared" si="0"/>
        <v>51-75</v>
      </c>
    </row>
    <row r="22" spans="1:9" x14ac:dyDescent="0.3">
      <c r="A22" s="10" t="s">
        <v>88</v>
      </c>
      <c r="B22" s="11" t="s">
        <v>101</v>
      </c>
      <c r="C22" s="12">
        <v>52</v>
      </c>
      <c r="D22" s="13" t="str" cm="1">
        <f t="array" ref="D22">_xlfn.IFS(C22&lt;$G$4,$H$4,C22&lt;$G$5,$H$5,C22&lt;$G$6,$H$6,C22&lt;$G$7,$H$7,C22&lt;$G$8,$H$8,C22=$G$9,$H$9)</f>
        <v>51-75</v>
      </c>
      <c r="E22" t="str">
        <f t="shared" si="0"/>
        <v>51-75</v>
      </c>
    </row>
    <row r="23" spans="1:9" x14ac:dyDescent="0.3">
      <c r="A23" s="14" t="s">
        <v>150</v>
      </c>
      <c r="B23" s="15" t="s">
        <v>160</v>
      </c>
      <c r="C23" s="16">
        <v>54</v>
      </c>
      <c r="D23" s="13" t="str" cm="1">
        <f t="array" ref="D23">_xlfn.IFS(C23&lt;$G$4,$H$4,C23&lt;$G$5,$H$5,C23&lt;$G$6,$H$6,C23&lt;$G$7,$H$7,C23&lt;$G$8,$H$8,C23=$G$9,$H$9)</f>
        <v>51-75</v>
      </c>
      <c r="E23" t="str">
        <f t="shared" si="0"/>
        <v>51-75</v>
      </c>
    </row>
    <row r="24" spans="1:9" x14ac:dyDescent="0.3">
      <c r="A24" s="10" t="s">
        <v>21</v>
      </c>
      <c r="B24" s="11" t="s">
        <v>23</v>
      </c>
      <c r="C24" s="12">
        <v>56</v>
      </c>
      <c r="D24" s="13" t="str" cm="1">
        <f t="array" ref="D24">_xlfn.IFS(C24&lt;$G$4,$H$4,C24&lt;$G$5,$H$5,C24&lt;$G$6,$H$6,C24&lt;$G$7,$H$7,C24&lt;$G$8,$H$8,C24=$G$9,$H$9)</f>
        <v>51-75</v>
      </c>
      <c r="E24" t="str">
        <f t="shared" si="0"/>
        <v>51-75</v>
      </c>
    </row>
    <row r="25" spans="1:9" x14ac:dyDescent="0.3">
      <c r="A25" s="14" t="s">
        <v>56</v>
      </c>
      <c r="B25" s="15" t="s">
        <v>64</v>
      </c>
      <c r="C25" s="16">
        <v>56</v>
      </c>
      <c r="D25" s="13" t="str" cm="1">
        <f t="array" ref="D25">_xlfn.IFS(C25&lt;$G$4,$H$4,C25&lt;$G$5,$H$5,C25&lt;$G$6,$H$6,C25&lt;$G$7,$H$7,C25&lt;$G$8,$H$8,C25=$G$9,$H$9)</f>
        <v>51-75</v>
      </c>
      <c r="E25" t="str">
        <f t="shared" si="0"/>
        <v>51-75</v>
      </c>
      <c r="G25" t="s">
        <v>189</v>
      </c>
      <c r="H25" t="s">
        <v>195</v>
      </c>
      <c r="I25" t="s">
        <v>196</v>
      </c>
    </row>
    <row r="26" spans="1:9" x14ac:dyDescent="0.3">
      <c r="A26" s="10" t="s">
        <v>56</v>
      </c>
      <c r="B26" s="11" t="s">
        <v>73</v>
      </c>
      <c r="C26" s="12">
        <v>56</v>
      </c>
      <c r="D26" s="13" t="str" cm="1">
        <f t="array" ref="D26">_xlfn.IFS(C26&lt;$G$4,$H$4,C26&lt;$G$5,$H$5,C26&lt;$G$6,$H$6,C26&lt;$G$7,$H$7,C26&lt;$G$8,$H$8,C26=$G$9,$H$9)</f>
        <v>51-75</v>
      </c>
      <c r="E26" t="str">
        <f t="shared" si="0"/>
        <v>51-75</v>
      </c>
      <c r="G26" t="s">
        <v>184</v>
      </c>
      <c r="H26">
        <f>COUNTIF(E:E,G26)</f>
        <v>0</v>
      </c>
      <c r="I26" s="21">
        <f>H26/SUM($H$26:$H$31)</f>
        <v>0</v>
      </c>
    </row>
    <row r="27" spans="1:9" x14ac:dyDescent="0.3">
      <c r="A27" s="14" t="s">
        <v>150</v>
      </c>
      <c r="B27" s="15" t="s">
        <v>158</v>
      </c>
      <c r="C27" s="16">
        <v>56</v>
      </c>
      <c r="D27" s="13" t="str" cm="1">
        <f t="array" ref="D27">_xlfn.IFS(C27&lt;$G$4,$H$4,C27&lt;$G$5,$H$5,C27&lt;$G$6,$H$6,C27&lt;$G$7,$H$7,C27&lt;$G$8,$H$8,C27=$G$9,$H$9)</f>
        <v>51-75</v>
      </c>
      <c r="E27" t="str">
        <f t="shared" si="0"/>
        <v>51-75</v>
      </c>
      <c r="G27" t="s">
        <v>185</v>
      </c>
      <c r="H27">
        <f>COUNTIF(E:E,G27)</f>
        <v>17</v>
      </c>
      <c r="I27" s="21">
        <f t="shared" ref="I27:I31" si="2">H27/SUM($H$26:$H$31)</f>
        <v>0.1118421052631579</v>
      </c>
    </row>
    <row r="28" spans="1:9" x14ac:dyDescent="0.3">
      <c r="A28" s="10" t="s">
        <v>150</v>
      </c>
      <c r="B28" s="11" t="s">
        <v>159</v>
      </c>
      <c r="C28" s="12">
        <v>56</v>
      </c>
      <c r="D28" s="13" t="str" cm="1">
        <f t="array" ref="D28">_xlfn.IFS(C28&lt;$G$4,$H$4,C28&lt;$G$5,$H$5,C28&lt;$G$6,$H$6,C28&lt;$G$7,$H$7,C28&lt;$G$8,$H$8,C28=$G$9,$H$9)</f>
        <v>51-75</v>
      </c>
      <c r="E28" t="str">
        <f t="shared" si="0"/>
        <v>51-75</v>
      </c>
      <c r="G28" t="s">
        <v>186</v>
      </c>
      <c r="H28">
        <f t="shared" ref="H28:H31" si="3">COUNTIF(E:E,G28)</f>
        <v>59</v>
      </c>
      <c r="I28" s="21">
        <f t="shared" si="2"/>
        <v>0.38815789473684209</v>
      </c>
    </row>
    <row r="29" spans="1:9" x14ac:dyDescent="0.3">
      <c r="A29" s="14" t="s">
        <v>150</v>
      </c>
      <c r="B29" s="15" t="s">
        <v>162</v>
      </c>
      <c r="C29" s="16">
        <v>56</v>
      </c>
      <c r="D29" s="13" t="str" cm="1">
        <f t="array" ref="D29">_xlfn.IFS(C29&lt;$G$4,$H$4,C29&lt;$G$5,$H$5,C29&lt;$G$6,$H$6,C29&lt;$G$7,$H$7,C29&lt;$G$8,$H$8,C29=$G$9,$H$9)</f>
        <v>51-75</v>
      </c>
      <c r="E29" t="str">
        <f t="shared" si="0"/>
        <v>51-75</v>
      </c>
      <c r="G29" t="s">
        <v>187</v>
      </c>
      <c r="H29">
        <f t="shared" si="3"/>
        <v>42</v>
      </c>
      <c r="I29" s="21">
        <f t="shared" si="2"/>
        <v>0.27631578947368424</v>
      </c>
    </row>
    <row r="30" spans="1:9" x14ac:dyDescent="0.3">
      <c r="A30" s="10" t="s">
        <v>150</v>
      </c>
      <c r="B30" s="11" t="s">
        <v>169</v>
      </c>
      <c r="C30" s="12">
        <v>56</v>
      </c>
      <c r="D30" s="13" t="str" cm="1">
        <f t="array" ref="D30">_xlfn.IFS(C30&lt;$G$4,$H$4,C30&lt;$G$5,$H$5,C30&lt;$G$6,$H$6,C30&lt;$G$7,$H$7,C30&lt;$G$8,$H$8,C30=$G$9,$H$9)</f>
        <v>51-75</v>
      </c>
      <c r="E30" t="str">
        <f t="shared" si="0"/>
        <v>51-75</v>
      </c>
      <c r="G30" t="s">
        <v>188</v>
      </c>
      <c r="H30">
        <f t="shared" si="3"/>
        <v>27</v>
      </c>
      <c r="I30" s="21">
        <f t="shared" si="2"/>
        <v>0.17763157894736842</v>
      </c>
    </row>
    <row r="31" spans="1:9" x14ac:dyDescent="0.3">
      <c r="A31" s="14" t="s">
        <v>21</v>
      </c>
      <c r="B31" s="15" t="s">
        <v>37</v>
      </c>
      <c r="C31" s="16">
        <v>58</v>
      </c>
      <c r="D31" s="13" t="str" cm="1">
        <f t="array" ref="D31">_xlfn.IFS(C31&lt;$G$4,$H$4,C31&lt;$G$5,$H$5,C31&lt;$G$6,$H$6,C31&lt;$G$7,$H$7,C31&lt;$G$8,$H$8,C31=$G$9,$H$9)</f>
        <v>51-75</v>
      </c>
      <c r="E31" t="str">
        <f t="shared" si="0"/>
        <v>51-75</v>
      </c>
      <c r="G31" s="22">
        <v>100</v>
      </c>
      <c r="H31">
        <f t="shared" si="3"/>
        <v>7</v>
      </c>
      <c r="I31" s="21">
        <f t="shared" si="2"/>
        <v>4.6052631578947366E-2</v>
      </c>
    </row>
    <row r="32" spans="1:9" x14ac:dyDescent="0.3">
      <c r="A32" s="10" t="s">
        <v>21</v>
      </c>
      <c r="B32" s="11" t="s">
        <v>43</v>
      </c>
      <c r="C32" s="12">
        <v>58</v>
      </c>
      <c r="D32" s="13" t="str" cm="1">
        <f t="array" ref="D32">_xlfn.IFS(C32&lt;$G$4,$H$4,C32&lt;$G$5,$H$5,C32&lt;$G$6,$H$6,C32&lt;$G$7,$H$7,C32&lt;$G$8,$H$8,C32=$G$9,$H$9)</f>
        <v>51-75</v>
      </c>
      <c r="E32" t="str">
        <f t="shared" si="0"/>
        <v>51-75</v>
      </c>
    </row>
    <row r="33" spans="1:5" x14ac:dyDescent="0.3">
      <c r="A33" s="14" t="s">
        <v>56</v>
      </c>
      <c r="B33" s="15" t="s">
        <v>71</v>
      </c>
      <c r="C33" s="16">
        <v>58</v>
      </c>
      <c r="D33" s="13" t="str" cm="1">
        <f t="array" ref="D33">_xlfn.IFS(C33&lt;$G$4,$H$4,C33&lt;$G$5,$H$5,C33&lt;$G$6,$H$6,C33&lt;$G$7,$H$7,C33&lt;$G$8,$H$8,C33=$G$9,$H$9)</f>
        <v>51-75</v>
      </c>
      <c r="E33" t="str">
        <f t="shared" si="0"/>
        <v>51-75</v>
      </c>
    </row>
    <row r="34" spans="1:5" x14ac:dyDescent="0.3">
      <c r="A34" s="10" t="s">
        <v>56</v>
      </c>
      <c r="B34" s="11" t="s">
        <v>81</v>
      </c>
      <c r="C34" s="12">
        <v>58</v>
      </c>
      <c r="D34" s="13" t="str" cm="1">
        <f t="array" ref="D34">_xlfn.IFS(C34&lt;$G$4,$H$4,C34&lt;$G$5,$H$5,C34&lt;$G$6,$H$6,C34&lt;$G$7,$H$7,C34&lt;$G$8,$H$8,C34=$G$9,$H$9)</f>
        <v>51-75</v>
      </c>
      <c r="E34" t="str">
        <f t="shared" si="0"/>
        <v>51-75</v>
      </c>
    </row>
    <row r="35" spans="1:5" x14ac:dyDescent="0.3">
      <c r="A35" s="14" t="s">
        <v>150</v>
      </c>
      <c r="B35" s="15" t="s">
        <v>151</v>
      </c>
      <c r="C35" s="16">
        <v>58</v>
      </c>
      <c r="D35" s="13" t="str" cm="1">
        <f t="array" ref="D35">_xlfn.IFS(C35&lt;$G$4,$H$4,C35&lt;$G$5,$H$5,C35&lt;$G$6,$H$6,C35&lt;$G$7,$H$7,C35&lt;$G$8,$H$8,C35=$G$9,$H$9)</f>
        <v>51-75</v>
      </c>
      <c r="E35" t="str">
        <f t="shared" si="0"/>
        <v>51-75</v>
      </c>
    </row>
    <row r="36" spans="1:5" x14ac:dyDescent="0.3">
      <c r="A36" s="10" t="s">
        <v>150</v>
      </c>
      <c r="B36" s="11" t="s">
        <v>154</v>
      </c>
      <c r="C36" s="12">
        <v>58</v>
      </c>
      <c r="D36" s="13" t="str" cm="1">
        <f t="array" ref="D36">_xlfn.IFS(C36&lt;$G$4,$H$4,C36&lt;$G$5,$H$5,C36&lt;$G$6,$H$6,C36&lt;$G$7,$H$7,C36&lt;$G$8,$H$8,C36=$G$9,$H$9)</f>
        <v>51-75</v>
      </c>
      <c r="E36" t="str">
        <f t="shared" si="0"/>
        <v>51-75</v>
      </c>
    </row>
    <row r="37" spans="1:5" x14ac:dyDescent="0.3">
      <c r="A37" s="14" t="s">
        <v>150</v>
      </c>
      <c r="B37" s="15" t="s">
        <v>172</v>
      </c>
      <c r="C37" s="16">
        <v>58</v>
      </c>
      <c r="D37" s="13" t="str" cm="1">
        <f t="array" ref="D37">_xlfn.IFS(C37&lt;$G$4,$H$4,C37&lt;$G$5,$H$5,C37&lt;$G$6,$H$6,C37&lt;$G$7,$H$7,C37&lt;$G$8,$H$8,C37=$G$9,$H$9)</f>
        <v>51-75</v>
      </c>
      <c r="E37" t="str">
        <f t="shared" si="0"/>
        <v>51-75</v>
      </c>
    </row>
    <row r="38" spans="1:5" x14ac:dyDescent="0.3">
      <c r="A38" s="10" t="s">
        <v>150</v>
      </c>
      <c r="B38" s="11" t="s">
        <v>176</v>
      </c>
      <c r="C38" s="12">
        <v>58</v>
      </c>
      <c r="D38" s="13" t="str" cm="1">
        <f t="array" ref="D38">_xlfn.IFS(C38&lt;$G$4,$H$4,C38&lt;$G$5,$H$5,C38&lt;$G$6,$H$6,C38&lt;$G$7,$H$7,C38&lt;$G$8,$H$8,C38=$G$9,$H$9)</f>
        <v>51-75</v>
      </c>
      <c r="E38" t="str">
        <f t="shared" si="0"/>
        <v>51-75</v>
      </c>
    </row>
    <row r="39" spans="1:5" x14ac:dyDescent="0.3">
      <c r="A39" s="14" t="s">
        <v>21</v>
      </c>
      <c r="B39" s="15" t="s">
        <v>24</v>
      </c>
      <c r="C39" s="16">
        <v>60</v>
      </c>
      <c r="D39" s="13" t="str" cm="1">
        <f t="array" ref="D39">_xlfn.IFS(C39&lt;$G$4,$H$4,C39&lt;$G$5,$H$5,C39&lt;$G$6,$H$6,C39&lt;$G$7,$H$7,C39&lt;$G$8,$H$8,C39=$G$9,$H$9)</f>
        <v>51-75</v>
      </c>
      <c r="E39" t="str">
        <f t="shared" si="0"/>
        <v>51-75</v>
      </c>
    </row>
    <row r="40" spans="1:5" x14ac:dyDescent="0.3">
      <c r="A40" s="10" t="s">
        <v>56</v>
      </c>
      <c r="B40" s="11" t="s">
        <v>85</v>
      </c>
      <c r="C40" s="12">
        <v>60</v>
      </c>
      <c r="D40" s="13" t="str" cm="1">
        <f t="array" ref="D40">_xlfn.IFS(C40&lt;$G$4,$H$4,C40&lt;$G$5,$H$5,C40&lt;$G$6,$H$6,C40&lt;$G$7,$H$7,C40&lt;$G$8,$H$8,C40=$G$9,$H$9)</f>
        <v>51-75</v>
      </c>
      <c r="E40" t="str">
        <f t="shared" si="0"/>
        <v>51-75</v>
      </c>
    </row>
    <row r="41" spans="1:5" x14ac:dyDescent="0.3">
      <c r="A41" s="14" t="s">
        <v>21</v>
      </c>
      <c r="B41" s="15" t="s">
        <v>46</v>
      </c>
      <c r="C41" s="16">
        <v>62</v>
      </c>
      <c r="D41" s="13" t="str" cm="1">
        <f t="array" ref="D41">_xlfn.IFS(C41&lt;$G$4,$H$4,C41&lt;$G$5,$H$5,C41&lt;$G$6,$H$6,C41&lt;$G$7,$H$7,C41&lt;$G$8,$H$8,C41=$G$9,$H$9)</f>
        <v>51-75</v>
      </c>
      <c r="E41" t="str">
        <f t="shared" si="0"/>
        <v>51-75</v>
      </c>
    </row>
    <row r="42" spans="1:5" x14ac:dyDescent="0.3">
      <c r="A42" s="10" t="s">
        <v>150</v>
      </c>
      <c r="B42" s="11" t="s">
        <v>175</v>
      </c>
      <c r="C42" s="12">
        <v>62</v>
      </c>
      <c r="D42" s="13" t="str" cm="1">
        <f t="array" ref="D42">_xlfn.IFS(C42&lt;$G$4,$H$4,C42&lt;$G$5,$H$5,C42&lt;$G$6,$H$6,C42&lt;$G$7,$H$7,C42&lt;$G$8,$H$8,C42=$G$9,$H$9)</f>
        <v>51-75</v>
      </c>
      <c r="E42" t="str">
        <f t="shared" si="0"/>
        <v>51-75</v>
      </c>
    </row>
    <row r="43" spans="1:5" x14ac:dyDescent="0.3">
      <c r="A43" s="14" t="s">
        <v>150</v>
      </c>
      <c r="B43" s="15" t="s">
        <v>177</v>
      </c>
      <c r="C43" s="16">
        <v>62</v>
      </c>
      <c r="D43" s="13" t="str" cm="1">
        <f t="array" ref="D43">_xlfn.IFS(C43&lt;$G$4,$H$4,C43&lt;$G$5,$H$5,C43&lt;$G$6,$H$6,C43&lt;$G$7,$H$7,C43&lt;$G$8,$H$8,C43=$G$9,$H$9)</f>
        <v>51-75</v>
      </c>
      <c r="E43" t="str">
        <f t="shared" si="0"/>
        <v>51-75</v>
      </c>
    </row>
    <row r="44" spans="1:5" x14ac:dyDescent="0.3">
      <c r="A44" s="10" t="s">
        <v>21</v>
      </c>
      <c r="B44" s="11" t="s">
        <v>41</v>
      </c>
      <c r="C44" s="12">
        <v>64</v>
      </c>
      <c r="D44" s="13" t="str" cm="1">
        <f t="array" ref="D44">_xlfn.IFS(C44&lt;$G$4,$H$4,C44&lt;$G$5,$H$5,C44&lt;$G$6,$H$6,C44&lt;$G$7,$H$7,C44&lt;$G$8,$H$8,C44=$G$9,$H$9)</f>
        <v>51-75</v>
      </c>
      <c r="E44" t="str">
        <f t="shared" si="0"/>
        <v>51-75</v>
      </c>
    </row>
    <row r="45" spans="1:5" x14ac:dyDescent="0.3">
      <c r="A45" s="14" t="s">
        <v>56</v>
      </c>
      <c r="B45" s="15" t="s">
        <v>68</v>
      </c>
      <c r="C45" s="16">
        <v>64</v>
      </c>
      <c r="D45" s="13" t="str" cm="1">
        <f t="array" ref="D45">_xlfn.IFS(C45&lt;$G$4,$H$4,C45&lt;$G$5,$H$5,C45&lt;$G$6,$H$6,C45&lt;$G$7,$H$7,C45&lt;$G$8,$H$8,C45=$G$9,$H$9)</f>
        <v>51-75</v>
      </c>
      <c r="E45" t="str">
        <f t="shared" si="0"/>
        <v>51-75</v>
      </c>
    </row>
    <row r="46" spans="1:5" x14ac:dyDescent="0.3">
      <c r="A46" s="10" t="s">
        <v>56</v>
      </c>
      <c r="B46" s="11" t="s">
        <v>77</v>
      </c>
      <c r="C46" s="12">
        <v>64</v>
      </c>
      <c r="D46" s="13" t="str" cm="1">
        <f t="array" ref="D46">_xlfn.IFS(C46&lt;$G$4,$H$4,C46&lt;$G$5,$H$5,C46&lt;$G$6,$H$6,C46&lt;$G$7,$H$7,C46&lt;$G$8,$H$8,C46=$G$9,$H$9)</f>
        <v>51-75</v>
      </c>
      <c r="E46" t="str">
        <f t="shared" si="0"/>
        <v>51-75</v>
      </c>
    </row>
    <row r="47" spans="1:5" x14ac:dyDescent="0.3">
      <c r="A47" s="14" t="s">
        <v>88</v>
      </c>
      <c r="B47" s="15" t="s">
        <v>100</v>
      </c>
      <c r="C47" s="16">
        <v>64</v>
      </c>
      <c r="D47" s="13" t="str" cm="1">
        <f t="array" ref="D47">_xlfn.IFS(C47&lt;$G$4,$H$4,C47&lt;$G$5,$H$5,C47&lt;$G$6,$H$6,C47&lt;$G$7,$H$7,C47&lt;$G$8,$H$8,C47=$G$9,$H$9)</f>
        <v>51-75</v>
      </c>
      <c r="E47" t="str">
        <f t="shared" si="0"/>
        <v>51-75</v>
      </c>
    </row>
    <row r="48" spans="1:5" x14ac:dyDescent="0.3">
      <c r="A48" s="10" t="s">
        <v>116</v>
      </c>
      <c r="B48" s="11" t="s">
        <v>130</v>
      </c>
      <c r="C48" s="12">
        <v>64</v>
      </c>
      <c r="D48" s="13" t="str" cm="1">
        <f t="array" ref="D48">_xlfn.IFS(C48&lt;$G$4,$H$4,C48&lt;$G$5,$H$5,C48&lt;$G$6,$H$6,C48&lt;$G$7,$H$7,C48&lt;$G$8,$H$8,C48=$G$9,$H$9)</f>
        <v>51-75</v>
      </c>
      <c r="E48" t="str">
        <f t="shared" si="0"/>
        <v>51-75</v>
      </c>
    </row>
    <row r="49" spans="1:5" x14ac:dyDescent="0.3">
      <c r="A49" s="14" t="s">
        <v>150</v>
      </c>
      <c r="B49" s="15" t="s">
        <v>157</v>
      </c>
      <c r="C49" s="16">
        <v>64</v>
      </c>
      <c r="D49" s="13" t="str" cm="1">
        <f t="array" ref="D49">_xlfn.IFS(C49&lt;$G$4,$H$4,C49&lt;$G$5,$H$5,C49&lt;$G$6,$H$6,C49&lt;$G$7,$H$7,C49&lt;$G$8,$H$8,C49=$G$9,$H$9)</f>
        <v>51-75</v>
      </c>
      <c r="E49" t="str">
        <f t="shared" si="0"/>
        <v>51-75</v>
      </c>
    </row>
    <row r="50" spans="1:5" x14ac:dyDescent="0.3">
      <c r="A50" s="10" t="s">
        <v>150</v>
      </c>
      <c r="B50" s="11" t="s">
        <v>167</v>
      </c>
      <c r="C50" s="12">
        <v>64</v>
      </c>
      <c r="D50" s="13" t="str" cm="1">
        <f t="array" ref="D50">_xlfn.IFS(C50&lt;$G$4,$H$4,C50&lt;$G$5,$H$5,C50&lt;$G$6,$H$6,C50&lt;$G$7,$H$7,C50&lt;$G$8,$H$8,C50=$G$9,$H$9)</f>
        <v>51-75</v>
      </c>
      <c r="E50" t="str">
        <f t="shared" si="0"/>
        <v>51-75</v>
      </c>
    </row>
    <row r="51" spans="1:5" x14ac:dyDescent="0.3">
      <c r="A51" s="14" t="s">
        <v>56</v>
      </c>
      <c r="B51" s="15" t="s">
        <v>76</v>
      </c>
      <c r="C51" s="16">
        <v>66</v>
      </c>
      <c r="D51" s="13" t="str" cm="1">
        <f t="array" ref="D51">_xlfn.IFS(C51&lt;$G$4,$H$4,C51&lt;$G$5,$H$5,C51&lt;$G$6,$H$6,C51&lt;$G$7,$H$7,C51&lt;$G$8,$H$8,C51=$G$9,$H$9)</f>
        <v>51-75</v>
      </c>
      <c r="E51" t="str">
        <f t="shared" si="0"/>
        <v>51-75</v>
      </c>
    </row>
    <row r="52" spans="1:5" x14ac:dyDescent="0.3">
      <c r="A52" s="10" t="s">
        <v>56</v>
      </c>
      <c r="B52" s="11" t="s">
        <v>86</v>
      </c>
      <c r="C52" s="12">
        <v>66</v>
      </c>
      <c r="D52" s="13" t="str" cm="1">
        <f t="array" ref="D52">_xlfn.IFS(C52&lt;$G$4,$H$4,C52&lt;$G$5,$H$5,C52&lt;$G$6,$H$6,C52&lt;$G$7,$H$7,C52&lt;$G$8,$H$8,C52=$G$9,$H$9)</f>
        <v>51-75</v>
      </c>
      <c r="E52" t="str">
        <f t="shared" si="0"/>
        <v>51-75</v>
      </c>
    </row>
    <row r="53" spans="1:5" x14ac:dyDescent="0.3">
      <c r="A53" s="14" t="s">
        <v>88</v>
      </c>
      <c r="B53" s="15" t="s">
        <v>91</v>
      </c>
      <c r="C53" s="16">
        <v>66</v>
      </c>
      <c r="D53" s="13" t="str" cm="1">
        <f t="array" ref="D53">_xlfn.IFS(C53&lt;$G$4,$H$4,C53&lt;$G$5,$H$5,C53&lt;$G$6,$H$6,C53&lt;$G$7,$H$7,C53&lt;$G$8,$H$8,C53=$G$9,$H$9)</f>
        <v>51-75</v>
      </c>
      <c r="E53" t="str">
        <f t="shared" si="0"/>
        <v>51-75</v>
      </c>
    </row>
    <row r="54" spans="1:5" x14ac:dyDescent="0.3">
      <c r="A54" s="10" t="s">
        <v>150</v>
      </c>
      <c r="B54" s="11" t="s">
        <v>170</v>
      </c>
      <c r="C54" s="12">
        <v>66</v>
      </c>
      <c r="D54" s="13" t="str" cm="1">
        <f t="array" ref="D54">_xlfn.IFS(C54&lt;$G$4,$H$4,C54&lt;$G$5,$H$5,C54&lt;$G$6,$H$6,C54&lt;$G$7,$H$7,C54&lt;$G$8,$H$8,C54=$G$9,$H$9)</f>
        <v>51-75</v>
      </c>
      <c r="E54" t="str">
        <f t="shared" si="0"/>
        <v>51-75</v>
      </c>
    </row>
    <row r="55" spans="1:5" x14ac:dyDescent="0.3">
      <c r="A55" s="14" t="s">
        <v>56</v>
      </c>
      <c r="B55" s="15" t="s">
        <v>63</v>
      </c>
      <c r="C55" s="16">
        <v>68</v>
      </c>
      <c r="D55" s="13" t="str" cm="1">
        <f t="array" ref="D55">_xlfn.IFS(C55&lt;$G$4,$H$4,C55&lt;$G$5,$H$5,C55&lt;$G$6,$H$6,C55&lt;$G$7,$H$7,C55&lt;$G$8,$H$8,C55=$G$9,$H$9)</f>
        <v>51-75</v>
      </c>
      <c r="E55" t="str">
        <f t="shared" si="0"/>
        <v>51-75</v>
      </c>
    </row>
    <row r="56" spans="1:5" x14ac:dyDescent="0.3">
      <c r="A56" s="10" t="s">
        <v>56</v>
      </c>
      <c r="B56" s="11" t="s">
        <v>69</v>
      </c>
      <c r="C56" s="12">
        <v>68</v>
      </c>
      <c r="D56" s="13" t="str" cm="1">
        <f t="array" ref="D56">_xlfn.IFS(C56&lt;$G$4,$H$4,C56&lt;$G$5,$H$5,C56&lt;$G$6,$H$6,C56&lt;$G$7,$H$7,C56&lt;$G$8,$H$8,C56=$G$9,$H$9)</f>
        <v>51-75</v>
      </c>
      <c r="E56" t="str">
        <f t="shared" si="0"/>
        <v>51-75</v>
      </c>
    </row>
    <row r="57" spans="1:5" x14ac:dyDescent="0.3">
      <c r="A57" s="14" t="s">
        <v>88</v>
      </c>
      <c r="B57" s="15" t="s">
        <v>102</v>
      </c>
      <c r="C57" s="16">
        <v>68</v>
      </c>
      <c r="D57" s="13" t="str" cm="1">
        <f t="array" ref="D57">_xlfn.IFS(C57&lt;$G$4,$H$4,C57&lt;$G$5,$H$5,C57&lt;$G$6,$H$6,C57&lt;$G$7,$H$7,C57&lt;$G$8,$H$8,C57=$G$9,$H$9)</f>
        <v>51-75</v>
      </c>
      <c r="E57" t="str">
        <f t="shared" si="0"/>
        <v>51-75</v>
      </c>
    </row>
    <row r="58" spans="1:5" x14ac:dyDescent="0.3">
      <c r="A58" s="10" t="s">
        <v>88</v>
      </c>
      <c r="B58" s="11" t="s">
        <v>115</v>
      </c>
      <c r="C58" s="12">
        <v>68</v>
      </c>
      <c r="D58" s="13" t="str" cm="1">
        <f t="array" ref="D58">_xlfn.IFS(C58&lt;$G$4,$H$4,C58&lt;$G$5,$H$5,C58&lt;$G$6,$H$6,C58&lt;$G$7,$H$7,C58&lt;$G$8,$H$8,C58=$G$9,$H$9)</f>
        <v>51-75</v>
      </c>
      <c r="E58" t="str">
        <f t="shared" si="0"/>
        <v>51-75</v>
      </c>
    </row>
    <row r="59" spans="1:5" x14ac:dyDescent="0.3">
      <c r="A59" s="14" t="s">
        <v>150</v>
      </c>
      <c r="B59" s="15" t="s">
        <v>152</v>
      </c>
      <c r="C59" s="16">
        <v>68</v>
      </c>
      <c r="D59" s="13" t="str" cm="1">
        <f t="array" ref="D59">_xlfn.IFS(C59&lt;$G$4,$H$4,C59&lt;$G$5,$H$5,C59&lt;$G$6,$H$6,C59&lt;$G$7,$H$7,C59&lt;$G$8,$H$8,C59=$G$9,$H$9)</f>
        <v>51-75</v>
      </c>
      <c r="E59" t="str">
        <f t="shared" si="0"/>
        <v>51-75</v>
      </c>
    </row>
    <row r="60" spans="1:5" x14ac:dyDescent="0.3">
      <c r="A60" s="10" t="s">
        <v>150</v>
      </c>
      <c r="B60" s="11" t="s">
        <v>171</v>
      </c>
      <c r="C60" s="12">
        <v>68</v>
      </c>
      <c r="D60" s="13" t="str" cm="1">
        <f t="array" ref="D60">_xlfn.IFS(C60&lt;$G$4,$H$4,C60&lt;$G$5,$H$5,C60&lt;$G$6,$H$6,C60&lt;$G$7,$H$7,C60&lt;$G$8,$H$8,C60=$G$9,$H$9)</f>
        <v>51-75</v>
      </c>
      <c r="E60" t="str">
        <f t="shared" si="0"/>
        <v>51-75</v>
      </c>
    </row>
    <row r="61" spans="1:5" x14ac:dyDescent="0.3">
      <c r="A61" s="14" t="s">
        <v>21</v>
      </c>
      <c r="B61" s="15" t="s">
        <v>25</v>
      </c>
      <c r="C61" s="16">
        <v>70</v>
      </c>
      <c r="D61" s="13" t="str" cm="1">
        <f t="array" ref="D61">_xlfn.IFS(C61&lt;$G$4,$H$4,C61&lt;$G$5,$H$5,C61&lt;$G$6,$H$6,C61&lt;$G$7,$H$7,C61&lt;$G$8,$H$8,C61=$G$9,$H$9)</f>
        <v>51-75</v>
      </c>
      <c r="E61" t="str">
        <f t="shared" si="0"/>
        <v>51-75</v>
      </c>
    </row>
    <row r="62" spans="1:5" x14ac:dyDescent="0.3">
      <c r="A62" s="10" t="s">
        <v>21</v>
      </c>
      <c r="B62" s="11" t="s">
        <v>26</v>
      </c>
      <c r="C62" s="12">
        <v>70</v>
      </c>
      <c r="D62" s="13" t="str" cm="1">
        <f t="array" ref="D62">_xlfn.IFS(C62&lt;$G$4,$H$4,C62&lt;$G$5,$H$5,C62&lt;$G$6,$H$6,C62&lt;$G$7,$H$7,C62&lt;$G$8,$H$8,C62=$G$9,$H$9)</f>
        <v>51-75</v>
      </c>
      <c r="E62" t="str">
        <f t="shared" si="0"/>
        <v>51-75</v>
      </c>
    </row>
    <row r="63" spans="1:5" x14ac:dyDescent="0.3">
      <c r="A63" s="14" t="s">
        <v>21</v>
      </c>
      <c r="B63" s="15" t="s">
        <v>32</v>
      </c>
      <c r="C63" s="16">
        <v>70</v>
      </c>
      <c r="D63" s="13" t="str" cm="1">
        <f t="array" ref="D63">_xlfn.IFS(C63&lt;$G$4,$H$4,C63&lt;$G$5,$H$5,C63&lt;$G$6,$H$6,C63&lt;$G$7,$H$7,C63&lt;$G$8,$H$8,C63=$G$9,$H$9)</f>
        <v>51-75</v>
      </c>
      <c r="E63" t="str">
        <f t="shared" si="0"/>
        <v>51-75</v>
      </c>
    </row>
    <row r="64" spans="1:5" x14ac:dyDescent="0.3">
      <c r="A64" s="10" t="s">
        <v>21</v>
      </c>
      <c r="B64" s="11" t="s">
        <v>42</v>
      </c>
      <c r="C64" s="12">
        <v>70</v>
      </c>
      <c r="D64" s="13" t="str" cm="1">
        <f t="array" ref="D64">_xlfn.IFS(C64&lt;$G$4,$H$4,C64&lt;$G$5,$H$5,C64&lt;$G$6,$H$6,C64&lt;$G$7,$H$7,C64&lt;$G$8,$H$8,C64=$G$9,$H$9)</f>
        <v>51-75</v>
      </c>
      <c r="E64" t="str">
        <f t="shared" si="0"/>
        <v>51-75</v>
      </c>
    </row>
    <row r="65" spans="1:5" x14ac:dyDescent="0.3">
      <c r="A65" s="14" t="s">
        <v>56</v>
      </c>
      <c r="B65" s="15" t="s">
        <v>60</v>
      </c>
      <c r="C65" s="16">
        <v>70</v>
      </c>
      <c r="D65" s="13" t="str" cm="1">
        <f t="array" ref="D65">_xlfn.IFS(C65&lt;$G$4,$H$4,C65&lt;$G$5,$H$5,C65&lt;$G$6,$H$6,C65&lt;$G$7,$H$7,C65&lt;$G$8,$H$8,C65=$G$9,$H$9)</f>
        <v>51-75</v>
      </c>
      <c r="E65" t="str">
        <f t="shared" si="0"/>
        <v>51-75</v>
      </c>
    </row>
    <row r="66" spans="1:5" x14ac:dyDescent="0.3">
      <c r="A66" s="10" t="s">
        <v>56</v>
      </c>
      <c r="B66" s="11" t="s">
        <v>67</v>
      </c>
      <c r="C66" s="12">
        <v>70</v>
      </c>
      <c r="D66" s="13" t="str" cm="1">
        <f t="array" ref="D66">_xlfn.IFS(C66&lt;$G$4,$H$4,C66&lt;$G$5,$H$5,C66&lt;$G$6,$H$6,C66&lt;$G$7,$H$7,C66&lt;$G$8,$H$8,C66=$G$9,$H$9)</f>
        <v>51-75</v>
      </c>
      <c r="E66" t="str">
        <f t="shared" si="0"/>
        <v>51-75</v>
      </c>
    </row>
    <row r="67" spans="1:5" x14ac:dyDescent="0.3">
      <c r="A67" s="14" t="s">
        <v>56</v>
      </c>
      <c r="B67" s="15" t="s">
        <v>84</v>
      </c>
      <c r="C67" s="16">
        <v>70</v>
      </c>
      <c r="D67" s="13" t="str" cm="1">
        <f t="array" ref="D67">_xlfn.IFS(C67&lt;$G$4,$H$4,C67&lt;$G$5,$H$5,C67&lt;$G$6,$H$6,C67&lt;$G$7,$H$7,C67&lt;$G$8,$H$8,C67=$G$9,$H$9)</f>
        <v>51-75</v>
      </c>
      <c r="E67" t="str">
        <f t="shared" ref="E67:E130" si="4">VLOOKUP(C67,$G$3:$I$8,3,TRUE)</f>
        <v>51-75</v>
      </c>
    </row>
    <row r="68" spans="1:5" x14ac:dyDescent="0.3">
      <c r="A68" s="10" t="s">
        <v>88</v>
      </c>
      <c r="B68" s="11" t="s">
        <v>95</v>
      </c>
      <c r="C68" s="12">
        <v>70</v>
      </c>
      <c r="D68" s="13" t="str" cm="1">
        <f t="array" ref="D68">_xlfn.IFS(C68&lt;$G$4,$H$4,C68&lt;$G$5,$H$5,C68&lt;$G$6,$H$6,C68&lt;$G$7,$H$7,C68&lt;$G$8,$H$8,C68=$G$9,$H$9)</f>
        <v>51-75</v>
      </c>
      <c r="E68" t="str">
        <f t="shared" si="4"/>
        <v>51-75</v>
      </c>
    </row>
    <row r="69" spans="1:5" x14ac:dyDescent="0.3">
      <c r="A69" s="14" t="s">
        <v>21</v>
      </c>
      <c r="B69" s="15" t="s">
        <v>47</v>
      </c>
      <c r="C69" s="16">
        <v>72</v>
      </c>
      <c r="D69" s="13" t="str" cm="1">
        <f t="array" ref="D69">_xlfn.IFS(C69&lt;$G$4,$H$4,C69&lt;$G$5,$H$5,C69&lt;$G$6,$H$6,C69&lt;$G$7,$H$7,C69&lt;$G$8,$H$8,C69=$G$9,$H$9)</f>
        <v>51-75</v>
      </c>
      <c r="E69" t="str">
        <f t="shared" si="4"/>
        <v>51-75</v>
      </c>
    </row>
    <row r="70" spans="1:5" x14ac:dyDescent="0.3">
      <c r="A70" s="10" t="s">
        <v>56</v>
      </c>
      <c r="B70" s="11" t="s">
        <v>72</v>
      </c>
      <c r="C70" s="12">
        <v>72</v>
      </c>
      <c r="D70" s="13" t="str" cm="1">
        <f t="array" ref="D70">_xlfn.IFS(C70&lt;$G$4,$H$4,C70&lt;$G$5,$H$5,C70&lt;$G$6,$H$6,C70&lt;$G$7,$H$7,C70&lt;$G$8,$H$8,C70=$G$9,$H$9)</f>
        <v>51-75</v>
      </c>
      <c r="E70" t="str">
        <f t="shared" si="4"/>
        <v>51-75</v>
      </c>
    </row>
    <row r="71" spans="1:5" x14ac:dyDescent="0.3">
      <c r="A71" s="14" t="s">
        <v>56</v>
      </c>
      <c r="B71" s="15" t="s">
        <v>78</v>
      </c>
      <c r="C71" s="16">
        <v>72</v>
      </c>
      <c r="D71" s="13" t="str" cm="1">
        <f t="array" ref="D71">_xlfn.IFS(C71&lt;$G$4,$H$4,C71&lt;$G$5,$H$5,C71&lt;$G$6,$H$6,C71&lt;$G$7,$H$7,C71&lt;$G$8,$H$8,C71=$G$9,$H$9)</f>
        <v>51-75</v>
      </c>
      <c r="E71" t="str">
        <f t="shared" si="4"/>
        <v>51-75</v>
      </c>
    </row>
    <row r="72" spans="1:5" x14ac:dyDescent="0.3">
      <c r="A72" s="10" t="s">
        <v>56</v>
      </c>
      <c r="B72" s="11" t="s">
        <v>83</v>
      </c>
      <c r="C72" s="12">
        <v>72</v>
      </c>
      <c r="D72" s="13" t="str" cm="1">
        <f t="array" ref="D72">_xlfn.IFS(C72&lt;$G$4,$H$4,C72&lt;$G$5,$H$5,C72&lt;$G$6,$H$6,C72&lt;$G$7,$H$7,C72&lt;$G$8,$H$8,C72=$G$9,$H$9)</f>
        <v>51-75</v>
      </c>
      <c r="E72" t="str">
        <f t="shared" si="4"/>
        <v>51-75</v>
      </c>
    </row>
    <row r="73" spans="1:5" x14ac:dyDescent="0.3">
      <c r="A73" s="14" t="s">
        <v>88</v>
      </c>
      <c r="B73" s="15" t="s">
        <v>92</v>
      </c>
      <c r="C73" s="16">
        <v>72</v>
      </c>
      <c r="D73" s="13" t="str" cm="1">
        <f t="array" ref="D73">_xlfn.IFS(C73&lt;$G$4,$H$4,C73&lt;$G$5,$H$5,C73&lt;$G$6,$H$6,C73&lt;$G$7,$H$7,C73&lt;$G$8,$H$8,C73=$G$9,$H$9)</f>
        <v>51-75</v>
      </c>
      <c r="E73" t="str">
        <f t="shared" si="4"/>
        <v>51-75</v>
      </c>
    </row>
    <row r="74" spans="1:5" x14ac:dyDescent="0.3">
      <c r="A74" s="10" t="s">
        <v>88</v>
      </c>
      <c r="B74" s="11" t="s">
        <v>98</v>
      </c>
      <c r="C74" s="12">
        <v>72</v>
      </c>
      <c r="D74" s="13" t="str" cm="1">
        <f t="array" ref="D74">_xlfn.IFS(C74&lt;$G$4,$H$4,C74&lt;$G$5,$H$5,C74&lt;$G$6,$H$6,C74&lt;$G$7,$H$7,C74&lt;$G$8,$H$8,C74=$G$9,$H$9)</f>
        <v>51-75</v>
      </c>
      <c r="E74" t="str">
        <f t="shared" si="4"/>
        <v>51-75</v>
      </c>
    </row>
    <row r="75" spans="1:5" x14ac:dyDescent="0.3">
      <c r="A75" s="14" t="s">
        <v>116</v>
      </c>
      <c r="B75" s="15" t="s">
        <v>124</v>
      </c>
      <c r="C75" s="16">
        <v>72</v>
      </c>
      <c r="D75" s="13" t="str" cm="1">
        <f t="array" ref="D75">_xlfn.IFS(C75&lt;$G$4,$H$4,C75&lt;$G$5,$H$5,C75&lt;$G$6,$H$6,C75&lt;$G$7,$H$7,C75&lt;$G$8,$H$8,C75=$G$9,$H$9)</f>
        <v>51-75</v>
      </c>
      <c r="E75" t="str">
        <f t="shared" si="4"/>
        <v>51-75</v>
      </c>
    </row>
    <row r="76" spans="1:5" x14ac:dyDescent="0.3">
      <c r="A76" s="10" t="s">
        <v>88</v>
      </c>
      <c r="B76" s="11" t="s">
        <v>108</v>
      </c>
      <c r="C76" s="12">
        <v>74</v>
      </c>
      <c r="D76" s="13" t="str" cm="1">
        <f t="array" ref="D76">_xlfn.IFS(C76&lt;$G$4,$H$4,C76&lt;$G$5,$H$5,C76&lt;$G$6,$H$6,C76&lt;$G$7,$H$7,C76&lt;$G$8,$H$8,C76=$G$9,$H$9)</f>
        <v>51-75</v>
      </c>
      <c r="E76" t="str">
        <f t="shared" si="4"/>
        <v>51-75</v>
      </c>
    </row>
    <row r="77" spans="1:5" x14ac:dyDescent="0.3">
      <c r="A77" s="14" t="s">
        <v>150</v>
      </c>
      <c r="B77" s="15" t="s">
        <v>156</v>
      </c>
      <c r="C77" s="16">
        <v>74</v>
      </c>
      <c r="D77" s="13" t="str" cm="1">
        <f t="array" ref="D77">_xlfn.IFS(C77&lt;$G$4,$H$4,C77&lt;$G$5,$H$5,C77&lt;$G$6,$H$6,C77&lt;$G$7,$H$7,C77&lt;$G$8,$H$8,C77=$G$9,$H$9)</f>
        <v>51-75</v>
      </c>
      <c r="E77" t="str">
        <f t="shared" si="4"/>
        <v>51-75</v>
      </c>
    </row>
    <row r="78" spans="1:5" x14ac:dyDescent="0.3">
      <c r="A78" s="10" t="s">
        <v>21</v>
      </c>
      <c r="B78" s="11" t="s">
        <v>44</v>
      </c>
      <c r="C78" s="12">
        <v>76</v>
      </c>
      <c r="D78" s="13" t="str" cm="1">
        <f t="array" ref="D78">_xlfn.IFS(C78&lt;$G$4,$H$4,C78&lt;$G$5,$H$5,C78&lt;$G$6,$H$6,C78&lt;$G$7,$H$7,C78&lt;$G$8,$H$8,C78=$G$9,$H$9)</f>
        <v>76-90</v>
      </c>
      <c r="E78" t="str">
        <f t="shared" si="4"/>
        <v>76-90</v>
      </c>
    </row>
    <row r="79" spans="1:5" x14ac:dyDescent="0.3">
      <c r="A79" s="14" t="s">
        <v>56</v>
      </c>
      <c r="B79" s="15" t="s">
        <v>87</v>
      </c>
      <c r="C79" s="16">
        <v>76</v>
      </c>
      <c r="D79" s="13" t="str" cm="1">
        <f t="array" ref="D79">_xlfn.IFS(C79&lt;$G$4,$H$4,C79&lt;$G$5,$H$5,C79&lt;$G$6,$H$6,C79&lt;$G$7,$H$7,C79&lt;$G$8,$H$8,C79=$G$9,$H$9)</f>
        <v>76-90</v>
      </c>
      <c r="E79" t="str">
        <f t="shared" si="4"/>
        <v>76-90</v>
      </c>
    </row>
    <row r="80" spans="1:5" x14ac:dyDescent="0.3">
      <c r="A80" s="10" t="s">
        <v>88</v>
      </c>
      <c r="B80" s="11" t="s">
        <v>89</v>
      </c>
      <c r="C80" s="12">
        <v>76</v>
      </c>
      <c r="D80" s="13" t="str" cm="1">
        <f t="array" ref="D80">_xlfn.IFS(C80&lt;$G$4,$H$4,C80&lt;$G$5,$H$5,C80&lt;$G$6,$H$6,C80&lt;$G$7,$H$7,C80&lt;$G$8,$H$8,C80=$G$9,$H$9)</f>
        <v>76-90</v>
      </c>
      <c r="E80" t="str">
        <f t="shared" si="4"/>
        <v>76-90</v>
      </c>
    </row>
    <row r="81" spans="1:5" x14ac:dyDescent="0.3">
      <c r="A81" s="14" t="s">
        <v>88</v>
      </c>
      <c r="B81" s="15" t="s">
        <v>90</v>
      </c>
      <c r="C81" s="16">
        <v>76</v>
      </c>
      <c r="D81" s="13" t="str" cm="1">
        <f t="array" ref="D81">_xlfn.IFS(C81&lt;$G$4,$H$4,C81&lt;$G$5,$H$5,C81&lt;$G$6,$H$6,C81&lt;$G$7,$H$7,C81&lt;$G$8,$H$8,C81=$G$9,$H$9)</f>
        <v>76-90</v>
      </c>
      <c r="E81" t="str">
        <f t="shared" si="4"/>
        <v>76-90</v>
      </c>
    </row>
    <row r="82" spans="1:5" x14ac:dyDescent="0.3">
      <c r="A82" s="10" t="s">
        <v>88</v>
      </c>
      <c r="B82" s="11" t="s">
        <v>105</v>
      </c>
      <c r="C82" s="12">
        <v>76</v>
      </c>
      <c r="D82" s="13" t="str" cm="1">
        <f t="array" ref="D82">_xlfn.IFS(C82&lt;$G$4,$H$4,C82&lt;$G$5,$H$5,C82&lt;$G$6,$H$6,C82&lt;$G$7,$H$7,C82&lt;$G$8,$H$8,C82=$G$9,$H$9)</f>
        <v>76-90</v>
      </c>
      <c r="E82" t="str">
        <f t="shared" si="4"/>
        <v>76-90</v>
      </c>
    </row>
    <row r="83" spans="1:5" x14ac:dyDescent="0.3">
      <c r="A83" s="14" t="s">
        <v>88</v>
      </c>
      <c r="B83" s="15" t="s">
        <v>110</v>
      </c>
      <c r="C83" s="16">
        <v>76</v>
      </c>
      <c r="D83" s="13" t="str" cm="1">
        <f t="array" ref="D83">_xlfn.IFS(C83&lt;$G$4,$H$4,C83&lt;$G$5,$H$5,C83&lt;$G$6,$H$6,C83&lt;$G$7,$H$7,C83&lt;$G$8,$H$8,C83=$G$9,$H$9)</f>
        <v>76-90</v>
      </c>
      <c r="E83" t="str">
        <f t="shared" si="4"/>
        <v>76-90</v>
      </c>
    </row>
    <row r="84" spans="1:5" x14ac:dyDescent="0.3">
      <c r="A84" s="10" t="s">
        <v>21</v>
      </c>
      <c r="B84" s="11" t="s">
        <v>38</v>
      </c>
      <c r="C84" s="12">
        <v>78</v>
      </c>
      <c r="D84" s="13" t="str" cm="1">
        <f t="array" ref="D84">_xlfn.IFS(C84&lt;$G$4,$H$4,C84&lt;$G$5,$H$5,C84&lt;$G$6,$H$6,C84&lt;$G$7,$H$7,C84&lt;$G$8,$H$8,C84=$G$9,$H$9)</f>
        <v>76-90</v>
      </c>
      <c r="E84" t="str">
        <f t="shared" si="4"/>
        <v>76-90</v>
      </c>
    </row>
    <row r="85" spans="1:5" x14ac:dyDescent="0.3">
      <c r="A85" s="14" t="s">
        <v>21</v>
      </c>
      <c r="B85" s="15" t="s">
        <v>40</v>
      </c>
      <c r="C85" s="16">
        <v>78</v>
      </c>
      <c r="D85" s="13" t="str" cm="1">
        <f t="array" ref="D85">_xlfn.IFS(C85&lt;$G$4,$H$4,C85&lt;$G$5,$H$5,C85&lt;$G$6,$H$6,C85&lt;$G$7,$H$7,C85&lt;$G$8,$H$8,C85=$G$9,$H$9)</f>
        <v>76-90</v>
      </c>
      <c r="E85" t="str">
        <f t="shared" si="4"/>
        <v>76-90</v>
      </c>
    </row>
    <row r="86" spans="1:5" x14ac:dyDescent="0.3">
      <c r="A86" s="10" t="s">
        <v>56</v>
      </c>
      <c r="B86" s="11" t="s">
        <v>82</v>
      </c>
      <c r="C86" s="12">
        <v>78</v>
      </c>
      <c r="D86" s="13" t="str" cm="1">
        <f t="array" ref="D86">_xlfn.IFS(C86&lt;$G$4,$H$4,C86&lt;$G$5,$H$5,C86&lt;$G$6,$H$6,C86&lt;$G$7,$H$7,C86&lt;$G$8,$H$8,C86=$G$9,$H$9)</f>
        <v>76-90</v>
      </c>
      <c r="E86" t="str">
        <f t="shared" si="4"/>
        <v>76-90</v>
      </c>
    </row>
    <row r="87" spans="1:5" x14ac:dyDescent="0.3">
      <c r="A87" s="14" t="s">
        <v>88</v>
      </c>
      <c r="B87" s="15" t="s">
        <v>99</v>
      </c>
      <c r="C87" s="16">
        <v>78</v>
      </c>
      <c r="D87" s="13" t="str" cm="1">
        <f t="array" ref="D87">_xlfn.IFS(C87&lt;$G$4,$H$4,C87&lt;$G$5,$H$5,C87&lt;$G$6,$H$6,C87&lt;$G$7,$H$7,C87&lt;$G$8,$H$8,C87=$G$9,$H$9)</f>
        <v>76-90</v>
      </c>
      <c r="E87" t="str">
        <f t="shared" si="4"/>
        <v>76-90</v>
      </c>
    </row>
    <row r="88" spans="1:5" x14ac:dyDescent="0.3">
      <c r="A88" s="10" t="s">
        <v>88</v>
      </c>
      <c r="B88" s="11" t="s">
        <v>113</v>
      </c>
      <c r="C88" s="12">
        <v>78</v>
      </c>
      <c r="D88" s="13" t="str" cm="1">
        <f t="array" ref="D88">_xlfn.IFS(C88&lt;$G$4,$H$4,C88&lt;$G$5,$H$5,C88&lt;$G$6,$H$6,C88&lt;$G$7,$H$7,C88&lt;$G$8,$H$8,C88=$G$9,$H$9)</f>
        <v>76-90</v>
      </c>
      <c r="E88" t="str">
        <f t="shared" si="4"/>
        <v>76-90</v>
      </c>
    </row>
    <row r="89" spans="1:5" x14ac:dyDescent="0.3">
      <c r="A89" s="14" t="s">
        <v>116</v>
      </c>
      <c r="B89" s="15" t="s">
        <v>128</v>
      </c>
      <c r="C89" s="16">
        <v>78</v>
      </c>
      <c r="D89" s="13" t="str" cm="1">
        <f t="array" ref="D89">_xlfn.IFS(C89&lt;$G$4,$H$4,C89&lt;$G$5,$H$5,C89&lt;$G$6,$H$6,C89&lt;$G$7,$H$7,C89&lt;$G$8,$H$8,C89=$G$9,$H$9)</f>
        <v>76-90</v>
      </c>
      <c r="E89" t="str">
        <f t="shared" si="4"/>
        <v>76-90</v>
      </c>
    </row>
    <row r="90" spans="1:5" x14ac:dyDescent="0.3">
      <c r="A90" s="10" t="s">
        <v>150</v>
      </c>
      <c r="B90" s="11" t="s">
        <v>163</v>
      </c>
      <c r="C90" s="12">
        <v>78</v>
      </c>
      <c r="D90" s="13" t="str" cm="1">
        <f t="array" ref="D90">_xlfn.IFS(C90&lt;$G$4,$H$4,C90&lt;$G$5,$H$5,C90&lt;$G$6,$H$6,C90&lt;$G$7,$H$7,C90&lt;$G$8,$H$8,C90=$G$9,$H$9)</f>
        <v>76-90</v>
      </c>
      <c r="E90" t="str">
        <f t="shared" si="4"/>
        <v>76-90</v>
      </c>
    </row>
    <row r="91" spans="1:5" x14ac:dyDescent="0.3">
      <c r="A91" s="14" t="s">
        <v>150</v>
      </c>
      <c r="B91" s="15" t="s">
        <v>164</v>
      </c>
      <c r="C91" s="16">
        <v>78</v>
      </c>
      <c r="D91" s="13" t="str" cm="1">
        <f t="array" ref="D91">_xlfn.IFS(C91&lt;$G$4,$H$4,C91&lt;$G$5,$H$5,C91&lt;$G$6,$H$6,C91&lt;$G$7,$H$7,C91&lt;$G$8,$H$8,C91=$G$9,$H$9)</f>
        <v>76-90</v>
      </c>
      <c r="E91" t="str">
        <f t="shared" si="4"/>
        <v>76-90</v>
      </c>
    </row>
    <row r="92" spans="1:5" x14ac:dyDescent="0.3">
      <c r="A92" s="10" t="s">
        <v>21</v>
      </c>
      <c r="B92" s="11" t="s">
        <v>22</v>
      </c>
      <c r="C92" s="12">
        <v>80</v>
      </c>
      <c r="D92" s="13" t="str" cm="1">
        <f t="array" ref="D92">_xlfn.IFS(C92&lt;$G$4,$H$4,C92&lt;$G$5,$H$5,C92&lt;$G$6,$H$6,C92&lt;$G$7,$H$7,C92&lt;$G$8,$H$8,C92=$G$9,$H$9)</f>
        <v>76-90</v>
      </c>
      <c r="E92" t="str">
        <f t="shared" si="4"/>
        <v>76-90</v>
      </c>
    </row>
    <row r="93" spans="1:5" x14ac:dyDescent="0.3">
      <c r="A93" s="14" t="s">
        <v>21</v>
      </c>
      <c r="B93" s="15" t="s">
        <v>48</v>
      </c>
      <c r="C93" s="16">
        <v>80</v>
      </c>
      <c r="D93" s="13" t="str" cm="1">
        <f t="array" ref="D93">_xlfn.IFS(C93&lt;$G$4,$H$4,C93&lt;$G$5,$H$5,C93&lt;$G$6,$H$6,C93&lt;$G$7,$H$7,C93&lt;$G$8,$H$8,C93=$G$9,$H$9)</f>
        <v>76-90</v>
      </c>
      <c r="E93" t="str">
        <f t="shared" si="4"/>
        <v>76-90</v>
      </c>
    </row>
    <row r="94" spans="1:5" x14ac:dyDescent="0.3">
      <c r="A94" s="10" t="s">
        <v>21</v>
      </c>
      <c r="B94" s="11" t="s">
        <v>51</v>
      </c>
      <c r="C94" s="12">
        <v>80</v>
      </c>
      <c r="D94" s="13" t="str" cm="1">
        <f t="array" ref="D94">_xlfn.IFS(C94&lt;$G$4,$H$4,C94&lt;$G$5,$H$5,C94&lt;$G$6,$H$6,C94&lt;$G$7,$H$7,C94&lt;$G$8,$H$8,C94=$G$9,$H$9)</f>
        <v>76-90</v>
      </c>
      <c r="E94" t="str">
        <f t="shared" si="4"/>
        <v>76-90</v>
      </c>
    </row>
    <row r="95" spans="1:5" x14ac:dyDescent="0.3">
      <c r="A95" s="14" t="s">
        <v>116</v>
      </c>
      <c r="B95" s="15" t="s">
        <v>129</v>
      </c>
      <c r="C95" s="16">
        <v>80</v>
      </c>
      <c r="D95" s="13" t="str" cm="1">
        <f t="array" ref="D95">_xlfn.IFS(C95&lt;$G$4,$H$4,C95&lt;$G$5,$H$5,C95&lt;$G$6,$H$6,C95&lt;$G$7,$H$7,C95&lt;$G$8,$H$8,C95=$G$9,$H$9)</f>
        <v>76-90</v>
      </c>
      <c r="E95" t="str">
        <f t="shared" si="4"/>
        <v>76-90</v>
      </c>
    </row>
    <row r="96" spans="1:5" x14ac:dyDescent="0.3">
      <c r="A96" s="10" t="s">
        <v>21</v>
      </c>
      <c r="B96" s="11" t="s">
        <v>50</v>
      </c>
      <c r="C96" s="12">
        <v>82</v>
      </c>
      <c r="D96" s="13" t="str" cm="1">
        <f t="array" ref="D96">_xlfn.IFS(C96&lt;$G$4,$H$4,C96&lt;$G$5,$H$5,C96&lt;$G$6,$H$6,C96&lt;$G$7,$H$7,C96&lt;$G$8,$H$8,C96=$G$9,$H$9)</f>
        <v>76-90</v>
      </c>
      <c r="E96" t="str">
        <f t="shared" si="4"/>
        <v>76-90</v>
      </c>
    </row>
    <row r="97" spans="1:5" x14ac:dyDescent="0.3">
      <c r="A97" s="14" t="s">
        <v>21</v>
      </c>
      <c r="B97" s="15" t="s">
        <v>55</v>
      </c>
      <c r="C97" s="16">
        <v>82</v>
      </c>
      <c r="D97" s="13" t="str" cm="1">
        <f t="array" ref="D97">_xlfn.IFS(C97&lt;$G$4,$H$4,C97&lt;$G$5,$H$5,C97&lt;$G$6,$H$6,C97&lt;$G$7,$H$7,C97&lt;$G$8,$H$8,C97=$G$9,$H$9)</f>
        <v>76-90</v>
      </c>
      <c r="E97" t="str">
        <f t="shared" si="4"/>
        <v>76-90</v>
      </c>
    </row>
    <row r="98" spans="1:5" x14ac:dyDescent="0.3">
      <c r="A98" s="10" t="s">
        <v>88</v>
      </c>
      <c r="B98" s="11" t="s">
        <v>103</v>
      </c>
      <c r="C98" s="12">
        <v>82</v>
      </c>
      <c r="D98" s="13" t="str" cm="1">
        <f t="array" ref="D98">_xlfn.IFS(C98&lt;$G$4,$H$4,C98&lt;$G$5,$H$5,C98&lt;$G$6,$H$6,C98&lt;$G$7,$H$7,C98&lt;$G$8,$H$8,C98=$G$9,$H$9)</f>
        <v>76-90</v>
      </c>
      <c r="E98" t="str">
        <f t="shared" si="4"/>
        <v>76-90</v>
      </c>
    </row>
    <row r="99" spans="1:5" x14ac:dyDescent="0.3">
      <c r="A99" s="14" t="s">
        <v>116</v>
      </c>
      <c r="B99" s="15" t="s">
        <v>121</v>
      </c>
      <c r="C99" s="16">
        <v>82</v>
      </c>
      <c r="D99" s="13" t="str" cm="1">
        <f t="array" ref="D99">_xlfn.IFS(C99&lt;$G$4,$H$4,C99&lt;$G$5,$H$5,C99&lt;$G$6,$H$6,C99&lt;$G$7,$H$7,C99&lt;$G$8,$H$8,C99=$G$9,$H$9)</f>
        <v>76-90</v>
      </c>
      <c r="E99" t="str">
        <f t="shared" si="4"/>
        <v>76-90</v>
      </c>
    </row>
    <row r="100" spans="1:5" x14ac:dyDescent="0.3">
      <c r="A100" s="10" t="s">
        <v>116</v>
      </c>
      <c r="B100" s="11" t="s">
        <v>148</v>
      </c>
      <c r="C100" s="12">
        <v>82</v>
      </c>
      <c r="D100" s="13" t="str" cm="1">
        <f t="array" ref="D100">_xlfn.IFS(C100&lt;$G$4,$H$4,C100&lt;$G$5,$H$5,C100&lt;$G$6,$H$6,C100&lt;$G$7,$H$7,C100&lt;$G$8,$H$8,C100=$G$9,$H$9)</f>
        <v>76-90</v>
      </c>
      <c r="E100" t="str">
        <f t="shared" si="4"/>
        <v>76-90</v>
      </c>
    </row>
    <row r="101" spans="1:5" x14ac:dyDescent="0.3">
      <c r="A101" s="14" t="s">
        <v>150</v>
      </c>
      <c r="B101" s="15" t="s">
        <v>155</v>
      </c>
      <c r="C101" s="16">
        <v>82</v>
      </c>
      <c r="D101" s="13" t="str" cm="1">
        <f t="array" ref="D101">_xlfn.IFS(C101&lt;$G$4,$H$4,C101&lt;$G$5,$H$5,C101&lt;$G$6,$H$6,C101&lt;$G$7,$H$7,C101&lt;$G$8,$H$8,C101=$G$9,$H$9)</f>
        <v>76-90</v>
      </c>
      <c r="E101" t="str">
        <f t="shared" si="4"/>
        <v>76-90</v>
      </c>
    </row>
    <row r="102" spans="1:5" x14ac:dyDescent="0.3">
      <c r="A102" s="10" t="s">
        <v>116</v>
      </c>
      <c r="B102" s="11" t="s">
        <v>126</v>
      </c>
      <c r="C102" s="12">
        <v>84</v>
      </c>
      <c r="D102" s="13" t="str" cm="1">
        <f t="array" ref="D102">_xlfn.IFS(C102&lt;$G$4,$H$4,C102&lt;$G$5,$H$5,C102&lt;$G$6,$H$6,C102&lt;$G$7,$H$7,C102&lt;$G$8,$H$8,C102=$G$9,$H$9)</f>
        <v>76-90</v>
      </c>
      <c r="E102" t="str">
        <f t="shared" si="4"/>
        <v>76-90</v>
      </c>
    </row>
    <row r="103" spans="1:5" x14ac:dyDescent="0.3">
      <c r="A103" s="14" t="s">
        <v>21</v>
      </c>
      <c r="B103" s="15" t="s">
        <v>30</v>
      </c>
      <c r="C103" s="16">
        <v>86</v>
      </c>
      <c r="D103" s="13" t="str" cm="1">
        <f t="array" ref="D103">_xlfn.IFS(C103&lt;$G$4,$H$4,C103&lt;$G$5,$H$5,C103&lt;$G$6,$H$6,C103&lt;$G$7,$H$7,C103&lt;$G$8,$H$8,C103=$G$9,$H$9)</f>
        <v>76-90</v>
      </c>
      <c r="E103" t="str">
        <f t="shared" si="4"/>
        <v>76-90</v>
      </c>
    </row>
    <row r="104" spans="1:5" x14ac:dyDescent="0.3">
      <c r="A104" s="10" t="s">
        <v>21</v>
      </c>
      <c r="B104" s="11" t="s">
        <v>49</v>
      </c>
      <c r="C104" s="12">
        <v>86</v>
      </c>
      <c r="D104" s="13" t="str" cm="1">
        <f t="array" ref="D104">_xlfn.IFS(C104&lt;$G$4,$H$4,C104&lt;$G$5,$H$5,C104&lt;$G$6,$H$6,C104&lt;$G$7,$H$7,C104&lt;$G$8,$H$8,C104=$G$9,$H$9)</f>
        <v>76-90</v>
      </c>
      <c r="E104" t="str">
        <f t="shared" si="4"/>
        <v>76-90</v>
      </c>
    </row>
    <row r="105" spans="1:5" x14ac:dyDescent="0.3">
      <c r="A105" s="14" t="s">
        <v>21</v>
      </c>
      <c r="B105" s="15" t="s">
        <v>54</v>
      </c>
      <c r="C105" s="16">
        <v>86</v>
      </c>
      <c r="D105" s="13" t="str" cm="1">
        <f t="array" ref="D105">_xlfn.IFS(C105&lt;$G$4,$H$4,C105&lt;$G$5,$H$5,C105&lt;$G$6,$H$6,C105&lt;$G$7,$H$7,C105&lt;$G$8,$H$8,C105=$G$9,$H$9)</f>
        <v>76-90</v>
      </c>
      <c r="E105" t="str">
        <f t="shared" si="4"/>
        <v>76-90</v>
      </c>
    </row>
    <row r="106" spans="1:5" x14ac:dyDescent="0.3">
      <c r="A106" s="10" t="s">
        <v>56</v>
      </c>
      <c r="B106" s="11" t="s">
        <v>61</v>
      </c>
      <c r="C106" s="12">
        <v>86</v>
      </c>
      <c r="D106" s="13" t="str" cm="1">
        <f t="array" ref="D106">_xlfn.IFS(C106&lt;$G$4,$H$4,C106&lt;$G$5,$H$5,C106&lt;$G$6,$H$6,C106&lt;$G$7,$H$7,C106&lt;$G$8,$H$8,C106=$G$9,$H$9)</f>
        <v>76-90</v>
      </c>
      <c r="E106" t="str">
        <f t="shared" si="4"/>
        <v>76-90</v>
      </c>
    </row>
    <row r="107" spans="1:5" x14ac:dyDescent="0.3">
      <c r="A107" s="14" t="s">
        <v>88</v>
      </c>
      <c r="B107" s="15" t="s">
        <v>106</v>
      </c>
      <c r="C107" s="16">
        <v>86</v>
      </c>
      <c r="D107" s="13" t="str" cm="1">
        <f t="array" ref="D107">_xlfn.IFS(C107&lt;$G$4,$H$4,C107&lt;$G$5,$H$5,C107&lt;$G$6,$H$6,C107&lt;$G$7,$H$7,C107&lt;$G$8,$H$8,C107=$G$9,$H$9)</f>
        <v>76-90</v>
      </c>
      <c r="E107" t="str">
        <f t="shared" si="4"/>
        <v>76-90</v>
      </c>
    </row>
    <row r="108" spans="1:5" x14ac:dyDescent="0.3">
      <c r="A108" s="10" t="s">
        <v>88</v>
      </c>
      <c r="B108" s="11" t="s">
        <v>114</v>
      </c>
      <c r="C108" s="12">
        <v>86</v>
      </c>
      <c r="D108" s="13" t="str" cm="1">
        <f t="array" ref="D108">_xlfn.IFS(C108&lt;$G$4,$H$4,C108&lt;$G$5,$H$5,C108&lt;$G$6,$H$6,C108&lt;$G$7,$H$7,C108&lt;$G$8,$H$8,C108=$G$9,$H$9)</f>
        <v>76-90</v>
      </c>
      <c r="E108" t="str">
        <f t="shared" si="4"/>
        <v>76-90</v>
      </c>
    </row>
    <row r="109" spans="1:5" x14ac:dyDescent="0.3">
      <c r="A109" s="14" t="s">
        <v>116</v>
      </c>
      <c r="B109" s="15" t="s">
        <v>120</v>
      </c>
      <c r="C109" s="16">
        <v>86</v>
      </c>
      <c r="D109" s="13" t="str" cm="1">
        <f t="array" ref="D109">_xlfn.IFS(C109&lt;$G$4,$H$4,C109&lt;$G$5,$H$5,C109&lt;$G$6,$H$6,C109&lt;$G$7,$H$7,C109&lt;$G$8,$H$8,C109=$G$9,$H$9)</f>
        <v>76-90</v>
      </c>
      <c r="E109" t="str">
        <f t="shared" si="4"/>
        <v>76-90</v>
      </c>
    </row>
    <row r="110" spans="1:5" x14ac:dyDescent="0.3">
      <c r="A110" s="10" t="s">
        <v>116</v>
      </c>
      <c r="B110" s="11" t="s">
        <v>125</v>
      </c>
      <c r="C110" s="12">
        <v>86</v>
      </c>
      <c r="D110" s="13" t="str" cm="1">
        <f t="array" ref="D110">_xlfn.IFS(C110&lt;$G$4,$H$4,C110&lt;$G$5,$H$5,C110&lt;$G$6,$H$6,C110&lt;$G$7,$H$7,C110&lt;$G$8,$H$8,C110=$G$9,$H$9)</f>
        <v>76-90</v>
      </c>
      <c r="E110" t="str">
        <f t="shared" si="4"/>
        <v>76-90</v>
      </c>
    </row>
    <row r="111" spans="1:5" x14ac:dyDescent="0.3">
      <c r="A111" s="14" t="s">
        <v>21</v>
      </c>
      <c r="B111" s="15" t="s">
        <v>35</v>
      </c>
      <c r="C111" s="16">
        <v>88</v>
      </c>
      <c r="D111" s="13" t="str" cm="1">
        <f t="array" ref="D111">_xlfn.IFS(C111&lt;$G$4,$H$4,C111&lt;$G$5,$H$5,C111&lt;$G$6,$H$6,C111&lt;$G$7,$H$7,C111&lt;$G$8,$H$8,C111=$G$9,$H$9)</f>
        <v>76-90</v>
      </c>
      <c r="E111" t="str">
        <f t="shared" si="4"/>
        <v>76-90</v>
      </c>
    </row>
    <row r="112" spans="1:5" x14ac:dyDescent="0.3">
      <c r="A112" s="10" t="s">
        <v>56</v>
      </c>
      <c r="B112" s="11" t="s">
        <v>59</v>
      </c>
      <c r="C112" s="12">
        <v>88</v>
      </c>
      <c r="D112" s="13" t="str" cm="1">
        <f t="array" ref="D112">_xlfn.IFS(C112&lt;$G$4,$H$4,C112&lt;$G$5,$H$5,C112&lt;$G$6,$H$6,C112&lt;$G$7,$H$7,C112&lt;$G$8,$H$8,C112=$G$9,$H$9)</f>
        <v>76-90</v>
      </c>
      <c r="E112" t="str">
        <f t="shared" si="4"/>
        <v>76-90</v>
      </c>
    </row>
    <row r="113" spans="1:5" x14ac:dyDescent="0.3">
      <c r="A113" s="14" t="s">
        <v>88</v>
      </c>
      <c r="B113" s="15" t="s">
        <v>96</v>
      </c>
      <c r="C113" s="16">
        <v>88</v>
      </c>
      <c r="D113" s="13" t="str" cm="1">
        <f t="array" ref="D113">_xlfn.IFS(C113&lt;$G$4,$H$4,C113&lt;$G$5,$H$5,C113&lt;$G$6,$H$6,C113&lt;$G$7,$H$7,C113&lt;$G$8,$H$8,C113=$G$9,$H$9)</f>
        <v>76-90</v>
      </c>
      <c r="E113" t="str">
        <f t="shared" si="4"/>
        <v>76-90</v>
      </c>
    </row>
    <row r="114" spans="1:5" x14ac:dyDescent="0.3">
      <c r="A114" s="10" t="s">
        <v>88</v>
      </c>
      <c r="B114" s="11" t="s">
        <v>104</v>
      </c>
      <c r="C114" s="12">
        <v>88</v>
      </c>
      <c r="D114" s="13" t="str" cm="1">
        <f t="array" ref="D114">_xlfn.IFS(C114&lt;$G$4,$H$4,C114&lt;$G$5,$H$5,C114&lt;$G$6,$H$6,C114&lt;$G$7,$H$7,C114&lt;$G$8,$H$8,C114=$G$9,$H$9)</f>
        <v>76-90</v>
      </c>
      <c r="E114" t="str">
        <f t="shared" si="4"/>
        <v>76-90</v>
      </c>
    </row>
    <row r="115" spans="1:5" x14ac:dyDescent="0.3">
      <c r="A115" s="14" t="s">
        <v>88</v>
      </c>
      <c r="B115" s="15" t="s">
        <v>111</v>
      </c>
      <c r="C115" s="16">
        <v>88</v>
      </c>
      <c r="D115" s="13" t="str" cm="1">
        <f t="array" ref="D115">_xlfn.IFS(C115&lt;$G$4,$H$4,C115&lt;$G$5,$H$5,C115&lt;$G$6,$H$6,C115&lt;$G$7,$H$7,C115&lt;$G$8,$H$8,C115=$G$9,$H$9)</f>
        <v>76-90</v>
      </c>
      <c r="E115" t="str">
        <f t="shared" si="4"/>
        <v>76-90</v>
      </c>
    </row>
    <row r="116" spans="1:5" x14ac:dyDescent="0.3">
      <c r="A116" s="10" t="s">
        <v>116</v>
      </c>
      <c r="B116" s="11" t="s">
        <v>134</v>
      </c>
      <c r="C116" s="12">
        <v>88</v>
      </c>
      <c r="D116" s="13" t="str" cm="1">
        <f t="array" ref="D116">_xlfn.IFS(C116&lt;$G$4,$H$4,C116&lt;$G$5,$H$5,C116&lt;$G$6,$H$6,C116&lt;$G$7,$H$7,C116&lt;$G$8,$H$8,C116=$G$9,$H$9)</f>
        <v>76-90</v>
      </c>
      <c r="E116" t="str">
        <f t="shared" si="4"/>
        <v>76-90</v>
      </c>
    </row>
    <row r="117" spans="1:5" x14ac:dyDescent="0.3">
      <c r="A117" s="14" t="s">
        <v>116</v>
      </c>
      <c r="B117" s="15" t="s">
        <v>117</v>
      </c>
      <c r="C117" s="16">
        <v>90</v>
      </c>
      <c r="D117" s="13" t="str" cm="1">
        <f t="array" ref="D117">_xlfn.IFS(C117&lt;$G$4,$H$4,C117&lt;$G$5,$H$5,C117&lt;$G$6,$H$6,C117&lt;$G$7,$H$7,C117&lt;$G$8,$H$8,C117=$G$9,$H$9)</f>
        <v>76-90</v>
      </c>
      <c r="E117" t="str">
        <f t="shared" si="4"/>
        <v>76-90</v>
      </c>
    </row>
    <row r="118" spans="1:5" x14ac:dyDescent="0.3">
      <c r="A118" s="10" t="s">
        <v>116</v>
      </c>
      <c r="B118" s="11" t="s">
        <v>118</v>
      </c>
      <c r="C118" s="12">
        <v>90</v>
      </c>
      <c r="D118" s="13" t="str" cm="1">
        <f t="array" ref="D118">_xlfn.IFS(C118&lt;$G$4,$H$4,C118&lt;$G$5,$H$5,C118&lt;$G$6,$H$6,C118&lt;$G$7,$H$7,C118&lt;$G$8,$H$8,C118=$G$9,$H$9)</f>
        <v>76-90</v>
      </c>
      <c r="E118" t="str">
        <f t="shared" si="4"/>
        <v>76-90</v>
      </c>
    </row>
    <row r="119" spans="1:5" x14ac:dyDescent="0.3">
      <c r="A119" s="14" t="s">
        <v>116</v>
      </c>
      <c r="B119" s="15" t="s">
        <v>144</v>
      </c>
      <c r="C119" s="16">
        <v>90</v>
      </c>
      <c r="D119" s="13" t="str" cm="1">
        <f t="array" ref="D119">_xlfn.IFS(C119&lt;$G$4,$H$4,C119&lt;$G$5,$H$5,C119&lt;$G$6,$H$6,C119&lt;$G$7,$H$7,C119&lt;$G$8,$H$8,C119=$G$9,$H$9)</f>
        <v>76-90</v>
      </c>
      <c r="E119" t="str">
        <f t="shared" si="4"/>
        <v>76-90</v>
      </c>
    </row>
    <row r="120" spans="1:5" x14ac:dyDescent="0.3">
      <c r="A120" s="10" t="s">
        <v>21</v>
      </c>
      <c r="B120" s="11" t="s">
        <v>34</v>
      </c>
      <c r="C120" s="12">
        <v>92</v>
      </c>
      <c r="D120" s="13" t="str" cm="1">
        <f t="array" ref="D120">_xlfn.IFS(C120&lt;$G$4,$H$4,C120&lt;$G$5,$H$5,C120&lt;$G$6,$H$6,C120&lt;$G$7,$H$7,C120&lt;$G$8,$H$8,C120=$G$9,$H$9)</f>
        <v>91-99</v>
      </c>
      <c r="E120" t="str">
        <f t="shared" si="4"/>
        <v>91-99</v>
      </c>
    </row>
    <row r="121" spans="1:5" x14ac:dyDescent="0.3">
      <c r="A121" s="14" t="s">
        <v>21</v>
      </c>
      <c r="B121" s="15" t="s">
        <v>36</v>
      </c>
      <c r="C121" s="16">
        <v>92</v>
      </c>
      <c r="D121" s="13" t="str" cm="1">
        <f t="array" ref="D121">_xlfn.IFS(C121&lt;$G$4,$H$4,C121&lt;$G$5,$H$5,C121&lt;$G$6,$H$6,C121&lt;$G$7,$H$7,C121&lt;$G$8,$H$8,C121=$G$9,$H$9)</f>
        <v>91-99</v>
      </c>
      <c r="E121" t="str">
        <f t="shared" si="4"/>
        <v>91-99</v>
      </c>
    </row>
    <row r="122" spans="1:5" x14ac:dyDescent="0.3">
      <c r="A122" s="10" t="s">
        <v>21</v>
      </c>
      <c r="B122" s="11" t="s">
        <v>39</v>
      </c>
      <c r="C122" s="12">
        <v>92</v>
      </c>
      <c r="D122" s="13" t="str" cm="1">
        <f t="array" ref="D122">_xlfn.IFS(C122&lt;$G$4,$H$4,C122&lt;$G$5,$H$5,C122&lt;$G$6,$H$6,C122&lt;$G$7,$H$7,C122&lt;$G$8,$H$8,C122=$G$9,$H$9)</f>
        <v>91-99</v>
      </c>
      <c r="E122" t="str">
        <f t="shared" si="4"/>
        <v>91-99</v>
      </c>
    </row>
    <row r="123" spans="1:5" x14ac:dyDescent="0.3">
      <c r="A123" s="14" t="s">
        <v>21</v>
      </c>
      <c r="B123" s="15" t="s">
        <v>52</v>
      </c>
      <c r="C123" s="16">
        <v>92</v>
      </c>
      <c r="D123" s="13" t="str" cm="1">
        <f t="array" ref="D123">_xlfn.IFS(C123&lt;$G$4,$H$4,C123&lt;$G$5,$H$5,C123&lt;$G$6,$H$6,C123&lt;$G$7,$H$7,C123&lt;$G$8,$H$8,C123=$G$9,$H$9)</f>
        <v>91-99</v>
      </c>
      <c r="E123" t="str">
        <f t="shared" si="4"/>
        <v>91-99</v>
      </c>
    </row>
    <row r="124" spans="1:5" x14ac:dyDescent="0.3">
      <c r="A124" s="10" t="s">
        <v>116</v>
      </c>
      <c r="B124" s="11" t="s">
        <v>132</v>
      </c>
      <c r="C124" s="12">
        <v>92</v>
      </c>
      <c r="D124" s="13" t="str" cm="1">
        <f t="array" ref="D124">_xlfn.IFS(C124&lt;$G$4,$H$4,C124&lt;$G$5,$H$5,C124&lt;$G$6,$H$6,C124&lt;$G$7,$H$7,C124&lt;$G$8,$H$8,C124=$G$9,$H$9)</f>
        <v>91-99</v>
      </c>
      <c r="E124" t="str">
        <f t="shared" si="4"/>
        <v>91-99</v>
      </c>
    </row>
    <row r="125" spans="1:5" x14ac:dyDescent="0.3">
      <c r="A125" s="14" t="s">
        <v>116</v>
      </c>
      <c r="B125" s="15" t="s">
        <v>136</v>
      </c>
      <c r="C125" s="16">
        <v>92</v>
      </c>
      <c r="D125" s="13" t="str" cm="1">
        <f t="array" ref="D125">_xlfn.IFS(C125&lt;$G$4,$H$4,C125&lt;$G$5,$H$5,C125&lt;$G$6,$H$6,C125&lt;$G$7,$H$7,C125&lt;$G$8,$H$8,C125=$G$9,$H$9)</f>
        <v>91-99</v>
      </c>
      <c r="E125" t="str">
        <f t="shared" si="4"/>
        <v>91-99</v>
      </c>
    </row>
    <row r="126" spans="1:5" x14ac:dyDescent="0.3">
      <c r="A126" s="10" t="s">
        <v>116</v>
      </c>
      <c r="B126" s="11" t="s">
        <v>145</v>
      </c>
      <c r="C126" s="12">
        <v>92</v>
      </c>
      <c r="D126" s="13" t="str" cm="1">
        <f t="array" ref="D126">_xlfn.IFS(C126&lt;$G$4,$H$4,C126&lt;$G$5,$H$5,C126&lt;$G$6,$H$6,C126&lt;$G$7,$H$7,C126&lt;$G$8,$H$8,C126=$G$9,$H$9)</f>
        <v>91-99</v>
      </c>
      <c r="E126" t="str">
        <f t="shared" si="4"/>
        <v>91-99</v>
      </c>
    </row>
    <row r="127" spans="1:5" x14ac:dyDescent="0.3">
      <c r="A127" s="14" t="s">
        <v>21</v>
      </c>
      <c r="B127" s="15" t="s">
        <v>28</v>
      </c>
      <c r="C127" s="16">
        <v>94</v>
      </c>
      <c r="D127" s="13" t="str" cm="1">
        <f t="array" ref="D127">_xlfn.IFS(C127&lt;$G$4,$H$4,C127&lt;$G$5,$H$5,C127&lt;$G$6,$H$6,C127&lt;$G$7,$H$7,C127&lt;$G$8,$H$8,C127=$G$9,$H$9)</f>
        <v>91-99</v>
      </c>
      <c r="E127" t="str">
        <f t="shared" si="4"/>
        <v>91-99</v>
      </c>
    </row>
    <row r="128" spans="1:5" x14ac:dyDescent="0.3">
      <c r="A128" s="10" t="s">
        <v>21</v>
      </c>
      <c r="B128" s="11" t="s">
        <v>53</v>
      </c>
      <c r="C128" s="12">
        <v>94</v>
      </c>
      <c r="D128" s="13" t="str" cm="1">
        <f t="array" ref="D128">_xlfn.IFS(C128&lt;$G$4,$H$4,C128&lt;$G$5,$H$5,C128&lt;$G$6,$H$6,C128&lt;$G$7,$H$7,C128&lt;$G$8,$H$8,C128=$G$9,$H$9)</f>
        <v>91-99</v>
      </c>
      <c r="E128" t="str">
        <f t="shared" si="4"/>
        <v>91-99</v>
      </c>
    </row>
    <row r="129" spans="1:5" x14ac:dyDescent="0.3">
      <c r="A129" s="14" t="s">
        <v>88</v>
      </c>
      <c r="B129" s="15" t="s">
        <v>93</v>
      </c>
      <c r="C129" s="16">
        <v>94</v>
      </c>
      <c r="D129" s="13" t="str" cm="1">
        <f t="array" ref="D129">_xlfn.IFS(C129&lt;$G$4,$H$4,C129&lt;$G$5,$H$5,C129&lt;$G$6,$H$6,C129&lt;$G$7,$H$7,C129&lt;$G$8,$H$8,C129=$G$9,$H$9)</f>
        <v>91-99</v>
      </c>
      <c r="E129" t="str">
        <f t="shared" si="4"/>
        <v>91-99</v>
      </c>
    </row>
    <row r="130" spans="1:5" x14ac:dyDescent="0.3">
      <c r="A130" s="10" t="s">
        <v>116</v>
      </c>
      <c r="B130" s="11" t="s">
        <v>123</v>
      </c>
      <c r="C130" s="12">
        <v>94</v>
      </c>
      <c r="D130" s="13" t="str" cm="1">
        <f t="array" ref="D130">_xlfn.IFS(C130&lt;$G$4,$H$4,C130&lt;$G$5,$H$5,C130&lt;$G$6,$H$6,C130&lt;$G$7,$H$7,C130&lt;$G$8,$H$8,C130=$G$9,$H$9)</f>
        <v>91-99</v>
      </c>
      <c r="E130" t="str">
        <f t="shared" si="4"/>
        <v>91-99</v>
      </c>
    </row>
    <row r="131" spans="1:5" x14ac:dyDescent="0.3">
      <c r="A131" s="14" t="s">
        <v>116</v>
      </c>
      <c r="B131" s="15" t="s">
        <v>127</v>
      </c>
      <c r="C131" s="16">
        <v>94</v>
      </c>
      <c r="D131" s="13" t="str" cm="1">
        <f t="array" ref="D131">_xlfn.IFS(C131&lt;$G$4,$H$4,C131&lt;$G$5,$H$5,C131&lt;$G$6,$H$6,C131&lt;$G$7,$H$7,C131&lt;$G$8,$H$8,C131=$G$9,$H$9)</f>
        <v>91-99</v>
      </c>
      <c r="E131" t="str">
        <f t="shared" ref="E131:E153" si="5">VLOOKUP(C131,$G$3:$I$8,3,TRUE)</f>
        <v>91-99</v>
      </c>
    </row>
    <row r="132" spans="1:5" x14ac:dyDescent="0.3">
      <c r="A132" s="10" t="s">
        <v>116</v>
      </c>
      <c r="B132" s="11" t="s">
        <v>133</v>
      </c>
      <c r="C132" s="12">
        <v>94</v>
      </c>
      <c r="D132" s="13" t="str" cm="1">
        <f t="array" ref="D132">_xlfn.IFS(C132&lt;$G$4,$H$4,C132&lt;$G$5,$H$5,C132&lt;$G$6,$H$6,C132&lt;$G$7,$H$7,C132&lt;$G$8,$H$8,C132=$G$9,$H$9)</f>
        <v>91-99</v>
      </c>
      <c r="E132" t="str">
        <f t="shared" si="5"/>
        <v>91-99</v>
      </c>
    </row>
    <row r="133" spans="1:5" x14ac:dyDescent="0.3">
      <c r="A133" s="14" t="s">
        <v>116</v>
      </c>
      <c r="B133" s="15" t="s">
        <v>139</v>
      </c>
      <c r="C133" s="16">
        <v>94</v>
      </c>
      <c r="D133" s="13" t="str" cm="1">
        <f t="array" ref="D133">_xlfn.IFS(C133&lt;$G$4,$H$4,C133&lt;$G$5,$H$5,C133&lt;$G$6,$H$6,C133&lt;$G$7,$H$7,C133&lt;$G$8,$H$8,C133=$G$9,$H$9)</f>
        <v>91-99</v>
      </c>
      <c r="E133" t="str">
        <f t="shared" si="5"/>
        <v>91-99</v>
      </c>
    </row>
    <row r="134" spans="1:5" x14ac:dyDescent="0.3">
      <c r="A134" s="10" t="s">
        <v>116</v>
      </c>
      <c r="B134" s="11" t="s">
        <v>140</v>
      </c>
      <c r="C134" s="12">
        <v>94</v>
      </c>
      <c r="D134" s="13" t="str" cm="1">
        <f t="array" ref="D134">_xlfn.IFS(C134&lt;$G$4,$H$4,C134&lt;$G$5,$H$5,C134&lt;$G$6,$H$6,C134&lt;$G$7,$H$7,C134&lt;$G$8,$H$8,C134=$G$9,$H$9)</f>
        <v>91-99</v>
      </c>
      <c r="E134" t="str">
        <f t="shared" si="5"/>
        <v>91-99</v>
      </c>
    </row>
    <row r="135" spans="1:5" x14ac:dyDescent="0.3">
      <c r="A135" s="14" t="s">
        <v>116</v>
      </c>
      <c r="B135" s="15" t="s">
        <v>142</v>
      </c>
      <c r="C135" s="16">
        <v>94</v>
      </c>
      <c r="D135" s="13" t="str" cm="1">
        <f t="array" ref="D135">_xlfn.IFS(C135&lt;$G$4,$H$4,C135&lt;$G$5,$H$5,C135&lt;$G$6,$H$6,C135&lt;$G$7,$H$7,C135&lt;$G$8,$H$8,C135=$G$9,$H$9)</f>
        <v>91-99</v>
      </c>
      <c r="E135" t="str">
        <f t="shared" si="5"/>
        <v>91-99</v>
      </c>
    </row>
    <row r="136" spans="1:5" x14ac:dyDescent="0.3">
      <c r="A136" s="10" t="s">
        <v>116</v>
      </c>
      <c r="B136" s="11" t="s">
        <v>147</v>
      </c>
      <c r="C136" s="12">
        <v>94</v>
      </c>
      <c r="D136" s="13" t="str" cm="1">
        <f t="array" ref="D136">_xlfn.IFS(C136&lt;$G$4,$H$4,C136&lt;$G$5,$H$5,C136&lt;$G$6,$H$6,C136&lt;$G$7,$H$7,C136&lt;$G$8,$H$8,C136=$G$9,$H$9)</f>
        <v>91-99</v>
      </c>
      <c r="E136" t="str">
        <f t="shared" si="5"/>
        <v>91-99</v>
      </c>
    </row>
    <row r="137" spans="1:5" x14ac:dyDescent="0.3">
      <c r="A137" s="14" t="s">
        <v>21</v>
      </c>
      <c r="B137" s="15" t="s">
        <v>29</v>
      </c>
      <c r="C137" s="16">
        <v>96</v>
      </c>
      <c r="D137" s="13" t="str" cm="1">
        <f t="array" ref="D137">_xlfn.IFS(C137&lt;$G$4,$H$4,C137&lt;$G$5,$H$5,C137&lt;$G$6,$H$6,C137&lt;$G$7,$H$7,C137&lt;$G$8,$H$8,C137=$G$9,$H$9)</f>
        <v>91-99</v>
      </c>
      <c r="E137" t="str">
        <f t="shared" si="5"/>
        <v>91-99</v>
      </c>
    </row>
    <row r="138" spans="1:5" x14ac:dyDescent="0.3">
      <c r="A138" s="10" t="s">
        <v>88</v>
      </c>
      <c r="B138" s="11" t="s">
        <v>109</v>
      </c>
      <c r="C138" s="12">
        <v>96</v>
      </c>
      <c r="D138" s="13" t="str" cm="1">
        <f t="array" ref="D138">_xlfn.IFS(C138&lt;$G$4,$H$4,C138&lt;$G$5,$H$5,C138&lt;$G$6,$H$6,C138&lt;$G$7,$H$7,C138&lt;$G$8,$H$8,C138=$G$9,$H$9)</f>
        <v>91-99</v>
      </c>
      <c r="E138" t="str">
        <f t="shared" si="5"/>
        <v>91-99</v>
      </c>
    </row>
    <row r="139" spans="1:5" x14ac:dyDescent="0.3">
      <c r="A139" s="14" t="s">
        <v>116</v>
      </c>
      <c r="B139" s="15" t="s">
        <v>138</v>
      </c>
      <c r="C139" s="16">
        <v>96</v>
      </c>
      <c r="D139" s="13" t="str" cm="1">
        <f t="array" ref="D139">_xlfn.IFS(C139&lt;$G$4,$H$4,C139&lt;$G$5,$H$5,C139&lt;$G$6,$H$6,C139&lt;$G$7,$H$7,C139&lt;$G$8,$H$8,C139=$G$9,$H$9)</f>
        <v>91-99</v>
      </c>
      <c r="E139" t="str">
        <f t="shared" si="5"/>
        <v>91-99</v>
      </c>
    </row>
    <row r="140" spans="1:5" x14ac:dyDescent="0.3">
      <c r="A140" s="10" t="s">
        <v>116</v>
      </c>
      <c r="B140" s="11" t="s">
        <v>146</v>
      </c>
      <c r="C140" s="12">
        <v>96</v>
      </c>
      <c r="D140" s="13" t="str" cm="1">
        <f t="array" ref="D140">_xlfn.IFS(C140&lt;$G$4,$H$4,C140&lt;$G$5,$H$5,C140&lt;$G$6,$H$6,C140&lt;$G$7,$H$7,C140&lt;$G$8,$H$8,C140=$G$9,$H$9)</f>
        <v>91-99</v>
      </c>
      <c r="E140" t="str">
        <f t="shared" si="5"/>
        <v>91-99</v>
      </c>
    </row>
    <row r="141" spans="1:5" x14ac:dyDescent="0.3">
      <c r="A141" s="14" t="s">
        <v>150</v>
      </c>
      <c r="B141" s="15" t="s">
        <v>173</v>
      </c>
      <c r="C141" s="16">
        <v>96</v>
      </c>
      <c r="D141" s="13" t="str" cm="1">
        <f t="array" ref="D141">_xlfn.IFS(C141&lt;$G$4,$H$4,C141&lt;$G$5,$H$5,C141&lt;$G$6,$H$6,C141&lt;$G$7,$H$7,C141&lt;$G$8,$H$8,C141=$G$9,$H$9)</f>
        <v>91-99</v>
      </c>
      <c r="E141" t="str">
        <f t="shared" si="5"/>
        <v>91-99</v>
      </c>
    </row>
    <row r="142" spans="1:5" x14ac:dyDescent="0.3">
      <c r="A142" s="10" t="s">
        <v>21</v>
      </c>
      <c r="B142" s="11" t="s">
        <v>33</v>
      </c>
      <c r="C142" s="12">
        <v>98</v>
      </c>
      <c r="D142" s="13" t="str" cm="1">
        <f t="array" ref="D142">_xlfn.IFS(C142&lt;$G$4,$H$4,C142&lt;$G$5,$H$5,C142&lt;$G$6,$H$6,C142&lt;$G$7,$H$7,C142&lt;$G$8,$H$8,C142=$G$9,$H$9)</f>
        <v>91-99</v>
      </c>
      <c r="E142" t="str">
        <f t="shared" si="5"/>
        <v>91-99</v>
      </c>
    </row>
    <row r="143" spans="1:5" x14ac:dyDescent="0.3">
      <c r="A143" s="14" t="s">
        <v>116</v>
      </c>
      <c r="B143" s="15" t="s">
        <v>122</v>
      </c>
      <c r="C143" s="16">
        <v>98</v>
      </c>
      <c r="D143" s="13" t="str" cm="1">
        <f t="array" ref="D143">_xlfn.IFS(C143&lt;$G$4,$H$4,C143&lt;$G$5,$H$5,C143&lt;$G$6,$H$6,C143&lt;$G$7,$H$7,C143&lt;$G$8,$H$8,C143=$G$9,$H$9)</f>
        <v>91-99</v>
      </c>
      <c r="E143" t="str">
        <f t="shared" si="5"/>
        <v>91-99</v>
      </c>
    </row>
    <row r="144" spans="1:5" x14ac:dyDescent="0.3">
      <c r="A144" s="10" t="s">
        <v>116</v>
      </c>
      <c r="B144" s="11" t="s">
        <v>137</v>
      </c>
      <c r="C144" s="12">
        <v>98</v>
      </c>
      <c r="D144" s="13" t="str" cm="1">
        <f t="array" ref="D144">_xlfn.IFS(C144&lt;$G$4,$H$4,C144&lt;$G$5,$H$5,C144&lt;$G$6,$H$6,C144&lt;$G$7,$H$7,C144&lt;$G$8,$H$8,C144=$G$9,$H$9)</f>
        <v>91-99</v>
      </c>
      <c r="E144" t="str">
        <f t="shared" si="5"/>
        <v>91-99</v>
      </c>
    </row>
    <row r="145" spans="1:5" x14ac:dyDescent="0.3">
      <c r="A145" s="14" t="s">
        <v>116</v>
      </c>
      <c r="B145" s="15" t="s">
        <v>143</v>
      </c>
      <c r="C145" s="16">
        <v>98</v>
      </c>
      <c r="D145" s="13" t="str" cm="1">
        <f t="array" ref="D145">_xlfn.IFS(C145&lt;$G$4,$H$4,C145&lt;$G$5,$H$5,C145&lt;$G$6,$H$6,C145&lt;$G$7,$H$7,C145&lt;$G$8,$H$8,C145=$G$9,$H$9)</f>
        <v>91-99</v>
      </c>
      <c r="E145" t="str">
        <f t="shared" si="5"/>
        <v>91-99</v>
      </c>
    </row>
    <row r="146" spans="1:5" x14ac:dyDescent="0.3">
      <c r="A146" s="10" t="s">
        <v>116</v>
      </c>
      <c r="B146" s="11" t="s">
        <v>149</v>
      </c>
      <c r="C146" s="12">
        <v>98</v>
      </c>
      <c r="D146" s="13" t="str" cm="1">
        <f t="array" ref="D146">_xlfn.IFS(C146&lt;$G$4,$H$4,C146&lt;$G$5,$H$5,C146&lt;$G$6,$H$6,C146&lt;$G$7,$H$7,C146&lt;$G$8,$H$8,C146=$G$9,$H$9)</f>
        <v>91-99</v>
      </c>
      <c r="E146" t="str">
        <f t="shared" si="5"/>
        <v>91-99</v>
      </c>
    </row>
    <row r="147" spans="1:5" x14ac:dyDescent="0.3">
      <c r="A147" s="14" t="s">
        <v>88</v>
      </c>
      <c r="B147" s="15" t="s">
        <v>107</v>
      </c>
      <c r="C147" s="16">
        <v>100</v>
      </c>
      <c r="D147" s="13" cm="1">
        <f t="array" ref="D147">_xlfn.IFS(C147&lt;$G$4,$H$4,C147&lt;$G$5,$H$5,C147&lt;$G$6,$H$6,C147&lt;$G$7,$H$7,C147&lt;$G$8,$H$8,C147=$G$9,$H$9)</f>
        <v>100</v>
      </c>
      <c r="E147">
        <f t="shared" si="5"/>
        <v>100</v>
      </c>
    </row>
    <row r="148" spans="1:5" x14ac:dyDescent="0.3">
      <c r="A148" s="10" t="s">
        <v>88</v>
      </c>
      <c r="B148" s="11" t="s">
        <v>112</v>
      </c>
      <c r="C148" s="12">
        <v>100</v>
      </c>
      <c r="D148" s="13" cm="1">
        <f t="array" ref="D148">_xlfn.IFS(C148&lt;$G$4,$H$4,C148&lt;$G$5,$H$5,C148&lt;$G$6,$H$6,C148&lt;$G$7,$H$7,C148&lt;$G$8,$H$8,C148=$G$9,$H$9)</f>
        <v>100</v>
      </c>
      <c r="E148">
        <f t="shared" si="5"/>
        <v>100</v>
      </c>
    </row>
    <row r="149" spans="1:5" x14ac:dyDescent="0.3">
      <c r="A149" s="14" t="s">
        <v>116</v>
      </c>
      <c r="B149" s="15" t="s">
        <v>119</v>
      </c>
      <c r="C149" s="16">
        <v>100</v>
      </c>
      <c r="D149" s="13" cm="1">
        <f t="array" ref="D149">_xlfn.IFS(C149&lt;$G$4,$H$4,C149&lt;$G$5,$H$5,C149&lt;$G$6,$H$6,C149&lt;$G$7,$H$7,C149&lt;$G$8,$H$8,C149=$G$9,$H$9)</f>
        <v>100</v>
      </c>
      <c r="E149">
        <f t="shared" si="5"/>
        <v>100</v>
      </c>
    </row>
    <row r="150" spans="1:5" x14ac:dyDescent="0.3">
      <c r="A150" s="10" t="s">
        <v>116</v>
      </c>
      <c r="B150" s="11" t="s">
        <v>131</v>
      </c>
      <c r="C150" s="12">
        <v>100</v>
      </c>
      <c r="D150" s="13" cm="1">
        <f t="array" ref="D150">_xlfn.IFS(C150&lt;$G$4,$H$4,C150&lt;$G$5,$H$5,C150&lt;$G$6,$H$6,C150&lt;$G$7,$H$7,C150&lt;$G$8,$H$8,C150=$G$9,$H$9)</f>
        <v>100</v>
      </c>
      <c r="E150">
        <f t="shared" si="5"/>
        <v>100</v>
      </c>
    </row>
    <row r="151" spans="1:5" x14ac:dyDescent="0.3">
      <c r="A151" s="14" t="s">
        <v>116</v>
      </c>
      <c r="B151" s="15" t="s">
        <v>135</v>
      </c>
      <c r="C151" s="16">
        <v>100</v>
      </c>
      <c r="D151" s="13" cm="1">
        <f t="array" ref="D151">_xlfn.IFS(C151&lt;$G$4,$H$4,C151&lt;$G$5,$H$5,C151&lt;$G$6,$H$6,C151&lt;$G$7,$H$7,C151&lt;$G$8,$H$8,C151=$G$9,$H$9)</f>
        <v>100</v>
      </c>
      <c r="E151">
        <f t="shared" si="5"/>
        <v>100</v>
      </c>
    </row>
    <row r="152" spans="1:5" x14ac:dyDescent="0.3">
      <c r="A152" s="10" t="s">
        <v>116</v>
      </c>
      <c r="B152" s="11" t="s">
        <v>141</v>
      </c>
      <c r="C152" s="12">
        <v>100</v>
      </c>
      <c r="D152" s="13" cm="1">
        <f t="array" ref="D152">_xlfn.IFS(C152&lt;$G$4,$H$4,C152&lt;$G$5,$H$5,C152&lt;$G$6,$H$6,C152&lt;$G$7,$H$7,C152&lt;$G$8,$H$8,C152=$G$9,$H$9)</f>
        <v>100</v>
      </c>
      <c r="E152">
        <f t="shared" si="5"/>
        <v>100</v>
      </c>
    </row>
    <row r="153" spans="1:5" x14ac:dyDescent="0.3">
      <c r="A153" s="17" t="s">
        <v>150</v>
      </c>
      <c r="B153" s="18" t="s">
        <v>161</v>
      </c>
      <c r="C153" s="2">
        <v>100</v>
      </c>
      <c r="D153" s="13" cm="1">
        <f t="array" ref="D153">_xlfn.IFS(C153&lt;$G$4,$H$4,C153&lt;$G$5,$H$5,C153&lt;$G$6,$H$6,C153&lt;$G$7,$H$7,C153&lt;$G$8,$H$8,C153=$G$9,$H$9)</f>
        <v>100</v>
      </c>
      <c r="E153">
        <f t="shared" si="5"/>
        <v>100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BDBD-54F2-4FD0-A7AB-6C114424F785}">
  <dimension ref="A1:J153"/>
  <sheetViews>
    <sheetView zoomScale="115" zoomScaleNormal="115" workbookViewId="0">
      <selection activeCell="E3" sqref="E3"/>
    </sheetView>
  </sheetViews>
  <sheetFormatPr defaultRowHeight="14.4" x14ac:dyDescent="0.3"/>
  <cols>
    <col min="1" max="1" width="8.5546875" bestFit="1" customWidth="1"/>
    <col min="2" max="2" width="12" bestFit="1" customWidth="1"/>
    <col min="3" max="3" width="15.44140625" bestFit="1" customWidth="1"/>
    <col min="4" max="4" width="10.109375" bestFit="1" customWidth="1"/>
    <col min="8" max="8" width="16.5546875" bestFit="1" customWidth="1"/>
    <col min="9" max="9" width="21.44140625" bestFit="1" customWidth="1"/>
    <col min="10" max="10" width="16" bestFit="1" customWidth="1"/>
  </cols>
  <sheetData>
    <row r="1" spans="1:10" x14ac:dyDescent="0.3">
      <c r="A1" t="s">
        <v>0</v>
      </c>
      <c r="B1" t="s">
        <v>1</v>
      </c>
      <c r="C1" t="s">
        <v>16</v>
      </c>
      <c r="D1" t="s">
        <v>18</v>
      </c>
      <c r="E1" t="s">
        <v>197</v>
      </c>
    </row>
    <row r="2" spans="1:10" x14ac:dyDescent="0.3">
      <c r="A2" s="1" t="s">
        <v>21</v>
      </c>
      <c r="B2" s="1" t="s">
        <v>22</v>
      </c>
      <c r="C2">
        <v>80</v>
      </c>
      <c r="D2">
        <v>67</v>
      </c>
      <c r="E2" t="str">
        <f>IF(MOD(VALUE(MID(matura7[[#This Row],[PESEL]],10,1)),2)=0,"K","M")</f>
        <v>K</v>
      </c>
    </row>
    <row r="3" spans="1:10" x14ac:dyDescent="0.3">
      <c r="A3" s="1" t="s">
        <v>21</v>
      </c>
      <c r="B3" s="1" t="s">
        <v>23</v>
      </c>
      <c r="C3">
        <v>56</v>
      </c>
      <c r="D3">
        <v>40</v>
      </c>
      <c r="E3" t="str">
        <f>IF(MOD(VALUE(MID(matura7[[#This Row],[PESEL]],10,1)),2)=0,"K","M")</f>
        <v>K</v>
      </c>
      <c r="H3" s="5" t="s">
        <v>179</v>
      </c>
      <c r="I3" t="s">
        <v>201</v>
      </c>
      <c r="J3" t="s">
        <v>202</v>
      </c>
    </row>
    <row r="4" spans="1:10" x14ac:dyDescent="0.3">
      <c r="A4" s="1" t="s">
        <v>21</v>
      </c>
      <c r="B4" s="1" t="s">
        <v>24</v>
      </c>
      <c r="C4">
        <v>60</v>
      </c>
      <c r="D4">
        <v>61</v>
      </c>
      <c r="E4" t="str">
        <f>IF(MOD(VALUE(MID(matura7[[#This Row],[PESEL]],10,1)),2)=0,"K","M")</f>
        <v>K</v>
      </c>
      <c r="H4" s="6" t="s">
        <v>198</v>
      </c>
      <c r="I4" s="7">
        <v>71.48571428571428</v>
      </c>
      <c r="J4" s="7">
        <v>62.409523809523812</v>
      </c>
    </row>
    <row r="5" spans="1:10" x14ac:dyDescent="0.3">
      <c r="A5" s="1" t="s">
        <v>21</v>
      </c>
      <c r="B5" s="1" t="s">
        <v>25</v>
      </c>
      <c r="C5">
        <v>70</v>
      </c>
      <c r="D5">
        <v>73</v>
      </c>
      <c r="E5" t="str">
        <f>IF(MOD(VALUE(MID(matura7[[#This Row],[PESEL]],10,1)),2)=0,"K","M")</f>
        <v>K</v>
      </c>
      <c r="H5" s="6" t="s">
        <v>199</v>
      </c>
      <c r="I5" s="7">
        <v>78.936170212765958</v>
      </c>
      <c r="J5" s="7">
        <v>60.787234042553195</v>
      </c>
    </row>
    <row r="6" spans="1:10" x14ac:dyDescent="0.3">
      <c r="A6" s="1" t="s">
        <v>21</v>
      </c>
      <c r="B6" s="1" t="s">
        <v>26</v>
      </c>
      <c r="C6">
        <v>70</v>
      </c>
      <c r="D6">
        <v>51</v>
      </c>
      <c r="E6" t="str">
        <f>IF(MOD(VALUE(MID(matura7[[#This Row],[PESEL]],10,1)),2)=0,"K","M")</f>
        <v>M</v>
      </c>
      <c r="H6" s="6" t="s">
        <v>180</v>
      </c>
      <c r="I6" s="1">
        <v>73.78947368421052</v>
      </c>
      <c r="J6" s="1">
        <v>61.907894736842103</v>
      </c>
    </row>
    <row r="7" spans="1:10" x14ac:dyDescent="0.3">
      <c r="A7" s="1" t="s">
        <v>21</v>
      </c>
      <c r="B7" s="1" t="s">
        <v>27</v>
      </c>
      <c r="C7">
        <v>48</v>
      </c>
      <c r="D7">
        <v>40</v>
      </c>
      <c r="E7" t="str">
        <f>IF(MOD(VALUE(MID(matura7[[#This Row],[PESEL]],10,1)),2)=0,"K","M")</f>
        <v>M</v>
      </c>
    </row>
    <row r="8" spans="1:10" x14ac:dyDescent="0.3">
      <c r="A8" s="1" t="s">
        <v>21</v>
      </c>
      <c r="B8" s="1" t="s">
        <v>28</v>
      </c>
      <c r="C8">
        <v>94</v>
      </c>
      <c r="D8">
        <v>74</v>
      </c>
      <c r="E8" t="str">
        <f>IF(MOD(VALUE(MID(matura7[[#This Row],[PESEL]],10,1)),2)=0,"K","M")</f>
        <v>K</v>
      </c>
    </row>
    <row r="9" spans="1:10" x14ac:dyDescent="0.3">
      <c r="A9" s="1" t="s">
        <v>21</v>
      </c>
      <c r="B9" s="1" t="s">
        <v>29</v>
      </c>
      <c r="C9">
        <v>96</v>
      </c>
      <c r="D9">
        <v>77</v>
      </c>
      <c r="E9" t="str">
        <f>IF(MOD(VALUE(MID(matura7[[#This Row],[PESEL]],10,1)),2)=0,"K","M")</f>
        <v>K</v>
      </c>
      <c r="H9" s="3" t="s">
        <v>197</v>
      </c>
      <c r="I9" s="3" t="s">
        <v>201</v>
      </c>
      <c r="J9" s="3" t="s">
        <v>202</v>
      </c>
    </row>
    <row r="10" spans="1:10" x14ac:dyDescent="0.3">
      <c r="A10" s="1" t="s">
        <v>21</v>
      </c>
      <c r="B10" s="1" t="s">
        <v>30</v>
      </c>
      <c r="C10">
        <v>86</v>
      </c>
      <c r="D10">
        <v>73</v>
      </c>
      <c r="E10" t="str">
        <f>IF(MOD(VALUE(MID(matura7[[#This Row],[PESEL]],10,1)),2)=0,"K","M")</f>
        <v>M</v>
      </c>
      <c r="H10" s="3" t="s">
        <v>198</v>
      </c>
      <c r="I10" s="23">
        <v>71.48571428571428</v>
      </c>
      <c r="J10" s="23">
        <v>62.409523809523812</v>
      </c>
    </row>
    <row r="11" spans="1:10" x14ac:dyDescent="0.3">
      <c r="A11" s="1" t="s">
        <v>21</v>
      </c>
      <c r="B11" s="1" t="s">
        <v>31</v>
      </c>
      <c r="C11">
        <v>40</v>
      </c>
      <c r="D11">
        <v>43</v>
      </c>
      <c r="E11" t="str">
        <f>IF(MOD(VALUE(MID(matura7[[#This Row],[PESEL]],10,1)),2)=0,"K","M")</f>
        <v>K</v>
      </c>
      <c r="H11" s="3" t="s">
        <v>199</v>
      </c>
      <c r="I11" s="23">
        <v>78.936170212765958</v>
      </c>
      <c r="J11" s="23">
        <v>60.787234042553195</v>
      </c>
    </row>
    <row r="12" spans="1:10" x14ac:dyDescent="0.3">
      <c r="A12" s="1" t="s">
        <v>21</v>
      </c>
      <c r="B12" s="1" t="s">
        <v>32</v>
      </c>
      <c r="C12">
        <v>70</v>
      </c>
      <c r="D12">
        <v>76</v>
      </c>
      <c r="E12" t="str">
        <f>IF(MOD(VALUE(MID(matura7[[#This Row],[PESEL]],10,1)),2)=0,"K","M")</f>
        <v>K</v>
      </c>
    </row>
    <row r="13" spans="1:10" x14ac:dyDescent="0.3">
      <c r="A13" s="1" t="s">
        <v>21</v>
      </c>
      <c r="B13" s="1" t="s">
        <v>33</v>
      </c>
      <c r="C13">
        <v>98</v>
      </c>
      <c r="D13">
        <v>80</v>
      </c>
      <c r="E13" t="str">
        <f>IF(MOD(VALUE(MID(matura7[[#This Row],[PESEL]],10,1)),2)=0,"K","M")</f>
        <v>K</v>
      </c>
    </row>
    <row r="14" spans="1:10" x14ac:dyDescent="0.3">
      <c r="A14" s="1" t="s">
        <v>21</v>
      </c>
      <c r="B14" s="1" t="s">
        <v>34</v>
      </c>
      <c r="C14">
        <v>92</v>
      </c>
      <c r="D14">
        <v>79</v>
      </c>
      <c r="E14" t="str">
        <f>IF(MOD(VALUE(MID(matura7[[#This Row],[PESEL]],10,1)),2)=0,"K","M")</f>
        <v>K</v>
      </c>
    </row>
    <row r="15" spans="1:10" x14ac:dyDescent="0.3">
      <c r="A15" s="1" t="s">
        <v>21</v>
      </c>
      <c r="B15" s="1" t="s">
        <v>35</v>
      </c>
      <c r="C15">
        <v>88</v>
      </c>
      <c r="D15">
        <v>59</v>
      </c>
      <c r="E15" t="str">
        <f>IF(MOD(VALUE(MID(matura7[[#This Row],[PESEL]],10,1)),2)=0,"K","M")</f>
        <v>K</v>
      </c>
    </row>
    <row r="16" spans="1:10" x14ac:dyDescent="0.3">
      <c r="A16" s="1" t="s">
        <v>21</v>
      </c>
      <c r="B16" s="1" t="s">
        <v>36</v>
      </c>
      <c r="C16">
        <v>92</v>
      </c>
      <c r="D16">
        <v>56</v>
      </c>
      <c r="E16" t="str">
        <f>IF(MOD(VALUE(MID(matura7[[#This Row],[PESEL]],10,1)),2)=0,"K","M")</f>
        <v>M</v>
      </c>
    </row>
    <row r="17" spans="1:5" x14ac:dyDescent="0.3">
      <c r="A17" s="1" t="s">
        <v>21</v>
      </c>
      <c r="B17" s="1" t="s">
        <v>37</v>
      </c>
      <c r="C17">
        <v>58</v>
      </c>
      <c r="D17">
        <v>59</v>
      </c>
      <c r="E17" t="str">
        <f>IF(MOD(VALUE(MID(matura7[[#This Row],[PESEL]],10,1)),2)=0,"K","M")</f>
        <v>K</v>
      </c>
    </row>
    <row r="18" spans="1:5" x14ac:dyDescent="0.3">
      <c r="A18" s="1" t="s">
        <v>21</v>
      </c>
      <c r="B18" s="1" t="s">
        <v>38</v>
      </c>
      <c r="C18">
        <v>78</v>
      </c>
      <c r="D18">
        <v>54</v>
      </c>
      <c r="E18" t="str">
        <f>IF(MOD(VALUE(MID(matura7[[#This Row],[PESEL]],10,1)),2)=0,"K","M")</f>
        <v>K</v>
      </c>
    </row>
    <row r="19" spans="1:5" x14ac:dyDescent="0.3">
      <c r="A19" s="1" t="s">
        <v>21</v>
      </c>
      <c r="B19" s="1" t="s">
        <v>39</v>
      </c>
      <c r="C19">
        <v>92</v>
      </c>
      <c r="D19">
        <v>73</v>
      </c>
      <c r="E19" t="str">
        <f>IF(MOD(VALUE(MID(matura7[[#This Row],[PESEL]],10,1)),2)=0,"K","M")</f>
        <v>K</v>
      </c>
    </row>
    <row r="20" spans="1:5" x14ac:dyDescent="0.3">
      <c r="A20" s="1" t="s">
        <v>21</v>
      </c>
      <c r="B20" s="1" t="s">
        <v>40</v>
      </c>
      <c r="C20">
        <v>78</v>
      </c>
      <c r="D20">
        <v>56</v>
      </c>
      <c r="E20" t="str">
        <f>IF(MOD(VALUE(MID(matura7[[#This Row],[PESEL]],10,1)),2)=0,"K","M")</f>
        <v>K</v>
      </c>
    </row>
    <row r="21" spans="1:5" x14ac:dyDescent="0.3">
      <c r="A21" s="1" t="s">
        <v>21</v>
      </c>
      <c r="B21" s="1" t="s">
        <v>41</v>
      </c>
      <c r="C21">
        <v>64</v>
      </c>
      <c r="D21">
        <v>84</v>
      </c>
      <c r="E21" t="str">
        <f>IF(MOD(VALUE(MID(matura7[[#This Row],[PESEL]],10,1)),2)=0,"K","M")</f>
        <v>K</v>
      </c>
    </row>
    <row r="22" spans="1:5" x14ac:dyDescent="0.3">
      <c r="A22" s="1" t="s">
        <v>21</v>
      </c>
      <c r="B22" s="1" t="s">
        <v>42</v>
      </c>
      <c r="C22">
        <v>70</v>
      </c>
      <c r="D22">
        <v>64</v>
      </c>
      <c r="E22" t="str">
        <f>IF(MOD(VALUE(MID(matura7[[#This Row],[PESEL]],10,1)),2)=0,"K","M")</f>
        <v>K</v>
      </c>
    </row>
    <row r="23" spans="1:5" x14ac:dyDescent="0.3">
      <c r="A23" s="1" t="s">
        <v>21</v>
      </c>
      <c r="B23" s="1" t="s">
        <v>43</v>
      </c>
      <c r="C23">
        <v>58</v>
      </c>
      <c r="D23">
        <v>54</v>
      </c>
      <c r="E23" t="str">
        <f>IF(MOD(VALUE(MID(matura7[[#This Row],[PESEL]],10,1)),2)=0,"K","M")</f>
        <v>K</v>
      </c>
    </row>
    <row r="24" spans="1:5" x14ac:dyDescent="0.3">
      <c r="A24" s="1" t="s">
        <v>21</v>
      </c>
      <c r="B24" s="1" t="s">
        <v>44</v>
      </c>
      <c r="C24">
        <v>76</v>
      </c>
      <c r="D24">
        <v>50</v>
      </c>
      <c r="E24" t="str">
        <f>IF(MOD(VALUE(MID(matura7[[#This Row],[PESEL]],10,1)),2)=0,"K","M")</f>
        <v>K</v>
      </c>
    </row>
    <row r="25" spans="1:5" x14ac:dyDescent="0.3">
      <c r="A25" s="1" t="s">
        <v>21</v>
      </c>
      <c r="B25" s="1" t="s">
        <v>45</v>
      </c>
      <c r="C25">
        <v>50</v>
      </c>
      <c r="D25">
        <v>33</v>
      </c>
      <c r="E25" t="str">
        <f>IF(MOD(VALUE(MID(matura7[[#This Row],[PESEL]],10,1)),2)=0,"K","M")</f>
        <v>K</v>
      </c>
    </row>
    <row r="26" spans="1:5" x14ac:dyDescent="0.3">
      <c r="A26" s="1" t="s">
        <v>21</v>
      </c>
      <c r="B26" s="1" t="s">
        <v>46</v>
      </c>
      <c r="C26">
        <v>62</v>
      </c>
      <c r="D26">
        <v>76</v>
      </c>
      <c r="E26" t="str">
        <f>IF(MOD(VALUE(MID(matura7[[#This Row],[PESEL]],10,1)),2)=0,"K","M")</f>
        <v>K</v>
      </c>
    </row>
    <row r="27" spans="1:5" x14ac:dyDescent="0.3">
      <c r="A27" s="1" t="s">
        <v>21</v>
      </c>
      <c r="B27" s="1" t="s">
        <v>47</v>
      </c>
      <c r="C27">
        <v>72</v>
      </c>
      <c r="D27">
        <v>84</v>
      </c>
      <c r="E27" t="str">
        <f>IF(MOD(VALUE(MID(matura7[[#This Row],[PESEL]],10,1)),2)=0,"K","M")</f>
        <v>K</v>
      </c>
    </row>
    <row r="28" spans="1:5" x14ac:dyDescent="0.3">
      <c r="A28" s="1" t="s">
        <v>21</v>
      </c>
      <c r="B28" s="1" t="s">
        <v>48</v>
      </c>
      <c r="C28">
        <v>80</v>
      </c>
      <c r="D28">
        <v>74</v>
      </c>
      <c r="E28" t="str">
        <f>IF(MOD(VALUE(MID(matura7[[#This Row],[PESEL]],10,1)),2)=0,"K","M")</f>
        <v>K</v>
      </c>
    </row>
    <row r="29" spans="1:5" x14ac:dyDescent="0.3">
      <c r="A29" s="1" t="s">
        <v>21</v>
      </c>
      <c r="B29" s="1" t="s">
        <v>49</v>
      </c>
      <c r="C29">
        <v>86</v>
      </c>
      <c r="D29">
        <v>64</v>
      </c>
      <c r="E29" t="str">
        <f>IF(MOD(VALUE(MID(matura7[[#This Row],[PESEL]],10,1)),2)=0,"K","M")</f>
        <v>K</v>
      </c>
    </row>
    <row r="30" spans="1:5" x14ac:dyDescent="0.3">
      <c r="A30" s="1" t="s">
        <v>21</v>
      </c>
      <c r="B30" s="1" t="s">
        <v>50</v>
      </c>
      <c r="C30">
        <v>82</v>
      </c>
      <c r="D30">
        <v>60</v>
      </c>
      <c r="E30" t="str">
        <f>IF(MOD(VALUE(MID(matura7[[#This Row],[PESEL]],10,1)),2)=0,"K","M")</f>
        <v>K</v>
      </c>
    </row>
    <row r="31" spans="1:5" x14ac:dyDescent="0.3">
      <c r="A31" s="1" t="s">
        <v>21</v>
      </c>
      <c r="B31" s="1" t="s">
        <v>51</v>
      </c>
      <c r="C31">
        <v>80</v>
      </c>
      <c r="D31">
        <v>63</v>
      </c>
      <c r="E31" t="str">
        <f>IF(MOD(VALUE(MID(matura7[[#This Row],[PESEL]],10,1)),2)=0,"K","M")</f>
        <v>K</v>
      </c>
    </row>
    <row r="32" spans="1:5" x14ac:dyDescent="0.3">
      <c r="A32" s="1" t="s">
        <v>21</v>
      </c>
      <c r="B32" s="1" t="s">
        <v>52</v>
      </c>
      <c r="C32">
        <v>92</v>
      </c>
      <c r="D32">
        <v>76</v>
      </c>
      <c r="E32" t="str">
        <f>IF(MOD(VALUE(MID(matura7[[#This Row],[PESEL]],10,1)),2)=0,"K","M")</f>
        <v>K</v>
      </c>
    </row>
    <row r="33" spans="1:5" x14ac:dyDescent="0.3">
      <c r="A33" s="1" t="s">
        <v>21</v>
      </c>
      <c r="B33" s="1" t="s">
        <v>53</v>
      </c>
      <c r="C33">
        <v>94</v>
      </c>
      <c r="D33">
        <v>66</v>
      </c>
      <c r="E33" t="str">
        <f>IF(MOD(VALUE(MID(matura7[[#This Row],[PESEL]],10,1)),2)=0,"K","M")</f>
        <v>K</v>
      </c>
    </row>
    <row r="34" spans="1:5" x14ac:dyDescent="0.3">
      <c r="A34" s="1" t="s">
        <v>21</v>
      </c>
      <c r="B34" s="1" t="s">
        <v>54</v>
      </c>
      <c r="C34">
        <v>86</v>
      </c>
      <c r="D34">
        <v>63</v>
      </c>
      <c r="E34" t="str">
        <f>IF(MOD(VALUE(MID(matura7[[#This Row],[PESEL]],10,1)),2)=0,"K","M")</f>
        <v>M</v>
      </c>
    </row>
    <row r="35" spans="1:5" x14ac:dyDescent="0.3">
      <c r="A35" s="1" t="s">
        <v>21</v>
      </c>
      <c r="B35" s="1" t="s">
        <v>55</v>
      </c>
      <c r="C35">
        <v>82</v>
      </c>
      <c r="D35">
        <v>79</v>
      </c>
      <c r="E35" t="str">
        <f>IF(MOD(VALUE(MID(matura7[[#This Row],[PESEL]],10,1)),2)=0,"K","M")</f>
        <v>K</v>
      </c>
    </row>
    <row r="36" spans="1:5" x14ac:dyDescent="0.3">
      <c r="A36" s="1" t="s">
        <v>56</v>
      </c>
      <c r="B36" s="1" t="s">
        <v>57</v>
      </c>
      <c r="C36">
        <v>46</v>
      </c>
      <c r="D36">
        <v>60</v>
      </c>
      <c r="E36" t="str">
        <f>IF(MOD(VALUE(MID(matura7[[#This Row],[PESEL]],10,1)),2)=0,"K","M")</f>
        <v>M</v>
      </c>
    </row>
    <row r="37" spans="1:5" x14ac:dyDescent="0.3">
      <c r="A37" s="1" t="s">
        <v>56</v>
      </c>
      <c r="B37" s="1" t="s">
        <v>58</v>
      </c>
      <c r="C37">
        <v>50</v>
      </c>
      <c r="D37">
        <v>40</v>
      </c>
      <c r="E37" t="str">
        <f>IF(MOD(VALUE(MID(matura7[[#This Row],[PESEL]],10,1)),2)=0,"K","M")</f>
        <v>K</v>
      </c>
    </row>
    <row r="38" spans="1:5" x14ac:dyDescent="0.3">
      <c r="A38" s="1" t="s">
        <v>56</v>
      </c>
      <c r="B38" s="1" t="s">
        <v>59</v>
      </c>
      <c r="C38">
        <v>88</v>
      </c>
      <c r="D38">
        <v>57</v>
      </c>
      <c r="E38" t="str">
        <f>IF(MOD(VALUE(MID(matura7[[#This Row],[PESEL]],10,1)),2)=0,"K","M")</f>
        <v>K</v>
      </c>
    </row>
    <row r="39" spans="1:5" x14ac:dyDescent="0.3">
      <c r="A39" s="1" t="s">
        <v>56</v>
      </c>
      <c r="B39" s="1" t="s">
        <v>60</v>
      </c>
      <c r="C39">
        <v>70</v>
      </c>
      <c r="D39">
        <v>56</v>
      </c>
      <c r="E39" t="str">
        <f>IF(MOD(VALUE(MID(matura7[[#This Row],[PESEL]],10,1)),2)=0,"K","M")</f>
        <v>K</v>
      </c>
    </row>
    <row r="40" spans="1:5" x14ac:dyDescent="0.3">
      <c r="A40" s="1" t="s">
        <v>56</v>
      </c>
      <c r="B40" s="1" t="s">
        <v>61</v>
      </c>
      <c r="C40">
        <v>86</v>
      </c>
      <c r="D40">
        <v>53</v>
      </c>
      <c r="E40" t="str">
        <f>IF(MOD(VALUE(MID(matura7[[#This Row],[PESEL]],10,1)),2)=0,"K","M")</f>
        <v>M</v>
      </c>
    </row>
    <row r="41" spans="1:5" x14ac:dyDescent="0.3">
      <c r="A41" s="1" t="s">
        <v>56</v>
      </c>
      <c r="B41" s="1" t="s">
        <v>62</v>
      </c>
      <c r="C41">
        <v>34</v>
      </c>
      <c r="D41">
        <v>30</v>
      </c>
      <c r="E41" t="str">
        <f>IF(MOD(VALUE(MID(matura7[[#This Row],[PESEL]],10,1)),2)=0,"K","M")</f>
        <v>K</v>
      </c>
    </row>
    <row r="42" spans="1:5" x14ac:dyDescent="0.3">
      <c r="A42" s="1" t="s">
        <v>56</v>
      </c>
      <c r="B42" s="1" t="s">
        <v>63</v>
      </c>
      <c r="C42">
        <v>68</v>
      </c>
      <c r="D42">
        <v>70</v>
      </c>
      <c r="E42" t="str">
        <f>IF(MOD(VALUE(MID(matura7[[#This Row],[PESEL]],10,1)),2)=0,"K","M")</f>
        <v>K</v>
      </c>
    </row>
    <row r="43" spans="1:5" x14ac:dyDescent="0.3">
      <c r="A43" s="1" t="s">
        <v>56</v>
      </c>
      <c r="B43" s="1" t="s">
        <v>64</v>
      </c>
      <c r="C43">
        <v>56</v>
      </c>
      <c r="D43">
        <v>79</v>
      </c>
      <c r="E43" t="str">
        <f>IF(MOD(VALUE(MID(matura7[[#This Row],[PESEL]],10,1)),2)=0,"K","M")</f>
        <v>M</v>
      </c>
    </row>
    <row r="44" spans="1:5" x14ac:dyDescent="0.3">
      <c r="A44" s="1" t="s">
        <v>56</v>
      </c>
      <c r="B44" s="1" t="s">
        <v>65</v>
      </c>
      <c r="C44">
        <v>40</v>
      </c>
      <c r="D44">
        <v>80</v>
      </c>
      <c r="E44" t="str">
        <f>IF(MOD(VALUE(MID(matura7[[#This Row],[PESEL]],10,1)),2)=0,"K","M")</f>
        <v>M</v>
      </c>
    </row>
    <row r="45" spans="1:5" x14ac:dyDescent="0.3">
      <c r="A45" s="1" t="s">
        <v>56</v>
      </c>
      <c r="B45" s="1" t="s">
        <v>66</v>
      </c>
      <c r="C45">
        <v>50</v>
      </c>
      <c r="D45">
        <v>54</v>
      </c>
      <c r="E45" t="str">
        <f>IF(MOD(VALUE(MID(matura7[[#This Row],[PESEL]],10,1)),2)=0,"K","M")</f>
        <v>K</v>
      </c>
    </row>
    <row r="46" spans="1:5" x14ac:dyDescent="0.3">
      <c r="A46" s="1" t="s">
        <v>56</v>
      </c>
      <c r="B46" s="1" t="s">
        <v>67</v>
      </c>
      <c r="C46">
        <v>70</v>
      </c>
      <c r="D46">
        <v>63</v>
      </c>
      <c r="E46" t="str">
        <f>IF(MOD(VALUE(MID(matura7[[#This Row],[PESEL]],10,1)),2)=0,"K","M")</f>
        <v>K</v>
      </c>
    </row>
    <row r="47" spans="1:5" x14ac:dyDescent="0.3">
      <c r="A47" s="1" t="s">
        <v>56</v>
      </c>
      <c r="B47" s="1" t="s">
        <v>68</v>
      </c>
      <c r="C47">
        <v>64</v>
      </c>
      <c r="D47">
        <v>63</v>
      </c>
      <c r="E47" t="str">
        <f>IF(MOD(VALUE(MID(matura7[[#This Row],[PESEL]],10,1)),2)=0,"K","M")</f>
        <v>K</v>
      </c>
    </row>
    <row r="48" spans="1:5" x14ac:dyDescent="0.3">
      <c r="A48" s="1" t="s">
        <v>56</v>
      </c>
      <c r="B48" s="1" t="s">
        <v>69</v>
      </c>
      <c r="C48">
        <v>68</v>
      </c>
      <c r="D48">
        <v>51</v>
      </c>
      <c r="E48" t="str">
        <f>IF(MOD(VALUE(MID(matura7[[#This Row],[PESEL]],10,1)),2)=0,"K","M")</f>
        <v>K</v>
      </c>
    </row>
    <row r="49" spans="1:5" x14ac:dyDescent="0.3">
      <c r="A49" s="1" t="s">
        <v>56</v>
      </c>
      <c r="B49" s="1" t="s">
        <v>70</v>
      </c>
      <c r="C49">
        <v>52</v>
      </c>
      <c r="D49">
        <v>56</v>
      </c>
      <c r="E49" t="str">
        <f>IF(MOD(VALUE(MID(matura7[[#This Row],[PESEL]],10,1)),2)=0,"K","M")</f>
        <v>M</v>
      </c>
    </row>
    <row r="50" spans="1:5" x14ac:dyDescent="0.3">
      <c r="A50" s="1" t="s">
        <v>56</v>
      </c>
      <c r="B50" s="1" t="s">
        <v>71</v>
      </c>
      <c r="C50">
        <v>58</v>
      </c>
      <c r="D50">
        <v>51</v>
      </c>
      <c r="E50" t="str">
        <f>IF(MOD(VALUE(MID(matura7[[#This Row],[PESEL]],10,1)),2)=0,"K","M")</f>
        <v>K</v>
      </c>
    </row>
    <row r="51" spans="1:5" x14ac:dyDescent="0.3">
      <c r="A51" s="1" t="s">
        <v>56</v>
      </c>
      <c r="B51" s="1" t="s">
        <v>72</v>
      </c>
      <c r="C51">
        <v>72</v>
      </c>
      <c r="D51">
        <v>41</v>
      </c>
      <c r="E51" t="str">
        <f>IF(MOD(VALUE(MID(matura7[[#This Row],[PESEL]],10,1)),2)=0,"K","M")</f>
        <v>M</v>
      </c>
    </row>
    <row r="52" spans="1:5" x14ac:dyDescent="0.3">
      <c r="A52" s="1" t="s">
        <v>56</v>
      </c>
      <c r="B52" s="1" t="s">
        <v>73</v>
      </c>
      <c r="C52">
        <v>56</v>
      </c>
      <c r="D52">
        <v>60</v>
      </c>
      <c r="E52" t="str">
        <f>IF(MOD(VALUE(MID(matura7[[#This Row],[PESEL]],10,1)),2)=0,"K","M")</f>
        <v>K</v>
      </c>
    </row>
    <row r="53" spans="1:5" x14ac:dyDescent="0.3">
      <c r="A53" s="1" t="s">
        <v>56</v>
      </c>
      <c r="B53" s="1" t="s">
        <v>74</v>
      </c>
      <c r="C53">
        <v>44</v>
      </c>
      <c r="D53">
        <v>66</v>
      </c>
      <c r="E53" t="str">
        <f>IF(MOD(VALUE(MID(matura7[[#This Row],[PESEL]],10,1)),2)=0,"K","M")</f>
        <v>M</v>
      </c>
    </row>
    <row r="54" spans="1:5" x14ac:dyDescent="0.3">
      <c r="A54" s="1" t="s">
        <v>56</v>
      </c>
      <c r="B54" s="1" t="s">
        <v>75</v>
      </c>
      <c r="C54">
        <v>32</v>
      </c>
      <c r="D54">
        <v>51</v>
      </c>
      <c r="E54" t="str">
        <f>IF(MOD(VALUE(MID(matura7[[#This Row],[PESEL]],10,1)),2)=0,"K","M")</f>
        <v>K</v>
      </c>
    </row>
    <row r="55" spans="1:5" x14ac:dyDescent="0.3">
      <c r="A55" s="1" t="s">
        <v>56</v>
      </c>
      <c r="B55" s="1" t="s">
        <v>76</v>
      </c>
      <c r="C55">
        <v>66</v>
      </c>
      <c r="D55">
        <v>34</v>
      </c>
      <c r="E55" t="str">
        <f>IF(MOD(VALUE(MID(matura7[[#This Row],[PESEL]],10,1)),2)=0,"K","M")</f>
        <v>M</v>
      </c>
    </row>
    <row r="56" spans="1:5" x14ac:dyDescent="0.3">
      <c r="A56" s="1" t="s">
        <v>56</v>
      </c>
      <c r="B56" s="1" t="s">
        <v>77</v>
      </c>
      <c r="C56">
        <v>64</v>
      </c>
      <c r="D56">
        <v>56</v>
      </c>
      <c r="E56" t="str">
        <f>IF(MOD(VALUE(MID(matura7[[#This Row],[PESEL]],10,1)),2)=0,"K","M")</f>
        <v>K</v>
      </c>
    </row>
    <row r="57" spans="1:5" x14ac:dyDescent="0.3">
      <c r="A57" s="1" t="s">
        <v>56</v>
      </c>
      <c r="B57" s="1" t="s">
        <v>78</v>
      </c>
      <c r="C57">
        <v>72</v>
      </c>
      <c r="D57">
        <v>60</v>
      </c>
      <c r="E57" t="str">
        <f>IF(MOD(VALUE(MID(matura7[[#This Row],[PESEL]],10,1)),2)=0,"K","M")</f>
        <v>K</v>
      </c>
    </row>
    <row r="58" spans="1:5" x14ac:dyDescent="0.3">
      <c r="A58" s="1" t="s">
        <v>56</v>
      </c>
      <c r="B58" s="1" t="s">
        <v>79</v>
      </c>
      <c r="C58">
        <v>52</v>
      </c>
      <c r="D58">
        <v>46</v>
      </c>
      <c r="E58" t="str">
        <f>IF(MOD(VALUE(MID(matura7[[#This Row],[PESEL]],10,1)),2)=0,"K","M")</f>
        <v>K</v>
      </c>
    </row>
    <row r="59" spans="1:5" x14ac:dyDescent="0.3">
      <c r="A59" s="1" t="s">
        <v>56</v>
      </c>
      <c r="B59" s="1" t="s">
        <v>80</v>
      </c>
      <c r="C59">
        <v>50</v>
      </c>
      <c r="D59">
        <v>43</v>
      </c>
      <c r="E59" t="str">
        <f>IF(MOD(VALUE(MID(matura7[[#This Row],[PESEL]],10,1)),2)=0,"K","M")</f>
        <v>K</v>
      </c>
    </row>
    <row r="60" spans="1:5" x14ac:dyDescent="0.3">
      <c r="A60" s="1" t="s">
        <v>56</v>
      </c>
      <c r="B60" s="1" t="s">
        <v>81</v>
      </c>
      <c r="C60">
        <v>58</v>
      </c>
      <c r="D60">
        <v>59</v>
      </c>
      <c r="E60" t="str">
        <f>IF(MOD(VALUE(MID(matura7[[#This Row],[PESEL]],10,1)),2)=0,"K","M")</f>
        <v>M</v>
      </c>
    </row>
    <row r="61" spans="1:5" x14ac:dyDescent="0.3">
      <c r="A61" s="1" t="s">
        <v>56</v>
      </c>
      <c r="B61" s="1" t="s">
        <v>82</v>
      </c>
      <c r="C61">
        <v>78</v>
      </c>
      <c r="D61">
        <v>66</v>
      </c>
      <c r="E61" t="str">
        <f>IF(MOD(VALUE(MID(matura7[[#This Row],[PESEL]],10,1)),2)=0,"K","M")</f>
        <v>K</v>
      </c>
    </row>
    <row r="62" spans="1:5" x14ac:dyDescent="0.3">
      <c r="A62" s="1" t="s">
        <v>56</v>
      </c>
      <c r="B62" s="1" t="s">
        <v>83</v>
      </c>
      <c r="C62">
        <v>72</v>
      </c>
      <c r="D62">
        <v>69</v>
      </c>
      <c r="E62" t="str">
        <f>IF(MOD(VALUE(MID(matura7[[#This Row],[PESEL]],10,1)),2)=0,"K","M")</f>
        <v>K</v>
      </c>
    </row>
    <row r="63" spans="1:5" x14ac:dyDescent="0.3">
      <c r="A63" s="1" t="s">
        <v>56</v>
      </c>
      <c r="B63" s="1" t="s">
        <v>84</v>
      </c>
      <c r="C63">
        <v>70</v>
      </c>
      <c r="D63">
        <v>53</v>
      </c>
      <c r="E63" t="str">
        <f>IF(MOD(VALUE(MID(matura7[[#This Row],[PESEL]],10,1)),2)=0,"K","M")</f>
        <v>K</v>
      </c>
    </row>
    <row r="64" spans="1:5" x14ac:dyDescent="0.3">
      <c r="A64" s="1" t="s">
        <v>56</v>
      </c>
      <c r="B64" s="1" t="s">
        <v>85</v>
      </c>
      <c r="C64">
        <v>60</v>
      </c>
      <c r="D64">
        <v>47</v>
      </c>
      <c r="E64" t="str">
        <f>IF(MOD(VALUE(MID(matura7[[#This Row],[PESEL]],10,1)),2)=0,"K","M")</f>
        <v>K</v>
      </c>
    </row>
    <row r="65" spans="1:5" x14ac:dyDescent="0.3">
      <c r="A65" s="1" t="s">
        <v>56</v>
      </c>
      <c r="B65" s="1" t="s">
        <v>86</v>
      </c>
      <c r="C65">
        <v>66</v>
      </c>
      <c r="D65">
        <v>66</v>
      </c>
      <c r="E65" t="str">
        <f>IF(MOD(VALUE(MID(matura7[[#This Row],[PESEL]],10,1)),2)=0,"K","M")</f>
        <v>K</v>
      </c>
    </row>
    <row r="66" spans="1:5" x14ac:dyDescent="0.3">
      <c r="A66" s="1" t="s">
        <v>56</v>
      </c>
      <c r="B66" s="1" t="s">
        <v>87</v>
      </c>
      <c r="C66">
        <v>76</v>
      </c>
      <c r="D66">
        <v>44</v>
      </c>
      <c r="E66" t="str">
        <f>IF(MOD(VALUE(MID(matura7[[#This Row],[PESEL]],10,1)),2)=0,"K","M")</f>
        <v>K</v>
      </c>
    </row>
    <row r="67" spans="1:5" x14ac:dyDescent="0.3">
      <c r="A67" s="1" t="s">
        <v>88</v>
      </c>
      <c r="B67" s="1" t="s">
        <v>89</v>
      </c>
      <c r="C67">
        <v>76</v>
      </c>
      <c r="D67">
        <v>49</v>
      </c>
      <c r="E67" t="str">
        <f>IF(MOD(VALUE(MID(matura7[[#This Row],[PESEL]],10,1)),2)=0,"K","M")</f>
        <v>K</v>
      </c>
    </row>
    <row r="68" spans="1:5" x14ac:dyDescent="0.3">
      <c r="A68" s="1" t="s">
        <v>88</v>
      </c>
      <c r="B68" s="1" t="s">
        <v>90</v>
      </c>
      <c r="C68">
        <v>76</v>
      </c>
      <c r="D68">
        <v>36</v>
      </c>
      <c r="E68" t="str">
        <f>IF(MOD(VALUE(MID(matura7[[#This Row],[PESEL]],10,1)),2)=0,"K","M")</f>
        <v>K</v>
      </c>
    </row>
    <row r="69" spans="1:5" x14ac:dyDescent="0.3">
      <c r="A69" s="1" t="s">
        <v>88</v>
      </c>
      <c r="B69" s="1" t="s">
        <v>91</v>
      </c>
      <c r="C69">
        <v>66</v>
      </c>
      <c r="D69">
        <v>54</v>
      </c>
      <c r="E69" t="str">
        <f>IF(MOD(VALUE(MID(matura7[[#This Row],[PESEL]],10,1)),2)=0,"K","M")</f>
        <v>K</v>
      </c>
    </row>
    <row r="70" spans="1:5" x14ac:dyDescent="0.3">
      <c r="A70" s="1" t="s">
        <v>88</v>
      </c>
      <c r="B70" s="1" t="s">
        <v>92</v>
      </c>
      <c r="C70">
        <v>72</v>
      </c>
      <c r="D70">
        <v>49</v>
      </c>
      <c r="E70" t="str">
        <f>IF(MOD(VALUE(MID(matura7[[#This Row],[PESEL]],10,1)),2)=0,"K","M")</f>
        <v>M</v>
      </c>
    </row>
    <row r="71" spans="1:5" x14ac:dyDescent="0.3">
      <c r="A71" s="1" t="s">
        <v>88</v>
      </c>
      <c r="B71" s="1" t="s">
        <v>93</v>
      </c>
      <c r="C71">
        <v>94</v>
      </c>
      <c r="D71">
        <v>71</v>
      </c>
      <c r="E71" t="str">
        <f>IF(MOD(VALUE(MID(matura7[[#This Row],[PESEL]],10,1)),2)=0,"K","M")</f>
        <v>M</v>
      </c>
    </row>
    <row r="72" spans="1:5" x14ac:dyDescent="0.3">
      <c r="A72" s="1" t="s">
        <v>88</v>
      </c>
      <c r="B72" s="1" t="s">
        <v>94</v>
      </c>
      <c r="C72">
        <v>52</v>
      </c>
      <c r="D72">
        <v>34</v>
      </c>
      <c r="E72" t="str">
        <f>IF(MOD(VALUE(MID(matura7[[#This Row],[PESEL]],10,1)),2)=0,"K","M")</f>
        <v>M</v>
      </c>
    </row>
    <row r="73" spans="1:5" x14ac:dyDescent="0.3">
      <c r="A73" s="1" t="s">
        <v>88</v>
      </c>
      <c r="B73" s="1" t="s">
        <v>95</v>
      </c>
      <c r="C73">
        <v>70</v>
      </c>
      <c r="D73">
        <v>63</v>
      </c>
      <c r="E73" t="str">
        <f>IF(MOD(VALUE(MID(matura7[[#This Row],[PESEL]],10,1)),2)=0,"K","M")</f>
        <v>K</v>
      </c>
    </row>
    <row r="74" spans="1:5" x14ac:dyDescent="0.3">
      <c r="A74" s="1" t="s">
        <v>88</v>
      </c>
      <c r="B74" s="1" t="s">
        <v>96</v>
      </c>
      <c r="C74">
        <v>88</v>
      </c>
      <c r="D74">
        <v>64</v>
      </c>
      <c r="E74" t="str">
        <f>IF(MOD(VALUE(MID(matura7[[#This Row],[PESEL]],10,1)),2)=0,"K","M")</f>
        <v>K</v>
      </c>
    </row>
    <row r="75" spans="1:5" x14ac:dyDescent="0.3">
      <c r="A75" s="1" t="s">
        <v>88</v>
      </c>
      <c r="B75" s="1" t="s">
        <v>97</v>
      </c>
      <c r="C75">
        <v>48</v>
      </c>
      <c r="D75">
        <v>49</v>
      </c>
      <c r="E75" t="str">
        <f>IF(MOD(VALUE(MID(matura7[[#This Row],[PESEL]],10,1)),2)=0,"K","M")</f>
        <v>K</v>
      </c>
    </row>
    <row r="76" spans="1:5" x14ac:dyDescent="0.3">
      <c r="A76" s="1" t="s">
        <v>88</v>
      </c>
      <c r="B76" s="1" t="s">
        <v>98</v>
      </c>
      <c r="C76">
        <v>72</v>
      </c>
      <c r="D76">
        <v>57</v>
      </c>
      <c r="E76" t="str">
        <f>IF(MOD(VALUE(MID(matura7[[#This Row],[PESEL]],10,1)),2)=0,"K","M")</f>
        <v>K</v>
      </c>
    </row>
    <row r="77" spans="1:5" x14ac:dyDescent="0.3">
      <c r="A77" s="1" t="s">
        <v>88</v>
      </c>
      <c r="B77" s="1" t="s">
        <v>99</v>
      </c>
      <c r="C77">
        <v>78</v>
      </c>
      <c r="D77">
        <v>63</v>
      </c>
      <c r="E77" t="str">
        <f>IF(MOD(VALUE(MID(matura7[[#This Row],[PESEL]],10,1)),2)=0,"K","M")</f>
        <v>M</v>
      </c>
    </row>
    <row r="78" spans="1:5" x14ac:dyDescent="0.3">
      <c r="A78" s="1" t="s">
        <v>88</v>
      </c>
      <c r="B78" s="1" t="s">
        <v>100</v>
      </c>
      <c r="C78">
        <v>64</v>
      </c>
      <c r="D78">
        <v>63</v>
      </c>
      <c r="E78" t="str">
        <f>IF(MOD(VALUE(MID(matura7[[#This Row],[PESEL]],10,1)),2)=0,"K","M")</f>
        <v>K</v>
      </c>
    </row>
    <row r="79" spans="1:5" x14ac:dyDescent="0.3">
      <c r="A79" s="1" t="s">
        <v>88</v>
      </c>
      <c r="B79" s="1" t="s">
        <v>101</v>
      </c>
      <c r="C79">
        <v>52</v>
      </c>
      <c r="D79">
        <v>51</v>
      </c>
      <c r="E79" t="str">
        <f>IF(MOD(VALUE(MID(matura7[[#This Row],[PESEL]],10,1)),2)=0,"K","M")</f>
        <v>M</v>
      </c>
    </row>
    <row r="80" spans="1:5" x14ac:dyDescent="0.3">
      <c r="A80" s="1" t="s">
        <v>88</v>
      </c>
      <c r="B80" s="1" t="s">
        <v>102</v>
      </c>
      <c r="C80">
        <v>68</v>
      </c>
      <c r="D80">
        <v>47</v>
      </c>
      <c r="E80" t="str">
        <f>IF(MOD(VALUE(MID(matura7[[#This Row],[PESEL]],10,1)),2)=0,"K","M")</f>
        <v>K</v>
      </c>
    </row>
    <row r="81" spans="1:5" x14ac:dyDescent="0.3">
      <c r="A81" s="1" t="s">
        <v>88</v>
      </c>
      <c r="B81" s="1" t="s">
        <v>103</v>
      </c>
      <c r="C81">
        <v>82</v>
      </c>
      <c r="D81">
        <v>53</v>
      </c>
      <c r="E81" t="str">
        <f>IF(MOD(VALUE(MID(matura7[[#This Row],[PESEL]],10,1)),2)=0,"K","M")</f>
        <v>M</v>
      </c>
    </row>
    <row r="82" spans="1:5" x14ac:dyDescent="0.3">
      <c r="A82" s="1" t="s">
        <v>88</v>
      </c>
      <c r="B82" s="1" t="s">
        <v>104</v>
      </c>
      <c r="C82">
        <v>88</v>
      </c>
      <c r="D82">
        <v>59</v>
      </c>
      <c r="E82" t="str">
        <f>IF(MOD(VALUE(MID(matura7[[#This Row],[PESEL]],10,1)),2)=0,"K","M")</f>
        <v>K</v>
      </c>
    </row>
    <row r="83" spans="1:5" x14ac:dyDescent="0.3">
      <c r="A83" s="1" t="s">
        <v>88</v>
      </c>
      <c r="B83" s="1" t="s">
        <v>105</v>
      </c>
      <c r="C83">
        <v>76</v>
      </c>
      <c r="D83">
        <v>66</v>
      </c>
      <c r="E83" t="str">
        <f>IF(MOD(VALUE(MID(matura7[[#This Row],[PESEL]],10,1)),2)=0,"K","M")</f>
        <v>K</v>
      </c>
    </row>
    <row r="84" spans="1:5" x14ac:dyDescent="0.3">
      <c r="A84" s="1" t="s">
        <v>88</v>
      </c>
      <c r="B84" s="1" t="s">
        <v>106</v>
      </c>
      <c r="C84">
        <v>86</v>
      </c>
      <c r="D84">
        <v>63</v>
      </c>
      <c r="E84" t="str">
        <f>IF(MOD(VALUE(MID(matura7[[#This Row],[PESEL]],10,1)),2)=0,"K","M")</f>
        <v>K</v>
      </c>
    </row>
    <row r="85" spans="1:5" x14ac:dyDescent="0.3">
      <c r="A85" s="1" t="s">
        <v>88</v>
      </c>
      <c r="B85" s="1" t="s">
        <v>107</v>
      </c>
      <c r="C85">
        <v>100</v>
      </c>
      <c r="D85">
        <v>76</v>
      </c>
      <c r="E85" t="str">
        <f>IF(MOD(VALUE(MID(matura7[[#This Row],[PESEL]],10,1)),2)=0,"K","M")</f>
        <v>K</v>
      </c>
    </row>
    <row r="86" spans="1:5" x14ac:dyDescent="0.3">
      <c r="A86" s="1" t="s">
        <v>88</v>
      </c>
      <c r="B86" s="1" t="s">
        <v>108</v>
      </c>
      <c r="C86">
        <v>74</v>
      </c>
      <c r="D86">
        <v>54</v>
      </c>
      <c r="E86" t="str">
        <f>IF(MOD(VALUE(MID(matura7[[#This Row],[PESEL]],10,1)),2)=0,"K","M")</f>
        <v>K</v>
      </c>
    </row>
    <row r="87" spans="1:5" x14ac:dyDescent="0.3">
      <c r="A87" s="1" t="s">
        <v>88</v>
      </c>
      <c r="B87" s="1" t="s">
        <v>109</v>
      </c>
      <c r="C87">
        <v>96</v>
      </c>
      <c r="D87">
        <v>91</v>
      </c>
      <c r="E87" t="str">
        <f>IF(MOD(VALUE(MID(matura7[[#This Row],[PESEL]],10,1)),2)=0,"K","M")</f>
        <v>K</v>
      </c>
    </row>
    <row r="88" spans="1:5" x14ac:dyDescent="0.3">
      <c r="A88" s="1" t="s">
        <v>88</v>
      </c>
      <c r="B88" s="1" t="s">
        <v>110</v>
      </c>
      <c r="C88">
        <v>76</v>
      </c>
      <c r="D88">
        <v>54</v>
      </c>
      <c r="E88" t="str">
        <f>IF(MOD(VALUE(MID(matura7[[#This Row],[PESEL]],10,1)),2)=0,"K","M")</f>
        <v>M</v>
      </c>
    </row>
    <row r="89" spans="1:5" x14ac:dyDescent="0.3">
      <c r="A89" s="1" t="s">
        <v>88</v>
      </c>
      <c r="B89" s="1" t="s">
        <v>111</v>
      </c>
      <c r="C89">
        <v>88</v>
      </c>
      <c r="D89">
        <v>77</v>
      </c>
      <c r="E89" t="str">
        <f>IF(MOD(VALUE(MID(matura7[[#This Row],[PESEL]],10,1)),2)=0,"K","M")</f>
        <v>M</v>
      </c>
    </row>
    <row r="90" spans="1:5" x14ac:dyDescent="0.3">
      <c r="A90" s="1" t="s">
        <v>88</v>
      </c>
      <c r="B90" s="1" t="s">
        <v>112</v>
      </c>
      <c r="C90">
        <v>100</v>
      </c>
      <c r="D90">
        <v>50</v>
      </c>
      <c r="E90" t="str">
        <f>IF(MOD(VALUE(MID(matura7[[#This Row],[PESEL]],10,1)),2)=0,"K","M")</f>
        <v>K</v>
      </c>
    </row>
    <row r="91" spans="1:5" x14ac:dyDescent="0.3">
      <c r="A91" s="1" t="s">
        <v>88</v>
      </c>
      <c r="B91" s="1" t="s">
        <v>113</v>
      </c>
      <c r="C91">
        <v>78</v>
      </c>
      <c r="D91">
        <v>60</v>
      </c>
      <c r="E91" t="str">
        <f>IF(MOD(VALUE(MID(matura7[[#This Row],[PESEL]],10,1)),2)=0,"K","M")</f>
        <v>K</v>
      </c>
    </row>
    <row r="92" spans="1:5" x14ac:dyDescent="0.3">
      <c r="A92" s="1" t="s">
        <v>88</v>
      </c>
      <c r="B92" s="1" t="s">
        <v>114</v>
      </c>
      <c r="C92">
        <v>86</v>
      </c>
      <c r="D92">
        <v>63</v>
      </c>
      <c r="E92" t="str">
        <f>IF(MOD(VALUE(MID(matura7[[#This Row],[PESEL]],10,1)),2)=0,"K","M")</f>
        <v>K</v>
      </c>
    </row>
    <row r="93" spans="1:5" x14ac:dyDescent="0.3">
      <c r="A93" s="1" t="s">
        <v>88</v>
      </c>
      <c r="B93" s="1" t="s">
        <v>115</v>
      </c>
      <c r="C93">
        <v>68</v>
      </c>
      <c r="D93">
        <v>71</v>
      </c>
      <c r="E93" t="str">
        <f>IF(MOD(VALUE(MID(matura7[[#This Row],[PESEL]],10,1)),2)=0,"K","M")</f>
        <v>K</v>
      </c>
    </row>
    <row r="94" spans="1:5" x14ac:dyDescent="0.3">
      <c r="A94" s="1" t="s">
        <v>116</v>
      </c>
      <c r="B94" s="1" t="s">
        <v>117</v>
      </c>
      <c r="C94">
        <v>90</v>
      </c>
      <c r="D94">
        <v>59</v>
      </c>
      <c r="E94" t="str">
        <f>IF(MOD(VALUE(MID(matura7[[#This Row],[PESEL]],10,1)),2)=0,"K","M")</f>
        <v>M</v>
      </c>
    </row>
    <row r="95" spans="1:5" x14ac:dyDescent="0.3">
      <c r="A95" s="1" t="s">
        <v>116</v>
      </c>
      <c r="B95" s="1" t="s">
        <v>118</v>
      </c>
      <c r="C95">
        <v>90</v>
      </c>
      <c r="D95">
        <v>64</v>
      </c>
      <c r="E95" t="str">
        <f>IF(MOD(VALUE(MID(matura7[[#This Row],[PESEL]],10,1)),2)=0,"K","M")</f>
        <v>M</v>
      </c>
    </row>
    <row r="96" spans="1:5" x14ac:dyDescent="0.3">
      <c r="A96" s="1" t="s">
        <v>116</v>
      </c>
      <c r="B96" s="1" t="s">
        <v>119</v>
      </c>
      <c r="C96">
        <v>100</v>
      </c>
      <c r="D96">
        <v>80</v>
      </c>
      <c r="E96" t="str">
        <f>IF(MOD(VALUE(MID(matura7[[#This Row],[PESEL]],10,1)),2)=0,"K","M")</f>
        <v>M</v>
      </c>
    </row>
    <row r="97" spans="1:5" x14ac:dyDescent="0.3">
      <c r="A97" s="1" t="s">
        <v>116</v>
      </c>
      <c r="B97" s="1" t="s">
        <v>120</v>
      </c>
      <c r="C97">
        <v>86</v>
      </c>
      <c r="D97">
        <v>84</v>
      </c>
      <c r="E97" t="str">
        <f>IF(MOD(VALUE(MID(matura7[[#This Row],[PESEL]],10,1)),2)=0,"K","M")</f>
        <v>K</v>
      </c>
    </row>
    <row r="98" spans="1:5" x14ac:dyDescent="0.3">
      <c r="A98" s="1" t="s">
        <v>116</v>
      </c>
      <c r="B98" s="1" t="s">
        <v>121</v>
      </c>
      <c r="C98">
        <v>82</v>
      </c>
      <c r="D98">
        <v>60</v>
      </c>
      <c r="E98" t="str">
        <f>IF(MOD(VALUE(MID(matura7[[#This Row],[PESEL]],10,1)),2)=0,"K","M")</f>
        <v>M</v>
      </c>
    </row>
    <row r="99" spans="1:5" x14ac:dyDescent="0.3">
      <c r="A99" s="1" t="s">
        <v>116</v>
      </c>
      <c r="B99" s="1" t="s">
        <v>122</v>
      </c>
      <c r="C99">
        <v>98</v>
      </c>
      <c r="D99">
        <v>73</v>
      </c>
      <c r="E99" t="str">
        <f>IF(MOD(VALUE(MID(matura7[[#This Row],[PESEL]],10,1)),2)=0,"K","M")</f>
        <v>M</v>
      </c>
    </row>
    <row r="100" spans="1:5" x14ac:dyDescent="0.3">
      <c r="A100" s="1" t="s">
        <v>116</v>
      </c>
      <c r="B100" s="1" t="s">
        <v>123</v>
      </c>
      <c r="C100">
        <v>94</v>
      </c>
      <c r="D100">
        <v>76</v>
      </c>
      <c r="E100" t="str">
        <f>IF(MOD(VALUE(MID(matura7[[#This Row],[PESEL]],10,1)),2)=0,"K","M")</f>
        <v>K</v>
      </c>
    </row>
    <row r="101" spans="1:5" x14ac:dyDescent="0.3">
      <c r="A101" s="1" t="s">
        <v>116</v>
      </c>
      <c r="B101" s="1" t="s">
        <v>124</v>
      </c>
      <c r="C101">
        <v>72</v>
      </c>
      <c r="D101">
        <v>54</v>
      </c>
      <c r="E101" t="str">
        <f>IF(MOD(VALUE(MID(matura7[[#This Row],[PESEL]],10,1)),2)=0,"K","M")</f>
        <v>M</v>
      </c>
    </row>
    <row r="102" spans="1:5" x14ac:dyDescent="0.3">
      <c r="A102" s="1" t="s">
        <v>116</v>
      </c>
      <c r="B102" s="1" t="s">
        <v>125</v>
      </c>
      <c r="C102">
        <v>86</v>
      </c>
      <c r="D102">
        <v>53</v>
      </c>
      <c r="E102" t="str">
        <f>IF(MOD(VALUE(MID(matura7[[#This Row],[PESEL]],10,1)),2)=0,"K","M")</f>
        <v>M</v>
      </c>
    </row>
    <row r="103" spans="1:5" x14ac:dyDescent="0.3">
      <c r="A103" s="1" t="s">
        <v>116</v>
      </c>
      <c r="B103" s="1" t="s">
        <v>126</v>
      </c>
      <c r="C103">
        <v>84</v>
      </c>
      <c r="D103">
        <v>56</v>
      </c>
      <c r="E103" t="str">
        <f>IF(MOD(VALUE(MID(matura7[[#This Row],[PESEL]],10,1)),2)=0,"K","M")</f>
        <v>M</v>
      </c>
    </row>
    <row r="104" spans="1:5" x14ac:dyDescent="0.3">
      <c r="A104" s="1" t="s">
        <v>116</v>
      </c>
      <c r="B104" s="1" t="s">
        <v>127</v>
      </c>
      <c r="C104">
        <v>94</v>
      </c>
      <c r="D104">
        <v>77</v>
      </c>
      <c r="E104" t="str">
        <f>IF(MOD(VALUE(MID(matura7[[#This Row],[PESEL]],10,1)),2)=0,"K","M")</f>
        <v>K</v>
      </c>
    </row>
    <row r="105" spans="1:5" x14ac:dyDescent="0.3">
      <c r="A105" s="1" t="s">
        <v>116</v>
      </c>
      <c r="B105" s="1" t="s">
        <v>128</v>
      </c>
      <c r="C105">
        <v>78</v>
      </c>
      <c r="D105">
        <v>30</v>
      </c>
      <c r="E105" t="str">
        <f>IF(MOD(VALUE(MID(matura7[[#This Row],[PESEL]],10,1)),2)=0,"K","M")</f>
        <v>M</v>
      </c>
    </row>
    <row r="106" spans="1:5" x14ac:dyDescent="0.3">
      <c r="A106" s="1" t="s">
        <v>116</v>
      </c>
      <c r="B106" s="1" t="s">
        <v>129</v>
      </c>
      <c r="C106">
        <v>80</v>
      </c>
      <c r="D106">
        <v>74</v>
      </c>
      <c r="E106" t="str">
        <f>IF(MOD(VALUE(MID(matura7[[#This Row],[PESEL]],10,1)),2)=0,"K","M")</f>
        <v>K</v>
      </c>
    </row>
    <row r="107" spans="1:5" x14ac:dyDescent="0.3">
      <c r="A107" s="1" t="s">
        <v>116</v>
      </c>
      <c r="B107" s="1" t="s">
        <v>130</v>
      </c>
      <c r="C107">
        <v>64</v>
      </c>
      <c r="D107">
        <v>54</v>
      </c>
      <c r="E107" t="str">
        <f>IF(MOD(VALUE(MID(matura7[[#This Row],[PESEL]],10,1)),2)=0,"K","M")</f>
        <v>K</v>
      </c>
    </row>
    <row r="108" spans="1:5" x14ac:dyDescent="0.3">
      <c r="A108" s="1" t="s">
        <v>116</v>
      </c>
      <c r="B108" s="1" t="s">
        <v>131</v>
      </c>
      <c r="C108">
        <v>100</v>
      </c>
      <c r="D108">
        <v>64</v>
      </c>
      <c r="E108" t="str">
        <f>IF(MOD(VALUE(MID(matura7[[#This Row],[PESEL]],10,1)),2)=0,"K","M")</f>
        <v>M</v>
      </c>
    </row>
    <row r="109" spans="1:5" x14ac:dyDescent="0.3">
      <c r="A109" s="1" t="s">
        <v>116</v>
      </c>
      <c r="B109" s="1" t="s">
        <v>132</v>
      </c>
      <c r="C109">
        <v>92</v>
      </c>
      <c r="D109">
        <v>74</v>
      </c>
      <c r="E109" t="str">
        <f>IF(MOD(VALUE(MID(matura7[[#This Row],[PESEL]],10,1)),2)=0,"K","M")</f>
        <v>M</v>
      </c>
    </row>
    <row r="110" spans="1:5" x14ac:dyDescent="0.3">
      <c r="A110" s="1" t="s">
        <v>116</v>
      </c>
      <c r="B110" s="1" t="s">
        <v>133</v>
      </c>
      <c r="C110">
        <v>94</v>
      </c>
      <c r="D110">
        <v>59</v>
      </c>
      <c r="E110" t="str">
        <f>IF(MOD(VALUE(MID(matura7[[#This Row],[PESEL]],10,1)),2)=0,"K","M")</f>
        <v>M</v>
      </c>
    </row>
    <row r="111" spans="1:5" x14ac:dyDescent="0.3">
      <c r="A111" s="1" t="s">
        <v>116</v>
      </c>
      <c r="B111" s="1" t="s">
        <v>134</v>
      </c>
      <c r="C111">
        <v>88</v>
      </c>
      <c r="D111">
        <v>51</v>
      </c>
      <c r="E111" t="str">
        <f>IF(MOD(VALUE(MID(matura7[[#This Row],[PESEL]],10,1)),2)=0,"K","M")</f>
        <v>M</v>
      </c>
    </row>
    <row r="112" spans="1:5" x14ac:dyDescent="0.3">
      <c r="A112" s="1" t="s">
        <v>116</v>
      </c>
      <c r="B112" s="1" t="s">
        <v>135</v>
      </c>
      <c r="C112">
        <v>100</v>
      </c>
      <c r="D112">
        <v>51</v>
      </c>
      <c r="E112" t="str">
        <f>IF(MOD(VALUE(MID(matura7[[#This Row],[PESEL]],10,1)),2)=0,"K","M")</f>
        <v>M</v>
      </c>
    </row>
    <row r="113" spans="1:5" x14ac:dyDescent="0.3">
      <c r="A113" s="1" t="s">
        <v>116</v>
      </c>
      <c r="B113" s="1" t="s">
        <v>136</v>
      </c>
      <c r="C113">
        <v>92</v>
      </c>
      <c r="D113">
        <v>63</v>
      </c>
      <c r="E113" t="str">
        <f>IF(MOD(VALUE(MID(matura7[[#This Row],[PESEL]],10,1)),2)=0,"K","M")</f>
        <v>M</v>
      </c>
    </row>
    <row r="114" spans="1:5" x14ac:dyDescent="0.3">
      <c r="A114" s="1" t="s">
        <v>116</v>
      </c>
      <c r="B114" s="1" t="s">
        <v>137</v>
      </c>
      <c r="C114">
        <v>98</v>
      </c>
      <c r="D114">
        <v>63</v>
      </c>
      <c r="E114" t="str">
        <f>IF(MOD(VALUE(MID(matura7[[#This Row],[PESEL]],10,1)),2)=0,"K","M")</f>
        <v>M</v>
      </c>
    </row>
    <row r="115" spans="1:5" x14ac:dyDescent="0.3">
      <c r="A115" s="1" t="s">
        <v>116</v>
      </c>
      <c r="B115" s="1" t="s">
        <v>138</v>
      </c>
      <c r="C115">
        <v>96</v>
      </c>
      <c r="D115">
        <v>66</v>
      </c>
      <c r="E115" t="str">
        <f>IF(MOD(VALUE(MID(matura7[[#This Row],[PESEL]],10,1)),2)=0,"K","M")</f>
        <v>M</v>
      </c>
    </row>
    <row r="116" spans="1:5" x14ac:dyDescent="0.3">
      <c r="A116" s="1" t="s">
        <v>116</v>
      </c>
      <c r="B116" s="1" t="s">
        <v>139</v>
      </c>
      <c r="C116">
        <v>94</v>
      </c>
      <c r="D116">
        <v>57</v>
      </c>
      <c r="E116" t="str">
        <f>IF(MOD(VALUE(MID(matura7[[#This Row],[PESEL]],10,1)),2)=0,"K","M")</f>
        <v>K</v>
      </c>
    </row>
    <row r="117" spans="1:5" x14ac:dyDescent="0.3">
      <c r="A117" s="1" t="s">
        <v>116</v>
      </c>
      <c r="B117" s="1" t="s">
        <v>140</v>
      </c>
      <c r="C117">
        <v>94</v>
      </c>
      <c r="D117">
        <v>63</v>
      </c>
      <c r="E117" t="str">
        <f>IF(MOD(VALUE(MID(matura7[[#This Row],[PESEL]],10,1)),2)=0,"K","M")</f>
        <v>K</v>
      </c>
    </row>
    <row r="118" spans="1:5" x14ac:dyDescent="0.3">
      <c r="A118" s="1" t="s">
        <v>116</v>
      </c>
      <c r="B118" s="1" t="s">
        <v>141</v>
      </c>
      <c r="C118">
        <v>100</v>
      </c>
      <c r="D118">
        <v>70</v>
      </c>
      <c r="E118" t="str">
        <f>IF(MOD(VALUE(MID(matura7[[#This Row],[PESEL]],10,1)),2)=0,"K","M")</f>
        <v>K</v>
      </c>
    </row>
    <row r="119" spans="1:5" x14ac:dyDescent="0.3">
      <c r="A119" s="1" t="s">
        <v>116</v>
      </c>
      <c r="B119" s="1" t="s">
        <v>142</v>
      </c>
      <c r="C119">
        <v>94</v>
      </c>
      <c r="D119">
        <v>57</v>
      </c>
      <c r="E119" t="str">
        <f>IF(MOD(VALUE(MID(matura7[[#This Row],[PESEL]],10,1)),2)=0,"K","M")</f>
        <v>M</v>
      </c>
    </row>
    <row r="120" spans="1:5" x14ac:dyDescent="0.3">
      <c r="A120" s="1" t="s">
        <v>116</v>
      </c>
      <c r="B120" s="1" t="s">
        <v>143</v>
      </c>
      <c r="C120">
        <v>98</v>
      </c>
      <c r="D120">
        <v>90</v>
      </c>
      <c r="E120" t="str">
        <f>IF(MOD(VALUE(MID(matura7[[#This Row],[PESEL]],10,1)),2)=0,"K","M")</f>
        <v>M</v>
      </c>
    </row>
    <row r="121" spans="1:5" x14ac:dyDescent="0.3">
      <c r="A121" s="1" t="s">
        <v>116</v>
      </c>
      <c r="B121" s="1" t="s">
        <v>144</v>
      </c>
      <c r="C121">
        <v>90</v>
      </c>
      <c r="D121">
        <v>74</v>
      </c>
      <c r="E121" t="str">
        <f>IF(MOD(VALUE(MID(matura7[[#This Row],[PESEL]],10,1)),2)=0,"K","M")</f>
        <v>M</v>
      </c>
    </row>
    <row r="122" spans="1:5" x14ac:dyDescent="0.3">
      <c r="A122" s="1" t="s">
        <v>116</v>
      </c>
      <c r="B122" s="1" t="s">
        <v>145</v>
      </c>
      <c r="C122">
        <v>92</v>
      </c>
      <c r="D122">
        <v>70</v>
      </c>
      <c r="E122" t="str">
        <f>IF(MOD(VALUE(MID(matura7[[#This Row],[PESEL]],10,1)),2)=0,"K","M")</f>
        <v>M</v>
      </c>
    </row>
    <row r="123" spans="1:5" x14ac:dyDescent="0.3">
      <c r="A123" s="1" t="s">
        <v>116</v>
      </c>
      <c r="B123" s="1" t="s">
        <v>146</v>
      </c>
      <c r="C123">
        <v>96</v>
      </c>
      <c r="D123">
        <v>67</v>
      </c>
      <c r="E123" t="str">
        <f>IF(MOD(VALUE(MID(matura7[[#This Row],[PESEL]],10,1)),2)=0,"K","M")</f>
        <v>M</v>
      </c>
    </row>
    <row r="124" spans="1:5" x14ac:dyDescent="0.3">
      <c r="A124" s="1" t="s">
        <v>116</v>
      </c>
      <c r="B124" s="1" t="s">
        <v>147</v>
      </c>
      <c r="C124">
        <v>94</v>
      </c>
      <c r="D124">
        <v>81</v>
      </c>
      <c r="E124" t="str">
        <f>IF(MOD(VALUE(MID(matura7[[#This Row],[PESEL]],10,1)),2)=0,"K","M")</f>
        <v>K</v>
      </c>
    </row>
    <row r="125" spans="1:5" x14ac:dyDescent="0.3">
      <c r="A125" s="1" t="s">
        <v>116</v>
      </c>
      <c r="B125" s="1" t="s">
        <v>148</v>
      </c>
      <c r="C125">
        <v>82</v>
      </c>
      <c r="D125">
        <v>73</v>
      </c>
      <c r="E125" t="str">
        <f>IF(MOD(VALUE(MID(matura7[[#This Row],[PESEL]],10,1)),2)=0,"K","M")</f>
        <v>M</v>
      </c>
    </row>
    <row r="126" spans="1:5" x14ac:dyDescent="0.3">
      <c r="A126" s="1" t="s">
        <v>116</v>
      </c>
      <c r="B126" s="1" t="s">
        <v>149</v>
      </c>
      <c r="C126">
        <v>98</v>
      </c>
      <c r="D126">
        <v>59</v>
      </c>
      <c r="E126" t="str">
        <f>IF(MOD(VALUE(MID(matura7[[#This Row],[PESEL]],10,1)),2)=0,"K","M")</f>
        <v>K</v>
      </c>
    </row>
    <row r="127" spans="1:5" x14ac:dyDescent="0.3">
      <c r="A127" s="1" t="s">
        <v>150</v>
      </c>
      <c r="B127" s="1" t="s">
        <v>151</v>
      </c>
      <c r="C127">
        <v>58</v>
      </c>
      <c r="D127">
        <v>69</v>
      </c>
      <c r="E127" t="str">
        <f>IF(MOD(VALUE(MID(matura7[[#This Row],[PESEL]],10,1)),2)=0,"K","M")</f>
        <v>M</v>
      </c>
    </row>
    <row r="128" spans="1:5" x14ac:dyDescent="0.3">
      <c r="A128" s="1" t="s">
        <v>150</v>
      </c>
      <c r="B128" s="1" t="s">
        <v>152</v>
      </c>
      <c r="C128">
        <v>68</v>
      </c>
      <c r="D128">
        <v>69</v>
      </c>
      <c r="E128" t="str">
        <f>IF(MOD(VALUE(MID(matura7[[#This Row],[PESEL]],10,1)),2)=0,"K","M")</f>
        <v>K</v>
      </c>
    </row>
    <row r="129" spans="1:5" x14ac:dyDescent="0.3">
      <c r="A129" s="1" t="s">
        <v>150</v>
      </c>
      <c r="B129" s="1" t="s">
        <v>153</v>
      </c>
      <c r="C129">
        <v>50</v>
      </c>
      <c r="D129">
        <v>81</v>
      </c>
      <c r="E129" t="str">
        <f>IF(MOD(VALUE(MID(matura7[[#This Row],[PESEL]],10,1)),2)=0,"K","M")</f>
        <v>K</v>
      </c>
    </row>
    <row r="130" spans="1:5" x14ac:dyDescent="0.3">
      <c r="A130" s="1" t="s">
        <v>150</v>
      </c>
      <c r="B130" s="1" t="s">
        <v>154</v>
      </c>
      <c r="C130">
        <v>58</v>
      </c>
      <c r="D130">
        <v>76</v>
      </c>
      <c r="E130" t="str">
        <f>IF(MOD(VALUE(MID(matura7[[#This Row],[PESEL]],10,1)),2)=0,"K","M")</f>
        <v>K</v>
      </c>
    </row>
    <row r="131" spans="1:5" x14ac:dyDescent="0.3">
      <c r="A131" s="1" t="s">
        <v>150</v>
      </c>
      <c r="B131" s="1" t="s">
        <v>155</v>
      </c>
      <c r="C131">
        <v>82</v>
      </c>
      <c r="D131">
        <v>73</v>
      </c>
      <c r="E131" t="str">
        <f>IF(MOD(VALUE(MID(matura7[[#This Row],[PESEL]],10,1)),2)=0,"K","M")</f>
        <v>K</v>
      </c>
    </row>
    <row r="132" spans="1:5" x14ac:dyDescent="0.3">
      <c r="A132" s="1" t="s">
        <v>150</v>
      </c>
      <c r="B132" s="1" t="s">
        <v>156</v>
      </c>
      <c r="C132">
        <v>74</v>
      </c>
      <c r="D132">
        <v>61</v>
      </c>
      <c r="E132" t="str">
        <f>IF(MOD(VALUE(MID(matura7[[#This Row],[PESEL]],10,1)),2)=0,"K","M")</f>
        <v>K</v>
      </c>
    </row>
    <row r="133" spans="1:5" x14ac:dyDescent="0.3">
      <c r="A133" s="1" t="s">
        <v>150</v>
      </c>
      <c r="B133" s="1" t="s">
        <v>157</v>
      </c>
      <c r="C133">
        <v>64</v>
      </c>
      <c r="D133">
        <v>74</v>
      </c>
      <c r="E133" t="str">
        <f>IF(MOD(VALUE(MID(matura7[[#This Row],[PESEL]],10,1)),2)=0,"K","M")</f>
        <v>M</v>
      </c>
    </row>
    <row r="134" spans="1:5" x14ac:dyDescent="0.3">
      <c r="A134" s="1" t="s">
        <v>150</v>
      </c>
      <c r="B134" s="1" t="s">
        <v>158</v>
      </c>
      <c r="C134">
        <v>56</v>
      </c>
      <c r="D134">
        <v>54</v>
      </c>
      <c r="E134" t="str">
        <f>IF(MOD(VALUE(MID(matura7[[#This Row],[PESEL]],10,1)),2)=0,"K","M")</f>
        <v>K</v>
      </c>
    </row>
    <row r="135" spans="1:5" x14ac:dyDescent="0.3">
      <c r="A135" s="1" t="s">
        <v>150</v>
      </c>
      <c r="B135" s="1" t="s">
        <v>159</v>
      </c>
      <c r="C135">
        <v>56</v>
      </c>
      <c r="D135">
        <v>67</v>
      </c>
      <c r="E135" t="str">
        <f>IF(MOD(VALUE(MID(matura7[[#This Row],[PESEL]],10,1)),2)=0,"K","M")</f>
        <v>K</v>
      </c>
    </row>
    <row r="136" spans="1:5" x14ac:dyDescent="0.3">
      <c r="A136" s="1" t="s">
        <v>150</v>
      </c>
      <c r="B136" s="1" t="s">
        <v>160</v>
      </c>
      <c r="C136">
        <v>54</v>
      </c>
      <c r="D136">
        <v>60</v>
      </c>
      <c r="E136" t="str">
        <f>IF(MOD(VALUE(MID(matura7[[#This Row],[PESEL]],10,1)),2)=0,"K","M")</f>
        <v>K</v>
      </c>
    </row>
    <row r="137" spans="1:5" x14ac:dyDescent="0.3">
      <c r="A137" s="1" t="s">
        <v>150</v>
      </c>
      <c r="B137" s="1" t="s">
        <v>161</v>
      </c>
      <c r="C137">
        <v>100</v>
      </c>
      <c r="D137">
        <v>73</v>
      </c>
      <c r="E137" t="str">
        <f>IF(MOD(VALUE(MID(matura7[[#This Row],[PESEL]],10,1)),2)=0,"K","M")</f>
        <v>K</v>
      </c>
    </row>
    <row r="138" spans="1:5" x14ac:dyDescent="0.3">
      <c r="A138" s="1" t="s">
        <v>150</v>
      </c>
      <c r="B138" s="1" t="s">
        <v>162</v>
      </c>
      <c r="C138">
        <v>56</v>
      </c>
      <c r="D138">
        <v>81</v>
      </c>
      <c r="E138" t="str">
        <f>IF(MOD(VALUE(MID(matura7[[#This Row],[PESEL]],10,1)),2)=0,"K","M")</f>
        <v>K</v>
      </c>
    </row>
    <row r="139" spans="1:5" x14ac:dyDescent="0.3">
      <c r="A139" s="1" t="s">
        <v>150</v>
      </c>
      <c r="B139" s="1" t="s">
        <v>163</v>
      </c>
      <c r="C139">
        <v>78</v>
      </c>
      <c r="D139">
        <v>90</v>
      </c>
      <c r="E139" t="str">
        <f>IF(MOD(VALUE(MID(matura7[[#This Row],[PESEL]],10,1)),2)=0,"K","M")</f>
        <v>K</v>
      </c>
    </row>
    <row r="140" spans="1:5" x14ac:dyDescent="0.3">
      <c r="A140" s="1" t="s">
        <v>150</v>
      </c>
      <c r="B140" s="1" t="s">
        <v>164</v>
      </c>
      <c r="C140">
        <v>78</v>
      </c>
      <c r="D140">
        <v>79</v>
      </c>
      <c r="E140" t="str">
        <f>IF(MOD(VALUE(MID(matura7[[#This Row],[PESEL]],10,1)),2)=0,"K","M")</f>
        <v>K</v>
      </c>
    </row>
    <row r="141" spans="1:5" x14ac:dyDescent="0.3">
      <c r="A141" s="1" t="s">
        <v>150</v>
      </c>
      <c r="B141" s="1" t="s">
        <v>165</v>
      </c>
      <c r="C141">
        <v>44</v>
      </c>
      <c r="D141">
        <v>69</v>
      </c>
      <c r="E141" t="str">
        <f>IF(MOD(VALUE(MID(matura7[[#This Row],[PESEL]],10,1)),2)=0,"K","M")</f>
        <v>K</v>
      </c>
    </row>
    <row r="142" spans="1:5" x14ac:dyDescent="0.3">
      <c r="A142" s="1" t="s">
        <v>150</v>
      </c>
      <c r="B142" s="1" t="s">
        <v>166</v>
      </c>
      <c r="C142">
        <v>40</v>
      </c>
      <c r="D142">
        <v>76</v>
      </c>
      <c r="E142" t="str">
        <f>IF(MOD(VALUE(MID(matura7[[#This Row],[PESEL]],10,1)),2)=0,"K","M")</f>
        <v>K</v>
      </c>
    </row>
    <row r="143" spans="1:5" x14ac:dyDescent="0.3">
      <c r="A143" s="1" t="s">
        <v>150</v>
      </c>
      <c r="B143" s="1" t="s">
        <v>167</v>
      </c>
      <c r="C143">
        <v>64</v>
      </c>
      <c r="D143">
        <v>79</v>
      </c>
      <c r="E143" t="str">
        <f>IF(MOD(VALUE(MID(matura7[[#This Row],[PESEL]],10,1)),2)=0,"K","M")</f>
        <v>K</v>
      </c>
    </row>
    <row r="144" spans="1:5" x14ac:dyDescent="0.3">
      <c r="A144" s="1" t="s">
        <v>150</v>
      </c>
      <c r="B144" s="1" t="s">
        <v>168</v>
      </c>
      <c r="C144">
        <v>40</v>
      </c>
      <c r="D144">
        <v>37</v>
      </c>
      <c r="E144" t="str">
        <f>IF(MOD(VALUE(MID(matura7[[#This Row],[PESEL]],10,1)),2)=0,"K","M")</f>
        <v>K</v>
      </c>
    </row>
    <row r="145" spans="1:5" x14ac:dyDescent="0.3">
      <c r="A145" s="1" t="s">
        <v>150</v>
      </c>
      <c r="B145" s="1" t="s">
        <v>169</v>
      </c>
      <c r="C145">
        <v>56</v>
      </c>
      <c r="D145">
        <v>57</v>
      </c>
      <c r="E145" t="str">
        <f>IF(MOD(VALUE(MID(matura7[[#This Row],[PESEL]],10,1)),2)=0,"K","M")</f>
        <v>K</v>
      </c>
    </row>
    <row r="146" spans="1:5" x14ac:dyDescent="0.3">
      <c r="A146" s="1" t="s">
        <v>150</v>
      </c>
      <c r="B146" s="1" t="s">
        <v>170</v>
      </c>
      <c r="C146">
        <v>66</v>
      </c>
      <c r="D146">
        <v>56</v>
      </c>
      <c r="E146" t="str">
        <f>IF(MOD(VALUE(MID(matura7[[#This Row],[PESEL]],10,1)),2)=0,"K","M")</f>
        <v>K</v>
      </c>
    </row>
    <row r="147" spans="1:5" x14ac:dyDescent="0.3">
      <c r="A147" s="1" t="s">
        <v>150</v>
      </c>
      <c r="B147" s="1" t="s">
        <v>171</v>
      </c>
      <c r="C147">
        <v>68</v>
      </c>
      <c r="D147">
        <v>50</v>
      </c>
      <c r="E147" t="str">
        <f>IF(MOD(VALUE(MID(matura7[[#This Row],[PESEL]],10,1)),2)=0,"K","M")</f>
        <v>K</v>
      </c>
    </row>
    <row r="148" spans="1:5" x14ac:dyDescent="0.3">
      <c r="A148" s="1" t="s">
        <v>150</v>
      </c>
      <c r="B148" s="1" t="s">
        <v>172</v>
      </c>
      <c r="C148">
        <v>58</v>
      </c>
      <c r="D148">
        <v>43</v>
      </c>
      <c r="E148" t="str">
        <f>IF(MOD(VALUE(MID(matura7[[#This Row],[PESEL]],10,1)),2)=0,"K","M")</f>
        <v>K</v>
      </c>
    </row>
    <row r="149" spans="1:5" x14ac:dyDescent="0.3">
      <c r="A149" s="1" t="s">
        <v>150</v>
      </c>
      <c r="B149" s="1" t="s">
        <v>173</v>
      </c>
      <c r="C149">
        <v>96</v>
      </c>
      <c r="D149">
        <v>80</v>
      </c>
      <c r="E149" t="str">
        <f>IF(MOD(VALUE(MID(matura7[[#This Row],[PESEL]],10,1)),2)=0,"K","M")</f>
        <v>K</v>
      </c>
    </row>
    <row r="150" spans="1:5" x14ac:dyDescent="0.3">
      <c r="A150" s="1" t="s">
        <v>150</v>
      </c>
      <c r="B150" s="1" t="s">
        <v>174</v>
      </c>
      <c r="C150">
        <v>38</v>
      </c>
      <c r="D150">
        <v>47</v>
      </c>
      <c r="E150" t="str">
        <f>IF(MOD(VALUE(MID(matura7[[#This Row],[PESEL]],10,1)),2)=0,"K","M")</f>
        <v>K</v>
      </c>
    </row>
    <row r="151" spans="1:5" x14ac:dyDescent="0.3">
      <c r="A151" s="1" t="s">
        <v>150</v>
      </c>
      <c r="B151" s="1" t="s">
        <v>175</v>
      </c>
      <c r="C151">
        <v>62</v>
      </c>
      <c r="D151">
        <v>71</v>
      </c>
      <c r="E151" t="str">
        <f>IF(MOD(VALUE(MID(matura7[[#This Row],[PESEL]],10,1)),2)=0,"K","M")</f>
        <v>K</v>
      </c>
    </row>
    <row r="152" spans="1:5" x14ac:dyDescent="0.3">
      <c r="A152" s="1" t="s">
        <v>150</v>
      </c>
      <c r="B152" s="1" t="s">
        <v>176</v>
      </c>
      <c r="C152">
        <v>58</v>
      </c>
      <c r="D152">
        <v>41</v>
      </c>
      <c r="E152" t="str">
        <f>IF(MOD(VALUE(MID(matura7[[#This Row],[PESEL]],10,1)),2)=0,"K","M")</f>
        <v>K</v>
      </c>
    </row>
    <row r="153" spans="1:5" x14ac:dyDescent="0.3">
      <c r="A153" s="1" t="s">
        <v>150</v>
      </c>
      <c r="B153" s="1" t="s">
        <v>177</v>
      </c>
      <c r="C153">
        <v>62</v>
      </c>
      <c r="D153">
        <v>59</v>
      </c>
      <c r="E153" t="str">
        <f>IF(MOD(VALUE(MID(matura7[[#This Row],[PESEL]],10,1)),2)=0,"K","M")</f>
        <v>K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C089-972E-4EA0-BD3E-F100941B8F02}">
  <dimension ref="A1:V153"/>
  <sheetViews>
    <sheetView tabSelected="1" topLeftCell="P1" zoomScale="115" zoomScaleNormal="115" workbookViewId="0">
      <selection activeCell="V13" sqref="V13"/>
    </sheetView>
  </sheetViews>
  <sheetFormatPr defaultRowHeight="14.4" x14ac:dyDescent="0.3"/>
  <cols>
    <col min="1" max="1" width="8.5546875" bestFit="1" customWidth="1"/>
    <col min="2" max="2" width="12" bestFit="1" customWidth="1"/>
    <col min="3" max="3" width="11.6640625" bestFit="1" customWidth="1"/>
    <col min="4" max="4" width="11.44140625" bestFit="1" customWidth="1"/>
    <col min="5" max="5" width="10.33203125" bestFit="1" customWidth="1"/>
    <col min="6" max="6" width="13" bestFit="1" customWidth="1"/>
    <col min="7" max="7" width="11.6640625" bestFit="1" customWidth="1"/>
    <col min="8" max="8" width="15" bestFit="1" customWidth="1"/>
    <col min="9" max="9" width="12.5546875" bestFit="1" customWidth="1"/>
    <col min="10" max="10" width="13.109375" bestFit="1" customWidth="1"/>
    <col min="11" max="11" width="14.21875" bestFit="1" customWidth="1"/>
    <col min="12" max="12" width="13.6640625" bestFit="1" customWidth="1"/>
    <col min="13" max="13" width="15.44140625" bestFit="1" customWidth="1"/>
    <col min="14" max="14" width="10.109375" bestFit="1" customWidth="1"/>
    <col min="15" max="15" width="9.109375" bestFit="1" customWidth="1"/>
    <col min="19" max="19" width="21.77734375" bestFit="1" customWidth="1"/>
    <col min="20" max="20" width="18.21875" bestFit="1" customWidth="1"/>
    <col min="21" max="21" width="3" bestFit="1" customWidth="1"/>
    <col min="22" max="22" width="13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11</v>
      </c>
      <c r="K1" t="s">
        <v>13</v>
      </c>
      <c r="L1" t="s">
        <v>15</v>
      </c>
      <c r="M1" t="s">
        <v>17</v>
      </c>
      <c r="N1" t="s">
        <v>19</v>
      </c>
      <c r="O1" t="s">
        <v>20</v>
      </c>
      <c r="P1" t="s">
        <v>203</v>
      </c>
      <c r="Q1" t="s">
        <v>204</v>
      </c>
      <c r="S1" s="5" t="s">
        <v>204</v>
      </c>
      <c r="T1" t="s">
        <v>205</v>
      </c>
    </row>
    <row r="2" spans="1:22" x14ac:dyDescent="0.3">
      <c r="A2" s="1" t="s">
        <v>21</v>
      </c>
      <c r="B2" s="1" t="s">
        <v>22</v>
      </c>
      <c r="C2">
        <v>52</v>
      </c>
      <c r="I2">
        <v>91</v>
      </c>
      <c r="J2">
        <v>88</v>
      </c>
      <c r="P2" t="str">
        <f>IF(MOD(VALUE(MID(matura8[[#This Row],[PESEL]],10,1)),2)=0,"K","M")</f>
        <v>K</v>
      </c>
      <c r="Q2">
        <f>COUNTA(matura8[[#This Row],[Biologia-R]:[WOS-R]])</f>
        <v>3</v>
      </c>
    </row>
    <row r="3" spans="1:22" x14ac:dyDescent="0.3">
      <c r="A3" s="1" t="s">
        <v>21</v>
      </c>
      <c r="B3" s="1" t="s">
        <v>23</v>
      </c>
      <c r="C3">
        <v>33</v>
      </c>
      <c r="D3">
        <v>52</v>
      </c>
      <c r="P3" t="str">
        <f>IF(MOD(VALUE(MID(matura8[[#This Row],[PESEL]],10,1)),2)=0,"K","M")</f>
        <v>K</v>
      </c>
      <c r="Q3">
        <f>COUNTA(matura8[[#This Row],[Biologia-R]:[WOS-R]])</f>
        <v>2</v>
      </c>
      <c r="S3" s="5" t="s">
        <v>207</v>
      </c>
      <c r="T3" s="5" t="s">
        <v>200</v>
      </c>
    </row>
    <row r="4" spans="1:22" x14ac:dyDescent="0.3">
      <c r="A4" s="1" t="s">
        <v>21</v>
      </c>
      <c r="B4" s="1" t="s">
        <v>24</v>
      </c>
      <c r="C4">
        <v>70</v>
      </c>
      <c r="D4">
        <v>58</v>
      </c>
      <c r="P4" t="str">
        <f>IF(MOD(VALUE(MID(matura8[[#This Row],[PESEL]],10,1)),2)=0,"K","M")</f>
        <v>K</v>
      </c>
      <c r="Q4">
        <f>COUNTA(matura8[[#This Row],[Biologia-R]:[WOS-R]])</f>
        <v>2</v>
      </c>
      <c r="S4" s="5" t="s">
        <v>179</v>
      </c>
      <c r="T4" t="s">
        <v>198</v>
      </c>
      <c r="U4" t="s">
        <v>199</v>
      </c>
      <c r="V4" t="s">
        <v>180</v>
      </c>
    </row>
    <row r="5" spans="1:22" x14ac:dyDescent="0.3">
      <c r="A5" s="1" t="s">
        <v>21</v>
      </c>
      <c r="B5" s="1" t="s">
        <v>25</v>
      </c>
      <c r="C5">
        <v>90</v>
      </c>
      <c r="D5">
        <v>78</v>
      </c>
      <c r="I5">
        <v>68</v>
      </c>
      <c r="P5" t="str">
        <f>IF(MOD(VALUE(MID(matura8[[#This Row],[PESEL]],10,1)),2)=0,"K","M")</f>
        <v>K</v>
      </c>
      <c r="Q5">
        <f>COUNTA(matura8[[#This Row],[Biologia-R]:[WOS-R]])</f>
        <v>3</v>
      </c>
      <c r="S5" s="6" t="s">
        <v>21</v>
      </c>
      <c r="T5" s="1">
        <v>11</v>
      </c>
      <c r="U5" s="1">
        <v>1</v>
      </c>
      <c r="V5" s="1">
        <v>12</v>
      </c>
    </row>
    <row r="6" spans="1:22" x14ac:dyDescent="0.3">
      <c r="A6" s="1" t="s">
        <v>21</v>
      </c>
      <c r="B6" s="1" t="s">
        <v>26</v>
      </c>
      <c r="C6">
        <v>62</v>
      </c>
      <c r="D6">
        <v>62</v>
      </c>
      <c r="P6" t="str">
        <f>IF(MOD(VALUE(MID(matura8[[#This Row],[PESEL]],10,1)),2)=0,"K","M")</f>
        <v>M</v>
      </c>
      <c r="Q6">
        <f>COUNTA(matura8[[#This Row],[Biologia-R]:[WOS-R]])</f>
        <v>2</v>
      </c>
      <c r="S6" s="6" t="s">
        <v>56</v>
      </c>
      <c r="T6" s="1">
        <v>18</v>
      </c>
      <c r="U6" s="1">
        <v>7</v>
      </c>
      <c r="V6" s="1">
        <v>25</v>
      </c>
    </row>
    <row r="7" spans="1:22" x14ac:dyDescent="0.3">
      <c r="A7" s="1" t="s">
        <v>21</v>
      </c>
      <c r="B7" s="1" t="s">
        <v>27</v>
      </c>
      <c r="C7">
        <v>65</v>
      </c>
      <c r="D7">
        <v>65</v>
      </c>
      <c r="P7" t="str">
        <f>IF(MOD(VALUE(MID(matura8[[#This Row],[PESEL]],10,1)),2)=0,"K","M")</f>
        <v>M</v>
      </c>
      <c r="Q7">
        <f>COUNTA(matura8[[#This Row],[Biologia-R]:[WOS-R]])</f>
        <v>2</v>
      </c>
      <c r="S7" s="6" t="s">
        <v>88</v>
      </c>
      <c r="T7" s="1">
        <v>9</v>
      </c>
      <c r="U7" s="1">
        <v>3</v>
      </c>
      <c r="V7" s="1">
        <v>12</v>
      </c>
    </row>
    <row r="8" spans="1:22" x14ac:dyDescent="0.3">
      <c r="A8" s="1" t="s">
        <v>21</v>
      </c>
      <c r="B8" s="1" t="s">
        <v>28</v>
      </c>
      <c r="D8">
        <v>58</v>
      </c>
      <c r="I8">
        <v>61</v>
      </c>
      <c r="M8">
        <v>34</v>
      </c>
      <c r="P8" t="str">
        <f>IF(MOD(VALUE(MID(matura8[[#This Row],[PESEL]],10,1)),2)=0,"K","M")</f>
        <v>K</v>
      </c>
      <c r="Q8">
        <f>COUNTA(matura8[[#This Row],[Biologia-R]:[WOS-R]])</f>
        <v>3</v>
      </c>
      <c r="S8" s="6" t="s">
        <v>116</v>
      </c>
      <c r="T8" s="1">
        <v>6</v>
      </c>
      <c r="U8" s="1">
        <v>21</v>
      </c>
      <c r="V8" s="1">
        <v>27</v>
      </c>
    </row>
    <row r="9" spans="1:22" x14ac:dyDescent="0.3">
      <c r="A9" s="1" t="s">
        <v>21</v>
      </c>
      <c r="B9" s="1" t="s">
        <v>29</v>
      </c>
      <c r="C9">
        <v>77</v>
      </c>
      <c r="D9">
        <v>85</v>
      </c>
      <c r="P9" t="str">
        <f>IF(MOD(VALUE(MID(matura8[[#This Row],[PESEL]],10,1)),2)=0,"K","M")</f>
        <v>K</v>
      </c>
      <c r="Q9">
        <f>COUNTA(matura8[[#This Row],[Biologia-R]:[WOS-R]])</f>
        <v>2</v>
      </c>
      <c r="S9" s="6" t="s">
        <v>150</v>
      </c>
      <c r="T9" s="1">
        <v>13</v>
      </c>
      <c r="U9" s="1">
        <v>1</v>
      </c>
      <c r="V9" s="1">
        <v>14</v>
      </c>
    </row>
    <row r="10" spans="1:22" x14ac:dyDescent="0.3">
      <c r="A10" s="1" t="s">
        <v>21</v>
      </c>
      <c r="B10" s="1" t="s">
        <v>30</v>
      </c>
      <c r="C10">
        <v>93</v>
      </c>
      <c r="D10">
        <v>67</v>
      </c>
      <c r="P10" t="str">
        <f>IF(MOD(VALUE(MID(matura8[[#This Row],[PESEL]],10,1)),2)=0,"K","M")</f>
        <v>M</v>
      </c>
      <c r="Q10">
        <f>COUNTA(matura8[[#This Row],[Biologia-R]:[WOS-R]])</f>
        <v>2</v>
      </c>
      <c r="S10" s="6" t="s">
        <v>180</v>
      </c>
      <c r="T10" s="1">
        <v>57</v>
      </c>
      <c r="U10" s="1">
        <v>33</v>
      </c>
      <c r="V10" s="1">
        <v>90</v>
      </c>
    </row>
    <row r="11" spans="1:22" x14ac:dyDescent="0.3">
      <c r="A11" s="1" t="s">
        <v>21</v>
      </c>
      <c r="B11" s="1" t="s">
        <v>31</v>
      </c>
      <c r="C11">
        <v>57</v>
      </c>
      <c r="D11">
        <v>47</v>
      </c>
      <c r="P11" t="str">
        <f>IF(MOD(VALUE(MID(matura8[[#This Row],[PESEL]],10,1)),2)=0,"K","M")</f>
        <v>K</v>
      </c>
      <c r="Q11">
        <f>COUNTA(matura8[[#This Row],[Biologia-R]:[WOS-R]])</f>
        <v>2</v>
      </c>
    </row>
    <row r="12" spans="1:22" x14ac:dyDescent="0.3">
      <c r="A12" s="1" t="s">
        <v>21</v>
      </c>
      <c r="B12" s="1" t="s">
        <v>32</v>
      </c>
      <c r="C12">
        <v>60</v>
      </c>
      <c r="I12">
        <v>89</v>
      </c>
      <c r="P12" t="str">
        <f>IF(MOD(VALUE(MID(matura8[[#This Row],[PESEL]],10,1)),2)=0,"K","M")</f>
        <v>K</v>
      </c>
      <c r="Q12">
        <f>COUNTA(matura8[[#This Row],[Biologia-R]:[WOS-R]])</f>
        <v>2</v>
      </c>
    </row>
    <row r="13" spans="1:22" x14ac:dyDescent="0.3">
      <c r="A13" s="1" t="s">
        <v>21</v>
      </c>
      <c r="B13" s="1" t="s">
        <v>33</v>
      </c>
      <c r="F13">
        <v>90</v>
      </c>
      <c r="I13">
        <v>100</v>
      </c>
      <c r="M13">
        <v>86</v>
      </c>
      <c r="P13" t="str">
        <f>IF(MOD(VALUE(MID(matura8[[#This Row],[PESEL]],10,1)),2)=0,"K","M")</f>
        <v>K</v>
      </c>
      <c r="Q13">
        <f>COUNTA(matura8[[#This Row],[Biologia-R]:[WOS-R]])</f>
        <v>3</v>
      </c>
    </row>
    <row r="14" spans="1:22" x14ac:dyDescent="0.3">
      <c r="A14" s="1" t="s">
        <v>21</v>
      </c>
      <c r="B14" s="1" t="s">
        <v>34</v>
      </c>
      <c r="C14">
        <v>95</v>
      </c>
      <c r="D14">
        <v>88</v>
      </c>
      <c r="P14" t="str">
        <f>IF(MOD(VALUE(MID(matura8[[#This Row],[PESEL]],10,1)),2)=0,"K","M")</f>
        <v>K</v>
      </c>
      <c r="Q14">
        <f>COUNTA(matura8[[#This Row],[Biologia-R]:[WOS-R]])</f>
        <v>2</v>
      </c>
      <c r="S14" s="3" t="s">
        <v>206</v>
      </c>
      <c r="T14" s="3" t="s">
        <v>198</v>
      </c>
      <c r="U14" s="3" t="s">
        <v>199</v>
      </c>
    </row>
    <row r="15" spans="1:22" x14ac:dyDescent="0.3">
      <c r="A15" s="1" t="s">
        <v>21</v>
      </c>
      <c r="B15" s="1" t="s">
        <v>35</v>
      </c>
      <c r="C15">
        <v>75</v>
      </c>
      <c r="D15">
        <v>67</v>
      </c>
      <c r="P15" t="str">
        <f>IF(MOD(VALUE(MID(matura8[[#This Row],[PESEL]],10,1)),2)=0,"K","M")</f>
        <v>K</v>
      </c>
      <c r="Q15">
        <f>COUNTA(matura8[[#This Row],[Biologia-R]:[WOS-R]])</f>
        <v>2</v>
      </c>
      <c r="S15" s="3" t="s">
        <v>21</v>
      </c>
      <c r="T15" s="4">
        <v>11</v>
      </c>
      <c r="U15" s="4">
        <v>1</v>
      </c>
    </row>
    <row r="16" spans="1:22" x14ac:dyDescent="0.3">
      <c r="A16" s="1" t="s">
        <v>21</v>
      </c>
      <c r="B16" s="1" t="s">
        <v>36</v>
      </c>
      <c r="C16">
        <v>85</v>
      </c>
      <c r="D16">
        <v>83</v>
      </c>
      <c r="E16">
        <v>48</v>
      </c>
      <c r="P16" t="str">
        <f>IF(MOD(VALUE(MID(matura8[[#This Row],[PESEL]],10,1)),2)=0,"K","M")</f>
        <v>M</v>
      </c>
      <c r="Q16">
        <f>COUNTA(matura8[[#This Row],[Biologia-R]:[WOS-R]])</f>
        <v>3</v>
      </c>
      <c r="S16" s="3" t="s">
        <v>56</v>
      </c>
      <c r="T16" s="4">
        <v>18</v>
      </c>
      <c r="U16" s="4">
        <v>7</v>
      </c>
    </row>
    <row r="17" spans="1:21" x14ac:dyDescent="0.3">
      <c r="A17" s="1" t="s">
        <v>21</v>
      </c>
      <c r="B17" s="1" t="s">
        <v>37</v>
      </c>
      <c r="C17">
        <v>62</v>
      </c>
      <c r="D17">
        <v>48</v>
      </c>
      <c r="P17" t="str">
        <f>IF(MOD(VALUE(MID(matura8[[#This Row],[PESEL]],10,1)),2)=0,"K","M")</f>
        <v>K</v>
      </c>
      <c r="Q17">
        <f>COUNTA(matura8[[#This Row],[Biologia-R]:[WOS-R]])</f>
        <v>2</v>
      </c>
      <c r="S17" s="3" t="s">
        <v>88</v>
      </c>
      <c r="T17" s="4">
        <v>9</v>
      </c>
      <c r="U17" s="4">
        <v>3</v>
      </c>
    </row>
    <row r="18" spans="1:21" x14ac:dyDescent="0.3">
      <c r="A18" s="1" t="s">
        <v>21</v>
      </c>
      <c r="B18" s="1" t="s">
        <v>38</v>
      </c>
      <c r="C18">
        <v>68</v>
      </c>
      <c r="D18">
        <v>62</v>
      </c>
      <c r="I18">
        <v>93</v>
      </c>
      <c r="P18" t="str">
        <f>IF(MOD(VALUE(MID(matura8[[#This Row],[PESEL]],10,1)),2)=0,"K","M")</f>
        <v>K</v>
      </c>
      <c r="Q18">
        <f>COUNTA(matura8[[#This Row],[Biologia-R]:[WOS-R]])</f>
        <v>3</v>
      </c>
      <c r="S18" s="3" t="s">
        <v>116</v>
      </c>
      <c r="T18" s="4">
        <v>6</v>
      </c>
      <c r="U18" s="4">
        <v>21</v>
      </c>
    </row>
    <row r="19" spans="1:21" x14ac:dyDescent="0.3">
      <c r="A19" s="1" t="s">
        <v>21</v>
      </c>
      <c r="B19" s="1" t="s">
        <v>39</v>
      </c>
      <c r="C19">
        <v>55</v>
      </c>
      <c r="D19">
        <v>62</v>
      </c>
      <c r="I19">
        <v>86</v>
      </c>
      <c r="P19" t="str">
        <f>IF(MOD(VALUE(MID(matura8[[#This Row],[PESEL]],10,1)),2)=0,"K","M")</f>
        <v>K</v>
      </c>
      <c r="Q19">
        <f>COUNTA(matura8[[#This Row],[Biologia-R]:[WOS-R]])</f>
        <v>3</v>
      </c>
      <c r="S19" s="3" t="s">
        <v>150</v>
      </c>
      <c r="T19" s="4">
        <v>13</v>
      </c>
      <c r="U19" s="4">
        <v>1</v>
      </c>
    </row>
    <row r="20" spans="1:21" x14ac:dyDescent="0.3">
      <c r="A20" s="1" t="s">
        <v>21</v>
      </c>
      <c r="B20" s="1" t="s">
        <v>40</v>
      </c>
      <c r="C20">
        <v>68</v>
      </c>
      <c r="D20">
        <v>45</v>
      </c>
      <c r="P20" t="str">
        <f>IF(MOD(VALUE(MID(matura8[[#This Row],[PESEL]],10,1)),2)=0,"K","M")</f>
        <v>K</v>
      </c>
      <c r="Q20">
        <f>COUNTA(matura8[[#This Row],[Biologia-R]:[WOS-R]])</f>
        <v>2</v>
      </c>
    </row>
    <row r="21" spans="1:21" x14ac:dyDescent="0.3">
      <c r="A21" s="1" t="s">
        <v>21</v>
      </c>
      <c r="B21" s="1" t="s">
        <v>41</v>
      </c>
      <c r="C21">
        <v>78</v>
      </c>
      <c r="I21">
        <v>77</v>
      </c>
      <c r="P21" t="str">
        <f>IF(MOD(VALUE(MID(matura8[[#This Row],[PESEL]],10,1)),2)=0,"K","M")</f>
        <v>K</v>
      </c>
      <c r="Q21">
        <f>COUNTA(matura8[[#This Row],[Biologia-R]:[WOS-R]])</f>
        <v>2</v>
      </c>
    </row>
    <row r="22" spans="1:21" x14ac:dyDescent="0.3">
      <c r="A22" s="1" t="s">
        <v>21</v>
      </c>
      <c r="B22" s="1" t="s">
        <v>42</v>
      </c>
      <c r="C22">
        <v>72</v>
      </c>
      <c r="D22">
        <v>68</v>
      </c>
      <c r="P22" t="str">
        <f>IF(MOD(VALUE(MID(matura8[[#This Row],[PESEL]],10,1)),2)=0,"K","M")</f>
        <v>K</v>
      </c>
      <c r="Q22">
        <f>COUNTA(matura8[[#This Row],[Biologia-R]:[WOS-R]])</f>
        <v>2</v>
      </c>
    </row>
    <row r="23" spans="1:21" x14ac:dyDescent="0.3">
      <c r="A23" s="1" t="s">
        <v>21</v>
      </c>
      <c r="B23" s="1" t="s">
        <v>43</v>
      </c>
      <c r="C23">
        <v>55</v>
      </c>
      <c r="D23">
        <v>50</v>
      </c>
      <c r="P23" t="str">
        <f>IF(MOD(VALUE(MID(matura8[[#This Row],[PESEL]],10,1)),2)=0,"K","M")</f>
        <v>K</v>
      </c>
      <c r="Q23">
        <f>COUNTA(matura8[[#This Row],[Biologia-R]:[WOS-R]])</f>
        <v>2</v>
      </c>
    </row>
    <row r="24" spans="1:21" x14ac:dyDescent="0.3">
      <c r="A24" s="1" t="s">
        <v>21</v>
      </c>
      <c r="B24" s="1" t="s">
        <v>44</v>
      </c>
      <c r="C24">
        <v>67</v>
      </c>
      <c r="D24">
        <v>60</v>
      </c>
      <c r="P24" t="str">
        <f>IF(MOD(VALUE(MID(matura8[[#This Row],[PESEL]],10,1)),2)=0,"K","M")</f>
        <v>K</v>
      </c>
      <c r="Q24">
        <f>COUNTA(matura8[[#This Row],[Biologia-R]:[WOS-R]])</f>
        <v>2</v>
      </c>
    </row>
    <row r="25" spans="1:21" x14ac:dyDescent="0.3">
      <c r="A25" s="1" t="s">
        <v>21</v>
      </c>
      <c r="B25" s="1" t="s">
        <v>45</v>
      </c>
      <c r="C25">
        <v>45</v>
      </c>
      <c r="D25">
        <v>30</v>
      </c>
      <c r="P25" t="str">
        <f>IF(MOD(VALUE(MID(matura8[[#This Row],[PESEL]],10,1)),2)=0,"K","M")</f>
        <v>K</v>
      </c>
      <c r="Q25">
        <f>COUNTA(matura8[[#This Row],[Biologia-R]:[WOS-R]])</f>
        <v>2</v>
      </c>
    </row>
    <row r="26" spans="1:21" x14ac:dyDescent="0.3">
      <c r="A26" s="1" t="s">
        <v>21</v>
      </c>
      <c r="B26" s="1" t="s">
        <v>46</v>
      </c>
      <c r="C26">
        <v>83</v>
      </c>
      <c r="D26">
        <v>50</v>
      </c>
      <c r="I26">
        <v>83</v>
      </c>
      <c r="P26" t="str">
        <f>IF(MOD(VALUE(MID(matura8[[#This Row],[PESEL]],10,1)),2)=0,"K","M")</f>
        <v>K</v>
      </c>
      <c r="Q26">
        <f>COUNTA(matura8[[#This Row],[Biologia-R]:[WOS-R]])</f>
        <v>3</v>
      </c>
    </row>
    <row r="27" spans="1:21" x14ac:dyDescent="0.3">
      <c r="A27" s="1" t="s">
        <v>21</v>
      </c>
      <c r="B27" s="1" t="s">
        <v>47</v>
      </c>
      <c r="C27">
        <v>80</v>
      </c>
      <c r="I27">
        <v>83</v>
      </c>
      <c r="P27" t="str">
        <f>IF(MOD(VALUE(MID(matura8[[#This Row],[PESEL]],10,1)),2)=0,"K","M")</f>
        <v>K</v>
      </c>
      <c r="Q27">
        <f>COUNTA(matura8[[#This Row],[Biologia-R]:[WOS-R]])</f>
        <v>2</v>
      </c>
    </row>
    <row r="28" spans="1:21" x14ac:dyDescent="0.3">
      <c r="A28" s="1" t="s">
        <v>21</v>
      </c>
      <c r="B28" s="1" t="s">
        <v>48</v>
      </c>
      <c r="C28">
        <v>70</v>
      </c>
      <c r="D28">
        <v>60</v>
      </c>
      <c r="P28" t="str">
        <f>IF(MOD(VALUE(MID(matura8[[#This Row],[PESEL]],10,1)),2)=0,"K","M")</f>
        <v>K</v>
      </c>
      <c r="Q28">
        <f>COUNTA(matura8[[#This Row],[Biologia-R]:[WOS-R]])</f>
        <v>2</v>
      </c>
    </row>
    <row r="29" spans="1:21" x14ac:dyDescent="0.3">
      <c r="A29" s="1" t="s">
        <v>21</v>
      </c>
      <c r="B29" s="1" t="s">
        <v>49</v>
      </c>
      <c r="E29">
        <v>55</v>
      </c>
      <c r="I29">
        <v>86</v>
      </c>
      <c r="P29" t="str">
        <f>IF(MOD(VALUE(MID(matura8[[#This Row],[PESEL]],10,1)),2)=0,"K","M")</f>
        <v>K</v>
      </c>
      <c r="Q29">
        <f>COUNTA(matura8[[#This Row],[Biologia-R]:[WOS-R]])</f>
        <v>2</v>
      </c>
    </row>
    <row r="30" spans="1:21" x14ac:dyDescent="0.3">
      <c r="A30" s="1" t="s">
        <v>21</v>
      </c>
      <c r="B30" s="1" t="s">
        <v>50</v>
      </c>
      <c r="C30">
        <v>73</v>
      </c>
      <c r="D30">
        <v>78</v>
      </c>
      <c r="P30" t="str">
        <f>IF(MOD(VALUE(MID(matura8[[#This Row],[PESEL]],10,1)),2)=0,"K","M")</f>
        <v>K</v>
      </c>
      <c r="Q30">
        <f>COUNTA(matura8[[#This Row],[Biologia-R]:[WOS-R]])</f>
        <v>2</v>
      </c>
    </row>
    <row r="31" spans="1:21" x14ac:dyDescent="0.3">
      <c r="A31" s="1" t="s">
        <v>21</v>
      </c>
      <c r="B31" s="1" t="s">
        <v>51</v>
      </c>
      <c r="C31">
        <v>80</v>
      </c>
      <c r="D31">
        <v>60</v>
      </c>
      <c r="I31">
        <v>67</v>
      </c>
      <c r="P31" t="str">
        <f>IF(MOD(VALUE(MID(matura8[[#This Row],[PESEL]],10,1)),2)=0,"K","M")</f>
        <v>K</v>
      </c>
      <c r="Q31">
        <f>COUNTA(matura8[[#This Row],[Biologia-R]:[WOS-R]])</f>
        <v>3</v>
      </c>
    </row>
    <row r="32" spans="1:21" x14ac:dyDescent="0.3">
      <c r="A32" s="1" t="s">
        <v>21</v>
      </c>
      <c r="B32" s="1" t="s">
        <v>52</v>
      </c>
      <c r="C32">
        <v>93</v>
      </c>
      <c r="D32">
        <v>88</v>
      </c>
      <c r="I32">
        <v>76</v>
      </c>
      <c r="P32" t="str">
        <f>IF(MOD(VALUE(MID(matura8[[#This Row],[PESEL]],10,1)),2)=0,"K","M")</f>
        <v>K</v>
      </c>
      <c r="Q32">
        <f>COUNTA(matura8[[#This Row],[Biologia-R]:[WOS-R]])</f>
        <v>3</v>
      </c>
    </row>
    <row r="33" spans="1:17" x14ac:dyDescent="0.3">
      <c r="A33" s="1" t="s">
        <v>21</v>
      </c>
      <c r="B33" s="1" t="s">
        <v>53</v>
      </c>
      <c r="C33">
        <v>85</v>
      </c>
      <c r="D33">
        <v>93</v>
      </c>
      <c r="E33">
        <v>82</v>
      </c>
      <c r="M33">
        <v>74</v>
      </c>
      <c r="P33" t="str">
        <f>IF(MOD(VALUE(MID(matura8[[#This Row],[PESEL]],10,1)),2)=0,"K","M")</f>
        <v>K</v>
      </c>
      <c r="Q33">
        <f>COUNTA(matura8[[#This Row],[Biologia-R]:[WOS-R]])</f>
        <v>4</v>
      </c>
    </row>
    <row r="34" spans="1:17" x14ac:dyDescent="0.3">
      <c r="A34" s="1" t="s">
        <v>21</v>
      </c>
      <c r="B34" s="1" t="s">
        <v>54</v>
      </c>
      <c r="C34">
        <v>90</v>
      </c>
      <c r="D34">
        <v>82</v>
      </c>
      <c r="P34" t="str">
        <f>IF(MOD(VALUE(MID(matura8[[#This Row],[PESEL]],10,1)),2)=0,"K","M")</f>
        <v>M</v>
      </c>
      <c r="Q34">
        <f>COUNTA(matura8[[#This Row],[Biologia-R]:[WOS-R]])</f>
        <v>2</v>
      </c>
    </row>
    <row r="35" spans="1:17" x14ac:dyDescent="0.3">
      <c r="A35" s="1" t="s">
        <v>21</v>
      </c>
      <c r="B35" s="1" t="s">
        <v>55</v>
      </c>
      <c r="C35">
        <v>87</v>
      </c>
      <c r="N35">
        <v>73</v>
      </c>
      <c r="O35">
        <v>64</v>
      </c>
      <c r="P35" t="str">
        <f>IF(MOD(VALUE(MID(matura8[[#This Row],[PESEL]],10,1)),2)=0,"K","M")</f>
        <v>K</v>
      </c>
      <c r="Q35">
        <f>COUNTA(matura8[[#This Row],[Biologia-R]:[WOS-R]])</f>
        <v>3</v>
      </c>
    </row>
    <row r="36" spans="1:17" x14ac:dyDescent="0.3">
      <c r="A36" s="1" t="s">
        <v>56</v>
      </c>
      <c r="B36" s="1" t="s">
        <v>57</v>
      </c>
      <c r="I36">
        <v>60</v>
      </c>
      <c r="N36">
        <v>75</v>
      </c>
      <c r="P36" t="str">
        <f>IF(MOD(VALUE(MID(matura8[[#This Row],[PESEL]],10,1)),2)=0,"K","M")</f>
        <v>M</v>
      </c>
      <c r="Q36">
        <f>COUNTA(matura8[[#This Row],[Biologia-R]:[WOS-R]])</f>
        <v>2</v>
      </c>
    </row>
    <row r="37" spans="1:17" x14ac:dyDescent="0.3">
      <c r="A37" s="1" t="s">
        <v>56</v>
      </c>
      <c r="B37" s="1" t="s">
        <v>58</v>
      </c>
      <c r="I37">
        <v>87</v>
      </c>
      <c r="N37">
        <v>70</v>
      </c>
      <c r="O37">
        <v>44</v>
      </c>
      <c r="P37" t="str">
        <f>IF(MOD(VALUE(MID(matura8[[#This Row],[PESEL]],10,1)),2)=0,"K","M")</f>
        <v>K</v>
      </c>
      <c r="Q37">
        <f>COUNTA(matura8[[#This Row],[Biologia-R]:[WOS-R]])</f>
        <v>3</v>
      </c>
    </row>
    <row r="38" spans="1:17" x14ac:dyDescent="0.3">
      <c r="A38" s="1" t="s">
        <v>56</v>
      </c>
      <c r="B38" s="1" t="s">
        <v>59</v>
      </c>
      <c r="G38">
        <v>92</v>
      </c>
      <c r="I38">
        <v>81</v>
      </c>
      <c r="N38">
        <v>70</v>
      </c>
      <c r="P38" t="str">
        <f>IF(MOD(VALUE(MID(matura8[[#This Row],[PESEL]],10,1)),2)=0,"K","M")</f>
        <v>K</v>
      </c>
      <c r="Q38">
        <f>COUNTA(matura8[[#This Row],[Biologia-R]:[WOS-R]])</f>
        <v>3</v>
      </c>
    </row>
    <row r="39" spans="1:17" x14ac:dyDescent="0.3">
      <c r="A39" s="1" t="s">
        <v>56</v>
      </c>
      <c r="B39" s="1" t="s">
        <v>60</v>
      </c>
      <c r="G39">
        <v>86</v>
      </c>
      <c r="I39">
        <v>90</v>
      </c>
      <c r="N39">
        <v>68</v>
      </c>
      <c r="O39">
        <v>78</v>
      </c>
      <c r="P39" t="str">
        <f>IF(MOD(VALUE(MID(matura8[[#This Row],[PESEL]],10,1)),2)=0,"K","M")</f>
        <v>K</v>
      </c>
      <c r="Q39">
        <f>COUNTA(matura8[[#This Row],[Biologia-R]:[WOS-R]])</f>
        <v>4</v>
      </c>
    </row>
    <row r="40" spans="1:17" x14ac:dyDescent="0.3">
      <c r="A40" s="1" t="s">
        <v>56</v>
      </c>
      <c r="B40" s="1" t="s">
        <v>61</v>
      </c>
      <c r="G40">
        <v>90</v>
      </c>
      <c r="I40">
        <v>93</v>
      </c>
      <c r="M40">
        <v>36</v>
      </c>
      <c r="N40">
        <v>73</v>
      </c>
      <c r="O40">
        <v>100</v>
      </c>
      <c r="P40" t="str">
        <f>IF(MOD(VALUE(MID(matura8[[#This Row],[PESEL]],10,1)),2)=0,"K","M")</f>
        <v>M</v>
      </c>
      <c r="Q40">
        <f>COUNTA(matura8[[#This Row],[Biologia-R]:[WOS-R]])</f>
        <v>5</v>
      </c>
    </row>
    <row r="41" spans="1:17" x14ac:dyDescent="0.3">
      <c r="A41" s="1" t="s">
        <v>56</v>
      </c>
      <c r="B41" s="1" t="s">
        <v>62</v>
      </c>
      <c r="I41">
        <v>44</v>
      </c>
      <c r="N41">
        <v>53</v>
      </c>
      <c r="O41">
        <v>34</v>
      </c>
      <c r="P41" t="str">
        <f>IF(MOD(VALUE(MID(matura8[[#This Row],[PESEL]],10,1)),2)=0,"K","M")</f>
        <v>K</v>
      </c>
      <c r="Q41">
        <f>COUNTA(matura8[[#This Row],[Biologia-R]:[WOS-R]])</f>
        <v>3</v>
      </c>
    </row>
    <row r="42" spans="1:17" x14ac:dyDescent="0.3">
      <c r="A42" s="1" t="s">
        <v>56</v>
      </c>
      <c r="B42" s="1" t="s">
        <v>63</v>
      </c>
      <c r="G42">
        <v>88</v>
      </c>
      <c r="I42">
        <v>95</v>
      </c>
      <c r="L42">
        <v>69</v>
      </c>
      <c r="N42">
        <v>80</v>
      </c>
      <c r="O42">
        <v>72</v>
      </c>
      <c r="P42" t="str">
        <f>IF(MOD(VALUE(MID(matura8[[#This Row],[PESEL]],10,1)),2)=0,"K","M")</f>
        <v>K</v>
      </c>
      <c r="Q42">
        <f>COUNTA(matura8[[#This Row],[Biologia-R]:[WOS-R]])</f>
        <v>5</v>
      </c>
    </row>
    <row r="43" spans="1:17" x14ac:dyDescent="0.3">
      <c r="A43" s="1" t="s">
        <v>56</v>
      </c>
      <c r="B43" s="1" t="s">
        <v>64</v>
      </c>
      <c r="G43">
        <v>92</v>
      </c>
      <c r="I43">
        <v>95</v>
      </c>
      <c r="N43">
        <v>55</v>
      </c>
      <c r="O43">
        <v>72</v>
      </c>
      <c r="P43" t="str">
        <f>IF(MOD(VALUE(MID(matura8[[#This Row],[PESEL]],10,1)),2)=0,"K","M")</f>
        <v>M</v>
      </c>
      <c r="Q43">
        <f>COUNTA(matura8[[#This Row],[Biologia-R]:[WOS-R]])</f>
        <v>4</v>
      </c>
    </row>
    <row r="44" spans="1:17" x14ac:dyDescent="0.3">
      <c r="A44" s="1" t="s">
        <v>56</v>
      </c>
      <c r="B44" s="1" t="s">
        <v>65</v>
      </c>
      <c r="G44">
        <v>94</v>
      </c>
      <c r="I44">
        <v>67</v>
      </c>
      <c r="N44">
        <v>60</v>
      </c>
      <c r="P44" t="str">
        <f>IF(MOD(VALUE(MID(matura8[[#This Row],[PESEL]],10,1)),2)=0,"K","M")</f>
        <v>M</v>
      </c>
      <c r="Q44">
        <f>COUNTA(matura8[[#This Row],[Biologia-R]:[WOS-R]])</f>
        <v>3</v>
      </c>
    </row>
    <row r="45" spans="1:17" x14ac:dyDescent="0.3">
      <c r="A45" s="1" t="s">
        <v>56</v>
      </c>
      <c r="B45" s="1" t="s">
        <v>66</v>
      </c>
      <c r="G45">
        <v>66</v>
      </c>
      <c r="I45">
        <v>67</v>
      </c>
      <c r="N45">
        <v>80</v>
      </c>
      <c r="O45">
        <v>68</v>
      </c>
      <c r="P45" t="str">
        <f>IF(MOD(VALUE(MID(matura8[[#This Row],[PESEL]],10,1)),2)=0,"K","M")</f>
        <v>K</v>
      </c>
      <c r="Q45">
        <f>COUNTA(matura8[[#This Row],[Biologia-R]:[WOS-R]])</f>
        <v>4</v>
      </c>
    </row>
    <row r="46" spans="1:17" x14ac:dyDescent="0.3">
      <c r="A46" s="1" t="s">
        <v>56</v>
      </c>
      <c r="B46" s="1" t="s">
        <v>67</v>
      </c>
      <c r="I46">
        <v>92</v>
      </c>
      <c r="N46">
        <v>45</v>
      </c>
      <c r="P46" t="str">
        <f>IF(MOD(VALUE(MID(matura8[[#This Row],[PESEL]],10,1)),2)=0,"K","M")</f>
        <v>K</v>
      </c>
      <c r="Q46">
        <f>COUNTA(matura8[[#This Row],[Biologia-R]:[WOS-R]])</f>
        <v>2</v>
      </c>
    </row>
    <row r="47" spans="1:17" x14ac:dyDescent="0.3">
      <c r="A47" s="1" t="s">
        <v>56</v>
      </c>
      <c r="B47" s="1" t="s">
        <v>68</v>
      </c>
      <c r="I47">
        <v>63</v>
      </c>
      <c r="N47">
        <v>58</v>
      </c>
      <c r="O47">
        <v>48</v>
      </c>
      <c r="P47" t="str">
        <f>IF(MOD(VALUE(MID(matura8[[#This Row],[PESEL]],10,1)),2)=0,"K","M")</f>
        <v>K</v>
      </c>
      <c r="Q47">
        <f>COUNTA(matura8[[#This Row],[Biologia-R]:[WOS-R]])</f>
        <v>3</v>
      </c>
    </row>
    <row r="48" spans="1:17" x14ac:dyDescent="0.3">
      <c r="A48" s="1" t="s">
        <v>56</v>
      </c>
      <c r="B48" s="1" t="s">
        <v>69</v>
      </c>
      <c r="I48">
        <v>69</v>
      </c>
      <c r="N48">
        <v>70</v>
      </c>
      <c r="O48">
        <v>38</v>
      </c>
      <c r="P48" t="str">
        <f>IF(MOD(VALUE(MID(matura8[[#This Row],[PESEL]],10,1)),2)=0,"K","M")</f>
        <v>K</v>
      </c>
      <c r="Q48">
        <f>COUNTA(matura8[[#This Row],[Biologia-R]:[WOS-R]])</f>
        <v>3</v>
      </c>
    </row>
    <row r="49" spans="1:17" x14ac:dyDescent="0.3">
      <c r="A49" s="1" t="s">
        <v>56</v>
      </c>
      <c r="B49" s="1" t="s">
        <v>70</v>
      </c>
      <c r="C49">
        <v>73</v>
      </c>
      <c r="D49">
        <v>65</v>
      </c>
      <c r="P49" t="str">
        <f>IF(MOD(VALUE(MID(matura8[[#This Row],[PESEL]],10,1)),2)=0,"K","M")</f>
        <v>M</v>
      </c>
      <c r="Q49">
        <f>COUNTA(matura8[[#This Row],[Biologia-R]:[WOS-R]])</f>
        <v>2</v>
      </c>
    </row>
    <row r="50" spans="1:17" x14ac:dyDescent="0.3">
      <c r="A50" s="1" t="s">
        <v>56</v>
      </c>
      <c r="B50" s="1" t="s">
        <v>71</v>
      </c>
      <c r="C50">
        <v>50</v>
      </c>
      <c r="D50">
        <v>47</v>
      </c>
      <c r="P50" t="str">
        <f>IF(MOD(VALUE(MID(matura8[[#This Row],[PESEL]],10,1)),2)=0,"K","M")</f>
        <v>K</v>
      </c>
      <c r="Q50">
        <f>COUNTA(matura8[[#This Row],[Biologia-R]:[WOS-R]])</f>
        <v>2</v>
      </c>
    </row>
    <row r="51" spans="1:17" x14ac:dyDescent="0.3">
      <c r="A51" s="1" t="s">
        <v>56</v>
      </c>
      <c r="B51" s="1" t="s">
        <v>72</v>
      </c>
      <c r="G51">
        <v>92</v>
      </c>
      <c r="I51">
        <v>59</v>
      </c>
      <c r="N51">
        <v>60</v>
      </c>
      <c r="O51">
        <v>68</v>
      </c>
      <c r="P51" t="str">
        <f>IF(MOD(VALUE(MID(matura8[[#This Row],[PESEL]],10,1)),2)=0,"K","M")</f>
        <v>M</v>
      </c>
      <c r="Q51">
        <f>COUNTA(matura8[[#This Row],[Biologia-R]:[WOS-R]])</f>
        <v>4</v>
      </c>
    </row>
    <row r="52" spans="1:17" x14ac:dyDescent="0.3">
      <c r="A52" s="1" t="s">
        <v>56</v>
      </c>
      <c r="B52" s="1" t="s">
        <v>73</v>
      </c>
      <c r="C52">
        <v>73</v>
      </c>
      <c r="I52">
        <v>74</v>
      </c>
      <c r="N52">
        <v>73</v>
      </c>
      <c r="P52" t="str">
        <f>IF(MOD(VALUE(MID(matura8[[#This Row],[PESEL]],10,1)),2)=0,"K","M")</f>
        <v>K</v>
      </c>
      <c r="Q52">
        <f>COUNTA(matura8[[#This Row],[Biologia-R]:[WOS-R]])</f>
        <v>3</v>
      </c>
    </row>
    <row r="53" spans="1:17" x14ac:dyDescent="0.3">
      <c r="A53" s="1" t="s">
        <v>56</v>
      </c>
      <c r="B53" s="1" t="s">
        <v>74</v>
      </c>
      <c r="G53">
        <v>80</v>
      </c>
      <c r="I53">
        <v>83</v>
      </c>
      <c r="N53">
        <v>63</v>
      </c>
      <c r="P53" t="str">
        <f>IF(MOD(VALUE(MID(matura8[[#This Row],[PESEL]],10,1)),2)=0,"K","M")</f>
        <v>M</v>
      </c>
      <c r="Q53">
        <f>COUNTA(matura8[[#This Row],[Biologia-R]:[WOS-R]])</f>
        <v>3</v>
      </c>
    </row>
    <row r="54" spans="1:17" x14ac:dyDescent="0.3">
      <c r="A54" s="1" t="s">
        <v>56</v>
      </c>
      <c r="B54" s="1" t="s">
        <v>75</v>
      </c>
      <c r="C54">
        <v>35</v>
      </c>
      <c r="I54">
        <v>84</v>
      </c>
      <c r="N54">
        <v>63</v>
      </c>
      <c r="P54" t="str">
        <f>IF(MOD(VALUE(MID(matura8[[#This Row],[PESEL]],10,1)),2)=0,"K","M")</f>
        <v>K</v>
      </c>
      <c r="Q54">
        <f>COUNTA(matura8[[#This Row],[Biologia-R]:[WOS-R]])</f>
        <v>3</v>
      </c>
    </row>
    <row r="55" spans="1:17" x14ac:dyDescent="0.3">
      <c r="A55" s="1" t="s">
        <v>56</v>
      </c>
      <c r="B55" s="1" t="s">
        <v>76</v>
      </c>
      <c r="F55">
        <v>47</v>
      </c>
      <c r="I55">
        <v>60</v>
      </c>
      <c r="N55">
        <v>58</v>
      </c>
      <c r="O55">
        <v>58</v>
      </c>
      <c r="P55" t="str">
        <f>IF(MOD(VALUE(MID(matura8[[#This Row],[PESEL]],10,1)),2)=0,"K","M")</f>
        <v>M</v>
      </c>
      <c r="Q55">
        <f>COUNTA(matura8[[#This Row],[Biologia-R]:[WOS-R]])</f>
        <v>4</v>
      </c>
    </row>
    <row r="56" spans="1:17" x14ac:dyDescent="0.3">
      <c r="A56" s="1" t="s">
        <v>56</v>
      </c>
      <c r="B56" s="1" t="s">
        <v>77</v>
      </c>
      <c r="G56">
        <v>42</v>
      </c>
      <c r="N56">
        <v>75</v>
      </c>
      <c r="P56" t="str">
        <f>IF(MOD(VALUE(MID(matura8[[#This Row],[PESEL]],10,1)),2)=0,"K","M")</f>
        <v>K</v>
      </c>
      <c r="Q56">
        <f>COUNTA(matura8[[#This Row],[Biologia-R]:[WOS-R]])</f>
        <v>2</v>
      </c>
    </row>
    <row r="57" spans="1:17" x14ac:dyDescent="0.3">
      <c r="A57" s="1" t="s">
        <v>56</v>
      </c>
      <c r="B57" s="1" t="s">
        <v>78</v>
      </c>
      <c r="G57">
        <v>76</v>
      </c>
      <c r="I57">
        <v>78</v>
      </c>
      <c r="N57">
        <v>80</v>
      </c>
      <c r="P57" t="str">
        <f>IF(MOD(VALUE(MID(matura8[[#This Row],[PESEL]],10,1)),2)=0,"K","M")</f>
        <v>K</v>
      </c>
      <c r="Q57">
        <f>COUNTA(matura8[[#This Row],[Biologia-R]:[WOS-R]])</f>
        <v>3</v>
      </c>
    </row>
    <row r="58" spans="1:17" x14ac:dyDescent="0.3">
      <c r="A58" s="1" t="s">
        <v>56</v>
      </c>
      <c r="B58" s="1" t="s">
        <v>79</v>
      </c>
      <c r="G58">
        <v>80</v>
      </c>
      <c r="I58">
        <v>34</v>
      </c>
      <c r="N58">
        <v>80</v>
      </c>
      <c r="O58">
        <v>62</v>
      </c>
      <c r="P58" t="str">
        <f>IF(MOD(VALUE(MID(matura8[[#This Row],[PESEL]],10,1)),2)=0,"K","M")</f>
        <v>K</v>
      </c>
      <c r="Q58">
        <f>COUNTA(matura8[[#This Row],[Biologia-R]:[WOS-R]])</f>
        <v>4</v>
      </c>
    </row>
    <row r="59" spans="1:17" x14ac:dyDescent="0.3">
      <c r="A59" s="1" t="s">
        <v>56</v>
      </c>
      <c r="B59" s="1" t="s">
        <v>80</v>
      </c>
      <c r="N59">
        <v>78</v>
      </c>
      <c r="O59">
        <v>24</v>
      </c>
      <c r="P59" t="str">
        <f>IF(MOD(VALUE(MID(matura8[[#This Row],[PESEL]],10,1)),2)=0,"K","M")</f>
        <v>K</v>
      </c>
      <c r="Q59">
        <f>COUNTA(matura8[[#This Row],[Biologia-R]:[WOS-R]])</f>
        <v>2</v>
      </c>
    </row>
    <row r="60" spans="1:17" x14ac:dyDescent="0.3">
      <c r="A60" s="1" t="s">
        <v>56</v>
      </c>
      <c r="B60" s="1" t="s">
        <v>81</v>
      </c>
      <c r="G60">
        <v>88</v>
      </c>
      <c r="I60">
        <v>92</v>
      </c>
      <c r="N60">
        <v>53</v>
      </c>
      <c r="O60">
        <v>72</v>
      </c>
      <c r="P60" t="str">
        <f>IF(MOD(VALUE(MID(matura8[[#This Row],[PESEL]],10,1)),2)=0,"K","M")</f>
        <v>M</v>
      </c>
      <c r="Q60">
        <f>COUNTA(matura8[[#This Row],[Biologia-R]:[WOS-R]])</f>
        <v>4</v>
      </c>
    </row>
    <row r="61" spans="1:17" x14ac:dyDescent="0.3">
      <c r="A61" s="1" t="s">
        <v>56</v>
      </c>
      <c r="B61" s="1" t="s">
        <v>82</v>
      </c>
      <c r="G61">
        <v>76</v>
      </c>
      <c r="I61">
        <v>90</v>
      </c>
      <c r="N61">
        <v>75</v>
      </c>
      <c r="P61" t="str">
        <f>IF(MOD(VALUE(MID(matura8[[#This Row],[PESEL]],10,1)),2)=0,"K","M")</f>
        <v>K</v>
      </c>
      <c r="Q61">
        <f>COUNTA(matura8[[#This Row],[Biologia-R]:[WOS-R]])</f>
        <v>3</v>
      </c>
    </row>
    <row r="62" spans="1:17" x14ac:dyDescent="0.3">
      <c r="A62" s="1" t="s">
        <v>56</v>
      </c>
      <c r="B62" s="1" t="s">
        <v>83</v>
      </c>
      <c r="G62">
        <v>96</v>
      </c>
      <c r="I62">
        <v>91</v>
      </c>
      <c r="N62">
        <v>85</v>
      </c>
      <c r="P62" t="str">
        <f>IF(MOD(VALUE(MID(matura8[[#This Row],[PESEL]],10,1)),2)=0,"K","M")</f>
        <v>K</v>
      </c>
      <c r="Q62">
        <f>COUNTA(matura8[[#This Row],[Biologia-R]:[WOS-R]])</f>
        <v>3</v>
      </c>
    </row>
    <row r="63" spans="1:17" x14ac:dyDescent="0.3">
      <c r="A63" s="1" t="s">
        <v>56</v>
      </c>
      <c r="B63" s="1" t="s">
        <v>84</v>
      </c>
      <c r="G63">
        <v>76</v>
      </c>
      <c r="I63">
        <v>84</v>
      </c>
      <c r="N63">
        <v>73</v>
      </c>
      <c r="P63" t="str">
        <f>IF(MOD(VALUE(MID(matura8[[#This Row],[PESEL]],10,1)),2)=0,"K","M")</f>
        <v>K</v>
      </c>
      <c r="Q63">
        <f>COUNTA(matura8[[#This Row],[Biologia-R]:[WOS-R]])</f>
        <v>3</v>
      </c>
    </row>
    <row r="64" spans="1:17" x14ac:dyDescent="0.3">
      <c r="A64" s="1" t="s">
        <v>56</v>
      </c>
      <c r="B64" s="1" t="s">
        <v>85</v>
      </c>
      <c r="C64">
        <v>48</v>
      </c>
      <c r="D64">
        <v>17</v>
      </c>
      <c r="I64">
        <v>92</v>
      </c>
      <c r="P64" t="str">
        <f>IF(MOD(VALUE(MID(matura8[[#This Row],[PESEL]],10,1)),2)=0,"K","M")</f>
        <v>K</v>
      </c>
      <c r="Q64">
        <f>COUNTA(matura8[[#This Row],[Biologia-R]:[WOS-R]])</f>
        <v>3</v>
      </c>
    </row>
    <row r="65" spans="1:17" x14ac:dyDescent="0.3">
      <c r="A65" s="1" t="s">
        <v>56</v>
      </c>
      <c r="B65" s="1" t="s">
        <v>86</v>
      </c>
      <c r="G65">
        <v>80</v>
      </c>
      <c r="I65">
        <v>79</v>
      </c>
      <c r="N65">
        <v>63</v>
      </c>
      <c r="O65">
        <v>60</v>
      </c>
      <c r="P65" t="str">
        <f>IF(MOD(VALUE(MID(matura8[[#This Row],[PESEL]],10,1)),2)=0,"K","M")</f>
        <v>K</v>
      </c>
      <c r="Q65">
        <f>COUNTA(matura8[[#This Row],[Biologia-R]:[WOS-R]])</f>
        <v>4</v>
      </c>
    </row>
    <row r="66" spans="1:17" x14ac:dyDescent="0.3">
      <c r="A66" s="1" t="s">
        <v>56</v>
      </c>
      <c r="B66" s="1" t="s">
        <v>87</v>
      </c>
      <c r="I66">
        <v>66</v>
      </c>
      <c r="M66">
        <v>24</v>
      </c>
      <c r="N66">
        <v>40</v>
      </c>
      <c r="P66" t="str">
        <f>IF(MOD(VALUE(MID(matura8[[#This Row],[PESEL]],10,1)),2)=0,"K","M")</f>
        <v>K</v>
      </c>
      <c r="Q66">
        <f>COUNTA(matura8[[#This Row],[Biologia-R]:[WOS-R]])</f>
        <v>3</v>
      </c>
    </row>
    <row r="67" spans="1:17" x14ac:dyDescent="0.3">
      <c r="A67" s="1" t="s">
        <v>88</v>
      </c>
      <c r="B67" s="1" t="s">
        <v>89</v>
      </c>
      <c r="I67">
        <v>70</v>
      </c>
      <c r="M67">
        <v>52</v>
      </c>
      <c r="P67" t="str">
        <f>IF(MOD(VALUE(MID(matura8[[#This Row],[PESEL]],10,1)),2)=0,"K","M")</f>
        <v>K</v>
      </c>
      <c r="Q67">
        <f>COUNTA(matura8[[#This Row],[Biologia-R]:[WOS-R]])</f>
        <v>2</v>
      </c>
    </row>
    <row r="68" spans="1:17" x14ac:dyDescent="0.3">
      <c r="A68" s="1" t="s">
        <v>88</v>
      </c>
      <c r="B68" s="1" t="s">
        <v>90</v>
      </c>
      <c r="F68">
        <v>42</v>
      </c>
      <c r="M68">
        <v>40</v>
      </c>
      <c r="P68" t="str">
        <f>IF(MOD(VALUE(MID(matura8[[#This Row],[PESEL]],10,1)),2)=0,"K","M")</f>
        <v>K</v>
      </c>
      <c r="Q68">
        <f>COUNTA(matura8[[#This Row],[Biologia-R]:[WOS-R]])</f>
        <v>2</v>
      </c>
    </row>
    <row r="69" spans="1:17" x14ac:dyDescent="0.3">
      <c r="A69" s="1" t="s">
        <v>88</v>
      </c>
      <c r="B69" s="1" t="s">
        <v>91</v>
      </c>
      <c r="F69">
        <v>77</v>
      </c>
      <c r="I69">
        <v>80</v>
      </c>
      <c r="M69">
        <v>44</v>
      </c>
      <c r="P69" t="str">
        <f>IF(MOD(VALUE(MID(matura8[[#This Row],[PESEL]],10,1)),2)=0,"K","M")</f>
        <v>K</v>
      </c>
      <c r="Q69">
        <f>COUNTA(matura8[[#This Row],[Biologia-R]:[WOS-R]])</f>
        <v>3</v>
      </c>
    </row>
    <row r="70" spans="1:17" x14ac:dyDescent="0.3">
      <c r="A70" s="1" t="s">
        <v>88</v>
      </c>
      <c r="B70" s="1" t="s">
        <v>92</v>
      </c>
      <c r="F70">
        <v>55</v>
      </c>
      <c r="M70">
        <v>42</v>
      </c>
      <c r="P70" t="str">
        <f>IF(MOD(VALUE(MID(matura8[[#This Row],[PESEL]],10,1)),2)=0,"K","M")</f>
        <v>M</v>
      </c>
      <c r="Q70">
        <f>COUNTA(matura8[[#This Row],[Biologia-R]:[WOS-R]])</f>
        <v>2</v>
      </c>
    </row>
    <row r="71" spans="1:17" x14ac:dyDescent="0.3">
      <c r="A71" s="1" t="s">
        <v>88</v>
      </c>
      <c r="B71" s="1" t="s">
        <v>93</v>
      </c>
      <c r="F71">
        <v>85</v>
      </c>
      <c r="I71">
        <v>81</v>
      </c>
      <c r="M71">
        <v>52</v>
      </c>
      <c r="P71" t="str">
        <f>IF(MOD(VALUE(MID(matura8[[#This Row],[PESEL]],10,1)),2)=0,"K","M")</f>
        <v>M</v>
      </c>
      <c r="Q71">
        <f>COUNTA(matura8[[#This Row],[Biologia-R]:[WOS-R]])</f>
        <v>3</v>
      </c>
    </row>
    <row r="72" spans="1:17" x14ac:dyDescent="0.3">
      <c r="A72" s="1" t="s">
        <v>88</v>
      </c>
      <c r="B72" s="1" t="s">
        <v>94</v>
      </c>
      <c r="F72">
        <v>68</v>
      </c>
      <c r="M72">
        <v>14</v>
      </c>
      <c r="P72" t="str">
        <f>IF(MOD(VALUE(MID(matura8[[#This Row],[PESEL]],10,1)),2)=0,"K","M")</f>
        <v>M</v>
      </c>
      <c r="Q72">
        <f>COUNTA(matura8[[#This Row],[Biologia-R]:[WOS-R]])</f>
        <v>2</v>
      </c>
    </row>
    <row r="73" spans="1:17" x14ac:dyDescent="0.3">
      <c r="A73" s="1" t="s">
        <v>88</v>
      </c>
      <c r="B73" s="1" t="s">
        <v>95</v>
      </c>
      <c r="F73">
        <v>60</v>
      </c>
      <c r="M73">
        <v>32</v>
      </c>
      <c r="P73" t="str">
        <f>IF(MOD(VALUE(MID(matura8[[#This Row],[PESEL]],10,1)),2)=0,"K","M")</f>
        <v>K</v>
      </c>
      <c r="Q73">
        <f>COUNTA(matura8[[#This Row],[Biologia-R]:[WOS-R]])</f>
        <v>2</v>
      </c>
    </row>
    <row r="74" spans="1:17" x14ac:dyDescent="0.3">
      <c r="A74" s="1" t="s">
        <v>88</v>
      </c>
      <c r="B74" s="1" t="s">
        <v>96</v>
      </c>
      <c r="F74">
        <v>70</v>
      </c>
      <c r="I74">
        <v>84</v>
      </c>
      <c r="L74">
        <v>90</v>
      </c>
      <c r="M74">
        <v>56</v>
      </c>
      <c r="P74" t="str">
        <f>IF(MOD(VALUE(MID(matura8[[#This Row],[PESEL]],10,1)),2)=0,"K","M")</f>
        <v>K</v>
      </c>
      <c r="Q74">
        <f>COUNTA(matura8[[#This Row],[Biologia-R]:[WOS-R]])</f>
        <v>4</v>
      </c>
    </row>
    <row r="75" spans="1:17" x14ac:dyDescent="0.3">
      <c r="A75" s="1" t="s">
        <v>88</v>
      </c>
      <c r="B75" s="1" t="s">
        <v>97</v>
      </c>
      <c r="F75">
        <v>38</v>
      </c>
      <c r="P75" t="str">
        <f>IF(MOD(VALUE(MID(matura8[[#This Row],[PESEL]],10,1)),2)=0,"K","M")</f>
        <v>K</v>
      </c>
      <c r="Q75">
        <f>COUNTA(matura8[[#This Row],[Biologia-R]:[WOS-R]])</f>
        <v>1</v>
      </c>
    </row>
    <row r="76" spans="1:17" x14ac:dyDescent="0.3">
      <c r="A76" s="1" t="s">
        <v>88</v>
      </c>
      <c r="B76" s="1" t="s">
        <v>98</v>
      </c>
      <c r="F76">
        <v>83</v>
      </c>
      <c r="I76">
        <v>93</v>
      </c>
      <c r="M76">
        <v>64</v>
      </c>
      <c r="P76" t="str">
        <f>IF(MOD(VALUE(MID(matura8[[#This Row],[PESEL]],10,1)),2)=0,"K","M")</f>
        <v>K</v>
      </c>
      <c r="Q76">
        <f>COUNTA(matura8[[#This Row],[Biologia-R]:[WOS-R]])</f>
        <v>3</v>
      </c>
    </row>
    <row r="77" spans="1:17" x14ac:dyDescent="0.3">
      <c r="A77" s="1" t="s">
        <v>88</v>
      </c>
      <c r="B77" s="1" t="s">
        <v>99</v>
      </c>
      <c r="F77">
        <v>93</v>
      </c>
      <c r="I77">
        <v>80</v>
      </c>
      <c r="M77">
        <v>64</v>
      </c>
      <c r="P77" t="str">
        <f>IF(MOD(VALUE(MID(matura8[[#This Row],[PESEL]],10,1)),2)=0,"K","M")</f>
        <v>M</v>
      </c>
      <c r="Q77">
        <f>COUNTA(matura8[[#This Row],[Biologia-R]:[WOS-R]])</f>
        <v>3</v>
      </c>
    </row>
    <row r="78" spans="1:17" x14ac:dyDescent="0.3">
      <c r="A78" s="1" t="s">
        <v>88</v>
      </c>
      <c r="B78" s="1" t="s">
        <v>100</v>
      </c>
      <c r="F78">
        <v>63</v>
      </c>
      <c r="N78">
        <v>43</v>
      </c>
      <c r="P78" t="str">
        <f>IF(MOD(VALUE(MID(matura8[[#This Row],[PESEL]],10,1)),2)=0,"K","M")</f>
        <v>K</v>
      </c>
      <c r="Q78">
        <f>COUNTA(matura8[[#This Row],[Biologia-R]:[WOS-R]])</f>
        <v>2</v>
      </c>
    </row>
    <row r="79" spans="1:17" x14ac:dyDescent="0.3">
      <c r="A79" s="1" t="s">
        <v>88</v>
      </c>
      <c r="B79" s="1" t="s">
        <v>101</v>
      </c>
      <c r="F79">
        <v>65</v>
      </c>
      <c r="P79" t="str">
        <f>IF(MOD(VALUE(MID(matura8[[#This Row],[PESEL]],10,1)),2)=0,"K","M")</f>
        <v>M</v>
      </c>
      <c r="Q79">
        <f>COUNTA(matura8[[#This Row],[Biologia-R]:[WOS-R]])</f>
        <v>1</v>
      </c>
    </row>
    <row r="80" spans="1:17" x14ac:dyDescent="0.3">
      <c r="A80" s="1" t="s">
        <v>88</v>
      </c>
      <c r="B80" s="1" t="s">
        <v>102</v>
      </c>
      <c r="F80">
        <v>50</v>
      </c>
      <c r="M80">
        <v>36</v>
      </c>
      <c r="P80" t="str">
        <f>IF(MOD(VALUE(MID(matura8[[#This Row],[PESEL]],10,1)),2)=0,"K","M")</f>
        <v>K</v>
      </c>
      <c r="Q80">
        <f>COUNTA(matura8[[#This Row],[Biologia-R]:[WOS-R]])</f>
        <v>2</v>
      </c>
    </row>
    <row r="81" spans="1:17" x14ac:dyDescent="0.3">
      <c r="A81" s="1" t="s">
        <v>88</v>
      </c>
      <c r="B81" s="1" t="s">
        <v>103</v>
      </c>
      <c r="F81">
        <v>53</v>
      </c>
      <c r="I81">
        <v>77</v>
      </c>
      <c r="M81">
        <v>38</v>
      </c>
      <c r="O81">
        <v>46</v>
      </c>
      <c r="P81" t="str">
        <f>IF(MOD(VALUE(MID(matura8[[#This Row],[PESEL]],10,1)),2)=0,"K","M")</f>
        <v>M</v>
      </c>
      <c r="Q81">
        <f>COUNTA(matura8[[#This Row],[Biologia-R]:[WOS-R]])</f>
        <v>4</v>
      </c>
    </row>
    <row r="82" spans="1:17" x14ac:dyDescent="0.3">
      <c r="A82" s="1" t="s">
        <v>88</v>
      </c>
      <c r="B82" s="1" t="s">
        <v>104</v>
      </c>
      <c r="I82">
        <v>81</v>
      </c>
      <c r="M82">
        <v>40</v>
      </c>
      <c r="P82" t="str">
        <f>IF(MOD(VALUE(MID(matura8[[#This Row],[PESEL]],10,1)),2)=0,"K","M")</f>
        <v>K</v>
      </c>
      <c r="Q82">
        <f>COUNTA(matura8[[#This Row],[Biologia-R]:[WOS-R]])</f>
        <v>2</v>
      </c>
    </row>
    <row r="83" spans="1:17" x14ac:dyDescent="0.3">
      <c r="A83" s="1" t="s">
        <v>88</v>
      </c>
      <c r="B83" s="1" t="s">
        <v>105</v>
      </c>
      <c r="F83">
        <v>70</v>
      </c>
      <c r="I83">
        <v>51</v>
      </c>
      <c r="N83">
        <v>95</v>
      </c>
      <c r="P83" t="str">
        <f>IF(MOD(VALUE(MID(matura8[[#This Row],[PESEL]],10,1)),2)=0,"K","M")</f>
        <v>K</v>
      </c>
      <c r="Q83">
        <f>COUNTA(matura8[[#This Row],[Biologia-R]:[WOS-R]])</f>
        <v>3</v>
      </c>
    </row>
    <row r="84" spans="1:17" x14ac:dyDescent="0.3">
      <c r="A84" s="1" t="s">
        <v>88</v>
      </c>
      <c r="B84" s="1" t="s">
        <v>106</v>
      </c>
      <c r="F84">
        <v>68</v>
      </c>
      <c r="I84">
        <v>55</v>
      </c>
      <c r="M84">
        <v>48</v>
      </c>
      <c r="N84">
        <v>55</v>
      </c>
      <c r="P84" t="str">
        <f>IF(MOD(VALUE(MID(matura8[[#This Row],[PESEL]],10,1)),2)=0,"K","M")</f>
        <v>K</v>
      </c>
      <c r="Q84">
        <f>COUNTA(matura8[[#This Row],[Biologia-R]:[WOS-R]])</f>
        <v>4</v>
      </c>
    </row>
    <row r="85" spans="1:17" x14ac:dyDescent="0.3">
      <c r="A85" s="1" t="s">
        <v>88</v>
      </c>
      <c r="B85" s="1" t="s">
        <v>107</v>
      </c>
      <c r="I85">
        <v>66</v>
      </c>
      <c r="M85">
        <v>66</v>
      </c>
      <c r="N85">
        <v>70</v>
      </c>
      <c r="P85" t="str">
        <f>IF(MOD(VALUE(MID(matura8[[#This Row],[PESEL]],10,1)),2)=0,"K","M")</f>
        <v>K</v>
      </c>
      <c r="Q85">
        <f>COUNTA(matura8[[#This Row],[Biologia-R]:[WOS-R]])</f>
        <v>3</v>
      </c>
    </row>
    <row r="86" spans="1:17" x14ac:dyDescent="0.3">
      <c r="A86" s="1" t="s">
        <v>88</v>
      </c>
      <c r="B86" s="1" t="s">
        <v>108</v>
      </c>
      <c r="I86">
        <v>92</v>
      </c>
      <c r="M86">
        <v>52</v>
      </c>
      <c r="P86" t="str">
        <f>IF(MOD(VALUE(MID(matura8[[#This Row],[PESEL]],10,1)),2)=0,"K","M")</f>
        <v>K</v>
      </c>
      <c r="Q86">
        <f>COUNTA(matura8[[#This Row],[Biologia-R]:[WOS-R]])</f>
        <v>2</v>
      </c>
    </row>
    <row r="87" spans="1:17" x14ac:dyDescent="0.3">
      <c r="A87" s="1" t="s">
        <v>88</v>
      </c>
      <c r="B87" s="1" t="s">
        <v>109</v>
      </c>
      <c r="F87">
        <v>87</v>
      </c>
      <c r="M87">
        <v>90</v>
      </c>
      <c r="P87" t="str">
        <f>IF(MOD(VALUE(MID(matura8[[#This Row],[PESEL]],10,1)),2)=0,"K","M")</f>
        <v>K</v>
      </c>
      <c r="Q87">
        <f>COUNTA(matura8[[#This Row],[Biologia-R]:[WOS-R]])</f>
        <v>2</v>
      </c>
    </row>
    <row r="88" spans="1:17" x14ac:dyDescent="0.3">
      <c r="A88" s="1" t="s">
        <v>88</v>
      </c>
      <c r="B88" s="1" t="s">
        <v>110</v>
      </c>
      <c r="F88">
        <v>47</v>
      </c>
      <c r="M88">
        <v>40</v>
      </c>
      <c r="P88" t="str">
        <f>IF(MOD(VALUE(MID(matura8[[#This Row],[PESEL]],10,1)),2)=0,"K","M")</f>
        <v>M</v>
      </c>
      <c r="Q88">
        <f>COUNTA(matura8[[#This Row],[Biologia-R]:[WOS-R]])</f>
        <v>2</v>
      </c>
    </row>
    <row r="89" spans="1:17" x14ac:dyDescent="0.3">
      <c r="A89" s="1" t="s">
        <v>88</v>
      </c>
      <c r="B89" s="1" t="s">
        <v>111</v>
      </c>
      <c r="I89">
        <v>88</v>
      </c>
      <c r="M89">
        <v>46</v>
      </c>
      <c r="P89" t="str">
        <f>IF(MOD(VALUE(MID(matura8[[#This Row],[PESEL]],10,1)),2)=0,"K","M")</f>
        <v>M</v>
      </c>
      <c r="Q89">
        <f>COUNTA(matura8[[#This Row],[Biologia-R]:[WOS-R]])</f>
        <v>2</v>
      </c>
    </row>
    <row r="90" spans="1:17" x14ac:dyDescent="0.3">
      <c r="A90" s="1" t="s">
        <v>88</v>
      </c>
      <c r="B90" s="1" t="s">
        <v>112</v>
      </c>
      <c r="F90">
        <v>68</v>
      </c>
      <c r="I90">
        <v>78</v>
      </c>
      <c r="M90">
        <v>54</v>
      </c>
      <c r="P90" t="str">
        <f>IF(MOD(VALUE(MID(matura8[[#This Row],[PESEL]],10,1)),2)=0,"K","M")</f>
        <v>K</v>
      </c>
      <c r="Q90">
        <f>COUNTA(matura8[[#This Row],[Biologia-R]:[WOS-R]])</f>
        <v>3</v>
      </c>
    </row>
    <row r="91" spans="1:17" x14ac:dyDescent="0.3">
      <c r="A91" s="1" t="s">
        <v>88</v>
      </c>
      <c r="B91" s="1" t="s">
        <v>113</v>
      </c>
      <c r="F91">
        <v>77</v>
      </c>
      <c r="I91">
        <v>44</v>
      </c>
      <c r="M91">
        <v>40</v>
      </c>
      <c r="P91" t="str">
        <f>IF(MOD(VALUE(MID(matura8[[#This Row],[PESEL]],10,1)),2)=0,"K","M")</f>
        <v>K</v>
      </c>
      <c r="Q91">
        <f>COUNTA(matura8[[#This Row],[Biologia-R]:[WOS-R]])</f>
        <v>3</v>
      </c>
    </row>
    <row r="92" spans="1:17" x14ac:dyDescent="0.3">
      <c r="A92" s="1" t="s">
        <v>88</v>
      </c>
      <c r="B92" s="1" t="s">
        <v>114</v>
      </c>
      <c r="F92">
        <v>80</v>
      </c>
      <c r="I92">
        <v>82</v>
      </c>
      <c r="M92">
        <v>94</v>
      </c>
      <c r="P92" t="str">
        <f>IF(MOD(VALUE(MID(matura8[[#This Row],[PESEL]],10,1)),2)=0,"K","M")</f>
        <v>K</v>
      </c>
      <c r="Q92">
        <f>COUNTA(matura8[[#This Row],[Biologia-R]:[WOS-R]])</f>
        <v>3</v>
      </c>
    </row>
    <row r="93" spans="1:17" x14ac:dyDescent="0.3">
      <c r="A93" s="1" t="s">
        <v>88</v>
      </c>
      <c r="B93" s="1" t="s">
        <v>115</v>
      </c>
      <c r="F93">
        <v>82</v>
      </c>
      <c r="I93">
        <v>61</v>
      </c>
      <c r="P93" t="str">
        <f>IF(MOD(VALUE(MID(matura8[[#This Row],[PESEL]],10,1)),2)=0,"K","M")</f>
        <v>K</v>
      </c>
      <c r="Q93">
        <f>COUNTA(matura8[[#This Row],[Biologia-R]:[WOS-R]])</f>
        <v>2</v>
      </c>
    </row>
    <row r="94" spans="1:17" x14ac:dyDescent="0.3">
      <c r="A94" s="1" t="s">
        <v>116</v>
      </c>
      <c r="B94" s="1" t="s">
        <v>117</v>
      </c>
      <c r="E94">
        <v>70</v>
      </c>
      <c r="I94">
        <v>73</v>
      </c>
      <c r="M94">
        <v>70</v>
      </c>
      <c r="P94" t="str">
        <f>IF(MOD(VALUE(MID(matura8[[#This Row],[PESEL]],10,1)),2)=0,"K","M")</f>
        <v>M</v>
      </c>
      <c r="Q94">
        <f>COUNTA(matura8[[#This Row],[Biologia-R]:[WOS-R]])</f>
        <v>3</v>
      </c>
    </row>
    <row r="95" spans="1:17" x14ac:dyDescent="0.3">
      <c r="A95" s="1" t="s">
        <v>116</v>
      </c>
      <c r="B95" s="1" t="s">
        <v>118</v>
      </c>
      <c r="E95">
        <v>53</v>
      </c>
      <c r="I95">
        <v>67</v>
      </c>
      <c r="M95">
        <v>40</v>
      </c>
      <c r="P95" t="str">
        <f>IF(MOD(VALUE(MID(matura8[[#This Row],[PESEL]],10,1)),2)=0,"K","M")</f>
        <v>M</v>
      </c>
      <c r="Q95">
        <f>COUNTA(matura8[[#This Row],[Biologia-R]:[WOS-R]])</f>
        <v>3</v>
      </c>
    </row>
    <row r="96" spans="1:17" x14ac:dyDescent="0.3">
      <c r="A96" s="1" t="s">
        <v>116</v>
      </c>
      <c r="B96" s="1" t="s">
        <v>119</v>
      </c>
      <c r="E96">
        <v>75</v>
      </c>
      <c r="H96">
        <v>78</v>
      </c>
      <c r="I96">
        <v>96</v>
      </c>
      <c r="M96">
        <v>90</v>
      </c>
      <c r="P96" t="str">
        <f>IF(MOD(VALUE(MID(matura8[[#This Row],[PESEL]],10,1)),2)=0,"K","M")</f>
        <v>M</v>
      </c>
      <c r="Q96">
        <f>COUNTA(matura8[[#This Row],[Biologia-R]:[WOS-R]])</f>
        <v>4</v>
      </c>
    </row>
    <row r="97" spans="1:17" x14ac:dyDescent="0.3">
      <c r="A97" s="1" t="s">
        <v>116</v>
      </c>
      <c r="B97" s="1" t="s">
        <v>120</v>
      </c>
      <c r="E97">
        <v>82</v>
      </c>
      <c r="I97">
        <v>91</v>
      </c>
      <c r="M97">
        <v>80</v>
      </c>
      <c r="P97" t="str">
        <f>IF(MOD(VALUE(MID(matura8[[#This Row],[PESEL]],10,1)),2)=0,"K","M")</f>
        <v>K</v>
      </c>
      <c r="Q97">
        <f>COUNTA(matura8[[#This Row],[Biologia-R]:[WOS-R]])</f>
        <v>3</v>
      </c>
    </row>
    <row r="98" spans="1:17" x14ac:dyDescent="0.3">
      <c r="A98" s="1" t="s">
        <v>116</v>
      </c>
      <c r="B98" s="1" t="s">
        <v>121</v>
      </c>
      <c r="E98">
        <v>32</v>
      </c>
      <c r="I98">
        <v>74</v>
      </c>
      <c r="N98">
        <v>25</v>
      </c>
      <c r="P98" t="str">
        <f>IF(MOD(VALUE(MID(matura8[[#This Row],[PESEL]],10,1)),2)=0,"K","M")</f>
        <v>M</v>
      </c>
      <c r="Q98">
        <f>COUNTA(matura8[[#This Row],[Biologia-R]:[WOS-R]])</f>
        <v>3</v>
      </c>
    </row>
    <row r="99" spans="1:17" x14ac:dyDescent="0.3">
      <c r="A99" s="1" t="s">
        <v>116</v>
      </c>
      <c r="B99" s="1" t="s">
        <v>122</v>
      </c>
      <c r="E99">
        <v>77</v>
      </c>
      <c r="H99">
        <v>88</v>
      </c>
      <c r="I99">
        <v>76</v>
      </c>
      <c r="M99">
        <v>68</v>
      </c>
      <c r="P99" t="str">
        <f>IF(MOD(VALUE(MID(matura8[[#This Row],[PESEL]],10,1)),2)=0,"K","M")</f>
        <v>M</v>
      </c>
      <c r="Q99">
        <f>COUNTA(matura8[[#This Row],[Biologia-R]:[WOS-R]])</f>
        <v>4</v>
      </c>
    </row>
    <row r="100" spans="1:17" x14ac:dyDescent="0.3">
      <c r="A100" s="1" t="s">
        <v>116</v>
      </c>
      <c r="B100" s="1" t="s">
        <v>123</v>
      </c>
      <c r="E100">
        <v>70</v>
      </c>
      <c r="I100">
        <v>65</v>
      </c>
      <c r="M100">
        <v>78</v>
      </c>
      <c r="P100" t="str">
        <f>IF(MOD(VALUE(MID(matura8[[#This Row],[PESEL]],10,1)),2)=0,"K","M")</f>
        <v>K</v>
      </c>
      <c r="Q100">
        <f>COUNTA(matura8[[#This Row],[Biologia-R]:[WOS-R]])</f>
        <v>3</v>
      </c>
    </row>
    <row r="101" spans="1:17" x14ac:dyDescent="0.3">
      <c r="A101" s="1" t="s">
        <v>116</v>
      </c>
      <c r="B101" s="1" t="s">
        <v>124</v>
      </c>
      <c r="E101">
        <v>32</v>
      </c>
      <c r="I101">
        <v>75</v>
      </c>
      <c r="M101">
        <v>58</v>
      </c>
      <c r="P101" t="str">
        <f>IF(MOD(VALUE(MID(matura8[[#This Row],[PESEL]],10,1)),2)=0,"K","M")</f>
        <v>M</v>
      </c>
      <c r="Q101">
        <f>COUNTA(matura8[[#This Row],[Biologia-R]:[WOS-R]])</f>
        <v>3</v>
      </c>
    </row>
    <row r="102" spans="1:17" x14ac:dyDescent="0.3">
      <c r="A102" s="1" t="s">
        <v>116</v>
      </c>
      <c r="B102" s="1" t="s">
        <v>125</v>
      </c>
      <c r="C102">
        <v>37</v>
      </c>
      <c r="E102">
        <v>37</v>
      </c>
      <c r="I102">
        <v>84</v>
      </c>
      <c r="P102" t="str">
        <f>IF(MOD(VALUE(MID(matura8[[#This Row],[PESEL]],10,1)),2)=0,"K","M")</f>
        <v>M</v>
      </c>
      <c r="Q102">
        <f>COUNTA(matura8[[#This Row],[Biologia-R]:[WOS-R]])</f>
        <v>3</v>
      </c>
    </row>
    <row r="103" spans="1:17" x14ac:dyDescent="0.3">
      <c r="A103" s="1" t="s">
        <v>116</v>
      </c>
      <c r="B103" s="1" t="s">
        <v>126</v>
      </c>
      <c r="E103">
        <v>75</v>
      </c>
      <c r="I103">
        <v>94</v>
      </c>
      <c r="M103">
        <v>82</v>
      </c>
      <c r="P103" t="str">
        <f>IF(MOD(VALUE(MID(matura8[[#This Row],[PESEL]],10,1)),2)=0,"K","M")</f>
        <v>M</v>
      </c>
      <c r="Q103">
        <f>COUNTA(matura8[[#This Row],[Biologia-R]:[WOS-R]])</f>
        <v>3</v>
      </c>
    </row>
    <row r="104" spans="1:17" x14ac:dyDescent="0.3">
      <c r="A104" s="1" t="s">
        <v>116</v>
      </c>
      <c r="B104" s="1" t="s">
        <v>127</v>
      </c>
      <c r="E104">
        <v>92</v>
      </c>
      <c r="I104">
        <v>86</v>
      </c>
      <c r="M104">
        <v>88</v>
      </c>
      <c r="P104" t="str">
        <f>IF(MOD(VALUE(MID(matura8[[#This Row],[PESEL]],10,1)),2)=0,"K","M")</f>
        <v>K</v>
      </c>
      <c r="Q104">
        <f>COUNTA(matura8[[#This Row],[Biologia-R]:[WOS-R]])</f>
        <v>3</v>
      </c>
    </row>
    <row r="105" spans="1:17" x14ac:dyDescent="0.3">
      <c r="A105" s="1" t="s">
        <v>116</v>
      </c>
      <c r="B105" s="1" t="s">
        <v>128</v>
      </c>
      <c r="F105">
        <v>45</v>
      </c>
      <c r="I105">
        <v>80</v>
      </c>
      <c r="M105">
        <v>36</v>
      </c>
      <c r="P105" t="str">
        <f>IF(MOD(VALUE(MID(matura8[[#This Row],[PESEL]],10,1)),2)=0,"K","M")</f>
        <v>M</v>
      </c>
      <c r="Q105">
        <f>COUNTA(matura8[[#This Row],[Biologia-R]:[WOS-R]])</f>
        <v>3</v>
      </c>
    </row>
    <row r="106" spans="1:17" x14ac:dyDescent="0.3">
      <c r="A106" s="1" t="s">
        <v>116</v>
      </c>
      <c r="B106" s="1" t="s">
        <v>129</v>
      </c>
      <c r="I106">
        <v>94</v>
      </c>
      <c r="M106">
        <v>74</v>
      </c>
      <c r="P106" t="str">
        <f>IF(MOD(VALUE(MID(matura8[[#This Row],[PESEL]],10,1)),2)=0,"K","M")</f>
        <v>K</v>
      </c>
      <c r="Q106">
        <f>COUNTA(matura8[[#This Row],[Biologia-R]:[WOS-R]])</f>
        <v>2</v>
      </c>
    </row>
    <row r="107" spans="1:17" x14ac:dyDescent="0.3">
      <c r="A107" s="1" t="s">
        <v>116</v>
      </c>
      <c r="B107" s="1" t="s">
        <v>130</v>
      </c>
      <c r="I107">
        <v>78</v>
      </c>
      <c r="P107" t="str">
        <f>IF(MOD(VALUE(MID(matura8[[#This Row],[PESEL]],10,1)),2)=0,"K","M")</f>
        <v>K</v>
      </c>
      <c r="Q107">
        <f>COUNTA(matura8[[#This Row],[Biologia-R]:[WOS-R]])</f>
        <v>1</v>
      </c>
    </row>
    <row r="108" spans="1:17" x14ac:dyDescent="0.3">
      <c r="A108" s="1" t="s">
        <v>116</v>
      </c>
      <c r="B108" s="1" t="s">
        <v>131</v>
      </c>
      <c r="E108">
        <v>72</v>
      </c>
      <c r="I108">
        <v>79</v>
      </c>
      <c r="M108">
        <v>78</v>
      </c>
      <c r="P108" t="str">
        <f>IF(MOD(VALUE(MID(matura8[[#This Row],[PESEL]],10,1)),2)=0,"K","M")</f>
        <v>M</v>
      </c>
      <c r="Q108">
        <f>COUNTA(matura8[[#This Row],[Biologia-R]:[WOS-R]])</f>
        <v>3</v>
      </c>
    </row>
    <row r="109" spans="1:17" x14ac:dyDescent="0.3">
      <c r="A109" s="1" t="s">
        <v>116</v>
      </c>
      <c r="B109" s="1" t="s">
        <v>132</v>
      </c>
      <c r="E109">
        <v>62</v>
      </c>
      <c r="I109">
        <v>75</v>
      </c>
      <c r="M109">
        <v>38</v>
      </c>
      <c r="P109" t="str">
        <f>IF(MOD(VALUE(MID(matura8[[#This Row],[PESEL]],10,1)),2)=0,"K","M")</f>
        <v>M</v>
      </c>
      <c r="Q109">
        <f>COUNTA(matura8[[#This Row],[Biologia-R]:[WOS-R]])</f>
        <v>3</v>
      </c>
    </row>
    <row r="110" spans="1:17" x14ac:dyDescent="0.3">
      <c r="A110" s="1" t="s">
        <v>116</v>
      </c>
      <c r="B110" s="1" t="s">
        <v>133</v>
      </c>
      <c r="H110">
        <v>70</v>
      </c>
      <c r="I110">
        <v>79</v>
      </c>
      <c r="M110">
        <v>62</v>
      </c>
      <c r="P110" t="str">
        <f>IF(MOD(VALUE(MID(matura8[[#This Row],[PESEL]],10,1)),2)=0,"K","M")</f>
        <v>M</v>
      </c>
      <c r="Q110">
        <f>COUNTA(matura8[[#This Row],[Biologia-R]:[WOS-R]])</f>
        <v>3</v>
      </c>
    </row>
    <row r="111" spans="1:17" x14ac:dyDescent="0.3">
      <c r="A111" s="1" t="s">
        <v>116</v>
      </c>
      <c r="B111" s="1" t="s">
        <v>134</v>
      </c>
      <c r="E111">
        <v>48</v>
      </c>
      <c r="I111">
        <v>28</v>
      </c>
      <c r="M111">
        <v>68</v>
      </c>
      <c r="P111" t="str">
        <f>IF(MOD(VALUE(MID(matura8[[#This Row],[PESEL]],10,1)),2)=0,"K","M")</f>
        <v>M</v>
      </c>
      <c r="Q111">
        <f>COUNTA(matura8[[#This Row],[Biologia-R]:[WOS-R]])</f>
        <v>3</v>
      </c>
    </row>
    <row r="112" spans="1:17" x14ac:dyDescent="0.3">
      <c r="A112" s="1" t="s">
        <v>116</v>
      </c>
      <c r="B112" s="1" t="s">
        <v>135</v>
      </c>
      <c r="E112">
        <v>62</v>
      </c>
      <c r="I112">
        <v>79</v>
      </c>
      <c r="M112">
        <v>66</v>
      </c>
      <c r="P112" t="str">
        <f>IF(MOD(VALUE(MID(matura8[[#This Row],[PESEL]],10,1)),2)=0,"K","M")</f>
        <v>M</v>
      </c>
      <c r="Q112">
        <f>COUNTA(matura8[[#This Row],[Biologia-R]:[WOS-R]])</f>
        <v>3</v>
      </c>
    </row>
    <row r="113" spans="1:17" x14ac:dyDescent="0.3">
      <c r="A113" s="1" t="s">
        <v>116</v>
      </c>
      <c r="B113" s="1" t="s">
        <v>136</v>
      </c>
      <c r="E113">
        <v>67</v>
      </c>
      <c r="I113">
        <v>85</v>
      </c>
      <c r="M113">
        <v>70</v>
      </c>
      <c r="P113" t="str">
        <f>IF(MOD(VALUE(MID(matura8[[#This Row],[PESEL]],10,1)),2)=0,"K","M")</f>
        <v>M</v>
      </c>
      <c r="Q113">
        <f>COUNTA(matura8[[#This Row],[Biologia-R]:[WOS-R]])</f>
        <v>3</v>
      </c>
    </row>
    <row r="114" spans="1:17" x14ac:dyDescent="0.3">
      <c r="A114" s="1" t="s">
        <v>116</v>
      </c>
      <c r="B114" s="1" t="s">
        <v>137</v>
      </c>
      <c r="E114">
        <v>67</v>
      </c>
      <c r="I114">
        <v>78</v>
      </c>
      <c r="M114">
        <v>68</v>
      </c>
      <c r="P114" t="str">
        <f>IF(MOD(VALUE(MID(matura8[[#This Row],[PESEL]],10,1)),2)=0,"K","M")</f>
        <v>M</v>
      </c>
      <c r="Q114">
        <f>COUNTA(matura8[[#This Row],[Biologia-R]:[WOS-R]])</f>
        <v>3</v>
      </c>
    </row>
    <row r="115" spans="1:17" x14ac:dyDescent="0.3">
      <c r="A115" s="1" t="s">
        <v>116</v>
      </c>
      <c r="B115" s="1" t="s">
        <v>138</v>
      </c>
      <c r="H115">
        <v>98</v>
      </c>
      <c r="I115">
        <v>84</v>
      </c>
      <c r="M115">
        <v>92</v>
      </c>
      <c r="P115" t="str">
        <f>IF(MOD(VALUE(MID(matura8[[#This Row],[PESEL]],10,1)),2)=0,"K","M")</f>
        <v>M</v>
      </c>
      <c r="Q115">
        <f>COUNTA(matura8[[#This Row],[Biologia-R]:[WOS-R]])</f>
        <v>3</v>
      </c>
    </row>
    <row r="116" spans="1:17" x14ac:dyDescent="0.3">
      <c r="A116" s="1" t="s">
        <v>116</v>
      </c>
      <c r="B116" s="1" t="s">
        <v>139</v>
      </c>
      <c r="I116">
        <v>86</v>
      </c>
      <c r="M116">
        <v>60</v>
      </c>
      <c r="P116" t="str">
        <f>IF(MOD(VALUE(MID(matura8[[#This Row],[PESEL]],10,1)),2)=0,"K","M")</f>
        <v>K</v>
      </c>
      <c r="Q116">
        <f>COUNTA(matura8[[#This Row],[Biologia-R]:[WOS-R]])</f>
        <v>2</v>
      </c>
    </row>
    <row r="117" spans="1:17" x14ac:dyDescent="0.3">
      <c r="A117" s="1" t="s">
        <v>116</v>
      </c>
      <c r="B117" s="1" t="s">
        <v>140</v>
      </c>
      <c r="E117">
        <v>55</v>
      </c>
      <c r="I117">
        <v>92</v>
      </c>
      <c r="M117">
        <v>78</v>
      </c>
      <c r="P117" t="str">
        <f>IF(MOD(VALUE(MID(matura8[[#This Row],[PESEL]],10,1)),2)=0,"K","M")</f>
        <v>K</v>
      </c>
      <c r="Q117">
        <f>COUNTA(matura8[[#This Row],[Biologia-R]:[WOS-R]])</f>
        <v>3</v>
      </c>
    </row>
    <row r="118" spans="1:17" x14ac:dyDescent="0.3">
      <c r="A118" s="1" t="s">
        <v>116</v>
      </c>
      <c r="B118" s="1" t="s">
        <v>141</v>
      </c>
      <c r="E118">
        <v>78</v>
      </c>
      <c r="I118">
        <v>85</v>
      </c>
      <c r="M118">
        <v>92</v>
      </c>
      <c r="P118" t="str">
        <f>IF(MOD(VALUE(MID(matura8[[#This Row],[PESEL]],10,1)),2)=0,"K","M")</f>
        <v>K</v>
      </c>
      <c r="Q118">
        <f>COUNTA(matura8[[#This Row],[Biologia-R]:[WOS-R]])</f>
        <v>3</v>
      </c>
    </row>
    <row r="119" spans="1:17" x14ac:dyDescent="0.3">
      <c r="A119" s="1" t="s">
        <v>116</v>
      </c>
      <c r="B119" s="1" t="s">
        <v>142</v>
      </c>
      <c r="H119">
        <v>52</v>
      </c>
      <c r="I119">
        <v>68</v>
      </c>
      <c r="M119">
        <v>56</v>
      </c>
      <c r="P119" t="str">
        <f>IF(MOD(VALUE(MID(matura8[[#This Row],[PESEL]],10,1)),2)=0,"K","M")</f>
        <v>M</v>
      </c>
      <c r="Q119">
        <f>COUNTA(matura8[[#This Row],[Biologia-R]:[WOS-R]])</f>
        <v>3</v>
      </c>
    </row>
    <row r="120" spans="1:17" x14ac:dyDescent="0.3">
      <c r="A120" s="1" t="s">
        <v>116</v>
      </c>
      <c r="B120" s="1" t="s">
        <v>143</v>
      </c>
      <c r="E120">
        <v>70</v>
      </c>
      <c r="I120">
        <v>86</v>
      </c>
      <c r="M120">
        <v>78</v>
      </c>
      <c r="P120" t="str">
        <f>IF(MOD(VALUE(MID(matura8[[#This Row],[PESEL]],10,1)),2)=0,"K","M")</f>
        <v>M</v>
      </c>
      <c r="Q120">
        <f>COUNTA(matura8[[#This Row],[Biologia-R]:[WOS-R]])</f>
        <v>3</v>
      </c>
    </row>
    <row r="121" spans="1:17" x14ac:dyDescent="0.3">
      <c r="A121" s="1" t="s">
        <v>116</v>
      </c>
      <c r="B121" s="1" t="s">
        <v>144</v>
      </c>
      <c r="E121">
        <v>32</v>
      </c>
      <c r="I121">
        <v>78</v>
      </c>
      <c r="M121">
        <v>74</v>
      </c>
      <c r="P121" t="str">
        <f>IF(MOD(VALUE(MID(matura8[[#This Row],[PESEL]],10,1)),2)=0,"K","M")</f>
        <v>M</v>
      </c>
      <c r="Q121">
        <f>COUNTA(matura8[[#This Row],[Biologia-R]:[WOS-R]])</f>
        <v>3</v>
      </c>
    </row>
    <row r="122" spans="1:17" x14ac:dyDescent="0.3">
      <c r="A122" s="1" t="s">
        <v>116</v>
      </c>
      <c r="B122" s="1" t="s">
        <v>145</v>
      </c>
      <c r="E122">
        <v>75</v>
      </c>
      <c r="I122">
        <v>64</v>
      </c>
      <c r="M122">
        <v>74</v>
      </c>
      <c r="P122" t="str">
        <f>IF(MOD(VALUE(MID(matura8[[#This Row],[PESEL]],10,1)),2)=0,"K","M")</f>
        <v>M</v>
      </c>
      <c r="Q122">
        <f>COUNTA(matura8[[#This Row],[Biologia-R]:[WOS-R]])</f>
        <v>3</v>
      </c>
    </row>
    <row r="123" spans="1:17" x14ac:dyDescent="0.3">
      <c r="A123" s="1" t="s">
        <v>116</v>
      </c>
      <c r="B123" s="1" t="s">
        <v>146</v>
      </c>
      <c r="E123">
        <v>63</v>
      </c>
      <c r="M123">
        <v>92</v>
      </c>
      <c r="P123" t="str">
        <f>IF(MOD(VALUE(MID(matura8[[#This Row],[PESEL]],10,1)),2)=0,"K","M")</f>
        <v>M</v>
      </c>
      <c r="Q123">
        <f>COUNTA(matura8[[#This Row],[Biologia-R]:[WOS-R]])</f>
        <v>2</v>
      </c>
    </row>
    <row r="124" spans="1:17" x14ac:dyDescent="0.3">
      <c r="A124" s="1" t="s">
        <v>116</v>
      </c>
      <c r="B124" s="1" t="s">
        <v>147</v>
      </c>
      <c r="I124">
        <v>65</v>
      </c>
      <c r="M124">
        <v>68</v>
      </c>
      <c r="P124" t="str">
        <f>IF(MOD(VALUE(MID(matura8[[#This Row],[PESEL]],10,1)),2)=0,"K","M")</f>
        <v>K</v>
      </c>
      <c r="Q124">
        <f>COUNTA(matura8[[#This Row],[Biologia-R]:[WOS-R]])</f>
        <v>2</v>
      </c>
    </row>
    <row r="125" spans="1:17" x14ac:dyDescent="0.3">
      <c r="A125" s="1" t="s">
        <v>116</v>
      </c>
      <c r="B125" s="1" t="s">
        <v>148</v>
      </c>
      <c r="I125">
        <v>84</v>
      </c>
      <c r="M125">
        <v>54</v>
      </c>
      <c r="P125" t="str">
        <f>IF(MOD(VALUE(MID(matura8[[#This Row],[PESEL]],10,1)),2)=0,"K","M")</f>
        <v>M</v>
      </c>
      <c r="Q125">
        <f>COUNTA(matura8[[#This Row],[Biologia-R]:[WOS-R]])</f>
        <v>2</v>
      </c>
    </row>
    <row r="126" spans="1:17" x14ac:dyDescent="0.3">
      <c r="A126" s="1" t="s">
        <v>116</v>
      </c>
      <c r="B126" s="1" t="s">
        <v>149</v>
      </c>
      <c r="E126">
        <v>77</v>
      </c>
      <c r="I126">
        <v>86</v>
      </c>
      <c r="M126">
        <v>64</v>
      </c>
      <c r="P126" t="str">
        <f>IF(MOD(VALUE(MID(matura8[[#This Row],[PESEL]],10,1)),2)=0,"K","M")</f>
        <v>K</v>
      </c>
      <c r="Q126">
        <f>COUNTA(matura8[[#This Row],[Biologia-R]:[WOS-R]])</f>
        <v>3</v>
      </c>
    </row>
    <row r="127" spans="1:17" x14ac:dyDescent="0.3">
      <c r="A127" s="1" t="s">
        <v>150</v>
      </c>
      <c r="B127" s="1" t="s">
        <v>151</v>
      </c>
      <c r="K127">
        <v>73</v>
      </c>
      <c r="N127">
        <v>65</v>
      </c>
      <c r="P127" t="str">
        <f>IF(MOD(VALUE(MID(matura8[[#This Row],[PESEL]],10,1)),2)=0,"K","M")</f>
        <v>M</v>
      </c>
      <c r="Q127">
        <f>COUNTA(matura8[[#This Row],[Biologia-R]:[WOS-R]])</f>
        <v>2</v>
      </c>
    </row>
    <row r="128" spans="1:17" x14ac:dyDescent="0.3">
      <c r="A128" s="1" t="s">
        <v>150</v>
      </c>
      <c r="B128" s="1" t="s">
        <v>152</v>
      </c>
      <c r="K128">
        <v>61</v>
      </c>
      <c r="N128">
        <v>58</v>
      </c>
      <c r="P128" t="str">
        <f>IF(MOD(VALUE(MID(matura8[[#This Row],[PESEL]],10,1)),2)=0,"K","M")</f>
        <v>K</v>
      </c>
      <c r="Q128">
        <f>COUNTA(matura8[[#This Row],[Biologia-R]:[WOS-R]])</f>
        <v>2</v>
      </c>
    </row>
    <row r="129" spans="1:17" x14ac:dyDescent="0.3">
      <c r="A129" s="1" t="s">
        <v>150</v>
      </c>
      <c r="B129" s="1" t="s">
        <v>153</v>
      </c>
      <c r="K129">
        <v>65</v>
      </c>
      <c r="N129">
        <v>58</v>
      </c>
      <c r="P129" t="str">
        <f>IF(MOD(VALUE(MID(matura8[[#This Row],[PESEL]],10,1)),2)=0,"K","M")</f>
        <v>K</v>
      </c>
      <c r="Q129">
        <f>COUNTA(matura8[[#This Row],[Biologia-R]:[WOS-R]])</f>
        <v>2</v>
      </c>
    </row>
    <row r="130" spans="1:17" x14ac:dyDescent="0.3">
      <c r="A130" s="1" t="s">
        <v>150</v>
      </c>
      <c r="B130" s="1" t="s">
        <v>154</v>
      </c>
      <c r="K130">
        <v>68</v>
      </c>
      <c r="N130">
        <v>88</v>
      </c>
      <c r="P130" t="str">
        <f>IF(MOD(VALUE(MID(matura8[[#This Row],[PESEL]],10,1)),2)=0,"K","M")</f>
        <v>K</v>
      </c>
      <c r="Q130">
        <f>COUNTA(matura8[[#This Row],[Biologia-R]:[WOS-R]])</f>
        <v>2</v>
      </c>
    </row>
    <row r="131" spans="1:17" x14ac:dyDescent="0.3">
      <c r="A131" s="1" t="s">
        <v>150</v>
      </c>
      <c r="B131" s="1" t="s">
        <v>155</v>
      </c>
      <c r="F131">
        <v>85</v>
      </c>
      <c r="I131">
        <v>95</v>
      </c>
      <c r="N131">
        <v>88</v>
      </c>
      <c r="P131" t="str">
        <f>IF(MOD(VALUE(MID(matura8[[#This Row],[PESEL]],10,1)),2)=0,"K","M")</f>
        <v>K</v>
      </c>
      <c r="Q131">
        <f>COUNTA(matura8[[#This Row],[Biologia-R]:[WOS-R]])</f>
        <v>3</v>
      </c>
    </row>
    <row r="132" spans="1:17" x14ac:dyDescent="0.3">
      <c r="A132" s="1" t="s">
        <v>150</v>
      </c>
      <c r="B132" s="1" t="s">
        <v>156</v>
      </c>
      <c r="K132">
        <v>45</v>
      </c>
      <c r="N132">
        <v>83</v>
      </c>
      <c r="P132" t="str">
        <f>IF(MOD(VALUE(MID(matura8[[#This Row],[PESEL]],10,1)),2)=0,"K","M")</f>
        <v>K</v>
      </c>
      <c r="Q132">
        <f>COUNTA(matura8[[#This Row],[Biologia-R]:[WOS-R]])</f>
        <v>2</v>
      </c>
    </row>
    <row r="133" spans="1:17" x14ac:dyDescent="0.3">
      <c r="A133" s="1" t="s">
        <v>150</v>
      </c>
      <c r="B133" s="1" t="s">
        <v>157</v>
      </c>
      <c r="I133">
        <v>79</v>
      </c>
      <c r="K133">
        <v>79</v>
      </c>
      <c r="N133">
        <v>53</v>
      </c>
      <c r="P133" t="str">
        <f>IF(MOD(VALUE(MID(matura8[[#This Row],[PESEL]],10,1)),2)=0,"K","M")</f>
        <v>M</v>
      </c>
      <c r="Q133">
        <f>COUNTA(matura8[[#This Row],[Biologia-R]:[WOS-R]])</f>
        <v>3</v>
      </c>
    </row>
    <row r="134" spans="1:17" x14ac:dyDescent="0.3">
      <c r="A134" s="1" t="s">
        <v>150</v>
      </c>
      <c r="B134" s="1" t="s">
        <v>158</v>
      </c>
      <c r="F134">
        <v>38</v>
      </c>
      <c r="I134">
        <v>69</v>
      </c>
      <c r="K134">
        <v>72</v>
      </c>
      <c r="N134">
        <v>60</v>
      </c>
      <c r="P134" t="str">
        <f>IF(MOD(VALUE(MID(matura8[[#This Row],[PESEL]],10,1)),2)=0,"K","M")</f>
        <v>K</v>
      </c>
      <c r="Q134">
        <f>COUNTA(matura8[[#This Row],[Biologia-R]:[WOS-R]])</f>
        <v>4</v>
      </c>
    </row>
    <row r="135" spans="1:17" x14ac:dyDescent="0.3">
      <c r="A135" s="1" t="s">
        <v>150</v>
      </c>
      <c r="B135" s="1" t="s">
        <v>159</v>
      </c>
      <c r="C135">
        <v>62</v>
      </c>
      <c r="D135">
        <v>35</v>
      </c>
      <c r="K135">
        <v>52</v>
      </c>
      <c r="P135" t="str">
        <f>IF(MOD(VALUE(MID(matura8[[#This Row],[PESEL]],10,1)),2)=0,"K","M")</f>
        <v>K</v>
      </c>
      <c r="Q135">
        <f>COUNTA(matura8[[#This Row],[Biologia-R]:[WOS-R]])</f>
        <v>3</v>
      </c>
    </row>
    <row r="136" spans="1:17" x14ac:dyDescent="0.3">
      <c r="A136" s="1" t="s">
        <v>150</v>
      </c>
      <c r="B136" s="1" t="s">
        <v>160</v>
      </c>
      <c r="F136">
        <v>50</v>
      </c>
      <c r="K136">
        <v>63</v>
      </c>
      <c r="P136" t="str">
        <f>IF(MOD(VALUE(MID(matura8[[#This Row],[PESEL]],10,1)),2)=0,"K","M")</f>
        <v>K</v>
      </c>
      <c r="Q136">
        <f>COUNTA(matura8[[#This Row],[Biologia-R]:[WOS-R]])</f>
        <v>2</v>
      </c>
    </row>
    <row r="137" spans="1:17" x14ac:dyDescent="0.3">
      <c r="A137" s="1" t="s">
        <v>150</v>
      </c>
      <c r="B137" s="1" t="s">
        <v>161</v>
      </c>
      <c r="F137">
        <v>82</v>
      </c>
      <c r="M137">
        <v>66</v>
      </c>
      <c r="N137">
        <v>85</v>
      </c>
      <c r="P137" t="str">
        <f>IF(MOD(VALUE(MID(matura8[[#This Row],[PESEL]],10,1)),2)=0,"K","M")</f>
        <v>K</v>
      </c>
      <c r="Q137">
        <f>COUNTA(matura8[[#This Row],[Biologia-R]:[WOS-R]])</f>
        <v>3</v>
      </c>
    </row>
    <row r="138" spans="1:17" x14ac:dyDescent="0.3">
      <c r="A138" s="1" t="s">
        <v>150</v>
      </c>
      <c r="B138" s="1" t="s">
        <v>162</v>
      </c>
      <c r="K138">
        <v>79</v>
      </c>
      <c r="N138">
        <v>83</v>
      </c>
      <c r="P138" t="str">
        <f>IF(MOD(VALUE(MID(matura8[[#This Row],[PESEL]],10,1)),2)=0,"K","M")</f>
        <v>K</v>
      </c>
      <c r="Q138">
        <f>COUNTA(matura8[[#This Row],[Biologia-R]:[WOS-R]])</f>
        <v>2</v>
      </c>
    </row>
    <row r="139" spans="1:17" x14ac:dyDescent="0.3">
      <c r="A139" s="1" t="s">
        <v>150</v>
      </c>
      <c r="B139" s="1" t="s">
        <v>163</v>
      </c>
      <c r="G139">
        <v>66</v>
      </c>
      <c r="I139">
        <v>93</v>
      </c>
      <c r="K139">
        <v>83</v>
      </c>
      <c r="N139">
        <v>100</v>
      </c>
      <c r="P139" t="str">
        <f>IF(MOD(VALUE(MID(matura8[[#This Row],[PESEL]],10,1)),2)=0,"K","M")</f>
        <v>K</v>
      </c>
      <c r="Q139">
        <f>COUNTA(matura8[[#This Row],[Biologia-R]:[WOS-R]])</f>
        <v>4</v>
      </c>
    </row>
    <row r="140" spans="1:17" x14ac:dyDescent="0.3">
      <c r="A140" s="1" t="s">
        <v>150</v>
      </c>
      <c r="B140" s="1" t="s">
        <v>164</v>
      </c>
      <c r="F140">
        <v>75</v>
      </c>
      <c r="I140">
        <v>83</v>
      </c>
      <c r="M140">
        <v>30</v>
      </c>
      <c r="N140">
        <v>80</v>
      </c>
      <c r="P140" t="str">
        <f>IF(MOD(VALUE(MID(matura8[[#This Row],[PESEL]],10,1)),2)=0,"K","M")</f>
        <v>K</v>
      </c>
      <c r="Q140">
        <f>COUNTA(matura8[[#This Row],[Biologia-R]:[WOS-R]])</f>
        <v>4</v>
      </c>
    </row>
    <row r="141" spans="1:17" x14ac:dyDescent="0.3">
      <c r="A141" s="1" t="s">
        <v>150</v>
      </c>
      <c r="B141" s="1" t="s">
        <v>165</v>
      </c>
      <c r="K141">
        <v>96</v>
      </c>
      <c r="P141" t="str">
        <f>IF(MOD(VALUE(MID(matura8[[#This Row],[PESEL]],10,1)),2)=0,"K","M")</f>
        <v>K</v>
      </c>
      <c r="Q141">
        <f>COUNTA(matura8[[#This Row],[Biologia-R]:[WOS-R]])</f>
        <v>1</v>
      </c>
    </row>
    <row r="142" spans="1:17" x14ac:dyDescent="0.3">
      <c r="A142" s="1" t="s">
        <v>150</v>
      </c>
      <c r="B142" s="1" t="s">
        <v>166</v>
      </c>
      <c r="G142">
        <v>24</v>
      </c>
      <c r="I142">
        <v>63</v>
      </c>
      <c r="K142">
        <v>61</v>
      </c>
      <c r="N142">
        <v>58</v>
      </c>
      <c r="O142">
        <v>16</v>
      </c>
      <c r="P142" t="str">
        <f>IF(MOD(VALUE(MID(matura8[[#This Row],[PESEL]],10,1)),2)=0,"K","M")</f>
        <v>K</v>
      </c>
      <c r="Q142">
        <f>COUNTA(matura8[[#This Row],[Biologia-R]:[WOS-R]])</f>
        <v>5</v>
      </c>
    </row>
    <row r="143" spans="1:17" x14ac:dyDescent="0.3">
      <c r="A143" s="1" t="s">
        <v>150</v>
      </c>
      <c r="B143" s="1" t="s">
        <v>167</v>
      </c>
      <c r="G143">
        <v>72</v>
      </c>
      <c r="I143">
        <v>76</v>
      </c>
      <c r="K143">
        <v>77</v>
      </c>
      <c r="N143">
        <v>75</v>
      </c>
      <c r="O143">
        <v>46</v>
      </c>
      <c r="P143" t="str">
        <f>IF(MOD(VALUE(MID(matura8[[#This Row],[PESEL]],10,1)),2)=0,"K","M")</f>
        <v>K</v>
      </c>
      <c r="Q143">
        <f>COUNTA(matura8[[#This Row],[Biologia-R]:[WOS-R]])</f>
        <v>5</v>
      </c>
    </row>
    <row r="144" spans="1:17" x14ac:dyDescent="0.3">
      <c r="A144" s="1" t="s">
        <v>150</v>
      </c>
      <c r="B144" s="1" t="s">
        <v>168</v>
      </c>
      <c r="I144">
        <v>71</v>
      </c>
      <c r="K144">
        <v>70</v>
      </c>
      <c r="N144">
        <v>55</v>
      </c>
      <c r="P144" t="str">
        <f>IF(MOD(VALUE(MID(matura8[[#This Row],[PESEL]],10,1)),2)=0,"K","M")</f>
        <v>K</v>
      </c>
      <c r="Q144">
        <f>COUNTA(matura8[[#This Row],[Biologia-R]:[WOS-R]])</f>
        <v>3</v>
      </c>
    </row>
    <row r="145" spans="1:17" x14ac:dyDescent="0.3">
      <c r="A145" s="1" t="s">
        <v>150</v>
      </c>
      <c r="B145" s="1" t="s">
        <v>169</v>
      </c>
      <c r="I145">
        <v>89</v>
      </c>
      <c r="N145">
        <v>63</v>
      </c>
      <c r="P145" t="str">
        <f>IF(MOD(VALUE(MID(matura8[[#This Row],[PESEL]],10,1)),2)=0,"K","M")</f>
        <v>K</v>
      </c>
      <c r="Q145">
        <f>COUNTA(matura8[[#This Row],[Biologia-R]:[WOS-R]])</f>
        <v>2</v>
      </c>
    </row>
    <row r="146" spans="1:17" x14ac:dyDescent="0.3">
      <c r="A146" s="1" t="s">
        <v>150</v>
      </c>
      <c r="B146" s="1" t="s">
        <v>170</v>
      </c>
      <c r="I146">
        <v>74</v>
      </c>
      <c r="P146" t="str">
        <f>IF(MOD(VALUE(MID(matura8[[#This Row],[PESEL]],10,1)),2)=0,"K","M")</f>
        <v>K</v>
      </c>
      <c r="Q146">
        <f>COUNTA(matura8[[#This Row],[Biologia-R]:[WOS-R]])</f>
        <v>1</v>
      </c>
    </row>
    <row r="147" spans="1:17" x14ac:dyDescent="0.3">
      <c r="A147" s="1" t="s">
        <v>150</v>
      </c>
      <c r="B147" s="1" t="s">
        <v>171</v>
      </c>
      <c r="J147">
        <v>73</v>
      </c>
      <c r="K147">
        <v>82</v>
      </c>
      <c r="N147">
        <v>70</v>
      </c>
      <c r="P147" t="str">
        <f>IF(MOD(VALUE(MID(matura8[[#This Row],[PESEL]],10,1)),2)=0,"K","M")</f>
        <v>K</v>
      </c>
      <c r="Q147">
        <f>COUNTA(matura8[[#This Row],[Biologia-R]:[WOS-R]])</f>
        <v>3</v>
      </c>
    </row>
    <row r="148" spans="1:17" x14ac:dyDescent="0.3">
      <c r="A148" s="1" t="s">
        <v>150</v>
      </c>
      <c r="B148" s="1" t="s">
        <v>172</v>
      </c>
      <c r="C148">
        <v>18</v>
      </c>
      <c r="D148">
        <v>12</v>
      </c>
      <c r="P148" t="str">
        <f>IF(MOD(VALUE(MID(matura8[[#This Row],[PESEL]],10,1)),2)=0,"K","M")</f>
        <v>K</v>
      </c>
      <c r="Q148">
        <f>COUNTA(matura8[[#This Row],[Biologia-R]:[WOS-R]])</f>
        <v>2</v>
      </c>
    </row>
    <row r="149" spans="1:17" x14ac:dyDescent="0.3">
      <c r="A149" s="1" t="s">
        <v>150</v>
      </c>
      <c r="B149" s="1" t="s">
        <v>173</v>
      </c>
      <c r="I149">
        <v>78</v>
      </c>
      <c r="M149">
        <v>40</v>
      </c>
      <c r="P149" t="str">
        <f>IF(MOD(VALUE(MID(matura8[[#This Row],[PESEL]],10,1)),2)=0,"K","M")</f>
        <v>K</v>
      </c>
      <c r="Q149">
        <f>COUNTA(matura8[[#This Row],[Biologia-R]:[WOS-R]])</f>
        <v>2</v>
      </c>
    </row>
    <row r="150" spans="1:17" x14ac:dyDescent="0.3">
      <c r="A150" s="1" t="s">
        <v>150</v>
      </c>
      <c r="B150" s="1" t="s">
        <v>174</v>
      </c>
      <c r="K150">
        <v>71</v>
      </c>
      <c r="N150">
        <v>58</v>
      </c>
      <c r="P150" t="str">
        <f>IF(MOD(VALUE(MID(matura8[[#This Row],[PESEL]],10,1)),2)=0,"K","M")</f>
        <v>K</v>
      </c>
      <c r="Q150">
        <f>COUNTA(matura8[[#This Row],[Biologia-R]:[WOS-R]])</f>
        <v>2</v>
      </c>
    </row>
    <row r="151" spans="1:17" x14ac:dyDescent="0.3">
      <c r="A151" s="1" t="s">
        <v>150</v>
      </c>
      <c r="B151" s="1" t="s">
        <v>175</v>
      </c>
      <c r="F151">
        <v>53</v>
      </c>
      <c r="I151">
        <v>66</v>
      </c>
      <c r="K151">
        <v>67</v>
      </c>
      <c r="N151">
        <v>63</v>
      </c>
      <c r="P151" t="str">
        <f>IF(MOD(VALUE(MID(matura8[[#This Row],[PESEL]],10,1)),2)=0,"K","M")</f>
        <v>K</v>
      </c>
      <c r="Q151">
        <f>COUNTA(matura8[[#This Row],[Biologia-R]:[WOS-R]])</f>
        <v>4</v>
      </c>
    </row>
    <row r="152" spans="1:17" x14ac:dyDescent="0.3">
      <c r="A152" s="1" t="s">
        <v>150</v>
      </c>
      <c r="B152" s="1" t="s">
        <v>176</v>
      </c>
      <c r="F152">
        <v>52</v>
      </c>
      <c r="K152">
        <v>70</v>
      </c>
      <c r="M152">
        <v>36</v>
      </c>
      <c r="P152" t="str">
        <f>IF(MOD(VALUE(MID(matura8[[#This Row],[PESEL]],10,1)),2)=0,"K","M")</f>
        <v>K</v>
      </c>
      <c r="Q152">
        <f>COUNTA(matura8[[#This Row],[Biologia-R]:[WOS-R]])</f>
        <v>3</v>
      </c>
    </row>
    <row r="153" spans="1:17" x14ac:dyDescent="0.3">
      <c r="A153" s="1" t="s">
        <v>150</v>
      </c>
      <c r="B153" s="1" t="s">
        <v>177</v>
      </c>
      <c r="C153">
        <v>43</v>
      </c>
      <c r="D153">
        <v>43</v>
      </c>
      <c r="K153">
        <v>70</v>
      </c>
      <c r="P153" t="str">
        <f>IF(MOD(VALUE(MID(matura8[[#This Row],[PESEL]],10,1)),2)=0,"K","M")</f>
        <v>K</v>
      </c>
      <c r="Q153">
        <f>COUNTA(matura8[[#This Row],[Biologia-R]:[WOS-R]])</f>
        <v>3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2D000B-7980-4EF3-A0E4-6EBDCBEF68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matura</vt:lpstr>
      <vt:lpstr>4,1</vt:lpstr>
      <vt:lpstr>4,2_obliczenia</vt:lpstr>
      <vt:lpstr>4,2</vt:lpstr>
      <vt:lpstr>4,3</vt:lpstr>
      <vt:lpstr>4,4</vt:lpstr>
      <vt:lpstr>4,5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Bartos</dc:creator>
  <cp:lastModifiedBy>Natalia Bartos</cp:lastModifiedBy>
  <dcterms:created xsi:type="dcterms:W3CDTF">2026-03-16T17:38:19Z</dcterms:created>
  <dcterms:modified xsi:type="dcterms:W3CDTF">2026-03-16T20:25:00Z</dcterms:modified>
</cp:coreProperties>
</file>