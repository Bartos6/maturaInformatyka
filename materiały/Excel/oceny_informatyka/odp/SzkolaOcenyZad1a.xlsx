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alia.bartos\Documents\Zadania\Excel\oceny_informatyka\odp\"/>
    </mc:Choice>
  </mc:AlternateContent>
  <xr:revisionPtr revIDLastSave="0" documentId="13_ncr:1_{A822C495-36C0-4048-B16B-EFDE42441E22}" xr6:coauthVersionLast="47" xr6:coauthVersionMax="47" xr10:uidLastSave="{00000000-0000-0000-0000-000000000000}"/>
  <bookViews>
    <workbookView xWindow="14295" yWindow="0" windowWidth="14610" windowHeight="15585" firstSheet="3" activeTab="7" xr2:uid="{5ABEF13B-2B27-4431-BF96-7652B3D1A654}"/>
  </bookViews>
  <sheets>
    <sheet name="dane_dane" sheetId="5" r:id="rId1"/>
    <sheet name="zadania" sheetId="1" r:id="rId2"/>
    <sheet name="wyszukiwarka uczniow" sheetId="4" r:id="rId3"/>
    <sheet name="zad2" sheetId="6" r:id="rId4"/>
    <sheet name="zad3" sheetId="7" r:id="rId5"/>
    <sheet name="zad4" sheetId="8" r:id="rId6"/>
    <sheet name="zad5" sheetId="9" r:id="rId7"/>
    <sheet name="zad6" sheetId="10" r:id="rId8"/>
  </sheets>
  <calcPr calcId="191029"/>
  <pivotCaches>
    <pivotCache cacheId="8" r:id="rId9"/>
    <pivotCache cacheId="12" r:id="rId10"/>
    <pivotCache cacheId="17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4" l="1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2" i="5"/>
  <c r="F6" i="7"/>
  <c r="E6" i="7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2" i="1"/>
  <c r="E5" i="8"/>
</calcChain>
</file>

<file path=xl/sharedStrings.xml><?xml version="1.0" encoding="utf-8"?>
<sst xmlns="http://schemas.openxmlformats.org/spreadsheetml/2006/main" count="302" uniqueCount="90">
  <si>
    <t>ID ucznia</t>
  </si>
  <si>
    <t>Imię</t>
  </si>
  <si>
    <t>Klasa</t>
  </si>
  <si>
    <t>Anna</t>
  </si>
  <si>
    <t>Uczeń</t>
  </si>
  <si>
    <t>Ocena</t>
  </si>
  <si>
    <t>Kowalski</t>
  </si>
  <si>
    <t>Nowak</t>
  </si>
  <si>
    <t>Nazwisko</t>
  </si>
  <si>
    <t>Michał</t>
  </si>
  <si>
    <t>Katarzyna</t>
  </si>
  <si>
    <t>Piotr</t>
  </si>
  <si>
    <t>Agnieszka</t>
  </si>
  <si>
    <t>Tomasz</t>
  </si>
  <si>
    <t>Natalia</t>
  </si>
  <si>
    <t>Paweł</t>
  </si>
  <si>
    <t>Magdalena</t>
  </si>
  <si>
    <t>Krzysztof</t>
  </si>
  <si>
    <t>Julia</t>
  </si>
  <si>
    <t>Marcin</t>
  </si>
  <si>
    <t>Aleksandra</t>
  </si>
  <si>
    <t>Łukasz</t>
  </si>
  <si>
    <t>Zuzanna</t>
  </si>
  <si>
    <t>Mateusz</t>
  </si>
  <si>
    <t>Karolina</t>
  </si>
  <si>
    <t>Adam</t>
  </si>
  <si>
    <t>Weronika</t>
  </si>
  <si>
    <t>Jakub</t>
  </si>
  <si>
    <t>Monika</t>
  </si>
  <si>
    <t>Kamil</t>
  </si>
  <si>
    <t>Oliwia</t>
  </si>
  <si>
    <t>Rafał</t>
  </si>
  <si>
    <t>Emilia</t>
  </si>
  <si>
    <t>Dawid</t>
  </si>
  <si>
    <t>Patrycja</t>
  </si>
  <si>
    <t>Sebastian</t>
  </si>
  <si>
    <t>Martyna</t>
  </si>
  <si>
    <t>Filip</t>
  </si>
  <si>
    <t>Wójcik</t>
  </si>
  <si>
    <t>Kamiński</t>
  </si>
  <si>
    <t>Lewandowski</t>
  </si>
  <si>
    <t>Szymański</t>
  </si>
  <si>
    <t>Woźniak</t>
  </si>
  <si>
    <t>Mazur</t>
  </si>
  <si>
    <t>Kwiatkowski</t>
  </si>
  <si>
    <t>Kaczmarek</t>
  </si>
  <si>
    <t>Michalski</t>
  </si>
  <si>
    <t>Król</t>
  </si>
  <si>
    <t>Wieczorek</t>
  </si>
  <si>
    <t>Nowicki</t>
  </si>
  <si>
    <t>1A</t>
  </si>
  <si>
    <t>2C</t>
  </si>
  <si>
    <t>1B</t>
  </si>
  <si>
    <t>2A</t>
  </si>
  <si>
    <t>1C</t>
  </si>
  <si>
    <t>2B</t>
  </si>
  <si>
    <t xml:space="preserve">W pliku oceny.txt znajdują się dane dotyczące ocen końcowych z infomatyki na rok 2026. W </t>
  </si>
  <si>
    <t>Wpisz ID</t>
  </si>
  <si>
    <t>1. Wyszukiwarka uczniów</t>
  </si>
  <si>
    <t>W arkuszu wyszukiwarka uczniow w komórce C4 powinno zostać wyszukane imię i nazwisko ucznia o zadanym id w komórce C2</t>
  </si>
  <si>
    <t>UWAGA! Imię i nazwisko powinny być wypisane w jednej komórce jako połączony tekst</t>
  </si>
  <si>
    <t>2. Przedstaw na wykresie kolumnowym zestawienie średnich ocen według klasy. Pamiętaj o odpowiednim opisie wykresu.</t>
  </si>
  <si>
    <t>3. Jakie nazwisko występuje najczęścniej w tej szkole? Podaj nazwisko i ile osób je posiada.</t>
  </si>
  <si>
    <t>4. Podaj ile osón chodzi do klasy 1</t>
  </si>
  <si>
    <t>5. Wypisz imiona i nazwiska osób które zasługują na stypendium z informatyki. Stypendium dostajke się z oceną nie mniejszą niż 5.</t>
  </si>
  <si>
    <t>Agnieszka Kamiński</t>
  </si>
  <si>
    <t>6. Wypisz ile kobiet i ile mężczyzn jest w klasie 2B. (Zakładamy że imię kobiece kończy się na literę a)</t>
  </si>
  <si>
    <t>Imie i Nazwisko</t>
  </si>
  <si>
    <t>Etykiety wierszy</t>
  </si>
  <si>
    <t>Suma końcowa</t>
  </si>
  <si>
    <t>Suma z Ocena</t>
  </si>
  <si>
    <t>Śrendia</t>
  </si>
  <si>
    <t>Średnia z Ocena</t>
  </si>
  <si>
    <t>klasa Poziom</t>
  </si>
  <si>
    <t>Suma z ID ucznia</t>
  </si>
  <si>
    <t>Liczba z ID ucznia</t>
  </si>
  <si>
    <t>ile</t>
  </si>
  <si>
    <t>4. Podaj ile osób chodzi do klasy 1</t>
  </si>
  <si>
    <t>Julia Kowalski</t>
  </si>
  <si>
    <t>Karolina Mazur</t>
  </si>
  <si>
    <t>Łukasz Kwiatkowski</t>
  </si>
  <si>
    <t>Michał Nowak</t>
  </si>
  <si>
    <t>Monika Wieczorek</t>
  </si>
  <si>
    <t>Oliwia Kowalski</t>
  </si>
  <si>
    <t>Patrycja Kamiński</t>
  </si>
  <si>
    <t>Paweł Król</t>
  </si>
  <si>
    <t>(Wiele elementów)</t>
  </si>
  <si>
    <t>Plec</t>
  </si>
  <si>
    <t>K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</si>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</sst>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Śrendia</a:t>
            </a:r>
            <a:r>
              <a:rPr lang="pl-PL"/>
              <a:t> ocen dla klas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zad2!$F$3</c:f>
              <c:strCache>
                <c:ptCount val="1"/>
                <c:pt idx="0">
                  <c:v>Śrendia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zad2!$E$4:$E$9</c:f>
              <c:strCache>
                <c:ptCount val="6"/>
                <c:pt idx="0">
                  <c:v>1A</c:v>
                </c:pt>
                <c:pt idx="1">
                  <c:v>1B</c:v>
                </c:pt>
                <c:pt idx="2">
                  <c:v>1C</c:v>
                </c:pt>
                <c:pt idx="3">
                  <c:v>2A</c:v>
                </c:pt>
                <c:pt idx="4">
                  <c:v>2B</c:v>
                </c:pt>
                <c:pt idx="5">
                  <c:v>2C</c:v>
                </c:pt>
              </c:strCache>
            </c:strRef>
          </c:cat>
          <c:val>
            <c:numRef>
              <c:f>zad2!$F$4:$F$9</c:f>
              <c:numCache>
                <c:formatCode>General</c:formatCode>
                <c:ptCount val="6"/>
                <c:pt idx="0">
                  <c:v>3.2</c:v>
                </c:pt>
                <c:pt idx="1">
                  <c:v>3.6</c:v>
                </c:pt>
                <c:pt idx="2">
                  <c:v>5</c:v>
                </c:pt>
                <c:pt idx="3">
                  <c:v>4</c:v>
                </c:pt>
                <c:pt idx="4">
                  <c:v>2.6</c:v>
                </c:pt>
                <c:pt idx="5">
                  <c:v>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54-47AB-A3AE-E003EE41A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5106879"/>
        <c:axId val="1395107839"/>
      </c:barChart>
      <c:catAx>
        <c:axId val="13951068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Klasa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95107839"/>
        <c:crosses val="autoZero"/>
        <c:auto val="1"/>
        <c:lblAlgn val="ctr"/>
        <c:lblOffset val="100"/>
        <c:noMultiLvlLbl val="0"/>
      </c:catAx>
      <c:valAx>
        <c:axId val="139510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Średnia</a:t>
                </a:r>
                <a:r>
                  <a:rPr lang="pl-PL" baseline="0"/>
                  <a:t> Ocen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95106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104775</xdr:colOff>
      <xdr:row>6</xdr:row>
      <xdr:rowOff>161925</xdr:rowOff>
    </xdr:from>
    <xdr:to>
      <xdr:col>34</xdr:col>
      <xdr:colOff>429266</xdr:colOff>
      <xdr:row>19</xdr:row>
      <xdr:rowOff>152744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72ED4148-218B-43DD-9335-F375FB15A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35450" y="1304925"/>
          <a:ext cx="4591691" cy="24673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104775</xdr:colOff>
      <xdr:row>6</xdr:row>
      <xdr:rowOff>161925</xdr:rowOff>
    </xdr:from>
    <xdr:to>
      <xdr:col>34</xdr:col>
      <xdr:colOff>429266</xdr:colOff>
      <xdr:row>19</xdr:row>
      <xdr:rowOff>152744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BDD0F03A-E915-43BE-90CA-D77AD0E48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35450" y="1304925"/>
          <a:ext cx="4591691" cy="24673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447675</xdr:colOff>
      <xdr:row>12</xdr:row>
      <xdr:rowOff>52387</xdr:rowOff>
    </xdr:from>
    <xdr:to>
      <xdr:col>8</xdr:col>
      <xdr:colOff>333375</xdr:colOff>
      <xdr:row>26</xdr:row>
      <xdr:rowOff>128587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F653FCF5-D031-8B15-B4D4-7506A1B34F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alia.bartos" refreshedDate="46071.516417592589" createdVersion="8" refreshedVersion="8" minRefreshableVersion="3" recordCount="30" xr:uid="{626800DC-808E-4B28-BDE4-00D767DFCF06}">
  <cacheSource type="worksheet">
    <worksheetSource ref="A1:F31" sheet="zadania"/>
  </cacheSource>
  <cacheFields count="6">
    <cacheField name="ID ucznia" numFmtId="0">
      <sharedItems containsSemiMixedTypes="0" containsString="0" containsNumber="1" containsInteger="1" minValue="1" maxValue="30"/>
    </cacheField>
    <cacheField name="Imię" numFmtId="0">
      <sharedItems/>
    </cacheField>
    <cacheField name="Nazwisko" numFmtId="0">
      <sharedItems count="14">
        <s v="Kowalski"/>
        <s v="Nowak"/>
        <s v="Król"/>
        <s v="Wójcik"/>
        <s v="Kamiński"/>
        <s v="Lewandowski"/>
        <s v="Szymański"/>
        <s v="Woźniak"/>
        <s v="Mazur"/>
        <s v="Kwiatkowski"/>
        <s v="Kaczmarek"/>
        <s v="Michalski"/>
        <s v="Wieczorek"/>
        <s v="Nowicki"/>
      </sharedItems>
    </cacheField>
    <cacheField name="Klasa" numFmtId="0">
      <sharedItems count="6">
        <s v="1A"/>
        <s v="2C"/>
        <s v="1B"/>
        <s v="2A"/>
        <s v="1C"/>
        <s v="2B"/>
      </sharedItems>
    </cacheField>
    <cacheField name="Ocena" numFmtId="0">
      <sharedItems containsSemiMixedTypes="0" containsString="0" containsNumber="1" containsInteger="1" minValue="1" maxValue="6"/>
    </cacheField>
    <cacheField name="Imie i Nazwisk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alia.bartos" refreshedDate="46071.518672106482" createdVersion="8" refreshedVersion="8" minRefreshableVersion="3" recordCount="30" xr:uid="{D6678C64-2A56-4850-9CAB-A3386B7D5BD9}">
  <cacheSource type="worksheet">
    <worksheetSource ref="A1:G31" sheet="zadania"/>
  </cacheSource>
  <cacheFields count="7">
    <cacheField name="ID ucznia" numFmtId="0">
      <sharedItems containsSemiMixedTypes="0" containsString="0" containsNumber="1" containsInteger="1" minValue="1" maxValue="30"/>
    </cacheField>
    <cacheField name="Imię" numFmtId="0">
      <sharedItems/>
    </cacheField>
    <cacheField name="Nazwisko" numFmtId="0">
      <sharedItems/>
    </cacheField>
    <cacheField name="Klasa" numFmtId="0">
      <sharedItems/>
    </cacheField>
    <cacheField name="Ocena" numFmtId="0">
      <sharedItems containsSemiMixedTypes="0" containsString="0" containsNumber="1" containsInteger="1" minValue="1" maxValue="6" count="6">
        <n v="4"/>
        <n v="5"/>
        <n v="3"/>
        <n v="2"/>
        <n v="6"/>
        <n v="1"/>
      </sharedItems>
    </cacheField>
    <cacheField name="Imie i Nazwisko" numFmtId="0">
      <sharedItems count="30">
        <s v="Anna Kowalski"/>
        <s v="Michał Nowak"/>
        <s v="Katarzyna Król"/>
        <s v="Piotr Wójcik"/>
        <s v="Agnieszka Kamiński"/>
        <s v="Tomasz Lewandowski"/>
        <s v="Natalia Król"/>
        <s v="Paweł Król"/>
        <s v="Magdalena Szymański"/>
        <s v="Krzysztof Woźniak"/>
        <s v="Julia Kowalski"/>
        <s v="Marcin Lewandowski"/>
        <s v="Aleksandra Mazur"/>
        <s v="Łukasz Kwiatkowski"/>
        <s v="Zuzanna Kaczmarek"/>
        <s v="Mateusz Król"/>
        <s v="Karolina Mazur"/>
        <s v="Adam Kowalski"/>
        <s v="Weronika Michalski"/>
        <s v="Jakub Król"/>
        <s v="Monika Wieczorek"/>
        <s v="Kamil Kamiński"/>
        <s v="Oliwia Kowalski"/>
        <s v="Rafał Nowicki"/>
        <s v="Emilia Król"/>
        <s v="Dawid Król"/>
        <s v="Patrycja Kamiński"/>
        <s v="Sebastian Lewandowski"/>
        <s v="Martyna Lewandowski"/>
        <s v="Filip Kamiński"/>
      </sharedItems>
    </cacheField>
    <cacheField name="klasa Poziom" numFmtId="0">
      <sharedItems containsSemiMixedTypes="0" containsString="0" containsNumber="1" containsInteger="1" minValue="1" maxValue="2" count="2">
        <n v="1"/>
        <n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alia.bartos" refreshedDate="46071.522441782407" createdVersion="8" refreshedVersion="8" minRefreshableVersion="3" recordCount="30" xr:uid="{43295D70-B3B0-44FC-AB86-608F61682819}">
  <cacheSource type="worksheet">
    <worksheetSource ref="A1:F31" sheet="dane_dane"/>
  </cacheSource>
  <cacheFields count="6">
    <cacheField name="ID ucznia" numFmtId="0">
      <sharedItems containsSemiMixedTypes="0" containsString="0" containsNumber="1" containsInteger="1" minValue="1" maxValue="30"/>
    </cacheField>
    <cacheField name="Imię" numFmtId="0">
      <sharedItems/>
    </cacheField>
    <cacheField name="Nazwisko" numFmtId="0">
      <sharedItems/>
    </cacheField>
    <cacheField name="Klasa" numFmtId="0">
      <sharedItems count="6">
        <s v="1A"/>
        <s v="2C"/>
        <s v="1B"/>
        <s v="2A"/>
        <s v="1C"/>
        <s v="2B"/>
      </sharedItems>
    </cacheField>
    <cacheField name="Ocena" numFmtId="0">
      <sharedItems containsSemiMixedTypes="0" containsString="0" containsNumber="1" containsInteger="1" minValue="1" maxValue="6"/>
    </cacheField>
    <cacheField name="Plec" numFmtId="0">
      <sharedItems count="2">
        <s v="K"/>
        <s v="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s v="Anna"/>
    <x v="0"/>
    <x v="0"/>
    <n v="4"/>
    <s v="Anna Kowalski"/>
  </r>
  <r>
    <n v="2"/>
    <s v="Michał"/>
    <x v="1"/>
    <x v="1"/>
    <n v="5"/>
    <s v="Michał Nowak"/>
  </r>
  <r>
    <n v="3"/>
    <s v="Katarzyna"/>
    <x v="2"/>
    <x v="2"/>
    <n v="3"/>
    <s v="Katarzyna Król"/>
  </r>
  <r>
    <n v="4"/>
    <s v="Piotr"/>
    <x v="3"/>
    <x v="3"/>
    <n v="2"/>
    <s v="Piotr Wójcik"/>
  </r>
  <r>
    <n v="5"/>
    <s v="Agnieszka"/>
    <x v="4"/>
    <x v="4"/>
    <n v="6"/>
    <s v="Agnieszka Kamiński"/>
  </r>
  <r>
    <n v="6"/>
    <s v="Tomasz"/>
    <x v="5"/>
    <x v="5"/>
    <n v="4"/>
    <s v="Tomasz Lewandowski"/>
  </r>
  <r>
    <n v="7"/>
    <s v="Natalia"/>
    <x v="2"/>
    <x v="0"/>
    <n v="3"/>
    <s v="Natalia Król"/>
  </r>
  <r>
    <n v="8"/>
    <s v="Paweł"/>
    <x v="2"/>
    <x v="3"/>
    <n v="5"/>
    <s v="Paweł Król"/>
  </r>
  <r>
    <n v="9"/>
    <s v="Magdalena"/>
    <x v="6"/>
    <x v="2"/>
    <n v="1"/>
    <s v="Magdalena Szymański"/>
  </r>
  <r>
    <n v="10"/>
    <s v="Krzysztof"/>
    <x v="7"/>
    <x v="1"/>
    <n v="4"/>
    <s v="Krzysztof Woźniak"/>
  </r>
  <r>
    <n v="11"/>
    <s v="Julia"/>
    <x v="0"/>
    <x v="4"/>
    <n v="6"/>
    <s v="Julia Kowalski"/>
  </r>
  <r>
    <n v="12"/>
    <s v="Marcin"/>
    <x v="5"/>
    <x v="5"/>
    <n v="2"/>
    <s v="Marcin Lewandowski"/>
  </r>
  <r>
    <n v="13"/>
    <s v="Aleksandra"/>
    <x v="8"/>
    <x v="0"/>
    <n v="3"/>
    <s v="Aleksandra Mazur"/>
  </r>
  <r>
    <n v="14"/>
    <s v="Łukasz"/>
    <x v="9"/>
    <x v="2"/>
    <n v="5"/>
    <s v="Łukasz Kwiatkowski"/>
  </r>
  <r>
    <n v="15"/>
    <s v="Zuzanna"/>
    <x v="10"/>
    <x v="3"/>
    <n v="4"/>
    <s v="Zuzanna Kaczmarek"/>
  </r>
  <r>
    <n v="16"/>
    <s v="Mateusz"/>
    <x v="2"/>
    <x v="1"/>
    <n v="1"/>
    <s v="Mateusz Król"/>
  </r>
  <r>
    <n v="17"/>
    <s v="Karolina"/>
    <x v="8"/>
    <x v="4"/>
    <n v="6"/>
    <s v="Karolina Mazur"/>
  </r>
  <r>
    <n v="18"/>
    <s v="Adam"/>
    <x v="0"/>
    <x v="5"/>
    <n v="3"/>
    <s v="Adam Kowalski"/>
  </r>
  <r>
    <n v="19"/>
    <s v="Weronika"/>
    <x v="11"/>
    <x v="0"/>
    <n v="2"/>
    <s v="Weronika Michalski"/>
  </r>
  <r>
    <n v="20"/>
    <s v="Jakub"/>
    <x v="2"/>
    <x v="3"/>
    <n v="4"/>
    <s v="Jakub Król"/>
  </r>
  <r>
    <n v="21"/>
    <s v="Monika"/>
    <x v="12"/>
    <x v="2"/>
    <n v="5"/>
    <s v="Monika Wieczorek"/>
  </r>
  <r>
    <n v="22"/>
    <s v="Kamil"/>
    <x v="4"/>
    <x v="1"/>
    <n v="3"/>
    <s v="Kamil Kamiński"/>
  </r>
  <r>
    <n v="23"/>
    <s v="Oliwia"/>
    <x v="0"/>
    <x v="4"/>
    <n v="6"/>
    <s v="Oliwia Kowalski"/>
  </r>
  <r>
    <n v="24"/>
    <s v="Rafał"/>
    <x v="13"/>
    <x v="5"/>
    <n v="2"/>
    <s v="Rafał Nowicki"/>
  </r>
  <r>
    <n v="25"/>
    <s v="Emilia"/>
    <x v="2"/>
    <x v="0"/>
    <n v="4"/>
    <s v="Emilia Król"/>
  </r>
  <r>
    <n v="26"/>
    <s v="Dawid"/>
    <x v="2"/>
    <x v="4"/>
    <n v="1"/>
    <s v="Dawid Król"/>
  </r>
  <r>
    <n v="27"/>
    <s v="Patrycja"/>
    <x v="4"/>
    <x v="3"/>
    <n v="5"/>
    <s v="Patrycja Kamiński"/>
  </r>
  <r>
    <n v="28"/>
    <s v="Sebastian"/>
    <x v="5"/>
    <x v="1"/>
    <n v="3"/>
    <s v="Sebastian Lewandowski"/>
  </r>
  <r>
    <n v="29"/>
    <s v="Martyna"/>
    <x v="5"/>
    <x v="2"/>
    <n v="4"/>
    <s v="Martyna Lewandowski"/>
  </r>
  <r>
    <n v="30"/>
    <s v="Filip"/>
    <x v="4"/>
    <x v="5"/>
    <n v="2"/>
    <s v="Filip Kamiński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s v="Anna"/>
    <s v="Kowalski"/>
    <s v="1A"/>
    <x v="0"/>
    <x v="0"/>
    <x v="0"/>
  </r>
  <r>
    <n v="2"/>
    <s v="Michał"/>
    <s v="Nowak"/>
    <s v="2C"/>
    <x v="1"/>
    <x v="1"/>
    <x v="1"/>
  </r>
  <r>
    <n v="3"/>
    <s v="Katarzyna"/>
    <s v="Król"/>
    <s v="1B"/>
    <x v="2"/>
    <x v="2"/>
    <x v="0"/>
  </r>
  <r>
    <n v="4"/>
    <s v="Piotr"/>
    <s v="Wójcik"/>
    <s v="2A"/>
    <x v="3"/>
    <x v="3"/>
    <x v="1"/>
  </r>
  <r>
    <n v="5"/>
    <s v="Agnieszka"/>
    <s v="Kamiński"/>
    <s v="1C"/>
    <x v="4"/>
    <x v="4"/>
    <x v="0"/>
  </r>
  <r>
    <n v="6"/>
    <s v="Tomasz"/>
    <s v="Lewandowski"/>
    <s v="2B"/>
    <x v="0"/>
    <x v="5"/>
    <x v="1"/>
  </r>
  <r>
    <n v="7"/>
    <s v="Natalia"/>
    <s v="Król"/>
    <s v="1A"/>
    <x v="2"/>
    <x v="6"/>
    <x v="0"/>
  </r>
  <r>
    <n v="8"/>
    <s v="Paweł"/>
    <s v="Król"/>
    <s v="2A"/>
    <x v="1"/>
    <x v="7"/>
    <x v="1"/>
  </r>
  <r>
    <n v="9"/>
    <s v="Magdalena"/>
    <s v="Szymański"/>
    <s v="1B"/>
    <x v="5"/>
    <x v="8"/>
    <x v="0"/>
  </r>
  <r>
    <n v="10"/>
    <s v="Krzysztof"/>
    <s v="Woźniak"/>
    <s v="2C"/>
    <x v="0"/>
    <x v="9"/>
    <x v="1"/>
  </r>
  <r>
    <n v="11"/>
    <s v="Julia"/>
    <s v="Kowalski"/>
    <s v="1C"/>
    <x v="4"/>
    <x v="10"/>
    <x v="0"/>
  </r>
  <r>
    <n v="12"/>
    <s v="Marcin"/>
    <s v="Lewandowski"/>
    <s v="2B"/>
    <x v="3"/>
    <x v="11"/>
    <x v="1"/>
  </r>
  <r>
    <n v="13"/>
    <s v="Aleksandra"/>
    <s v="Mazur"/>
    <s v="1A"/>
    <x v="2"/>
    <x v="12"/>
    <x v="0"/>
  </r>
  <r>
    <n v="14"/>
    <s v="Łukasz"/>
    <s v="Kwiatkowski"/>
    <s v="1B"/>
    <x v="1"/>
    <x v="13"/>
    <x v="0"/>
  </r>
  <r>
    <n v="15"/>
    <s v="Zuzanna"/>
    <s v="Kaczmarek"/>
    <s v="2A"/>
    <x v="0"/>
    <x v="14"/>
    <x v="1"/>
  </r>
  <r>
    <n v="16"/>
    <s v="Mateusz"/>
    <s v="Król"/>
    <s v="2C"/>
    <x v="5"/>
    <x v="15"/>
    <x v="1"/>
  </r>
  <r>
    <n v="17"/>
    <s v="Karolina"/>
    <s v="Mazur"/>
    <s v="1C"/>
    <x v="4"/>
    <x v="16"/>
    <x v="0"/>
  </r>
  <r>
    <n v="18"/>
    <s v="Adam"/>
    <s v="Kowalski"/>
    <s v="2B"/>
    <x v="2"/>
    <x v="17"/>
    <x v="1"/>
  </r>
  <r>
    <n v="19"/>
    <s v="Weronika"/>
    <s v="Michalski"/>
    <s v="1A"/>
    <x v="3"/>
    <x v="18"/>
    <x v="0"/>
  </r>
  <r>
    <n v="20"/>
    <s v="Jakub"/>
    <s v="Król"/>
    <s v="2A"/>
    <x v="0"/>
    <x v="19"/>
    <x v="1"/>
  </r>
  <r>
    <n v="21"/>
    <s v="Monika"/>
    <s v="Wieczorek"/>
    <s v="1B"/>
    <x v="1"/>
    <x v="20"/>
    <x v="0"/>
  </r>
  <r>
    <n v="22"/>
    <s v="Kamil"/>
    <s v="Kamiński"/>
    <s v="2C"/>
    <x v="2"/>
    <x v="21"/>
    <x v="1"/>
  </r>
  <r>
    <n v="23"/>
    <s v="Oliwia"/>
    <s v="Kowalski"/>
    <s v="1C"/>
    <x v="4"/>
    <x v="22"/>
    <x v="0"/>
  </r>
  <r>
    <n v="24"/>
    <s v="Rafał"/>
    <s v="Nowicki"/>
    <s v="2B"/>
    <x v="3"/>
    <x v="23"/>
    <x v="1"/>
  </r>
  <r>
    <n v="25"/>
    <s v="Emilia"/>
    <s v="Król"/>
    <s v="1A"/>
    <x v="0"/>
    <x v="24"/>
    <x v="0"/>
  </r>
  <r>
    <n v="26"/>
    <s v="Dawid"/>
    <s v="Król"/>
    <s v="1C"/>
    <x v="5"/>
    <x v="25"/>
    <x v="0"/>
  </r>
  <r>
    <n v="27"/>
    <s v="Patrycja"/>
    <s v="Kamiński"/>
    <s v="2A"/>
    <x v="1"/>
    <x v="26"/>
    <x v="1"/>
  </r>
  <r>
    <n v="28"/>
    <s v="Sebastian"/>
    <s v="Lewandowski"/>
    <s v="2C"/>
    <x v="2"/>
    <x v="27"/>
    <x v="1"/>
  </r>
  <r>
    <n v="29"/>
    <s v="Martyna"/>
    <s v="Lewandowski"/>
    <s v="1B"/>
    <x v="0"/>
    <x v="28"/>
    <x v="0"/>
  </r>
  <r>
    <n v="30"/>
    <s v="Filip"/>
    <s v="Kamiński"/>
    <s v="2B"/>
    <x v="3"/>
    <x v="29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s v="Anna"/>
    <s v="Kowalski"/>
    <x v="0"/>
    <n v="4"/>
    <x v="0"/>
  </r>
  <r>
    <n v="2"/>
    <s v="Michał"/>
    <s v="Nowak"/>
    <x v="1"/>
    <n v="5"/>
    <x v="1"/>
  </r>
  <r>
    <n v="3"/>
    <s v="Katarzyna"/>
    <s v="Król"/>
    <x v="2"/>
    <n v="3"/>
    <x v="0"/>
  </r>
  <r>
    <n v="4"/>
    <s v="Piotr"/>
    <s v="Wójcik"/>
    <x v="3"/>
    <n v="2"/>
    <x v="1"/>
  </r>
  <r>
    <n v="5"/>
    <s v="Agnieszka"/>
    <s v="Kamiński"/>
    <x v="4"/>
    <n v="6"/>
    <x v="0"/>
  </r>
  <r>
    <n v="6"/>
    <s v="Tomasz"/>
    <s v="Lewandowski"/>
    <x v="5"/>
    <n v="4"/>
    <x v="1"/>
  </r>
  <r>
    <n v="7"/>
    <s v="Natalia"/>
    <s v="Król"/>
    <x v="0"/>
    <n v="3"/>
    <x v="0"/>
  </r>
  <r>
    <n v="8"/>
    <s v="Paweł"/>
    <s v="Król"/>
    <x v="3"/>
    <n v="5"/>
    <x v="1"/>
  </r>
  <r>
    <n v="9"/>
    <s v="Magdalena"/>
    <s v="Szymański"/>
    <x v="2"/>
    <n v="1"/>
    <x v="0"/>
  </r>
  <r>
    <n v="10"/>
    <s v="Krzysztof"/>
    <s v="Woźniak"/>
    <x v="1"/>
    <n v="4"/>
    <x v="1"/>
  </r>
  <r>
    <n v="11"/>
    <s v="Julia"/>
    <s v="Kowalski"/>
    <x v="4"/>
    <n v="6"/>
    <x v="0"/>
  </r>
  <r>
    <n v="12"/>
    <s v="Marcin"/>
    <s v="Lewandowski"/>
    <x v="5"/>
    <n v="2"/>
    <x v="1"/>
  </r>
  <r>
    <n v="13"/>
    <s v="Aleksandra"/>
    <s v="Mazur"/>
    <x v="0"/>
    <n v="3"/>
    <x v="0"/>
  </r>
  <r>
    <n v="14"/>
    <s v="Łukasz"/>
    <s v="Kwiatkowski"/>
    <x v="2"/>
    <n v="5"/>
    <x v="1"/>
  </r>
  <r>
    <n v="15"/>
    <s v="Zuzanna"/>
    <s v="Kaczmarek"/>
    <x v="3"/>
    <n v="4"/>
    <x v="0"/>
  </r>
  <r>
    <n v="16"/>
    <s v="Mateusz"/>
    <s v="Król"/>
    <x v="1"/>
    <n v="1"/>
    <x v="1"/>
  </r>
  <r>
    <n v="17"/>
    <s v="Karolina"/>
    <s v="Mazur"/>
    <x v="4"/>
    <n v="6"/>
    <x v="0"/>
  </r>
  <r>
    <n v="18"/>
    <s v="Adam"/>
    <s v="Kowalski"/>
    <x v="5"/>
    <n v="3"/>
    <x v="1"/>
  </r>
  <r>
    <n v="19"/>
    <s v="Weronika"/>
    <s v="Michalski"/>
    <x v="0"/>
    <n v="2"/>
    <x v="0"/>
  </r>
  <r>
    <n v="20"/>
    <s v="Jakub"/>
    <s v="Król"/>
    <x v="3"/>
    <n v="4"/>
    <x v="1"/>
  </r>
  <r>
    <n v="21"/>
    <s v="Monika"/>
    <s v="Wieczorek"/>
    <x v="2"/>
    <n v="5"/>
    <x v="0"/>
  </r>
  <r>
    <n v="22"/>
    <s v="Kamil"/>
    <s v="Kamiński"/>
    <x v="1"/>
    <n v="3"/>
    <x v="1"/>
  </r>
  <r>
    <n v="23"/>
    <s v="Oliwia"/>
    <s v="Kowalski"/>
    <x v="4"/>
    <n v="6"/>
    <x v="0"/>
  </r>
  <r>
    <n v="24"/>
    <s v="Rafał"/>
    <s v="Nowicki"/>
    <x v="5"/>
    <n v="2"/>
    <x v="1"/>
  </r>
  <r>
    <n v="25"/>
    <s v="Emilia"/>
    <s v="Król"/>
    <x v="0"/>
    <n v="4"/>
    <x v="0"/>
  </r>
  <r>
    <n v="26"/>
    <s v="Dawid"/>
    <s v="Król"/>
    <x v="4"/>
    <n v="1"/>
    <x v="1"/>
  </r>
  <r>
    <n v="27"/>
    <s v="Patrycja"/>
    <s v="Kamiński"/>
    <x v="3"/>
    <n v="5"/>
    <x v="0"/>
  </r>
  <r>
    <n v="28"/>
    <s v="Sebastian"/>
    <s v="Lewandowski"/>
    <x v="1"/>
    <n v="3"/>
    <x v="1"/>
  </r>
  <r>
    <n v="29"/>
    <s v="Martyna"/>
    <s v="Lewandowski"/>
    <x v="2"/>
    <n v="4"/>
    <x v="0"/>
  </r>
  <r>
    <n v="30"/>
    <s v="Filip"/>
    <s v="Kamiński"/>
    <x v="5"/>
    <n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F60E5A-FFD6-4C27-8DDA-3C6BDCED079F}" name="Tabela przestawna1" cacheId="8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B10" firstHeaderRow="1" firstDataRow="1" firstDataCol="1"/>
  <pivotFields count="6">
    <pivotField showAll="0"/>
    <pivotField showAll="0"/>
    <pivotField showAll="0"/>
    <pivotField axis="axisRow" showAll="0">
      <items count="7">
        <item x="0"/>
        <item x="2"/>
        <item x="4"/>
        <item x="3"/>
        <item x="5"/>
        <item x="1"/>
        <item t="default"/>
      </items>
    </pivotField>
    <pivotField dataField="1"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Średnia z Ocena" fld="4" subtotal="average" baseField="3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EF1BBC-0393-4C50-B8A7-651BA081C7E9}" name="Tabela przestawna2" cacheId="8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B18" firstHeaderRow="1" firstDataRow="1" firstDataCol="1"/>
  <pivotFields count="6">
    <pivotField dataField="1" showAll="0"/>
    <pivotField showAll="0"/>
    <pivotField axis="axisRow" showAll="0">
      <items count="15">
        <item x="10"/>
        <item x="4"/>
        <item x="0"/>
        <item x="2"/>
        <item x="9"/>
        <item x="5"/>
        <item x="8"/>
        <item x="11"/>
        <item x="1"/>
        <item x="13"/>
        <item x="6"/>
        <item x="12"/>
        <item x="7"/>
        <item x="3"/>
        <item t="default"/>
      </items>
    </pivotField>
    <pivotField showAll="0"/>
    <pivotField showAll="0"/>
    <pivotField showAll="0"/>
  </pivotFields>
  <rowFields count="1">
    <field x="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Liczba z ID ucznia" fld="0" subtotal="count" baseField="2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1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54EA4E-EA5F-4352-8F52-CCF1B3941C4C}" name="Tabela przestawna3" cacheId="12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B6" firstHeaderRow="1" firstDataRow="1" firstDataCol="1"/>
  <pivotFields count="7">
    <pivotField dataField="1"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Suma z ID ucznia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59CAB7-A181-4DE1-A260-6270328C9A5F}" name="Tabela przestawna4" cacheId="12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B13" firstHeaderRow="1" firstDataRow="1" firstDataCol="1" rowPageCount="1" colPageCount="1"/>
  <pivotFields count="7">
    <pivotField showAll="0"/>
    <pivotField showAll="0"/>
    <pivotField showAll="0"/>
    <pivotField showAll="0"/>
    <pivotField axis="axisPage" dataField="1" multipleItemSelectionAllowed="1" showAll="0">
      <items count="7">
        <item h="1" x="5"/>
        <item h="1" x="3"/>
        <item h="1" x="2"/>
        <item h="1" x="0"/>
        <item x="1"/>
        <item x="4"/>
        <item t="default"/>
      </items>
    </pivotField>
    <pivotField axis="axisRow" showAll="0">
      <items count="31">
        <item x="17"/>
        <item x="4"/>
        <item x="12"/>
        <item x="0"/>
        <item x="25"/>
        <item x="24"/>
        <item x="29"/>
        <item x="19"/>
        <item x="10"/>
        <item x="21"/>
        <item x="16"/>
        <item x="2"/>
        <item x="9"/>
        <item x="13"/>
        <item x="8"/>
        <item x="11"/>
        <item x="28"/>
        <item x="15"/>
        <item x="1"/>
        <item x="20"/>
        <item x="6"/>
        <item x="22"/>
        <item x="26"/>
        <item x="7"/>
        <item x="3"/>
        <item x="23"/>
        <item x="27"/>
        <item x="5"/>
        <item x="18"/>
        <item x="14"/>
        <item t="default"/>
      </items>
    </pivotField>
    <pivotField showAll="0"/>
  </pivotFields>
  <rowFields count="1">
    <field x="5"/>
  </rowFields>
  <rowItems count="10">
    <i>
      <x v="1"/>
    </i>
    <i>
      <x v="8"/>
    </i>
    <i>
      <x v="10"/>
    </i>
    <i>
      <x v="13"/>
    </i>
    <i>
      <x v="18"/>
    </i>
    <i>
      <x v="19"/>
    </i>
    <i>
      <x v="21"/>
    </i>
    <i>
      <x v="22"/>
    </i>
    <i>
      <x v="23"/>
    </i>
    <i t="grand">
      <x/>
    </i>
  </rowItems>
  <colItems count="1">
    <i/>
  </colItems>
  <pageFields count="1">
    <pageField fld="4" hier="-1"/>
  </pageFields>
  <dataFields count="1">
    <dataField name="Suma z Ocena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D5C105-503E-4FBD-96D3-B4C04267F78E}" name="Tabela przestawna5" cacheId="17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6">
    <pivotField dataField="1" showAll="0"/>
    <pivotField showAll="0"/>
    <pivotField showAll="0"/>
    <pivotField axis="axisPage" showAll="0">
      <items count="7">
        <item x="0"/>
        <item x="2"/>
        <item x="4"/>
        <item x="3"/>
        <item x="5"/>
        <item x="1"/>
        <item t="default"/>
      </items>
    </pivotField>
    <pivotField showAll="0"/>
    <pivotField axis="axisRow" showAll="0">
      <items count="3">
        <item x="0"/>
        <item x="1"/>
        <item t="default"/>
      </items>
    </pivotField>
  </pivotFields>
  <rowFields count="1">
    <field x="5"/>
  </rowFields>
  <rowItems count="2">
    <i>
      <x v="1"/>
    </i>
    <i t="grand">
      <x/>
    </i>
  </rowItems>
  <colItems count="1">
    <i/>
  </colItems>
  <pageFields count="1">
    <pageField fld="3" item="4" hier="-1"/>
  </pageFields>
  <dataFields count="1">
    <dataField name="Liczba z ID ucznia" fld="0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34C19-001C-4574-9860-B8ED65FB7019}">
  <dimension ref="A1:O31"/>
  <sheetViews>
    <sheetView workbookViewId="0">
      <selection activeCell="O20" sqref="O20"/>
    </sheetView>
  </sheetViews>
  <sheetFormatPr defaultRowHeight="15" customHeight="1" x14ac:dyDescent="0.25"/>
  <cols>
    <col min="2" max="2" width="11" bestFit="1" customWidth="1"/>
    <col min="3" max="3" width="12.85546875" bestFit="1" customWidth="1"/>
  </cols>
  <sheetData>
    <row r="1" spans="1:15" ht="15" customHeight="1" x14ac:dyDescent="0.25">
      <c r="A1" s="1" t="s">
        <v>0</v>
      </c>
      <c r="B1" s="1" t="s">
        <v>1</v>
      </c>
      <c r="C1" s="1" t="s">
        <v>8</v>
      </c>
      <c r="D1" s="1" t="s">
        <v>2</v>
      </c>
      <c r="E1" s="1" t="s">
        <v>5</v>
      </c>
      <c r="F1" s="1" t="s">
        <v>87</v>
      </c>
    </row>
    <row r="2" spans="1:15" ht="15" customHeight="1" x14ac:dyDescent="0.25">
      <c r="A2" s="2">
        <v>1</v>
      </c>
      <c r="B2" s="2" t="s">
        <v>3</v>
      </c>
      <c r="C2" s="2" t="s">
        <v>6</v>
      </c>
      <c r="D2" s="2" t="s">
        <v>50</v>
      </c>
      <c r="E2" s="2">
        <v>4</v>
      </c>
      <c r="F2" s="2" t="str">
        <f>IF(RIGHT(B2,1)="a","K","M")</f>
        <v>K</v>
      </c>
    </row>
    <row r="3" spans="1:15" ht="15" customHeight="1" x14ac:dyDescent="0.25">
      <c r="A3" s="2">
        <v>2</v>
      </c>
      <c r="B3" s="2" t="s">
        <v>9</v>
      </c>
      <c r="C3" s="2" t="s">
        <v>7</v>
      </c>
      <c r="D3" s="2" t="s">
        <v>51</v>
      </c>
      <c r="E3" s="2">
        <v>5</v>
      </c>
      <c r="F3" s="2" t="str">
        <f t="shared" ref="F3:F31" si="0">IF(RIGHT(B3,1)="a","K","M")</f>
        <v>M</v>
      </c>
    </row>
    <row r="4" spans="1:15" ht="15" customHeight="1" x14ac:dyDescent="0.25">
      <c r="A4" s="2">
        <v>3</v>
      </c>
      <c r="B4" s="2" t="s">
        <v>10</v>
      </c>
      <c r="C4" t="s">
        <v>47</v>
      </c>
      <c r="D4" s="2" t="s">
        <v>52</v>
      </c>
      <c r="E4" s="2">
        <v>3</v>
      </c>
      <c r="F4" s="2" t="str">
        <f t="shared" si="0"/>
        <v>K</v>
      </c>
      <c r="O4" t="s">
        <v>56</v>
      </c>
    </row>
    <row r="5" spans="1:15" ht="15" customHeight="1" x14ac:dyDescent="0.25">
      <c r="A5" s="2">
        <v>4</v>
      </c>
      <c r="B5" t="s">
        <v>11</v>
      </c>
      <c r="C5" t="s">
        <v>38</v>
      </c>
      <c r="D5" t="s">
        <v>53</v>
      </c>
      <c r="E5">
        <v>2</v>
      </c>
      <c r="F5" s="2" t="str">
        <f t="shared" si="0"/>
        <v>M</v>
      </c>
    </row>
    <row r="6" spans="1:15" ht="15" customHeight="1" x14ac:dyDescent="0.25">
      <c r="A6" s="2">
        <v>5</v>
      </c>
      <c r="B6" t="s">
        <v>12</v>
      </c>
      <c r="C6" t="s">
        <v>39</v>
      </c>
      <c r="D6" t="s">
        <v>54</v>
      </c>
      <c r="E6">
        <v>6</v>
      </c>
      <c r="F6" s="2" t="str">
        <f t="shared" si="0"/>
        <v>K</v>
      </c>
    </row>
    <row r="7" spans="1:15" ht="15" customHeight="1" x14ac:dyDescent="0.25">
      <c r="A7" s="2">
        <v>6</v>
      </c>
      <c r="B7" t="s">
        <v>13</v>
      </c>
      <c r="C7" t="s">
        <v>40</v>
      </c>
      <c r="D7" t="s">
        <v>55</v>
      </c>
      <c r="E7">
        <v>4</v>
      </c>
      <c r="F7" s="2" t="str">
        <f t="shared" si="0"/>
        <v>M</v>
      </c>
    </row>
    <row r="8" spans="1:15" ht="15" customHeight="1" x14ac:dyDescent="0.25">
      <c r="A8" s="2">
        <v>7</v>
      </c>
      <c r="B8" t="s">
        <v>14</v>
      </c>
      <c r="C8" t="s">
        <v>47</v>
      </c>
      <c r="D8" t="s">
        <v>50</v>
      </c>
      <c r="E8">
        <v>3</v>
      </c>
      <c r="F8" s="2" t="str">
        <f t="shared" si="0"/>
        <v>K</v>
      </c>
      <c r="O8" t="s">
        <v>58</v>
      </c>
    </row>
    <row r="9" spans="1:15" ht="15" customHeight="1" x14ac:dyDescent="0.25">
      <c r="A9" s="2">
        <v>8</v>
      </c>
      <c r="B9" t="s">
        <v>15</v>
      </c>
      <c r="C9" t="s">
        <v>47</v>
      </c>
      <c r="D9" t="s">
        <v>53</v>
      </c>
      <c r="E9">
        <v>5</v>
      </c>
      <c r="F9" s="2" t="str">
        <f t="shared" si="0"/>
        <v>M</v>
      </c>
      <c r="O9" t="s">
        <v>59</v>
      </c>
    </row>
    <row r="10" spans="1:15" ht="15" customHeight="1" x14ac:dyDescent="0.25">
      <c r="A10" s="2">
        <v>9</v>
      </c>
      <c r="B10" t="s">
        <v>16</v>
      </c>
      <c r="C10" t="s">
        <v>41</v>
      </c>
      <c r="D10" t="s">
        <v>52</v>
      </c>
      <c r="E10">
        <v>1</v>
      </c>
      <c r="F10" s="2" t="str">
        <f t="shared" si="0"/>
        <v>K</v>
      </c>
      <c r="O10" t="s">
        <v>60</v>
      </c>
    </row>
    <row r="11" spans="1:15" ht="15" customHeight="1" x14ac:dyDescent="0.25">
      <c r="A11" s="2">
        <v>10</v>
      </c>
      <c r="B11" t="s">
        <v>17</v>
      </c>
      <c r="C11" t="s">
        <v>42</v>
      </c>
      <c r="D11" t="s">
        <v>51</v>
      </c>
      <c r="E11">
        <v>4</v>
      </c>
      <c r="F11" s="2" t="str">
        <f t="shared" si="0"/>
        <v>M</v>
      </c>
    </row>
    <row r="12" spans="1:15" ht="15" customHeight="1" x14ac:dyDescent="0.25">
      <c r="A12" s="2">
        <v>11</v>
      </c>
      <c r="B12" t="s">
        <v>18</v>
      </c>
      <c r="C12" s="2" t="s">
        <v>6</v>
      </c>
      <c r="D12" t="s">
        <v>54</v>
      </c>
      <c r="E12">
        <v>6</v>
      </c>
      <c r="F12" s="2" t="str">
        <f t="shared" si="0"/>
        <v>K</v>
      </c>
      <c r="O12" t="s">
        <v>61</v>
      </c>
    </row>
    <row r="13" spans="1:15" ht="15" customHeight="1" x14ac:dyDescent="0.25">
      <c r="A13" s="2">
        <v>12</v>
      </c>
      <c r="B13" t="s">
        <v>19</v>
      </c>
      <c r="C13" t="s">
        <v>40</v>
      </c>
      <c r="D13" t="s">
        <v>55</v>
      </c>
      <c r="E13">
        <v>2</v>
      </c>
      <c r="F13" s="2" t="str">
        <f t="shared" si="0"/>
        <v>M</v>
      </c>
    </row>
    <row r="14" spans="1:15" ht="15" customHeight="1" x14ac:dyDescent="0.25">
      <c r="A14" s="2">
        <v>13</v>
      </c>
      <c r="B14" t="s">
        <v>20</v>
      </c>
      <c r="C14" t="s">
        <v>43</v>
      </c>
      <c r="D14" t="s">
        <v>50</v>
      </c>
      <c r="E14">
        <v>3</v>
      </c>
      <c r="F14" s="2" t="str">
        <f t="shared" si="0"/>
        <v>K</v>
      </c>
      <c r="O14" t="s">
        <v>62</v>
      </c>
    </row>
    <row r="15" spans="1:15" ht="15" customHeight="1" x14ac:dyDescent="0.25">
      <c r="A15" s="2">
        <v>14</v>
      </c>
      <c r="B15" t="s">
        <v>21</v>
      </c>
      <c r="C15" t="s">
        <v>44</v>
      </c>
      <c r="D15" t="s">
        <v>52</v>
      </c>
      <c r="E15">
        <v>5</v>
      </c>
      <c r="F15" s="2" t="str">
        <f t="shared" si="0"/>
        <v>M</v>
      </c>
    </row>
    <row r="16" spans="1:15" ht="15" customHeight="1" x14ac:dyDescent="0.25">
      <c r="A16" s="2">
        <v>15</v>
      </c>
      <c r="B16" t="s">
        <v>22</v>
      </c>
      <c r="C16" t="s">
        <v>45</v>
      </c>
      <c r="D16" t="s">
        <v>53</v>
      </c>
      <c r="E16">
        <v>4</v>
      </c>
      <c r="F16" s="2" t="str">
        <f t="shared" si="0"/>
        <v>K</v>
      </c>
      <c r="O16" t="s">
        <v>63</v>
      </c>
    </row>
    <row r="17" spans="1:15" ht="15" customHeight="1" x14ac:dyDescent="0.25">
      <c r="A17" s="2">
        <v>16</v>
      </c>
      <c r="B17" t="s">
        <v>23</v>
      </c>
      <c r="C17" t="s">
        <v>47</v>
      </c>
      <c r="D17" t="s">
        <v>51</v>
      </c>
      <c r="E17">
        <v>1</v>
      </c>
      <c r="F17" s="2" t="str">
        <f t="shared" si="0"/>
        <v>M</v>
      </c>
    </row>
    <row r="18" spans="1:15" ht="15" customHeight="1" x14ac:dyDescent="0.25">
      <c r="A18" s="2">
        <v>17</v>
      </c>
      <c r="B18" t="s">
        <v>24</v>
      </c>
      <c r="C18" t="s">
        <v>43</v>
      </c>
      <c r="D18" t="s">
        <v>54</v>
      </c>
      <c r="E18">
        <v>6</v>
      </c>
      <c r="F18" s="2" t="str">
        <f t="shared" si="0"/>
        <v>K</v>
      </c>
      <c r="O18" t="s">
        <v>64</v>
      </c>
    </row>
    <row r="19" spans="1:15" ht="15" customHeight="1" x14ac:dyDescent="0.25">
      <c r="A19" s="2">
        <v>18</v>
      </c>
      <c r="B19" t="s">
        <v>25</v>
      </c>
      <c r="C19" s="2" t="s">
        <v>6</v>
      </c>
      <c r="D19" t="s">
        <v>55</v>
      </c>
      <c r="E19">
        <v>3</v>
      </c>
      <c r="F19" s="2" t="str">
        <f t="shared" si="0"/>
        <v>M</v>
      </c>
    </row>
    <row r="20" spans="1:15" ht="15" customHeight="1" x14ac:dyDescent="0.25">
      <c r="A20" s="2">
        <v>19</v>
      </c>
      <c r="B20" t="s">
        <v>26</v>
      </c>
      <c r="C20" t="s">
        <v>46</v>
      </c>
      <c r="D20" t="s">
        <v>50</v>
      </c>
      <c r="E20">
        <v>2</v>
      </c>
      <c r="F20" s="2" t="str">
        <f t="shared" si="0"/>
        <v>K</v>
      </c>
      <c r="O20" t="s">
        <v>66</v>
      </c>
    </row>
    <row r="21" spans="1:15" ht="15" customHeight="1" x14ac:dyDescent="0.25">
      <c r="A21" s="2">
        <v>20</v>
      </c>
      <c r="B21" t="s">
        <v>27</v>
      </c>
      <c r="C21" t="s">
        <v>47</v>
      </c>
      <c r="D21" t="s">
        <v>53</v>
      </c>
      <c r="E21">
        <v>4</v>
      </c>
      <c r="F21" s="2" t="str">
        <f t="shared" si="0"/>
        <v>M</v>
      </c>
    </row>
    <row r="22" spans="1:15" ht="15" customHeight="1" x14ac:dyDescent="0.25">
      <c r="A22" s="2">
        <v>21</v>
      </c>
      <c r="B22" t="s">
        <v>28</v>
      </c>
      <c r="C22" t="s">
        <v>48</v>
      </c>
      <c r="D22" t="s">
        <v>52</v>
      </c>
      <c r="E22">
        <v>5</v>
      </c>
      <c r="F22" s="2" t="str">
        <f t="shared" si="0"/>
        <v>K</v>
      </c>
    </row>
    <row r="23" spans="1:15" ht="15" customHeight="1" x14ac:dyDescent="0.25">
      <c r="A23" s="2">
        <v>22</v>
      </c>
      <c r="B23" t="s">
        <v>29</v>
      </c>
      <c r="C23" t="s">
        <v>39</v>
      </c>
      <c r="D23" t="s">
        <v>51</v>
      </c>
      <c r="E23">
        <v>3</v>
      </c>
      <c r="F23" s="2" t="str">
        <f t="shared" si="0"/>
        <v>M</v>
      </c>
    </row>
    <row r="24" spans="1:15" ht="15" customHeight="1" x14ac:dyDescent="0.25">
      <c r="A24" s="2">
        <v>23</v>
      </c>
      <c r="B24" t="s">
        <v>30</v>
      </c>
      <c r="C24" s="2" t="s">
        <v>6</v>
      </c>
      <c r="D24" t="s">
        <v>54</v>
      </c>
      <c r="E24">
        <v>6</v>
      </c>
      <c r="F24" s="2" t="str">
        <f t="shared" si="0"/>
        <v>K</v>
      </c>
    </row>
    <row r="25" spans="1:15" ht="15" customHeight="1" x14ac:dyDescent="0.25">
      <c r="A25" s="2">
        <v>24</v>
      </c>
      <c r="B25" t="s">
        <v>31</v>
      </c>
      <c r="C25" t="s">
        <v>49</v>
      </c>
      <c r="D25" t="s">
        <v>55</v>
      </c>
      <c r="E25">
        <v>2</v>
      </c>
      <c r="F25" s="2" t="str">
        <f t="shared" si="0"/>
        <v>M</v>
      </c>
    </row>
    <row r="26" spans="1:15" ht="15" customHeight="1" x14ac:dyDescent="0.25">
      <c r="A26" s="2">
        <v>25</v>
      </c>
      <c r="B26" t="s">
        <v>32</v>
      </c>
      <c r="C26" t="s">
        <v>47</v>
      </c>
      <c r="D26" t="s">
        <v>50</v>
      </c>
      <c r="E26">
        <v>4</v>
      </c>
      <c r="F26" s="2" t="str">
        <f t="shared" si="0"/>
        <v>K</v>
      </c>
    </row>
    <row r="27" spans="1:15" ht="15" customHeight="1" x14ac:dyDescent="0.25">
      <c r="A27" s="2">
        <v>26</v>
      </c>
      <c r="B27" t="s">
        <v>33</v>
      </c>
      <c r="C27" t="s">
        <v>47</v>
      </c>
      <c r="D27" t="s">
        <v>54</v>
      </c>
      <c r="E27">
        <v>1</v>
      </c>
      <c r="F27" s="2" t="str">
        <f t="shared" si="0"/>
        <v>M</v>
      </c>
    </row>
    <row r="28" spans="1:15" ht="15" customHeight="1" x14ac:dyDescent="0.25">
      <c r="A28" s="2">
        <v>27</v>
      </c>
      <c r="B28" t="s">
        <v>34</v>
      </c>
      <c r="C28" t="s">
        <v>39</v>
      </c>
      <c r="D28" t="s">
        <v>53</v>
      </c>
      <c r="E28">
        <v>5</v>
      </c>
      <c r="F28" s="2" t="str">
        <f t="shared" si="0"/>
        <v>K</v>
      </c>
    </row>
    <row r="29" spans="1:15" ht="15" customHeight="1" x14ac:dyDescent="0.25">
      <c r="A29" s="2">
        <v>28</v>
      </c>
      <c r="B29" t="s">
        <v>35</v>
      </c>
      <c r="C29" t="s">
        <v>40</v>
      </c>
      <c r="D29" t="s">
        <v>51</v>
      </c>
      <c r="E29">
        <v>3</v>
      </c>
      <c r="F29" s="2" t="str">
        <f t="shared" si="0"/>
        <v>M</v>
      </c>
    </row>
    <row r="30" spans="1:15" ht="15" customHeight="1" x14ac:dyDescent="0.25">
      <c r="A30" s="2">
        <v>29</v>
      </c>
      <c r="B30" t="s">
        <v>36</v>
      </c>
      <c r="C30" t="s">
        <v>40</v>
      </c>
      <c r="D30" t="s">
        <v>52</v>
      </c>
      <c r="E30">
        <v>4</v>
      </c>
      <c r="F30" s="2" t="str">
        <f t="shared" si="0"/>
        <v>K</v>
      </c>
    </row>
    <row r="31" spans="1:15" ht="15" customHeight="1" x14ac:dyDescent="0.25">
      <c r="A31" s="2">
        <v>30</v>
      </c>
      <c r="B31" t="s">
        <v>37</v>
      </c>
      <c r="C31" t="s">
        <v>39</v>
      </c>
      <c r="D31" t="s">
        <v>55</v>
      </c>
      <c r="E31">
        <v>2</v>
      </c>
      <c r="F31" s="2" t="str">
        <f t="shared" si="0"/>
        <v>M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C6C60-40D5-4E1E-9F70-CE4E6D33B23A}">
  <dimension ref="A1:O31"/>
  <sheetViews>
    <sheetView workbookViewId="0">
      <selection activeCell="O20" sqref="O8:O20"/>
    </sheetView>
  </sheetViews>
  <sheetFormatPr defaultRowHeight="15" customHeight="1" x14ac:dyDescent="0.25"/>
  <cols>
    <col min="2" max="2" width="11" bestFit="1" customWidth="1"/>
    <col min="3" max="3" width="12.85546875" bestFit="1" customWidth="1"/>
    <col min="6" max="6" width="22.42578125" bestFit="1" customWidth="1"/>
  </cols>
  <sheetData>
    <row r="1" spans="1:15" ht="15" customHeight="1" x14ac:dyDescent="0.25">
      <c r="A1" s="1" t="s">
        <v>0</v>
      </c>
      <c r="B1" s="1" t="s">
        <v>1</v>
      </c>
      <c r="C1" s="1" t="s">
        <v>8</v>
      </c>
      <c r="D1" s="1" t="s">
        <v>2</v>
      </c>
      <c r="E1" s="1" t="s">
        <v>5</v>
      </c>
      <c r="F1" s="1" t="s">
        <v>67</v>
      </c>
      <c r="G1" s="1" t="s">
        <v>73</v>
      </c>
    </row>
    <row r="2" spans="1:15" ht="15" customHeight="1" x14ac:dyDescent="0.25">
      <c r="A2" s="2">
        <v>1</v>
      </c>
      <c r="B2" s="2" t="s">
        <v>3</v>
      </c>
      <c r="C2" s="2" t="s">
        <v>6</v>
      </c>
      <c r="D2" s="2" t="s">
        <v>50</v>
      </c>
      <c r="E2" s="2">
        <v>4</v>
      </c>
      <c r="F2" s="2" t="str">
        <f>_xlfn.CONCAT(B2," ",C2)</f>
        <v>Anna Kowalski</v>
      </c>
      <c r="G2">
        <f>VALUE(LEFT(D2,1))</f>
        <v>1</v>
      </c>
    </row>
    <row r="3" spans="1:15" ht="15" customHeight="1" x14ac:dyDescent="0.25">
      <c r="A3" s="2">
        <v>2</v>
      </c>
      <c r="B3" s="2" t="s">
        <v>9</v>
      </c>
      <c r="C3" s="2" t="s">
        <v>7</v>
      </c>
      <c r="D3" s="2" t="s">
        <v>51</v>
      </c>
      <c r="E3" s="2">
        <v>5</v>
      </c>
      <c r="F3" s="2" t="str">
        <f t="shared" ref="F3:F31" si="0">_xlfn.CONCAT(B3," ",C3)</f>
        <v>Michał Nowak</v>
      </c>
      <c r="G3">
        <f t="shared" ref="G3:G31" si="1">VALUE(LEFT(D3,1))</f>
        <v>2</v>
      </c>
    </row>
    <row r="4" spans="1:15" ht="15" customHeight="1" x14ac:dyDescent="0.25">
      <c r="A4" s="2">
        <v>3</v>
      </c>
      <c r="B4" s="2" t="s">
        <v>10</v>
      </c>
      <c r="C4" t="s">
        <v>47</v>
      </c>
      <c r="D4" s="2" t="s">
        <v>52</v>
      </c>
      <c r="E4" s="2">
        <v>3</v>
      </c>
      <c r="F4" s="2" t="str">
        <f t="shared" si="0"/>
        <v>Katarzyna Król</v>
      </c>
      <c r="G4">
        <f t="shared" si="1"/>
        <v>1</v>
      </c>
      <c r="O4" t="s">
        <v>56</v>
      </c>
    </row>
    <row r="5" spans="1:15" ht="15" customHeight="1" x14ac:dyDescent="0.25">
      <c r="A5" s="2">
        <v>4</v>
      </c>
      <c r="B5" t="s">
        <v>11</v>
      </c>
      <c r="C5" t="s">
        <v>38</v>
      </c>
      <c r="D5" t="s">
        <v>53</v>
      </c>
      <c r="E5">
        <v>2</v>
      </c>
      <c r="F5" s="2" t="str">
        <f t="shared" si="0"/>
        <v>Piotr Wójcik</v>
      </c>
      <c r="G5">
        <f t="shared" si="1"/>
        <v>2</v>
      </c>
    </row>
    <row r="6" spans="1:15" ht="15" customHeight="1" x14ac:dyDescent="0.25">
      <c r="A6" s="2">
        <v>5</v>
      </c>
      <c r="B6" t="s">
        <v>12</v>
      </c>
      <c r="C6" t="s">
        <v>39</v>
      </c>
      <c r="D6" t="s">
        <v>54</v>
      </c>
      <c r="E6">
        <v>6</v>
      </c>
      <c r="F6" s="2" t="str">
        <f t="shared" si="0"/>
        <v>Agnieszka Kamiński</v>
      </c>
      <c r="G6">
        <f t="shared" si="1"/>
        <v>1</v>
      </c>
    </row>
    <row r="7" spans="1:15" ht="15" customHeight="1" x14ac:dyDescent="0.25">
      <c r="A7" s="2">
        <v>6</v>
      </c>
      <c r="B7" t="s">
        <v>13</v>
      </c>
      <c r="C7" t="s">
        <v>40</v>
      </c>
      <c r="D7" t="s">
        <v>55</v>
      </c>
      <c r="E7">
        <v>4</v>
      </c>
      <c r="F7" s="2" t="str">
        <f t="shared" si="0"/>
        <v>Tomasz Lewandowski</v>
      </c>
      <c r="G7">
        <f t="shared" si="1"/>
        <v>2</v>
      </c>
    </row>
    <row r="8" spans="1:15" ht="15" customHeight="1" x14ac:dyDescent="0.25">
      <c r="A8" s="2">
        <v>7</v>
      </c>
      <c r="B8" t="s">
        <v>14</v>
      </c>
      <c r="C8" t="s">
        <v>47</v>
      </c>
      <c r="D8" t="s">
        <v>50</v>
      </c>
      <c r="E8">
        <v>3</v>
      </c>
      <c r="F8" s="2" t="str">
        <f t="shared" si="0"/>
        <v>Natalia Król</v>
      </c>
      <c r="G8">
        <f t="shared" si="1"/>
        <v>1</v>
      </c>
      <c r="O8" t="s">
        <v>58</v>
      </c>
    </row>
    <row r="9" spans="1:15" ht="15" customHeight="1" x14ac:dyDescent="0.25">
      <c r="A9" s="2">
        <v>8</v>
      </c>
      <c r="B9" t="s">
        <v>15</v>
      </c>
      <c r="C9" t="s">
        <v>47</v>
      </c>
      <c r="D9" t="s">
        <v>53</v>
      </c>
      <c r="E9">
        <v>5</v>
      </c>
      <c r="F9" s="2" t="str">
        <f t="shared" si="0"/>
        <v>Paweł Król</v>
      </c>
      <c r="G9">
        <f t="shared" si="1"/>
        <v>2</v>
      </c>
      <c r="O9" t="s">
        <v>59</v>
      </c>
    </row>
    <row r="10" spans="1:15" ht="15" customHeight="1" x14ac:dyDescent="0.25">
      <c r="A10" s="2">
        <v>9</v>
      </c>
      <c r="B10" t="s">
        <v>16</v>
      </c>
      <c r="C10" t="s">
        <v>41</v>
      </c>
      <c r="D10" t="s">
        <v>52</v>
      </c>
      <c r="E10">
        <v>1</v>
      </c>
      <c r="F10" s="2" t="str">
        <f t="shared" si="0"/>
        <v>Magdalena Szymański</v>
      </c>
      <c r="G10">
        <f t="shared" si="1"/>
        <v>1</v>
      </c>
      <c r="O10" t="s">
        <v>60</v>
      </c>
    </row>
    <row r="11" spans="1:15" ht="15" customHeight="1" x14ac:dyDescent="0.25">
      <c r="A11" s="2">
        <v>10</v>
      </c>
      <c r="B11" t="s">
        <v>17</v>
      </c>
      <c r="C11" t="s">
        <v>42</v>
      </c>
      <c r="D11" t="s">
        <v>51</v>
      </c>
      <c r="E11">
        <v>4</v>
      </c>
      <c r="F11" s="2" t="str">
        <f t="shared" si="0"/>
        <v>Krzysztof Woźniak</v>
      </c>
      <c r="G11">
        <f t="shared" si="1"/>
        <v>2</v>
      </c>
    </row>
    <row r="12" spans="1:15" ht="15" customHeight="1" x14ac:dyDescent="0.25">
      <c r="A12" s="2">
        <v>11</v>
      </c>
      <c r="B12" t="s">
        <v>18</v>
      </c>
      <c r="C12" s="2" t="s">
        <v>6</v>
      </c>
      <c r="D12" t="s">
        <v>54</v>
      </c>
      <c r="E12">
        <v>6</v>
      </c>
      <c r="F12" s="2" t="str">
        <f t="shared" si="0"/>
        <v>Julia Kowalski</v>
      </c>
      <c r="G12">
        <f t="shared" si="1"/>
        <v>1</v>
      </c>
      <c r="O12" t="s">
        <v>61</v>
      </c>
    </row>
    <row r="13" spans="1:15" ht="15" customHeight="1" x14ac:dyDescent="0.25">
      <c r="A13" s="2">
        <v>12</v>
      </c>
      <c r="B13" t="s">
        <v>19</v>
      </c>
      <c r="C13" t="s">
        <v>40</v>
      </c>
      <c r="D13" t="s">
        <v>55</v>
      </c>
      <c r="E13">
        <v>2</v>
      </c>
      <c r="F13" s="2" t="str">
        <f t="shared" si="0"/>
        <v>Marcin Lewandowski</v>
      </c>
      <c r="G13">
        <f t="shared" si="1"/>
        <v>2</v>
      </c>
    </row>
    <row r="14" spans="1:15" ht="15" customHeight="1" x14ac:dyDescent="0.25">
      <c r="A14" s="2">
        <v>13</v>
      </c>
      <c r="B14" t="s">
        <v>20</v>
      </c>
      <c r="C14" t="s">
        <v>43</v>
      </c>
      <c r="D14" t="s">
        <v>50</v>
      </c>
      <c r="E14">
        <v>3</v>
      </c>
      <c r="F14" s="2" t="str">
        <f t="shared" si="0"/>
        <v>Aleksandra Mazur</v>
      </c>
      <c r="G14">
        <f t="shared" si="1"/>
        <v>1</v>
      </c>
      <c r="O14" t="s">
        <v>62</v>
      </c>
    </row>
    <row r="15" spans="1:15" ht="15" customHeight="1" x14ac:dyDescent="0.25">
      <c r="A15" s="2">
        <v>14</v>
      </c>
      <c r="B15" t="s">
        <v>21</v>
      </c>
      <c r="C15" t="s">
        <v>44</v>
      </c>
      <c r="D15" t="s">
        <v>52</v>
      </c>
      <c r="E15">
        <v>5</v>
      </c>
      <c r="F15" s="2" t="str">
        <f t="shared" si="0"/>
        <v>Łukasz Kwiatkowski</v>
      </c>
      <c r="G15">
        <f t="shared" si="1"/>
        <v>1</v>
      </c>
    </row>
    <row r="16" spans="1:15" ht="15" customHeight="1" x14ac:dyDescent="0.25">
      <c r="A16" s="2">
        <v>15</v>
      </c>
      <c r="B16" t="s">
        <v>22</v>
      </c>
      <c r="C16" t="s">
        <v>45</v>
      </c>
      <c r="D16" t="s">
        <v>53</v>
      </c>
      <c r="E16">
        <v>4</v>
      </c>
      <c r="F16" s="2" t="str">
        <f t="shared" si="0"/>
        <v>Zuzanna Kaczmarek</v>
      </c>
      <c r="G16">
        <f t="shared" si="1"/>
        <v>2</v>
      </c>
      <c r="O16" t="s">
        <v>63</v>
      </c>
    </row>
    <row r="17" spans="1:15" ht="15" customHeight="1" x14ac:dyDescent="0.25">
      <c r="A17" s="2">
        <v>16</v>
      </c>
      <c r="B17" t="s">
        <v>23</v>
      </c>
      <c r="C17" t="s">
        <v>47</v>
      </c>
      <c r="D17" t="s">
        <v>51</v>
      </c>
      <c r="E17">
        <v>1</v>
      </c>
      <c r="F17" s="2" t="str">
        <f t="shared" si="0"/>
        <v>Mateusz Król</v>
      </c>
      <c r="G17">
        <f t="shared" si="1"/>
        <v>2</v>
      </c>
    </row>
    <row r="18" spans="1:15" ht="15" customHeight="1" x14ac:dyDescent="0.25">
      <c r="A18" s="2">
        <v>17</v>
      </c>
      <c r="B18" t="s">
        <v>24</v>
      </c>
      <c r="C18" t="s">
        <v>43</v>
      </c>
      <c r="D18" t="s">
        <v>54</v>
      </c>
      <c r="E18">
        <v>6</v>
      </c>
      <c r="F18" s="2" t="str">
        <f t="shared" si="0"/>
        <v>Karolina Mazur</v>
      </c>
      <c r="G18">
        <f t="shared" si="1"/>
        <v>1</v>
      </c>
      <c r="O18" t="s">
        <v>64</v>
      </c>
    </row>
    <row r="19" spans="1:15" ht="15" customHeight="1" x14ac:dyDescent="0.25">
      <c r="A19" s="2">
        <v>18</v>
      </c>
      <c r="B19" t="s">
        <v>25</v>
      </c>
      <c r="C19" s="2" t="s">
        <v>6</v>
      </c>
      <c r="D19" t="s">
        <v>55</v>
      </c>
      <c r="E19">
        <v>3</v>
      </c>
      <c r="F19" s="2" t="str">
        <f t="shared" si="0"/>
        <v>Adam Kowalski</v>
      </c>
      <c r="G19">
        <f t="shared" si="1"/>
        <v>2</v>
      </c>
    </row>
    <row r="20" spans="1:15" ht="15" customHeight="1" x14ac:dyDescent="0.25">
      <c r="A20" s="2">
        <v>19</v>
      </c>
      <c r="B20" t="s">
        <v>26</v>
      </c>
      <c r="C20" t="s">
        <v>46</v>
      </c>
      <c r="D20" t="s">
        <v>50</v>
      </c>
      <c r="E20">
        <v>2</v>
      </c>
      <c r="F20" s="2" t="str">
        <f t="shared" si="0"/>
        <v>Weronika Michalski</v>
      </c>
      <c r="G20">
        <f t="shared" si="1"/>
        <v>1</v>
      </c>
      <c r="O20" t="s">
        <v>66</v>
      </c>
    </row>
    <row r="21" spans="1:15" ht="15" customHeight="1" x14ac:dyDescent="0.25">
      <c r="A21" s="2">
        <v>20</v>
      </c>
      <c r="B21" t="s">
        <v>27</v>
      </c>
      <c r="C21" t="s">
        <v>47</v>
      </c>
      <c r="D21" t="s">
        <v>53</v>
      </c>
      <c r="E21">
        <v>4</v>
      </c>
      <c r="F21" s="2" t="str">
        <f t="shared" si="0"/>
        <v>Jakub Król</v>
      </c>
      <c r="G21">
        <f t="shared" si="1"/>
        <v>2</v>
      </c>
    </row>
    <row r="22" spans="1:15" ht="15" customHeight="1" x14ac:dyDescent="0.25">
      <c r="A22" s="2">
        <v>21</v>
      </c>
      <c r="B22" t="s">
        <v>28</v>
      </c>
      <c r="C22" t="s">
        <v>48</v>
      </c>
      <c r="D22" t="s">
        <v>52</v>
      </c>
      <c r="E22">
        <v>5</v>
      </c>
      <c r="F22" s="2" t="str">
        <f t="shared" si="0"/>
        <v>Monika Wieczorek</v>
      </c>
      <c r="G22">
        <f t="shared" si="1"/>
        <v>1</v>
      </c>
    </row>
    <row r="23" spans="1:15" ht="15" customHeight="1" x14ac:dyDescent="0.25">
      <c r="A23" s="2">
        <v>22</v>
      </c>
      <c r="B23" t="s">
        <v>29</v>
      </c>
      <c r="C23" t="s">
        <v>39</v>
      </c>
      <c r="D23" t="s">
        <v>51</v>
      </c>
      <c r="E23">
        <v>3</v>
      </c>
      <c r="F23" s="2" t="str">
        <f t="shared" si="0"/>
        <v>Kamil Kamiński</v>
      </c>
      <c r="G23">
        <f t="shared" si="1"/>
        <v>2</v>
      </c>
    </row>
    <row r="24" spans="1:15" ht="15" customHeight="1" x14ac:dyDescent="0.25">
      <c r="A24" s="2">
        <v>23</v>
      </c>
      <c r="B24" t="s">
        <v>30</v>
      </c>
      <c r="C24" s="2" t="s">
        <v>6</v>
      </c>
      <c r="D24" t="s">
        <v>54</v>
      </c>
      <c r="E24">
        <v>6</v>
      </c>
      <c r="F24" s="2" t="str">
        <f t="shared" si="0"/>
        <v>Oliwia Kowalski</v>
      </c>
      <c r="G24">
        <f t="shared" si="1"/>
        <v>1</v>
      </c>
    </row>
    <row r="25" spans="1:15" ht="15" customHeight="1" x14ac:dyDescent="0.25">
      <c r="A25" s="2">
        <v>24</v>
      </c>
      <c r="B25" t="s">
        <v>31</v>
      </c>
      <c r="C25" t="s">
        <v>49</v>
      </c>
      <c r="D25" t="s">
        <v>55</v>
      </c>
      <c r="E25">
        <v>2</v>
      </c>
      <c r="F25" s="2" t="str">
        <f t="shared" si="0"/>
        <v>Rafał Nowicki</v>
      </c>
      <c r="G25">
        <f t="shared" si="1"/>
        <v>2</v>
      </c>
    </row>
    <row r="26" spans="1:15" ht="15" customHeight="1" x14ac:dyDescent="0.25">
      <c r="A26" s="2">
        <v>25</v>
      </c>
      <c r="B26" t="s">
        <v>32</v>
      </c>
      <c r="C26" t="s">
        <v>47</v>
      </c>
      <c r="D26" t="s">
        <v>50</v>
      </c>
      <c r="E26">
        <v>4</v>
      </c>
      <c r="F26" s="2" t="str">
        <f t="shared" si="0"/>
        <v>Emilia Król</v>
      </c>
      <c r="G26">
        <f t="shared" si="1"/>
        <v>1</v>
      </c>
    </row>
    <row r="27" spans="1:15" ht="15" customHeight="1" x14ac:dyDescent="0.25">
      <c r="A27" s="2">
        <v>26</v>
      </c>
      <c r="B27" t="s">
        <v>33</v>
      </c>
      <c r="C27" t="s">
        <v>47</v>
      </c>
      <c r="D27" t="s">
        <v>54</v>
      </c>
      <c r="E27">
        <v>1</v>
      </c>
      <c r="F27" s="2" t="str">
        <f t="shared" si="0"/>
        <v>Dawid Król</v>
      </c>
      <c r="G27">
        <f t="shared" si="1"/>
        <v>1</v>
      </c>
    </row>
    <row r="28" spans="1:15" ht="15" customHeight="1" x14ac:dyDescent="0.25">
      <c r="A28" s="2">
        <v>27</v>
      </c>
      <c r="B28" t="s">
        <v>34</v>
      </c>
      <c r="C28" t="s">
        <v>39</v>
      </c>
      <c r="D28" t="s">
        <v>53</v>
      </c>
      <c r="E28">
        <v>5</v>
      </c>
      <c r="F28" s="2" t="str">
        <f t="shared" si="0"/>
        <v>Patrycja Kamiński</v>
      </c>
      <c r="G28">
        <f t="shared" si="1"/>
        <v>2</v>
      </c>
    </row>
    <row r="29" spans="1:15" ht="15" customHeight="1" x14ac:dyDescent="0.25">
      <c r="A29" s="2">
        <v>28</v>
      </c>
      <c r="B29" t="s">
        <v>35</v>
      </c>
      <c r="C29" t="s">
        <v>40</v>
      </c>
      <c r="D29" t="s">
        <v>51</v>
      </c>
      <c r="E29">
        <v>3</v>
      </c>
      <c r="F29" s="2" t="str">
        <f t="shared" si="0"/>
        <v>Sebastian Lewandowski</v>
      </c>
      <c r="G29">
        <f t="shared" si="1"/>
        <v>2</v>
      </c>
    </row>
    <row r="30" spans="1:15" ht="15" customHeight="1" x14ac:dyDescent="0.25">
      <c r="A30" s="2">
        <v>29</v>
      </c>
      <c r="B30" t="s">
        <v>36</v>
      </c>
      <c r="C30" t="s">
        <v>40</v>
      </c>
      <c r="D30" t="s">
        <v>52</v>
      </c>
      <c r="E30">
        <v>4</v>
      </c>
      <c r="F30" s="2" t="str">
        <f t="shared" si="0"/>
        <v>Martyna Lewandowski</v>
      </c>
      <c r="G30">
        <f t="shared" si="1"/>
        <v>1</v>
      </c>
    </row>
    <row r="31" spans="1:15" ht="15" customHeight="1" x14ac:dyDescent="0.25">
      <c r="A31" s="2">
        <v>30</v>
      </c>
      <c r="B31" t="s">
        <v>37</v>
      </c>
      <c r="C31" t="s">
        <v>39</v>
      </c>
      <c r="D31" t="s">
        <v>55</v>
      </c>
      <c r="E31">
        <v>2</v>
      </c>
      <c r="F31" s="2" t="str">
        <f t="shared" si="0"/>
        <v>Filip Kamiński</v>
      </c>
      <c r="G31">
        <f t="shared" si="1"/>
        <v>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830DC-1BBB-4A42-9F83-D9242957078E}">
  <dimension ref="B2:G4"/>
  <sheetViews>
    <sheetView workbookViewId="0">
      <selection activeCell="C4" sqref="C4"/>
    </sheetView>
  </sheetViews>
  <sheetFormatPr defaultRowHeight="15" x14ac:dyDescent="0.25"/>
  <cols>
    <col min="3" max="3" width="24.42578125" customWidth="1"/>
  </cols>
  <sheetData>
    <row r="2" spans="2:7" x14ac:dyDescent="0.25">
      <c r="B2" t="s">
        <v>57</v>
      </c>
      <c r="C2" s="3">
        <v>5</v>
      </c>
      <c r="G2" s="4"/>
    </row>
    <row r="4" spans="2:7" x14ac:dyDescent="0.25">
      <c r="B4" t="s">
        <v>4</v>
      </c>
      <c r="C4" s="3" t="str">
        <f>VLOOKUP(C2,zadania!A2:F31,6,0)</f>
        <v>Agnieszka Kamiński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E6346-3F3A-46E7-9F71-6E91AD81E35A}">
  <dimension ref="A1:F10"/>
  <sheetViews>
    <sheetView workbookViewId="0">
      <selection activeCell="J8" sqref="J8"/>
    </sheetView>
  </sheetViews>
  <sheetFormatPr defaultRowHeight="15" x14ac:dyDescent="0.25"/>
  <cols>
    <col min="1" max="1" width="17.85546875" bestFit="1" customWidth="1"/>
    <col min="2" max="2" width="15.42578125" bestFit="1" customWidth="1"/>
  </cols>
  <sheetData>
    <row r="1" spans="1:6" x14ac:dyDescent="0.25">
      <c r="F1" t="s">
        <v>61</v>
      </c>
    </row>
    <row r="3" spans="1:6" x14ac:dyDescent="0.25">
      <c r="A3" s="5" t="s">
        <v>68</v>
      </c>
      <c r="B3" t="s">
        <v>72</v>
      </c>
      <c r="E3" t="s">
        <v>2</v>
      </c>
      <c r="F3" t="s">
        <v>71</v>
      </c>
    </row>
    <row r="4" spans="1:6" x14ac:dyDescent="0.25">
      <c r="A4" s="6" t="s">
        <v>50</v>
      </c>
      <c r="B4" s="7">
        <v>3.2</v>
      </c>
      <c r="E4" s="6" t="s">
        <v>50</v>
      </c>
      <c r="F4" s="7">
        <v>3.2</v>
      </c>
    </row>
    <row r="5" spans="1:6" x14ac:dyDescent="0.25">
      <c r="A5" s="6" t="s">
        <v>52</v>
      </c>
      <c r="B5" s="7">
        <v>3.6</v>
      </c>
      <c r="E5" s="6" t="s">
        <v>52</v>
      </c>
      <c r="F5" s="7">
        <v>3.6</v>
      </c>
    </row>
    <row r="6" spans="1:6" x14ac:dyDescent="0.25">
      <c r="A6" s="6" t="s">
        <v>54</v>
      </c>
      <c r="B6" s="7">
        <v>5</v>
      </c>
      <c r="E6" s="6" t="s">
        <v>54</v>
      </c>
      <c r="F6" s="7">
        <v>5</v>
      </c>
    </row>
    <row r="7" spans="1:6" x14ac:dyDescent="0.25">
      <c r="A7" s="6" t="s">
        <v>53</v>
      </c>
      <c r="B7" s="7">
        <v>4</v>
      </c>
      <c r="E7" s="6" t="s">
        <v>53</v>
      </c>
      <c r="F7" s="7">
        <v>4</v>
      </c>
    </row>
    <row r="8" spans="1:6" x14ac:dyDescent="0.25">
      <c r="A8" s="6" t="s">
        <v>55</v>
      </c>
      <c r="B8" s="7">
        <v>2.6</v>
      </c>
      <c r="E8" s="6" t="s">
        <v>55</v>
      </c>
      <c r="F8" s="7">
        <v>2.6</v>
      </c>
    </row>
    <row r="9" spans="1:6" x14ac:dyDescent="0.25">
      <c r="A9" s="6" t="s">
        <v>51</v>
      </c>
      <c r="B9" s="7">
        <v>3.2</v>
      </c>
      <c r="E9" s="6" t="s">
        <v>51</v>
      </c>
      <c r="F9" s="7">
        <v>3.2</v>
      </c>
    </row>
    <row r="10" spans="1:6" x14ac:dyDescent="0.25">
      <c r="A10" s="6" t="s">
        <v>69</v>
      </c>
      <c r="B10" s="7">
        <v>3.6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E679D-8E60-4743-8CBB-5AFCA4A801BD}">
  <dimension ref="A1:H36"/>
  <sheetViews>
    <sheetView workbookViewId="0">
      <selection activeCell="D9" sqref="D9"/>
    </sheetView>
  </sheetViews>
  <sheetFormatPr defaultRowHeight="15" x14ac:dyDescent="0.25"/>
  <cols>
    <col min="1" max="1" width="17.85546875" bestFit="1" customWidth="1"/>
    <col min="2" max="2" width="16.5703125" bestFit="1" customWidth="1"/>
  </cols>
  <sheetData>
    <row r="1" spans="1:8" x14ac:dyDescent="0.25">
      <c r="H1" t="s">
        <v>62</v>
      </c>
    </row>
    <row r="3" spans="1:8" x14ac:dyDescent="0.25">
      <c r="A3" s="5" t="s">
        <v>68</v>
      </c>
      <c r="B3" t="s">
        <v>75</v>
      </c>
    </row>
    <row r="4" spans="1:8" x14ac:dyDescent="0.25">
      <c r="A4" s="6" t="s">
        <v>45</v>
      </c>
      <c r="B4" s="7">
        <v>1</v>
      </c>
    </row>
    <row r="5" spans="1:8" x14ac:dyDescent="0.25">
      <c r="A5" s="6" t="s">
        <v>39</v>
      </c>
      <c r="B5" s="7">
        <v>4</v>
      </c>
      <c r="E5" t="s">
        <v>76</v>
      </c>
      <c r="F5" t="s">
        <v>8</v>
      </c>
    </row>
    <row r="6" spans="1:8" x14ac:dyDescent="0.25">
      <c r="A6" s="6" t="s">
        <v>6</v>
      </c>
      <c r="B6" s="7">
        <v>4</v>
      </c>
      <c r="E6">
        <f>MAX(B4:B17)</f>
        <v>7</v>
      </c>
      <c r="F6" t="str">
        <f>VLOOKUP(E6,A23:B36,2,0)</f>
        <v>Król</v>
      </c>
    </row>
    <row r="7" spans="1:8" x14ac:dyDescent="0.25">
      <c r="A7" s="6" t="s">
        <v>47</v>
      </c>
      <c r="B7" s="7">
        <v>7</v>
      </c>
    </row>
    <row r="8" spans="1:8" x14ac:dyDescent="0.25">
      <c r="A8" s="6" t="s">
        <v>44</v>
      </c>
      <c r="B8" s="7">
        <v>1</v>
      </c>
    </row>
    <row r="9" spans="1:8" x14ac:dyDescent="0.25">
      <c r="A9" s="6" t="s">
        <v>40</v>
      </c>
      <c r="B9" s="7">
        <v>4</v>
      </c>
    </row>
    <row r="10" spans="1:8" x14ac:dyDescent="0.25">
      <c r="A10" s="6" t="s">
        <v>43</v>
      </c>
      <c r="B10" s="7">
        <v>2</v>
      </c>
    </row>
    <row r="11" spans="1:8" x14ac:dyDescent="0.25">
      <c r="A11" s="6" t="s">
        <v>46</v>
      </c>
      <c r="B11" s="7">
        <v>1</v>
      </c>
    </row>
    <row r="12" spans="1:8" x14ac:dyDescent="0.25">
      <c r="A12" s="6" t="s">
        <v>7</v>
      </c>
      <c r="B12" s="7">
        <v>1</v>
      </c>
    </row>
    <row r="13" spans="1:8" x14ac:dyDescent="0.25">
      <c r="A13" s="6" t="s">
        <v>49</v>
      </c>
      <c r="B13" s="7">
        <v>1</v>
      </c>
    </row>
    <row r="14" spans="1:8" x14ac:dyDescent="0.25">
      <c r="A14" s="6" t="s">
        <v>41</v>
      </c>
      <c r="B14" s="7">
        <v>1</v>
      </c>
    </row>
    <row r="15" spans="1:8" x14ac:dyDescent="0.25">
      <c r="A15" s="6" t="s">
        <v>48</v>
      </c>
      <c r="B15" s="7">
        <v>1</v>
      </c>
    </row>
    <row r="16" spans="1:8" x14ac:dyDescent="0.25">
      <c r="A16" s="6" t="s">
        <v>42</v>
      </c>
      <c r="B16" s="7">
        <v>1</v>
      </c>
    </row>
    <row r="17" spans="1:2" x14ac:dyDescent="0.25">
      <c r="A17" s="6" t="s">
        <v>38</v>
      </c>
      <c r="B17" s="7">
        <v>1</v>
      </c>
    </row>
    <row r="18" spans="1:2" x14ac:dyDescent="0.25">
      <c r="A18" s="6" t="s">
        <v>69</v>
      </c>
      <c r="B18" s="7">
        <v>30</v>
      </c>
    </row>
    <row r="23" spans="1:2" x14ac:dyDescent="0.25">
      <c r="A23" s="7">
        <v>1</v>
      </c>
      <c r="B23" s="6" t="s">
        <v>45</v>
      </c>
    </row>
    <row r="24" spans="1:2" x14ac:dyDescent="0.25">
      <c r="A24" s="7">
        <v>4</v>
      </c>
      <c r="B24" s="6" t="s">
        <v>39</v>
      </c>
    </row>
    <row r="25" spans="1:2" x14ac:dyDescent="0.25">
      <c r="A25" s="7">
        <v>4</v>
      </c>
      <c r="B25" s="6" t="s">
        <v>6</v>
      </c>
    </row>
    <row r="26" spans="1:2" x14ac:dyDescent="0.25">
      <c r="A26" s="7">
        <v>7</v>
      </c>
      <c r="B26" s="6" t="s">
        <v>47</v>
      </c>
    </row>
    <row r="27" spans="1:2" x14ac:dyDescent="0.25">
      <c r="A27" s="7">
        <v>1</v>
      </c>
      <c r="B27" s="6" t="s">
        <v>44</v>
      </c>
    </row>
    <row r="28" spans="1:2" x14ac:dyDescent="0.25">
      <c r="A28" s="7">
        <v>4</v>
      </c>
      <c r="B28" s="6" t="s">
        <v>40</v>
      </c>
    </row>
    <row r="29" spans="1:2" x14ac:dyDescent="0.25">
      <c r="A29" s="7">
        <v>2</v>
      </c>
      <c r="B29" s="6" t="s">
        <v>43</v>
      </c>
    </row>
    <row r="30" spans="1:2" x14ac:dyDescent="0.25">
      <c r="A30" s="7">
        <v>1</v>
      </c>
      <c r="B30" s="6" t="s">
        <v>46</v>
      </c>
    </row>
    <row r="31" spans="1:2" x14ac:dyDescent="0.25">
      <c r="A31" s="7">
        <v>1</v>
      </c>
      <c r="B31" s="6" t="s">
        <v>7</v>
      </c>
    </row>
    <row r="32" spans="1:2" x14ac:dyDescent="0.25">
      <c r="A32" s="7">
        <v>1</v>
      </c>
      <c r="B32" s="6" t="s">
        <v>49</v>
      </c>
    </row>
    <row r="33" spans="1:2" x14ac:dyDescent="0.25">
      <c r="A33" s="7">
        <v>1</v>
      </c>
      <c r="B33" s="6" t="s">
        <v>41</v>
      </c>
    </row>
    <row r="34" spans="1:2" x14ac:dyDescent="0.25">
      <c r="A34" s="7">
        <v>1</v>
      </c>
      <c r="B34" s="6" t="s">
        <v>48</v>
      </c>
    </row>
    <row r="35" spans="1:2" x14ac:dyDescent="0.25">
      <c r="A35" s="7">
        <v>1</v>
      </c>
      <c r="B35" s="6" t="s">
        <v>42</v>
      </c>
    </row>
    <row r="36" spans="1:2" x14ac:dyDescent="0.25">
      <c r="A36" s="7">
        <v>1</v>
      </c>
      <c r="B36" s="6" t="s">
        <v>38</v>
      </c>
    </row>
  </sheetData>
  <conditionalFormatting pivot="1" sqref="B4:B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E10C-FF66-4F20-B2F4-E344D84EC029}">
  <dimension ref="A1:G6"/>
  <sheetViews>
    <sheetView workbookViewId="0">
      <selection activeCell="E6" sqref="E6"/>
    </sheetView>
  </sheetViews>
  <sheetFormatPr defaultRowHeight="15" x14ac:dyDescent="0.25"/>
  <cols>
    <col min="1" max="1" width="17.85546875" bestFit="1" customWidth="1"/>
    <col min="2" max="2" width="16" bestFit="1" customWidth="1"/>
  </cols>
  <sheetData>
    <row r="1" spans="1:7" x14ac:dyDescent="0.25">
      <c r="G1" t="s">
        <v>77</v>
      </c>
    </row>
    <row r="3" spans="1:7" x14ac:dyDescent="0.25">
      <c r="A3" s="5" t="s">
        <v>68</v>
      </c>
      <c r="B3" t="s">
        <v>74</v>
      </c>
    </row>
    <row r="4" spans="1:7" x14ac:dyDescent="0.25">
      <c r="A4" s="6">
        <v>1</v>
      </c>
      <c r="B4" s="7">
        <v>223</v>
      </c>
    </row>
    <row r="5" spans="1:7" x14ac:dyDescent="0.25">
      <c r="A5" s="6">
        <v>2</v>
      </c>
      <c r="B5" s="7">
        <v>242</v>
      </c>
      <c r="E5">
        <f>GETPIVOTDATA("ID ucznia",$A$3,"klasa Poziom",1)</f>
        <v>223</v>
      </c>
    </row>
    <row r="6" spans="1:7" x14ac:dyDescent="0.25">
      <c r="A6" s="6" t="s">
        <v>69</v>
      </c>
      <c r="B6" s="7">
        <v>465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EE159-D5FE-4517-87B9-25244E62AA48}">
  <dimension ref="A1:E13"/>
  <sheetViews>
    <sheetView workbookViewId="0">
      <selection activeCell="H21" sqref="H21"/>
    </sheetView>
  </sheetViews>
  <sheetFormatPr defaultRowHeight="15" x14ac:dyDescent="0.25"/>
  <cols>
    <col min="1" max="1" width="18.85546875" bestFit="1" customWidth="1"/>
    <col min="2" max="2" width="19.85546875" bestFit="1" customWidth="1"/>
    <col min="3" max="8" width="13.42578125" customWidth="1"/>
  </cols>
  <sheetData>
    <row r="1" spans="1:5" x14ac:dyDescent="0.25">
      <c r="A1" s="5" t="s">
        <v>5</v>
      </c>
      <c r="B1" t="s">
        <v>86</v>
      </c>
      <c r="E1" t="s">
        <v>64</v>
      </c>
    </row>
    <row r="3" spans="1:5" x14ac:dyDescent="0.25">
      <c r="A3" s="5" t="s">
        <v>68</v>
      </c>
      <c r="B3" t="s">
        <v>70</v>
      </c>
    </row>
    <row r="4" spans="1:5" x14ac:dyDescent="0.25">
      <c r="A4" s="6" t="s">
        <v>65</v>
      </c>
      <c r="B4" s="7">
        <v>6</v>
      </c>
      <c r="E4" s="6" t="s">
        <v>65</v>
      </c>
    </row>
    <row r="5" spans="1:5" x14ac:dyDescent="0.25">
      <c r="A5" s="6" t="s">
        <v>78</v>
      </c>
      <c r="B5" s="7">
        <v>6</v>
      </c>
      <c r="E5" s="6" t="s">
        <v>78</v>
      </c>
    </row>
    <row r="6" spans="1:5" x14ac:dyDescent="0.25">
      <c r="A6" s="6" t="s">
        <v>79</v>
      </c>
      <c r="B6" s="7">
        <v>6</v>
      </c>
      <c r="E6" s="6" t="s">
        <v>79</v>
      </c>
    </row>
    <row r="7" spans="1:5" x14ac:dyDescent="0.25">
      <c r="A7" s="6" t="s">
        <v>80</v>
      </c>
      <c r="B7" s="7">
        <v>5</v>
      </c>
      <c r="E7" s="6" t="s">
        <v>80</v>
      </c>
    </row>
    <row r="8" spans="1:5" x14ac:dyDescent="0.25">
      <c r="A8" s="6" t="s">
        <v>81</v>
      </c>
      <c r="B8" s="7">
        <v>5</v>
      </c>
      <c r="E8" s="6" t="s">
        <v>81</v>
      </c>
    </row>
    <row r="9" spans="1:5" x14ac:dyDescent="0.25">
      <c r="A9" s="6" t="s">
        <v>82</v>
      </c>
      <c r="B9" s="7">
        <v>5</v>
      </c>
      <c r="E9" s="6" t="s">
        <v>82</v>
      </c>
    </row>
    <row r="10" spans="1:5" x14ac:dyDescent="0.25">
      <c r="A10" s="6" t="s">
        <v>83</v>
      </c>
      <c r="B10" s="7">
        <v>6</v>
      </c>
      <c r="E10" s="6" t="s">
        <v>83</v>
      </c>
    </row>
    <row r="11" spans="1:5" x14ac:dyDescent="0.25">
      <c r="A11" s="6" t="s">
        <v>84</v>
      </c>
      <c r="B11" s="7">
        <v>5</v>
      </c>
      <c r="E11" s="6" t="s">
        <v>84</v>
      </c>
    </row>
    <row r="12" spans="1:5" x14ac:dyDescent="0.25">
      <c r="A12" s="6" t="s">
        <v>85</v>
      </c>
      <c r="B12" s="7">
        <v>5</v>
      </c>
      <c r="E12" s="6" t="s">
        <v>85</v>
      </c>
    </row>
    <row r="13" spans="1:5" x14ac:dyDescent="0.25">
      <c r="A13" s="6" t="s">
        <v>69</v>
      </c>
      <c r="B13" s="7">
        <v>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B2E5-C553-4E70-9BD1-970C8EFD877D}">
  <dimension ref="A1:F6"/>
  <sheetViews>
    <sheetView tabSelected="1" workbookViewId="0">
      <selection activeCell="J7" sqref="J7"/>
    </sheetView>
  </sheetViews>
  <sheetFormatPr defaultRowHeight="15" x14ac:dyDescent="0.25"/>
  <cols>
    <col min="1" max="1" width="17.85546875" bestFit="1" customWidth="1"/>
    <col min="2" max="2" width="16.5703125" bestFit="1" customWidth="1"/>
  </cols>
  <sheetData>
    <row r="1" spans="1:6" x14ac:dyDescent="0.25">
      <c r="A1" s="5" t="s">
        <v>2</v>
      </c>
      <c r="B1" t="s">
        <v>55</v>
      </c>
      <c r="F1" t="s">
        <v>66</v>
      </c>
    </row>
    <row r="3" spans="1:6" x14ac:dyDescent="0.25">
      <c r="A3" s="5" t="s">
        <v>68</v>
      </c>
      <c r="B3" t="s">
        <v>75</v>
      </c>
    </row>
    <row r="4" spans="1:6" x14ac:dyDescent="0.25">
      <c r="A4" s="6" t="s">
        <v>89</v>
      </c>
      <c r="B4" s="7">
        <v>5</v>
      </c>
    </row>
    <row r="5" spans="1:6" x14ac:dyDescent="0.25">
      <c r="A5" s="6" t="s">
        <v>69</v>
      </c>
      <c r="B5" s="7">
        <v>5</v>
      </c>
      <c r="E5" s="6" t="s">
        <v>89</v>
      </c>
      <c r="F5" s="7">
        <v>5</v>
      </c>
    </row>
    <row r="6" spans="1:6" x14ac:dyDescent="0.25">
      <c r="E6" t="s">
        <v>88</v>
      </c>
      <c r="F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469BDF8665BAE4B8C45E2DAE0F2DF4F" ma:contentTypeVersion="6" ma:contentTypeDescription="Utwórz nowy dokument." ma:contentTypeScope="" ma:versionID="02962234729cb2e52d75f9ae148e9eac">
  <xsd:schema xmlns:xsd="http://www.w3.org/2001/XMLSchema" xmlns:xs="http://www.w3.org/2001/XMLSchema" xmlns:p="http://schemas.microsoft.com/office/2006/metadata/properties" xmlns:ns3="70ef6ec9-06b4-4ce8-87b8-a54428ee96b8" targetNamespace="http://schemas.microsoft.com/office/2006/metadata/properties" ma:root="true" ma:fieldsID="de83ec782ed895499f58f8ac31ea7ebe" ns3:_="">
    <xsd:import namespace="70ef6ec9-06b4-4ce8-87b8-a54428ee96b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ef6ec9-06b4-4ce8-87b8-a54428ee96b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0ef6ec9-06b4-4ce8-87b8-a54428ee96b8" xsi:nil="true"/>
  </documentManagement>
</p:properties>
</file>

<file path=customXml/itemProps1.xml><?xml version="1.0" encoding="utf-8"?>
<ds:datastoreItem xmlns:ds="http://schemas.openxmlformats.org/officeDocument/2006/customXml" ds:itemID="{3E74B546-7126-4CBE-9F45-FD56EB2440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ef6ec9-06b4-4ce8-87b8-a54428ee96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9CFB229-9739-49D0-96B0-B5E02EE490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D5B3C7-14ED-4552-9512-CBE1F9D36F16}">
  <ds:schemaRefs>
    <ds:schemaRef ds:uri="http://www.w3.org/XML/1998/namespace"/>
    <ds:schemaRef ds:uri="http://purl.org/dc/terms/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70ef6ec9-06b4-4ce8-87b8-a54428ee96b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8</vt:i4>
      </vt:variant>
    </vt:vector>
  </HeadingPairs>
  <TitlesOfParts>
    <vt:vector size="8" baseType="lpstr">
      <vt:lpstr>dane_dane</vt:lpstr>
      <vt:lpstr>zadania</vt:lpstr>
      <vt:lpstr>wyszukiwarka uczniow</vt:lpstr>
      <vt:lpstr>zad2</vt:lpstr>
      <vt:lpstr>zad3</vt:lpstr>
      <vt:lpstr>zad4</vt:lpstr>
      <vt:lpstr>zad5</vt:lpstr>
      <vt:lpstr>zad6</vt:lpstr>
    </vt:vector>
  </TitlesOfParts>
  <Company>XLLO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Bartos</dc:creator>
  <cp:lastModifiedBy>Natalia Bartos</cp:lastModifiedBy>
  <dcterms:created xsi:type="dcterms:W3CDTF">2026-02-17T13:14:17Z</dcterms:created>
  <dcterms:modified xsi:type="dcterms:W3CDTF">2026-02-18T11:36:20Z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0x0101009469BDF8665BAE4B8C45E2DAE0F2DF4F</vt:lpwstr>
  </property>
</Properties>
</file>