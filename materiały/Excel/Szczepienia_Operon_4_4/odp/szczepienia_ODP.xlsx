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a.bartos\Documents\Zadania\Excel\Szczepienia_Operon_4_4\odp\"/>
    </mc:Choice>
  </mc:AlternateContent>
  <xr:revisionPtr revIDLastSave="0" documentId="13_ncr:1_{F3DF7CA8-29B3-4C03-AF97-D44B282C03C8}" xr6:coauthVersionLast="47" xr6:coauthVersionMax="47" xr10:uidLastSave="{00000000-0000-0000-0000-000000000000}"/>
  <bookViews>
    <workbookView xWindow="390" yWindow="390" windowWidth="21600" windowHeight="11295" activeTab="5" xr2:uid="{D5FD58A8-7E8A-458F-9A98-10DBC74D3EDB}"/>
  </bookViews>
  <sheets>
    <sheet name="punkt szczepień DANE" sheetId="2" r:id="rId1"/>
    <sheet name="4_1" sheetId="4" r:id="rId2"/>
    <sheet name="4_2" sheetId="8" r:id="rId3"/>
    <sheet name="4_3" sheetId="5" r:id="rId4"/>
    <sheet name="4_4" sheetId="6" r:id="rId5"/>
    <sheet name="4_5" sheetId="10" r:id="rId6"/>
  </sheets>
  <definedNames>
    <definedName name="ExternalData_1" localSheetId="1" hidden="1">'4_1'!$A$1:$D$1001</definedName>
    <definedName name="ExternalData_1" localSheetId="4" hidden="1">'4_4'!$A$1:$D$1001</definedName>
    <definedName name="ExternalData_1" localSheetId="0" hidden="1">'punkt szczepień DANE'!$A$1:$D$1001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10" l="1"/>
  <c r="H8" i="6"/>
  <c r="H7" i="6"/>
  <c r="H6" i="6"/>
  <c r="L31" i="4"/>
  <c r="L81" i="4"/>
  <c r="L115" i="4"/>
  <c r="L160" i="4"/>
  <c r="L167" i="4"/>
  <c r="L258" i="4"/>
  <c r="L259" i="4"/>
  <c r="L261" i="4"/>
  <c r="L272" i="4"/>
  <c r="L275" i="4"/>
  <c r="L279" i="4"/>
  <c r="L280" i="4"/>
  <c r="L304" i="4"/>
  <c r="L318" i="4"/>
  <c r="L322" i="4"/>
  <c r="L332" i="4"/>
  <c r="L345" i="4"/>
  <c r="L391" i="4"/>
  <c r="L399" i="4"/>
  <c r="L412" i="4"/>
  <c r="L413" i="4"/>
  <c r="L420" i="4"/>
  <c r="L427" i="4"/>
  <c r="L455" i="4"/>
  <c r="L462" i="4"/>
  <c r="L476" i="4"/>
  <c r="L497" i="4"/>
  <c r="L499" i="4"/>
  <c r="L532" i="4"/>
  <c r="L541" i="4"/>
  <c r="L542" i="4"/>
  <c r="L587" i="4"/>
  <c r="L595" i="4"/>
  <c r="L608" i="4"/>
  <c r="L609" i="4"/>
  <c r="L615" i="4"/>
  <c r="L616" i="4"/>
  <c r="L644" i="4"/>
  <c r="L650" i="4"/>
  <c r="L653" i="4"/>
  <c r="L667" i="4"/>
  <c r="L671" i="4"/>
  <c r="L682" i="4"/>
  <c r="L685" i="4"/>
  <c r="L724" i="4"/>
  <c r="L738" i="4"/>
  <c r="L748" i="4"/>
  <c r="L762" i="4"/>
  <c r="L783" i="4"/>
  <c r="L790" i="4"/>
  <c r="L794" i="4"/>
  <c r="L797" i="4"/>
  <c r="L804" i="4"/>
  <c r="L805" i="4"/>
  <c r="L811" i="4"/>
  <c r="L839" i="4"/>
  <c r="L849" i="4"/>
  <c r="L852" i="4"/>
  <c r="L877" i="4"/>
  <c r="L880" i="4"/>
  <c r="L891" i="4"/>
  <c r="L905" i="4"/>
  <c r="L908" i="4"/>
  <c r="L919" i="4"/>
  <c r="L922" i="4"/>
  <c r="L937" i="4"/>
  <c r="L943" i="4"/>
  <c r="L950" i="4"/>
  <c r="L951" i="4"/>
  <c r="L965" i="4"/>
  <c r="L971" i="4"/>
  <c r="L978" i="4"/>
  <c r="L979" i="4"/>
  <c r="L993" i="4"/>
  <c r="L999" i="4"/>
  <c r="K1001" i="4"/>
  <c r="L1001" i="4" s="1"/>
  <c r="J1001" i="4"/>
  <c r="H1001" i="4"/>
  <c r="E1001" i="4"/>
  <c r="F1001" i="4" s="1"/>
  <c r="G1001" i="4" s="1"/>
  <c r="K1000" i="4"/>
  <c r="L1000" i="4" s="1"/>
  <c r="J1000" i="4"/>
  <c r="H1000" i="4"/>
  <c r="E1000" i="4"/>
  <c r="K999" i="4"/>
  <c r="J999" i="4"/>
  <c r="H999" i="4"/>
  <c r="E999" i="4"/>
  <c r="F999" i="4" s="1"/>
  <c r="G999" i="4" s="1"/>
  <c r="K998" i="4"/>
  <c r="L998" i="4" s="1"/>
  <c r="J998" i="4"/>
  <c r="H998" i="4"/>
  <c r="E998" i="4"/>
  <c r="F998" i="4" s="1"/>
  <c r="K997" i="4"/>
  <c r="L997" i="4" s="1"/>
  <c r="J997" i="4"/>
  <c r="H997" i="4"/>
  <c r="E997" i="4"/>
  <c r="F997" i="4" s="1"/>
  <c r="G997" i="4" s="1"/>
  <c r="K996" i="4"/>
  <c r="L996" i="4" s="1"/>
  <c r="J996" i="4"/>
  <c r="H996" i="4"/>
  <c r="E996" i="4"/>
  <c r="F996" i="4" s="1"/>
  <c r="K995" i="4"/>
  <c r="L995" i="4" s="1"/>
  <c r="J995" i="4"/>
  <c r="H995" i="4"/>
  <c r="E995" i="4"/>
  <c r="F995" i="4" s="1"/>
  <c r="G995" i="4" s="1"/>
  <c r="K994" i="4"/>
  <c r="L994" i="4" s="1"/>
  <c r="J994" i="4"/>
  <c r="H994" i="4"/>
  <c r="E994" i="4"/>
  <c r="F994" i="4" s="1"/>
  <c r="K993" i="4"/>
  <c r="J993" i="4"/>
  <c r="H993" i="4"/>
  <c r="E993" i="4"/>
  <c r="F993" i="4" s="1"/>
  <c r="G993" i="4" s="1"/>
  <c r="K992" i="4"/>
  <c r="L992" i="4" s="1"/>
  <c r="J992" i="4"/>
  <c r="H992" i="4"/>
  <c r="E992" i="4"/>
  <c r="F992" i="4" s="1"/>
  <c r="K991" i="4"/>
  <c r="L991" i="4" s="1"/>
  <c r="J991" i="4"/>
  <c r="H991" i="4"/>
  <c r="E991" i="4"/>
  <c r="F991" i="4" s="1"/>
  <c r="K990" i="4"/>
  <c r="L990" i="4" s="1"/>
  <c r="J990" i="4"/>
  <c r="H990" i="4"/>
  <c r="E990" i="4"/>
  <c r="K989" i="4"/>
  <c r="L989" i="4" s="1"/>
  <c r="J989" i="4"/>
  <c r="H989" i="4"/>
  <c r="E989" i="4"/>
  <c r="K988" i="4"/>
  <c r="L988" i="4" s="1"/>
  <c r="J988" i="4"/>
  <c r="H988" i="4"/>
  <c r="E988" i="4"/>
  <c r="K987" i="4"/>
  <c r="L987" i="4" s="1"/>
  <c r="J987" i="4"/>
  <c r="H987" i="4"/>
  <c r="E987" i="4"/>
  <c r="F987" i="4" s="1"/>
  <c r="G987" i="4" s="1"/>
  <c r="K986" i="4"/>
  <c r="L986" i="4" s="1"/>
  <c r="J986" i="4"/>
  <c r="H986" i="4"/>
  <c r="E986" i="4"/>
  <c r="K985" i="4"/>
  <c r="L985" i="4" s="1"/>
  <c r="J985" i="4"/>
  <c r="H985" i="4"/>
  <c r="E985" i="4"/>
  <c r="K984" i="4"/>
  <c r="L984" i="4" s="1"/>
  <c r="J984" i="4"/>
  <c r="H984" i="4"/>
  <c r="E984" i="4"/>
  <c r="F984" i="4" s="1"/>
  <c r="K983" i="4"/>
  <c r="L983" i="4" s="1"/>
  <c r="J983" i="4"/>
  <c r="H983" i="4"/>
  <c r="E983" i="4"/>
  <c r="K982" i="4"/>
  <c r="L982" i="4" s="1"/>
  <c r="J982" i="4"/>
  <c r="H982" i="4"/>
  <c r="E982" i="4"/>
  <c r="F982" i="4" s="1"/>
  <c r="K981" i="4"/>
  <c r="L981" i="4" s="1"/>
  <c r="J981" i="4"/>
  <c r="H981" i="4"/>
  <c r="E981" i="4"/>
  <c r="F981" i="4" s="1"/>
  <c r="G981" i="4" s="1"/>
  <c r="K980" i="4"/>
  <c r="L980" i="4" s="1"/>
  <c r="J980" i="4"/>
  <c r="H980" i="4"/>
  <c r="E980" i="4"/>
  <c r="K979" i="4"/>
  <c r="J979" i="4"/>
  <c r="H979" i="4"/>
  <c r="E979" i="4"/>
  <c r="K978" i="4"/>
  <c r="J978" i="4"/>
  <c r="H978" i="4"/>
  <c r="E978" i="4"/>
  <c r="F978" i="4" s="1"/>
  <c r="K977" i="4"/>
  <c r="L977" i="4" s="1"/>
  <c r="J977" i="4"/>
  <c r="H977" i="4"/>
  <c r="E977" i="4"/>
  <c r="K976" i="4"/>
  <c r="L976" i="4" s="1"/>
  <c r="J976" i="4"/>
  <c r="H976" i="4"/>
  <c r="E976" i="4"/>
  <c r="K975" i="4"/>
  <c r="L975" i="4" s="1"/>
  <c r="J975" i="4"/>
  <c r="H975" i="4"/>
  <c r="E975" i="4"/>
  <c r="F975" i="4" s="1"/>
  <c r="K974" i="4"/>
  <c r="L974" i="4" s="1"/>
  <c r="J974" i="4"/>
  <c r="H974" i="4"/>
  <c r="E974" i="4"/>
  <c r="K973" i="4"/>
  <c r="L973" i="4" s="1"/>
  <c r="J973" i="4"/>
  <c r="H973" i="4"/>
  <c r="E973" i="4"/>
  <c r="K972" i="4"/>
  <c r="L972" i="4" s="1"/>
  <c r="J972" i="4"/>
  <c r="H972" i="4"/>
  <c r="E972" i="4"/>
  <c r="K971" i="4"/>
  <c r="J971" i="4"/>
  <c r="H971" i="4"/>
  <c r="E971" i="4"/>
  <c r="K970" i="4"/>
  <c r="L970" i="4" s="1"/>
  <c r="J970" i="4"/>
  <c r="H970" i="4"/>
  <c r="E970" i="4"/>
  <c r="F970" i="4" s="1"/>
  <c r="K969" i="4"/>
  <c r="L969" i="4" s="1"/>
  <c r="J969" i="4"/>
  <c r="H969" i="4"/>
  <c r="E969" i="4"/>
  <c r="K968" i="4"/>
  <c r="L968" i="4" s="1"/>
  <c r="J968" i="4"/>
  <c r="H968" i="4"/>
  <c r="E968" i="4"/>
  <c r="F968" i="4" s="1"/>
  <c r="K967" i="4"/>
  <c r="L967" i="4" s="1"/>
  <c r="J967" i="4"/>
  <c r="H967" i="4"/>
  <c r="E967" i="4"/>
  <c r="F967" i="4" s="1"/>
  <c r="G967" i="4" s="1"/>
  <c r="K966" i="4"/>
  <c r="L966" i="4" s="1"/>
  <c r="J966" i="4"/>
  <c r="H966" i="4"/>
  <c r="E966" i="4"/>
  <c r="K965" i="4"/>
  <c r="J965" i="4"/>
  <c r="H965" i="4"/>
  <c r="E965" i="4"/>
  <c r="K964" i="4"/>
  <c r="L964" i="4" s="1"/>
  <c r="J964" i="4"/>
  <c r="H964" i="4"/>
  <c r="E964" i="4"/>
  <c r="F964" i="4" s="1"/>
  <c r="K963" i="4"/>
  <c r="L963" i="4" s="1"/>
  <c r="J963" i="4"/>
  <c r="H963" i="4"/>
  <c r="E963" i="4"/>
  <c r="K962" i="4"/>
  <c r="L962" i="4" s="1"/>
  <c r="J962" i="4"/>
  <c r="H962" i="4"/>
  <c r="E962" i="4"/>
  <c r="K961" i="4"/>
  <c r="L961" i="4" s="1"/>
  <c r="J961" i="4"/>
  <c r="H961" i="4"/>
  <c r="E961" i="4"/>
  <c r="F961" i="4" s="1"/>
  <c r="K960" i="4"/>
  <c r="L960" i="4" s="1"/>
  <c r="J960" i="4"/>
  <c r="H960" i="4"/>
  <c r="E960" i="4"/>
  <c r="K959" i="4"/>
  <c r="L959" i="4" s="1"/>
  <c r="J959" i="4"/>
  <c r="H959" i="4"/>
  <c r="E959" i="4"/>
  <c r="F959" i="4" s="1"/>
  <c r="G959" i="4" s="1"/>
  <c r="K958" i="4"/>
  <c r="L958" i="4" s="1"/>
  <c r="J958" i="4"/>
  <c r="H958" i="4"/>
  <c r="E958" i="4"/>
  <c r="K957" i="4"/>
  <c r="L957" i="4" s="1"/>
  <c r="J957" i="4"/>
  <c r="H957" i="4"/>
  <c r="E957" i="4"/>
  <c r="K956" i="4"/>
  <c r="L956" i="4" s="1"/>
  <c r="J956" i="4"/>
  <c r="H956" i="4"/>
  <c r="E956" i="4"/>
  <c r="F956" i="4" s="1"/>
  <c r="K955" i="4"/>
  <c r="L955" i="4" s="1"/>
  <c r="J955" i="4"/>
  <c r="H955" i="4"/>
  <c r="E955" i="4"/>
  <c r="K954" i="4"/>
  <c r="L954" i="4" s="1"/>
  <c r="J954" i="4"/>
  <c r="H954" i="4"/>
  <c r="E954" i="4"/>
  <c r="F954" i="4" s="1"/>
  <c r="K953" i="4"/>
  <c r="L953" i="4" s="1"/>
  <c r="J953" i="4"/>
  <c r="H953" i="4"/>
  <c r="E953" i="4"/>
  <c r="K952" i="4"/>
  <c r="L952" i="4" s="1"/>
  <c r="J952" i="4"/>
  <c r="H952" i="4"/>
  <c r="E952" i="4"/>
  <c r="F952" i="4" s="1"/>
  <c r="K951" i="4"/>
  <c r="J951" i="4"/>
  <c r="H951" i="4"/>
  <c r="E951" i="4"/>
  <c r="K950" i="4"/>
  <c r="J950" i="4"/>
  <c r="H950" i="4"/>
  <c r="E950" i="4"/>
  <c r="F950" i="4" s="1"/>
  <c r="K949" i="4"/>
  <c r="L949" i="4" s="1"/>
  <c r="J949" i="4"/>
  <c r="H949" i="4"/>
  <c r="E949" i="4"/>
  <c r="F949" i="4" s="1"/>
  <c r="G949" i="4" s="1"/>
  <c r="I949" i="4" s="1"/>
  <c r="K948" i="4"/>
  <c r="L948" i="4" s="1"/>
  <c r="J948" i="4"/>
  <c r="H948" i="4"/>
  <c r="E948" i="4"/>
  <c r="K947" i="4"/>
  <c r="L947" i="4" s="1"/>
  <c r="J947" i="4"/>
  <c r="H947" i="4"/>
  <c r="E947" i="4"/>
  <c r="F947" i="4" s="1"/>
  <c r="K946" i="4"/>
  <c r="L946" i="4" s="1"/>
  <c r="J946" i="4"/>
  <c r="H946" i="4"/>
  <c r="E946" i="4"/>
  <c r="K945" i="4"/>
  <c r="L945" i="4" s="1"/>
  <c r="J945" i="4"/>
  <c r="H945" i="4"/>
  <c r="E945" i="4"/>
  <c r="K944" i="4"/>
  <c r="L944" i="4" s="1"/>
  <c r="J944" i="4"/>
  <c r="H944" i="4"/>
  <c r="E944" i="4"/>
  <c r="K943" i="4"/>
  <c r="J943" i="4"/>
  <c r="H943" i="4"/>
  <c r="E943" i="4"/>
  <c r="K942" i="4"/>
  <c r="L942" i="4" s="1"/>
  <c r="J942" i="4"/>
  <c r="H942" i="4"/>
  <c r="E942" i="4"/>
  <c r="F942" i="4" s="1"/>
  <c r="K941" i="4"/>
  <c r="L941" i="4" s="1"/>
  <c r="J941" i="4"/>
  <c r="H941" i="4"/>
  <c r="E941" i="4"/>
  <c r="K940" i="4"/>
  <c r="L940" i="4" s="1"/>
  <c r="J940" i="4"/>
  <c r="H940" i="4"/>
  <c r="E940" i="4"/>
  <c r="F940" i="4" s="1"/>
  <c r="K939" i="4"/>
  <c r="L939" i="4" s="1"/>
  <c r="J939" i="4"/>
  <c r="H939" i="4"/>
  <c r="E939" i="4"/>
  <c r="F939" i="4" s="1"/>
  <c r="G939" i="4" s="1"/>
  <c r="K938" i="4"/>
  <c r="L938" i="4" s="1"/>
  <c r="J938" i="4"/>
  <c r="H938" i="4"/>
  <c r="E938" i="4"/>
  <c r="K937" i="4"/>
  <c r="J937" i="4"/>
  <c r="H937" i="4"/>
  <c r="E937" i="4"/>
  <c r="K936" i="4"/>
  <c r="L936" i="4" s="1"/>
  <c r="J936" i="4"/>
  <c r="H936" i="4"/>
  <c r="E936" i="4"/>
  <c r="F936" i="4" s="1"/>
  <c r="K935" i="4"/>
  <c r="L935" i="4" s="1"/>
  <c r="J935" i="4"/>
  <c r="H935" i="4"/>
  <c r="E935" i="4"/>
  <c r="K934" i="4"/>
  <c r="L934" i="4" s="1"/>
  <c r="J934" i="4"/>
  <c r="H934" i="4"/>
  <c r="E934" i="4"/>
  <c r="K933" i="4"/>
  <c r="L933" i="4" s="1"/>
  <c r="J933" i="4"/>
  <c r="H933" i="4"/>
  <c r="E933" i="4"/>
  <c r="F933" i="4" s="1"/>
  <c r="K932" i="4"/>
  <c r="L932" i="4" s="1"/>
  <c r="J932" i="4"/>
  <c r="H932" i="4"/>
  <c r="E932" i="4"/>
  <c r="K931" i="4"/>
  <c r="L931" i="4" s="1"/>
  <c r="J931" i="4"/>
  <c r="H931" i="4"/>
  <c r="E931" i="4"/>
  <c r="K930" i="4"/>
  <c r="L930" i="4" s="1"/>
  <c r="J930" i="4"/>
  <c r="H930" i="4"/>
  <c r="E930" i="4"/>
  <c r="K929" i="4"/>
  <c r="L929" i="4" s="1"/>
  <c r="J929" i="4"/>
  <c r="H929" i="4"/>
  <c r="E929" i="4"/>
  <c r="K928" i="4"/>
  <c r="L928" i="4" s="1"/>
  <c r="J928" i="4"/>
  <c r="H928" i="4"/>
  <c r="E928" i="4"/>
  <c r="F928" i="4" s="1"/>
  <c r="K927" i="4"/>
  <c r="L927" i="4" s="1"/>
  <c r="J927" i="4"/>
  <c r="H927" i="4"/>
  <c r="E927" i="4"/>
  <c r="K926" i="4"/>
  <c r="L926" i="4" s="1"/>
  <c r="J926" i="4"/>
  <c r="H926" i="4"/>
  <c r="E926" i="4"/>
  <c r="F926" i="4" s="1"/>
  <c r="K925" i="4"/>
  <c r="L925" i="4" s="1"/>
  <c r="J925" i="4"/>
  <c r="H925" i="4"/>
  <c r="E925" i="4"/>
  <c r="F925" i="4" s="1"/>
  <c r="G925" i="4" s="1"/>
  <c r="K924" i="4"/>
  <c r="L924" i="4" s="1"/>
  <c r="J924" i="4"/>
  <c r="H924" i="4"/>
  <c r="E924" i="4"/>
  <c r="K923" i="4"/>
  <c r="L923" i="4" s="1"/>
  <c r="J923" i="4"/>
  <c r="H923" i="4"/>
  <c r="E923" i="4"/>
  <c r="K922" i="4"/>
  <c r="J922" i="4"/>
  <c r="H922" i="4"/>
  <c r="E922" i="4"/>
  <c r="F922" i="4" s="1"/>
  <c r="K921" i="4"/>
  <c r="L921" i="4" s="1"/>
  <c r="J921" i="4"/>
  <c r="H921" i="4"/>
  <c r="E921" i="4"/>
  <c r="F921" i="4" s="1"/>
  <c r="G921" i="4" s="1"/>
  <c r="K920" i="4"/>
  <c r="L920" i="4" s="1"/>
  <c r="J920" i="4"/>
  <c r="H920" i="4"/>
  <c r="E920" i="4"/>
  <c r="K919" i="4"/>
  <c r="J919" i="4"/>
  <c r="H919" i="4"/>
  <c r="E919" i="4"/>
  <c r="F919" i="4" s="1"/>
  <c r="K918" i="4"/>
  <c r="L918" i="4" s="1"/>
  <c r="J918" i="4"/>
  <c r="H918" i="4"/>
  <c r="E918" i="4"/>
  <c r="F918" i="4" s="1"/>
  <c r="K917" i="4"/>
  <c r="L917" i="4" s="1"/>
  <c r="J917" i="4"/>
  <c r="H917" i="4"/>
  <c r="E917" i="4"/>
  <c r="K916" i="4"/>
  <c r="L916" i="4" s="1"/>
  <c r="J916" i="4"/>
  <c r="H916" i="4"/>
  <c r="E916" i="4"/>
  <c r="K915" i="4"/>
  <c r="L915" i="4" s="1"/>
  <c r="J915" i="4"/>
  <c r="H915" i="4"/>
  <c r="E915" i="4"/>
  <c r="K914" i="4"/>
  <c r="L914" i="4" s="1"/>
  <c r="J914" i="4"/>
  <c r="H914" i="4"/>
  <c r="E914" i="4"/>
  <c r="F914" i="4" s="1"/>
  <c r="K913" i="4"/>
  <c r="L913" i="4" s="1"/>
  <c r="J913" i="4"/>
  <c r="H913" i="4"/>
  <c r="E913" i="4"/>
  <c r="K912" i="4"/>
  <c r="L912" i="4" s="1"/>
  <c r="J912" i="4"/>
  <c r="H912" i="4"/>
  <c r="E912" i="4"/>
  <c r="F912" i="4" s="1"/>
  <c r="K911" i="4"/>
  <c r="L911" i="4" s="1"/>
  <c r="J911" i="4"/>
  <c r="H911" i="4"/>
  <c r="E911" i="4"/>
  <c r="F911" i="4" s="1"/>
  <c r="G911" i="4" s="1"/>
  <c r="K910" i="4"/>
  <c r="L910" i="4" s="1"/>
  <c r="J910" i="4"/>
  <c r="H910" i="4"/>
  <c r="E910" i="4"/>
  <c r="K909" i="4"/>
  <c r="L909" i="4" s="1"/>
  <c r="J909" i="4"/>
  <c r="H909" i="4"/>
  <c r="E909" i="4"/>
  <c r="K908" i="4"/>
  <c r="J908" i="4"/>
  <c r="H908" i="4"/>
  <c r="E908" i="4"/>
  <c r="F908" i="4" s="1"/>
  <c r="K907" i="4"/>
  <c r="L907" i="4" s="1"/>
  <c r="J907" i="4"/>
  <c r="H907" i="4"/>
  <c r="E907" i="4"/>
  <c r="F907" i="4" s="1"/>
  <c r="G907" i="4" s="1"/>
  <c r="K906" i="4"/>
  <c r="L906" i="4" s="1"/>
  <c r="J906" i="4"/>
  <c r="H906" i="4"/>
  <c r="E906" i="4"/>
  <c r="K905" i="4"/>
  <c r="J905" i="4"/>
  <c r="H905" i="4"/>
  <c r="E905" i="4"/>
  <c r="F905" i="4" s="1"/>
  <c r="K904" i="4"/>
  <c r="L904" i="4" s="1"/>
  <c r="J904" i="4"/>
  <c r="H904" i="4"/>
  <c r="E904" i="4"/>
  <c r="K903" i="4"/>
  <c r="L903" i="4" s="1"/>
  <c r="J903" i="4"/>
  <c r="H903" i="4"/>
  <c r="E903" i="4"/>
  <c r="F903" i="4" s="1"/>
  <c r="K902" i="4"/>
  <c r="L902" i="4" s="1"/>
  <c r="J902" i="4"/>
  <c r="H902" i="4"/>
  <c r="E902" i="4"/>
  <c r="K901" i="4"/>
  <c r="L901" i="4" s="1"/>
  <c r="J901" i="4"/>
  <c r="H901" i="4"/>
  <c r="E901" i="4"/>
  <c r="K900" i="4"/>
  <c r="L900" i="4" s="1"/>
  <c r="J900" i="4"/>
  <c r="H900" i="4"/>
  <c r="E900" i="4"/>
  <c r="F900" i="4" s="1"/>
  <c r="K899" i="4"/>
  <c r="L899" i="4" s="1"/>
  <c r="J899" i="4"/>
  <c r="H899" i="4"/>
  <c r="E899" i="4"/>
  <c r="K898" i="4"/>
  <c r="L898" i="4" s="1"/>
  <c r="J898" i="4"/>
  <c r="H898" i="4"/>
  <c r="E898" i="4"/>
  <c r="F898" i="4" s="1"/>
  <c r="K897" i="4"/>
  <c r="L897" i="4" s="1"/>
  <c r="J897" i="4"/>
  <c r="H897" i="4"/>
  <c r="E897" i="4"/>
  <c r="F897" i="4" s="1"/>
  <c r="G897" i="4" s="1"/>
  <c r="K896" i="4"/>
  <c r="L896" i="4" s="1"/>
  <c r="J896" i="4"/>
  <c r="H896" i="4"/>
  <c r="E896" i="4"/>
  <c r="F896" i="4" s="1"/>
  <c r="K895" i="4"/>
  <c r="L895" i="4" s="1"/>
  <c r="J895" i="4"/>
  <c r="H895" i="4"/>
  <c r="E895" i="4"/>
  <c r="K894" i="4"/>
  <c r="L894" i="4" s="1"/>
  <c r="J894" i="4"/>
  <c r="H894" i="4"/>
  <c r="E894" i="4"/>
  <c r="F894" i="4" s="1"/>
  <c r="K893" i="4"/>
  <c r="L893" i="4" s="1"/>
  <c r="J893" i="4"/>
  <c r="H893" i="4"/>
  <c r="E893" i="4"/>
  <c r="F893" i="4" s="1"/>
  <c r="G893" i="4" s="1"/>
  <c r="K892" i="4"/>
  <c r="L892" i="4" s="1"/>
  <c r="J892" i="4"/>
  <c r="H892" i="4"/>
  <c r="E892" i="4"/>
  <c r="K891" i="4"/>
  <c r="J891" i="4"/>
  <c r="H891" i="4"/>
  <c r="E891" i="4"/>
  <c r="K890" i="4"/>
  <c r="L890" i="4" s="1"/>
  <c r="J890" i="4"/>
  <c r="H890" i="4"/>
  <c r="E890" i="4"/>
  <c r="K889" i="4"/>
  <c r="L889" i="4" s="1"/>
  <c r="J889" i="4"/>
  <c r="H889" i="4"/>
  <c r="E889" i="4"/>
  <c r="F889" i="4" s="1"/>
  <c r="G889" i="4" s="1"/>
  <c r="K888" i="4"/>
  <c r="L888" i="4" s="1"/>
  <c r="J888" i="4"/>
  <c r="H888" i="4"/>
  <c r="E888" i="4"/>
  <c r="K887" i="4"/>
  <c r="L887" i="4" s="1"/>
  <c r="J887" i="4"/>
  <c r="H887" i="4"/>
  <c r="E887" i="4"/>
  <c r="K886" i="4"/>
  <c r="L886" i="4" s="1"/>
  <c r="J886" i="4"/>
  <c r="H886" i="4"/>
  <c r="E886" i="4"/>
  <c r="F886" i="4" s="1"/>
  <c r="K885" i="4"/>
  <c r="L885" i="4" s="1"/>
  <c r="J885" i="4"/>
  <c r="H885" i="4"/>
  <c r="E885" i="4"/>
  <c r="K884" i="4"/>
  <c r="L884" i="4" s="1"/>
  <c r="J884" i="4"/>
  <c r="H884" i="4"/>
  <c r="E884" i="4"/>
  <c r="F884" i="4" s="1"/>
  <c r="K883" i="4"/>
  <c r="L883" i="4" s="1"/>
  <c r="J883" i="4"/>
  <c r="H883" i="4"/>
  <c r="E883" i="4"/>
  <c r="F883" i="4" s="1"/>
  <c r="G883" i="4" s="1"/>
  <c r="K882" i="4"/>
  <c r="L882" i="4" s="1"/>
  <c r="J882" i="4"/>
  <c r="H882" i="4"/>
  <c r="E882" i="4"/>
  <c r="K881" i="4"/>
  <c r="L881" i="4" s="1"/>
  <c r="J881" i="4"/>
  <c r="H881" i="4"/>
  <c r="E881" i="4"/>
  <c r="K880" i="4"/>
  <c r="J880" i="4"/>
  <c r="H880" i="4"/>
  <c r="E880" i="4"/>
  <c r="F880" i="4" s="1"/>
  <c r="K879" i="4"/>
  <c r="L879" i="4" s="1"/>
  <c r="J879" i="4"/>
  <c r="H879" i="4"/>
  <c r="E879" i="4"/>
  <c r="F879" i="4" s="1"/>
  <c r="G879" i="4" s="1"/>
  <c r="K878" i="4"/>
  <c r="L878" i="4" s="1"/>
  <c r="J878" i="4"/>
  <c r="H878" i="4"/>
  <c r="E878" i="4"/>
  <c r="K877" i="4"/>
  <c r="J877" i="4"/>
  <c r="H877" i="4"/>
  <c r="E877" i="4"/>
  <c r="F877" i="4" s="1"/>
  <c r="K876" i="4"/>
  <c r="L876" i="4" s="1"/>
  <c r="J876" i="4"/>
  <c r="H876" i="4"/>
  <c r="E876" i="4"/>
  <c r="K875" i="4"/>
  <c r="L875" i="4" s="1"/>
  <c r="J875" i="4"/>
  <c r="H875" i="4"/>
  <c r="E875" i="4"/>
  <c r="K874" i="4"/>
  <c r="L874" i="4" s="1"/>
  <c r="J874" i="4"/>
  <c r="H874" i="4"/>
  <c r="E874" i="4"/>
  <c r="K873" i="4"/>
  <c r="L873" i="4" s="1"/>
  <c r="J873" i="4"/>
  <c r="H873" i="4"/>
  <c r="E873" i="4"/>
  <c r="K872" i="4"/>
  <c r="L872" i="4" s="1"/>
  <c r="J872" i="4"/>
  <c r="H872" i="4"/>
  <c r="E872" i="4"/>
  <c r="K871" i="4"/>
  <c r="L871" i="4" s="1"/>
  <c r="J871" i="4"/>
  <c r="H871" i="4"/>
  <c r="E871" i="4"/>
  <c r="K870" i="4"/>
  <c r="L870" i="4" s="1"/>
  <c r="J870" i="4"/>
  <c r="H870" i="4"/>
  <c r="E870" i="4"/>
  <c r="F870" i="4" s="1"/>
  <c r="K869" i="4"/>
  <c r="L869" i="4" s="1"/>
  <c r="J869" i="4"/>
  <c r="H869" i="4"/>
  <c r="E869" i="4"/>
  <c r="F869" i="4" s="1"/>
  <c r="G869" i="4" s="1"/>
  <c r="I869" i="4" s="1"/>
  <c r="K868" i="4"/>
  <c r="L868" i="4" s="1"/>
  <c r="J868" i="4"/>
  <c r="H868" i="4"/>
  <c r="E868" i="4"/>
  <c r="K867" i="4"/>
  <c r="L867" i="4" s="1"/>
  <c r="J867" i="4"/>
  <c r="H867" i="4"/>
  <c r="E867" i="4"/>
  <c r="K866" i="4"/>
  <c r="L866" i="4" s="1"/>
  <c r="J866" i="4"/>
  <c r="H866" i="4"/>
  <c r="E866" i="4"/>
  <c r="F866" i="4" s="1"/>
  <c r="K865" i="4"/>
  <c r="L865" i="4" s="1"/>
  <c r="J865" i="4"/>
  <c r="H865" i="4"/>
  <c r="E865" i="4"/>
  <c r="F865" i="4" s="1"/>
  <c r="G865" i="4" s="1"/>
  <c r="I865" i="4" s="1"/>
  <c r="K864" i="4"/>
  <c r="L864" i="4" s="1"/>
  <c r="J864" i="4"/>
  <c r="H864" i="4"/>
  <c r="E864" i="4"/>
  <c r="K863" i="4"/>
  <c r="L863" i="4" s="1"/>
  <c r="J863" i="4"/>
  <c r="H863" i="4"/>
  <c r="E863" i="4"/>
  <c r="F863" i="4" s="1"/>
  <c r="K862" i="4"/>
  <c r="L862" i="4" s="1"/>
  <c r="J862" i="4"/>
  <c r="H862" i="4"/>
  <c r="E862" i="4"/>
  <c r="K861" i="4"/>
  <c r="L861" i="4" s="1"/>
  <c r="J861" i="4"/>
  <c r="H861" i="4"/>
  <c r="E861" i="4"/>
  <c r="F861" i="4" s="1"/>
  <c r="G861" i="4" s="1"/>
  <c r="K860" i="4"/>
  <c r="L860" i="4" s="1"/>
  <c r="J860" i="4"/>
  <c r="H860" i="4"/>
  <c r="E860" i="4"/>
  <c r="K859" i="4"/>
  <c r="L859" i="4" s="1"/>
  <c r="J859" i="4"/>
  <c r="H859" i="4"/>
  <c r="E859" i="4"/>
  <c r="K858" i="4"/>
  <c r="L858" i="4" s="1"/>
  <c r="J858" i="4"/>
  <c r="H858" i="4"/>
  <c r="E858" i="4"/>
  <c r="K857" i="4"/>
  <c r="L857" i="4" s="1"/>
  <c r="J857" i="4"/>
  <c r="H857" i="4"/>
  <c r="E857" i="4"/>
  <c r="K856" i="4"/>
  <c r="L856" i="4" s="1"/>
  <c r="J856" i="4"/>
  <c r="H856" i="4"/>
  <c r="E856" i="4"/>
  <c r="F856" i="4" s="1"/>
  <c r="K855" i="4"/>
  <c r="L855" i="4" s="1"/>
  <c r="J855" i="4"/>
  <c r="H855" i="4"/>
  <c r="E855" i="4"/>
  <c r="K854" i="4"/>
  <c r="L854" i="4" s="1"/>
  <c r="J854" i="4"/>
  <c r="H854" i="4"/>
  <c r="E854" i="4"/>
  <c r="K853" i="4"/>
  <c r="L853" i="4" s="1"/>
  <c r="J853" i="4"/>
  <c r="H853" i="4"/>
  <c r="E853" i="4"/>
  <c r="K852" i="4"/>
  <c r="J852" i="4"/>
  <c r="H852" i="4"/>
  <c r="E852" i="4"/>
  <c r="F852" i="4" s="1"/>
  <c r="K851" i="4"/>
  <c r="L851" i="4" s="1"/>
  <c r="J851" i="4"/>
  <c r="H851" i="4"/>
  <c r="E851" i="4"/>
  <c r="K850" i="4"/>
  <c r="L850" i="4" s="1"/>
  <c r="J850" i="4"/>
  <c r="H850" i="4"/>
  <c r="E850" i="4"/>
  <c r="K849" i="4"/>
  <c r="J849" i="4"/>
  <c r="H849" i="4"/>
  <c r="E849" i="4"/>
  <c r="F849" i="4" s="1"/>
  <c r="G849" i="4" s="1"/>
  <c r="K848" i="4"/>
  <c r="L848" i="4" s="1"/>
  <c r="J848" i="4"/>
  <c r="H848" i="4"/>
  <c r="E848" i="4"/>
  <c r="K847" i="4"/>
  <c r="L847" i="4" s="1"/>
  <c r="J847" i="4"/>
  <c r="H847" i="4"/>
  <c r="E847" i="4"/>
  <c r="K846" i="4"/>
  <c r="L846" i="4" s="1"/>
  <c r="J846" i="4"/>
  <c r="H846" i="4"/>
  <c r="E846" i="4"/>
  <c r="K845" i="4"/>
  <c r="L845" i="4" s="1"/>
  <c r="J845" i="4"/>
  <c r="H845" i="4"/>
  <c r="E845" i="4"/>
  <c r="F845" i="4" s="1"/>
  <c r="K844" i="4"/>
  <c r="L844" i="4" s="1"/>
  <c r="J844" i="4"/>
  <c r="H844" i="4"/>
  <c r="E844" i="4"/>
  <c r="K843" i="4"/>
  <c r="L843" i="4" s="1"/>
  <c r="J843" i="4"/>
  <c r="H843" i="4"/>
  <c r="E843" i="4"/>
  <c r="K842" i="4"/>
  <c r="L842" i="4" s="1"/>
  <c r="J842" i="4"/>
  <c r="H842" i="4"/>
  <c r="E842" i="4"/>
  <c r="F842" i="4" s="1"/>
  <c r="K841" i="4"/>
  <c r="L841" i="4" s="1"/>
  <c r="J841" i="4"/>
  <c r="H841" i="4"/>
  <c r="E841" i="4"/>
  <c r="K840" i="4"/>
  <c r="L840" i="4" s="1"/>
  <c r="J840" i="4"/>
  <c r="H840" i="4"/>
  <c r="E840" i="4"/>
  <c r="K839" i="4"/>
  <c r="J839" i="4"/>
  <c r="H839" i="4"/>
  <c r="E839" i="4"/>
  <c r="F839" i="4" s="1"/>
  <c r="K838" i="4"/>
  <c r="L838" i="4" s="1"/>
  <c r="J838" i="4"/>
  <c r="H838" i="4"/>
  <c r="E838" i="4"/>
  <c r="K837" i="4"/>
  <c r="L837" i="4" s="1"/>
  <c r="J837" i="4"/>
  <c r="H837" i="4"/>
  <c r="E837" i="4"/>
  <c r="F837" i="4" s="1"/>
  <c r="G837" i="4" s="1"/>
  <c r="K836" i="4"/>
  <c r="L836" i="4" s="1"/>
  <c r="J836" i="4"/>
  <c r="H836" i="4"/>
  <c r="E836" i="4"/>
  <c r="K835" i="4"/>
  <c r="L835" i="4" s="1"/>
  <c r="J835" i="4"/>
  <c r="H835" i="4"/>
  <c r="E835" i="4"/>
  <c r="F835" i="4" s="1"/>
  <c r="G835" i="4" s="1"/>
  <c r="K834" i="4"/>
  <c r="L834" i="4" s="1"/>
  <c r="J834" i="4"/>
  <c r="H834" i="4"/>
  <c r="E834" i="4"/>
  <c r="K833" i="4"/>
  <c r="L833" i="4" s="1"/>
  <c r="J833" i="4"/>
  <c r="H833" i="4"/>
  <c r="E833" i="4"/>
  <c r="K832" i="4"/>
  <c r="L832" i="4" s="1"/>
  <c r="J832" i="4"/>
  <c r="H832" i="4"/>
  <c r="E832" i="4"/>
  <c r="K831" i="4"/>
  <c r="L831" i="4" s="1"/>
  <c r="J831" i="4"/>
  <c r="H831" i="4"/>
  <c r="E831" i="4"/>
  <c r="F831" i="4" s="1"/>
  <c r="K830" i="4"/>
  <c r="L830" i="4" s="1"/>
  <c r="J830" i="4"/>
  <c r="H830" i="4"/>
  <c r="E830" i="4"/>
  <c r="F830" i="4" s="1"/>
  <c r="K829" i="4"/>
  <c r="L829" i="4" s="1"/>
  <c r="J829" i="4"/>
  <c r="H829" i="4"/>
  <c r="E829" i="4"/>
  <c r="F829" i="4" s="1"/>
  <c r="G829" i="4" s="1"/>
  <c r="K828" i="4"/>
  <c r="L828" i="4" s="1"/>
  <c r="J828" i="4"/>
  <c r="H828" i="4"/>
  <c r="E828" i="4"/>
  <c r="F828" i="4" s="1"/>
  <c r="K827" i="4"/>
  <c r="L827" i="4" s="1"/>
  <c r="J827" i="4"/>
  <c r="H827" i="4"/>
  <c r="E827" i="4"/>
  <c r="K826" i="4"/>
  <c r="L826" i="4" s="1"/>
  <c r="J826" i="4"/>
  <c r="H826" i="4"/>
  <c r="E826" i="4"/>
  <c r="F826" i="4" s="1"/>
  <c r="K825" i="4"/>
  <c r="L825" i="4" s="1"/>
  <c r="J825" i="4"/>
  <c r="H825" i="4"/>
  <c r="E825" i="4"/>
  <c r="K824" i="4"/>
  <c r="L824" i="4" s="1"/>
  <c r="J824" i="4"/>
  <c r="H824" i="4"/>
  <c r="E824" i="4"/>
  <c r="K823" i="4"/>
  <c r="L823" i="4" s="1"/>
  <c r="J823" i="4"/>
  <c r="H823" i="4"/>
  <c r="E823" i="4"/>
  <c r="F823" i="4" s="1"/>
  <c r="G823" i="4" s="1"/>
  <c r="K822" i="4"/>
  <c r="L822" i="4" s="1"/>
  <c r="J822" i="4"/>
  <c r="H822" i="4"/>
  <c r="E822" i="4"/>
  <c r="F822" i="4" s="1"/>
  <c r="K821" i="4"/>
  <c r="L821" i="4" s="1"/>
  <c r="J821" i="4"/>
  <c r="H821" i="4"/>
  <c r="E821" i="4"/>
  <c r="K820" i="4"/>
  <c r="L820" i="4" s="1"/>
  <c r="J820" i="4"/>
  <c r="H820" i="4"/>
  <c r="E820" i="4"/>
  <c r="K819" i="4"/>
  <c r="L819" i="4" s="1"/>
  <c r="J819" i="4"/>
  <c r="H819" i="4"/>
  <c r="E819" i="4"/>
  <c r="F819" i="4" s="1"/>
  <c r="G819" i="4" s="1"/>
  <c r="K818" i="4"/>
  <c r="L818" i="4" s="1"/>
  <c r="J818" i="4"/>
  <c r="H818" i="4"/>
  <c r="E818" i="4"/>
  <c r="F818" i="4" s="1"/>
  <c r="K817" i="4"/>
  <c r="L817" i="4" s="1"/>
  <c r="J817" i="4"/>
  <c r="H817" i="4"/>
  <c r="E817" i="4"/>
  <c r="F817" i="4" s="1"/>
  <c r="K816" i="4"/>
  <c r="L816" i="4" s="1"/>
  <c r="J816" i="4"/>
  <c r="H816" i="4"/>
  <c r="E816" i="4"/>
  <c r="F816" i="4" s="1"/>
  <c r="K815" i="4"/>
  <c r="L815" i="4" s="1"/>
  <c r="J815" i="4"/>
  <c r="H815" i="4"/>
  <c r="E815" i="4"/>
  <c r="F815" i="4" s="1"/>
  <c r="K814" i="4"/>
  <c r="L814" i="4" s="1"/>
  <c r="J814" i="4"/>
  <c r="H814" i="4"/>
  <c r="E814" i="4"/>
  <c r="K813" i="4"/>
  <c r="L813" i="4" s="1"/>
  <c r="J813" i="4"/>
  <c r="H813" i="4"/>
  <c r="E813" i="4"/>
  <c r="F813" i="4" s="1"/>
  <c r="K812" i="4"/>
  <c r="L812" i="4" s="1"/>
  <c r="J812" i="4"/>
  <c r="H812" i="4"/>
  <c r="E812" i="4"/>
  <c r="K811" i="4"/>
  <c r="J811" i="4"/>
  <c r="H811" i="4"/>
  <c r="E811" i="4"/>
  <c r="K810" i="4"/>
  <c r="L810" i="4" s="1"/>
  <c r="J810" i="4"/>
  <c r="H810" i="4"/>
  <c r="E810" i="4"/>
  <c r="F810" i="4" s="1"/>
  <c r="K809" i="4"/>
  <c r="L809" i="4" s="1"/>
  <c r="J809" i="4"/>
  <c r="H809" i="4"/>
  <c r="E809" i="4"/>
  <c r="K808" i="4"/>
  <c r="L808" i="4" s="1"/>
  <c r="J808" i="4"/>
  <c r="H808" i="4"/>
  <c r="E808" i="4"/>
  <c r="F808" i="4" s="1"/>
  <c r="G808" i="4" s="1"/>
  <c r="K807" i="4"/>
  <c r="L807" i="4" s="1"/>
  <c r="J807" i="4"/>
  <c r="H807" i="4"/>
  <c r="E807" i="4"/>
  <c r="K806" i="4"/>
  <c r="L806" i="4" s="1"/>
  <c r="J806" i="4"/>
  <c r="H806" i="4"/>
  <c r="E806" i="4"/>
  <c r="F806" i="4" s="1"/>
  <c r="G806" i="4" s="1"/>
  <c r="K805" i="4"/>
  <c r="J805" i="4"/>
  <c r="H805" i="4"/>
  <c r="E805" i="4"/>
  <c r="F805" i="4" s="1"/>
  <c r="K804" i="4"/>
  <c r="J804" i="4"/>
  <c r="H804" i="4"/>
  <c r="E804" i="4"/>
  <c r="K803" i="4"/>
  <c r="L803" i="4" s="1"/>
  <c r="J803" i="4"/>
  <c r="H803" i="4"/>
  <c r="E803" i="4"/>
  <c r="F803" i="4" s="1"/>
  <c r="G803" i="4" s="1"/>
  <c r="K802" i="4"/>
  <c r="L802" i="4" s="1"/>
  <c r="J802" i="4"/>
  <c r="H802" i="4"/>
  <c r="E802" i="4"/>
  <c r="K801" i="4"/>
  <c r="L801" i="4" s="1"/>
  <c r="J801" i="4"/>
  <c r="H801" i="4"/>
  <c r="E801" i="4"/>
  <c r="K800" i="4"/>
  <c r="L800" i="4" s="1"/>
  <c r="J800" i="4"/>
  <c r="H800" i="4"/>
  <c r="E800" i="4"/>
  <c r="K799" i="4"/>
  <c r="L799" i="4" s="1"/>
  <c r="J799" i="4"/>
  <c r="H799" i="4"/>
  <c r="E799" i="4"/>
  <c r="K798" i="4"/>
  <c r="L798" i="4" s="1"/>
  <c r="J798" i="4"/>
  <c r="H798" i="4"/>
  <c r="E798" i="4"/>
  <c r="K797" i="4"/>
  <c r="J797" i="4"/>
  <c r="H797" i="4"/>
  <c r="E797" i="4"/>
  <c r="F797" i="4" s="1"/>
  <c r="K796" i="4"/>
  <c r="L796" i="4" s="1"/>
  <c r="J796" i="4"/>
  <c r="H796" i="4"/>
  <c r="E796" i="4"/>
  <c r="K795" i="4"/>
  <c r="L795" i="4" s="1"/>
  <c r="J795" i="4"/>
  <c r="H795" i="4"/>
  <c r="E795" i="4"/>
  <c r="F795" i="4" s="1"/>
  <c r="G795" i="4" s="1"/>
  <c r="K794" i="4"/>
  <c r="J794" i="4"/>
  <c r="H794" i="4"/>
  <c r="E794" i="4"/>
  <c r="K793" i="4"/>
  <c r="L793" i="4" s="1"/>
  <c r="J793" i="4"/>
  <c r="H793" i="4"/>
  <c r="E793" i="4"/>
  <c r="F793" i="4" s="1"/>
  <c r="G793" i="4" s="1"/>
  <c r="K792" i="4"/>
  <c r="L792" i="4" s="1"/>
  <c r="J792" i="4"/>
  <c r="H792" i="4"/>
  <c r="E792" i="4"/>
  <c r="K791" i="4"/>
  <c r="L791" i="4" s="1"/>
  <c r="J791" i="4"/>
  <c r="H791" i="4"/>
  <c r="E791" i="4"/>
  <c r="F791" i="4" s="1"/>
  <c r="K790" i="4"/>
  <c r="J790" i="4"/>
  <c r="H790" i="4"/>
  <c r="E790" i="4"/>
  <c r="F790" i="4" s="1"/>
  <c r="G790" i="4" s="1"/>
  <c r="K789" i="4"/>
  <c r="L789" i="4" s="1"/>
  <c r="J789" i="4"/>
  <c r="H789" i="4"/>
  <c r="E789" i="4"/>
  <c r="F789" i="4" s="1"/>
  <c r="G789" i="4" s="1"/>
  <c r="K788" i="4"/>
  <c r="L788" i="4" s="1"/>
  <c r="J788" i="4"/>
  <c r="H788" i="4"/>
  <c r="E788" i="4"/>
  <c r="F788" i="4" s="1"/>
  <c r="G788" i="4" s="1"/>
  <c r="K787" i="4"/>
  <c r="L787" i="4" s="1"/>
  <c r="J787" i="4"/>
  <c r="H787" i="4"/>
  <c r="E787" i="4"/>
  <c r="F787" i="4" s="1"/>
  <c r="K786" i="4"/>
  <c r="L786" i="4" s="1"/>
  <c r="J786" i="4"/>
  <c r="H786" i="4"/>
  <c r="E786" i="4"/>
  <c r="K785" i="4"/>
  <c r="L785" i="4" s="1"/>
  <c r="J785" i="4"/>
  <c r="H785" i="4"/>
  <c r="E785" i="4"/>
  <c r="K784" i="4"/>
  <c r="L784" i="4" s="1"/>
  <c r="J784" i="4"/>
  <c r="H784" i="4"/>
  <c r="E784" i="4"/>
  <c r="K783" i="4"/>
  <c r="J783" i="4"/>
  <c r="H783" i="4"/>
  <c r="E783" i="4"/>
  <c r="K782" i="4"/>
  <c r="L782" i="4" s="1"/>
  <c r="J782" i="4"/>
  <c r="H782" i="4"/>
  <c r="E782" i="4"/>
  <c r="F782" i="4" s="1"/>
  <c r="K781" i="4"/>
  <c r="L781" i="4" s="1"/>
  <c r="J781" i="4"/>
  <c r="H781" i="4"/>
  <c r="E781" i="4"/>
  <c r="K780" i="4"/>
  <c r="L780" i="4" s="1"/>
  <c r="J780" i="4"/>
  <c r="H780" i="4"/>
  <c r="E780" i="4"/>
  <c r="F780" i="4" s="1"/>
  <c r="G780" i="4" s="1"/>
  <c r="K779" i="4"/>
  <c r="L779" i="4" s="1"/>
  <c r="J779" i="4"/>
  <c r="H779" i="4"/>
  <c r="E779" i="4"/>
  <c r="K778" i="4"/>
  <c r="L778" i="4" s="1"/>
  <c r="J778" i="4"/>
  <c r="H778" i="4"/>
  <c r="E778" i="4"/>
  <c r="F778" i="4" s="1"/>
  <c r="G778" i="4" s="1"/>
  <c r="K777" i="4"/>
  <c r="L777" i="4" s="1"/>
  <c r="J777" i="4"/>
  <c r="H777" i="4"/>
  <c r="E777" i="4"/>
  <c r="F777" i="4" s="1"/>
  <c r="G777" i="4" s="1"/>
  <c r="K776" i="4"/>
  <c r="L776" i="4" s="1"/>
  <c r="J776" i="4"/>
  <c r="H776" i="4"/>
  <c r="E776" i="4"/>
  <c r="F776" i="4" s="1"/>
  <c r="K775" i="4"/>
  <c r="L775" i="4" s="1"/>
  <c r="J775" i="4"/>
  <c r="H775" i="4"/>
  <c r="E775" i="4"/>
  <c r="F775" i="4" s="1"/>
  <c r="G775" i="4" s="1"/>
  <c r="K774" i="4"/>
  <c r="L774" i="4" s="1"/>
  <c r="J774" i="4"/>
  <c r="H774" i="4"/>
  <c r="E774" i="4"/>
  <c r="F774" i="4" s="1"/>
  <c r="G774" i="4" s="1"/>
  <c r="K773" i="4"/>
  <c r="L773" i="4" s="1"/>
  <c r="J773" i="4"/>
  <c r="H773" i="4"/>
  <c r="E773" i="4"/>
  <c r="K772" i="4"/>
  <c r="L772" i="4" s="1"/>
  <c r="J772" i="4"/>
  <c r="H772" i="4"/>
  <c r="E772" i="4"/>
  <c r="F772" i="4" s="1"/>
  <c r="G772" i="4" s="1"/>
  <c r="K771" i="4"/>
  <c r="L771" i="4" s="1"/>
  <c r="J771" i="4"/>
  <c r="H771" i="4"/>
  <c r="E771" i="4"/>
  <c r="K770" i="4"/>
  <c r="L770" i="4" s="1"/>
  <c r="J770" i="4"/>
  <c r="H770" i="4"/>
  <c r="E770" i="4"/>
  <c r="F770" i="4" s="1"/>
  <c r="K769" i="4"/>
  <c r="L769" i="4" s="1"/>
  <c r="J769" i="4"/>
  <c r="H769" i="4"/>
  <c r="E769" i="4"/>
  <c r="F769" i="4" s="1"/>
  <c r="K768" i="4"/>
  <c r="L768" i="4" s="1"/>
  <c r="J768" i="4"/>
  <c r="H768" i="4"/>
  <c r="E768" i="4"/>
  <c r="K767" i="4"/>
  <c r="L767" i="4" s="1"/>
  <c r="J767" i="4"/>
  <c r="H767" i="4"/>
  <c r="E767" i="4"/>
  <c r="F767" i="4" s="1"/>
  <c r="K766" i="4"/>
  <c r="L766" i="4" s="1"/>
  <c r="J766" i="4"/>
  <c r="H766" i="4"/>
  <c r="E766" i="4"/>
  <c r="K765" i="4"/>
  <c r="L765" i="4" s="1"/>
  <c r="J765" i="4"/>
  <c r="H765" i="4"/>
  <c r="E765" i="4"/>
  <c r="F765" i="4" s="1"/>
  <c r="G765" i="4" s="1"/>
  <c r="K764" i="4"/>
  <c r="L764" i="4" s="1"/>
  <c r="J764" i="4"/>
  <c r="H764" i="4"/>
  <c r="E764" i="4"/>
  <c r="F764" i="4" s="1"/>
  <c r="K763" i="4"/>
  <c r="L763" i="4" s="1"/>
  <c r="J763" i="4"/>
  <c r="H763" i="4"/>
  <c r="E763" i="4"/>
  <c r="F763" i="4" s="1"/>
  <c r="K762" i="4"/>
  <c r="J762" i="4"/>
  <c r="H762" i="4"/>
  <c r="E762" i="4"/>
  <c r="F762" i="4" s="1"/>
  <c r="G762" i="4" s="1"/>
  <c r="K761" i="4"/>
  <c r="L761" i="4" s="1"/>
  <c r="J761" i="4"/>
  <c r="H761" i="4"/>
  <c r="E761" i="4"/>
  <c r="F761" i="4" s="1"/>
  <c r="G761" i="4" s="1"/>
  <c r="K760" i="4"/>
  <c r="L760" i="4" s="1"/>
  <c r="J760" i="4"/>
  <c r="H760" i="4"/>
  <c r="E760" i="4"/>
  <c r="F760" i="4" s="1"/>
  <c r="G760" i="4" s="1"/>
  <c r="K759" i="4"/>
  <c r="L759" i="4" s="1"/>
  <c r="J759" i="4"/>
  <c r="H759" i="4"/>
  <c r="E759" i="4"/>
  <c r="F759" i="4" s="1"/>
  <c r="G759" i="4" s="1"/>
  <c r="K758" i="4"/>
  <c r="L758" i="4" s="1"/>
  <c r="J758" i="4"/>
  <c r="H758" i="4"/>
  <c r="E758" i="4"/>
  <c r="K757" i="4"/>
  <c r="L757" i="4" s="1"/>
  <c r="J757" i="4"/>
  <c r="H757" i="4"/>
  <c r="E757" i="4"/>
  <c r="F757" i="4" s="1"/>
  <c r="K756" i="4"/>
  <c r="L756" i="4" s="1"/>
  <c r="J756" i="4"/>
  <c r="H756" i="4"/>
  <c r="E756" i="4"/>
  <c r="K755" i="4"/>
  <c r="L755" i="4" s="1"/>
  <c r="J755" i="4"/>
  <c r="H755" i="4"/>
  <c r="E755" i="4"/>
  <c r="K754" i="4"/>
  <c r="L754" i="4" s="1"/>
  <c r="J754" i="4"/>
  <c r="H754" i="4"/>
  <c r="E754" i="4"/>
  <c r="K753" i="4"/>
  <c r="L753" i="4" s="1"/>
  <c r="J753" i="4"/>
  <c r="H753" i="4"/>
  <c r="E753" i="4"/>
  <c r="K752" i="4"/>
  <c r="L752" i="4" s="1"/>
  <c r="J752" i="4"/>
  <c r="H752" i="4"/>
  <c r="E752" i="4"/>
  <c r="K751" i="4"/>
  <c r="L751" i="4" s="1"/>
  <c r="J751" i="4"/>
  <c r="H751" i="4"/>
  <c r="E751" i="4"/>
  <c r="K750" i="4"/>
  <c r="L750" i="4" s="1"/>
  <c r="J750" i="4"/>
  <c r="H750" i="4"/>
  <c r="E750" i="4"/>
  <c r="F750" i="4" s="1"/>
  <c r="G750" i="4" s="1"/>
  <c r="K749" i="4"/>
  <c r="L749" i="4" s="1"/>
  <c r="J749" i="4"/>
  <c r="H749" i="4"/>
  <c r="E749" i="4"/>
  <c r="F749" i="4" s="1"/>
  <c r="K748" i="4"/>
  <c r="J748" i="4"/>
  <c r="H748" i="4"/>
  <c r="E748" i="4"/>
  <c r="F748" i="4" s="1"/>
  <c r="K747" i="4"/>
  <c r="L747" i="4" s="1"/>
  <c r="J747" i="4"/>
  <c r="H747" i="4"/>
  <c r="E747" i="4"/>
  <c r="F747" i="4" s="1"/>
  <c r="G747" i="4" s="1"/>
  <c r="K746" i="4"/>
  <c r="L746" i="4" s="1"/>
  <c r="J746" i="4"/>
  <c r="H746" i="4"/>
  <c r="E746" i="4"/>
  <c r="F746" i="4" s="1"/>
  <c r="G746" i="4" s="1"/>
  <c r="K745" i="4"/>
  <c r="L745" i="4" s="1"/>
  <c r="J745" i="4"/>
  <c r="H745" i="4"/>
  <c r="E745" i="4"/>
  <c r="F745" i="4" s="1"/>
  <c r="K744" i="4"/>
  <c r="L744" i="4" s="1"/>
  <c r="J744" i="4"/>
  <c r="H744" i="4"/>
  <c r="E744" i="4"/>
  <c r="K743" i="4"/>
  <c r="L743" i="4" s="1"/>
  <c r="J743" i="4"/>
  <c r="H743" i="4"/>
  <c r="E743" i="4"/>
  <c r="K742" i="4"/>
  <c r="L742" i="4" s="1"/>
  <c r="J742" i="4"/>
  <c r="H742" i="4"/>
  <c r="E742" i="4"/>
  <c r="K741" i="4"/>
  <c r="L741" i="4" s="1"/>
  <c r="J741" i="4"/>
  <c r="H741" i="4"/>
  <c r="E741" i="4"/>
  <c r="F741" i="4" s="1"/>
  <c r="G741" i="4" s="1"/>
  <c r="K740" i="4"/>
  <c r="L740" i="4" s="1"/>
  <c r="J740" i="4"/>
  <c r="H740" i="4"/>
  <c r="E740" i="4"/>
  <c r="K739" i="4"/>
  <c r="L739" i="4" s="1"/>
  <c r="J739" i="4"/>
  <c r="H739" i="4"/>
  <c r="E739" i="4"/>
  <c r="F739" i="4" s="1"/>
  <c r="G739" i="4" s="1"/>
  <c r="K738" i="4"/>
  <c r="J738" i="4"/>
  <c r="H738" i="4"/>
  <c r="E738" i="4"/>
  <c r="K737" i="4"/>
  <c r="L737" i="4" s="1"/>
  <c r="J737" i="4"/>
  <c r="H737" i="4"/>
  <c r="E737" i="4"/>
  <c r="F737" i="4" s="1"/>
  <c r="G737" i="4" s="1"/>
  <c r="K736" i="4"/>
  <c r="L736" i="4" s="1"/>
  <c r="J736" i="4"/>
  <c r="H736" i="4"/>
  <c r="E736" i="4"/>
  <c r="K735" i="4"/>
  <c r="L735" i="4" s="1"/>
  <c r="J735" i="4"/>
  <c r="H735" i="4"/>
  <c r="E735" i="4"/>
  <c r="F735" i="4" s="1"/>
  <c r="K734" i="4"/>
  <c r="L734" i="4" s="1"/>
  <c r="J734" i="4"/>
  <c r="H734" i="4"/>
  <c r="E734" i="4"/>
  <c r="F734" i="4" s="1"/>
  <c r="G734" i="4" s="1"/>
  <c r="K733" i="4"/>
  <c r="L733" i="4" s="1"/>
  <c r="J733" i="4"/>
  <c r="H733" i="4"/>
  <c r="E733" i="4"/>
  <c r="F733" i="4" s="1"/>
  <c r="K732" i="4"/>
  <c r="L732" i="4" s="1"/>
  <c r="J732" i="4"/>
  <c r="H732" i="4"/>
  <c r="E732" i="4"/>
  <c r="F732" i="4" s="1"/>
  <c r="G732" i="4" s="1"/>
  <c r="K731" i="4"/>
  <c r="L731" i="4" s="1"/>
  <c r="J731" i="4"/>
  <c r="H731" i="4"/>
  <c r="E731" i="4"/>
  <c r="F731" i="4" s="1"/>
  <c r="K730" i="4"/>
  <c r="L730" i="4" s="1"/>
  <c r="J730" i="4"/>
  <c r="H730" i="4"/>
  <c r="E730" i="4"/>
  <c r="F730" i="4" s="1"/>
  <c r="K729" i="4"/>
  <c r="L729" i="4" s="1"/>
  <c r="J729" i="4"/>
  <c r="H729" i="4"/>
  <c r="E729" i="4"/>
  <c r="F729" i="4" s="1"/>
  <c r="K728" i="4"/>
  <c r="L728" i="4" s="1"/>
  <c r="J728" i="4"/>
  <c r="H728" i="4"/>
  <c r="E728" i="4"/>
  <c r="F728" i="4" s="1"/>
  <c r="G728" i="4" s="1"/>
  <c r="K727" i="4"/>
  <c r="L727" i="4" s="1"/>
  <c r="J727" i="4"/>
  <c r="H727" i="4"/>
  <c r="E727" i="4"/>
  <c r="K726" i="4"/>
  <c r="L726" i="4" s="1"/>
  <c r="J726" i="4"/>
  <c r="H726" i="4"/>
  <c r="E726" i="4"/>
  <c r="F726" i="4" s="1"/>
  <c r="G726" i="4" s="1"/>
  <c r="K725" i="4"/>
  <c r="L725" i="4" s="1"/>
  <c r="J725" i="4"/>
  <c r="H725" i="4"/>
  <c r="E725" i="4"/>
  <c r="F725" i="4" s="1"/>
  <c r="K724" i="4"/>
  <c r="J724" i="4"/>
  <c r="H724" i="4"/>
  <c r="E724" i="4"/>
  <c r="F724" i="4" s="1"/>
  <c r="K723" i="4"/>
  <c r="L723" i="4" s="1"/>
  <c r="J723" i="4"/>
  <c r="H723" i="4"/>
  <c r="E723" i="4"/>
  <c r="F723" i="4" s="1"/>
  <c r="K722" i="4"/>
  <c r="L722" i="4" s="1"/>
  <c r="J722" i="4"/>
  <c r="H722" i="4"/>
  <c r="E722" i="4"/>
  <c r="F722" i="4" s="1"/>
  <c r="G722" i="4" s="1"/>
  <c r="K721" i="4"/>
  <c r="L721" i="4" s="1"/>
  <c r="J721" i="4"/>
  <c r="H721" i="4"/>
  <c r="E721" i="4"/>
  <c r="K720" i="4"/>
  <c r="L720" i="4" s="1"/>
  <c r="J720" i="4"/>
  <c r="H720" i="4"/>
  <c r="E720" i="4"/>
  <c r="F720" i="4" s="1"/>
  <c r="K719" i="4"/>
  <c r="L719" i="4" s="1"/>
  <c r="J719" i="4"/>
  <c r="H719" i="4"/>
  <c r="E719" i="4"/>
  <c r="F719" i="4" s="1"/>
  <c r="G719" i="4" s="1"/>
  <c r="K718" i="4"/>
  <c r="L718" i="4" s="1"/>
  <c r="J718" i="4"/>
  <c r="H718" i="4"/>
  <c r="E718" i="4"/>
  <c r="K717" i="4"/>
  <c r="L717" i="4" s="1"/>
  <c r="J717" i="4"/>
  <c r="H717" i="4"/>
  <c r="E717" i="4"/>
  <c r="F717" i="4" s="1"/>
  <c r="G717" i="4" s="1"/>
  <c r="K716" i="4"/>
  <c r="L716" i="4" s="1"/>
  <c r="J716" i="4"/>
  <c r="H716" i="4"/>
  <c r="E716" i="4"/>
  <c r="F716" i="4" s="1"/>
  <c r="K715" i="4"/>
  <c r="L715" i="4" s="1"/>
  <c r="J715" i="4"/>
  <c r="H715" i="4"/>
  <c r="E715" i="4"/>
  <c r="F715" i="4" s="1"/>
  <c r="K714" i="4"/>
  <c r="L714" i="4" s="1"/>
  <c r="J714" i="4"/>
  <c r="H714" i="4"/>
  <c r="E714" i="4"/>
  <c r="F714" i="4" s="1"/>
  <c r="G714" i="4" s="1"/>
  <c r="K713" i="4"/>
  <c r="L713" i="4" s="1"/>
  <c r="J713" i="4"/>
  <c r="H713" i="4"/>
  <c r="E713" i="4"/>
  <c r="F713" i="4" s="1"/>
  <c r="G713" i="4" s="1"/>
  <c r="K712" i="4"/>
  <c r="L712" i="4" s="1"/>
  <c r="J712" i="4"/>
  <c r="H712" i="4"/>
  <c r="E712" i="4"/>
  <c r="F712" i="4" s="1"/>
  <c r="G712" i="4" s="1"/>
  <c r="K711" i="4"/>
  <c r="L711" i="4" s="1"/>
  <c r="J711" i="4"/>
  <c r="H711" i="4"/>
  <c r="E711" i="4"/>
  <c r="K710" i="4"/>
  <c r="L710" i="4" s="1"/>
  <c r="J710" i="4"/>
  <c r="H710" i="4"/>
  <c r="E710" i="4"/>
  <c r="F710" i="4" s="1"/>
  <c r="G710" i="4" s="1"/>
  <c r="K709" i="4"/>
  <c r="L709" i="4" s="1"/>
  <c r="J709" i="4"/>
  <c r="H709" i="4"/>
  <c r="E709" i="4"/>
  <c r="K708" i="4"/>
  <c r="L708" i="4" s="1"/>
  <c r="J708" i="4"/>
  <c r="H708" i="4"/>
  <c r="E708" i="4"/>
  <c r="F708" i="4" s="1"/>
  <c r="G708" i="4" s="1"/>
  <c r="K707" i="4"/>
  <c r="L707" i="4" s="1"/>
  <c r="J707" i="4"/>
  <c r="H707" i="4"/>
  <c r="E707" i="4"/>
  <c r="K706" i="4"/>
  <c r="L706" i="4" s="1"/>
  <c r="J706" i="4"/>
  <c r="H706" i="4"/>
  <c r="E706" i="4"/>
  <c r="F706" i="4" s="1"/>
  <c r="K705" i="4"/>
  <c r="L705" i="4" s="1"/>
  <c r="J705" i="4"/>
  <c r="H705" i="4"/>
  <c r="E705" i="4"/>
  <c r="F705" i="4" s="1"/>
  <c r="G705" i="4" s="1"/>
  <c r="K704" i="4"/>
  <c r="L704" i="4" s="1"/>
  <c r="J704" i="4"/>
  <c r="H704" i="4"/>
  <c r="E704" i="4"/>
  <c r="F704" i="4" s="1"/>
  <c r="K703" i="4"/>
  <c r="L703" i="4" s="1"/>
  <c r="J703" i="4"/>
  <c r="H703" i="4"/>
  <c r="E703" i="4"/>
  <c r="F703" i="4" s="1"/>
  <c r="G703" i="4" s="1"/>
  <c r="K702" i="4"/>
  <c r="L702" i="4" s="1"/>
  <c r="J702" i="4"/>
  <c r="H702" i="4"/>
  <c r="E702" i="4"/>
  <c r="F702" i="4" s="1"/>
  <c r="K701" i="4"/>
  <c r="L701" i="4" s="1"/>
  <c r="J701" i="4"/>
  <c r="H701" i="4"/>
  <c r="E701" i="4"/>
  <c r="K700" i="4"/>
  <c r="L700" i="4" s="1"/>
  <c r="J700" i="4"/>
  <c r="H700" i="4"/>
  <c r="E700" i="4"/>
  <c r="F700" i="4" s="1"/>
  <c r="G700" i="4" s="1"/>
  <c r="K699" i="4"/>
  <c r="L699" i="4" s="1"/>
  <c r="J699" i="4"/>
  <c r="H699" i="4"/>
  <c r="E699" i="4"/>
  <c r="F699" i="4" s="1"/>
  <c r="G699" i="4" s="1"/>
  <c r="K698" i="4"/>
  <c r="L698" i="4" s="1"/>
  <c r="J698" i="4"/>
  <c r="H698" i="4"/>
  <c r="E698" i="4"/>
  <c r="F698" i="4" s="1"/>
  <c r="G698" i="4" s="1"/>
  <c r="K697" i="4"/>
  <c r="L697" i="4" s="1"/>
  <c r="J697" i="4"/>
  <c r="H697" i="4"/>
  <c r="E697" i="4"/>
  <c r="K696" i="4"/>
  <c r="L696" i="4" s="1"/>
  <c r="J696" i="4"/>
  <c r="H696" i="4"/>
  <c r="E696" i="4"/>
  <c r="F696" i="4" s="1"/>
  <c r="K695" i="4"/>
  <c r="L695" i="4" s="1"/>
  <c r="J695" i="4"/>
  <c r="H695" i="4"/>
  <c r="E695" i="4"/>
  <c r="K694" i="4"/>
  <c r="L694" i="4" s="1"/>
  <c r="J694" i="4"/>
  <c r="H694" i="4"/>
  <c r="E694" i="4"/>
  <c r="F694" i="4" s="1"/>
  <c r="G694" i="4" s="1"/>
  <c r="K693" i="4"/>
  <c r="L693" i="4" s="1"/>
  <c r="J693" i="4"/>
  <c r="H693" i="4"/>
  <c r="E693" i="4"/>
  <c r="K692" i="4"/>
  <c r="L692" i="4" s="1"/>
  <c r="J692" i="4"/>
  <c r="H692" i="4"/>
  <c r="E692" i="4"/>
  <c r="F692" i="4" s="1"/>
  <c r="K691" i="4"/>
  <c r="L691" i="4" s="1"/>
  <c r="J691" i="4"/>
  <c r="H691" i="4"/>
  <c r="E691" i="4"/>
  <c r="F691" i="4" s="1"/>
  <c r="G691" i="4" s="1"/>
  <c r="K690" i="4"/>
  <c r="L690" i="4" s="1"/>
  <c r="J690" i="4"/>
  <c r="H690" i="4"/>
  <c r="E690" i="4"/>
  <c r="F690" i="4" s="1"/>
  <c r="K689" i="4"/>
  <c r="L689" i="4" s="1"/>
  <c r="J689" i="4"/>
  <c r="H689" i="4"/>
  <c r="E689" i="4"/>
  <c r="F689" i="4" s="1"/>
  <c r="G689" i="4" s="1"/>
  <c r="K688" i="4"/>
  <c r="L688" i="4" s="1"/>
  <c r="J688" i="4"/>
  <c r="H688" i="4"/>
  <c r="E688" i="4"/>
  <c r="F688" i="4" s="1"/>
  <c r="K687" i="4"/>
  <c r="L687" i="4" s="1"/>
  <c r="J687" i="4"/>
  <c r="H687" i="4"/>
  <c r="E687" i="4"/>
  <c r="K686" i="4"/>
  <c r="L686" i="4" s="1"/>
  <c r="J686" i="4"/>
  <c r="H686" i="4"/>
  <c r="E686" i="4"/>
  <c r="F686" i="4" s="1"/>
  <c r="G686" i="4" s="1"/>
  <c r="K685" i="4"/>
  <c r="J685" i="4"/>
  <c r="H685" i="4"/>
  <c r="E685" i="4"/>
  <c r="F685" i="4" s="1"/>
  <c r="K684" i="4"/>
  <c r="L684" i="4" s="1"/>
  <c r="J684" i="4"/>
  <c r="H684" i="4"/>
  <c r="E684" i="4"/>
  <c r="F684" i="4" s="1"/>
  <c r="G684" i="4" s="1"/>
  <c r="K683" i="4"/>
  <c r="L683" i="4" s="1"/>
  <c r="J683" i="4"/>
  <c r="H683" i="4"/>
  <c r="E683" i="4"/>
  <c r="K682" i="4"/>
  <c r="J682" i="4"/>
  <c r="H682" i="4"/>
  <c r="E682" i="4"/>
  <c r="F682" i="4" s="1"/>
  <c r="G682" i="4" s="1"/>
  <c r="K681" i="4"/>
  <c r="L681" i="4" s="1"/>
  <c r="J681" i="4"/>
  <c r="H681" i="4"/>
  <c r="E681" i="4"/>
  <c r="K680" i="4"/>
  <c r="L680" i="4" s="1"/>
  <c r="J680" i="4"/>
  <c r="H680" i="4"/>
  <c r="E680" i="4"/>
  <c r="F680" i="4" s="1"/>
  <c r="G680" i="4" s="1"/>
  <c r="K679" i="4"/>
  <c r="L679" i="4" s="1"/>
  <c r="J679" i="4"/>
  <c r="H679" i="4"/>
  <c r="E679" i="4"/>
  <c r="K678" i="4"/>
  <c r="L678" i="4" s="1"/>
  <c r="J678" i="4"/>
  <c r="H678" i="4"/>
  <c r="E678" i="4"/>
  <c r="F678" i="4" s="1"/>
  <c r="K677" i="4"/>
  <c r="L677" i="4" s="1"/>
  <c r="J677" i="4"/>
  <c r="H677" i="4"/>
  <c r="E677" i="4"/>
  <c r="F677" i="4" s="1"/>
  <c r="G677" i="4" s="1"/>
  <c r="K676" i="4"/>
  <c r="L676" i="4" s="1"/>
  <c r="J676" i="4"/>
  <c r="H676" i="4"/>
  <c r="E676" i="4"/>
  <c r="F676" i="4" s="1"/>
  <c r="K675" i="4"/>
  <c r="L675" i="4" s="1"/>
  <c r="J675" i="4"/>
  <c r="H675" i="4"/>
  <c r="E675" i="4"/>
  <c r="K674" i="4"/>
  <c r="L674" i="4" s="1"/>
  <c r="J674" i="4"/>
  <c r="H674" i="4"/>
  <c r="E674" i="4"/>
  <c r="F674" i="4" s="1"/>
  <c r="G674" i="4" s="1"/>
  <c r="K673" i="4"/>
  <c r="L673" i="4" s="1"/>
  <c r="J673" i="4"/>
  <c r="H673" i="4"/>
  <c r="E673" i="4"/>
  <c r="K672" i="4"/>
  <c r="L672" i="4" s="1"/>
  <c r="J672" i="4"/>
  <c r="H672" i="4"/>
  <c r="E672" i="4"/>
  <c r="F672" i="4" s="1"/>
  <c r="K671" i="4"/>
  <c r="J671" i="4"/>
  <c r="H671" i="4"/>
  <c r="E671" i="4"/>
  <c r="K670" i="4"/>
  <c r="L670" i="4" s="1"/>
  <c r="J670" i="4"/>
  <c r="H670" i="4"/>
  <c r="E670" i="4"/>
  <c r="F670" i="4" s="1"/>
  <c r="G670" i="4" s="1"/>
  <c r="K669" i="4"/>
  <c r="L669" i="4" s="1"/>
  <c r="J669" i="4"/>
  <c r="H669" i="4"/>
  <c r="E669" i="4"/>
  <c r="K668" i="4"/>
  <c r="L668" i="4" s="1"/>
  <c r="J668" i="4"/>
  <c r="H668" i="4"/>
  <c r="E668" i="4"/>
  <c r="F668" i="4" s="1"/>
  <c r="G668" i="4" s="1"/>
  <c r="K667" i="4"/>
  <c r="J667" i="4"/>
  <c r="H667" i="4"/>
  <c r="E667" i="4"/>
  <c r="K666" i="4"/>
  <c r="L666" i="4" s="1"/>
  <c r="J666" i="4"/>
  <c r="H666" i="4"/>
  <c r="E666" i="4"/>
  <c r="F666" i="4" s="1"/>
  <c r="K665" i="4"/>
  <c r="L665" i="4" s="1"/>
  <c r="J665" i="4"/>
  <c r="H665" i="4"/>
  <c r="E665" i="4"/>
  <c r="K664" i="4"/>
  <c r="L664" i="4" s="1"/>
  <c r="J664" i="4"/>
  <c r="H664" i="4"/>
  <c r="E664" i="4"/>
  <c r="F664" i="4" s="1"/>
  <c r="K663" i="4"/>
  <c r="L663" i="4" s="1"/>
  <c r="J663" i="4"/>
  <c r="H663" i="4"/>
  <c r="E663" i="4"/>
  <c r="K662" i="4"/>
  <c r="L662" i="4" s="1"/>
  <c r="J662" i="4"/>
  <c r="H662" i="4"/>
  <c r="E662" i="4"/>
  <c r="F662" i="4" s="1"/>
  <c r="K661" i="4"/>
  <c r="L661" i="4" s="1"/>
  <c r="J661" i="4"/>
  <c r="H661" i="4"/>
  <c r="E661" i="4"/>
  <c r="K660" i="4"/>
  <c r="L660" i="4" s="1"/>
  <c r="J660" i="4"/>
  <c r="H660" i="4"/>
  <c r="E660" i="4"/>
  <c r="K659" i="4"/>
  <c r="L659" i="4" s="1"/>
  <c r="J659" i="4"/>
  <c r="H659" i="4"/>
  <c r="E659" i="4"/>
  <c r="K658" i="4"/>
  <c r="L658" i="4" s="1"/>
  <c r="J658" i="4"/>
  <c r="H658" i="4"/>
  <c r="E658" i="4"/>
  <c r="F658" i="4" s="1"/>
  <c r="K657" i="4"/>
  <c r="L657" i="4" s="1"/>
  <c r="J657" i="4"/>
  <c r="H657" i="4"/>
  <c r="E657" i="4"/>
  <c r="F657" i="4" s="1"/>
  <c r="G657" i="4" s="1"/>
  <c r="K656" i="4"/>
  <c r="L656" i="4" s="1"/>
  <c r="J656" i="4"/>
  <c r="H656" i="4"/>
  <c r="E656" i="4"/>
  <c r="K655" i="4"/>
  <c r="L655" i="4" s="1"/>
  <c r="J655" i="4"/>
  <c r="H655" i="4"/>
  <c r="E655" i="4"/>
  <c r="K654" i="4"/>
  <c r="L654" i="4" s="1"/>
  <c r="J654" i="4"/>
  <c r="H654" i="4"/>
  <c r="E654" i="4"/>
  <c r="F654" i="4" s="1"/>
  <c r="K653" i="4"/>
  <c r="J653" i="4"/>
  <c r="H653" i="4"/>
  <c r="E653" i="4"/>
  <c r="F653" i="4" s="1"/>
  <c r="G653" i="4" s="1"/>
  <c r="K652" i="4"/>
  <c r="L652" i="4" s="1"/>
  <c r="J652" i="4"/>
  <c r="H652" i="4"/>
  <c r="E652" i="4"/>
  <c r="F652" i="4" s="1"/>
  <c r="K651" i="4"/>
  <c r="L651" i="4" s="1"/>
  <c r="J651" i="4"/>
  <c r="H651" i="4"/>
  <c r="E651" i="4"/>
  <c r="F651" i="4" s="1"/>
  <c r="G651" i="4" s="1"/>
  <c r="K650" i="4"/>
  <c r="J650" i="4"/>
  <c r="H650" i="4"/>
  <c r="E650" i="4"/>
  <c r="K649" i="4"/>
  <c r="L649" i="4" s="1"/>
  <c r="J649" i="4"/>
  <c r="H649" i="4"/>
  <c r="E649" i="4"/>
  <c r="F649" i="4" s="1"/>
  <c r="G649" i="4" s="1"/>
  <c r="K648" i="4"/>
  <c r="L648" i="4" s="1"/>
  <c r="J648" i="4"/>
  <c r="H648" i="4"/>
  <c r="E648" i="4"/>
  <c r="F648" i="4" s="1"/>
  <c r="K647" i="4"/>
  <c r="L647" i="4" s="1"/>
  <c r="J647" i="4"/>
  <c r="H647" i="4"/>
  <c r="E647" i="4"/>
  <c r="F647" i="4" s="1"/>
  <c r="G647" i="4" s="1"/>
  <c r="K646" i="4"/>
  <c r="L646" i="4" s="1"/>
  <c r="J646" i="4"/>
  <c r="H646" i="4"/>
  <c r="E646" i="4"/>
  <c r="F646" i="4" s="1"/>
  <c r="K645" i="4"/>
  <c r="L645" i="4" s="1"/>
  <c r="J645" i="4"/>
  <c r="H645" i="4"/>
  <c r="E645" i="4"/>
  <c r="F645" i="4" s="1"/>
  <c r="G645" i="4" s="1"/>
  <c r="K644" i="4"/>
  <c r="J644" i="4"/>
  <c r="H644" i="4"/>
  <c r="E644" i="4"/>
  <c r="F644" i="4" s="1"/>
  <c r="K643" i="4"/>
  <c r="L643" i="4" s="1"/>
  <c r="J643" i="4"/>
  <c r="H643" i="4"/>
  <c r="E643" i="4"/>
  <c r="F643" i="4" s="1"/>
  <c r="K642" i="4"/>
  <c r="L642" i="4" s="1"/>
  <c r="J642" i="4"/>
  <c r="H642" i="4"/>
  <c r="E642" i="4"/>
  <c r="F642" i="4" s="1"/>
  <c r="K641" i="4"/>
  <c r="L641" i="4" s="1"/>
  <c r="J641" i="4"/>
  <c r="H641" i="4"/>
  <c r="E641" i="4"/>
  <c r="K640" i="4"/>
  <c r="L640" i="4" s="1"/>
  <c r="J640" i="4"/>
  <c r="H640" i="4"/>
  <c r="E640" i="4"/>
  <c r="F640" i="4" s="1"/>
  <c r="K639" i="4"/>
  <c r="L639" i="4" s="1"/>
  <c r="J639" i="4"/>
  <c r="H639" i="4"/>
  <c r="E639" i="4"/>
  <c r="F639" i="4" s="1"/>
  <c r="K638" i="4"/>
  <c r="L638" i="4" s="1"/>
  <c r="J638" i="4"/>
  <c r="H638" i="4"/>
  <c r="E638" i="4"/>
  <c r="F638" i="4" s="1"/>
  <c r="K637" i="4"/>
  <c r="L637" i="4" s="1"/>
  <c r="J637" i="4"/>
  <c r="H637" i="4"/>
  <c r="E637" i="4"/>
  <c r="F637" i="4" s="1"/>
  <c r="K636" i="4"/>
  <c r="L636" i="4" s="1"/>
  <c r="J636" i="4"/>
  <c r="H636" i="4"/>
  <c r="E636" i="4"/>
  <c r="F636" i="4" s="1"/>
  <c r="K635" i="4"/>
  <c r="L635" i="4" s="1"/>
  <c r="J635" i="4"/>
  <c r="H635" i="4"/>
  <c r="E635" i="4"/>
  <c r="K634" i="4"/>
  <c r="L634" i="4" s="1"/>
  <c r="J634" i="4"/>
  <c r="H634" i="4"/>
  <c r="E634" i="4"/>
  <c r="F634" i="4" s="1"/>
  <c r="K633" i="4"/>
  <c r="L633" i="4" s="1"/>
  <c r="J633" i="4"/>
  <c r="H633" i="4"/>
  <c r="E633" i="4"/>
  <c r="F633" i="4" s="1"/>
  <c r="K632" i="4"/>
  <c r="L632" i="4" s="1"/>
  <c r="J632" i="4"/>
  <c r="H632" i="4"/>
  <c r="E632" i="4"/>
  <c r="K631" i="4"/>
  <c r="L631" i="4" s="1"/>
  <c r="J631" i="4"/>
  <c r="H631" i="4"/>
  <c r="E631" i="4"/>
  <c r="K630" i="4"/>
  <c r="L630" i="4" s="1"/>
  <c r="J630" i="4"/>
  <c r="H630" i="4"/>
  <c r="E630" i="4"/>
  <c r="F630" i="4" s="1"/>
  <c r="K629" i="4"/>
  <c r="L629" i="4" s="1"/>
  <c r="J629" i="4"/>
  <c r="H629" i="4"/>
  <c r="E629" i="4"/>
  <c r="F629" i="4" s="1"/>
  <c r="G629" i="4" s="1"/>
  <c r="K628" i="4"/>
  <c r="L628" i="4" s="1"/>
  <c r="J628" i="4"/>
  <c r="H628" i="4"/>
  <c r="E628" i="4"/>
  <c r="K627" i="4"/>
  <c r="L627" i="4" s="1"/>
  <c r="J627" i="4"/>
  <c r="H627" i="4"/>
  <c r="E627" i="4"/>
  <c r="K626" i="4"/>
  <c r="L626" i="4" s="1"/>
  <c r="J626" i="4"/>
  <c r="H626" i="4"/>
  <c r="E626" i="4"/>
  <c r="F626" i="4" s="1"/>
  <c r="K625" i="4"/>
  <c r="L625" i="4" s="1"/>
  <c r="J625" i="4"/>
  <c r="H625" i="4"/>
  <c r="E625" i="4"/>
  <c r="F625" i="4" s="1"/>
  <c r="G625" i="4" s="1"/>
  <c r="K624" i="4"/>
  <c r="L624" i="4" s="1"/>
  <c r="J624" i="4"/>
  <c r="H624" i="4"/>
  <c r="E624" i="4"/>
  <c r="F624" i="4" s="1"/>
  <c r="K623" i="4"/>
  <c r="L623" i="4" s="1"/>
  <c r="J623" i="4"/>
  <c r="H623" i="4"/>
  <c r="E623" i="4"/>
  <c r="F623" i="4" s="1"/>
  <c r="G623" i="4" s="1"/>
  <c r="K622" i="4"/>
  <c r="L622" i="4" s="1"/>
  <c r="J622" i="4"/>
  <c r="H622" i="4"/>
  <c r="E622" i="4"/>
  <c r="K621" i="4"/>
  <c r="L621" i="4" s="1"/>
  <c r="J621" i="4"/>
  <c r="H621" i="4"/>
  <c r="E621" i="4"/>
  <c r="F621" i="4" s="1"/>
  <c r="G621" i="4" s="1"/>
  <c r="K620" i="4"/>
  <c r="L620" i="4" s="1"/>
  <c r="J620" i="4"/>
  <c r="H620" i="4"/>
  <c r="E620" i="4"/>
  <c r="F620" i="4" s="1"/>
  <c r="K619" i="4"/>
  <c r="L619" i="4" s="1"/>
  <c r="J619" i="4"/>
  <c r="H619" i="4"/>
  <c r="E619" i="4"/>
  <c r="F619" i="4" s="1"/>
  <c r="G619" i="4" s="1"/>
  <c r="K618" i="4"/>
  <c r="L618" i="4" s="1"/>
  <c r="J618" i="4"/>
  <c r="H618" i="4"/>
  <c r="E618" i="4"/>
  <c r="F618" i="4" s="1"/>
  <c r="K617" i="4"/>
  <c r="L617" i="4" s="1"/>
  <c r="J617" i="4"/>
  <c r="H617" i="4"/>
  <c r="E617" i="4"/>
  <c r="F617" i="4" s="1"/>
  <c r="G617" i="4" s="1"/>
  <c r="K616" i="4"/>
  <c r="J616" i="4"/>
  <c r="H616" i="4"/>
  <c r="E616" i="4"/>
  <c r="F616" i="4" s="1"/>
  <c r="K615" i="4"/>
  <c r="J615" i="4"/>
  <c r="H615" i="4"/>
  <c r="E615" i="4"/>
  <c r="F615" i="4" s="1"/>
  <c r="K614" i="4"/>
  <c r="L614" i="4" s="1"/>
  <c r="J614" i="4"/>
  <c r="H614" i="4"/>
  <c r="E614" i="4"/>
  <c r="F614" i="4" s="1"/>
  <c r="K613" i="4"/>
  <c r="L613" i="4" s="1"/>
  <c r="J613" i="4"/>
  <c r="H613" i="4"/>
  <c r="E613" i="4"/>
  <c r="K612" i="4"/>
  <c r="L612" i="4" s="1"/>
  <c r="J612" i="4"/>
  <c r="H612" i="4"/>
  <c r="E612" i="4"/>
  <c r="F612" i="4" s="1"/>
  <c r="K611" i="4"/>
  <c r="L611" i="4" s="1"/>
  <c r="J611" i="4"/>
  <c r="H611" i="4"/>
  <c r="E611" i="4"/>
  <c r="F611" i="4" s="1"/>
  <c r="K610" i="4"/>
  <c r="L610" i="4" s="1"/>
  <c r="J610" i="4"/>
  <c r="H610" i="4"/>
  <c r="E610" i="4"/>
  <c r="F610" i="4" s="1"/>
  <c r="K609" i="4"/>
  <c r="J609" i="4"/>
  <c r="H609" i="4"/>
  <c r="E609" i="4"/>
  <c r="F609" i="4" s="1"/>
  <c r="K608" i="4"/>
  <c r="J608" i="4"/>
  <c r="H608" i="4"/>
  <c r="E608" i="4"/>
  <c r="F608" i="4" s="1"/>
  <c r="K607" i="4"/>
  <c r="L607" i="4" s="1"/>
  <c r="J607" i="4"/>
  <c r="H607" i="4"/>
  <c r="E607" i="4"/>
  <c r="K606" i="4"/>
  <c r="L606" i="4" s="1"/>
  <c r="J606" i="4"/>
  <c r="H606" i="4"/>
  <c r="E606" i="4"/>
  <c r="F606" i="4" s="1"/>
  <c r="K605" i="4"/>
  <c r="L605" i="4" s="1"/>
  <c r="J605" i="4"/>
  <c r="H605" i="4"/>
  <c r="E605" i="4"/>
  <c r="K604" i="4"/>
  <c r="L604" i="4" s="1"/>
  <c r="J604" i="4"/>
  <c r="H604" i="4"/>
  <c r="E604" i="4"/>
  <c r="F604" i="4" s="1"/>
  <c r="K603" i="4"/>
  <c r="L603" i="4" s="1"/>
  <c r="J603" i="4"/>
  <c r="H603" i="4"/>
  <c r="E603" i="4"/>
  <c r="K602" i="4"/>
  <c r="L602" i="4" s="1"/>
  <c r="J602" i="4"/>
  <c r="H602" i="4"/>
  <c r="E602" i="4"/>
  <c r="F602" i="4" s="1"/>
  <c r="K601" i="4"/>
  <c r="L601" i="4" s="1"/>
  <c r="J601" i="4"/>
  <c r="H601" i="4"/>
  <c r="E601" i="4"/>
  <c r="F601" i="4" s="1"/>
  <c r="G601" i="4" s="1"/>
  <c r="K600" i="4"/>
  <c r="L600" i="4" s="1"/>
  <c r="J600" i="4"/>
  <c r="H600" i="4"/>
  <c r="E600" i="4"/>
  <c r="K599" i="4"/>
  <c r="L599" i="4" s="1"/>
  <c r="J599" i="4"/>
  <c r="H599" i="4"/>
  <c r="E599" i="4"/>
  <c r="K598" i="4"/>
  <c r="L598" i="4" s="1"/>
  <c r="J598" i="4"/>
  <c r="H598" i="4"/>
  <c r="E598" i="4"/>
  <c r="F598" i="4" s="1"/>
  <c r="G598" i="4" s="1"/>
  <c r="K597" i="4"/>
  <c r="L597" i="4" s="1"/>
  <c r="J597" i="4"/>
  <c r="H597" i="4"/>
  <c r="E597" i="4"/>
  <c r="F597" i="4" s="1"/>
  <c r="G597" i="4" s="1"/>
  <c r="K596" i="4"/>
  <c r="L596" i="4" s="1"/>
  <c r="J596" i="4"/>
  <c r="H596" i="4"/>
  <c r="E596" i="4"/>
  <c r="F596" i="4" s="1"/>
  <c r="K595" i="4"/>
  <c r="J595" i="4"/>
  <c r="H595" i="4"/>
  <c r="E595" i="4"/>
  <c r="F595" i="4" s="1"/>
  <c r="K594" i="4"/>
  <c r="L594" i="4" s="1"/>
  <c r="J594" i="4"/>
  <c r="H594" i="4"/>
  <c r="E594" i="4"/>
  <c r="K593" i="4"/>
  <c r="L593" i="4" s="1"/>
  <c r="J593" i="4"/>
  <c r="H593" i="4"/>
  <c r="E593" i="4"/>
  <c r="K592" i="4"/>
  <c r="L592" i="4" s="1"/>
  <c r="J592" i="4"/>
  <c r="H592" i="4"/>
  <c r="E592" i="4"/>
  <c r="F592" i="4" s="1"/>
  <c r="K591" i="4"/>
  <c r="L591" i="4" s="1"/>
  <c r="J591" i="4"/>
  <c r="H591" i="4"/>
  <c r="E591" i="4"/>
  <c r="K590" i="4"/>
  <c r="L590" i="4" s="1"/>
  <c r="J590" i="4"/>
  <c r="H590" i="4"/>
  <c r="E590" i="4"/>
  <c r="F590" i="4" s="1"/>
  <c r="K589" i="4"/>
  <c r="L589" i="4" s="1"/>
  <c r="J589" i="4"/>
  <c r="H589" i="4"/>
  <c r="E589" i="4"/>
  <c r="F589" i="4" s="1"/>
  <c r="K588" i="4"/>
  <c r="L588" i="4" s="1"/>
  <c r="J588" i="4"/>
  <c r="H588" i="4"/>
  <c r="E588" i="4"/>
  <c r="F588" i="4" s="1"/>
  <c r="G588" i="4" s="1"/>
  <c r="K587" i="4"/>
  <c r="J587" i="4"/>
  <c r="H587" i="4"/>
  <c r="E587" i="4"/>
  <c r="K586" i="4"/>
  <c r="L586" i="4" s="1"/>
  <c r="J586" i="4"/>
  <c r="H586" i="4"/>
  <c r="E586" i="4"/>
  <c r="F586" i="4" s="1"/>
  <c r="K585" i="4"/>
  <c r="L585" i="4" s="1"/>
  <c r="J585" i="4"/>
  <c r="H585" i="4"/>
  <c r="E585" i="4"/>
  <c r="K584" i="4"/>
  <c r="L584" i="4" s="1"/>
  <c r="J584" i="4"/>
  <c r="H584" i="4"/>
  <c r="E584" i="4"/>
  <c r="F584" i="4" s="1"/>
  <c r="K583" i="4"/>
  <c r="L583" i="4" s="1"/>
  <c r="J583" i="4"/>
  <c r="H583" i="4"/>
  <c r="E583" i="4"/>
  <c r="K582" i="4"/>
  <c r="L582" i="4" s="1"/>
  <c r="J582" i="4"/>
  <c r="H582" i="4"/>
  <c r="E582" i="4"/>
  <c r="F582" i="4" s="1"/>
  <c r="K581" i="4"/>
  <c r="L581" i="4" s="1"/>
  <c r="J581" i="4"/>
  <c r="H581" i="4"/>
  <c r="E581" i="4"/>
  <c r="F581" i="4" s="1"/>
  <c r="K580" i="4"/>
  <c r="L580" i="4" s="1"/>
  <c r="J580" i="4"/>
  <c r="H580" i="4"/>
  <c r="E580" i="4"/>
  <c r="F580" i="4" s="1"/>
  <c r="K579" i="4"/>
  <c r="L579" i="4" s="1"/>
  <c r="J579" i="4"/>
  <c r="H579" i="4"/>
  <c r="E579" i="4"/>
  <c r="K578" i="4"/>
  <c r="L578" i="4" s="1"/>
  <c r="J578" i="4"/>
  <c r="H578" i="4"/>
  <c r="E578" i="4"/>
  <c r="F578" i="4" s="1"/>
  <c r="K577" i="4"/>
  <c r="L577" i="4" s="1"/>
  <c r="J577" i="4"/>
  <c r="H577" i="4"/>
  <c r="E577" i="4"/>
  <c r="F577" i="4" s="1"/>
  <c r="K576" i="4"/>
  <c r="L576" i="4" s="1"/>
  <c r="J576" i="4"/>
  <c r="H576" i="4"/>
  <c r="E576" i="4"/>
  <c r="F576" i="4" s="1"/>
  <c r="K575" i="4"/>
  <c r="L575" i="4" s="1"/>
  <c r="J575" i="4"/>
  <c r="H575" i="4"/>
  <c r="E575" i="4"/>
  <c r="K574" i="4"/>
  <c r="L574" i="4" s="1"/>
  <c r="J574" i="4"/>
  <c r="H574" i="4"/>
  <c r="E574" i="4"/>
  <c r="F574" i="4" s="1"/>
  <c r="K573" i="4"/>
  <c r="L573" i="4" s="1"/>
  <c r="J573" i="4"/>
  <c r="H573" i="4"/>
  <c r="E573" i="4"/>
  <c r="F573" i="4" s="1"/>
  <c r="G573" i="4" s="1"/>
  <c r="K572" i="4"/>
  <c r="L572" i="4" s="1"/>
  <c r="J572" i="4"/>
  <c r="H572" i="4"/>
  <c r="E572" i="4"/>
  <c r="K571" i="4"/>
  <c r="L571" i="4" s="1"/>
  <c r="J571" i="4"/>
  <c r="H571" i="4"/>
  <c r="E571" i="4"/>
  <c r="K570" i="4"/>
  <c r="L570" i="4" s="1"/>
  <c r="J570" i="4"/>
  <c r="H570" i="4"/>
  <c r="E570" i="4"/>
  <c r="F570" i="4" s="1"/>
  <c r="K569" i="4"/>
  <c r="L569" i="4" s="1"/>
  <c r="J569" i="4"/>
  <c r="H569" i="4"/>
  <c r="E569" i="4"/>
  <c r="F569" i="4" s="1"/>
  <c r="G569" i="4" s="1"/>
  <c r="K568" i="4"/>
  <c r="L568" i="4" s="1"/>
  <c r="J568" i="4"/>
  <c r="H568" i="4"/>
  <c r="E568" i="4"/>
  <c r="F568" i="4" s="1"/>
  <c r="K567" i="4"/>
  <c r="L567" i="4" s="1"/>
  <c r="J567" i="4"/>
  <c r="H567" i="4"/>
  <c r="E567" i="4"/>
  <c r="F567" i="4" s="1"/>
  <c r="G567" i="4" s="1"/>
  <c r="K566" i="4"/>
  <c r="L566" i="4" s="1"/>
  <c r="J566" i="4"/>
  <c r="H566" i="4"/>
  <c r="E566" i="4"/>
  <c r="K565" i="4"/>
  <c r="L565" i="4" s="1"/>
  <c r="J565" i="4"/>
  <c r="H565" i="4"/>
  <c r="E565" i="4"/>
  <c r="K564" i="4"/>
  <c r="L564" i="4" s="1"/>
  <c r="J564" i="4"/>
  <c r="H564" i="4"/>
  <c r="E564" i="4"/>
  <c r="F564" i="4" s="1"/>
  <c r="K563" i="4"/>
  <c r="L563" i="4" s="1"/>
  <c r="J563" i="4"/>
  <c r="H563" i="4"/>
  <c r="E563" i="4"/>
  <c r="F563" i="4" s="1"/>
  <c r="G563" i="4" s="1"/>
  <c r="K562" i="4"/>
  <c r="L562" i="4" s="1"/>
  <c r="J562" i="4"/>
  <c r="H562" i="4"/>
  <c r="E562" i="4"/>
  <c r="F562" i="4" s="1"/>
  <c r="K561" i="4"/>
  <c r="L561" i="4" s="1"/>
  <c r="J561" i="4"/>
  <c r="H561" i="4"/>
  <c r="E561" i="4"/>
  <c r="F561" i="4" s="1"/>
  <c r="G561" i="4" s="1"/>
  <c r="K560" i="4"/>
  <c r="L560" i="4" s="1"/>
  <c r="J560" i="4"/>
  <c r="H560" i="4"/>
  <c r="E560" i="4"/>
  <c r="K559" i="4"/>
  <c r="L559" i="4" s="1"/>
  <c r="J559" i="4"/>
  <c r="H559" i="4"/>
  <c r="E559" i="4"/>
  <c r="F559" i="4" s="1"/>
  <c r="K558" i="4"/>
  <c r="L558" i="4" s="1"/>
  <c r="J558" i="4"/>
  <c r="H558" i="4"/>
  <c r="E558" i="4"/>
  <c r="F558" i="4" s="1"/>
  <c r="K557" i="4"/>
  <c r="L557" i="4" s="1"/>
  <c r="J557" i="4"/>
  <c r="H557" i="4"/>
  <c r="E557" i="4"/>
  <c r="K556" i="4"/>
  <c r="L556" i="4" s="1"/>
  <c r="J556" i="4"/>
  <c r="H556" i="4"/>
  <c r="E556" i="4"/>
  <c r="F556" i="4" s="1"/>
  <c r="K555" i="4"/>
  <c r="L555" i="4" s="1"/>
  <c r="J555" i="4"/>
  <c r="H555" i="4"/>
  <c r="E555" i="4"/>
  <c r="F555" i="4" s="1"/>
  <c r="K554" i="4"/>
  <c r="L554" i="4" s="1"/>
  <c r="J554" i="4"/>
  <c r="H554" i="4"/>
  <c r="E554" i="4"/>
  <c r="F554" i="4" s="1"/>
  <c r="K553" i="4"/>
  <c r="L553" i="4" s="1"/>
  <c r="J553" i="4"/>
  <c r="H553" i="4"/>
  <c r="E553" i="4"/>
  <c r="K552" i="4"/>
  <c r="L552" i="4" s="1"/>
  <c r="J552" i="4"/>
  <c r="H552" i="4"/>
  <c r="E552" i="4"/>
  <c r="F552" i="4" s="1"/>
  <c r="K551" i="4"/>
  <c r="L551" i="4" s="1"/>
  <c r="J551" i="4"/>
  <c r="H551" i="4"/>
  <c r="E551" i="4"/>
  <c r="K550" i="4"/>
  <c r="L550" i="4" s="1"/>
  <c r="J550" i="4"/>
  <c r="H550" i="4"/>
  <c r="E550" i="4"/>
  <c r="F550" i="4" s="1"/>
  <c r="K549" i="4"/>
  <c r="L549" i="4" s="1"/>
  <c r="J549" i="4"/>
  <c r="H549" i="4"/>
  <c r="E549" i="4"/>
  <c r="K548" i="4"/>
  <c r="L548" i="4" s="1"/>
  <c r="J548" i="4"/>
  <c r="H548" i="4"/>
  <c r="E548" i="4"/>
  <c r="F548" i="4" s="1"/>
  <c r="K547" i="4"/>
  <c r="L547" i="4" s="1"/>
  <c r="J547" i="4"/>
  <c r="H547" i="4"/>
  <c r="E547" i="4"/>
  <c r="K546" i="4"/>
  <c r="L546" i="4" s="1"/>
  <c r="J546" i="4"/>
  <c r="H546" i="4"/>
  <c r="E546" i="4"/>
  <c r="F546" i="4" s="1"/>
  <c r="K545" i="4"/>
  <c r="L545" i="4" s="1"/>
  <c r="J545" i="4"/>
  <c r="H545" i="4"/>
  <c r="E545" i="4"/>
  <c r="F545" i="4" s="1"/>
  <c r="G545" i="4" s="1"/>
  <c r="K544" i="4"/>
  <c r="L544" i="4" s="1"/>
  <c r="J544" i="4"/>
  <c r="H544" i="4"/>
  <c r="E544" i="4"/>
  <c r="K543" i="4"/>
  <c r="L543" i="4" s="1"/>
  <c r="J543" i="4"/>
  <c r="H543" i="4"/>
  <c r="E543" i="4"/>
  <c r="K542" i="4"/>
  <c r="J542" i="4"/>
  <c r="H542" i="4"/>
  <c r="E542" i="4"/>
  <c r="F542" i="4" s="1"/>
  <c r="G542" i="4" s="1"/>
  <c r="K541" i="4"/>
  <c r="J541" i="4"/>
  <c r="H541" i="4"/>
  <c r="E541" i="4"/>
  <c r="F541" i="4" s="1"/>
  <c r="G541" i="4" s="1"/>
  <c r="K540" i="4"/>
  <c r="L540" i="4" s="1"/>
  <c r="J540" i="4"/>
  <c r="H540" i="4"/>
  <c r="E540" i="4"/>
  <c r="F540" i="4" s="1"/>
  <c r="K539" i="4"/>
  <c r="L539" i="4" s="1"/>
  <c r="J539" i="4"/>
  <c r="H539" i="4"/>
  <c r="E539" i="4"/>
  <c r="F539" i="4" s="1"/>
  <c r="G539" i="4" s="1"/>
  <c r="K538" i="4"/>
  <c r="L538" i="4" s="1"/>
  <c r="J538" i="4"/>
  <c r="H538" i="4"/>
  <c r="E538" i="4"/>
  <c r="K537" i="4"/>
  <c r="L537" i="4" s="1"/>
  <c r="J537" i="4"/>
  <c r="H537" i="4"/>
  <c r="E537" i="4"/>
  <c r="F537" i="4" s="1"/>
  <c r="G537" i="4" s="1"/>
  <c r="K536" i="4"/>
  <c r="L536" i="4" s="1"/>
  <c r="J536" i="4"/>
  <c r="H536" i="4"/>
  <c r="E536" i="4"/>
  <c r="F536" i="4" s="1"/>
  <c r="K535" i="4"/>
  <c r="L535" i="4" s="1"/>
  <c r="J535" i="4"/>
  <c r="H535" i="4"/>
  <c r="E535" i="4"/>
  <c r="F535" i="4" s="1"/>
  <c r="K534" i="4"/>
  <c r="L534" i="4" s="1"/>
  <c r="J534" i="4"/>
  <c r="H534" i="4"/>
  <c r="E534" i="4"/>
  <c r="K533" i="4"/>
  <c r="L533" i="4" s="1"/>
  <c r="J533" i="4"/>
  <c r="H533" i="4"/>
  <c r="E533" i="4"/>
  <c r="F533" i="4" s="1"/>
  <c r="K532" i="4"/>
  <c r="J532" i="4"/>
  <c r="H532" i="4"/>
  <c r="E532" i="4"/>
  <c r="K531" i="4"/>
  <c r="L531" i="4" s="1"/>
  <c r="J531" i="4"/>
  <c r="H531" i="4"/>
  <c r="E531" i="4"/>
  <c r="F531" i="4" s="1"/>
  <c r="K530" i="4"/>
  <c r="L530" i="4" s="1"/>
  <c r="J530" i="4"/>
  <c r="H530" i="4"/>
  <c r="E530" i="4"/>
  <c r="F530" i="4" s="1"/>
  <c r="K529" i="4"/>
  <c r="L529" i="4" s="1"/>
  <c r="J529" i="4"/>
  <c r="H529" i="4"/>
  <c r="E529" i="4"/>
  <c r="K528" i="4"/>
  <c r="L528" i="4" s="1"/>
  <c r="J528" i="4"/>
  <c r="H528" i="4"/>
  <c r="E528" i="4"/>
  <c r="F528" i="4" s="1"/>
  <c r="K527" i="4"/>
  <c r="L527" i="4" s="1"/>
  <c r="J527" i="4"/>
  <c r="H527" i="4"/>
  <c r="E527" i="4"/>
  <c r="F527" i="4" s="1"/>
  <c r="G527" i="4" s="1"/>
  <c r="K526" i="4"/>
  <c r="L526" i="4" s="1"/>
  <c r="J526" i="4"/>
  <c r="H526" i="4"/>
  <c r="E526" i="4"/>
  <c r="K525" i="4"/>
  <c r="L525" i="4" s="1"/>
  <c r="J525" i="4"/>
  <c r="H525" i="4"/>
  <c r="E525" i="4"/>
  <c r="F525" i="4" s="1"/>
  <c r="K524" i="4"/>
  <c r="L524" i="4" s="1"/>
  <c r="J524" i="4"/>
  <c r="H524" i="4"/>
  <c r="E524" i="4"/>
  <c r="F524" i="4" s="1"/>
  <c r="K523" i="4"/>
  <c r="L523" i="4" s="1"/>
  <c r="J523" i="4"/>
  <c r="H523" i="4"/>
  <c r="E523" i="4"/>
  <c r="F523" i="4" s="1"/>
  <c r="K522" i="4"/>
  <c r="L522" i="4" s="1"/>
  <c r="J522" i="4"/>
  <c r="H522" i="4"/>
  <c r="E522" i="4"/>
  <c r="F522" i="4" s="1"/>
  <c r="K521" i="4"/>
  <c r="L521" i="4" s="1"/>
  <c r="J521" i="4"/>
  <c r="H521" i="4"/>
  <c r="E521" i="4"/>
  <c r="K520" i="4"/>
  <c r="L520" i="4" s="1"/>
  <c r="J520" i="4"/>
  <c r="H520" i="4"/>
  <c r="E520" i="4"/>
  <c r="F520" i="4" s="1"/>
  <c r="K519" i="4"/>
  <c r="L519" i="4" s="1"/>
  <c r="J519" i="4"/>
  <c r="H519" i="4"/>
  <c r="E519" i="4"/>
  <c r="K518" i="4"/>
  <c r="L518" i="4" s="1"/>
  <c r="J518" i="4"/>
  <c r="H518" i="4"/>
  <c r="E518" i="4"/>
  <c r="F518" i="4" s="1"/>
  <c r="K517" i="4"/>
  <c r="L517" i="4" s="1"/>
  <c r="J517" i="4"/>
  <c r="H517" i="4"/>
  <c r="E517" i="4"/>
  <c r="F517" i="4" s="1"/>
  <c r="G517" i="4" s="1"/>
  <c r="K516" i="4"/>
  <c r="L516" i="4" s="1"/>
  <c r="J516" i="4"/>
  <c r="H516" i="4"/>
  <c r="E516" i="4"/>
  <c r="F516" i="4" s="1"/>
  <c r="K515" i="4"/>
  <c r="L515" i="4" s="1"/>
  <c r="J515" i="4"/>
  <c r="H515" i="4"/>
  <c r="E515" i="4"/>
  <c r="K514" i="4"/>
  <c r="L514" i="4" s="1"/>
  <c r="J514" i="4"/>
  <c r="H514" i="4"/>
  <c r="E514" i="4"/>
  <c r="F514" i="4" s="1"/>
  <c r="K513" i="4"/>
  <c r="L513" i="4" s="1"/>
  <c r="J513" i="4"/>
  <c r="H513" i="4"/>
  <c r="E513" i="4"/>
  <c r="F513" i="4" s="1"/>
  <c r="G513" i="4" s="1"/>
  <c r="K512" i="4"/>
  <c r="L512" i="4" s="1"/>
  <c r="J512" i="4"/>
  <c r="H512" i="4"/>
  <c r="E512" i="4"/>
  <c r="F512" i="4" s="1"/>
  <c r="K511" i="4"/>
  <c r="L511" i="4" s="1"/>
  <c r="J511" i="4"/>
  <c r="H511" i="4"/>
  <c r="E511" i="4"/>
  <c r="F511" i="4" s="1"/>
  <c r="G511" i="4" s="1"/>
  <c r="K510" i="4"/>
  <c r="L510" i="4" s="1"/>
  <c r="J510" i="4"/>
  <c r="H510" i="4"/>
  <c r="E510" i="4"/>
  <c r="F510" i="4" s="1"/>
  <c r="K509" i="4"/>
  <c r="L509" i="4" s="1"/>
  <c r="J509" i="4"/>
  <c r="H509" i="4"/>
  <c r="E509" i="4"/>
  <c r="F509" i="4" s="1"/>
  <c r="K508" i="4"/>
  <c r="L508" i="4" s="1"/>
  <c r="J508" i="4"/>
  <c r="H508" i="4"/>
  <c r="E508" i="4"/>
  <c r="F508" i="4" s="1"/>
  <c r="K507" i="4"/>
  <c r="L507" i="4" s="1"/>
  <c r="J507" i="4"/>
  <c r="H507" i="4"/>
  <c r="E507" i="4"/>
  <c r="K506" i="4"/>
  <c r="L506" i="4" s="1"/>
  <c r="J506" i="4"/>
  <c r="H506" i="4"/>
  <c r="E506" i="4"/>
  <c r="K505" i="4"/>
  <c r="L505" i="4" s="1"/>
  <c r="J505" i="4"/>
  <c r="H505" i="4"/>
  <c r="E505" i="4"/>
  <c r="K504" i="4"/>
  <c r="L504" i="4" s="1"/>
  <c r="J504" i="4"/>
  <c r="H504" i="4"/>
  <c r="E504" i="4"/>
  <c r="F504" i="4" s="1"/>
  <c r="K503" i="4"/>
  <c r="L503" i="4" s="1"/>
  <c r="J503" i="4"/>
  <c r="H503" i="4"/>
  <c r="E503" i="4"/>
  <c r="F503" i="4" s="1"/>
  <c r="G503" i="4" s="1"/>
  <c r="K502" i="4"/>
  <c r="L502" i="4" s="1"/>
  <c r="J502" i="4"/>
  <c r="H502" i="4"/>
  <c r="E502" i="4"/>
  <c r="F502" i="4" s="1"/>
  <c r="K501" i="4"/>
  <c r="L501" i="4" s="1"/>
  <c r="J501" i="4"/>
  <c r="H501" i="4"/>
  <c r="E501" i="4"/>
  <c r="F501" i="4" s="1"/>
  <c r="K500" i="4"/>
  <c r="L500" i="4" s="1"/>
  <c r="J500" i="4"/>
  <c r="H500" i="4"/>
  <c r="E500" i="4"/>
  <c r="F500" i="4" s="1"/>
  <c r="K499" i="4"/>
  <c r="J499" i="4"/>
  <c r="H499" i="4"/>
  <c r="E499" i="4"/>
  <c r="F499" i="4" s="1"/>
  <c r="K498" i="4"/>
  <c r="L498" i="4" s="1"/>
  <c r="J498" i="4"/>
  <c r="H498" i="4"/>
  <c r="E498" i="4"/>
  <c r="F498" i="4" s="1"/>
  <c r="K497" i="4"/>
  <c r="J497" i="4"/>
  <c r="H497" i="4"/>
  <c r="E497" i="4"/>
  <c r="K496" i="4"/>
  <c r="L496" i="4" s="1"/>
  <c r="J496" i="4"/>
  <c r="H496" i="4"/>
  <c r="E496" i="4"/>
  <c r="F496" i="4" s="1"/>
  <c r="K495" i="4"/>
  <c r="L495" i="4" s="1"/>
  <c r="J495" i="4"/>
  <c r="H495" i="4"/>
  <c r="E495" i="4"/>
  <c r="K494" i="4"/>
  <c r="L494" i="4" s="1"/>
  <c r="J494" i="4"/>
  <c r="H494" i="4"/>
  <c r="E494" i="4"/>
  <c r="F494" i="4" s="1"/>
  <c r="K493" i="4"/>
  <c r="L493" i="4" s="1"/>
  <c r="J493" i="4"/>
  <c r="H493" i="4"/>
  <c r="E493" i="4"/>
  <c r="K492" i="4"/>
  <c r="L492" i="4" s="1"/>
  <c r="J492" i="4"/>
  <c r="H492" i="4"/>
  <c r="E492" i="4"/>
  <c r="F492" i="4" s="1"/>
  <c r="K491" i="4"/>
  <c r="L491" i="4" s="1"/>
  <c r="J491" i="4"/>
  <c r="H491" i="4"/>
  <c r="E491" i="4"/>
  <c r="K490" i="4"/>
  <c r="L490" i="4" s="1"/>
  <c r="J490" i="4"/>
  <c r="H490" i="4"/>
  <c r="E490" i="4"/>
  <c r="K489" i="4"/>
  <c r="L489" i="4" s="1"/>
  <c r="J489" i="4"/>
  <c r="H489" i="4"/>
  <c r="E489" i="4"/>
  <c r="F489" i="4" s="1"/>
  <c r="G489" i="4" s="1"/>
  <c r="K488" i="4"/>
  <c r="L488" i="4" s="1"/>
  <c r="J488" i="4"/>
  <c r="H488" i="4"/>
  <c r="E488" i="4"/>
  <c r="K487" i="4"/>
  <c r="L487" i="4" s="1"/>
  <c r="J487" i="4"/>
  <c r="H487" i="4"/>
  <c r="E487" i="4"/>
  <c r="K486" i="4"/>
  <c r="L486" i="4" s="1"/>
  <c r="J486" i="4"/>
  <c r="H486" i="4"/>
  <c r="E486" i="4"/>
  <c r="F486" i="4" s="1"/>
  <c r="K485" i="4"/>
  <c r="L485" i="4" s="1"/>
  <c r="J485" i="4"/>
  <c r="H485" i="4"/>
  <c r="E485" i="4"/>
  <c r="F485" i="4" s="1"/>
  <c r="K484" i="4"/>
  <c r="L484" i="4" s="1"/>
  <c r="J484" i="4"/>
  <c r="H484" i="4"/>
  <c r="E484" i="4"/>
  <c r="F484" i="4" s="1"/>
  <c r="K483" i="4"/>
  <c r="L483" i="4" s="1"/>
  <c r="J483" i="4"/>
  <c r="H483" i="4"/>
  <c r="E483" i="4"/>
  <c r="K482" i="4"/>
  <c r="L482" i="4" s="1"/>
  <c r="J482" i="4"/>
  <c r="H482" i="4"/>
  <c r="E482" i="4"/>
  <c r="K481" i="4"/>
  <c r="L481" i="4" s="1"/>
  <c r="J481" i="4"/>
  <c r="H481" i="4"/>
  <c r="E481" i="4"/>
  <c r="K480" i="4"/>
  <c r="L480" i="4" s="1"/>
  <c r="J480" i="4"/>
  <c r="H480" i="4"/>
  <c r="E480" i="4"/>
  <c r="K479" i="4"/>
  <c r="L479" i="4" s="1"/>
  <c r="J479" i="4"/>
  <c r="H479" i="4"/>
  <c r="E479" i="4"/>
  <c r="K478" i="4"/>
  <c r="L478" i="4" s="1"/>
  <c r="J478" i="4"/>
  <c r="H478" i="4"/>
  <c r="E478" i="4"/>
  <c r="K477" i="4"/>
  <c r="L477" i="4" s="1"/>
  <c r="J477" i="4"/>
  <c r="H477" i="4"/>
  <c r="E477" i="4"/>
  <c r="F477" i="4" s="1"/>
  <c r="K476" i="4"/>
  <c r="J476" i="4"/>
  <c r="H476" i="4"/>
  <c r="E476" i="4"/>
  <c r="F476" i="4" s="1"/>
  <c r="K475" i="4"/>
  <c r="L475" i="4" s="1"/>
  <c r="J475" i="4"/>
  <c r="H475" i="4"/>
  <c r="E475" i="4"/>
  <c r="F475" i="4" s="1"/>
  <c r="K474" i="4"/>
  <c r="L474" i="4" s="1"/>
  <c r="J474" i="4"/>
  <c r="H474" i="4"/>
  <c r="E474" i="4"/>
  <c r="F474" i="4" s="1"/>
  <c r="K473" i="4"/>
  <c r="L473" i="4" s="1"/>
  <c r="J473" i="4"/>
  <c r="H473" i="4"/>
  <c r="E473" i="4"/>
  <c r="K472" i="4"/>
  <c r="L472" i="4" s="1"/>
  <c r="J472" i="4"/>
  <c r="H472" i="4"/>
  <c r="E472" i="4"/>
  <c r="F472" i="4" s="1"/>
  <c r="K471" i="4"/>
  <c r="L471" i="4" s="1"/>
  <c r="J471" i="4"/>
  <c r="H471" i="4"/>
  <c r="E471" i="4"/>
  <c r="F471" i="4" s="1"/>
  <c r="K470" i="4"/>
  <c r="L470" i="4" s="1"/>
  <c r="J470" i="4"/>
  <c r="H470" i="4"/>
  <c r="E470" i="4"/>
  <c r="F470" i="4" s="1"/>
  <c r="K469" i="4"/>
  <c r="L469" i="4" s="1"/>
  <c r="J469" i="4"/>
  <c r="H469" i="4"/>
  <c r="E469" i="4"/>
  <c r="F469" i="4" s="1"/>
  <c r="K468" i="4"/>
  <c r="L468" i="4" s="1"/>
  <c r="J468" i="4"/>
  <c r="H468" i="4"/>
  <c r="E468" i="4"/>
  <c r="K467" i="4"/>
  <c r="L467" i="4" s="1"/>
  <c r="J467" i="4"/>
  <c r="H467" i="4"/>
  <c r="E467" i="4"/>
  <c r="K466" i="4"/>
  <c r="L466" i="4" s="1"/>
  <c r="J466" i="4"/>
  <c r="H466" i="4"/>
  <c r="E466" i="4"/>
  <c r="K465" i="4"/>
  <c r="L465" i="4" s="1"/>
  <c r="J465" i="4"/>
  <c r="H465" i="4"/>
  <c r="E465" i="4"/>
  <c r="F465" i="4" s="1"/>
  <c r="K464" i="4"/>
  <c r="L464" i="4" s="1"/>
  <c r="J464" i="4"/>
  <c r="H464" i="4"/>
  <c r="E464" i="4"/>
  <c r="K463" i="4"/>
  <c r="L463" i="4" s="1"/>
  <c r="J463" i="4"/>
  <c r="H463" i="4"/>
  <c r="E463" i="4"/>
  <c r="K462" i="4"/>
  <c r="J462" i="4"/>
  <c r="H462" i="4"/>
  <c r="E462" i="4"/>
  <c r="F462" i="4" s="1"/>
  <c r="K461" i="4"/>
  <c r="L461" i="4" s="1"/>
  <c r="J461" i="4"/>
  <c r="H461" i="4"/>
  <c r="E461" i="4"/>
  <c r="F461" i="4" s="1"/>
  <c r="G461" i="4" s="1"/>
  <c r="K460" i="4"/>
  <c r="L460" i="4" s="1"/>
  <c r="J460" i="4"/>
  <c r="H460" i="4"/>
  <c r="E460" i="4"/>
  <c r="F460" i="4" s="1"/>
  <c r="K459" i="4"/>
  <c r="L459" i="4" s="1"/>
  <c r="J459" i="4"/>
  <c r="H459" i="4"/>
  <c r="E459" i="4"/>
  <c r="K458" i="4"/>
  <c r="L458" i="4" s="1"/>
  <c r="J458" i="4"/>
  <c r="H458" i="4"/>
  <c r="E458" i="4"/>
  <c r="K457" i="4"/>
  <c r="L457" i="4" s="1"/>
  <c r="J457" i="4"/>
  <c r="H457" i="4"/>
  <c r="E457" i="4"/>
  <c r="F457" i="4" s="1"/>
  <c r="G457" i="4" s="1"/>
  <c r="K456" i="4"/>
  <c r="L456" i="4" s="1"/>
  <c r="J456" i="4"/>
  <c r="H456" i="4"/>
  <c r="E456" i="4"/>
  <c r="K455" i="4"/>
  <c r="J455" i="4"/>
  <c r="H455" i="4"/>
  <c r="E455" i="4"/>
  <c r="F455" i="4" s="1"/>
  <c r="G455" i="4" s="1"/>
  <c r="K454" i="4"/>
  <c r="L454" i="4" s="1"/>
  <c r="J454" i="4"/>
  <c r="H454" i="4"/>
  <c r="E454" i="4"/>
  <c r="F454" i="4" s="1"/>
  <c r="K453" i="4"/>
  <c r="L453" i="4" s="1"/>
  <c r="J453" i="4"/>
  <c r="H453" i="4"/>
  <c r="E453" i="4"/>
  <c r="F453" i="4" s="1"/>
  <c r="G453" i="4" s="1"/>
  <c r="K452" i="4"/>
  <c r="L452" i="4" s="1"/>
  <c r="J452" i="4"/>
  <c r="H452" i="4"/>
  <c r="E452" i="4"/>
  <c r="K451" i="4"/>
  <c r="L451" i="4" s="1"/>
  <c r="J451" i="4"/>
  <c r="H451" i="4"/>
  <c r="E451" i="4"/>
  <c r="F451" i="4" s="1"/>
  <c r="G451" i="4" s="1"/>
  <c r="K450" i="4"/>
  <c r="L450" i="4" s="1"/>
  <c r="J450" i="4"/>
  <c r="H450" i="4"/>
  <c r="E450" i="4"/>
  <c r="K449" i="4"/>
  <c r="L449" i="4" s="1"/>
  <c r="J449" i="4"/>
  <c r="H449" i="4"/>
  <c r="E449" i="4"/>
  <c r="K448" i="4"/>
  <c r="L448" i="4" s="1"/>
  <c r="J448" i="4"/>
  <c r="H448" i="4"/>
  <c r="E448" i="4"/>
  <c r="K447" i="4"/>
  <c r="L447" i="4" s="1"/>
  <c r="J447" i="4"/>
  <c r="H447" i="4"/>
  <c r="E447" i="4"/>
  <c r="F447" i="4" s="1"/>
  <c r="G447" i="4" s="1"/>
  <c r="K446" i="4"/>
  <c r="L446" i="4" s="1"/>
  <c r="J446" i="4"/>
  <c r="H446" i="4"/>
  <c r="E446" i="4"/>
  <c r="K445" i="4"/>
  <c r="L445" i="4" s="1"/>
  <c r="J445" i="4"/>
  <c r="H445" i="4"/>
  <c r="E445" i="4"/>
  <c r="F445" i="4" s="1"/>
  <c r="K444" i="4"/>
  <c r="L444" i="4" s="1"/>
  <c r="J444" i="4"/>
  <c r="H444" i="4"/>
  <c r="E444" i="4"/>
  <c r="K443" i="4"/>
  <c r="L443" i="4" s="1"/>
  <c r="J443" i="4"/>
  <c r="H443" i="4"/>
  <c r="E443" i="4"/>
  <c r="K442" i="4"/>
  <c r="L442" i="4" s="1"/>
  <c r="J442" i="4"/>
  <c r="H442" i="4"/>
  <c r="E442" i="4"/>
  <c r="K441" i="4"/>
  <c r="L441" i="4" s="1"/>
  <c r="J441" i="4"/>
  <c r="H441" i="4"/>
  <c r="E441" i="4"/>
  <c r="F441" i="4" s="1"/>
  <c r="K440" i="4"/>
  <c r="L440" i="4" s="1"/>
  <c r="J440" i="4"/>
  <c r="H440" i="4"/>
  <c r="E440" i="4"/>
  <c r="F440" i="4" s="1"/>
  <c r="K439" i="4"/>
  <c r="L439" i="4" s="1"/>
  <c r="J439" i="4"/>
  <c r="H439" i="4"/>
  <c r="E439" i="4"/>
  <c r="F439" i="4" s="1"/>
  <c r="G439" i="4" s="1"/>
  <c r="K438" i="4"/>
  <c r="L438" i="4" s="1"/>
  <c r="J438" i="4"/>
  <c r="H438" i="4"/>
  <c r="E438" i="4"/>
  <c r="F438" i="4" s="1"/>
  <c r="K437" i="4"/>
  <c r="L437" i="4" s="1"/>
  <c r="J437" i="4"/>
  <c r="H437" i="4"/>
  <c r="E437" i="4"/>
  <c r="F437" i="4" s="1"/>
  <c r="G437" i="4" s="1"/>
  <c r="K436" i="4"/>
  <c r="L436" i="4" s="1"/>
  <c r="J436" i="4"/>
  <c r="H436" i="4"/>
  <c r="E436" i="4"/>
  <c r="K435" i="4"/>
  <c r="L435" i="4" s="1"/>
  <c r="J435" i="4"/>
  <c r="H435" i="4"/>
  <c r="E435" i="4"/>
  <c r="K434" i="4"/>
  <c r="L434" i="4" s="1"/>
  <c r="J434" i="4"/>
  <c r="H434" i="4"/>
  <c r="E434" i="4"/>
  <c r="K433" i="4"/>
  <c r="L433" i="4" s="1"/>
  <c r="J433" i="4"/>
  <c r="H433" i="4"/>
  <c r="E433" i="4"/>
  <c r="F433" i="4" s="1"/>
  <c r="G433" i="4" s="1"/>
  <c r="K432" i="4"/>
  <c r="L432" i="4" s="1"/>
  <c r="J432" i="4"/>
  <c r="H432" i="4"/>
  <c r="E432" i="4"/>
  <c r="K431" i="4"/>
  <c r="L431" i="4" s="1"/>
  <c r="J431" i="4"/>
  <c r="H431" i="4"/>
  <c r="E431" i="4"/>
  <c r="F431" i="4" s="1"/>
  <c r="K430" i="4"/>
  <c r="L430" i="4" s="1"/>
  <c r="J430" i="4"/>
  <c r="H430" i="4"/>
  <c r="E430" i="4"/>
  <c r="K429" i="4"/>
  <c r="L429" i="4" s="1"/>
  <c r="J429" i="4"/>
  <c r="H429" i="4"/>
  <c r="E429" i="4"/>
  <c r="K428" i="4"/>
  <c r="L428" i="4" s="1"/>
  <c r="J428" i="4"/>
  <c r="H428" i="4"/>
  <c r="E428" i="4"/>
  <c r="K427" i="4"/>
  <c r="J427" i="4"/>
  <c r="H427" i="4"/>
  <c r="E427" i="4"/>
  <c r="K426" i="4"/>
  <c r="L426" i="4" s="1"/>
  <c r="J426" i="4"/>
  <c r="H426" i="4"/>
  <c r="E426" i="4"/>
  <c r="K425" i="4"/>
  <c r="L425" i="4" s="1"/>
  <c r="J425" i="4"/>
  <c r="H425" i="4"/>
  <c r="E425" i="4"/>
  <c r="F425" i="4" s="1"/>
  <c r="G425" i="4" s="1"/>
  <c r="K424" i="4"/>
  <c r="L424" i="4" s="1"/>
  <c r="J424" i="4"/>
  <c r="H424" i="4"/>
  <c r="E424" i="4"/>
  <c r="F424" i="4" s="1"/>
  <c r="K423" i="4"/>
  <c r="L423" i="4" s="1"/>
  <c r="J423" i="4"/>
  <c r="H423" i="4"/>
  <c r="E423" i="4"/>
  <c r="F423" i="4" s="1"/>
  <c r="G423" i="4" s="1"/>
  <c r="K422" i="4"/>
  <c r="L422" i="4" s="1"/>
  <c r="J422" i="4"/>
  <c r="H422" i="4"/>
  <c r="E422" i="4"/>
  <c r="K421" i="4"/>
  <c r="L421" i="4" s="1"/>
  <c r="J421" i="4"/>
  <c r="H421" i="4"/>
  <c r="E421" i="4"/>
  <c r="K420" i="4"/>
  <c r="J420" i="4"/>
  <c r="H420" i="4"/>
  <c r="E420" i="4"/>
  <c r="K419" i="4"/>
  <c r="L419" i="4" s="1"/>
  <c r="J419" i="4"/>
  <c r="H419" i="4"/>
  <c r="E419" i="4"/>
  <c r="K418" i="4"/>
  <c r="L418" i="4" s="1"/>
  <c r="J418" i="4"/>
  <c r="H418" i="4"/>
  <c r="E418" i="4"/>
  <c r="K417" i="4"/>
  <c r="L417" i="4" s="1"/>
  <c r="J417" i="4"/>
  <c r="H417" i="4"/>
  <c r="E417" i="4"/>
  <c r="F417" i="4" s="1"/>
  <c r="K416" i="4"/>
  <c r="L416" i="4" s="1"/>
  <c r="J416" i="4"/>
  <c r="H416" i="4"/>
  <c r="E416" i="4"/>
  <c r="K415" i="4"/>
  <c r="L415" i="4" s="1"/>
  <c r="J415" i="4"/>
  <c r="H415" i="4"/>
  <c r="E415" i="4"/>
  <c r="K414" i="4"/>
  <c r="L414" i="4" s="1"/>
  <c r="J414" i="4"/>
  <c r="H414" i="4"/>
  <c r="E414" i="4"/>
  <c r="F414" i="4" s="1"/>
  <c r="K413" i="4"/>
  <c r="J413" i="4"/>
  <c r="H413" i="4"/>
  <c r="E413" i="4"/>
  <c r="F413" i="4" s="1"/>
  <c r="K412" i="4"/>
  <c r="J412" i="4"/>
  <c r="H412" i="4"/>
  <c r="E412" i="4"/>
  <c r="F412" i="4" s="1"/>
  <c r="K411" i="4"/>
  <c r="L411" i="4" s="1"/>
  <c r="J411" i="4"/>
  <c r="H411" i="4"/>
  <c r="E411" i="4"/>
  <c r="F411" i="4" s="1"/>
  <c r="G411" i="4" s="1"/>
  <c r="K410" i="4"/>
  <c r="L410" i="4" s="1"/>
  <c r="J410" i="4"/>
  <c r="H410" i="4"/>
  <c r="E410" i="4"/>
  <c r="F410" i="4" s="1"/>
  <c r="K409" i="4"/>
  <c r="L409" i="4" s="1"/>
  <c r="J409" i="4"/>
  <c r="H409" i="4"/>
  <c r="E409" i="4"/>
  <c r="F409" i="4" s="1"/>
  <c r="G409" i="4" s="1"/>
  <c r="K408" i="4"/>
  <c r="L408" i="4" s="1"/>
  <c r="J408" i="4"/>
  <c r="H408" i="4"/>
  <c r="E408" i="4"/>
  <c r="K407" i="4"/>
  <c r="L407" i="4" s="1"/>
  <c r="J407" i="4"/>
  <c r="H407" i="4"/>
  <c r="E407" i="4"/>
  <c r="F407" i="4" s="1"/>
  <c r="K406" i="4"/>
  <c r="L406" i="4" s="1"/>
  <c r="J406" i="4"/>
  <c r="H406" i="4"/>
  <c r="E406" i="4"/>
  <c r="K405" i="4"/>
  <c r="L405" i="4" s="1"/>
  <c r="J405" i="4"/>
  <c r="H405" i="4"/>
  <c r="E405" i="4"/>
  <c r="K404" i="4"/>
  <c r="L404" i="4" s="1"/>
  <c r="J404" i="4"/>
  <c r="H404" i="4"/>
  <c r="E404" i="4"/>
  <c r="K403" i="4"/>
  <c r="L403" i="4" s="1"/>
  <c r="J403" i="4"/>
  <c r="H403" i="4"/>
  <c r="E403" i="4"/>
  <c r="F403" i="4" s="1"/>
  <c r="G403" i="4" s="1"/>
  <c r="I403" i="4" s="1"/>
  <c r="K402" i="4"/>
  <c r="L402" i="4" s="1"/>
  <c r="J402" i="4"/>
  <c r="H402" i="4"/>
  <c r="E402" i="4"/>
  <c r="K401" i="4"/>
  <c r="L401" i="4" s="1"/>
  <c r="J401" i="4"/>
  <c r="H401" i="4"/>
  <c r="E401" i="4"/>
  <c r="K400" i="4"/>
  <c r="L400" i="4" s="1"/>
  <c r="J400" i="4"/>
  <c r="H400" i="4"/>
  <c r="E400" i="4"/>
  <c r="F400" i="4" s="1"/>
  <c r="K399" i="4"/>
  <c r="J399" i="4"/>
  <c r="H399" i="4"/>
  <c r="E399" i="4"/>
  <c r="K398" i="4"/>
  <c r="L398" i="4" s="1"/>
  <c r="J398" i="4"/>
  <c r="H398" i="4"/>
  <c r="E398" i="4"/>
  <c r="K397" i="4"/>
  <c r="L397" i="4" s="1"/>
  <c r="J397" i="4"/>
  <c r="H397" i="4"/>
  <c r="E397" i="4"/>
  <c r="K396" i="4"/>
  <c r="L396" i="4" s="1"/>
  <c r="J396" i="4"/>
  <c r="H396" i="4"/>
  <c r="E396" i="4"/>
  <c r="F396" i="4" s="1"/>
  <c r="K395" i="4"/>
  <c r="L395" i="4" s="1"/>
  <c r="J395" i="4"/>
  <c r="H395" i="4"/>
  <c r="E395" i="4"/>
  <c r="K394" i="4"/>
  <c r="L394" i="4" s="1"/>
  <c r="J394" i="4"/>
  <c r="H394" i="4"/>
  <c r="E394" i="4"/>
  <c r="K393" i="4"/>
  <c r="L393" i="4" s="1"/>
  <c r="J393" i="4"/>
  <c r="H393" i="4"/>
  <c r="E393" i="4"/>
  <c r="F393" i="4" s="1"/>
  <c r="K392" i="4"/>
  <c r="L392" i="4" s="1"/>
  <c r="J392" i="4"/>
  <c r="H392" i="4"/>
  <c r="E392" i="4"/>
  <c r="F392" i="4" s="1"/>
  <c r="G392" i="4" s="1"/>
  <c r="K391" i="4"/>
  <c r="J391" i="4"/>
  <c r="H391" i="4"/>
  <c r="E391" i="4"/>
  <c r="K390" i="4"/>
  <c r="L390" i="4" s="1"/>
  <c r="J390" i="4"/>
  <c r="H390" i="4"/>
  <c r="E390" i="4"/>
  <c r="K389" i="4"/>
  <c r="L389" i="4" s="1"/>
  <c r="J389" i="4"/>
  <c r="H389" i="4"/>
  <c r="E389" i="4"/>
  <c r="K388" i="4"/>
  <c r="L388" i="4" s="1"/>
  <c r="J388" i="4"/>
  <c r="H388" i="4"/>
  <c r="E388" i="4"/>
  <c r="K387" i="4"/>
  <c r="L387" i="4" s="1"/>
  <c r="J387" i="4"/>
  <c r="H387" i="4"/>
  <c r="E387" i="4"/>
  <c r="F387" i="4" s="1"/>
  <c r="K386" i="4"/>
  <c r="L386" i="4" s="1"/>
  <c r="J386" i="4"/>
  <c r="H386" i="4"/>
  <c r="E386" i="4"/>
  <c r="K385" i="4"/>
  <c r="L385" i="4" s="1"/>
  <c r="J385" i="4"/>
  <c r="H385" i="4"/>
  <c r="E385" i="4"/>
  <c r="K384" i="4"/>
  <c r="L384" i="4" s="1"/>
  <c r="J384" i="4"/>
  <c r="H384" i="4"/>
  <c r="E384" i="4"/>
  <c r="F384" i="4" s="1"/>
  <c r="G384" i="4" s="1"/>
  <c r="K383" i="4"/>
  <c r="L383" i="4" s="1"/>
  <c r="J383" i="4"/>
  <c r="H383" i="4"/>
  <c r="E383" i="4"/>
  <c r="K382" i="4"/>
  <c r="L382" i="4" s="1"/>
  <c r="J382" i="4"/>
  <c r="H382" i="4"/>
  <c r="E382" i="4"/>
  <c r="F382" i="4" s="1"/>
  <c r="G382" i="4" s="1"/>
  <c r="K381" i="4"/>
  <c r="L381" i="4" s="1"/>
  <c r="J381" i="4"/>
  <c r="H381" i="4"/>
  <c r="E381" i="4"/>
  <c r="K380" i="4"/>
  <c r="L380" i="4" s="1"/>
  <c r="J380" i="4"/>
  <c r="H380" i="4"/>
  <c r="E380" i="4"/>
  <c r="K379" i="4"/>
  <c r="L379" i="4" s="1"/>
  <c r="J379" i="4"/>
  <c r="H379" i="4"/>
  <c r="E379" i="4"/>
  <c r="F379" i="4" s="1"/>
  <c r="K378" i="4"/>
  <c r="L378" i="4" s="1"/>
  <c r="J378" i="4"/>
  <c r="H378" i="4"/>
  <c r="E378" i="4"/>
  <c r="F378" i="4" s="1"/>
  <c r="G378" i="4" s="1"/>
  <c r="K377" i="4"/>
  <c r="L377" i="4" s="1"/>
  <c r="J377" i="4"/>
  <c r="H377" i="4"/>
  <c r="E377" i="4"/>
  <c r="K376" i="4"/>
  <c r="L376" i="4" s="1"/>
  <c r="J376" i="4"/>
  <c r="H376" i="4"/>
  <c r="E376" i="4"/>
  <c r="K375" i="4"/>
  <c r="L375" i="4" s="1"/>
  <c r="J375" i="4"/>
  <c r="H375" i="4"/>
  <c r="E375" i="4"/>
  <c r="K374" i="4"/>
  <c r="L374" i="4" s="1"/>
  <c r="J374" i="4"/>
  <c r="H374" i="4"/>
  <c r="E374" i="4"/>
  <c r="K373" i="4"/>
  <c r="L373" i="4" s="1"/>
  <c r="J373" i="4"/>
  <c r="H373" i="4"/>
  <c r="E373" i="4"/>
  <c r="K372" i="4"/>
  <c r="L372" i="4" s="1"/>
  <c r="J372" i="4"/>
  <c r="H372" i="4"/>
  <c r="E372" i="4"/>
  <c r="K371" i="4"/>
  <c r="L371" i="4" s="1"/>
  <c r="J371" i="4"/>
  <c r="H371" i="4"/>
  <c r="E371" i="4"/>
  <c r="K370" i="4"/>
  <c r="L370" i="4" s="1"/>
  <c r="J370" i="4"/>
  <c r="H370" i="4"/>
  <c r="E370" i="4"/>
  <c r="K369" i="4"/>
  <c r="L369" i="4" s="1"/>
  <c r="J369" i="4"/>
  <c r="H369" i="4"/>
  <c r="E369" i="4"/>
  <c r="K368" i="4"/>
  <c r="L368" i="4" s="1"/>
  <c r="J368" i="4"/>
  <c r="H368" i="4"/>
  <c r="E368" i="4"/>
  <c r="F368" i="4" s="1"/>
  <c r="G368" i="4" s="1"/>
  <c r="K367" i="4"/>
  <c r="L367" i="4" s="1"/>
  <c r="J367" i="4"/>
  <c r="H367" i="4"/>
  <c r="E367" i="4"/>
  <c r="K366" i="4"/>
  <c r="L366" i="4" s="1"/>
  <c r="J366" i="4"/>
  <c r="H366" i="4"/>
  <c r="E366" i="4"/>
  <c r="F366" i="4" s="1"/>
  <c r="G366" i="4" s="1"/>
  <c r="K365" i="4"/>
  <c r="L365" i="4" s="1"/>
  <c r="J365" i="4"/>
  <c r="H365" i="4"/>
  <c r="E365" i="4"/>
  <c r="K364" i="4"/>
  <c r="L364" i="4" s="1"/>
  <c r="J364" i="4"/>
  <c r="H364" i="4"/>
  <c r="E364" i="4"/>
  <c r="F364" i="4" s="1"/>
  <c r="G364" i="4" s="1"/>
  <c r="K363" i="4"/>
  <c r="L363" i="4" s="1"/>
  <c r="J363" i="4"/>
  <c r="H363" i="4"/>
  <c r="E363" i="4"/>
  <c r="K362" i="4"/>
  <c r="L362" i="4" s="1"/>
  <c r="J362" i="4"/>
  <c r="H362" i="4"/>
  <c r="E362" i="4"/>
  <c r="F362" i="4" s="1"/>
  <c r="G362" i="4" s="1"/>
  <c r="K361" i="4"/>
  <c r="L361" i="4" s="1"/>
  <c r="J361" i="4"/>
  <c r="H361" i="4"/>
  <c r="E361" i="4"/>
  <c r="K360" i="4"/>
  <c r="L360" i="4" s="1"/>
  <c r="J360" i="4"/>
  <c r="H360" i="4"/>
  <c r="E360" i="4"/>
  <c r="K359" i="4"/>
  <c r="L359" i="4" s="1"/>
  <c r="J359" i="4"/>
  <c r="H359" i="4"/>
  <c r="E359" i="4"/>
  <c r="K358" i="4"/>
  <c r="L358" i="4" s="1"/>
  <c r="J358" i="4"/>
  <c r="H358" i="4"/>
  <c r="E358" i="4"/>
  <c r="K357" i="4"/>
  <c r="L357" i="4" s="1"/>
  <c r="J357" i="4"/>
  <c r="H357" i="4"/>
  <c r="E357" i="4"/>
  <c r="K356" i="4"/>
  <c r="L356" i="4" s="1"/>
  <c r="J356" i="4"/>
  <c r="H356" i="4"/>
  <c r="E356" i="4"/>
  <c r="K355" i="4"/>
  <c r="L355" i="4" s="1"/>
  <c r="J355" i="4"/>
  <c r="H355" i="4"/>
  <c r="E355" i="4"/>
  <c r="K354" i="4"/>
  <c r="L354" i="4" s="1"/>
  <c r="J354" i="4"/>
  <c r="H354" i="4"/>
  <c r="E354" i="4"/>
  <c r="F354" i="4" s="1"/>
  <c r="G354" i="4" s="1"/>
  <c r="K353" i="4"/>
  <c r="L353" i="4" s="1"/>
  <c r="J353" i="4"/>
  <c r="H353" i="4"/>
  <c r="E353" i="4"/>
  <c r="K352" i="4"/>
  <c r="L352" i="4" s="1"/>
  <c r="J352" i="4"/>
  <c r="H352" i="4"/>
  <c r="E352" i="4"/>
  <c r="K351" i="4"/>
  <c r="L351" i="4" s="1"/>
  <c r="J351" i="4"/>
  <c r="H351" i="4"/>
  <c r="E351" i="4"/>
  <c r="K350" i="4"/>
  <c r="L350" i="4" s="1"/>
  <c r="J350" i="4"/>
  <c r="H350" i="4"/>
  <c r="E350" i="4"/>
  <c r="F350" i="4" s="1"/>
  <c r="K349" i="4"/>
  <c r="L349" i="4" s="1"/>
  <c r="J349" i="4"/>
  <c r="H349" i="4"/>
  <c r="E349" i="4"/>
  <c r="K348" i="4"/>
  <c r="L348" i="4" s="1"/>
  <c r="J348" i="4"/>
  <c r="H348" i="4"/>
  <c r="E348" i="4"/>
  <c r="K347" i="4"/>
  <c r="L347" i="4" s="1"/>
  <c r="J347" i="4"/>
  <c r="H347" i="4"/>
  <c r="E347" i="4"/>
  <c r="K346" i="4"/>
  <c r="L346" i="4" s="1"/>
  <c r="J346" i="4"/>
  <c r="H346" i="4"/>
  <c r="E346" i="4"/>
  <c r="K345" i="4"/>
  <c r="J345" i="4"/>
  <c r="H345" i="4"/>
  <c r="E345" i="4"/>
  <c r="K344" i="4"/>
  <c r="L344" i="4" s="1"/>
  <c r="J344" i="4"/>
  <c r="H344" i="4"/>
  <c r="E344" i="4"/>
  <c r="F344" i="4" s="1"/>
  <c r="G344" i="4" s="1"/>
  <c r="K343" i="4"/>
  <c r="L343" i="4" s="1"/>
  <c r="J343" i="4"/>
  <c r="H343" i="4"/>
  <c r="E343" i="4"/>
  <c r="K342" i="4"/>
  <c r="L342" i="4" s="1"/>
  <c r="J342" i="4"/>
  <c r="H342" i="4"/>
  <c r="E342" i="4"/>
  <c r="F342" i="4" s="1"/>
  <c r="K341" i="4"/>
  <c r="L341" i="4" s="1"/>
  <c r="J341" i="4"/>
  <c r="H341" i="4"/>
  <c r="E341" i="4"/>
  <c r="K340" i="4"/>
  <c r="L340" i="4" s="1"/>
  <c r="J340" i="4"/>
  <c r="H340" i="4"/>
  <c r="E340" i="4"/>
  <c r="F340" i="4" s="1"/>
  <c r="G340" i="4" s="1"/>
  <c r="K339" i="4"/>
  <c r="L339" i="4" s="1"/>
  <c r="J339" i="4"/>
  <c r="H339" i="4"/>
  <c r="E339" i="4"/>
  <c r="K338" i="4"/>
  <c r="L338" i="4" s="1"/>
  <c r="J338" i="4"/>
  <c r="H338" i="4"/>
  <c r="E338" i="4"/>
  <c r="F338" i="4" s="1"/>
  <c r="G338" i="4" s="1"/>
  <c r="K337" i="4"/>
  <c r="L337" i="4" s="1"/>
  <c r="J337" i="4"/>
  <c r="H337" i="4"/>
  <c r="E337" i="4"/>
  <c r="K336" i="4"/>
  <c r="L336" i="4" s="1"/>
  <c r="J336" i="4"/>
  <c r="H336" i="4"/>
  <c r="E336" i="4"/>
  <c r="K335" i="4"/>
  <c r="L335" i="4" s="1"/>
  <c r="J335" i="4"/>
  <c r="H335" i="4"/>
  <c r="E335" i="4"/>
  <c r="K334" i="4"/>
  <c r="L334" i="4" s="1"/>
  <c r="J334" i="4"/>
  <c r="H334" i="4"/>
  <c r="E334" i="4"/>
  <c r="F334" i="4" s="1"/>
  <c r="G334" i="4" s="1"/>
  <c r="K333" i="4"/>
  <c r="L333" i="4" s="1"/>
  <c r="J333" i="4"/>
  <c r="H333" i="4"/>
  <c r="E333" i="4"/>
  <c r="K332" i="4"/>
  <c r="J332" i="4"/>
  <c r="H332" i="4"/>
  <c r="E332" i="4"/>
  <c r="K331" i="4"/>
  <c r="L331" i="4" s="1"/>
  <c r="J331" i="4"/>
  <c r="H331" i="4"/>
  <c r="E331" i="4"/>
  <c r="K330" i="4"/>
  <c r="L330" i="4" s="1"/>
  <c r="J330" i="4"/>
  <c r="H330" i="4"/>
  <c r="E330" i="4"/>
  <c r="K329" i="4"/>
  <c r="L329" i="4" s="1"/>
  <c r="J329" i="4"/>
  <c r="H329" i="4"/>
  <c r="E329" i="4"/>
  <c r="K328" i="4"/>
  <c r="L328" i="4" s="1"/>
  <c r="J328" i="4"/>
  <c r="H328" i="4"/>
  <c r="E328" i="4"/>
  <c r="K327" i="4"/>
  <c r="L327" i="4" s="1"/>
  <c r="J327" i="4"/>
  <c r="H327" i="4"/>
  <c r="E327" i="4"/>
  <c r="K326" i="4"/>
  <c r="L326" i="4" s="1"/>
  <c r="J326" i="4"/>
  <c r="H326" i="4"/>
  <c r="E326" i="4"/>
  <c r="F326" i="4" s="1"/>
  <c r="G326" i="4" s="1"/>
  <c r="K325" i="4"/>
  <c r="L325" i="4" s="1"/>
  <c r="J325" i="4"/>
  <c r="H325" i="4"/>
  <c r="E325" i="4"/>
  <c r="K324" i="4"/>
  <c r="L324" i="4" s="1"/>
  <c r="J324" i="4"/>
  <c r="H324" i="4"/>
  <c r="E324" i="4"/>
  <c r="F324" i="4" s="1"/>
  <c r="K323" i="4"/>
  <c r="L323" i="4" s="1"/>
  <c r="J323" i="4"/>
  <c r="H323" i="4"/>
  <c r="E323" i="4"/>
  <c r="K322" i="4"/>
  <c r="J322" i="4"/>
  <c r="H322" i="4"/>
  <c r="E322" i="4"/>
  <c r="F322" i="4" s="1"/>
  <c r="K321" i="4"/>
  <c r="L321" i="4" s="1"/>
  <c r="J321" i="4"/>
  <c r="H321" i="4"/>
  <c r="E321" i="4"/>
  <c r="K320" i="4"/>
  <c r="L320" i="4" s="1"/>
  <c r="J320" i="4"/>
  <c r="H320" i="4"/>
  <c r="E320" i="4"/>
  <c r="K319" i="4"/>
  <c r="L319" i="4" s="1"/>
  <c r="J319" i="4"/>
  <c r="H319" i="4"/>
  <c r="E319" i="4"/>
  <c r="K318" i="4"/>
  <c r="J318" i="4"/>
  <c r="H318" i="4"/>
  <c r="E318" i="4"/>
  <c r="K317" i="4"/>
  <c r="L317" i="4" s="1"/>
  <c r="J317" i="4"/>
  <c r="H317" i="4"/>
  <c r="E317" i="4"/>
  <c r="K316" i="4"/>
  <c r="L316" i="4" s="1"/>
  <c r="J316" i="4"/>
  <c r="H316" i="4"/>
  <c r="E316" i="4"/>
  <c r="F316" i="4" s="1"/>
  <c r="G316" i="4" s="1"/>
  <c r="K315" i="4"/>
  <c r="L315" i="4" s="1"/>
  <c r="J315" i="4"/>
  <c r="H315" i="4"/>
  <c r="E315" i="4"/>
  <c r="K314" i="4"/>
  <c r="L314" i="4" s="1"/>
  <c r="J314" i="4"/>
  <c r="H314" i="4"/>
  <c r="E314" i="4"/>
  <c r="F314" i="4" s="1"/>
  <c r="K313" i="4"/>
  <c r="L313" i="4" s="1"/>
  <c r="J313" i="4"/>
  <c r="H313" i="4"/>
  <c r="E313" i="4"/>
  <c r="K312" i="4"/>
  <c r="L312" i="4" s="1"/>
  <c r="J312" i="4"/>
  <c r="H312" i="4"/>
  <c r="E312" i="4"/>
  <c r="K311" i="4"/>
  <c r="L311" i="4" s="1"/>
  <c r="J311" i="4"/>
  <c r="H311" i="4"/>
  <c r="E311" i="4"/>
  <c r="K310" i="4"/>
  <c r="L310" i="4" s="1"/>
  <c r="J310" i="4"/>
  <c r="H310" i="4"/>
  <c r="E310" i="4"/>
  <c r="F310" i="4" s="1"/>
  <c r="G310" i="4" s="1"/>
  <c r="K309" i="4"/>
  <c r="L309" i="4" s="1"/>
  <c r="J309" i="4"/>
  <c r="H309" i="4"/>
  <c r="E309" i="4"/>
  <c r="K308" i="4"/>
  <c r="L308" i="4" s="1"/>
  <c r="J308" i="4"/>
  <c r="H308" i="4"/>
  <c r="E308" i="4"/>
  <c r="K307" i="4"/>
  <c r="L307" i="4" s="1"/>
  <c r="J307" i="4"/>
  <c r="H307" i="4"/>
  <c r="E307" i="4"/>
  <c r="K306" i="4"/>
  <c r="L306" i="4" s="1"/>
  <c r="J306" i="4"/>
  <c r="H306" i="4"/>
  <c r="E306" i="4"/>
  <c r="F306" i="4" s="1"/>
  <c r="G306" i="4" s="1"/>
  <c r="K305" i="4"/>
  <c r="L305" i="4" s="1"/>
  <c r="J305" i="4"/>
  <c r="H305" i="4"/>
  <c r="E305" i="4"/>
  <c r="K304" i="4"/>
  <c r="J304" i="4"/>
  <c r="H304" i="4"/>
  <c r="E304" i="4"/>
  <c r="F304" i="4" s="1"/>
  <c r="K303" i="4"/>
  <c r="L303" i="4" s="1"/>
  <c r="J303" i="4"/>
  <c r="H303" i="4"/>
  <c r="E303" i="4"/>
  <c r="K302" i="4"/>
  <c r="L302" i="4" s="1"/>
  <c r="J302" i="4"/>
  <c r="H302" i="4"/>
  <c r="E302" i="4"/>
  <c r="F302" i="4" s="1"/>
  <c r="G302" i="4" s="1"/>
  <c r="K301" i="4"/>
  <c r="L301" i="4" s="1"/>
  <c r="J301" i="4"/>
  <c r="H301" i="4"/>
  <c r="E301" i="4"/>
  <c r="K300" i="4"/>
  <c r="L300" i="4" s="1"/>
  <c r="J300" i="4"/>
  <c r="H300" i="4"/>
  <c r="E300" i="4"/>
  <c r="K299" i="4"/>
  <c r="L299" i="4" s="1"/>
  <c r="J299" i="4"/>
  <c r="H299" i="4"/>
  <c r="E299" i="4"/>
  <c r="K298" i="4"/>
  <c r="L298" i="4" s="1"/>
  <c r="J298" i="4"/>
  <c r="H298" i="4"/>
  <c r="E298" i="4"/>
  <c r="F298" i="4" s="1"/>
  <c r="G298" i="4" s="1"/>
  <c r="K297" i="4"/>
  <c r="L297" i="4" s="1"/>
  <c r="J297" i="4"/>
  <c r="H297" i="4"/>
  <c r="E297" i="4"/>
  <c r="K296" i="4"/>
  <c r="L296" i="4" s="1"/>
  <c r="J296" i="4"/>
  <c r="H296" i="4"/>
  <c r="E296" i="4"/>
  <c r="K295" i="4"/>
  <c r="L295" i="4" s="1"/>
  <c r="J295" i="4"/>
  <c r="H295" i="4"/>
  <c r="E295" i="4"/>
  <c r="K294" i="4"/>
  <c r="L294" i="4" s="1"/>
  <c r="J294" i="4"/>
  <c r="H294" i="4"/>
  <c r="E294" i="4"/>
  <c r="K293" i="4"/>
  <c r="L293" i="4" s="1"/>
  <c r="J293" i="4"/>
  <c r="H293" i="4"/>
  <c r="E293" i="4"/>
  <c r="K292" i="4"/>
  <c r="L292" i="4" s="1"/>
  <c r="J292" i="4"/>
  <c r="H292" i="4"/>
  <c r="E292" i="4"/>
  <c r="F292" i="4" s="1"/>
  <c r="G292" i="4" s="1"/>
  <c r="K291" i="4"/>
  <c r="L291" i="4" s="1"/>
  <c r="J291" i="4"/>
  <c r="H291" i="4"/>
  <c r="E291" i="4"/>
  <c r="K290" i="4"/>
  <c r="L290" i="4" s="1"/>
  <c r="J290" i="4"/>
  <c r="H290" i="4"/>
  <c r="E290" i="4"/>
  <c r="F290" i="4" s="1"/>
  <c r="K289" i="4"/>
  <c r="L289" i="4" s="1"/>
  <c r="J289" i="4"/>
  <c r="H289" i="4"/>
  <c r="E289" i="4"/>
  <c r="K288" i="4"/>
  <c r="L288" i="4" s="1"/>
  <c r="J288" i="4"/>
  <c r="H288" i="4"/>
  <c r="E288" i="4"/>
  <c r="F288" i="4" s="1"/>
  <c r="G288" i="4" s="1"/>
  <c r="K287" i="4"/>
  <c r="L287" i="4" s="1"/>
  <c r="J287" i="4"/>
  <c r="H287" i="4"/>
  <c r="E287" i="4"/>
  <c r="K286" i="4"/>
  <c r="L286" i="4" s="1"/>
  <c r="J286" i="4"/>
  <c r="H286" i="4"/>
  <c r="E286" i="4"/>
  <c r="K285" i="4"/>
  <c r="L285" i="4" s="1"/>
  <c r="J285" i="4"/>
  <c r="H285" i="4"/>
  <c r="E285" i="4"/>
  <c r="K284" i="4"/>
  <c r="L284" i="4" s="1"/>
  <c r="J284" i="4"/>
  <c r="H284" i="4"/>
  <c r="E284" i="4"/>
  <c r="F284" i="4" s="1"/>
  <c r="G284" i="4" s="1"/>
  <c r="K283" i="4"/>
  <c r="L283" i="4" s="1"/>
  <c r="J283" i="4"/>
  <c r="H283" i="4"/>
  <c r="E283" i="4"/>
  <c r="K282" i="4"/>
  <c r="L282" i="4" s="1"/>
  <c r="J282" i="4"/>
  <c r="H282" i="4"/>
  <c r="E282" i="4"/>
  <c r="K281" i="4"/>
  <c r="L281" i="4" s="1"/>
  <c r="J281" i="4"/>
  <c r="H281" i="4"/>
  <c r="E281" i="4"/>
  <c r="K280" i="4"/>
  <c r="J280" i="4"/>
  <c r="H280" i="4"/>
  <c r="E280" i="4"/>
  <c r="F280" i="4" s="1"/>
  <c r="G280" i="4" s="1"/>
  <c r="K279" i="4"/>
  <c r="J279" i="4"/>
  <c r="H279" i="4"/>
  <c r="E279" i="4"/>
  <c r="K278" i="4"/>
  <c r="L278" i="4" s="1"/>
  <c r="J278" i="4"/>
  <c r="H278" i="4"/>
  <c r="E278" i="4"/>
  <c r="F278" i="4" s="1"/>
  <c r="G278" i="4" s="1"/>
  <c r="K277" i="4"/>
  <c r="L277" i="4" s="1"/>
  <c r="J277" i="4"/>
  <c r="H277" i="4"/>
  <c r="E277" i="4"/>
  <c r="K276" i="4"/>
  <c r="L276" i="4" s="1"/>
  <c r="J276" i="4"/>
  <c r="H276" i="4"/>
  <c r="E276" i="4"/>
  <c r="F276" i="4" s="1"/>
  <c r="K275" i="4"/>
  <c r="J275" i="4"/>
  <c r="H275" i="4"/>
  <c r="E275" i="4"/>
  <c r="K274" i="4"/>
  <c r="L274" i="4" s="1"/>
  <c r="J274" i="4"/>
  <c r="H274" i="4"/>
  <c r="E274" i="4"/>
  <c r="F274" i="4" s="1"/>
  <c r="G274" i="4" s="1"/>
  <c r="K273" i="4"/>
  <c r="L273" i="4" s="1"/>
  <c r="J273" i="4"/>
  <c r="H273" i="4"/>
  <c r="E273" i="4"/>
  <c r="K272" i="4"/>
  <c r="J272" i="4"/>
  <c r="H272" i="4"/>
  <c r="E272" i="4"/>
  <c r="K271" i="4"/>
  <c r="L271" i="4" s="1"/>
  <c r="J271" i="4"/>
  <c r="H271" i="4"/>
  <c r="E271" i="4"/>
  <c r="K270" i="4"/>
  <c r="L270" i="4" s="1"/>
  <c r="J270" i="4"/>
  <c r="H270" i="4"/>
  <c r="E270" i="4"/>
  <c r="F270" i="4" s="1"/>
  <c r="G270" i="4" s="1"/>
  <c r="K269" i="4"/>
  <c r="L269" i="4" s="1"/>
  <c r="J269" i="4"/>
  <c r="H269" i="4"/>
  <c r="E269" i="4"/>
  <c r="K268" i="4"/>
  <c r="L268" i="4" s="1"/>
  <c r="J268" i="4"/>
  <c r="H268" i="4"/>
  <c r="E268" i="4"/>
  <c r="K267" i="4"/>
  <c r="L267" i="4" s="1"/>
  <c r="J267" i="4"/>
  <c r="H267" i="4"/>
  <c r="E267" i="4"/>
  <c r="K266" i="4"/>
  <c r="L266" i="4" s="1"/>
  <c r="J266" i="4"/>
  <c r="H266" i="4"/>
  <c r="E266" i="4"/>
  <c r="K265" i="4"/>
  <c r="L265" i="4" s="1"/>
  <c r="J265" i="4"/>
  <c r="H265" i="4"/>
  <c r="E265" i="4"/>
  <c r="K264" i="4"/>
  <c r="L264" i="4" s="1"/>
  <c r="J264" i="4"/>
  <c r="H264" i="4"/>
  <c r="E264" i="4"/>
  <c r="K263" i="4"/>
  <c r="L263" i="4" s="1"/>
  <c r="J263" i="4"/>
  <c r="H263" i="4"/>
  <c r="E263" i="4"/>
  <c r="K262" i="4"/>
  <c r="L262" i="4" s="1"/>
  <c r="J262" i="4"/>
  <c r="H262" i="4"/>
  <c r="E262" i="4"/>
  <c r="F262" i="4" s="1"/>
  <c r="G262" i="4" s="1"/>
  <c r="K261" i="4"/>
  <c r="J261" i="4"/>
  <c r="H261" i="4"/>
  <c r="E261" i="4"/>
  <c r="F261" i="4" s="1"/>
  <c r="K260" i="4"/>
  <c r="L260" i="4" s="1"/>
  <c r="J260" i="4"/>
  <c r="H260" i="4"/>
  <c r="E260" i="4"/>
  <c r="K259" i="4"/>
  <c r="J259" i="4"/>
  <c r="H259" i="4"/>
  <c r="E259" i="4"/>
  <c r="F259" i="4" s="1"/>
  <c r="K258" i="4"/>
  <c r="J258" i="4"/>
  <c r="H258" i="4"/>
  <c r="E258" i="4"/>
  <c r="K257" i="4"/>
  <c r="L257" i="4" s="1"/>
  <c r="J257" i="4"/>
  <c r="H257" i="4"/>
  <c r="E257" i="4"/>
  <c r="K256" i="4"/>
  <c r="L256" i="4" s="1"/>
  <c r="J256" i="4"/>
  <c r="H256" i="4"/>
  <c r="E256" i="4"/>
  <c r="K255" i="4"/>
  <c r="L255" i="4" s="1"/>
  <c r="J255" i="4"/>
  <c r="H255" i="4"/>
  <c r="E255" i="4"/>
  <c r="F255" i="4" s="1"/>
  <c r="K254" i="4"/>
  <c r="L254" i="4" s="1"/>
  <c r="J254" i="4"/>
  <c r="H254" i="4"/>
  <c r="E254" i="4"/>
  <c r="F254" i="4" s="1"/>
  <c r="K253" i="4"/>
  <c r="L253" i="4" s="1"/>
  <c r="J253" i="4"/>
  <c r="H253" i="4"/>
  <c r="E253" i="4"/>
  <c r="F253" i="4" s="1"/>
  <c r="K252" i="4"/>
  <c r="L252" i="4" s="1"/>
  <c r="J252" i="4"/>
  <c r="H252" i="4"/>
  <c r="E252" i="4"/>
  <c r="K251" i="4"/>
  <c r="L251" i="4" s="1"/>
  <c r="J251" i="4"/>
  <c r="H251" i="4"/>
  <c r="E251" i="4"/>
  <c r="F251" i="4" s="1"/>
  <c r="K250" i="4"/>
  <c r="L250" i="4" s="1"/>
  <c r="J250" i="4"/>
  <c r="H250" i="4"/>
  <c r="E250" i="4"/>
  <c r="K249" i="4"/>
  <c r="L249" i="4" s="1"/>
  <c r="J249" i="4"/>
  <c r="H249" i="4"/>
  <c r="E249" i="4"/>
  <c r="F249" i="4" s="1"/>
  <c r="K248" i="4"/>
  <c r="L248" i="4" s="1"/>
  <c r="J248" i="4"/>
  <c r="H248" i="4"/>
  <c r="E248" i="4"/>
  <c r="K247" i="4"/>
  <c r="L247" i="4" s="1"/>
  <c r="J247" i="4"/>
  <c r="H247" i="4"/>
  <c r="E247" i="4"/>
  <c r="F247" i="4" s="1"/>
  <c r="K246" i="4"/>
  <c r="L246" i="4" s="1"/>
  <c r="J246" i="4"/>
  <c r="H246" i="4"/>
  <c r="E246" i="4"/>
  <c r="K245" i="4"/>
  <c r="L245" i="4" s="1"/>
  <c r="J245" i="4"/>
  <c r="H245" i="4"/>
  <c r="E245" i="4"/>
  <c r="F245" i="4" s="1"/>
  <c r="K244" i="4"/>
  <c r="L244" i="4" s="1"/>
  <c r="J244" i="4"/>
  <c r="H244" i="4"/>
  <c r="E244" i="4"/>
  <c r="K243" i="4"/>
  <c r="L243" i="4" s="1"/>
  <c r="J243" i="4"/>
  <c r="H243" i="4"/>
  <c r="E243" i="4"/>
  <c r="K242" i="4"/>
  <c r="L242" i="4" s="1"/>
  <c r="J242" i="4"/>
  <c r="H242" i="4"/>
  <c r="E242" i="4"/>
  <c r="K241" i="4"/>
  <c r="L241" i="4" s="1"/>
  <c r="J241" i="4"/>
  <c r="H241" i="4"/>
  <c r="E241" i="4"/>
  <c r="K240" i="4"/>
  <c r="L240" i="4" s="1"/>
  <c r="J240" i="4"/>
  <c r="H240" i="4"/>
  <c r="E240" i="4"/>
  <c r="K239" i="4"/>
  <c r="L239" i="4" s="1"/>
  <c r="J239" i="4"/>
  <c r="H239" i="4"/>
  <c r="E239" i="4"/>
  <c r="F239" i="4" s="1"/>
  <c r="K238" i="4"/>
  <c r="L238" i="4" s="1"/>
  <c r="J238" i="4"/>
  <c r="H238" i="4"/>
  <c r="E238" i="4"/>
  <c r="F238" i="4" s="1"/>
  <c r="K237" i="4"/>
  <c r="L237" i="4" s="1"/>
  <c r="J237" i="4"/>
  <c r="H237" i="4"/>
  <c r="E237" i="4"/>
  <c r="K236" i="4"/>
  <c r="L236" i="4" s="1"/>
  <c r="J236" i="4"/>
  <c r="H236" i="4"/>
  <c r="E236" i="4"/>
  <c r="F236" i="4" s="1"/>
  <c r="G236" i="4" s="1"/>
  <c r="K235" i="4"/>
  <c r="L235" i="4" s="1"/>
  <c r="J235" i="4"/>
  <c r="H235" i="4"/>
  <c r="E235" i="4"/>
  <c r="K234" i="4"/>
  <c r="L234" i="4" s="1"/>
  <c r="J234" i="4"/>
  <c r="H234" i="4"/>
  <c r="E234" i="4"/>
  <c r="F234" i="4" s="1"/>
  <c r="G234" i="4" s="1"/>
  <c r="K233" i="4"/>
  <c r="L233" i="4" s="1"/>
  <c r="J233" i="4"/>
  <c r="H233" i="4"/>
  <c r="E233" i="4"/>
  <c r="F233" i="4" s="1"/>
  <c r="K232" i="4"/>
  <c r="L232" i="4" s="1"/>
  <c r="J232" i="4"/>
  <c r="H232" i="4"/>
  <c r="E232" i="4"/>
  <c r="F232" i="4" s="1"/>
  <c r="K231" i="4"/>
  <c r="L231" i="4" s="1"/>
  <c r="J231" i="4"/>
  <c r="H231" i="4"/>
  <c r="E231" i="4"/>
  <c r="F231" i="4" s="1"/>
  <c r="K230" i="4"/>
  <c r="L230" i="4" s="1"/>
  <c r="J230" i="4"/>
  <c r="H230" i="4"/>
  <c r="E230" i="4"/>
  <c r="K229" i="4"/>
  <c r="L229" i="4" s="1"/>
  <c r="J229" i="4"/>
  <c r="H229" i="4"/>
  <c r="E229" i="4"/>
  <c r="K228" i="4"/>
  <c r="L228" i="4" s="1"/>
  <c r="J228" i="4"/>
  <c r="H228" i="4"/>
  <c r="E228" i="4"/>
  <c r="K227" i="4"/>
  <c r="L227" i="4" s="1"/>
  <c r="J227" i="4"/>
  <c r="H227" i="4"/>
  <c r="E227" i="4"/>
  <c r="F227" i="4" s="1"/>
  <c r="K226" i="4"/>
  <c r="L226" i="4" s="1"/>
  <c r="J226" i="4"/>
  <c r="H226" i="4"/>
  <c r="E226" i="4"/>
  <c r="F226" i="4" s="1"/>
  <c r="K225" i="4"/>
  <c r="L225" i="4" s="1"/>
  <c r="J225" i="4"/>
  <c r="H225" i="4"/>
  <c r="E225" i="4"/>
  <c r="F225" i="4" s="1"/>
  <c r="K224" i="4"/>
  <c r="L224" i="4" s="1"/>
  <c r="J224" i="4"/>
  <c r="H224" i="4"/>
  <c r="E224" i="4"/>
  <c r="K223" i="4"/>
  <c r="L223" i="4" s="1"/>
  <c r="J223" i="4"/>
  <c r="H223" i="4"/>
  <c r="E223" i="4"/>
  <c r="F223" i="4" s="1"/>
  <c r="K222" i="4"/>
  <c r="L222" i="4" s="1"/>
  <c r="J222" i="4"/>
  <c r="H222" i="4"/>
  <c r="E222" i="4"/>
  <c r="K221" i="4"/>
  <c r="L221" i="4" s="1"/>
  <c r="J221" i="4"/>
  <c r="H221" i="4"/>
  <c r="E221" i="4"/>
  <c r="F221" i="4" s="1"/>
  <c r="K220" i="4"/>
  <c r="L220" i="4" s="1"/>
  <c r="J220" i="4"/>
  <c r="H220" i="4"/>
  <c r="E220" i="4"/>
  <c r="K219" i="4"/>
  <c r="L219" i="4" s="1"/>
  <c r="J219" i="4"/>
  <c r="H219" i="4"/>
  <c r="E219" i="4"/>
  <c r="K218" i="4"/>
  <c r="L218" i="4" s="1"/>
  <c r="J218" i="4"/>
  <c r="H218" i="4"/>
  <c r="E218" i="4"/>
  <c r="F218" i="4" s="1"/>
  <c r="K217" i="4"/>
  <c r="L217" i="4" s="1"/>
  <c r="J217" i="4"/>
  <c r="H217" i="4"/>
  <c r="E217" i="4"/>
  <c r="F217" i="4" s="1"/>
  <c r="K216" i="4"/>
  <c r="L216" i="4" s="1"/>
  <c r="J216" i="4"/>
  <c r="H216" i="4"/>
  <c r="E216" i="4"/>
  <c r="F216" i="4" s="1"/>
  <c r="K215" i="4"/>
  <c r="L215" i="4" s="1"/>
  <c r="J215" i="4"/>
  <c r="H215" i="4"/>
  <c r="E215" i="4"/>
  <c r="K214" i="4"/>
  <c r="L214" i="4" s="1"/>
  <c r="J214" i="4"/>
  <c r="H214" i="4"/>
  <c r="E214" i="4"/>
  <c r="K213" i="4"/>
  <c r="L213" i="4" s="1"/>
  <c r="J213" i="4"/>
  <c r="H213" i="4"/>
  <c r="E213" i="4"/>
  <c r="K212" i="4"/>
  <c r="L212" i="4" s="1"/>
  <c r="J212" i="4"/>
  <c r="H212" i="4"/>
  <c r="E212" i="4"/>
  <c r="F212" i="4" s="1"/>
  <c r="G212" i="4" s="1"/>
  <c r="K211" i="4"/>
  <c r="L211" i="4" s="1"/>
  <c r="J211" i="4"/>
  <c r="H211" i="4"/>
  <c r="E211" i="4"/>
  <c r="F211" i="4" s="1"/>
  <c r="K210" i="4"/>
  <c r="L210" i="4" s="1"/>
  <c r="J210" i="4"/>
  <c r="H210" i="4"/>
  <c r="E210" i="4"/>
  <c r="F210" i="4" s="1"/>
  <c r="G210" i="4" s="1"/>
  <c r="K209" i="4"/>
  <c r="L209" i="4" s="1"/>
  <c r="J209" i="4"/>
  <c r="H209" i="4"/>
  <c r="E209" i="4"/>
  <c r="K208" i="4"/>
  <c r="L208" i="4" s="1"/>
  <c r="J208" i="4"/>
  <c r="H208" i="4"/>
  <c r="E208" i="4"/>
  <c r="F208" i="4" s="1"/>
  <c r="G208" i="4" s="1"/>
  <c r="K207" i="4"/>
  <c r="L207" i="4" s="1"/>
  <c r="J207" i="4"/>
  <c r="H207" i="4"/>
  <c r="E207" i="4"/>
  <c r="K206" i="4"/>
  <c r="L206" i="4" s="1"/>
  <c r="J206" i="4"/>
  <c r="H206" i="4"/>
  <c r="E206" i="4"/>
  <c r="F206" i="4" s="1"/>
  <c r="G206" i="4" s="1"/>
  <c r="K205" i="4"/>
  <c r="L205" i="4" s="1"/>
  <c r="J205" i="4"/>
  <c r="H205" i="4"/>
  <c r="E205" i="4"/>
  <c r="F205" i="4" s="1"/>
  <c r="K204" i="4"/>
  <c r="L204" i="4" s="1"/>
  <c r="J204" i="4"/>
  <c r="H204" i="4"/>
  <c r="E204" i="4"/>
  <c r="F204" i="4" s="1"/>
  <c r="K203" i="4"/>
  <c r="L203" i="4" s="1"/>
  <c r="J203" i="4"/>
  <c r="H203" i="4"/>
  <c r="E203" i="4"/>
  <c r="F203" i="4" s="1"/>
  <c r="K202" i="4"/>
  <c r="L202" i="4" s="1"/>
  <c r="J202" i="4"/>
  <c r="H202" i="4"/>
  <c r="E202" i="4"/>
  <c r="K201" i="4"/>
  <c r="L201" i="4" s="1"/>
  <c r="J201" i="4"/>
  <c r="H201" i="4"/>
  <c r="E201" i="4"/>
  <c r="K200" i="4"/>
  <c r="L200" i="4" s="1"/>
  <c r="J200" i="4"/>
  <c r="H200" i="4"/>
  <c r="E200" i="4"/>
  <c r="F200" i="4" s="1"/>
  <c r="K199" i="4"/>
  <c r="L199" i="4" s="1"/>
  <c r="J199" i="4"/>
  <c r="H199" i="4"/>
  <c r="E199" i="4"/>
  <c r="K198" i="4"/>
  <c r="L198" i="4" s="1"/>
  <c r="J198" i="4"/>
  <c r="H198" i="4"/>
  <c r="E198" i="4"/>
  <c r="F198" i="4" s="1"/>
  <c r="K197" i="4"/>
  <c r="L197" i="4" s="1"/>
  <c r="J197" i="4"/>
  <c r="H197" i="4"/>
  <c r="E197" i="4"/>
  <c r="F197" i="4" s="1"/>
  <c r="K196" i="4"/>
  <c r="L196" i="4" s="1"/>
  <c r="J196" i="4"/>
  <c r="H196" i="4"/>
  <c r="E196" i="4"/>
  <c r="F196" i="4" s="1"/>
  <c r="K195" i="4"/>
  <c r="L195" i="4" s="1"/>
  <c r="J195" i="4"/>
  <c r="H195" i="4"/>
  <c r="E195" i="4"/>
  <c r="F195" i="4" s="1"/>
  <c r="K194" i="4"/>
  <c r="L194" i="4" s="1"/>
  <c r="J194" i="4"/>
  <c r="H194" i="4"/>
  <c r="E194" i="4"/>
  <c r="K193" i="4"/>
  <c r="L193" i="4" s="1"/>
  <c r="J193" i="4"/>
  <c r="H193" i="4"/>
  <c r="E193" i="4"/>
  <c r="K192" i="4"/>
  <c r="L192" i="4" s="1"/>
  <c r="J192" i="4"/>
  <c r="H192" i="4"/>
  <c r="E192" i="4"/>
  <c r="K191" i="4"/>
  <c r="L191" i="4" s="1"/>
  <c r="J191" i="4"/>
  <c r="H191" i="4"/>
  <c r="E191" i="4"/>
  <c r="K190" i="4"/>
  <c r="L190" i="4" s="1"/>
  <c r="J190" i="4"/>
  <c r="H190" i="4"/>
  <c r="E190" i="4"/>
  <c r="K189" i="4"/>
  <c r="L189" i="4" s="1"/>
  <c r="J189" i="4"/>
  <c r="H189" i="4"/>
  <c r="E189" i="4"/>
  <c r="K188" i="4"/>
  <c r="L188" i="4" s="1"/>
  <c r="J188" i="4"/>
  <c r="H188" i="4"/>
  <c r="E188" i="4"/>
  <c r="K187" i="4"/>
  <c r="L187" i="4" s="1"/>
  <c r="J187" i="4"/>
  <c r="H187" i="4"/>
  <c r="E187" i="4"/>
  <c r="K186" i="4"/>
  <c r="L186" i="4" s="1"/>
  <c r="J186" i="4"/>
  <c r="H186" i="4"/>
  <c r="E186" i="4"/>
  <c r="K185" i="4"/>
  <c r="L185" i="4" s="1"/>
  <c r="J185" i="4"/>
  <c r="H185" i="4"/>
  <c r="E185" i="4"/>
  <c r="K184" i="4"/>
  <c r="L184" i="4" s="1"/>
  <c r="J184" i="4"/>
  <c r="H184" i="4"/>
  <c r="E184" i="4"/>
  <c r="K183" i="4"/>
  <c r="L183" i="4" s="1"/>
  <c r="J183" i="4"/>
  <c r="H183" i="4"/>
  <c r="E183" i="4"/>
  <c r="K182" i="4"/>
  <c r="L182" i="4" s="1"/>
  <c r="J182" i="4"/>
  <c r="H182" i="4"/>
  <c r="E182" i="4"/>
  <c r="F182" i="4" s="1"/>
  <c r="K181" i="4"/>
  <c r="L181" i="4" s="1"/>
  <c r="J181" i="4"/>
  <c r="H181" i="4"/>
  <c r="E181" i="4"/>
  <c r="F181" i="4" s="1"/>
  <c r="K180" i="4"/>
  <c r="L180" i="4" s="1"/>
  <c r="J180" i="4"/>
  <c r="H180" i="4"/>
  <c r="E180" i="4"/>
  <c r="F180" i="4" s="1"/>
  <c r="K179" i="4"/>
  <c r="L179" i="4" s="1"/>
  <c r="J179" i="4"/>
  <c r="H179" i="4"/>
  <c r="E179" i="4"/>
  <c r="F179" i="4" s="1"/>
  <c r="K178" i="4"/>
  <c r="L178" i="4" s="1"/>
  <c r="J178" i="4"/>
  <c r="H178" i="4"/>
  <c r="E178" i="4"/>
  <c r="F178" i="4" s="1"/>
  <c r="K177" i="4"/>
  <c r="L177" i="4" s="1"/>
  <c r="J177" i="4"/>
  <c r="H177" i="4"/>
  <c r="E177" i="4"/>
  <c r="K176" i="4"/>
  <c r="L176" i="4" s="1"/>
  <c r="J176" i="4"/>
  <c r="H176" i="4"/>
  <c r="E176" i="4"/>
  <c r="F176" i="4" s="1"/>
  <c r="K175" i="4"/>
  <c r="L175" i="4" s="1"/>
  <c r="J175" i="4"/>
  <c r="H175" i="4"/>
  <c r="E175" i="4"/>
  <c r="F175" i="4" s="1"/>
  <c r="G175" i="4" s="1"/>
  <c r="K174" i="4"/>
  <c r="L174" i="4" s="1"/>
  <c r="J174" i="4"/>
  <c r="H174" i="4"/>
  <c r="E174" i="4"/>
  <c r="K173" i="4"/>
  <c r="L173" i="4" s="1"/>
  <c r="J173" i="4"/>
  <c r="H173" i="4"/>
  <c r="E173" i="4"/>
  <c r="F173" i="4" s="1"/>
  <c r="G173" i="4" s="1"/>
  <c r="K172" i="4"/>
  <c r="L172" i="4" s="1"/>
  <c r="J172" i="4"/>
  <c r="H172" i="4"/>
  <c r="E172" i="4"/>
  <c r="K171" i="4"/>
  <c r="L171" i="4" s="1"/>
  <c r="J171" i="4"/>
  <c r="H171" i="4"/>
  <c r="E171" i="4"/>
  <c r="F171" i="4" s="1"/>
  <c r="K170" i="4"/>
  <c r="L170" i="4" s="1"/>
  <c r="J170" i="4"/>
  <c r="H170" i="4"/>
  <c r="E170" i="4"/>
  <c r="K169" i="4"/>
  <c r="L169" i="4" s="1"/>
  <c r="J169" i="4"/>
  <c r="H169" i="4"/>
  <c r="E169" i="4"/>
  <c r="K168" i="4"/>
  <c r="L168" i="4" s="1"/>
  <c r="J168" i="4"/>
  <c r="H168" i="4"/>
  <c r="E168" i="4"/>
  <c r="F168" i="4" s="1"/>
  <c r="K167" i="4"/>
  <c r="J167" i="4"/>
  <c r="H167" i="4"/>
  <c r="E167" i="4"/>
  <c r="K166" i="4"/>
  <c r="L166" i="4" s="1"/>
  <c r="J166" i="4"/>
  <c r="H166" i="4"/>
  <c r="E166" i="4"/>
  <c r="F166" i="4" s="1"/>
  <c r="K165" i="4"/>
  <c r="L165" i="4" s="1"/>
  <c r="J165" i="4"/>
  <c r="H165" i="4"/>
  <c r="E165" i="4"/>
  <c r="F165" i="4" s="1"/>
  <c r="K164" i="4"/>
  <c r="L164" i="4" s="1"/>
  <c r="J164" i="4"/>
  <c r="H164" i="4"/>
  <c r="E164" i="4"/>
  <c r="F164" i="4" s="1"/>
  <c r="K163" i="4"/>
  <c r="L163" i="4" s="1"/>
  <c r="J163" i="4"/>
  <c r="H163" i="4"/>
  <c r="E163" i="4"/>
  <c r="K162" i="4"/>
  <c r="L162" i="4" s="1"/>
  <c r="J162" i="4"/>
  <c r="H162" i="4"/>
  <c r="E162" i="4"/>
  <c r="F162" i="4" s="1"/>
  <c r="K161" i="4"/>
  <c r="L161" i="4" s="1"/>
  <c r="J161" i="4"/>
  <c r="H161" i="4"/>
  <c r="E161" i="4"/>
  <c r="F161" i="4" s="1"/>
  <c r="G161" i="4" s="1"/>
  <c r="K160" i="4"/>
  <c r="J160" i="4"/>
  <c r="H160" i="4"/>
  <c r="E160" i="4"/>
  <c r="K159" i="4"/>
  <c r="L159" i="4" s="1"/>
  <c r="J159" i="4"/>
  <c r="H159" i="4"/>
  <c r="E159" i="4"/>
  <c r="K158" i="4"/>
  <c r="L158" i="4" s="1"/>
  <c r="J158" i="4"/>
  <c r="H158" i="4"/>
  <c r="E158" i="4"/>
  <c r="K157" i="4"/>
  <c r="L157" i="4" s="1"/>
  <c r="J157" i="4"/>
  <c r="H157" i="4"/>
  <c r="E157" i="4"/>
  <c r="F157" i="4" s="1"/>
  <c r="K156" i="4"/>
  <c r="L156" i="4" s="1"/>
  <c r="J156" i="4"/>
  <c r="H156" i="4"/>
  <c r="E156" i="4"/>
  <c r="K155" i="4"/>
  <c r="L155" i="4" s="1"/>
  <c r="J155" i="4"/>
  <c r="H155" i="4"/>
  <c r="E155" i="4"/>
  <c r="K154" i="4"/>
  <c r="L154" i="4" s="1"/>
  <c r="J154" i="4"/>
  <c r="H154" i="4"/>
  <c r="E154" i="4"/>
  <c r="F154" i="4" s="1"/>
  <c r="K153" i="4"/>
  <c r="L153" i="4" s="1"/>
  <c r="J153" i="4"/>
  <c r="H153" i="4"/>
  <c r="E153" i="4"/>
  <c r="K152" i="4"/>
  <c r="L152" i="4" s="1"/>
  <c r="J152" i="4"/>
  <c r="H152" i="4"/>
  <c r="E152" i="4"/>
  <c r="F152" i="4" s="1"/>
  <c r="K151" i="4"/>
  <c r="L151" i="4" s="1"/>
  <c r="J151" i="4"/>
  <c r="H151" i="4"/>
  <c r="E151" i="4"/>
  <c r="F151" i="4" s="1"/>
  <c r="K150" i="4"/>
  <c r="L150" i="4" s="1"/>
  <c r="J150" i="4"/>
  <c r="H150" i="4"/>
  <c r="E150" i="4"/>
  <c r="F150" i="4" s="1"/>
  <c r="K149" i="4"/>
  <c r="L149" i="4" s="1"/>
  <c r="J149" i="4"/>
  <c r="H149" i="4"/>
  <c r="E149" i="4"/>
  <c r="K148" i="4"/>
  <c r="L148" i="4" s="1"/>
  <c r="J148" i="4"/>
  <c r="H148" i="4"/>
  <c r="E148" i="4"/>
  <c r="F148" i="4" s="1"/>
  <c r="K147" i="4"/>
  <c r="L147" i="4" s="1"/>
  <c r="J147" i="4"/>
  <c r="H147" i="4"/>
  <c r="E147" i="4"/>
  <c r="F147" i="4" s="1"/>
  <c r="G147" i="4" s="1"/>
  <c r="K146" i="4"/>
  <c r="L146" i="4" s="1"/>
  <c r="J146" i="4"/>
  <c r="H146" i="4"/>
  <c r="E146" i="4"/>
  <c r="F146" i="4" s="1"/>
  <c r="K145" i="4"/>
  <c r="L145" i="4" s="1"/>
  <c r="J145" i="4"/>
  <c r="H145" i="4"/>
  <c r="E145" i="4"/>
  <c r="F145" i="4" s="1"/>
  <c r="G145" i="4" s="1"/>
  <c r="K144" i="4"/>
  <c r="L144" i="4" s="1"/>
  <c r="J144" i="4"/>
  <c r="H144" i="4"/>
  <c r="E144" i="4"/>
  <c r="F144" i="4" s="1"/>
  <c r="K143" i="4"/>
  <c r="L143" i="4" s="1"/>
  <c r="J143" i="4"/>
  <c r="H143" i="4"/>
  <c r="E143" i="4"/>
  <c r="K142" i="4"/>
  <c r="L142" i="4" s="1"/>
  <c r="J142" i="4"/>
  <c r="H142" i="4"/>
  <c r="E142" i="4"/>
  <c r="K141" i="4"/>
  <c r="L141" i="4" s="1"/>
  <c r="J141" i="4"/>
  <c r="H141" i="4"/>
  <c r="E141" i="4"/>
  <c r="K140" i="4"/>
  <c r="L140" i="4" s="1"/>
  <c r="J140" i="4"/>
  <c r="H140" i="4"/>
  <c r="E140" i="4"/>
  <c r="F140" i="4" s="1"/>
  <c r="K139" i="4"/>
  <c r="L139" i="4" s="1"/>
  <c r="J139" i="4"/>
  <c r="H139" i="4"/>
  <c r="E139" i="4"/>
  <c r="K138" i="4"/>
  <c r="L138" i="4" s="1"/>
  <c r="J138" i="4"/>
  <c r="H138" i="4"/>
  <c r="E138" i="4"/>
  <c r="F138" i="4" s="1"/>
  <c r="K137" i="4"/>
  <c r="L137" i="4" s="1"/>
  <c r="J137" i="4"/>
  <c r="H137" i="4"/>
  <c r="E137" i="4"/>
  <c r="F137" i="4" s="1"/>
  <c r="K136" i="4"/>
  <c r="L136" i="4" s="1"/>
  <c r="J136" i="4"/>
  <c r="H136" i="4"/>
  <c r="E136" i="4"/>
  <c r="K135" i="4"/>
  <c r="L135" i="4" s="1"/>
  <c r="J135" i="4"/>
  <c r="H135" i="4"/>
  <c r="E135" i="4"/>
  <c r="K134" i="4"/>
  <c r="L134" i="4" s="1"/>
  <c r="J134" i="4"/>
  <c r="H134" i="4"/>
  <c r="E134" i="4"/>
  <c r="K133" i="4"/>
  <c r="L133" i="4" s="1"/>
  <c r="J133" i="4"/>
  <c r="H133" i="4"/>
  <c r="E133" i="4"/>
  <c r="F133" i="4" s="1"/>
  <c r="G133" i="4" s="1"/>
  <c r="K132" i="4"/>
  <c r="L132" i="4" s="1"/>
  <c r="J132" i="4"/>
  <c r="H132" i="4"/>
  <c r="E132" i="4"/>
  <c r="F132" i="4" s="1"/>
  <c r="K131" i="4"/>
  <c r="L131" i="4" s="1"/>
  <c r="J131" i="4"/>
  <c r="H131" i="4"/>
  <c r="E131" i="4"/>
  <c r="K130" i="4"/>
  <c r="L130" i="4" s="1"/>
  <c r="J130" i="4"/>
  <c r="H130" i="4"/>
  <c r="E130" i="4"/>
  <c r="K129" i="4"/>
  <c r="L129" i="4" s="1"/>
  <c r="J129" i="4"/>
  <c r="H129" i="4"/>
  <c r="E129" i="4"/>
  <c r="F129" i="4" s="1"/>
  <c r="K128" i="4"/>
  <c r="L128" i="4" s="1"/>
  <c r="J128" i="4"/>
  <c r="H128" i="4"/>
  <c r="E128" i="4"/>
  <c r="K127" i="4"/>
  <c r="L127" i="4" s="1"/>
  <c r="J127" i="4"/>
  <c r="H127" i="4"/>
  <c r="E127" i="4"/>
  <c r="K126" i="4"/>
  <c r="L126" i="4" s="1"/>
  <c r="J126" i="4"/>
  <c r="H126" i="4"/>
  <c r="E126" i="4"/>
  <c r="F126" i="4" s="1"/>
  <c r="K125" i="4"/>
  <c r="L125" i="4" s="1"/>
  <c r="J125" i="4"/>
  <c r="H125" i="4"/>
  <c r="E125" i="4"/>
  <c r="K124" i="4"/>
  <c r="L124" i="4" s="1"/>
  <c r="J124" i="4"/>
  <c r="H124" i="4"/>
  <c r="E124" i="4"/>
  <c r="F124" i="4" s="1"/>
  <c r="K123" i="4"/>
  <c r="L123" i="4" s="1"/>
  <c r="J123" i="4"/>
  <c r="H123" i="4"/>
  <c r="E123" i="4"/>
  <c r="K122" i="4"/>
  <c r="L122" i="4" s="1"/>
  <c r="J122" i="4"/>
  <c r="H122" i="4"/>
  <c r="E122" i="4"/>
  <c r="F122" i="4" s="1"/>
  <c r="K121" i="4"/>
  <c r="L121" i="4" s="1"/>
  <c r="J121" i="4"/>
  <c r="H121" i="4"/>
  <c r="E121" i="4"/>
  <c r="K120" i="4"/>
  <c r="L120" i="4" s="1"/>
  <c r="J120" i="4"/>
  <c r="H120" i="4"/>
  <c r="E120" i="4"/>
  <c r="K119" i="4"/>
  <c r="L119" i="4" s="1"/>
  <c r="J119" i="4"/>
  <c r="H119" i="4"/>
  <c r="E119" i="4"/>
  <c r="F119" i="4" s="1"/>
  <c r="G119" i="4" s="1"/>
  <c r="K118" i="4"/>
  <c r="L118" i="4" s="1"/>
  <c r="J118" i="4"/>
  <c r="H118" i="4"/>
  <c r="E118" i="4"/>
  <c r="F118" i="4" s="1"/>
  <c r="K117" i="4"/>
  <c r="L117" i="4" s="1"/>
  <c r="J117" i="4"/>
  <c r="H117" i="4"/>
  <c r="E117" i="4"/>
  <c r="F117" i="4" s="1"/>
  <c r="G117" i="4" s="1"/>
  <c r="K116" i="4"/>
  <c r="L116" i="4" s="1"/>
  <c r="J116" i="4"/>
  <c r="H116" i="4"/>
  <c r="E116" i="4"/>
  <c r="K115" i="4"/>
  <c r="J115" i="4"/>
  <c r="H115" i="4"/>
  <c r="E115" i="4"/>
  <c r="F115" i="4" s="1"/>
  <c r="K114" i="4"/>
  <c r="L114" i="4" s="1"/>
  <c r="J114" i="4"/>
  <c r="H114" i="4"/>
  <c r="E114" i="4"/>
  <c r="K113" i="4"/>
  <c r="L113" i="4" s="1"/>
  <c r="J113" i="4"/>
  <c r="H113" i="4"/>
  <c r="E113" i="4"/>
  <c r="K112" i="4"/>
  <c r="L112" i="4" s="1"/>
  <c r="J112" i="4"/>
  <c r="H112" i="4"/>
  <c r="E112" i="4"/>
  <c r="F112" i="4" s="1"/>
  <c r="K111" i="4"/>
  <c r="L111" i="4" s="1"/>
  <c r="J111" i="4"/>
  <c r="H111" i="4"/>
  <c r="E111" i="4"/>
  <c r="K110" i="4"/>
  <c r="L110" i="4" s="1"/>
  <c r="J110" i="4"/>
  <c r="H110" i="4"/>
  <c r="E110" i="4"/>
  <c r="F110" i="4" s="1"/>
  <c r="K109" i="4"/>
  <c r="L109" i="4" s="1"/>
  <c r="J109" i="4"/>
  <c r="H109" i="4"/>
  <c r="E109" i="4"/>
  <c r="F109" i="4" s="1"/>
  <c r="K108" i="4"/>
  <c r="L108" i="4" s="1"/>
  <c r="J108" i="4"/>
  <c r="H108" i="4"/>
  <c r="E108" i="4"/>
  <c r="F108" i="4" s="1"/>
  <c r="K107" i="4"/>
  <c r="L107" i="4" s="1"/>
  <c r="J107" i="4"/>
  <c r="H107" i="4"/>
  <c r="E107" i="4"/>
  <c r="F107" i="4" s="1"/>
  <c r="K106" i="4"/>
  <c r="L106" i="4" s="1"/>
  <c r="J106" i="4"/>
  <c r="H106" i="4"/>
  <c r="E106" i="4"/>
  <c r="K105" i="4"/>
  <c r="L105" i="4" s="1"/>
  <c r="J105" i="4"/>
  <c r="H105" i="4"/>
  <c r="E105" i="4"/>
  <c r="F105" i="4" s="1"/>
  <c r="G105" i="4" s="1"/>
  <c r="K104" i="4"/>
  <c r="L104" i="4" s="1"/>
  <c r="J104" i="4"/>
  <c r="H104" i="4"/>
  <c r="E104" i="4"/>
  <c r="K103" i="4"/>
  <c r="L103" i="4" s="1"/>
  <c r="J103" i="4"/>
  <c r="H103" i="4"/>
  <c r="E103" i="4"/>
  <c r="K102" i="4"/>
  <c r="L102" i="4" s="1"/>
  <c r="J102" i="4"/>
  <c r="H102" i="4"/>
  <c r="E102" i="4"/>
  <c r="K101" i="4"/>
  <c r="L101" i="4" s="1"/>
  <c r="J101" i="4"/>
  <c r="H101" i="4"/>
  <c r="E101" i="4"/>
  <c r="F101" i="4" s="1"/>
  <c r="K100" i="4"/>
  <c r="L100" i="4" s="1"/>
  <c r="J100" i="4"/>
  <c r="H100" i="4"/>
  <c r="E100" i="4"/>
  <c r="K99" i="4"/>
  <c r="L99" i="4" s="1"/>
  <c r="J99" i="4"/>
  <c r="H99" i="4"/>
  <c r="E99" i="4"/>
  <c r="K98" i="4"/>
  <c r="L98" i="4" s="1"/>
  <c r="J98" i="4"/>
  <c r="H98" i="4"/>
  <c r="E98" i="4"/>
  <c r="F98" i="4" s="1"/>
  <c r="K97" i="4"/>
  <c r="L97" i="4" s="1"/>
  <c r="J97" i="4"/>
  <c r="H97" i="4"/>
  <c r="E97" i="4"/>
  <c r="K96" i="4"/>
  <c r="L96" i="4" s="1"/>
  <c r="J96" i="4"/>
  <c r="H96" i="4"/>
  <c r="E96" i="4"/>
  <c r="F96" i="4" s="1"/>
  <c r="K95" i="4"/>
  <c r="L95" i="4" s="1"/>
  <c r="J95" i="4"/>
  <c r="H95" i="4"/>
  <c r="E95" i="4"/>
  <c r="K94" i="4"/>
  <c r="L94" i="4" s="1"/>
  <c r="J94" i="4"/>
  <c r="H94" i="4"/>
  <c r="E94" i="4"/>
  <c r="F94" i="4" s="1"/>
  <c r="K93" i="4"/>
  <c r="L93" i="4" s="1"/>
  <c r="J93" i="4"/>
  <c r="H93" i="4"/>
  <c r="E93" i="4"/>
  <c r="F93" i="4" s="1"/>
  <c r="K92" i="4"/>
  <c r="L92" i="4" s="1"/>
  <c r="J92" i="4"/>
  <c r="H92" i="4"/>
  <c r="E92" i="4"/>
  <c r="K91" i="4"/>
  <c r="L91" i="4" s="1"/>
  <c r="J91" i="4"/>
  <c r="H91" i="4"/>
  <c r="E91" i="4"/>
  <c r="F91" i="4" s="1"/>
  <c r="G91" i="4" s="1"/>
  <c r="K90" i="4"/>
  <c r="L90" i="4" s="1"/>
  <c r="J90" i="4"/>
  <c r="H90" i="4"/>
  <c r="E90" i="4"/>
  <c r="F90" i="4" s="1"/>
  <c r="K89" i="4"/>
  <c r="L89" i="4" s="1"/>
  <c r="J89" i="4"/>
  <c r="H89" i="4"/>
  <c r="F89" i="4"/>
  <c r="G89" i="4" s="1"/>
  <c r="E89" i="4"/>
  <c r="K88" i="4"/>
  <c r="L88" i="4" s="1"/>
  <c r="J88" i="4"/>
  <c r="H88" i="4"/>
  <c r="E88" i="4"/>
  <c r="K87" i="4"/>
  <c r="L87" i="4" s="1"/>
  <c r="J87" i="4"/>
  <c r="H87" i="4"/>
  <c r="E87" i="4"/>
  <c r="K86" i="4"/>
  <c r="L86" i="4" s="1"/>
  <c r="J86" i="4"/>
  <c r="H86" i="4"/>
  <c r="E86" i="4"/>
  <c r="K85" i="4"/>
  <c r="L85" i="4" s="1"/>
  <c r="J85" i="4"/>
  <c r="H85" i="4"/>
  <c r="E85" i="4"/>
  <c r="K84" i="4"/>
  <c r="L84" i="4" s="1"/>
  <c r="J84" i="4"/>
  <c r="H84" i="4"/>
  <c r="E84" i="4"/>
  <c r="F84" i="4" s="1"/>
  <c r="K83" i="4"/>
  <c r="L83" i="4" s="1"/>
  <c r="J83" i="4"/>
  <c r="H83" i="4"/>
  <c r="E83" i="4"/>
  <c r="K82" i="4"/>
  <c r="L82" i="4" s="1"/>
  <c r="J82" i="4"/>
  <c r="H82" i="4"/>
  <c r="E82" i="4"/>
  <c r="F82" i="4" s="1"/>
  <c r="K81" i="4"/>
  <c r="J81" i="4"/>
  <c r="H81" i="4"/>
  <c r="E81" i="4"/>
  <c r="F81" i="4" s="1"/>
  <c r="K80" i="4"/>
  <c r="L80" i="4" s="1"/>
  <c r="J80" i="4"/>
  <c r="H80" i="4"/>
  <c r="E80" i="4"/>
  <c r="F80" i="4" s="1"/>
  <c r="K79" i="4"/>
  <c r="L79" i="4" s="1"/>
  <c r="J79" i="4"/>
  <c r="H79" i="4"/>
  <c r="E79" i="4"/>
  <c r="F79" i="4" s="1"/>
  <c r="K78" i="4"/>
  <c r="L78" i="4" s="1"/>
  <c r="J78" i="4"/>
  <c r="H78" i="4"/>
  <c r="E78" i="4"/>
  <c r="K77" i="4"/>
  <c r="L77" i="4" s="1"/>
  <c r="J77" i="4"/>
  <c r="H77" i="4"/>
  <c r="E77" i="4"/>
  <c r="F77" i="4" s="1"/>
  <c r="G77" i="4" s="1"/>
  <c r="K76" i="4"/>
  <c r="L76" i="4" s="1"/>
  <c r="J76" i="4"/>
  <c r="H76" i="4"/>
  <c r="E76" i="4"/>
  <c r="K75" i="4"/>
  <c r="L75" i="4" s="1"/>
  <c r="J75" i="4"/>
  <c r="H75" i="4"/>
  <c r="E75" i="4"/>
  <c r="F75" i="4" s="1"/>
  <c r="K74" i="4"/>
  <c r="L74" i="4" s="1"/>
  <c r="J74" i="4"/>
  <c r="H74" i="4"/>
  <c r="E74" i="4"/>
  <c r="K73" i="4"/>
  <c r="L73" i="4" s="1"/>
  <c r="J73" i="4"/>
  <c r="H73" i="4"/>
  <c r="E73" i="4"/>
  <c r="K72" i="4"/>
  <c r="L72" i="4" s="1"/>
  <c r="J72" i="4"/>
  <c r="H72" i="4"/>
  <c r="E72" i="4"/>
  <c r="F72" i="4" s="1"/>
  <c r="K71" i="4"/>
  <c r="L71" i="4" s="1"/>
  <c r="J71" i="4"/>
  <c r="H71" i="4"/>
  <c r="E71" i="4"/>
  <c r="K70" i="4"/>
  <c r="L70" i="4" s="1"/>
  <c r="J70" i="4"/>
  <c r="H70" i="4"/>
  <c r="E70" i="4"/>
  <c r="K69" i="4"/>
  <c r="L69" i="4" s="1"/>
  <c r="J69" i="4"/>
  <c r="H69" i="4"/>
  <c r="E69" i="4"/>
  <c r="K68" i="4"/>
  <c r="L68" i="4" s="1"/>
  <c r="J68" i="4"/>
  <c r="H68" i="4"/>
  <c r="E68" i="4"/>
  <c r="K67" i="4"/>
  <c r="L67" i="4" s="1"/>
  <c r="J67" i="4"/>
  <c r="H67" i="4"/>
  <c r="E67" i="4"/>
  <c r="F67" i="4" s="1"/>
  <c r="G67" i="4" s="1"/>
  <c r="K66" i="4"/>
  <c r="L66" i="4" s="1"/>
  <c r="J66" i="4"/>
  <c r="H66" i="4"/>
  <c r="E66" i="4"/>
  <c r="F66" i="4" s="1"/>
  <c r="K65" i="4"/>
  <c r="L65" i="4" s="1"/>
  <c r="J65" i="4"/>
  <c r="H65" i="4"/>
  <c r="E65" i="4"/>
  <c r="F65" i="4" s="1"/>
  <c r="K64" i="4"/>
  <c r="L64" i="4" s="1"/>
  <c r="J64" i="4"/>
  <c r="H64" i="4"/>
  <c r="E64" i="4"/>
  <c r="F64" i="4" s="1"/>
  <c r="K63" i="4"/>
  <c r="L63" i="4" s="1"/>
  <c r="J63" i="4"/>
  <c r="H63" i="4"/>
  <c r="E63" i="4"/>
  <c r="K62" i="4"/>
  <c r="L62" i="4" s="1"/>
  <c r="J62" i="4"/>
  <c r="H62" i="4"/>
  <c r="E62" i="4"/>
  <c r="F62" i="4" s="1"/>
  <c r="K61" i="4"/>
  <c r="L61" i="4" s="1"/>
  <c r="J61" i="4"/>
  <c r="H61" i="4"/>
  <c r="E61" i="4"/>
  <c r="K60" i="4"/>
  <c r="L60" i="4" s="1"/>
  <c r="J60" i="4"/>
  <c r="H60" i="4"/>
  <c r="E60" i="4"/>
  <c r="K59" i="4"/>
  <c r="L59" i="4" s="1"/>
  <c r="J59" i="4"/>
  <c r="H59" i="4"/>
  <c r="E59" i="4"/>
  <c r="K58" i="4"/>
  <c r="L58" i="4" s="1"/>
  <c r="J58" i="4"/>
  <c r="H58" i="4"/>
  <c r="E58" i="4"/>
  <c r="K57" i="4"/>
  <c r="L57" i="4" s="1"/>
  <c r="J57" i="4"/>
  <c r="H57" i="4"/>
  <c r="E57" i="4"/>
  <c r="F57" i="4" s="1"/>
  <c r="K56" i="4"/>
  <c r="L56" i="4" s="1"/>
  <c r="J56" i="4"/>
  <c r="H56" i="4"/>
  <c r="E56" i="4"/>
  <c r="F56" i="4" s="1"/>
  <c r="K55" i="4"/>
  <c r="L55" i="4" s="1"/>
  <c r="J55" i="4"/>
  <c r="H55" i="4"/>
  <c r="E55" i="4"/>
  <c r="K54" i="4"/>
  <c r="L54" i="4" s="1"/>
  <c r="J54" i="4"/>
  <c r="H54" i="4"/>
  <c r="E54" i="4"/>
  <c r="K53" i="4"/>
  <c r="L53" i="4" s="1"/>
  <c r="J53" i="4"/>
  <c r="H53" i="4"/>
  <c r="E53" i="4"/>
  <c r="F53" i="4" s="1"/>
  <c r="G53" i="4" s="1"/>
  <c r="K52" i="4"/>
  <c r="L52" i="4" s="1"/>
  <c r="J52" i="4"/>
  <c r="H52" i="4"/>
  <c r="E52" i="4"/>
  <c r="F52" i="4" s="1"/>
  <c r="K51" i="4"/>
  <c r="L51" i="4" s="1"/>
  <c r="J51" i="4"/>
  <c r="H51" i="4"/>
  <c r="E51" i="4"/>
  <c r="K50" i="4"/>
  <c r="L50" i="4" s="1"/>
  <c r="J50" i="4"/>
  <c r="H50" i="4"/>
  <c r="E50" i="4"/>
  <c r="K49" i="4"/>
  <c r="L49" i="4" s="1"/>
  <c r="J49" i="4"/>
  <c r="H49" i="4"/>
  <c r="E49" i="4"/>
  <c r="F49" i="4" s="1"/>
  <c r="G49" i="4" s="1"/>
  <c r="K48" i="4"/>
  <c r="L48" i="4" s="1"/>
  <c r="J48" i="4"/>
  <c r="H48" i="4"/>
  <c r="E48" i="4"/>
  <c r="F48" i="4" s="1"/>
  <c r="K47" i="4"/>
  <c r="L47" i="4" s="1"/>
  <c r="J47" i="4"/>
  <c r="H47" i="4"/>
  <c r="E47" i="4"/>
  <c r="F47" i="4" s="1"/>
  <c r="G47" i="4" s="1"/>
  <c r="K46" i="4"/>
  <c r="L46" i="4" s="1"/>
  <c r="J46" i="4"/>
  <c r="H46" i="4"/>
  <c r="E46" i="4"/>
  <c r="K45" i="4"/>
  <c r="L45" i="4" s="1"/>
  <c r="J45" i="4"/>
  <c r="H45" i="4"/>
  <c r="E45" i="4"/>
  <c r="F45" i="4" s="1"/>
  <c r="K44" i="4"/>
  <c r="L44" i="4" s="1"/>
  <c r="J44" i="4"/>
  <c r="H44" i="4"/>
  <c r="E44" i="4"/>
  <c r="F44" i="4" s="1"/>
  <c r="K43" i="4"/>
  <c r="L43" i="4" s="1"/>
  <c r="J43" i="4"/>
  <c r="H43" i="4"/>
  <c r="E43" i="4"/>
  <c r="F43" i="4" s="1"/>
  <c r="K42" i="4"/>
  <c r="L42" i="4" s="1"/>
  <c r="J42" i="4"/>
  <c r="H42" i="4"/>
  <c r="E42" i="4"/>
  <c r="K41" i="4"/>
  <c r="L41" i="4" s="1"/>
  <c r="J41" i="4"/>
  <c r="H41" i="4"/>
  <c r="E41" i="4"/>
  <c r="K40" i="4"/>
  <c r="L40" i="4" s="1"/>
  <c r="J40" i="4"/>
  <c r="H40" i="4"/>
  <c r="E40" i="4"/>
  <c r="K39" i="4"/>
  <c r="L39" i="4" s="1"/>
  <c r="J39" i="4"/>
  <c r="H39" i="4"/>
  <c r="E39" i="4"/>
  <c r="F39" i="4" s="1"/>
  <c r="G39" i="4" s="1"/>
  <c r="K38" i="4"/>
  <c r="L38" i="4" s="1"/>
  <c r="J38" i="4"/>
  <c r="H38" i="4"/>
  <c r="E38" i="4"/>
  <c r="F38" i="4" s="1"/>
  <c r="K37" i="4"/>
  <c r="L37" i="4" s="1"/>
  <c r="J37" i="4"/>
  <c r="H37" i="4"/>
  <c r="E37" i="4"/>
  <c r="F37" i="4" s="1"/>
  <c r="K36" i="4"/>
  <c r="L36" i="4" s="1"/>
  <c r="J36" i="4"/>
  <c r="H36" i="4"/>
  <c r="E36" i="4"/>
  <c r="F36" i="4" s="1"/>
  <c r="K35" i="4"/>
  <c r="L35" i="4" s="1"/>
  <c r="J35" i="4"/>
  <c r="H35" i="4"/>
  <c r="E35" i="4"/>
  <c r="K34" i="4"/>
  <c r="L34" i="4" s="1"/>
  <c r="J34" i="4"/>
  <c r="H34" i="4"/>
  <c r="E34" i="4"/>
  <c r="F34" i="4" s="1"/>
  <c r="K33" i="4"/>
  <c r="L33" i="4" s="1"/>
  <c r="J33" i="4"/>
  <c r="H33" i="4"/>
  <c r="E33" i="4"/>
  <c r="K32" i="4"/>
  <c r="L32" i="4" s="1"/>
  <c r="J32" i="4"/>
  <c r="H32" i="4"/>
  <c r="E32" i="4"/>
  <c r="F32" i="4" s="1"/>
  <c r="K31" i="4"/>
  <c r="J31" i="4"/>
  <c r="H31" i="4"/>
  <c r="E31" i="4"/>
  <c r="K30" i="4"/>
  <c r="L30" i="4" s="1"/>
  <c r="J30" i="4"/>
  <c r="H30" i="4"/>
  <c r="E30" i="4"/>
  <c r="F30" i="4" s="1"/>
  <c r="K29" i="4"/>
  <c r="L29" i="4" s="1"/>
  <c r="J29" i="4"/>
  <c r="H29" i="4"/>
  <c r="E29" i="4"/>
  <c r="F29" i="4" s="1"/>
  <c r="K28" i="4"/>
  <c r="L28" i="4" s="1"/>
  <c r="J28" i="4"/>
  <c r="H28" i="4"/>
  <c r="E28" i="4"/>
  <c r="K27" i="4"/>
  <c r="L27" i="4" s="1"/>
  <c r="J27" i="4"/>
  <c r="H27" i="4"/>
  <c r="E27" i="4"/>
  <c r="K26" i="4"/>
  <c r="L26" i="4" s="1"/>
  <c r="J26" i="4"/>
  <c r="H26" i="4"/>
  <c r="E26" i="4"/>
  <c r="K25" i="4"/>
  <c r="L25" i="4" s="1"/>
  <c r="J25" i="4"/>
  <c r="H25" i="4"/>
  <c r="E25" i="4"/>
  <c r="F25" i="4" s="1"/>
  <c r="G25" i="4" s="1"/>
  <c r="K24" i="4"/>
  <c r="L24" i="4" s="1"/>
  <c r="J24" i="4"/>
  <c r="H24" i="4"/>
  <c r="E24" i="4"/>
  <c r="F24" i="4" s="1"/>
  <c r="K23" i="4"/>
  <c r="L23" i="4" s="1"/>
  <c r="J23" i="4"/>
  <c r="H23" i="4"/>
  <c r="E23" i="4"/>
  <c r="K22" i="4"/>
  <c r="L22" i="4" s="1"/>
  <c r="J22" i="4"/>
  <c r="H22" i="4"/>
  <c r="E22" i="4"/>
  <c r="F22" i="4" s="1"/>
  <c r="K21" i="4"/>
  <c r="L21" i="4" s="1"/>
  <c r="J21" i="4"/>
  <c r="H21" i="4"/>
  <c r="E21" i="4"/>
  <c r="F21" i="4" s="1"/>
  <c r="G21" i="4" s="1"/>
  <c r="K20" i="4"/>
  <c r="L20" i="4" s="1"/>
  <c r="J20" i="4"/>
  <c r="H20" i="4"/>
  <c r="E20" i="4"/>
  <c r="F20" i="4" s="1"/>
  <c r="K19" i="4"/>
  <c r="L19" i="4" s="1"/>
  <c r="J19" i="4"/>
  <c r="H19" i="4"/>
  <c r="E19" i="4"/>
  <c r="F19" i="4" s="1"/>
  <c r="G19" i="4" s="1"/>
  <c r="K18" i="4"/>
  <c r="L18" i="4" s="1"/>
  <c r="J18" i="4"/>
  <c r="H18" i="4"/>
  <c r="E18" i="4"/>
  <c r="K17" i="4"/>
  <c r="L17" i="4" s="1"/>
  <c r="J17" i="4"/>
  <c r="H17" i="4"/>
  <c r="E17" i="4"/>
  <c r="K16" i="4"/>
  <c r="L16" i="4" s="1"/>
  <c r="J16" i="4"/>
  <c r="H16" i="4"/>
  <c r="E16" i="4"/>
  <c r="F16" i="4" s="1"/>
  <c r="K15" i="4"/>
  <c r="L15" i="4" s="1"/>
  <c r="J15" i="4"/>
  <c r="H15" i="4"/>
  <c r="E15" i="4"/>
  <c r="K14" i="4"/>
  <c r="L14" i="4" s="1"/>
  <c r="J14" i="4"/>
  <c r="H14" i="4"/>
  <c r="E14" i="4"/>
  <c r="K13" i="4"/>
  <c r="L13" i="4" s="1"/>
  <c r="J13" i="4"/>
  <c r="H13" i="4"/>
  <c r="E13" i="4"/>
  <c r="K12" i="4"/>
  <c r="L12" i="4" s="1"/>
  <c r="J12" i="4"/>
  <c r="H12" i="4"/>
  <c r="E12" i="4"/>
  <c r="F12" i="4" s="1"/>
  <c r="K11" i="4"/>
  <c r="L11" i="4" s="1"/>
  <c r="J11" i="4"/>
  <c r="H11" i="4"/>
  <c r="E11" i="4"/>
  <c r="F11" i="4" s="1"/>
  <c r="G11" i="4" s="1"/>
  <c r="K10" i="4"/>
  <c r="L10" i="4" s="1"/>
  <c r="J10" i="4"/>
  <c r="H10" i="4"/>
  <c r="E10" i="4"/>
  <c r="K9" i="4"/>
  <c r="L9" i="4" s="1"/>
  <c r="J9" i="4"/>
  <c r="H9" i="4"/>
  <c r="E9" i="4"/>
  <c r="F9" i="4" s="1"/>
  <c r="G9" i="4" s="1"/>
  <c r="K8" i="4"/>
  <c r="L8" i="4" s="1"/>
  <c r="J8" i="4"/>
  <c r="H8" i="4"/>
  <c r="E8" i="4"/>
  <c r="K7" i="4"/>
  <c r="L7" i="4" s="1"/>
  <c r="J7" i="4"/>
  <c r="H7" i="4"/>
  <c r="E7" i="4"/>
  <c r="K6" i="4"/>
  <c r="L6" i="4" s="1"/>
  <c r="J6" i="4"/>
  <c r="H6" i="4"/>
  <c r="E6" i="4"/>
  <c r="F6" i="4" s="1"/>
  <c r="G6" i="4" s="1"/>
  <c r="K5" i="4"/>
  <c r="L5" i="4" s="1"/>
  <c r="J5" i="4"/>
  <c r="H5" i="4"/>
  <c r="E5" i="4"/>
  <c r="F5" i="4" s="1"/>
  <c r="K4" i="4"/>
  <c r="L4" i="4" s="1"/>
  <c r="J4" i="4"/>
  <c r="H4" i="4"/>
  <c r="E4" i="4"/>
  <c r="F4" i="4" s="1"/>
  <c r="G4" i="4" s="1"/>
  <c r="K3" i="4"/>
  <c r="L3" i="4" s="1"/>
  <c r="J3" i="4"/>
  <c r="H3" i="4"/>
  <c r="E3" i="4"/>
  <c r="F3" i="4" s="1"/>
  <c r="G3" i="4" s="1"/>
  <c r="K2" i="4"/>
  <c r="L2" i="4" s="1"/>
  <c r="J2" i="4"/>
  <c r="H2" i="4"/>
  <c r="E2" i="4"/>
  <c r="I837" i="4" l="1"/>
  <c r="I694" i="4"/>
  <c r="I750" i="4"/>
  <c r="I907" i="4"/>
  <c r="I362" i="4"/>
  <c r="G919" i="4"/>
  <c r="G818" i="4"/>
  <c r="I818" i="4" s="1"/>
  <c r="I739" i="4"/>
  <c r="I645" i="4"/>
  <c r="I425" i="4"/>
  <c r="G830" i="4"/>
  <c r="I677" i="4"/>
  <c r="I1001" i="4"/>
  <c r="I760" i="4"/>
  <c r="I310" i="4"/>
  <c r="I705" i="4"/>
  <c r="I712" i="4"/>
  <c r="I775" i="4"/>
  <c r="I338" i="4"/>
  <c r="I911" i="4"/>
  <c r="I262" i="4"/>
  <c r="I674" i="4"/>
  <c r="I210" i="4"/>
  <c r="I542" i="4"/>
  <c r="I563" i="4"/>
  <c r="I598" i="4"/>
  <c r="I746" i="4"/>
  <c r="I995" i="4"/>
  <c r="I19" i="4"/>
  <c r="I364" i="4"/>
  <c r="I378" i="4"/>
  <c r="I511" i="4"/>
  <c r="I588" i="4"/>
  <c r="G678" i="4"/>
  <c r="I732" i="4"/>
  <c r="I788" i="4"/>
  <c r="I89" i="4"/>
  <c r="I117" i="4"/>
  <c r="G606" i="4"/>
  <c r="I49" i="4"/>
  <c r="I382" i="4"/>
  <c r="I689" i="4"/>
  <c r="I173" i="4"/>
  <c r="I278" i="4"/>
  <c r="I292" i="4"/>
  <c r="I334" i="4"/>
  <c r="G226" i="4"/>
  <c r="I145" i="4"/>
  <c r="I489" i="4"/>
  <c r="I503" i="4"/>
  <c r="G589" i="4"/>
  <c r="I651" i="4"/>
  <c r="I710" i="4"/>
  <c r="I3" i="4"/>
  <c r="I517" i="4"/>
  <c r="I999" i="4"/>
  <c r="I21" i="4"/>
  <c r="I208" i="4"/>
  <c r="I284" i="4"/>
  <c r="I298" i="4"/>
  <c r="I340" i="4"/>
  <c r="G514" i="4"/>
  <c r="G524" i="4"/>
  <c r="I919" i="4"/>
  <c r="I11" i="4"/>
  <c r="I25" i="4"/>
  <c r="G580" i="4"/>
  <c r="I680" i="4"/>
  <c r="I993" i="4"/>
  <c r="I806" i="4"/>
  <c r="G608" i="4"/>
  <c r="I175" i="4"/>
  <c r="I619" i="4"/>
  <c r="I772" i="4"/>
  <c r="I793" i="4"/>
  <c r="I384" i="4"/>
  <c r="G485" i="4"/>
  <c r="G523" i="4"/>
  <c r="I668" i="4"/>
  <c r="I734" i="4"/>
  <c r="I925" i="4"/>
  <c r="F675" i="4"/>
  <c r="G675" i="4" s="1"/>
  <c r="G634" i="4"/>
  <c r="I682" i="4"/>
  <c r="G218" i="4"/>
  <c r="I9" i="4"/>
  <c r="G350" i="4"/>
  <c r="I409" i="4"/>
  <c r="I457" i="4"/>
  <c r="G498" i="4"/>
  <c r="G525" i="4"/>
  <c r="I621" i="4"/>
  <c r="I686" i="4"/>
  <c r="I893" i="4"/>
  <c r="I6" i="4"/>
  <c r="I274" i="4"/>
  <c r="I392" i="4"/>
  <c r="I423" i="4"/>
  <c r="I447" i="4"/>
  <c r="I461" i="4"/>
  <c r="I601" i="4"/>
  <c r="G652" i="4"/>
  <c r="I780" i="4"/>
  <c r="I883" i="4"/>
  <c r="I959" i="4"/>
  <c r="I236" i="4"/>
  <c r="I302" i="4"/>
  <c r="I316" i="4"/>
  <c r="I344" i="4"/>
  <c r="I368" i="4"/>
  <c r="I437" i="4"/>
  <c r="I539" i="4"/>
  <c r="I921" i="4"/>
  <c r="G445" i="4"/>
  <c r="I657" i="4"/>
  <c r="I726" i="4"/>
  <c r="I747" i="4"/>
  <c r="I761" i="4"/>
  <c r="I795" i="4"/>
  <c r="I39" i="4"/>
  <c r="I366" i="4"/>
  <c r="I411" i="4"/>
  <c r="I606" i="4"/>
  <c r="I647" i="4"/>
  <c r="I861" i="4"/>
  <c r="G767" i="4"/>
  <c r="I47" i="4"/>
  <c r="I67" i="4"/>
  <c r="I161" i="4"/>
  <c r="G504" i="4"/>
  <c r="G648" i="4"/>
  <c r="G688" i="4"/>
  <c r="I691" i="4"/>
  <c r="I698" i="4"/>
  <c r="G470" i="4"/>
  <c r="G520" i="4"/>
  <c r="I777" i="4"/>
  <c r="G724" i="4"/>
  <c r="I4" i="4"/>
  <c r="I91" i="4"/>
  <c r="G431" i="4"/>
  <c r="I527" i="4"/>
  <c r="I573" i="4"/>
  <c r="I625" i="4"/>
  <c r="G672" i="4"/>
  <c r="I728" i="4"/>
  <c r="I774" i="4"/>
  <c r="G595" i="4"/>
  <c r="I455" i="4"/>
  <c r="G518" i="4"/>
  <c r="G666" i="4"/>
  <c r="I699" i="4"/>
  <c r="G725" i="4"/>
  <c r="I759" i="4"/>
  <c r="I808" i="4"/>
  <c r="I835" i="4"/>
  <c r="I889" i="4"/>
  <c r="I939" i="4"/>
  <c r="I997" i="4"/>
  <c r="I879" i="4"/>
  <c r="I967" i="4"/>
  <c r="F372" i="4"/>
  <c r="G372" i="4" s="1"/>
  <c r="G462" i="4"/>
  <c r="G805" i="4"/>
  <c r="I119" i="4"/>
  <c r="I270" i="4"/>
  <c r="G509" i="4"/>
  <c r="I617" i="4"/>
  <c r="I653" i="4"/>
  <c r="G706" i="4"/>
  <c r="G716" i="4"/>
  <c r="I829" i="4"/>
  <c r="I981" i="4"/>
  <c r="F667" i="4"/>
  <c r="G667" i="4" s="1"/>
  <c r="F565" i="4"/>
  <c r="G565" i="4" s="1"/>
  <c r="G322" i="4"/>
  <c r="G552" i="4"/>
  <c r="G568" i="4"/>
  <c r="G578" i="4"/>
  <c r="F591" i="4"/>
  <c r="G591" i="4" s="1"/>
  <c r="G690" i="4"/>
  <c r="I53" i="4"/>
  <c r="I147" i="4"/>
  <c r="G460" i="4"/>
  <c r="G611" i="4"/>
  <c r="G624" i="4"/>
  <c r="G704" i="4"/>
  <c r="I714" i="4"/>
  <c r="I717" i="4"/>
  <c r="G730" i="4"/>
  <c r="I737" i="4"/>
  <c r="I803" i="4"/>
  <c r="I823" i="4"/>
  <c r="I212" i="4"/>
  <c r="F665" i="4"/>
  <c r="G665" i="4" s="1"/>
  <c r="F851" i="4"/>
  <c r="G851" i="4" s="1"/>
  <c r="F560" i="4"/>
  <c r="G560" i="4" s="1"/>
  <c r="F718" i="4"/>
  <c r="G718" i="4" s="1"/>
  <c r="F294" i="4"/>
  <c r="G294" i="4" s="1"/>
  <c r="F328" i="4"/>
  <c r="G328" i="4" s="1"/>
  <c r="F388" i="4"/>
  <c r="G388" i="4" s="1"/>
  <c r="G57" i="4"/>
  <c r="F452" i="4"/>
  <c r="G452" i="4" s="1"/>
  <c r="F953" i="4"/>
  <c r="G953" i="4" s="1"/>
  <c r="F95" i="4"/>
  <c r="G95" i="4" s="1"/>
  <c r="F188" i="4"/>
  <c r="G188" i="4" s="1"/>
  <c r="F356" i="4"/>
  <c r="G356" i="4" s="1"/>
  <c r="F312" i="4"/>
  <c r="G312" i="4" s="1"/>
  <c r="F449" i="4"/>
  <c r="G449" i="4" s="1"/>
  <c r="F538" i="4"/>
  <c r="G538" i="4" s="1"/>
  <c r="G29" i="4"/>
  <c r="F159" i="4"/>
  <c r="G159" i="4" s="1"/>
  <c r="F792" i="4"/>
  <c r="G792" i="4" s="1"/>
  <c r="F532" i="4"/>
  <c r="G532" i="4" s="1"/>
  <c r="F156" i="4"/>
  <c r="G156" i="4" s="1"/>
  <c r="I306" i="4"/>
  <c r="F383" i="4"/>
  <c r="G383" i="4" s="1"/>
  <c r="F51" i="4"/>
  <c r="G51" i="4" s="1"/>
  <c r="F495" i="4"/>
  <c r="G495" i="4" s="1"/>
  <c r="F752" i="4"/>
  <c r="G752" i="4" s="1"/>
  <c r="F123" i="4"/>
  <c r="G123" i="4" s="1"/>
  <c r="F23" i="4"/>
  <c r="G23" i="4" s="1"/>
  <c r="G150" i="4"/>
  <c r="F153" i="4"/>
  <c r="G153" i="4" s="1"/>
  <c r="F526" i="4"/>
  <c r="G526" i="4" s="1"/>
  <c r="G162" i="4"/>
  <c r="G165" i="4"/>
  <c r="G216" i="4"/>
  <c r="I288" i="4"/>
  <c r="F391" i="4"/>
  <c r="G391" i="4" s="1"/>
  <c r="F397" i="4"/>
  <c r="G397" i="4" s="1"/>
  <c r="F427" i="4"/>
  <c r="G427" i="4" s="1"/>
  <c r="F483" i="4"/>
  <c r="G483" i="4" s="1"/>
  <c r="G492" i="4"/>
  <c r="I541" i="4"/>
  <c r="G554" i="4"/>
  <c r="I569" i="4"/>
  <c r="F593" i="4"/>
  <c r="G593" i="4" s="1"/>
  <c r="G602" i="4"/>
  <c r="F605" i="4"/>
  <c r="G605" i="4" s="1"/>
  <c r="G662" i="4"/>
  <c r="G696" i="4"/>
  <c r="F802" i="4"/>
  <c r="G802" i="4" s="1"/>
  <c r="G845" i="4"/>
  <c r="F935" i="4"/>
  <c r="G935" i="4" s="1"/>
  <c r="G991" i="4"/>
  <c r="F33" i="4"/>
  <c r="G33" i="4" s="1"/>
  <c r="F61" i="4"/>
  <c r="G61" i="4" s="1"/>
  <c r="F136" i="4"/>
  <c r="G136" i="4" s="1"/>
  <c r="G254" i="4"/>
  <c r="F266" i="4"/>
  <c r="G266" i="4" s="1"/>
  <c r="F381" i="4"/>
  <c r="G381" i="4" s="1"/>
  <c r="F386" i="4"/>
  <c r="G386" i="4" s="1"/>
  <c r="G477" i="4"/>
  <c r="G576" i="4"/>
  <c r="G596" i="4"/>
  <c r="I608" i="4"/>
  <c r="G620" i="4"/>
  <c r="G638" i="4"/>
  <c r="G644" i="4"/>
  <c r="I700" i="4"/>
  <c r="F963" i="4"/>
  <c r="G963" i="4" s="1"/>
  <c r="G204" i="4"/>
  <c r="I77" i="4"/>
  <c r="F83" i="4"/>
  <c r="G83" i="4" s="1"/>
  <c r="I105" i="4"/>
  <c r="F111" i="4"/>
  <c r="G111" i="4" s="1"/>
  <c r="I133" i="4"/>
  <c r="F139" i="4"/>
  <c r="G139" i="4" s="1"/>
  <c r="F142" i="4"/>
  <c r="G142" i="4" s="1"/>
  <c r="G148" i="4"/>
  <c r="G151" i="4"/>
  <c r="F174" i="4"/>
  <c r="G174" i="4" s="1"/>
  <c r="F186" i="4"/>
  <c r="G186" i="4" s="1"/>
  <c r="I545" i="4"/>
  <c r="I561" i="4"/>
  <c r="G564" i="4"/>
  <c r="G582" i="4"/>
  <c r="I713" i="4"/>
  <c r="I722" i="4"/>
  <c r="I725" i="4"/>
  <c r="I762" i="4"/>
  <c r="I790" i="4"/>
  <c r="I629" i="4"/>
  <c r="F121" i="4"/>
  <c r="G121" i="4" s="1"/>
  <c r="F246" i="4"/>
  <c r="G246" i="4" s="1"/>
  <c r="F389" i="4"/>
  <c r="G389" i="4" s="1"/>
  <c r="F395" i="4"/>
  <c r="G395" i="4" s="1"/>
  <c r="F398" i="4"/>
  <c r="G398" i="4" s="1"/>
  <c r="G407" i="4"/>
  <c r="G555" i="4"/>
  <c r="I719" i="4"/>
  <c r="F855" i="4"/>
  <c r="G855" i="4" s="1"/>
  <c r="G933" i="4"/>
  <c r="F240" i="4"/>
  <c r="G240" i="4" s="1"/>
  <c r="F264" i="4"/>
  <c r="G264" i="4" s="1"/>
  <c r="G37" i="4"/>
  <c r="G65" i="4"/>
  <c r="G81" i="4"/>
  <c r="G109" i="4"/>
  <c r="G137" i="4"/>
  <c r="F160" i="4"/>
  <c r="G160" i="4" s="1"/>
  <c r="F172" i="4"/>
  <c r="G172" i="4" s="1"/>
  <c r="G178" i="4"/>
  <c r="F252" i="4"/>
  <c r="G252" i="4" s="1"/>
  <c r="F308" i="4"/>
  <c r="G308" i="4" s="1"/>
  <c r="I326" i="4"/>
  <c r="F336" i="4"/>
  <c r="G336" i="4" s="1"/>
  <c r="I354" i="4"/>
  <c r="G379" i="4"/>
  <c r="G413" i="4"/>
  <c r="F435" i="4"/>
  <c r="G435" i="4" s="1"/>
  <c r="G441" i="4"/>
  <c r="G475" i="4"/>
  <c r="I567" i="4"/>
  <c r="G577" i="4"/>
  <c r="I597" i="4"/>
  <c r="I623" i="4"/>
  <c r="G633" i="4"/>
  <c r="G685" i="4"/>
  <c r="G748" i="4"/>
  <c r="G769" i="4"/>
  <c r="G797" i="4"/>
  <c r="I513" i="4"/>
  <c r="I778" i="4"/>
  <c r="F131" i="4"/>
  <c r="G131" i="4" s="1"/>
  <c r="G639" i="4"/>
  <c r="F736" i="4"/>
  <c r="G736" i="4" s="1"/>
  <c r="F751" i="4"/>
  <c r="G751" i="4" s="1"/>
  <c r="F754" i="4"/>
  <c r="G754" i="4" s="1"/>
  <c r="G791" i="4"/>
  <c r="G822" i="4"/>
  <c r="F825" i="4"/>
  <c r="G825" i="4" s="1"/>
  <c r="F977" i="4"/>
  <c r="G977" i="4" s="1"/>
  <c r="F103" i="4"/>
  <c r="G103" i="4" s="1"/>
  <c r="F187" i="4"/>
  <c r="G187" i="4" s="1"/>
  <c r="F7" i="4"/>
  <c r="G7" i="4" s="1"/>
  <c r="G75" i="4"/>
  <c r="F158" i="4"/>
  <c r="G158" i="4" s="1"/>
  <c r="G164" i="4"/>
  <c r="F190" i="4"/>
  <c r="G190" i="4" s="1"/>
  <c r="G238" i="4"/>
  <c r="I280" i="4"/>
  <c r="G393" i="4"/>
  <c r="F426" i="4"/>
  <c r="G426" i="4" s="1"/>
  <c r="G454" i="4"/>
  <c r="G540" i="4"/>
  <c r="F553" i="4"/>
  <c r="G553" i="4" s="1"/>
  <c r="F583" i="4"/>
  <c r="G583" i="4" s="1"/>
  <c r="G592" i="4"/>
  <c r="G604" i="4"/>
  <c r="F661" i="4"/>
  <c r="G661" i="4" s="1"/>
  <c r="I670" i="4"/>
  <c r="G676" i="4"/>
  <c r="G720" i="4"/>
  <c r="G733" i="4"/>
  <c r="G782" i="4"/>
  <c r="G810" i="4"/>
  <c r="G816" i="4"/>
  <c r="I819" i="4"/>
  <c r="F841" i="4"/>
  <c r="G841" i="4" s="1"/>
  <c r="G12" i="4"/>
  <c r="G181" i="4"/>
  <c r="F97" i="4"/>
  <c r="G97" i="4" s="1"/>
  <c r="F125" i="4"/>
  <c r="G125" i="4" s="1"/>
  <c r="F244" i="4"/>
  <c r="G244" i="4" s="1"/>
  <c r="G93" i="4"/>
  <c r="G146" i="4"/>
  <c r="F184" i="4"/>
  <c r="G184" i="4" s="1"/>
  <c r="G387" i="4"/>
  <c r="G79" i="4"/>
  <c r="G107" i="4"/>
  <c r="G144" i="4"/>
  <c r="F167" i="4"/>
  <c r="G167" i="4" s="1"/>
  <c r="F170" i="4"/>
  <c r="G170" i="4" s="1"/>
  <c r="G176" i="4"/>
  <c r="G179" i="4"/>
  <c r="I206" i="4"/>
  <c r="F224" i="4"/>
  <c r="G224" i="4" s="1"/>
  <c r="F377" i="4"/>
  <c r="G377" i="4" s="1"/>
  <c r="F385" i="4"/>
  <c r="G385" i="4" s="1"/>
  <c r="F399" i="4"/>
  <c r="G399" i="4" s="1"/>
  <c r="I433" i="4"/>
  <c r="G476" i="4"/>
  <c r="F479" i="4"/>
  <c r="G479" i="4" s="1"/>
  <c r="G501" i="4"/>
  <c r="G581" i="4"/>
  <c r="G610" i="4"/>
  <c r="G616" i="4"/>
  <c r="I649" i="4"/>
  <c r="G692" i="4"/>
  <c r="G702" i="4"/>
  <c r="I708" i="4"/>
  <c r="G749" i="4"/>
  <c r="G764" i="4"/>
  <c r="F779" i="4"/>
  <c r="G779" i="4" s="1"/>
  <c r="F807" i="4"/>
  <c r="G807" i="4" s="1"/>
  <c r="I897" i="4"/>
  <c r="I987" i="4"/>
  <c r="F401" i="4"/>
  <c r="G401" i="4" s="1"/>
  <c r="G36" i="4"/>
  <c r="G64" i="4"/>
  <c r="G221" i="4"/>
  <c r="F250" i="4"/>
  <c r="G250" i="4" s="1"/>
  <c r="F283" i="4"/>
  <c r="G283" i="4" s="1"/>
  <c r="F300" i="4"/>
  <c r="G300" i="4" s="1"/>
  <c r="F332" i="4"/>
  <c r="G332" i="4" s="1"/>
  <c r="F557" i="4"/>
  <c r="G557" i="4" s="1"/>
  <c r="F628" i="4"/>
  <c r="G628" i="4" s="1"/>
  <c r="F17" i="4"/>
  <c r="G17" i="4" s="1"/>
  <c r="F73" i="4"/>
  <c r="G73" i="4" s="1"/>
  <c r="F87" i="4"/>
  <c r="G87" i="4" s="1"/>
  <c r="F143" i="4"/>
  <c r="G143" i="4" s="1"/>
  <c r="F185" i="4"/>
  <c r="G185" i="4" s="1"/>
  <c r="G34" i="4"/>
  <c r="G62" i="4"/>
  <c r="G82" i="4"/>
  <c r="G96" i="4"/>
  <c r="G110" i="4"/>
  <c r="G124" i="4"/>
  <c r="G138" i="4"/>
  <c r="G152" i="4"/>
  <c r="G166" i="4"/>
  <c r="G180" i="4"/>
  <c r="G200" i="4"/>
  <c r="F229" i="4"/>
  <c r="G229" i="4" s="1"/>
  <c r="I234" i="4"/>
  <c r="F269" i="4"/>
  <c r="G269" i="4" s="1"/>
  <c r="F286" i="4"/>
  <c r="G286" i="4" s="1"/>
  <c r="F237" i="4"/>
  <c r="G237" i="4" s="1"/>
  <c r="F15" i="4"/>
  <c r="G15" i="4" s="1"/>
  <c r="G45" i="4"/>
  <c r="F58" i="4"/>
  <c r="G58" i="4" s="1"/>
  <c r="F71" i="4"/>
  <c r="G71" i="4" s="1"/>
  <c r="G115" i="4"/>
  <c r="G157" i="4"/>
  <c r="G232" i="4"/>
  <c r="F256" i="4"/>
  <c r="G256" i="4" s="1"/>
  <c r="F380" i="4"/>
  <c r="G380" i="4" s="1"/>
  <c r="G396" i="4"/>
  <c r="F2" i="4"/>
  <c r="G2" i="4" s="1"/>
  <c r="F13" i="4"/>
  <c r="G13" i="4" s="1"/>
  <c r="F28" i="4"/>
  <c r="G28" i="4" s="1"/>
  <c r="F41" i="4"/>
  <c r="G41" i="4" s="1"/>
  <c r="G43" i="4"/>
  <c r="F69" i="4"/>
  <c r="G69" i="4" s="1"/>
  <c r="F85" i="4"/>
  <c r="G85" i="4" s="1"/>
  <c r="F99" i="4"/>
  <c r="G99" i="4" s="1"/>
  <c r="F113" i="4"/>
  <c r="G113" i="4" s="1"/>
  <c r="F127" i="4"/>
  <c r="G127" i="4" s="1"/>
  <c r="F141" i="4"/>
  <c r="G141" i="4" s="1"/>
  <c r="F155" i="4"/>
  <c r="G155" i="4" s="1"/>
  <c r="F169" i="4"/>
  <c r="G169" i="4" s="1"/>
  <c r="F183" i="4"/>
  <c r="G183" i="4" s="1"/>
  <c r="G304" i="4"/>
  <c r="G324" i="4"/>
  <c r="F330" i="4"/>
  <c r="G330" i="4" s="1"/>
  <c r="G56" i="4"/>
  <c r="G101" i="4"/>
  <c r="G129" i="4"/>
  <c r="G171" i="4"/>
  <c r="G24" i="4"/>
  <c r="F26" i="4"/>
  <c r="G26" i="4" s="1"/>
  <c r="G52" i="4"/>
  <c r="F54" i="4"/>
  <c r="G54" i="4" s="1"/>
  <c r="F78" i="4"/>
  <c r="G78" i="4" s="1"/>
  <c r="F92" i="4"/>
  <c r="G92" i="4" s="1"/>
  <c r="F106" i="4"/>
  <c r="G106" i="4" s="1"/>
  <c r="F120" i="4"/>
  <c r="G120" i="4" s="1"/>
  <c r="F134" i="4"/>
  <c r="G134" i="4" s="1"/>
  <c r="F193" i="4"/>
  <c r="G193" i="4" s="1"/>
  <c r="G198" i="4"/>
  <c r="F201" i="4"/>
  <c r="G201" i="4" s="1"/>
  <c r="F219" i="4"/>
  <c r="G219" i="4" s="1"/>
  <c r="F222" i="4"/>
  <c r="G222" i="4" s="1"/>
  <c r="F230" i="4"/>
  <c r="G230" i="4" s="1"/>
  <c r="F243" i="4"/>
  <c r="G243" i="4" s="1"/>
  <c r="G290" i="4"/>
  <c r="F318" i="4"/>
  <c r="G318" i="4" s="1"/>
  <c r="G342" i="4"/>
  <c r="F360" i="4"/>
  <c r="G360" i="4" s="1"/>
  <c r="F402" i="4"/>
  <c r="G402" i="4" s="1"/>
  <c r="F497" i="4"/>
  <c r="G497" i="4" s="1"/>
  <c r="F272" i="4"/>
  <c r="G272" i="4" s="1"/>
  <c r="G20" i="4"/>
  <c r="F35" i="4"/>
  <c r="G35" i="4" s="1"/>
  <c r="G48" i="4"/>
  <c r="F50" i="4"/>
  <c r="G50" i="4" s="1"/>
  <c r="F63" i="4"/>
  <c r="G63" i="4" s="1"/>
  <c r="F76" i="4"/>
  <c r="G76" i="4" s="1"/>
  <c r="F104" i="4"/>
  <c r="G104" i="4" s="1"/>
  <c r="G196" i="4"/>
  <c r="G217" i="4"/>
  <c r="F257" i="4"/>
  <c r="G257" i="4" s="1"/>
  <c r="G414" i="4"/>
  <c r="G417" i="4"/>
  <c r="F482" i="4"/>
  <c r="G482" i="4" s="1"/>
  <c r="F488" i="4"/>
  <c r="G488" i="4" s="1"/>
  <c r="F701" i="4"/>
  <c r="G701" i="4" s="1"/>
  <c r="G245" i="4"/>
  <c r="F428" i="4"/>
  <c r="G428" i="4" s="1"/>
  <c r="G80" i="4"/>
  <c r="G122" i="4"/>
  <c r="G22" i="4"/>
  <c r="G118" i="4"/>
  <c r="F214" i="4"/>
  <c r="G214" i="4" s="1"/>
  <c r="F8" i="4"/>
  <c r="G8" i="4" s="1"/>
  <c r="F10" i="4"/>
  <c r="G10" i="4" s="1"/>
  <c r="F296" i="4"/>
  <c r="G296" i="4" s="1"/>
  <c r="F299" i="4"/>
  <c r="G299" i="4" s="1"/>
  <c r="G32" i="4"/>
  <c r="G30" i="4"/>
  <c r="G108" i="4"/>
  <c r="G90" i="4"/>
  <c r="G16" i="4"/>
  <c r="F18" i="4"/>
  <c r="G18" i="4" s="1"/>
  <c r="F31" i="4"/>
  <c r="G31" i="4" s="1"/>
  <c r="G44" i="4"/>
  <c r="F46" i="4"/>
  <c r="G46" i="4" s="1"/>
  <c r="F59" i="4"/>
  <c r="G59" i="4" s="1"/>
  <c r="G72" i="4"/>
  <c r="F74" i="4"/>
  <c r="G74" i="4" s="1"/>
  <c r="F88" i="4"/>
  <c r="G88" i="4" s="1"/>
  <c r="F102" i="4"/>
  <c r="G102" i="4" s="1"/>
  <c r="F116" i="4"/>
  <c r="G116" i="4" s="1"/>
  <c r="F130" i="4"/>
  <c r="G130" i="4" s="1"/>
  <c r="F191" i="4"/>
  <c r="G191" i="4" s="1"/>
  <c r="F209" i="4"/>
  <c r="G209" i="4" s="1"/>
  <c r="F260" i="4"/>
  <c r="G260" i="4" s="1"/>
  <c r="F265" i="4"/>
  <c r="G265" i="4" s="1"/>
  <c r="F282" i="4"/>
  <c r="G282" i="4" s="1"/>
  <c r="F285" i="4"/>
  <c r="G285" i="4" s="1"/>
  <c r="F673" i="4"/>
  <c r="G673" i="4" s="1"/>
  <c r="F60" i="4"/>
  <c r="G60" i="4" s="1"/>
  <c r="F135" i="4"/>
  <c r="G135" i="4" s="1"/>
  <c r="F149" i="4"/>
  <c r="G149" i="4" s="1"/>
  <c r="F163" i="4"/>
  <c r="G163" i="4" s="1"/>
  <c r="F177" i="4"/>
  <c r="G177" i="4" s="1"/>
  <c r="F194" i="4"/>
  <c r="G194" i="4" s="1"/>
  <c r="F202" i="4"/>
  <c r="G202" i="4" s="1"/>
  <c r="F228" i="4"/>
  <c r="G228" i="4" s="1"/>
  <c r="F268" i="4"/>
  <c r="G268" i="4" s="1"/>
  <c r="F271" i="4"/>
  <c r="G271" i="4" s="1"/>
  <c r="F352" i="4"/>
  <c r="G352" i="4" s="1"/>
  <c r="F242" i="4"/>
  <c r="G242" i="4" s="1"/>
  <c r="G94" i="4"/>
  <c r="G276" i="4"/>
  <c r="F507" i="4"/>
  <c r="G507" i="4" s="1"/>
  <c r="F14" i="4"/>
  <c r="G14" i="4" s="1"/>
  <c r="F27" i="4"/>
  <c r="G27" i="4" s="1"/>
  <c r="F42" i="4"/>
  <c r="G42" i="4" s="1"/>
  <c r="F55" i="4"/>
  <c r="G55" i="4" s="1"/>
  <c r="F70" i="4"/>
  <c r="G70" i="4" s="1"/>
  <c r="F86" i="4"/>
  <c r="G86" i="4" s="1"/>
  <c r="F100" i="4"/>
  <c r="G100" i="4" s="1"/>
  <c r="F114" i="4"/>
  <c r="G114" i="4" s="1"/>
  <c r="F128" i="4"/>
  <c r="G128" i="4" s="1"/>
  <c r="F215" i="4"/>
  <c r="G215" i="4" s="1"/>
  <c r="F358" i="4"/>
  <c r="G358" i="4" s="1"/>
  <c r="G132" i="4"/>
  <c r="F394" i="4"/>
  <c r="G394" i="4" s="1"/>
  <c r="F989" i="4"/>
  <c r="G989" i="4" s="1"/>
  <c r="G5" i="4"/>
  <c r="G38" i="4"/>
  <c r="F40" i="4"/>
  <c r="G40" i="4" s="1"/>
  <c r="G66" i="4"/>
  <c r="F68" i="4"/>
  <c r="G68" i="4" s="1"/>
  <c r="G84" i="4"/>
  <c r="G98" i="4"/>
  <c r="G112" i="4"/>
  <c r="G126" i="4"/>
  <c r="G140" i="4"/>
  <c r="G154" i="4"/>
  <c r="G168" i="4"/>
  <c r="G182" i="4"/>
  <c r="F189" i="4"/>
  <c r="G189" i="4" s="1"/>
  <c r="G247" i="4"/>
  <c r="F258" i="4"/>
  <c r="G258" i="4" s="1"/>
  <c r="F297" i="4"/>
  <c r="G297" i="4" s="1"/>
  <c r="G314" i="4"/>
  <c r="F370" i="4"/>
  <c r="G370" i="4" s="1"/>
  <c r="F415" i="4"/>
  <c r="G415" i="4" s="1"/>
  <c r="F443" i="4"/>
  <c r="G443" i="4" s="1"/>
  <c r="G195" i="4"/>
  <c r="G223" i="4"/>
  <c r="G251" i="4"/>
  <c r="F273" i="4"/>
  <c r="G273" i="4" s="1"/>
  <c r="F287" i="4"/>
  <c r="G287" i="4" s="1"/>
  <c r="F301" i="4"/>
  <c r="G301" i="4" s="1"/>
  <c r="I439" i="4"/>
  <c r="F442" i="4"/>
  <c r="G442" i="4" s="1"/>
  <c r="I451" i="4"/>
  <c r="G469" i="4"/>
  <c r="F481" i="4"/>
  <c r="G481" i="4" s="1"/>
  <c r="F490" i="4"/>
  <c r="G490" i="4" s="1"/>
  <c r="F660" i="4"/>
  <c r="G660" i="4" s="1"/>
  <c r="F663" i="4"/>
  <c r="G663" i="4" s="1"/>
  <c r="I703" i="4"/>
  <c r="G249" i="4"/>
  <c r="F466" i="4"/>
  <c r="G466" i="4" s="1"/>
  <c r="F478" i="4"/>
  <c r="G478" i="4" s="1"/>
  <c r="G535" i="4"/>
  <c r="G787" i="4"/>
  <c r="F458" i="4"/>
  <c r="G458" i="4" s="1"/>
  <c r="F473" i="4"/>
  <c r="G473" i="4" s="1"/>
  <c r="G211" i="4"/>
  <c r="F213" i="4"/>
  <c r="G213" i="4" s="1"/>
  <c r="G239" i="4"/>
  <c r="F241" i="4"/>
  <c r="G241" i="4" s="1"/>
  <c r="F267" i="4"/>
  <c r="G267" i="4" s="1"/>
  <c r="F281" i="4"/>
  <c r="G281" i="4" s="1"/>
  <c r="F295" i="4"/>
  <c r="G295" i="4" s="1"/>
  <c r="G412" i="4"/>
  <c r="F464" i="4"/>
  <c r="G464" i="4" s="1"/>
  <c r="G533" i="4"/>
  <c r="I634" i="4"/>
  <c r="F858" i="4"/>
  <c r="G858" i="4" s="1"/>
  <c r="F279" i="4"/>
  <c r="G279" i="4" s="1"/>
  <c r="F293" i="4"/>
  <c r="G293" i="4" s="1"/>
  <c r="F429" i="4"/>
  <c r="G429" i="4" s="1"/>
  <c r="F444" i="4"/>
  <c r="G444" i="4" s="1"/>
  <c r="F683" i="4"/>
  <c r="G683" i="4" s="1"/>
  <c r="F801" i="4"/>
  <c r="G801" i="4" s="1"/>
  <c r="F192" i="4"/>
  <c r="G192" i="4" s="1"/>
  <c r="G205" i="4"/>
  <c r="F207" i="4"/>
  <c r="G207" i="4" s="1"/>
  <c r="F220" i="4"/>
  <c r="G220" i="4" s="1"/>
  <c r="G233" i="4"/>
  <c r="F235" i="4"/>
  <c r="G235" i="4" s="1"/>
  <c r="F248" i="4"/>
  <c r="G248" i="4" s="1"/>
  <c r="G261" i="4"/>
  <c r="F263" i="4"/>
  <c r="G263" i="4" s="1"/>
  <c r="F320" i="4"/>
  <c r="G320" i="4" s="1"/>
  <c r="F348" i="4"/>
  <c r="G348" i="4" s="1"/>
  <c r="F376" i="4"/>
  <c r="G376" i="4" s="1"/>
  <c r="F390" i="4"/>
  <c r="G390" i="4" s="1"/>
  <c r="F405" i="4"/>
  <c r="G405" i="4" s="1"/>
  <c r="F421" i="4"/>
  <c r="G421" i="4" s="1"/>
  <c r="F519" i="4"/>
  <c r="G519" i="4" s="1"/>
  <c r="F862" i="4"/>
  <c r="G862" i="4" s="1"/>
  <c r="G203" i="4"/>
  <c r="G231" i="4"/>
  <c r="G259" i="4"/>
  <c r="F277" i="4"/>
  <c r="G277" i="4" s="1"/>
  <c r="F291" i="4"/>
  <c r="G291" i="4" s="1"/>
  <c r="I453" i="4"/>
  <c r="F456" i="4"/>
  <c r="G456" i="4" s="1"/>
  <c r="F468" i="4"/>
  <c r="G468" i="4" s="1"/>
  <c r="G471" i="4"/>
  <c r="F480" i="4"/>
  <c r="G480" i="4" s="1"/>
  <c r="G531" i="4"/>
  <c r="F632" i="4"/>
  <c r="G632" i="4" s="1"/>
  <c r="F650" i="4"/>
  <c r="G650" i="4" s="1"/>
  <c r="F656" i="4"/>
  <c r="G656" i="4" s="1"/>
  <c r="F727" i="4"/>
  <c r="G727" i="4" s="1"/>
  <c r="G227" i="4"/>
  <c r="G255" i="4"/>
  <c r="F275" i="4"/>
  <c r="G275" i="4" s="1"/>
  <c r="F289" i="4"/>
  <c r="G289" i="4" s="1"/>
  <c r="F303" i="4"/>
  <c r="G303" i="4" s="1"/>
  <c r="F346" i="4"/>
  <c r="G346" i="4" s="1"/>
  <c r="F374" i="4"/>
  <c r="G374" i="4" s="1"/>
  <c r="G400" i="4"/>
  <c r="F416" i="4"/>
  <c r="G416" i="4" s="1"/>
  <c r="F419" i="4"/>
  <c r="G419" i="4" s="1"/>
  <c r="F430" i="4"/>
  <c r="G430" i="4" s="1"/>
  <c r="G499" i="4"/>
  <c r="I537" i="4"/>
  <c r="F594" i="4"/>
  <c r="G594" i="4"/>
  <c r="G197" i="4"/>
  <c r="F199" i="4"/>
  <c r="G199" i="4" s="1"/>
  <c r="G225" i="4"/>
  <c r="G253" i="4"/>
  <c r="F493" i="4"/>
  <c r="G493" i="4" s="1"/>
  <c r="F544" i="4"/>
  <c r="G544" i="4" s="1"/>
  <c r="F566" i="4"/>
  <c r="G566" i="4" s="1"/>
  <c r="F773" i="4"/>
  <c r="G773" i="4" s="1"/>
  <c r="F785" i="4"/>
  <c r="G785" i="4" s="1"/>
  <c r="G815" i="4"/>
  <c r="F404" i="4"/>
  <c r="G404" i="4" s="1"/>
  <c r="F418" i="4"/>
  <c r="G418" i="4" s="1"/>
  <c r="F432" i="4"/>
  <c r="G432" i="4" s="1"/>
  <c r="F446" i="4"/>
  <c r="G446" i="4" s="1"/>
  <c r="G484" i="4"/>
  <c r="G494" i="4"/>
  <c r="G508" i="4"/>
  <c r="G550" i="4"/>
  <c r="F572" i="4"/>
  <c r="G572" i="4"/>
  <c r="G630" i="4"/>
  <c r="F744" i="4"/>
  <c r="G744" i="4" s="1"/>
  <c r="G776" i="4"/>
  <c r="F895" i="4"/>
  <c r="G895" i="4" s="1"/>
  <c r="F917" i="4"/>
  <c r="G917" i="4" s="1"/>
  <c r="F463" i="4"/>
  <c r="G463" i="4" s="1"/>
  <c r="F506" i="4"/>
  <c r="G506" i="4" s="1"/>
  <c r="G559" i="4"/>
  <c r="F600" i="4"/>
  <c r="G600" i="4" s="1"/>
  <c r="F622" i="4"/>
  <c r="G622" i="4" s="1"/>
  <c r="F711" i="4"/>
  <c r="G711" i="4" s="1"/>
  <c r="I849" i="4"/>
  <c r="F988" i="4"/>
  <c r="G988" i="4" s="1"/>
  <c r="F804" i="4"/>
  <c r="G804" i="4" s="1"/>
  <c r="F890" i="4"/>
  <c r="G890" i="4" s="1"/>
  <c r="F960" i="4"/>
  <c r="G960" i="4" s="1"/>
  <c r="F985" i="4"/>
  <c r="G985" i="4" s="1"/>
  <c r="G440" i="4"/>
  <c r="G516" i="4"/>
  <c r="F521" i="4"/>
  <c r="G521" i="4" s="1"/>
  <c r="G548" i="4"/>
  <c r="F551" i="4"/>
  <c r="G551" i="4" s="1"/>
  <c r="F587" i="4"/>
  <c r="G587" i="4" s="1"/>
  <c r="G609" i="4"/>
  <c r="G615" i="4"/>
  <c r="G637" i="4"/>
  <c r="G643" i="4"/>
  <c r="F671" i="4"/>
  <c r="G671" i="4" s="1"/>
  <c r="F697" i="4"/>
  <c r="G697" i="4" s="1"/>
  <c r="G715" i="4"/>
  <c r="I789" i="4"/>
  <c r="F798" i="4"/>
  <c r="G798" i="4" s="1"/>
  <c r="F957" i="4"/>
  <c r="G957" i="4" s="1"/>
  <c r="G410" i="4"/>
  <c r="G424" i="4"/>
  <c r="G438" i="4"/>
  <c r="F579" i="4"/>
  <c r="G579" i="4" s="1"/>
  <c r="F607" i="4"/>
  <c r="G607" i="4" s="1"/>
  <c r="F796" i="4"/>
  <c r="G796" i="4" s="1"/>
  <c r="F820" i="4"/>
  <c r="G820" i="4" s="1"/>
  <c r="F408" i="4"/>
  <c r="G408" i="4" s="1"/>
  <c r="F422" i="4"/>
  <c r="G422" i="4" s="1"/>
  <c r="F436" i="4"/>
  <c r="G436" i="4" s="1"/>
  <c r="F450" i="4"/>
  <c r="G450" i="4" s="1"/>
  <c r="F467" i="4"/>
  <c r="G467" i="4" s="1"/>
  <c r="F505" i="4"/>
  <c r="G505" i="4" s="1"/>
  <c r="G512" i="4"/>
  <c r="G522" i="4"/>
  <c r="F529" i="4"/>
  <c r="G529" i="4" s="1"/>
  <c r="G536" i="4"/>
  <c r="G546" i="4"/>
  <c r="F585" i="4"/>
  <c r="G585" i="4" s="1"/>
  <c r="F635" i="4"/>
  <c r="G635" i="4" s="1"/>
  <c r="F669" i="4"/>
  <c r="G669" i="4" s="1"/>
  <c r="F743" i="4"/>
  <c r="G743" i="4" s="1"/>
  <c r="F305" i="4"/>
  <c r="G305" i="4" s="1"/>
  <c r="F307" i="4"/>
  <c r="G307" i="4" s="1"/>
  <c r="F309" i="4"/>
  <c r="G309" i="4" s="1"/>
  <c r="F311" i="4"/>
  <c r="G311" i="4" s="1"/>
  <c r="F313" i="4"/>
  <c r="G313" i="4" s="1"/>
  <c r="F315" i="4"/>
  <c r="G315" i="4" s="1"/>
  <c r="F317" i="4"/>
  <c r="G317" i="4" s="1"/>
  <c r="F319" i="4"/>
  <c r="G319" i="4" s="1"/>
  <c r="F321" i="4"/>
  <c r="G321" i="4" s="1"/>
  <c r="F323" i="4"/>
  <c r="G323" i="4" s="1"/>
  <c r="F325" i="4"/>
  <c r="G325" i="4" s="1"/>
  <c r="F327" i="4"/>
  <c r="G327" i="4" s="1"/>
  <c r="F329" i="4"/>
  <c r="G329" i="4" s="1"/>
  <c r="F331" i="4"/>
  <c r="G331" i="4" s="1"/>
  <c r="F333" i="4"/>
  <c r="G333" i="4" s="1"/>
  <c r="F335" i="4"/>
  <c r="G335" i="4" s="1"/>
  <c r="F337" i="4"/>
  <c r="G337" i="4" s="1"/>
  <c r="F339" i="4"/>
  <c r="G339" i="4" s="1"/>
  <c r="F341" i="4"/>
  <c r="G341" i="4" s="1"/>
  <c r="F343" i="4"/>
  <c r="G343" i="4" s="1"/>
  <c r="F345" i="4"/>
  <c r="G345" i="4" s="1"/>
  <c r="F347" i="4"/>
  <c r="G347" i="4" s="1"/>
  <c r="F349" i="4"/>
  <c r="G349" i="4" s="1"/>
  <c r="F351" i="4"/>
  <c r="G351" i="4" s="1"/>
  <c r="F353" i="4"/>
  <c r="G353" i="4" s="1"/>
  <c r="F355" i="4"/>
  <c r="G355" i="4" s="1"/>
  <c r="F357" i="4"/>
  <c r="G357" i="4" s="1"/>
  <c r="F359" i="4"/>
  <c r="G359" i="4" s="1"/>
  <c r="F361" i="4"/>
  <c r="G361" i="4" s="1"/>
  <c r="F363" i="4"/>
  <c r="G363" i="4" s="1"/>
  <c r="F365" i="4"/>
  <c r="G365" i="4" s="1"/>
  <c r="F367" i="4"/>
  <c r="G367" i="4" s="1"/>
  <c r="F369" i="4"/>
  <c r="G369" i="4" s="1"/>
  <c r="F371" i="4"/>
  <c r="G371" i="4" s="1"/>
  <c r="F373" i="4"/>
  <c r="G373" i="4" s="1"/>
  <c r="F375" i="4"/>
  <c r="G375" i="4" s="1"/>
  <c r="G574" i="4"/>
  <c r="F613" i="4"/>
  <c r="G613" i="4" s="1"/>
  <c r="F641" i="4"/>
  <c r="G641" i="4" s="1"/>
  <c r="F740" i="4"/>
  <c r="G740" i="4" s="1"/>
  <c r="F937" i="4"/>
  <c r="G937" i="4" s="1"/>
  <c r="F406" i="4"/>
  <c r="G406" i="4" s="1"/>
  <c r="F420" i="4"/>
  <c r="G420" i="4" s="1"/>
  <c r="F434" i="4"/>
  <c r="G434" i="4" s="1"/>
  <c r="F448" i="4"/>
  <c r="G448" i="4" s="1"/>
  <c r="G465" i="4"/>
  <c r="G486" i="4"/>
  <c r="F491" i="4"/>
  <c r="G491" i="4" s="1"/>
  <c r="G496" i="4"/>
  <c r="G510" i="4"/>
  <c r="F534" i="4"/>
  <c r="G534" i="4" s="1"/>
  <c r="G658" i="4"/>
  <c r="I684" i="4"/>
  <c r="F687" i="4"/>
  <c r="G687" i="4" s="1"/>
  <c r="F873" i="4"/>
  <c r="G873" i="4" s="1"/>
  <c r="G636" i="4"/>
  <c r="G664" i="4"/>
  <c r="G729" i="4"/>
  <c r="F756" i="4"/>
  <c r="G756" i="4" s="1"/>
  <c r="G770" i="4"/>
  <c r="G817" i="4"/>
  <c r="F966" i="4"/>
  <c r="G966" i="4" s="1"/>
  <c r="G570" i="4"/>
  <c r="G626" i="4"/>
  <c r="G654" i="4"/>
  <c r="G735" i="4"/>
  <c r="G757" i="4"/>
  <c r="I765" i="4"/>
  <c r="F768" i="4"/>
  <c r="G768" i="4" s="1"/>
  <c r="F824" i="4"/>
  <c r="G824" i="4" s="1"/>
  <c r="F827" i="4"/>
  <c r="G827" i="4" s="1"/>
  <c r="F844" i="4"/>
  <c r="G844" i="4" s="1"/>
  <c r="F847" i="4"/>
  <c r="G847" i="4" s="1"/>
  <c r="F868" i="4"/>
  <c r="G868" i="4" s="1"/>
  <c r="F931" i="4"/>
  <c r="G931" i="4" s="1"/>
  <c r="G952" i="4"/>
  <c r="I741" i="4"/>
  <c r="G813" i="4"/>
  <c r="G839" i="4"/>
  <c r="F859" i="4"/>
  <c r="G859" i="4" s="1"/>
  <c r="F887" i="4"/>
  <c r="G887" i="4" s="1"/>
  <c r="F549" i="4"/>
  <c r="G549" i="4" s="1"/>
  <c r="F974" i="4"/>
  <c r="G974" i="4" s="1"/>
  <c r="F547" i="4"/>
  <c r="G547" i="4" s="1"/>
  <c r="G562" i="4"/>
  <c r="F575" i="4"/>
  <c r="G575" i="4" s="1"/>
  <c r="G590" i="4"/>
  <c r="F603" i="4"/>
  <c r="G603" i="4" s="1"/>
  <c r="G618" i="4"/>
  <c r="F631" i="4"/>
  <c r="G631" i="4" s="1"/>
  <c r="G646" i="4"/>
  <c r="F659" i="4"/>
  <c r="G659" i="4" s="1"/>
  <c r="F681" i="4"/>
  <c r="G681" i="4" s="1"/>
  <c r="F695" i="4"/>
  <c r="G695" i="4" s="1"/>
  <c r="F709" i="4"/>
  <c r="G709" i="4" s="1"/>
  <c r="G723" i="4"/>
  <c r="G763" i="4"/>
  <c r="G947" i="4"/>
  <c r="F971" i="4"/>
  <c r="G971" i="4" s="1"/>
  <c r="F755" i="4"/>
  <c r="G755" i="4" s="1"/>
  <c r="F758" i="4"/>
  <c r="G758" i="4" s="1"/>
  <c r="F891" i="4"/>
  <c r="G891" i="4" s="1"/>
  <c r="F938" i="4"/>
  <c r="G938" i="4" s="1"/>
  <c r="F459" i="4"/>
  <c r="G459" i="4" s="1"/>
  <c r="G474" i="4"/>
  <c r="F487" i="4"/>
  <c r="G487" i="4" s="1"/>
  <c r="G502" i="4"/>
  <c r="F515" i="4"/>
  <c r="G515" i="4" s="1"/>
  <c r="G530" i="4"/>
  <c r="F543" i="4"/>
  <c r="G543" i="4" s="1"/>
  <c r="G558" i="4"/>
  <c r="F571" i="4"/>
  <c r="G571" i="4" s="1"/>
  <c r="G586" i="4"/>
  <c r="F599" i="4"/>
  <c r="G599" i="4" s="1"/>
  <c r="G614" i="4"/>
  <c r="F627" i="4"/>
  <c r="G627" i="4" s="1"/>
  <c r="G642" i="4"/>
  <c r="F655" i="4"/>
  <c r="G655" i="4" s="1"/>
  <c r="F679" i="4"/>
  <c r="G679" i="4" s="1"/>
  <c r="F693" i="4"/>
  <c r="G693" i="4" s="1"/>
  <c r="F707" i="4"/>
  <c r="G707" i="4" s="1"/>
  <c r="F721" i="4"/>
  <c r="G721" i="4" s="1"/>
  <c r="G731" i="4"/>
  <c r="F783" i="4"/>
  <c r="G783" i="4" s="1"/>
  <c r="F786" i="4"/>
  <c r="G786" i="4" s="1"/>
  <c r="F800" i="4"/>
  <c r="G800" i="4" s="1"/>
  <c r="G831" i="4"/>
  <c r="F834" i="4"/>
  <c r="G834" i="4" s="1"/>
  <c r="G903" i="4"/>
  <c r="G472" i="4"/>
  <c r="G500" i="4"/>
  <c r="G528" i="4"/>
  <c r="G556" i="4"/>
  <c r="G584" i="4"/>
  <c r="G612" i="4"/>
  <c r="G640" i="4"/>
  <c r="F742" i="4"/>
  <c r="G742" i="4" s="1"/>
  <c r="G745" i="4"/>
  <c r="F811" i="4"/>
  <c r="G811" i="4" s="1"/>
  <c r="F814" i="4"/>
  <c r="G814" i="4" s="1"/>
  <c r="F840" i="4"/>
  <c r="G840" i="4" s="1"/>
  <c r="F854" i="4"/>
  <c r="G854" i="4" s="1"/>
  <c r="F876" i="4"/>
  <c r="G876" i="4" s="1"/>
  <c r="F929" i="4"/>
  <c r="G929" i="4" s="1"/>
  <c r="F771" i="4"/>
  <c r="G771" i="4" s="1"/>
  <c r="F784" i="4"/>
  <c r="G784" i="4" s="1"/>
  <c r="F799" i="4"/>
  <c r="G799" i="4" s="1"/>
  <c r="F812" i="4"/>
  <c r="G812" i="4" s="1"/>
  <c r="F821" i="4"/>
  <c r="G821" i="4" s="1"/>
  <c r="G828" i="4"/>
  <c r="F833" i="4"/>
  <c r="G833" i="4" s="1"/>
  <c r="F848" i="4"/>
  <c r="G848" i="4" s="1"/>
  <c r="F853" i="4"/>
  <c r="G853" i="4" s="1"/>
  <c r="F875" i="4"/>
  <c r="G875" i="4" s="1"/>
  <c r="F910" i="4"/>
  <c r="G910" i="4" s="1"/>
  <c r="F932" i="4"/>
  <c r="G932" i="4" s="1"/>
  <c r="F951" i="4"/>
  <c r="G951" i="4" s="1"/>
  <c r="F973" i="4"/>
  <c r="G973" i="4" s="1"/>
  <c r="F843" i="4"/>
  <c r="G843" i="4" s="1"/>
  <c r="F872" i="4"/>
  <c r="G872" i="4" s="1"/>
  <c r="G905" i="4"/>
  <c r="F943" i="4"/>
  <c r="G943" i="4" s="1"/>
  <c r="G826" i="4"/>
  <c r="F838" i="4"/>
  <c r="G838" i="4" s="1"/>
  <c r="F846" i="4"/>
  <c r="G846" i="4" s="1"/>
  <c r="G856" i="4"/>
  <c r="F867" i="4"/>
  <c r="G867" i="4" s="1"/>
  <c r="F924" i="4"/>
  <c r="G924" i="4" s="1"/>
  <c r="F946" i="4"/>
  <c r="G946" i="4" s="1"/>
  <c r="F965" i="4"/>
  <c r="G965" i="4" s="1"/>
  <c r="F836" i="4"/>
  <c r="G836" i="4" s="1"/>
  <c r="F881" i="4"/>
  <c r="G881" i="4" s="1"/>
  <c r="F979" i="4"/>
  <c r="G979" i="4" s="1"/>
  <c r="F909" i="4"/>
  <c r="G909" i="4" s="1"/>
  <c r="F738" i="4"/>
  <c r="G738" i="4" s="1"/>
  <c r="F753" i="4"/>
  <c r="G753" i="4" s="1"/>
  <c r="F766" i="4"/>
  <c r="G766" i="4" s="1"/>
  <c r="F781" i="4"/>
  <c r="G781" i="4" s="1"/>
  <c r="F794" i="4"/>
  <c r="G794" i="4" s="1"/>
  <c r="F809" i="4"/>
  <c r="G809" i="4" s="1"/>
  <c r="F832" i="4"/>
  <c r="G832" i="4" s="1"/>
  <c r="G842" i="4"/>
  <c r="G863" i="4"/>
  <c r="F901" i="4"/>
  <c r="G901" i="4" s="1"/>
  <c r="G961" i="4"/>
  <c r="F882" i="4"/>
  <c r="G882" i="4" s="1"/>
  <c r="F904" i="4"/>
  <c r="G904" i="4" s="1"/>
  <c r="F923" i="4"/>
  <c r="G923" i="4" s="1"/>
  <c r="F945" i="4"/>
  <c r="G945" i="4" s="1"/>
  <c r="F980" i="4"/>
  <c r="G980" i="4" s="1"/>
  <c r="G877" i="4"/>
  <c r="G896" i="4"/>
  <c r="F915" i="4"/>
  <c r="G915" i="4" s="1"/>
  <c r="G918" i="4"/>
  <c r="G975" i="4"/>
  <c r="G994" i="4"/>
  <c r="F860" i="4"/>
  <c r="G860" i="4" s="1"/>
  <c r="F874" i="4"/>
  <c r="G874" i="4" s="1"/>
  <c r="F888" i="4"/>
  <c r="G888" i="4" s="1"/>
  <c r="F902" i="4"/>
  <c r="G902" i="4" s="1"/>
  <c r="F916" i="4"/>
  <c r="G916" i="4" s="1"/>
  <c r="F930" i="4"/>
  <c r="G930" i="4" s="1"/>
  <c r="F944" i="4"/>
  <c r="G944" i="4" s="1"/>
  <c r="F958" i="4"/>
  <c r="G958" i="4" s="1"/>
  <c r="F972" i="4"/>
  <c r="G972" i="4" s="1"/>
  <c r="F986" i="4"/>
  <c r="G986" i="4" s="1"/>
  <c r="F1000" i="4"/>
  <c r="G1000" i="4" s="1"/>
  <c r="G886" i="4"/>
  <c r="G900" i="4"/>
  <c r="G914" i="4"/>
  <c r="G928" i="4"/>
  <c r="G942" i="4"/>
  <c r="G956" i="4"/>
  <c r="G970" i="4"/>
  <c r="G984" i="4"/>
  <c r="G998" i="4"/>
  <c r="G870" i="4"/>
  <c r="G884" i="4"/>
  <c r="G898" i="4"/>
  <c r="G912" i="4"/>
  <c r="G926" i="4"/>
  <c r="G940" i="4"/>
  <c r="G954" i="4"/>
  <c r="G968" i="4"/>
  <c r="G982" i="4"/>
  <c r="G996" i="4"/>
  <c r="G852" i="4"/>
  <c r="G866" i="4"/>
  <c r="G880" i="4"/>
  <c r="G894" i="4"/>
  <c r="G908" i="4"/>
  <c r="G922" i="4"/>
  <c r="G936" i="4"/>
  <c r="G950" i="4"/>
  <c r="G964" i="4"/>
  <c r="G978" i="4"/>
  <c r="G992" i="4"/>
  <c r="F857" i="4"/>
  <c r="G857" i="4" s="1"/>
  <c r="F871" i="4"/>
  <c r="G871" i="4" s="1"/>
  <c r="F885" i="4"/>
  <c r="G885" i="4" s="1"/>
  <c r="F899" i="4"/>
  <c r="G899" i="4" s="1"/>
  <c r="F913" i="4"/>
  <c r="G913" i="4" s="1"/>
  <c r="F927" i="4"/>
  <c r="G927" i="4" s="1"/>
  <c r="F941" i="4"/>
  <c r="G941" i="4" s="1"/>
  <c r="F955" i="4"/>
  <c r="G955" i="4" s="1"/>
  <c r="F969" i="4"/>
  <c r="G969" i="4" s="1"/>
  <c r="F983" i="4"/>
  <c r="G983" i="4" s="1"/>
  <c r="F850" i="4"/>
  <c r="G850" i="4" s="1"/>
  <c r="F864" i="4"/>
  <c r="G864" i="4" s="1"/>
  <c r="F878" i="4"/>
  <c r="G878" i="4" s="1"/>
  <c r="F892" i="4"/>
  <c r="G892" i="4" s="1"/>
  <c r="F906" i="4"/>
  <c r="G906" i="4" s="1"/>
  <c r="F920" i="4"/>
  <c r="G920" i="4" s="1"/>
  <c r="F934" i="4"/>
  <c r="G934" i="4" s="1"/>
  <c r="F948" i="4"/>
  <c r="G948" i="4" s="1"/>
  <c r="F962" i="4"/>
  <c r="G962" i="4" s="1"/>
  <c r="F976" i="4"/>
  <c r="G976" i="4" s="1"/>
  <c r="F990" i="4"/>
  <c r="G990" i="4" s="1"/>
  <c r="I659" i="4" l="1"/>
  <c r="I544" i="4"/>
  <c r="I566" i="4"/>
  <c r="I820" i="4"/>
  <c r="I17" i="4"/>
  <c r="I583" i="4"/>
  <c r="I679" i="4"/>
  <c r="I872" i="4"/>
  <c r="I491" i="4"/>
  <c r="I446" i="4"/>
  <c r="I276" i="4"/>
  <c r="I152" i="4"/>
  <c r="I904" i="4"/>
  <c r="I817" i="4"/>
  <c r="I197" i="4"/>
  <c r="I94" i="4"/>
  <c r="I332" i="4"/>
  <c r="I596" i="4"/>
  <c r="I929" i="4"/>
  <c r="I798" i="4"/>
  <c r="I478" i="4"/>
  <c r="I171" i="4"/>
  <c r="I240" i="4"/>
  <c r="I589" i="4"/>
  <c r="I852" i="4"/>
  <c r="I758" i="4"/>
  <c r="I450" i="4"/>
  <c r="I464" i="4"/>
  <c r="I50" i="4"/>
  <c r="I662" i="4"/>
  <c r="I932" i="4"/>
  <c r="I436" i="4"/>
  <c r="I223" i="4"/>
  <c r="I692" i="4"/>
  <c r="I920" i="4"/>
  <c r="I910" i="4"/>
  <c r="I361" i="4"/>
  <c r="I986" i="4"/>
  <c r="I838" i="4"/>
  <c r="I721" i="4"/>
  <c r="I859" i="4"/>
  <c r="I613" i="4"/>
  <c r="I607" i="4"/>
  <c r="I936" i="4"/>
  <c r="I766" i="4"/>
  <c r="I612" i="4"/>
  <c r="I707" i="4"/>
  <c r="I502" i="4"/>
  <c r="I681" i="4"/>
  <c r="I839" i="4"/>
  <c r="I654" i="4"/>
  <c r="I534" i="4"/>
  <c r="I574" i="4"/>
  <c r="I349" i="4"/>
  <c r="I321" i="4"/>
  <c r="I536" i="4"/>
  <c r="I579" i="4"/>
  <c r="I609" i="4"/>
  <c r="I508" i="4"/>
  <c r="I493" i="4"/>
  <c r="I346" i="4"/>
  <c r="I456" i="4"/>
  <c r="I320" i="4"/>
  <c r="I293" i="4"/>
  <c r="I211" i="4"/>
  <c r="I258" i="4"/>
  <c r="I38" i="4"/>
  <c r="I27" i="4"/>
  <c r="I149" i="4"/>
  <c r="I74" i="4"/>
  <c r="I10" i="4"/>
  <c r="I257" i="4"/>
  <c r="I342" i="4"/>
  <c r="I155" i="4"/>
  <c r="I380" i="4"/>
  <c r="I200" i="4"/>
  <c r="I73" i="4"/>
  <c r="I476" i="4"/>
  <c r="I387" i="4"/>
  <c r="I733" i="4"/>
  <c r="I238" i="4"/>
  <c r="I736" i="4"/>
  <c r="I475" i="4"/>
  <c r="I109" i="4"/>
  <c r="I246" i="4"/>
  <c r="I186" i="4"/>
  <c r="I644" i="4"/>
  <c r="I33" i="4"/>
  <c r="I483" i="4"/>
  <c r="I188" i="4"/>
  <c r="I568" i="4"/>
  <c r="I805" i="4"/>
  <c r="I518" i="4"/>
  <c r="I520" i="4"/>
  <c r="I485" i="4"/>
  <c r="I894" i="4"/>
  <c r="I459" i="4"/>
  <c r="I199" i="4"/>
  <c r="I104" i="4"/>
  <c r="I452" i="4"/>
  <c r="I880" i="4"/>
  <c r="I642" i="4"/>
  <c r="I341" i="4"/>
  <c r="I255" i="4"/>
  <c r="I168" i="4"/>
  <c r="I99" i="4"/>
  <c r="I75" i="4"/>
  <c r="I962" i="4"/>
  <c r="I973" i="4"/>
  <c r="I465" i="4"/>
  <c r="I516" i="4"/>
  <c r="I533" i="4"/>
  <c r="I122" i="4"/>
  <c r="I224" i="4"/>
  <c r="I576" i="4"/>
  <c r="I836" i="4"/>
  <c r="I590" i="4"/>
  <c r="I203" i="4"/>
  <c r="I265" i="4"/>
  <c r="I110" i="4"/>
  <c r="I769" i="4"/>
  <c r="I165" i="4"/>
  <c r="I942" i="4"/>
  <c r="I755" i="4"/>
  <c r="I307" i="4"/>
  <c r="I656" i="4"/>
  <c r="I271" i="4"/>
  <c r="I69" i="4"/>
  <c r="I748" i="4"/>
  <c r="I792" i="4"/>
  <c r="I946" i="4"/>
  <c r="I420" i="4"/>
  <c r="I295" i="4"/>
  <c r="I950" i="4"/>
  <c r="I781" i="4"/>
  <c r="I640" i="4"/>
  <c r="I695" i="4"/>
  <c r="I658" i="4"/>
  <c r="I323" i="4"/>
  <c r="I615" i="4"/>
  <c r="I550" i="4"/>
  <c r="I468" i="4"/>
  <c r="I898" i="4"/>
  <c r="I877" i="4"/>
  <c r="I821" i="4"/>
  <c r="I922" i="4"/>
  <c r="I958" i="4"/>
  <c r="I980" i="4"/>
  <c r="I753" i="4"/>
  <c r="I943" i="4"/>
  <c r="I812" i="4"/>
  <c r="I584" i="4"/>
  <c r="I693" i="4"/>
  <c r="I487" i="4"/>
  <c r="I813" i="4"/>
  <c r="I626" i="4"/>
  <c r="I510" i="4"/>
  <c r="I375" i="4"/>
  <c r="I347" i="4"/>
  <c r="I319" i="4"/>
  <c r="I529" i="4"/>
  <c r="I438" i="4"/>
  <c r="I587" i="4"/>
  <c r="I622" i="4"/>
  <c r="I494" i="4"/>
  <c r="I253" i="4"/>
  <c r="I303" i="4"/>
  <c r="I263" i="4"/>
  <c r="I279" i="4"/>
  <c r="I473" i="4"/>
  <c r="I442" i="4"/>
  <c r="I247" i="4"/>
  <c r="I5" i="4"/>
  <c r="I14" i="4"/>
  <c r="I135" i="4"/>
  <c r="I72" i="4"/>
  <c r="I8" i="4"/>
  <c r="I217" i="4"/>
  <c r="I318" i="4"/>
  <c r="I54" i="4"/>
  <c r="I141" i="4"/>
  <c r="I256" i="4"/>
  <c r="I180" i="4"/>
  <c r="I807" i="4"/>
  <c r="I184" i="4"/>
  <c r="I720" i="4"/>
  <c r="I190" i="4"/>
  <c r="I639" i="4"/>
  <c r="I441" i="4"/>
  <c r="I81" i="4"/>
  <c r="I121" i="4"/>
  <c r="I174" i="4"/>
  <c r="I638" i="4"/>
  <c r="I991" i="4"/>
  <c r="I427" i="4"/>
  <c r="I495" i="4"/>
  <c r="I95" i="4"/>
  <c r="I552" i="4"/>
  <c r="I462" i="4"/>
  <c r="I470" i="4"/>
  <c r="I514" i="4"/>
  <c r="I930" i="4"/>
  <c r="I952" i="4"/>
  <c r="I275" i="4"/>
  <c r="I243" i="4"/>
  <c r="I383" i="4"/>
  <c r="I927" i="4"/>
  <c r="I500" i="4"/>
  <c r="I369" i="4"/>
  <c r="I432" i="4"/>
  <c r="I76" i="4"/>
  <c r="I749" i="4"/>
  <c r="I142" i="4"/>
  <c r="I970" i="4"/>
  <c r="I891" i="4"/>
  <c r="I339" i="4"/>
  <c r="I594" i="4"/>
  <c r="I358" i="4"/>
  <c r="I85" i="4"/>
  <c r="I604" i="4"/>
  <c r="I696" i="4"/>
  <c r="I948" i="4"/>
  <c r="I951" i="4"/>
  <c r="I448" i="4"/>
  <c r="I404" i="4"/>
  <c r="I251" i="4"/>
  <c r="I219" i="4"/>
  <c r="I702" i="4"/>
  <c r="I901" i="4"/>
  <c r="I844" i="4"/>
  <c r="I985" i="4"/>
  <c r="I412" i="4"/>
  <c r="I260" i="4"/>
  <c r="I96" i="4"/>
  <c r="I855" i="4"/>
  <c r="I294" i="4"/>
  <c r="I860" i="4"/>
  <c r="I586" i="4"/>
  <c r="I333" i="4"/>
  <c r="I519" i="4"/>
  <c r="I850" i="4"/>
  <c r="I912" i="4"/>
  <c r="I896" i="4"/>
  <c r="I828" i="4"/>
  <c r="I515" i="4"/>
  <c r="I735" i="4"/>
  <c r="I351" i="4"/>
  <c r="I546" i="4"/>
  <c r="I711" i="4"/>
  <c r="I374" i="4"/>
  <c r="I983" i="4"/>
  <c r="I972" i="4"/>
  <c r="I826" i="4"/>
  <c r="I969" i="4"/>
  <c r="I884" i="4"/>
  <c r="I955" i="4"/>
  <c r="I908" i="4"/>
  <c r="I870" i="4"/>
  <c r="I944" i="4"/>
  <c r="I945" i="4"/>
  <c r="I738" i="4"/>
  <c r="I905" i="4"/>
  <c r="I799" i="4"/>
  <c r="I556" i="4"/>
  <c r="I474" i="4"/>
  <c r="I646" i="4"/>
  <c r="I570" i="4"/>
  <c r="I496" i="4"/>
  <c r="I373" i="4"/>
  <c r="I345" i="4"/>
  <c r="I317" i="4"/>
  <c r="I522" i="4"/>
  <c r="I424" i="4"/>
  <c r="I551" i="4"/>
  <c r="I600" i="4"/>
  <c r="I484" i="4"/>
  <c r="I225" i="4"/>
  <c r="I289" i="4"/>
  <c r="I291" i="4"/>
  <c r="I261" i="4"/>
  <c r="I458" i="4"/>
  <c r="I189" i="4"/>
  <c r="I989" i="4"/>
  <c r="I507" i="4"/>
  <c r="I60" i="4"/>
  <c r="I59" i="4"/>
  <c r="I214" i="4"/>
  <c r="I196" i="4"/>
  <c r="I290" i="4"/>
  <c r="I52" i="4"/>
  <c r="I127" i="4"/>
  <c r="I232" i="4"/>
  <c r="I166" i="4"/>
  <c r="I628" i="4"/>
  <c r="I779" i="4"/>
  <c r="I399" i="4"/>
  <c r="I146" i="4"/>
  <c r="I676" i="4"/>
  <c r="I164" i="4"/>
  <c r="I131" i="4"/>
  <c r="I435" i="4"/>
  <c r="I65" i="4"/>
  <c r="I672" i="4"/>
  <c r="I151" i="4"/>
  <c r="I620" i="4"/>
  <c r="I935" i="4"/>
  <c r="I397" i="4"/>
  <c r="I51" i="4"/>
  <c r="I953" i="4"/>
  <c r="I730" i="4"/>
  <c r="I322" i="4"/>
  <c r="I372" i="4"/>
  <c r="I595" i="4"/>
  <c r="I675" i="4"/>
  <c r="I941" i="4"/>
  <c r="I528" i="4"/>
  <c r="I410" i="4"/>
  <c r="I787" i="4"/>
  <c r="I118" i="4"/>
  <c r="I385" i="4"/>
  <c r="I413" i="4"/>
  <c r="I148" i="4"/>
  <c r="I565" i="4"/>
  <c r="I580" i="4"/>
  <c r="I301" i="4"/>
  <c r="I343" i="4"/>
  <c r="I845" i="4"/>
  <c r="I990" i="4"/>
  <c r="I909" i="4"/>
  <c r="I655" i="4"/>
  <c r="I371" i="4"/>
  <c r="I512" i="4"/>
  <c r="I559" i="4"/>
  <c r="I858" i="4"/>
  <c r="I394" i="4"/>
  <c r="I46" i="4"/>
  <c r="I113" i="4"/>
  <c r="I557" i="4"/>
  <c r="I93" i="4"/>
  <c r="I916" i="4"/>
  <c r="I771" i="4"/>
  <c r="I931" i="4"/>
  <c r="I313" i="4"/>
  <c r="I521" i="4"/>
  <c r="I235" i="4"/>
  <c r="I285" i="4"/>
  <c r="I230" i="4"/>
  <c r="I115" i="4"/>
  <c r="I244" i="4"/>
  <c r="I264" i="4"/>
  <c r="I57" i="4"/>
  <c r="I667" i="4"/>
  <c r="I913" i="4"/>
  <c r="I882" i="4"/>
  <c r="I627" i="4"/>
  <c r="I770" i="4"/>
  <c r="I311" i="4"/>
  <c r="I418" i="4"/>
  <c r="I233" i="4"/>
  <c r="I154" i="4"/>
  <c r="I282" i="4"/>
  <c r="I63" i="4"/>
  <c r="I71" i="4"/>
  <c r="I125" i="4"/>
  <c r="I216" i="4"/>
  <c r="I704" i="4"/>
  <c r="I899" i="4"/>
  <c r="I961" i="4"/>
  <c r="I903" i="4"/>
  <c r="I756" i="4"/>
  <c r="I309" i="4"/>
  <c r="I917" i="4"/>
  <c r="I220" i="4"/>
  <c r="I140" i="4"/>
  <c r="I18" i="4"/>
  <c r="I129" i="4"/>
  <c r="I283" i="4"/>
  <c r="I592" i="4"/>
  <c r="I933" i="4"/>
  <c r="I477" i="4"/>
  <c r="I624" i="4"/>
  <c r="I504" i="4"/>
  <c r="I934" i="4"/>
  <c r="I874" i="4"/>
  <c r="I599" i="4"/>
  <c r="I729" i="4"/>
  <c r="I335" i="4"/>
  <c r="I895" i="4"/>
  <c r="I207" i="4"/>
  <c r="I126" i="4"/>
  <c r="I16" i="4"/>
  <c r="I201" i="4"/>
  <c r="I250" i="4"/>
  <c r="I181" i="4"/>
  <c r="I111" i="4"/>
  <c r="I162" i="4"/>
  <c r="I716" i="4"/>
  <c r="I982" i="4"/>
  <c r="I840" i="4"/>
  <c r="I562" i="4"/>
  <c r="I664" i="4"/>
  <c r="I697" i="4"/>
  <c r="I776" i="4"/>
  <c r="I650" i="4"/>
  <c r="I114" i="4"/>
  <c r="I209" i="4"/>
  <c r="I245" i="4"/>
  <c r="I198" i="4"/>
  <c r="I43" i="4"/>
  <c r="I82" i="4"/>
  <c r="I12" i="4"/>
  <c r="I685" i="4"/>
  <c r="I526" i="4"/>
  <c r="I159" i="4"/>
  <c r="I706" i="4"/>
  <c r="I498" i="4"/>
  <c r="I906" i="4"/>
  <c r="I914" i="4"/>
  <c r="I842" i="4"/>
  <c r="I814" i="4"/>
  <c r="I547" i="4"/>
  <c r="I406" i="4"/>
  <c r="I743" i="4"/>
  <c r="I890" i="4"/>
  <c r="I430" i="4"/>
  <c r="I192" i="4"/>
  <c r="I443" i="4"/>
  <c r="I228" i="4"/>
  <c r="I701" i="4"/>
  <c r="I20" i="4"/>
  <c r="I330" i="4"/>
  <c r="I41" i="4"/>
  <c r="I237" i="4"/>
  <c r="I62" i="4"/>
  <c r="I64" i="4"/>
  <c r="I170" i="4"/>
  <c r="I841" i="4"/>
  <c r="I825" i="4"/>
  <c r="I633" i="4"/>
  <c r="I252" i="4"/>
  <c r="I555" i="4"/>
  <c r="I582" i="4"/>
  <c r="I83" i="4"/>
  <c r="I266" i="4"/>
  <c r="I593" i="4"/>
  <c r="I153" i="4"/>
  <c r="I29" i="4"/>
  <c r="I560" i="4"/>
  <c r="I431" i="4"/>
  <c r="I226" i="4"/>
  <c r="I678" i="4"/>
  <c r="I830" i="4"/>
  <c r="I892" i="4"/>
  <c r="I992" i="4"/>
  <c r="I954" i="4"/>
  <c r="I900" i="4"/>
  <c r="I975" i="4"/>
  <c r="I832" i="4"/>
  <c r="I867" i="4"/>
  <c r="I853" i="4"/>
  <c r="I811" i="4"/>
  <c r="I786" i="4"/>
  <c r="I558" i="4"/>
  <c r="I763" i="4"/>
  <c r="I974" i="4"/>
  <c r="I768" i="4"/>
  <c r="I873" i="4"/>
  <c r="I937" i="4"/>
  <c r="I357" i="4"/>
  <c r="I329" i="4"/>
  <c r="I669" i="4"/>
  <c r="I671" i="4"/>
  <c r="I804" i="4"/>
  <c r="I630" i="4"/>
  <c r="I419" i="4"/>
  <c r="I531" i="4"/>
  <c r="I405" i="4"/>
  <c r="I801" i="4"/>
  <c r="I267" i="4"/>
  <c r="I660" i="4"/>
  <c r="I415" i="4"/>
  <c r="I84" i="4"/>
  <c r="I86" i="4"/>
  <c r="I202" i="4"/>
  <c r="I130" i="4"/>
  <c r="I30" i="4"/>
  <c r="I488" i="4"/>
  <c r="I272" i="4"/>
  <c r="I134" i="4"/>
  <c r="I324" i="4"/>
  <c r="I28" i="4"/>
  <c r="I286" i="4"/>
  <c r="I34" i="4"/>
  <c r="I36" i="4"/>
  <c r="I610" i="4"/>
  <c r="I167" i="4"/>
  <c r="I454" i="4"/>
  <c r="I822" i="4"/>
  <c r="I178" i="4"/>
  <c r="I407" i="4"/>
  <c r="I564" i="4"/>
  <c r="I254" i="4"/>
  <c r="I150" i="4"/>
  <c r="I538" i="4"/>
  <c r="I851" i="4"/>
  <c r="I767" i="4"/>
  <c r="I445" i="4"/>
  <c r="I652" i="4"/>
  <c r="I998" i="4"/>
  <c r="I966" i="4"/>
  <c r="I277" i="4"/>
  <c r="I26" i="4"/>
  <c r="I391" i="4"/>
  <c r="I976" i="4"/>
  <c r="I979" i="4"/>
  <c r="I618" i="4"/>
  <c r="I957" i="4"/>
  <c r="I287" i="4"/>
  <c r="I22" i="4"/>
  <c r="I377" i="4"/>
  <c r="I802" i="4"/>
  <c r="I902" i="4"/>
  <c r="I603" i="4"/>
  <c r="I467" i="4"/>
  <c r="I231" i="4"/>
  <c r="I31" i="4"/>
  <c r="I124" i="4"/>
  <c r="I797" i="4"/>
  <c r="I156" i="4"/>
  <c r="I956" i="4"/>
  <c r="I614" i="4"/>
  <c r="I365" i="4"/>
  <c r="I727" i="4"/>
  <c r="I352" i="4"/>
  <c r="I78" i="4"/>
  <c r="I187" i="4"/>
  <c r="I532" i="4"/>
  <c r="I885" i="4"/>
  <c r="I834" i="4"/>
  <c r="I363" i="4"/>
  <c r="I862" i="4"/>
  <c r="I428" i="4"/>
  <c r="I45" i="4"/>
  <c r="I605" i="4"/>
  <c r="I928" i="4"/>
  <c r="I971" i="4"/>
  <c r="I305" i="4"/>
  <c r="I785" i="4"/>
  <c r="I195" i="4"/>
  <c r="I90" i="4"/>
  <c r="I56" i="4"/>
  <c r="I221" i="4"/>
  <c r="I977" i="4"/>
  <c r="I602" i="4"/>
  <c r="I460" i="4"/>
  <c r="I968" i="4"/>
  <c r="I924" i="4"/>
  <c r="I571" i="4"/>
  <c r="I824" i="4"/>
  <c r="I331" i="4"/>
  <c r="I744" i="4"/>
  <c r="I632" i="4"/>
  <c r="I663" i="4"/>
  <c r="I191" i="4"/>
  <c r="I616" i="4"/>
  <c r="I978" i="4"/>
  <c r="I918" i="4"/>
  <c r="I745" i="4"/>
  <c r="I549" i="4"/>
  <c r="I355" i="4"/>
  <c r="I643" i="4"/>
  <c r="I480" i="4"/>
  <c r="I490" i="4"/>
  <c r="I70" i="4"/>
  <c r="I482" i="4"/>
  <c r="I304" i="4"/>
  <c r="I269" i="4"/>
  <c r="I185" i="4"/>
  <c r="I401" i="4"/>
  <c r="I581" i="4"/>
  <c r="I144" i="4"/>
  <c r="I816" i="4"/>
  <c r="I791" i="4"/>
  <c r="I172" i="4"/>
  <c r="I398" i="4"/>
  <c r="I204" i="4"/>
  <c r="I136" i="4"/>
  <c r="I554" i="4"/>
  <c r="I23" i="4"/>
  <c r="I449" i="4"/>
  <c r="I665" i="4"/>
  <c r="I690" i="4"/>
  <c r="I509" i="4"/>
  <c r="I591" i="4"/>
  <c r="I350" i="4"/>
  <c r="I923" i="4"/>
  <c r="I784" i="4"/>
  <c r="I631" i="4"/>
  <c r="I315" i="4"/>
  <c r="I548" i="4"/>
  <c r="I248" i="4"/>
  <c r="I182" i="4"/>
  <c r="I673" i="4"/>
  <c r="I157" i="4"/>
  <c r="I764" i="4"/>
  <c r="I158" i="4"/>
  <c r="I37" i="4"/>
  <c r="I984" i="4"/>
  <c r="I843" i="4"/>
  <c r="I938" i="4"/>
  <c r="I486" i="4"/>
  <c r="I505" i="4"/>
  <c r="I506" i="4"/>
  <c r="I259" i="4"/>
  <c r="I535" i="4"/>
  <c r="I132" i="4"/>
  <c r="I44" i="4"/>
  <c r="I24" i="4"/>
  <c r="I138" i="4"/>
  <c r="I661" i="4"/>
  <c r="I379" i="4"/>
  <c r="I688" i="4"/>
  <c r="I866" i="4"/>
  <c r="I881" i="4"/>
  <c r="I472" i="4"/>
  <c r="I868" i="4"/>
  <c r="I367" i="4"/>
  <c r="I463" i="4"/>
  <c r="I227" i="4"/>
  <c r="I273" i="4"/>
  <c r="I242" i="4"/>
  <c r="I222" i="4"/>
  <c r="I300" i="4"/>
  <c r="I7" i="4"/>
  <c r="I139" i="4"/>
  <c r="I388" i="4"/>
  <c r="I648" i="4"/>
  <c r="I888" i="4"/>
  <c r="I876" i="4"/>
  <c r="I847" i="4"/>
  <c r="I337" i="4"/>
  <c r="I440" i="4"/>
  <c r="I466" i="4"/>
  <c r="I215" i="4"/>
  <c r="I80" i="4"/>
  <c r="I58" i="4"/>
  <c r="I97" i="4"/>
  <c r="I336" i="4"/>
  <c r="I328" i="4"/>
  <c r="I523" i="4"/>
  <c r="I996" i="4"/>
  <c r="I965" i="4"/>
  <c r="I854" i="4"/>
  <c r="I575" i="4"/>
  <c r="I434" i="4"/>
  <c r="I715" i="4"/>
  <c r="I815" i="4"/>
  <c r="I249" i="4"/>
  <c r="I128" i="4"/>
  <c r="I48" i="4"/>
  <c r="I101" i="4"/>
  <c r="I179" i="4"/>
  <c r="I103" i="4"/>
  <c r="I386" i="4"/>
  <c r="I611" i="4"/>
  <c r="I525" i="4"/>
  <c r="I871" i="4"/>
  <c r="I863" i="4"/>
  <c r="I831" i="4"/>
  <c r="I827" i="4"/>
  <c r="I422" i="4"/>
  <c r="I960" i="4"/>
  <c r="I499" i="4"/>
  <c r="I205" i="4"/>
  <c r="I112" i="4"/>
  <c r="I268" i="4"/>
  <c r="I35" i="4"/>
  <c r="I15" i="4"/>
  <c r="I176" i="4"/>
  <c r="I553" i="4"/>
  <c r="I308" i="4"/>
  <c r="I381" i="4"/>
  <c r="I718" i="4"/>
  <c r="I857" i="4"/>
  <c r="I994" i="4"/>
  <c r="I875" i="4"/>
  <c r="I800" i="4"/>
  <c r="I947" i="4"/>
  <c r="I636" i="4"/>
  <c r="I359" i="4"/>
  <c r="I408" i="4"/>
  <c r="I773" i="4"/>
  <c r="I421" i="4"/>
  <c r="I281" i="4"/>
  <c r="I98" i="4"/>
  <c r="I100" i="4"/>
  <c r="I108" i="4"/>
  <c r="I193" i="4"/>
  <c r="I540" i="4"/>
  <c r="I878" i="4"/>
  <c r="I940" i="4"/>
  <c r="I886" i="4"/>
  <c r="I809" i="4"/>
  <c r="I856" i="4"/>
  <c r="I848" i="4"/>
  <c r="I783" i="4"/>
  <c r="I543" i="4"/>
  <c r="I723" i="4"/>
  <c r="I687" i="4"/>
  <c r="I740" i="4"/>
  <c r="I327" i="4"/>
  <c r="I635" i="4"/>
  <c r="I988" i="4"/>
  <c r="I572" i="4"/>
  <c r="I416" i="4"/>
  <c r="I390" i="4"/>
  <c r="I683" i="4"/>
  <c r="I241" i="4"/>
  <c r="I370" i="4"/>
  <c r="I68" i="4"/>
  <c r="I194" i="4"/>
  <c r="I116" i="4"/>
  <c r="I32" i="4"/>
  <c r="I497" i="4"/>
  <c r="I120" i="4"/>
  <c r="I13" i="4"/>
  <c r="I426" i="4"/>
  <c r="I864" i="4"/>
  <c r="I964" i="4"/>
  <c r="I926" i="4"/>
  <c r="I1000" i="4"/>
  <c r="I915" i="4"/>
  <c r="I794" i="4"/>
  <c r="I846" i="4"/>
  <c r="I833" i="4"/>
  <c r="I742" i="4"/>
  <c r="I731" i="4"/>
  <c r="I530" i="4"/>
  <c r="I709" i="4"/>
  <c r="I887" i="4"/>
  <c r="I757" i="4"/>
  <c r="I641" i="4"/>
  <c r="I353" i="4"/>
  <c r="I325" i="4"/>
  <c r="I585" i="4"/>
  <c r="I796" i="4"/>
  <c r="I637" i="4"/>
  <c r="I400" i="4"/>
  <c r="I471" i="4"/>
  <c r="I376" i="4"/>
  <c r="I444" i="4"/>
  <c r="I239" i="4"/>
  <c r="I481" i="4"/>
  <c r="I314" i="4"/>
  <c r="I66" i="4"/>
  <c r="I55" i="4"/>
  <c r="I177" i="4"/>
  <c r="I102" i="4"/>
  <c r="I299" i="4"/>
  <c r="I417" i="4"/>
  <c r="I402" i="4"/>
  <c r="I106" i="4"/>
  <c r="I183" i="4"/>
  <c r="I2" i="4"/>
  <c r="I143" i="4"/>
  <c r="I501" i="4"/>
  <c r="I107" i="4"/>
  <c r="I810" i="4"/>
  <c r="I393" i="4"/>
  <c r="I754" i="4"/>
  <c r="I577" i="4"/>
  <c r="I160" i="4"/>
  <c r="I395" i="4"/>
  <c r="I963" i="4"/>
  <c r="I61" i="4"/>
  <c r="I123" i="4"/>
  <c r="I312" i="4"/>
  <c r="I724" i="4"/>
  <c r="I348" i="4"/>
  <c r="I429" i="4"/>
  <c r="I213" i="4"/>
  <c r="I469" i="4"/>
  <c r="I297" i="4"/>
  <c r="I40" i="4"/>
  <c r="I42" i="4"/>
  <c r="I163" i="4"/>
  <c r="I88" i="4"/>
  <c r="I296" i="4"/>
  <c r="I414" i="4"/>
  <c r="I360" i="4"/>
  <c r="I92" i="4"/>
  <c r="I169" i="4"/>
  <c r="I396" i="4"/>
  <c r="I229" i="4"/>
  <c r="I87" i="4"/>
  <c r="I479" i="4"/>
  <c r="I79" i="4"/>
  <c r="I782" i="4"/>
  <c r="I751" i="4"/>
  <c r="I137" i="4"/>
  <c r="I389" i="4"/>
  <c r="I524" i="4"/>
  <c r="I492" i="4"/>
  <c r="I752" i="4"/>
  <c r="I356" i="4"/>
  <c r="I578" i="4"/>
  <c r="I666" i="4"/>
  <c r="I218" i="4"/>
  <c r="P11" i="4" l="1"/>
  <c r="Q11" i="4" s="1"/>
  <c r="P12" i="4"/>
  <c r="Q1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59564E-AC8E-4B9D-85F4-4ABBA16E019C}" keepAlive="1" name="Zapytanie — punkt szczepień (1)" description="Połączenie z zapytaniem „punkt szczepień (1)” w skoroszycie." type="5" refreshedVersion="8" background="1" saveData="1">
    <dbPr connection="Provider=Microsoft.Mashup.OleDb.1;Data Source=$Workbook$;Location=&quot;punkt szczepień (1)&quot;;Extended Properties=&quot;&quot;" command="SELECT * FROM [punkt szczepień (1)]"/>
  </connection>
  <connection id="2" xr16:uid="{1F8E6FFA-420D-4D11-9647-C68359B32156}" keepAlive="1" name="Zapytanie — punkt szczepień (2)" description="Połączenie z zapytaniem „punkt szczepień (2)” w skoroszycie." type="5" refreshedVersion="8" background="1" saveData="1">
    <dbPr connection="Provider=Microsoft.Mashup.OleDb.1;Data Source=$Workbook$;Location=&quot;punkt szczepień (2)&quot;;Extended Properties=&quot;&quot;" command="SELECT * FROM [punkt szczepień (2)]"/>
  </connection>
  <connection id="3" xr16:uid="{67F881AC-E63A-4A55-B133-3F24E7C877A9}" keepAlive="1" name="Zapytanie — punkt szczepień (3)" description="Połączenie z zapytaniem „punkt szczepień (3)” w skoroszycie." type="5" refreshedVersion="8" background="1" saveData="1">
    <dbPr connection="Provider=Microsoft.Mashup.OleDb.1;Data Source=$Workbook$;Location=&quot;punkt szczepień (3)&quot;;Extended Properties=&quot;&quot;" command="SELECT * FROM [punkt szczepień (3)]"/>
  </connection>
</connections>
</file>

<file path=xl/sharedStrings.xml><?xml version="1.0" encoding="utf-8"?>
<sst xmlns="http://schemas.openxmlformats.org/spreadsheetml/2006/main" count="6078" uniqueCount="1054">
  <si>
    <t>PESEL</t>
  </si>
  <si>
    <t>RODZAJ SZCZEPIONKI</t>
  </si>
  <si>
    <t>GODZINA ZASZCZEPIENIA</t>
  </si>
  <si>
    <t xml:space="preserve">KTÓRA DAWKA </t>
  </si>
  <si>
    <t>50110858978</t>
  </si>
  <si>
    <t>Pfizer</t>
  </si>
  <si>
    <t>09261817925</t>
  </si>
  <si>
    <t>Johnson&amp;Johnson</t>
  </si>
  <si>
    <t>78072115221</t>
  </si>
  <si>
    <t>Moderna</t>
  </si>
  <si>
    <t>70021259675</t>
  </si>
  <si>
    <t>72091667378</t>
  </si>
  <si>
    <t>27111914314</t>
  </si>
  <si>
    <t>49071332465</t>
  </si>
  <si>
    <t>79120586228</t>
  </si>
  <si>
    <t>67081396912</t>
  </si>
  <si>
    <t>33011242419</t>
  </si>
  <si>
    <t>21060849855</t>
  </si>
  <si>
    <t>38102913874</t>
  </si>
  <si>
    <t>47062844131</t>
  </si>
  <si>
    <t>34051574566</t>
  </si>
  <si>
    <t>73011179247</t>
  </si>
  <si>
    <t>53052475966</t>
  </si>
  <si>
    <t>04320263493</t>
  </si>
  <si>
    <t>42073091965</t>
  </si>
  <si>
    <t>63062967472</t>
  </si>
  <si>
    <t>90092267861</t>
  </si>
  <si>
    <t>AstraZeneca</t>
  </si>
  <si>
    <t>80042954976</t>
  </si>
  <si>
    <t>31041628249</t>
  </si>
  <si>
    <t>50081532381</t>
  </si>
  <si>
    <t>23080973394</t>
  </si>
  <si>
    <t>08301168793</t>
  </si>
  <si>
    <t>30122667854</t>
  </si>
  <si>
    <t>91081839511</t>
  </si>
  <si>
    <t>06312031192</t>
  </si>
  <si>
    <t>59052074723</t>
  </si>
  <si>
    <t>06230853227</t>
  </si>
  <si>
    <t>58081951335</t>
  </si>
  <si>
    <t>27122066882</t>
  </si>
  <si>
    <t>37081333648</t>
  </si>
  <si>
    <t>06270811364</t>
  </si>
  <si>
    <t>48091864541</t>
  </si>
  <si>
    <t>23083169466</t>
  </si>
  <si>
    <t>97110669683</t>
  </si>
  <si>
    <t>78012238177</t>
  </si>
  <si>
    <t>46072512614</t>
  </si>
  <si>
    <t>60042047753</t>
  </si>
  <si>
    <t>77111143779</t>
  </si>
  <si>
    <t>35062321387</t>
  </si>
  <si>
    <t>37071876852</t>
  </si>
  <si>
    <t>54102531931</t>
  </si>
  <si>
    <t>26051089564</t>
  </si>
  <si>
    <t>86081222263</t>
  </si>
  <si>
    <t>73031494999</t>
  </si>
  <si>
    <t>92040472666</t>
  </si>
  <si>
    <t>32042611696</t>
  </si>
  <si>
    <t>37111128178</t>
  </si>
  <si>
    <t>06300133215</t>
  </si>
  <si>
    <t>80052194768</t>
  </si>
  <si>
    <t>26123154893</t>
  </si>
  <si>
    <t>47082776625</t>
  </si>
  <si>
    <t>88032584231</t>
  </si>
  <si>
    <t>05290223386</t>
  </si>
  <si>
    <t>80071854614</t>
  </si>
  <si>
    <t>30042155167</t>
  </si>
  <si>
    <t>39020468846</t>
  </si>
  <si>
    <t>26071021775</t>
  </si>
  <si>
    <t>48032821921</t>
  </si>
  <si>
    <t>25102773182</t>
  </si>
  <si>
    <t>40071985752</t>
  </si>
  <si>
    <t>09262126415</t>
  </si>
  <si>
    <t>45060687659</t>
  </si>
  <si>
    <t>83030333139</t>
  </si>
  <si>
    <t>24022581495</t>
  </si>
  <si>
    <t>02210873643</t>
  </si>
  <si>
    <t>37102057511</t>
  </si>
  <si>
    <t>56111381211</t>
  </si>
  <si>
    <t>90011425154</t>
  </si>
  <si>
    <t>75122442737</t>
  </si>
  <si>
    <t>39012798522</t>
  </si>
  <si>
    <t>39040935551</t>
  </si>
  <si>
    <t>75042594631</t>
  </si>
  <si>
    <t>21071449826</t>
  </si>
  <si>
    <t>57120218226</t>
  </si>
  <si>
    <t>94051417957</t>
  </si>
  <si>
    <t>58110232598</t>
  </si>
  <si>
    <t>00300964288</t>
  </si>
  <si>
    <t>29111941222</t>
  </si>
  <si>
    <t>27020478556</t>
  </si>
  <si>
    <t>95021791233</t>
  </si>
  <si>
    <t>99112669616</t>
  </si>
  <si>
    <t>91032773736</t>
  </si>
  <si>
    <t>89120883737</t>
  </si>
  <si>
    <t>60120982978</t>
  </si>
  <si>
    <t>04251789857</t>
  </si>
  <si>
    <t>80012713181</t>
  </si>
  <si>
    <t>94041961639</t>
  </si>
  <si>
    <t>50111694643</t>
  </si>
  <si>
    <t>67112236219</t>
  </si>
  <si>
    <t>32092977283</t>
  </si>
  <si>
    <t>00262529215</t>
  </si>
  <si>
    <t>01272579522</t>
  </si>
  <si>
    <t>34091272611</t>
  </si>
  <si>
    <t>77101646981</t>
  </si>
  <si>
    <t>83071365249</t>
  </si>
  <si>
    <t>09240422641</t>
  </si>
  <si>
    <t>59021867451</t>
  </si>
  <si>
    <t>81123191495</t>
  </si>
  <si>
    <t>67012096173</t>
  </si>
  <si>
    <t>28062088796</t>
  </si>
  <si>
    <t>28091755537</t>
  </si>
  <si>
    <t>28090956441</t>
  </si>
  <si>
    <t>69040264526</t>
  </si>
  <si>
    <t>70121095641</t>
  </si>
  <si>
    <t>47052571135</t>
  </si>
  <si>
    <t>39052018691</t>
  </si>
  <si>
    <t>98102845698</t>
  </si>
  <si>
    <t>30120774884</t>
  </si>
  <si>
    <t>93053117612</t>
  </si>
  <si>
    <t>95020838469</t>
  </si>
  <si>
    <t>49070153629</t>
  </si>
  <si>
    <t>39122971633</t>
  </si>
  <si>
    <t>85081929118</t>
  </si>
  <si>
    <t>92092117665</t>
  </si>
  <si>
    <t>80022149598</t>
  </si>
  <si>
    <t>99071754978</t>
  </si>
  <si>
    <t>56100584638</t>
  </si>
  <si>
    <t>30091772595</t>
  </si>
  <si>
    <t>96112289132</t>
  </si>
  <si>
    <t>89103094464</t>
  </si>
  <si>
    <t>57062327125</t>
  </si>
  <si>
    <t>75011014197</t>
  </si>
  <si>
    <t>37021188952</t>
  </si>
  <si>
    <t>94030927695</t>
  </si>
  <si>
    <t>90070329455</t>
  </si>
  <si>
    <t>81021221117</t>
  </si>
  <si>
    <t>05240284175</t>
  </si>
  <si>
    <t>64111126325</t>
  </si>
  <si>
    <t>71072788389</t>
  </si>
  <si>
    <t>67010775979</t>
  </si>
  <si>
    <t>03250482273</t>
  </si>
  <si>
    <t>80062327468</t>
  </si>
  <si>
    <t>34072791434</t>
  </si>
  <si>
    <t>34072025193</t>
  </si>
  <si>
    <t>92092613147</t>
  </si>
  <si>
    <t>62062544768</t>
  </si>
  <si>
    <t>91090998791</t>
  </si>
  <si>
    <t>45070896489</t>
  </si>
  <si>
    <t>75061093928</t>
  </si>
  <si>
    <t>24040515461</t>
  </si>
  <si>
    <t>91021463961</t>
  </si>
  <si>
    <t>03252684819</t>
  </si>
  <si>
    <t>65060997484</t>
  </si>
  <si>
    <t>50112986994</t>
  </si>
  <si>
    <t>92050952574</t>
  </si>
  <si>
    <t>27013163713</t>
  </si>
  <si>
    <t>00232645181</t>
  </si>
  <si>
    <t>05272744926</t>
  </si>
  <si>
    <t>61051099636</t>
  </si>
  <si>
    <t>07302347297</t>
  </si>
  <si>
    <t>44030414866</t>
  </si>
  <si>
    <t>24072971778</t>
  </si>
  <si>
    <t>39110151243</t>
  </si>
  <si>
    <t>94062419713</t>
  </si>
  <si>
    <t>76040728262</t>
  </si>
  <si>
    <t>07291427318</t>
  </si>
  <si>
    <t>79070718249</t>
  </si>
  <si>
    <t>63122321648</t>
  </si>
  <si>
    <t>08311797114</t>
  </si>
  <si>
    <t>37062822738</t>
  </si>
  <si>
    <t>56051159743</t>
  </si>
  <si>
    <t>94073125933</t>
  </si>
  <si>
    <t>36082258958</t>
  </si>
  <si>
    <t>00212411694</t>
  </si>
  <si>
    <t>63071973572</t>
  </si>
  <si>
    <t>59010456695</t>
  </si>
  <si>
    <t>90041954525</t>
  </si>
  <si>
    <t>58101383247</t>
  </si>
  <si>
    <t>02241531831</t>
  </si>
  <si>
    <t>63051587142</t>
  </si>
  <si>
    <t>64102333648</t>
  </si>
  <si>
    <t>70091927892</t>
  </si>
  <si>
    <t>63020713774</t>
  </si>
  <si>
    <t>89113013767</t>
  </si>
  <si>
    <t>92072495734</t>
  </si>
  <si>
    <t>49080779631</t>
  </si>
  <si>
    <t>28092633517</t>
  </si>
  <si>
    <t>21080584273</t>
  </si>
  <si>
    <t>32112595116</t>
  </si>
  <si>
    <t>20112516264</t>
  </si>
  <si>
    <t>45110598883</t>
  </si>
  <si>
    <t>21101152285</t>
  </si>
  <si>
    <t>08302171385</t>
  </si>
  <si>
    <t>83062193714</t>
  </si>
  <si>
    <t>56062628229</t>
  </si>
  <si>
    <t>60080277677</t>
  </si>
  <si>
    <t>47071349645</t>
  </si>
  <si>
    <t>49052312275</t>
  </si>
  <si>
    <t>96090531816</t>
  </si>
  <si>
    <t>68070965829</t>
  </si>
  <si>
    <t>70033049684</t>
  </si>
  <si>
    <t>26121298171</t>
  </si>
  <si>
    <t>63032962627</t>
  </si>
  <si>
    <t>48090527757</t>
  </si>
  <si>
    <t>54111621272</t>
  </si>
  <si>
    <t>64052194515</t>
  </si>
  <si>
    <t>98041093895</t>
  </si>
  <si>
    <t>64070762664</t>
  </si>
  <si>
    <t>81072643636</t>
  </si>
  <si>
    <t>58030815749</t>
  </si>
  <si>
    <t>34032429818</t>
  </si>
  <si>
    <t>42020779674</t>
  </si>
  <si>
    <t>54061265142</t>
  </si>
  <si>
    <t>44092266689</t>
  </si>
  <si>
    <t>35010956137</t>
  </si>
  <si>
    <t>77120652211</t>
  </si>
  <si>
    <t>31092778122</t>
  </si>
  <si>
    <t>83031792287</t>
  </si>
  <si>
    <t>70081252384</t>
  </si>
  <si>
    <t>35120744569</t>
  </si>
  <si>
    <t>58082763724</t>
  </si>
  <si>
    <t>76042197176</t>
  </si>
  <si>
    <t>95062748474</t>
  </si>
  <si>
    <t>37121545255</t>
  </si>
  <si>
    <t>39072133424</t>
  </si>
  <si>
    <t>55031313863</t>
  </si>
  <si>
    <t>29041816146</t>
  </si>
  <si>
    <t>27040982659</t>
  </si>
  <si>
    <t>02311171927</t>
  </si>
  <si>
    <t>08241598142</t>
  </si>
  <si>
    <t>01211021239</t>
  </si>
  <si>
    <t>50070768526</t>
  </si>
  <si>
    <t>68042682819</t>
  </si>
  <si>
    <t>20122893755</t>
  </si>
  <si>
    <t>59041061932</t>
  </si>
  <si>
    <t>09232261218</t>
  </si>
  <si>
    <t>49050781718</t>
  </si>
  <si>
    <t>45121949283</t>
  </si>
  <si>
    <t>31081212321</t>
  </si>
  <si>
    <t>31090849482</t>
  </si>
  <si>
    <t>68122558162</t>
  </si>
  <si>
    <t>29090938284</t>
  </si>
  <si>
    <t>45072239756</t>
  </si>
  <si>
    <t>23111276218</t>
  </si>
  <si>
    <t>20090917161</t>
  </si>
  <si>
    <t>59071125491</t>
  </si>
  <si>
    <t>59013185354</t>
  </si>
  <si>
    <t>79090951196</t>
  </si>
  <si>
    <t>32051245259</t>
  </si>
  <si>
    <t>52110915493</t>
  </si>
  <si>
    <t>63071519565</t>
  </si>
  <si>
    <t>31032574678</t>
  </si>
  <si>
    <t>29120451253</t>
  </si>
  <si>
    <t>86121779571</t>
  </si>
  <si>
    <t>66112536848</t>
  </si>
  <si>
    <t>60092125757</t>
  </si>
  <si>
    <t>03212425357</t>
  </si>
  <si>
    <t>36032085238</t>
  </si>
  <si>
    <t>35110487159</t>
  </si>
  <si>
    <t>87081197986</t>
  </si>
  <si>
    <t>02261657214</t>
  </si>
  <si>
    <t>43071866744</t>
  </si>
  <si>
    <t>89030688767</t>
  </si>
  <si>
    <t>91010272679</t>
  </si>
  <si>
    <t>99032535899</t>
  </si>
  <si>
    <t>55101396662</t>
  </si>
  <si>
    <t>62121072494</t>
  </si>
  <si>
    <t>82013188393</t>
  </si>
  <si>
    <t>38071351228</t>
  </si>
  <si>
    <t>41050489849</t>
  </si>
  <si>
    <t>26012882827</t>
  </si>
  <si>
    <t>33112424381</t>
  </si>
  <si>
    <t>68030575448</t>
  </si>
  <si>
    <t>32071042599</t>
  </si>
  <si>
    <t>45072016319</t>
  </si>
  <si>
    <t>37100557389</t>
  </si>
  <si>
    <t>87022876479</t>
  </si>
  <si>
    <t>82040551834</t>
  </si>
  <si>
    <t>84032393453</t>
  </si>
  <si>
    <t>76121116166</t>
  </si>
  <si>
    <t>86100435894</t>
  </si>
  <si>
    <t>42121286459</t>
  </si>
  <si>
    <t>00211068217</t>
  </si>
  <si>
    <t>37101335553</t>
  </si>
  <si>
    <t>93101437282</t>
  </si>
  <si>
    <t>84092469248</t>
  </si>
  <si>
    <t>66122925348</t>
  </si>
  <si>
    <t>46082271864</t>
  </si>
  <si>
    <t>49050437329</t>
  </si>
  <si>
    <t>39121348999</t>
  </si>
  <si>
    <t>82050531273</t>
  </si>
  <si>
    <t>25071775264</t>
  </si>
  <si>
    <t>31051584261</t>
  </si>
  <si>
    <t>63032962313</t>
  </si>
  <si>
    <t>63020471144</t>
  </si>
  <si>
    <t>79043088122</t>
  </si>
  <si>
    <t>58122678814</t>
  </si>
  <si>
    <t>41030348687</t>
  </si>
  <si>
    <t>97080315144</t>
  </si>
  <si>
    <t>83011332388</t>
  </si>
  <si>
    <t>84061088793</t>
  </si>
  <si>
    <t>31032966828</t>
  </si>
  <si>
    <t>59062851844</t>
  </si>
  <si>
    <t>98022138285</t>
  </si>
  <si>
    <t>33071781183</t>
  </si>
  <si>
    <t>73112338424</t>
  </si>
  <si>
    <t>73043098635</t>
  </si>
  <si>
    <t>63120197421</t>
  </si>
  <si>
    <t>25102265353</t>
  </si>
  <si>
    <t>03291445574</t>
  </si>
  <si>
    <t>01220679359</t>
  </si>
  <si>
    <t>40050435676</t>
  </si>
  <si>
    <t>26090492884</t>
  </si>
  <si>
    <t>95012392586</t>
  </si>
  <si>
    <t>73040792617</t>
  </si>
  <si>
    <t>02260568212</t>
  </si>
  <si>
    <t>39090352748</t>
  </si>
  <si>
    <t>71011284668</t>
  </si>
  <si>
    <t>00251358325</t>
  </si>
  <si>
    <t>21012655389</t>
  </si>
  <si>
    <t>56050856955</t>
  </si>
  <si>
    <t>54100245953</t>
  </si>
  <si>
    <t>84112018447</t>
  </si>
  <si>
    <t>72101068197</t>
  </si>
  <si>
    <t>00311313587</t>
  </si>
  <si>
    <t>55041048188</t>
  </si>
  <si>
    <t>80101362548</t>
  </si>
  <si>
    <t>00260733249</t>
  </si>
  <si>
    <t>28092893533</t>
  </si>
  <si>
    <t>60010859593</t>
  </si>
  <si>
    <t>41111587989</t>
  </si>
  <si>
    <t>39021872574</t>
  </si>
  <si>
    <t>71022752822</t>
  </si>
  <si>
    <t>87032191885</t>
  </si>
  <si>
    <t>03210738523</t>
  </si>
  <si>
    <t>60081536575</t>
  </si>
  <si>
    <t>71122032516</t>
  </si>
  <si>
    <t>00260186788</t>
  </si>
  <si>
    <t>60091118475</t>
  </si>
  <si>
    <t>75061174364</t>
  </si>
  <si>
    <t>69020422395</t>
  </si>
  <si>
    <t>83030382645</t>
  </si>
  <si>
    <t>39081461356</t>
  </si>
  <si>
    <t>00210374584</t>
  </si>
  <si>
    <t>28060532327</t>
  </si>
  <si>
    <t>68020927398</t>
  </si>
  <si>
    <t>64071283528</t>
  </si>
  <si>
    <t>22052057724</t>
  </si>
  <si>
    <t>97022899972</t>
  </si>
  <si>
    <t>51071171359</t>
  </si>
  <si>
    <t>88072775381</t>
  </si>
  <si>
    <t>29101387319</t>
  </si>
  <si>
    <t>32102381695</t>
  </si>
  <si>
    <t>27011448364</t>
  </si>
  <si>
    <t>72120475358</t>
  </si>
  <si>
    <t>41090356844</t>
  </si>
  <si>
    <t>33120771547</t>
  </si>
  <si>
    <t>77031493347</t>
  </si>
  <si>
    <t>81022858718</t>
  </si>
  <si>
    <t>59021483349</t>
  </si>
  <si>
    <t>64071661153</t>
  </si>
  <si>
    <t>93051387442</t>
  </si>
  <si>
    <t>42080534747</t>
  </si>
  <si>
    <t>83092587754</t>
  </si>
  <si>
    <t>05262581579</t>
  </si>
  <si>
    <t>23101725346</t>
  </si>
  <si>
    <t>08212447312</t>
  </si>
  <si>
    <t>01262885453</t>
  </si>
  <si>
    <t>78063029274</t>
  </si>
  <si>
    <t>84020958541</t>
  </si>
  <si>
    <t>43051688715</t>
  </si>
  <si>
    <t>23021741866</t>
  </si>
  <si>
    <t>93052137947</t>
  </si>
  <si>
    <t>32032919984</t>
  </si>
  <si>
    <t>37042813178</t>
  </si>
  <si>
    <t>32022294723</t>
  </si>
  <si>
    <t>83071485952</t>
  </si>
  <si>
    <t>36092347815</t>
  </si>
  <si>
    <t>32011873759</t>
  </si>
  <si>
    <t>62050797655</t>
  </si>
  <si>
    <t>26071012872</t>
  </si>
  <si>
    <t>32031342886</t>
  </si>
  <si>
    <t>94081388276</t>
  </si>
  <si>
    <t>58042747827</t>
  </si>
  <si>
    <t>91030424825</t>
  </si>
  <si>
    <t>94101225839</t>
  </si>
  <si>
    <t>27061576592</t>
  </si>
  <si>
    <t>69082256695</t>
  </si>
  <si>
    <t>24091544555</t>
  </si>
  <si>
    <t>32080613144</t>
  </si>
  <si>
    <t>52101126932</t>
  </si>
  <si>
    <t>60030287422</t>
  </si>
  <si>
    <t>01290493581</t>
  </si>
  <si>
    <t>71092135527</t>
  </si>
  <si>
    <t>72011163265</t>
  </si>
  <si>
    <t>56022547346</t>
  </si>
  <si>
    <t>78121792643</t>
  </si>
  <si>
    <t>61100364182</t>
  </si>
  <si>
    <t>61031888674</t>
  </si>
  <si>
    <t>36070317939</t>
  </si>
  <si>
    <t>66110573429</t>
  </si>
  <si>
    <t>97071094113</t>
  </si>
  <si>
    <t>82080826231</t>
  </si>
  <si>
    <t>25032732974</t>
  </si>
  <si>
    <t>57020814955</t>
  </si>
  <si>
    <t>42101332691</t>
  </si>
  <si>
    <t>56062075915</t>
  </si>
  <si>
    <t>95112846514</t>
  </si>
  <si>
    <t>34061334585</t>
  </si>
  <si>
    <t>54022648838</t>
  </si>
  <si>
    <t>84110223373</t>
  </si>
  <si>
    <t>52041838456</t>
  </si>
  <si>
    <t>84031322513</t>
  </si>
  <si>
    <t>32032162719</t>
  </si>
  <si>
    <t>97071355946</t>
  </si>
  <si>
    <t>68031278319</t>
  </si>
  <si>
    <t>74091385948</t>
  </si>
  <si>
    <t>98031871755</t>
  </si>
  <si>
    <t>20033117319</t>
  </si>
  <si>
    <t>61061737391</t>
  </si>
  <si>
    <t>41052166915</t>
  </si>
  <si>
    <t>30120672731</t>
  </si>
  <si>
    <t>37030758148</t>
  </si>
  <si>
    <t>73120916124</t>
  </si>
  <si>
    <t>97050796267</t>
  </si>
  <si>
    <t>02310988788</t>
  </si>
  <si>
    <t>60072586165</t>
  </si>
  <si>
    <t>20083041532</t>
  </si>
  <si>
    <t>81020398779</t>
  </si>
  <si>
    <t>68031128232</t>
  </si>
  <si>
    <t>26010923799</t>
  </si>
  <si>
    <t>39100436174</t>
  </si>
  <si>
    <t>35100161414</t>
  </si>
  <si>
    <t>00313097537</t>
  </si>
  <si>
    <t>23020138968</t>
  </si>
  <si>
    <t>53020684558</t>
  </si>
  <si>
    <t>00302153828</t>
  </si>
  <si>
    <t>73050542985</t>
  </si>
  <si>
    <t>93080389561</t>
  </si>
  <si>
    <t>58110789311</t>
  </si>
  <si>
    <t>53083029181</t>
  </si>
  <si>
    <t>47060575491</t>
  </si>
  <si>
    <t>81030767242</t>
  </si>
  <si>
    <t>23021398945</t>
  </si>
  <si>
    <t>63062527298</t>
  </si>
  <si>
    <t>86031882961</t>
  </si>
  <si>
    <t>99091228246</t>
  </si>
  <si>
    <t>05240635872</t>
  </si>
  <si>
    <t>71051041144</t>
  </si>
  <si>
    <t>70030269571</t>
  </si>
  <si>
    <t>83011367542</t>
  </si>
  <si>
    <t>87090814478</t>
  </si>
  <si>
    <t>54072686543</t>
  </si>
  <si>
    <t>70110136542</t>
  </si>
  <si>
    <t>97100169892</t>
  </si>
  <si>
    <t>65031884531</t>
  </si>
  <si>
    <t>73122951518</t>
  </si>
  <si>
    <t>55111826315</t>
  </si>
  <si>
    <t>32041285373</t>
  </si>
  <si>
    <t>42112851493</t>
  </si>
  <si>
    <t>05261773597</t>
  </si>
  <si>
    <t>69081435648</t>
  </si>
  <si>
    <t>02280662345</t>
  </si>
  <si>
    <t>84022657936</t>
  </si>
  <si>
    <t>48101719555</t>
  </si>
  <si>
    <t>02213087139</t>
  </si>
  <si>
    <t>40022232773</t>
  </si>
  <si>
    <t>48081955217</t>
  </si>
  <si>
    <t>50121547348</t>
  </si>
  <si>
    <t>43031032635</t>
  </si>
  <si>
    <t>03251128637</t>
  </si>
  <si>
    <t>80062354785</t>
  </si>
  <si>
    <t>02311545784</t>
  </si>
  <si>
    <t>25111396468</t>
  </si>
  <si>
    <t>33042842215</t>
  </si>
  <si>
    <t>28100582374</t>
  </si>
  <si>
    <t>99072844919</t>
  </si>
  <si>
    <t>01250991368</t>
  </si>
  <si>
    <t>22032032875</t>
  </si>
  <si>
    <t>81113041454</t>
  </si>
  <si>
    <t>09311045276</t>
  </si>
  <si>
    <t>39071421292</t>
  </si>
  <si>
    <t>87082031359</t>
  </si>
  <si>
    <t>93040472816</t>
  </si>
  <si>
    <t>81100414748</t>
  </si>
  <si>
    <t>38082022588</t>
  </si>
  <si>
    <t>07261292591</t>
  </si>
  <si>
    <t>46022384991</t>
  </si>
  <si>
    <t>97020325844</t>
  </si>
  <si>
    <t>08231762539</t>
  </si>
  <si>
    <t>76081141583</t>
  </si>
  <si>
    <t>93050967531</t>
  </si>
  <si>
    <t>40060177519</t>
  </si>
  <si>
    <t>55012852385</t>
  </si>
  <si>
    <t>87011431214</t>
  </si>
  <si>
    <t>05281176583</t>
  </si>
  <si>
    <t>83122017327</t>
  </si>
  <si>
    <t>45040287376</t>
  </si>
  <si>
    <t>27032555478</t>
  </si>
  <si>
    <t>88111977491</t>
  </si>
  <si>
    <t>00241645299</t>
  </si>
  <si>
    <t>67010894445</t>
  </si>
  <si>
    <t>96030638982</t>
  </si>
  <si>
    <t>89062565472</t>
  </si>
  <si>
    <t>46052327173</t>
  </si>
  <si>
    <t>23111828323</t>
  </si>
  <si>
    <t>30021131852</t>
  </si>
  <si>
    <t>80031916112</t>
  </si>
  <si>
    <t>78062476848</t>
  </si>
  <si>
    <t>74070224767</t>
  </si>
  <si>
    <t>35110511647</t>
  </si>
  <si>
    <t>31121533272</t>
  </si>
  <si>
    <t>79011023319</t>
  </si>
  <si>
    <t>93071365514</t>
  </si>
  <si>
    <t>20022021197</t>
  </si>
  <si>
    <t>34010514565</t>
  </si>
  <si>
    <t>87032986685</t>
  </si>
  <si>
    <t>93111938272</t>
  </si>
  <si>
    <t>32082876734</t>
  </si>
  <si>
    <t>71112186139</t>
  </si>
  <si>
    <t>51041632947</t>
  </si>
  <si>
    <t>28042413925</t>
  </si>
  <si>
    <t>08212126581</t>
  </si>
  <si>
    <t>90061971629</t>
  </si>
  <si>
    <t>22060986926</t>
  </si>
  <si>
    <t>20071266347</t>
  </si>
  <si>
    <t>93090426797</t>
  </si>
  <si>
    <t>72080678389</t>
  </si>
  <si>
    <t>54022057258</t>
  </si>
  <si>
    <t>23081349275</t>
  </si>
  <si>
    <t>52010156343</t>
  </si>
  <si>
    <t>48092133558</t>
  </si>
  <si>
    <t>52062858569</t>
  </si>
  <si>
    <t>97060877642</t>
  </si>
  <si>
    <t>96122982869</t>
  </si>
  <si>
    <t>79091155377</t>
  </si>
  <si>
    <t>02300364525</t>
  </si>
  <si>
    <t>06290512595</t>
  </si>
  <si>
    <t>43070562795</t>
  </si>
  <si>
    <t>06281534812</t>
  </si>
  <si>
    <t>06230267871</t>
  </si>
  <si>
    <t>55021173347</t>
  </si>
  <si>
    <t>44062292353</t>
  </si>
  <si>
    <t>30080361197</t>
  </si>
  <si>
    <t>03240155763</t>
  </si>
  <si>
    <t>06241139242</t>
  </si>
  <si>
    <t>44101537939</t>
  </si>
  <si>
    <t>47102474269</t>
  </si>
  <si>
    <t>06281643996</t>
  </si>
  <si>
    <t>54110819487</t>
  </si>
  <si>
    <t>74040628254</t>
  </si>
  <si>
    <t>87080722396</t>
  </si>
  <si>
    <t>31090559989</t>
  </si>
  <si>
    <t>46022655284</t>
  </si>
  <si>
    <t>58012774837</t>
  </si>
  <si>
    <t>45112319471</t>
  </si>
  <si>
    <t>23030436562</t>
  </si>
  <si>
    <t>35012796652</t>
  </si>
  <si>
    <t>86120371859</t>
  </si>
  <si>
    <t>02301066266</t>
  </si>
  <si>
    <t>75031568995</t>
  </si>
  <si>
    <t>74022088997</t>
  </si>
  <si>
    <t>04272952573</t>
  </si>
  <si>
    <t>95062121776</t>
  </si>
  <si>
    <t>48021366534</t>
  </si>
  <si>
    <t>05320823322</t>
  </si>
  <si>
    <t>87041224268</t>
  </si>
  <si>
    <t>08211236469</t>
  </si>
  <si>
    <t>94041771362</t>
  </si>
  <si>
    <t>08280523622</t>
  </si>
  <si>
    <t>28111415492</t>
  </si>
  <si>
    <t>35030859197</t>
  </si>
  <si>
    <t>92081637192</t>
  </si>
  <si>
    <t>39021949173</t>
  </si>
  <si>
    <t>80070515514</t>
  </si>
  <si>
    <t>41090343718</t>
  </si>
  <si>
    <t>62091143985</t>
  </si>
  <si>
    <t>71030266872</t>
  </si>
  <si>
    <t>37060241535</t>
  </si>
  <si>
    <t>27052465261</t>
  </si>
  <si>
    <t>93010539549</t>
  </si>
  <si>
    <t>31120146318</t>
  </si>
  <si>
    <t>94060442786</t>
  </si>
  <si>
    <t>08300996513</t>
  </si>
  <si>
    <t>87071754944</t>
  </si>
  <si>
    <t>66091342146</t>
  </si>
  <si>
    <t>48120934478</t>
  </si>
  <si>
    <t>88011322267</t>
  </si>
  <si>
    <t>59042321268</t>
  </si>
  <si>
    <t>60020194394</t>
  </si>
  <si>
    <t>54051894257</t>
  </si>
  <si>
    <t>63022648489</t>
  </si>
  <si>
    <t>66031135467</t>
  </si>
  <si>
    <t>49072924229</t>
  </si>
  <si>
    <t>09291837313</t>
  </si>
  <si>
    <t>45020892626</t>
  </si>
  <si>
    <t>35032869556</t>
  </si>
  <si>
    <t>34081398633</t>
  </si>
  <si>
    <t>20051966337</t>
  </si>
  <si>
    <t>58022191471</t>
  </si>
  <si>
    <t>33092927353</t>
  </si>
  <si>
    <t>31071117359</t>
  </si>
  <si>
    <t>88012178515</t>
  </si>
  <si>
    <t>20052716283</t>
  </si>
  <si>
    <t>07230934929</t>
  </si>
  <si>
    <t>61070152859</t>
  </si>
  <si>
    <t>48011459585</t>
  </si>
  <si>
    <t>68102192991</t>
  </si>
  <si>
    <t>49062323812</t>
  </si>
  <si>
    <t>48123076117</t>
  </si>
  <si>
    <t>77081388774</t>
  </si>
  <si>
    <t>98033094657</t>
  </si>
  <si>
    <t>75033075912</t>
  </si>
  <si>
    <t>77112911681</t>
  </si>
  <si>
    <t>32082919521</t>
  </si>
  <si>
    <t>07321653122</t>
  </si>
  <si>
    <t>97051475275</t>
  </si>
  <si>
    <t>83040151116</t>
  </si>
  <si>
    <t>56071482434</t>
  </si>
  <si>
    <t>00292475236</t>
  </si>
  <si>
    <t>73022861658</t>
  </si>
  <si>
    <t>97051868914</t>
  </si>
  <si>
    <t>98082439627</t>
  </si>
  <si>
    <t>27041396967</t>
  </si>
  <si>
    <t>52011078749</t>
  </si>
  <si>
    <t>40112924179</t>
  </si>
  <si>
    <t>38091826412</t>
  </si>
  <si>
    <t>83051049688</t>
  </si>
  <si>
    <t>78062222821</t>
  </si>
  <si>
    <t>25101587957</t>
  </si>
  <si>
    <t>56070449645</t>
  </si>
  <si>
    <t>09280566174</t>
  </si>
  <si>
    <t>89090688459</t>
  </si>
  <si>
    <t>40022828594</t>
  </si>
  <si>
    <t>27011314739</t>
  </si>
  <si>
    <t>48082514468</t>
  </si>
  <si>
    <t>98071097991</t>
  </si>
  <si>
    <t>64041882922</t>
  </si>
  <si>
    <t>91112263319</t>
  </si>
  <si>
    <t>21012094418</t>
  </si>
  <si>
    <t>32100725349</t>
  </si>
  <si>
    <t>24090793257</t>
  </si>
  <si>
    <t>60111055892</t>
  </si>
  <si>
    <t>76102185958</t>
  </si>
  <si>
    <t>36051999736</t>
  </si>
  <si>
    <t>91061249619</t>
  </si>
  <si>
    <t>53062719315</t>
  </si>
  <si>
    <t>52051969249</t>
  </si>
  <si>
    <t>83082872374</t>
  </si>
  <si>
    <t>64021858958</t>
  </si>
  <si>
    <t>79070873683</t>
  </si>
  <si>
    <t>97092383821</t>
  </si>
  <si>
    <t>75100677636</t>
  </si>
  <si>
    <t>60052879768</t>
  </si>
  <si>
    <t>82050649936</t>
  </si>
  <si>
    <t>87102335953</t>
  </si>
  <si>
    <t>30122494245</t>
  </si>
  <si>
    <t>69071363494</t>
  </si>
  <si>
    <t>59090462876</t>
  </si>
  <si>
    <t>40072854617</t>
  </si>
  <si>
    <t>92011957543</t>
  </si>
  <si>
    <t>35072127328</t>
  </si>
  <si>
    <t>81021128544</t>
  </si>
  <si>
    <t>35031981781</t>
  </si>
  <si>
    <t>00242332741</t>
  </si>
  <si>
    <t>93042086974</t>
  </si>
  <si>
    <t>83080425697</t>
  </si>
  <si>
    <t>59061133347</t>
  </si>
  <si>
    <t>06241646834</t>
  </si>
  <si>
    <t>99052626957</t>
  </si>
  <si>
    <t>95091375285</t>
  </si>
  <si>
    <t>78080457991</t>
  </si>
  <si>
    <t>86072755961</t>
  </si>
  <si>
    <t>93112216724</t>
  </si>
  <si>
    <t>99110312837</t>
  </si>
  <si>
    <t>78071228911</t>
  </si>
  <si>
    <t>66011549194</t>
  </si>
  <si>
    <t>92031265318</t>
  </si>
  <si>
    <t>95053028484</t>
  </si>
  <si>
    <t>02312031316</t>
  </si>
  <si>
    <t>35092324918</t>
  </si>
  <si>
    <t>65010426154</t>
  </si>
  <si>
    <t>25041042314</t>
  </si>
  <si>
    <t>49082934988</t>
  </si>
  <si>
    <t>98092523329</t>
  </si>
  <si>
    <t>57112718273</t>
  </si>
  <si>
    <t>25070321893</t>
  </si>
  <si>
    <t>61090158314</t>
  </si>
  <si>
    <t>60101785127</t>
  </si>
  <si>
    <t>96020629538</t>
  </si>
  <si>
    <t>80122343162</t>
  </si>
  <si>
    <t>97100751244</t>
  </si>
  <si>
    <t>74041088235</t>
  </si>
  <si>
    <t>38030817521</t>
  </si>
  <si>
    <t>82111099968</t>
  </si>
  <si>
    <t>90081293316</t>
  </si>
  <si>
    <t>68081198252</t>
  </si>
  <si>
    <t>86112455547</t>
  </si>
  <si>
    <t>24092415733</t>
  </si>
  <si>
    <t>92110798812</t>
  </si>
  <si>
    <t>08261396278</t>
  </si>
  <si>
    <t>36041921569</t>
  </si>
  <si>
    <t>06231723558</t>
  </si>
  <si>
    <t>75031268611</t>
  </si>
  <si>
    <t>48051332398</t>
  </si>
  <si>
    <t>32020633489</t>
  </si>
  <si>
    <t>45110774979</t>
  </si>
  <si>
    <t>68051767343</t>
  </si>
  <si>
    <t>44111193639</t>
  </si>
  <si>
    <t>84071475659</t>
  </si>
  <si>
    <t>51100268395</t>
  </si>
  <si>
    <t>50122977832</t>
  </si>
  <si>
    <t>77020522748</t>
  </si>
  <si>
    <t>56100891974</t>
  </si>
  <si>
    <t>45011941212</t>
  </si>
  <si>
    <t>81090457923</t>
  </si>
  <si>
    <t>70122286888</t>
  </si>
  <si>
    <t>36031815159</t>
  </si>
  <si>
    <t>58091635692</t>
  </si>
  <si>
    <t>64112712121</t>
  </si>
  <si>
    <t>66011597562</t>
  </si>
  <si>
    <t>80122265644</t>
  </si>
  <si>
    <t>80010449156</t>
  </si>
  <si>
    <t>65070514862</t>
  </si>
  <si>
    <t>99082877196</t>
  </si>
  <si>
    <t>04301916244</t>
  </si>
  <si>
    <t>82041048153</t>
  </si>
  <si>
    <t>34120819787</t>
  </si>
  <si>
    <t>33013033275</t>
  </si>
  <si>
    <t>92112735222</t>
  </si>
  <si>
    <t>25010776758</t>
  </si>
  <si>
    <t>57100835496</t>
  </si>
  <si>
    <t>65121249114</t>
  </si>
  <si>
    <t>26061058275</t>
  </si>
  <si>
    <t>88031152516</t>
  </si>
  <si>
    <t>26030776337</t>
  </si>
  <si>
    <t>06310913124</t>
  </si>
  <si>
    <t>27020649316</t>
  </si>
  <si>
    <t>45031494446</t>
  </si>
  <si>
    <t>76112869819</t>
  </si>
  <si>
    <t>60082029883</t>
  </si>
  <si>
    <t>51062491811</t>
  </si>
  <si>
    <t>40111493892</t>
  </si>
  <si>
    <t>99122046784</t>
  </si>
  <si>
    <t>33022763466</t>
  </si>
  <si>
    <t>53060254227</t>
  </si>
  <si>
    <t>01231531925</t>
  </si>
  <si>
    <t>40093026165</t>
  </si>
  <si>
    <t>73042365376</t>
  </si>
  <si>
    <t>63082122785</t>
  </si>
  <si>
    <t>50070111638</t>
  </si>
  <si>
    <t>22041442366</t>
  </si>
  <si>
    <t>35122696673</t>
  </si>
  <si>
    <t>68080517485</t>
  </si>
  <si>
    <t>00242225256</t>
  </si>
  <si>
    <t>50061356156</t>
  </si>
  <si>
    <t>91022175957</t>
  </si>
  <si>
    <t>43100281726</t>
  </si>
  <si>
    <t>66020552185</t>
  </si>
  <si>
    <t>42062978969</t>
  </si>
  <si>
    <t>54041042376</t>
  </si>
  <si>
    <t>21013119149</t>
  </si>
  <si>
    <t>69122033354</t>
  </si>
  <si>
    <t>66063067127</t>
  </si>
  <si>
    <t>20092948718</t>
  </si>
  <si>
    <t>59072322767</t>
  </si>
  <si>
    <t>05300727525</t>
  </si>
  <si>
    <t>92020137895</t>
  </si>
  <si>
    <t>85090738378</t>
  </si>
  <si>
    <t>41060745555</t>
  </si>
  <si>
    <t>94061387495</t>
  </si>
  <si>
    <t>74043054933</t>
  </si>
  <si>
    <t>04240923383</t>
  </si>
  <si>
    <t>28100451674</t>
  </si>
  <si>
    <t>30041586876</t>
  </si>
  <si>
    <t>37050927434</t>
  </si>
  <si>
    <t>21040358249</t>
  </si>
  <si>
    <t>81120991883</t>
  </si>
  <si>
    <t>03220281794</t>
  </si>
  <si>
    <t>50021519195</t>
  </si>
  <si>
    <t>72041899866</t>
  </si>
  <si>
    <t>67110663536</t>
  </si>
  <si>
    <t>51111963535</t>
  </si>
  <si>
    <t>73051797551</t>
  </si>
  <si>
    <t>07302324298</t>
  </si>
  <si>
    <t>85082853229</t>
  </si>
  <si>
    <t>01303087585</t>
  </si>
  <si>
    <t>24103124645</t>
  </si>
  <si>
    <t>53031368678</t>
  </si>
  <si>
    <t>02311665831</t>
  </si>
  <si>
    <t>34012884695</t>
  </si>
  <si>
    <t>32110971772</t>
  </si>
  <si>
    <t>61010554877</t>
  </si>
  <si>
    <t>78062549665</t>
  </si>
  <si>
    <t>20041912689</t>
  </si>
  <si>
    <t>78120853329</t>
  </si>
  <si>
    <t>53052543443</t>
  </si>
  <si>
    <t>75082852618</t>
  </si>
  <si>
    <t>28050452851</t>
  </si>
  <si>
    <t>01241694474</t>
  </si>
  <si>
    <t>70072711216</t>
  </si>
  <si>
    <t>91030314931</t>
  </si>
  <si>
    <t>05260658897</t>
  </si>
  <si>
    <t>46122793413</t>
  </si>
  <si>
    <t>03251014336</t>
  </si>
  <si>
    <t>25100881533</t>
  </si>
  <si>
    <t>02271493745</t>
  </si>
  <si>
    <t>54102164119</t>
  </si>
  <si>
    <t>04282562647</t>
  </si>
  <si>
    <t>02290535572</t>
  </si>
  <si>
    <t>68072766473</t>
  </si>
  <si>
    <t>59071767916</t>
  </si>
  <si>
    <t>32112735273</t>
  </si>
  <si>
    <t>70041966133</t>
  </si>
  <si>
    <t>00282223623</t>
  </si>
  <si>
    <t>28011479941</t>
  </si>
  <si>
    <t>98040991347</t>
  </si>
  <si>
    <t>77091813668</t>
  </si>
  <si>
    <t>53062118664</t>
  </si>
  <si>
    <t>60111734245</t>
  </si>
  <si>
    <t>87112947715</t>
  </si>
  <si>
    <t>03232669786</t>
  </si>
  <si>
    <t>99062917216</t>
  </si>
  <si>
    <t>77112363518</t>
  </si>
  <si>
    <t>71052925243</t>
  </si>
  <si>
    <t>52102323215</t>
  </si>
  <si>
    <t>82070773846</t>
  </si>
  <si>
    <t>91022231569</t>
  </si>
  <si>
    <t>85032257639</t>
  </si>
  <si>
    <t>26112297598</t>
  </si>
  <si>
    <t>84040539649</t>
  </si>
  <si>
    <t>28100889327</t>
  </si>
  <si>
    <t>54121487532</t>
  </si>
  <si>
    <t>58021399764</t>
  </si>
  <si>
    <t>03282114533</t>
  </si>
  <si>
    <t>31091073617</t>
  </si>
  <si>
    <t>31050679612</t>
  </si>
  <si>
    <t>03271214219</t>
  </si>
  <si>
    <t>72051336717</t>
  </si>
  <si>
    <t>56102659936</t>
  </si>
  <si>
    <t>42092966431</t>
  </si>
  <si>
    <t>69070762218</t>
  </si>
  <si>
    <t>88100219328</t>
  </si>
  <si>
    <t>62091881281</t>
  </si>
  <si>
    <t>89041363833</t>
  </si>
  <si>
    <t>60060322474</t>
  </si>
  <si>
    <t>57110125563</t>
  </si>
  <si>
    <t>60032357169</t>
  </si>
  <si>
    <t>80090872345</t>
  </si>
  <si>
    <t>89041555874</t>
  </si>
  <si>
    <t>49020934816</t>
  </si>
  <si>
    <t>30070547978</t>
  </si>
  <si>
    <t>68090165764</t>
  </si>
  <si>
    <t>90092074423</t>
  </si>
  <si>
    <t>60051991245</t>
  </si>
  <si>
    <t>96040551121</t>
  </si>
  <si>
    <t>80032243415</t>
  </si>
  <si>
    <t>74011931745</t>
  </si>
  <si>
    <t>32042933169</t>
  </si>
  <si>
    <t>76021025625</t>
  </si>
  <si>
    <t>82112079152</t>
  </si>
  <si>
    <t>27121034325</t>
  </si>
  <si>
    <t>25010246853</t>
  </si>
  <si>
    <t>28120717411</t>
  </si>
  <si>
    <t>59091214779</t>
  </si>
  <si>
    <t>01301584817</t>
  </si>
  <si>
    <t>08312554282</t>
  </si>
  <si>
    <t>36030623126</t>
  </si>
  <si>
    <t>03232486938</t>
  </si>
  <si>
    <t>04211111982</t>
  </si>
  <si>
    <t>98061186115</t>
  </si>
  <si>
    <t>07252299886</t>
  </si>
  <si>
    <t>56050947141</t>
  </si>
  <si>
    <t>78050661425</t>
  </si>
  <si>
    <t>65030412425</t>
  </si>
  <si>
    <t>50100924858</t>
  </si>
  <si>
    <t>84063031577</t>
  </si>
  <si>
    <t>83040667448</t>
  </si>
  <si>
    <t>62091343378</t>
  </si>
  <si>
    <t>67120368616</t>
  </si>
  <si>
    <t>49090966296</t>
  </si>
  <si>
    <t>51101451688</t>
  </si>
  <si>
    <t>83120872847</t>
  </si>
  <si>
    <t>77100344996</t>
  </si>
  <si>
    <t>71051072588</t>
  </si>
  <si>
    <t>35091976246</t>
  </si>
  <si>
    <t>68102446298</t>
  </si>
  <si>
    <t>42122341465</t>
  </si>
  <si>
    <t>36121262168</t>
  </si>
  <si>
    <t>66010198313</t>
  </si>
  <si>
    <t>89101632857</t>
  </si>
  <si>
    <t>88122551811</t>
  </si>
  <si>
    <t>58072364177</t>
  </si>
  <si>
    <t>09222687156</t>
  </si>
  <si>
    <t>97012789254</t>
  </si>
  <si>
    <t>05323044344</t>
  </si>
  <si>
    <t>31083057216</t>
  </si>
  <si>
    <t>91052287136</t>
  </si>
  <si>
    <t>35072457663</t>
  </si>
  <si>
    <t>00302461745</t>
  </si>
  <si>
    <t>72070631167</t>
  </si>
  <si>
    <t>76110647246</t>
  </si>
  <si>
    <t>24040177241</t>
  </si>
  <si>
    <t>86013082275</t>
  </si>
  <si>
    <t>69071554267</t>
  </si>
  <si>
    <t>66092881561</t>
  </si>
  <si>
    <t>83111396178</t>
  </si>
  <si>
    <t>66080191177</t>
  </si>
  <si>
    <t>77020795272</t>
  </si>
  <si>
    <t>75021565595</t>
  </si>
  <si>
    <t>29092084945</t>
  </si>
  <si>
    <t>05301389427</t>
  </si>
  <si>
    <t>08230465143</t>
  </si>
  <si>
    <t>32042656495</t>
  </si>
  <si>
    <t>66080665924</t>
  </si>
  <si>
    <t>01270645313</t>
  </si>
  <si>
    <t>78073185238</t>
  </si>
  <si>
    <t>20021536689</t>
  </si>
  <si>
    <t>72043046662</t>
  </si>
  <si>
    <t>07262999459</t>
  </si>
  <si>
    <t>37091024981</t>
  </si>
  <si>
    <t>53092368598</t>
  </si>
  <si>
    <t>31091712778</t>
  </si>
  <si>
    <t>29101951255</t>
  </si>
  <si>
    <t>57092585746</t>
  </si>
  <si>
    <t>06292133936</t>
  </si>
  <si>
    <t>74081887586</t>
  </si>
  <si>
    <t>90070369365</t>
  </si>
  <si>
    <t>48110866662</t>
  </si>
  <si>
    <t>32100235767</t>
  </si>
  <si>
    <t>01272357513</t>
  </si>
  <si>
    <t>37112023212</t>
  </si>
  <si>
    <t>03311196468</t>
  </si>
  <si>
    <t>93092676596</t>
  </si>
  <si>
    <t>93012418598</t>
  </si>
  <si>
    <t>82030879562</t>
  </si>
  <si>
    <t>09221337489</t>
  </si>
  <si>
    <t>75090635997</t>
  </si>
  <si>
    <t>40042025863</t>
  </si>
  <si>
    <t>06292578955</t>
  </si>
  <si>
    <t>40071161114</t>
  </si>
  <si>
    <t>36011592485</t>
  </si>
  <si>
    <t>75041016895</t>
  </si>
  <si>
    <t>84070799958</t>
  </si>
  <si>
    <t>78102746342</t>
  </si>
  <si>
    <t>23013013119</t>
  </si>
  <si>
    <t>43061996312</t>
  </si>
  <si>
    <t>59030132122</t>
  </si>
  <si>
    <t>80070812222</t>
  </si>
  <si>
    <t>21112217759</t>
  </si>
  <si>
    <t>32072731623</t>
  </si>
  <si>
    <t>79050188499</t>
  </si>
  <si>
    <t>57051974372</t>
  </si>
  <si>
    <t>71092496572</t>
  </si>
  <si>
    <t>32020583272</t>
  </si>
  <si>
    <t>00322971837</t>
  </si>
  <si>
    <t>64052512173</t>
  </si>
  <si>
    <t>83030581624</t>
  </si>
  <si>
    <t>08300885789</t>
  </si>
  <si>
    <t>03231736256</t>
  </si>
  <si>
    <t>47060254295</t>
  </si>
  <si>
    <t>84090377527</t>
  </si>
  <si>
    <t>47012778262</t>
  </si>
  <si>
    <t>44081827574</t>
  </si>
  <si>
    <t>70031559431</t>
  </si>
  <si>
    <t>70080391567</t>
  </si>
  <si>
    <t>30043041872</t>
  </si>
  <si>
    <t>47022815696</t>
  </si>
  <si>
    <t>02282423874</t>
  </si>
  <si>
    <t>81102259213</t>
  </si>
  <si>
    <t>97021668337</t>
  </si>
  <si>
    <t>41101655649</t>
  </si>
  <si>
    <t>30070676591</t>
  </si>
  <si>
    <t>95033053233</t>
  </si>
  <si>
    <t>74121984617</t>
  </si>
  <si>
    <t>96121877629</t>
  </si>
  <si>
    <t>82020224149</t>
  </si>
  <si>
    <t>42101274155</t>
  </si>
  <si>
    <t>42041525276</t>
  </si>
  <si>
    <t>21071654248</t>
  </si>
  <si>
    <t>01220393556</t>
  </si>
  <si>
    <t>91121039154</t>
  </si>
  <si>
    <t>47111564494</t>
  </si>
  <si>
    <t>09272335528</t>
  </si>
  <si>
    <t>25022587856</t>
  </si>
  <si>
    <t>82032729827</t>
  </si>
  <si>
    <t>34042967111</t>
  </si>
  <si>
    <t>51050267358</t>
  </si>
  <si>
    <t>27100496667</t>
  </si>
  <si>
    <t>74012446273</t>
  </si>
  <si>
    <t>39032288946</t>
  </si>
  <si>
    <t>65122963266</t>
  </si>
  <si>
    <t>85011778463</t>
  </si>
  <si>
    <t>71103132237</t>
  </si>
  <si>
    <t>78011817784</t>
  </si>
  <si>
    <t>42011867728</t>
  </si>
  <si>
    <t>75102995219</t>
  </si>
  <si>
    <t>74090463252</t>
  </si>
  <si>
    <t>80061597297</t>
  </si>
  <si>
    <t>79092276738</t>
  </si>
  <si>
    <t>89042722899</t>
  </si>
  <si>
    <t>95032259654</t>
  </si>
  <si>
    <t>61020991356</t>
  </si>
  <si>
    <t>51110926445</t>
  </si>
  <si>
    <t>92041945695</t>
  </si>
  <si>
    <t>73051881887</t>
  </si>
  <si>
    <t>66082865834</t>
  </si>
  <si>
    <t>liczba miesiac</t>
  </si>
  <si>
    <t>miesiac</t>
  </si>
  <si>
    <t>dekada</t>
  </si>
  <si>
    <t>rokSTART</t>
  </si>
  <si>
    <t>rok</t>
  </si>
  <si>
    <t>data</t>
  </si>
  <si>
    <t>dzień</t>
  </si>
  <si>
    <t>max</t>
  </si>
  <si>
    <t>min</t>
  </si>
  <si>
    <t>Należy zmienić format wyświetlania na data</t>
  </si>
  <si>
    <t>pesel2</t>
  </si>
  <si>
    <t>Etykiety wierszy</t>
  </si>
  <si>
    <t>Suma końcowa</t>
  </si>
  <si>
    <t>Liczba z PESEL</t>
  </si>
  <si>
    <t>płeć</t>
  </si>
  <si>
    <t>liczba płeć</t>
  </si>
  <si>
    <t>K</t>
  </si>
  <si>
    <t>M</t>
  </si>
  <si>
    <t>Etykiety kolumn</t>
  </si>
  <si>
    <t>wszystkie 2 dawki</t>
  </si>
  <si>
    <t>SUMA</t>
  </si>
  <si>
    <t>dawki J&amp;J</t>
  </si>
  <si>
    <t>1920-1929</t>
  </si>
  <si>
    <t>1930-1939</t>
  </si>
  <si>
    <t>1940-1949</t>
  </si>
  <si>
    <t>1950-1959</t>
  </si>
  <si>
    <t>1960-1969</t>
  </si>
  <si>
    <t>1970-1979</t>
  </si>
  <si>
    <t>1980-1989</t>
  </si>
  <si>
    <t>1990-1999</t>
  </si>
  <si>
    <t>2000-2009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</si>
  <si>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</si>
  <si>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</si>
  <si>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</si>
  <si>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</si>
  <si>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</si>
  <si>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</si>
  <si>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</si>
  <si>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</si>
  <si>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</si>
  <si>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Max</t>
  </si>
  <si>
    <t>godzina szczepein</t>
  </si>
  <si>
    <t>od</t>
  </si>
  <si>
    <t>ODP</t>
  </si>
  <si>
    <t>9 godzina szczepień</t>
  </si>
  <si>
    <t>16:00 - 16:59:59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</si>
</sst>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 tint="0.499984740745262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4" fontId="0" fillId="2" borderId="0" xfId="0" applyNumberFormat="1" applyFill="1"/>
    <xf numFmtId="0" fontId="0" fillId="0" borderId="0" xfId="0" applyFill="1"/>
    <xf numFmtId="0" fontId="0" fillId="3" borderId="0" xfId="0" applyFill="1"/>
    <xf numFmtId="0" fontId="0" fillId="3" borderId="0" xfId="0" applyNumberFormat="1" applyFill="1"/>
    <xf numFmtId="0" fontId="0" fillId="4" borderId="0" xfId="0" applyFill="1"/>
  </cellXfs>
  <cellStyles count="1">
    <cellStyle name="Normalny" xfId="0" builtinId="0"/>
  </cellStyles>
  <dxfs count="18">
    <dxf>
      <font>
        <color rgb="FF9C0006"/>
      </font>
      <fill>
        <patternFill>
          <bgColor rgb="FFFFC7CE"/>
        </patternFill>
      </fill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84444444444444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'4_2'!$D$4:$D$12</c:f>
              <c:strCache>
                <c:ptCount val="9"/>
                <c:pt idx="0">
                  <c:v>1920-1929</c:v>
                </c:pt>
                <c:pt idx="1">
                  <c:v>1930-1939</c:v>
                </c:pt>
                <c:pt idx="2">
                  <c:v>1940-1949</c:v>
                </c:pt>
                <c:pt idx="3">
                  <c:v>1950-1959</c:v>
                </c:pt>
                <c:pt idx="4">
                  <c:v>1960-1969</c:v>
                </c:pt>
                <c:pt idx="5">
                  <c:v>1970-1979</c:v>
                </c:pt>
                <c:pt idx="6">
                  <c:v>1980-1989</c:v>
                </c:pt>
                <c:pt idx="7">
                  <c:v>1990-1999</c:v>
                </c:pt>
                <c:pt idx="8">
                  <c:v>2000-2009</c:v>
                </c:pt>
              </c:strCache>
            </c:strRef>
          </c:cat>
          <c:val>
            <c:numRef>
              <c:f>'4_2'!$E$4:$E$12</c:f>
              <c:numCache>
                <c:formatCode>General</c:formatCode>
                <c:ptCount val="9"/>
                <c:pt idx="0">
                  <c:v>103</c:v>
                </c:pt>
                <c:pt idx="1">
                  <c:v>130</c:v>
                </c:pt>
                <c:pt idx="2">
                  <c:v>95</c:v>
                </c:pt>
                <c:pt idx="3">
                  <c:v>102</c:v>
                </c:pt>
                <c:pt idx="4">
                  <c:v>105</c:v>
                </c:pt>
                <c:pt idx="5">
                  <c:v>112</c:v>
                </c:pt>
                <c:pt idx="6">
                  <c:v>115</c:v>
                </c:pt>
                <c:pt idx="7">
                  <c:v>110</c:v>
                </c:pt>
                <c:pt idx="8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3-483B-890F-6C3B7868B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7974528"/>
        <c:axId val="827975008"/>
      </c:barChart>
      <c:catAx>
        <c:axId val="82797452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7975008"/>
        <c:crosses val="autoZero"/>
        <c:auto val="1"/>
        <c:lblAlgn val="ctr"/>
        <c:lblOffset val="100"/>
        <c:noMultiLvlLbl val="0"/>
      </c:catAx>
      <c:valAx>
        <c:axId val="82797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797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0</xdr:row>
      <xdr:rowOff>177800</xdr:rowOff>
    </xdr:from>
    <xdr:to>
      <xdr:col>13</xdr:col>
      <xdr:colOff>488950</xdr:colOff>
      <xdr:row>15</xdr:row>
      <xdr:rowOff>63500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7A279F5-3345-6F26-CE01-E18CB29BF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.bartos" refreshedDate="46064.487525578705" createdVersion="8" refreshedVersion="8" minRefreshableVersion="3" recordCount="1000" xr:uid="{90A904AC-AEB7-478B-8891-B2D0557F9859}">
  <cacheSource type="worksheet">
    <worksheetSource name="punkt_szczepień__13"/>
  </cacheSource>
  <cacheFields count="14">
    <cacheField name="PESEL" numFmtId="0">
      <sharedItems count="1000">
        <s v="50110858978"/>
        <s v="09261817925"/>
        <s v="78072115221"/>
        <s v="70021259675"/>
        <s v="72091667378"/>
        <s v="27111914314"/>
        <s v="49071332465"/>
        <s v="79120586228"/>
        <s v="67081396912"/>
        <s v="33011242419"/>
        <s v="21060849855"/>
        <s v="38102913874"/>
        <s v="47062844131"/>
        <s v="34051574566"/>
        <s v="73011179247"/>
        <s v="53052475966"/>
        <s v="04320263493"/>
        <s v="42073091965"/>
        <s v="63062967472"/>
        <s v="90092267861"/>
        <s v="80042954976"/>
        <s v="31041628249"/>
        <s v="50081532381"/>
        <s v="23080973394"/>
        <s v="08301168793"/>
        <s v="30122667854"/>
        <s v="91081839511"/>
        <s v="06312031192"/>
        <s v="59052074723"/>
        <s v="06230853227"/>
        <s v="58081951335"/>
        <s v="27122066882"/>
        <s v="37081333648"/>
        <s v="06270811364"/>
        <s v="48091864541"/>
        <s v="23083169466"/>
        <s v="97110669683"/>
        <s v="78012238177"/>
        <s v="46072512614"/>
        <s v="60042047753"/>
        <s v="77111143779"/>
        <s v="35062321387"/>
        <s v="37071876852"/>
        <s v="54102531931"/>
        <s v="26051089564"/>
        <s v="86081222263"/>
        <s v="73031494999"/>
        <s v="92040472666"/>
        <s v="32042611696"/>
        <s v="37111128178"/>
        <s v="06300133215"/>
        <s v="80052194768"/>
        <s v="26123154893"/>
        <s v="47082776625"/>
        <s v="88032584231"/>
        <s v="05290223386"/>
        <s v="80071854614"/>
        <s v="30042155167"/>
        <s v="39020468846"/>
        <s v="26071021775"/>
        <s v="48032821921"/>
        <s v="25102773182"/>
        <s v="40071985752"/>
        <s v="09262126415"/>
        <s v="45060687659"/>
        <s v="83030333139"/>
        <s v="24022581495"/>
        <s v="02210873643"/>
        <s v="37102057511"/>
        <s v="56111381211"/>
        <s v="90011425154"/>
        <s v="75122442737"/>
        <s v="39012798522"/>
        <s v="39040935551"/>
        <s v="75042594631"/>
        <s v="21071449826"/>
        <s v="57120218226"/>
        <s v="94051417957"/>
        <s v="58110232598"/>
        <s v="00300964288"/>
        <s v="29111941222"/>
        <s v="27020478556"/>
        <s v="95021791233"/>
        <s v="99112669616"/>
        <s v="91032773736"/>
        <s v="89120883737"/>
        <s v="60120982978"/>
        <s v="04251789857"/>
        <s v="80012713181"/>
        <s v="94041961639"/>
        <s v="50111694643"/>
        <s v="67112236219"/>
        <s v="32092977283"/>
        <s v="00262529215"/>
        <s v="01272579522"/>
        <s v="34091272611"/>
        <s v="77101646981"/>
        <s v="83071365249"/>
        <s v="09240422641"/>
        <s v="59021867451"/>
        <s v="81123191495"/>
        <s v="67012096173"/>
        <s v="28062088796"/>
        <s v="28091755537"/>
        <s v="28090956441"/>
        <s v="69040264526"/>
        <s v="70121095641"/>
        <s v="47052571135"/>
        <s v="39052018691"/>
        <s v="98102845698"/>
        <s v="30120774884"/>
        <s v="93053117612"/>
        <s v="95020838469"/>
        <s v="49070153629"/>
        <s v="39122971633"/>
        <s v="85081929118"/>
        <s v="92092117665"/>
        <s v="80022149598"/>
        <s v="99071754978"/>
        <s v="56100584638"/>
        <s v="30091772595"/>
        <s v="96112289132"/>
        <s v="89103094464"/>
        <s v="57062327125"/>
        <s v="75011014197"/>
        <s v="37021188952"/>
        <s v="94030927695"/>
        <s v="90070329455"/>
        <s v="81021221117"/>
        <s v="05240284175"/>
        <s v="64111126325"/>
        <s v="71072788389"/>
        <s v="67010775979"/>
        <s v="03250482273"/>
        <s v="80062327468"/>
        <s v="34072791434"/>
        <s v="34072025193"/>
        <s v="92092613147"/>
        <s v="62062544768"/>
        <s v="91090998791"/>
        <s v="45070896489"/>
        <s v="75061093928"/>
        <s v="24040515461"/>
        <s v="91021463961"/>
        <s v="03252684819"/>
        <s v="65060997484"/>
        <s v="50112986994"/>
        <s v="92050952574"/>
        <s v="27013163713"/>
        <s v="00232645181"/>
        <s v="05272744926"/>
        <s v="61051099636"/>
        <s v="07302347297"/>
        <s v="44030414866"/>
        <s v="24072971778"/>
        <s v="39110151243"/>
        <s v="94062419713"/>
        <s v="76040728262"/>
        <s v="07291427318"/>
        <s v="79070718249"/>
        <s v="63122321648"/>
        <s v="08311797114"/>
        <s v="37062822738"/>
        <s v="56051159743"/>
        <s v="94073125933"/>
        <s v="36082258958"/>
        <s v="00212411694"/>
        <s v="63071973572"/>
        <s v="59010456695"/>
        <s v="90041954525"/>
        <s v="58101383247"/>
        <s v="02241531831"/>
        <s v="63051587142"/>
        <s v="64102333648"/>
        <s v="70091927892"/>
        <s v="63020713774"/>
        <s v="89113013767"/>
        <s v="92072495734"/>
        <s v="49080779631"/>
        <s v="28092633517"/>
        <s v="21080584273"/>
        <s v="32112595116"/>
        <s v="20112516264"/>
        <s v="45110598883"/>
        <s v="21101152285"/>
        <s v="08302171385"/>
        <s v="83062193714"/>
        <s v="56062628229"/>
        <s v="60080277677"/>
        <s v="47071349645"/>
        <s v="49052312275"/>
        <s v="96090531816"/>
        <s v="68070965829"/>
        <s v="70033049684"/>
        <s v="26121298171"/>
        <s v="63032962627"/>
        <s v="48090527757"/>
        <s v="54111621272"/>
        <s v="64052194515"/>
        <s v="98041093895"/>
        <s v="64070762664"/>
        <s v="81072643636"/>
        <s v="58030815749"/>
        <s v="34032429818"/>
        <s v="42020779674"/>
        <s v="54061265142"/>
        <s v="44092266689"/>
        <s v="35010956137"/>
        <s v="77120652211"/>
        <s v="31092778122"/>
        <s v="83031792287"/>
        <s v="70081252384"/>
        <s v="35120744569"/>
        <s v="58082763724"/>
        <s v="76042197176"/>
        <s v="95062748474"/>
        <s v="37121545255"/>
        <s v="39072133424"/>
        <s v="55031313863"/>
        <s v="29041816146"/>
        <s v="27040982659"/>
        <s v="02311171927"/>
        <s v="08241598142"/>
        <s v="01211021239"/>
        <s v="50070768526"/>
        <s v="68042682819"/>
        <s v="20122893755"/>
        <s v="59041061932"/>
        <s v="09232261218"/>
        <s v="49050781718"/>
        <s v="45121949283"/>
        <s v="31081212321"/>
        <s v="31090849482"/>
        <s v="68122558162"/>
        <s v="29090938284"/>
        <s v="45072239756"/>
        <s v="23111276218"/>
        <s v="20090917161"/>
        <s v="59071125491"/>
        <s v="59013185354"/>
        <s v="79090951196"/>
        <s v="32051245259"/>
        <s v="52110915493"/>
        <s v="63071519565"/>
        <s v="31032574678"/>
        <s v="29120451253"/>
        <s v="86121779571"/>
        <s v="66112536848"/>
        <s v="60092125757"/>
        <s v="03212425357"/>
        <s v="36032085238"/>
        <s v="35110487159"/>
        <s v="87081197986"/>
        <s v="02261657214"/>
        <s v="43071866744"/>
        <s v="89030688767"/>
        <s v="91010272679"/>
        <s v="99032535899"/>
        <s v="55101396662"/>
        <s v="62121072494"/>
        <s v="82013188393"/>
        <s v="38071351228"/>
        <s v="41050489849"/>
        <s v="26012882827"/>
        <s v="33112424381"/>
        <s v="68030575448"/>
        <s v="32071042599"/>
        <s v="45072016319"/>
        <s v="37100557389"/>
        <s v="87022876479"/>
        <s v="82040551834"/>
        <s v="84032393453"/>
        <s v="76121116166"/>
        <s v="86100435894"/>
        <s v="42121286459"/>
        <s v="00211068217"/>
        <s v="37101335553"/>
        <s v="93101437282"/>
        <s v="84092469248"/>
        <s v="66122925348"/>
        <s v="46082271864"/>
        <s v="49050437329"/>
        <s v="39121348999"/>
        <s v="82050531273"/>
        <s v="25071775264"/>
        <s v="31051584261"/>
        <s v="63032962313"/>
        <s v="63020471144"/>
        <s v="79043088122"/>
        <s v="58122678814"/>
        <s v="41030348687"/>
        <s v="97080315144"/>
        <s v="83011332388"/>
        <s v="84061088793"/>
        <s v="31032966828"/>
        <s v="59062851844"/>
        <s v="98022138285"/>
        <s v="33071781183"/>
        <s v="73112338424"/>
        <s v="73043098635"/>
        <s v="63120197421"/>
        <s v="25102265353"/>
        <s v="03291445574"/>
        <s v="01220679359"/>
        <s v="40050435676"/>
        <s v="26090492884"/>
        <s v="95012392586"/>
        <s v="73040792617"/>
        <s v="02260568212"/>
        <s v="39090352748"/>
        <s v="71011284668"/>
        <s v="00251358325"/>
        <s v="21012655389"/>
        <s v="56050856955"/>
        <s v="54100245953"/>
        <s v="84112018447"/>
        <s v="72101068197"/>
        <s v="00311313587"/>
        <s v="55041048188"/>
        <s v="80101362548"/>
        <s v="00260733249"/>
        <s v="28092893533"/>
        <s v="60010859593"/>
        <s v="41111587989"/>
        <s v="39021872574"/>
        <s v="71022752822"/>
        <s v="87032191885"/>
        <s v="03210738523"/>
        <s v="60081536575"/>
        <s v="71122032516"/>
        <s v="00260186788"/>
        <s v="60091118475"/>
        <s v="75061174364"/>
        <s v="69020422395"/>
        <s v="83030382645"/>
        <s v="39081461356"/>
        <s v="00210374584"/>
        <s v="28060532327"/>
        <s v="68020927398"/>
        <s v="64071283528"/>
        <s v="22052057724"/>
        <s v="97022899972"/>
        <s v="51071171359"/>
        <s v="88072775381"/>
        <s v="29101387319"/>
        <s v="32102381695"/>
        <s v="27011448364"/>
        <s v="72120475358"/>
        <s v="41090356844"/>
        <s v="33120771547"/>
        <s v="77031493347"/>
        <s v="81022858718"/>
        <s v="59021483349"/>
        <s v="64071661153"/>
        <s v="93051387442"/>
        <s v="42080534747"/>
        <s v="83092587754"/>
        <s v="05262581579"/>
        <s v="23101725346"/>
        <s v="08212447312"/>
        <s v="01262885453"/>
        <s v="78063029274"/>
        <s v="84020958541"/>
        <s v="43051688715"/>
        <s v="23021741866"/>
        <s v="93052137947"/>
        <s v="32032919984"/>
        <s v="37042813178"/>
        <s v="32022294723"/>
        <s v="83071485952"/>
        <s v="36092347815"/>
        <s v="32011873759"/>
        <s v="62050797655"/>
        <s v="26071012872"/>
        <s v="32031342886"/>
        <s v="94081388276"/>
        <s v="58042747827"/>
        <s v="91030424825"/>
        <s v="94101225839"/>
        <s v="27061576592"/>
        <s v="69082256695"/>
        <s v="24091544555"/>
        <s v="32080613144"/>
        <s v="52101126932"/>
        <s v="60030287422"/>
        <s v="01290493581"/>
        <s v="71092135527"/>
        <s v="72011163265"/>
        <s v="56022547346"/>
        <s v="78121792643"/>
        <s v="61100364182"/>
        <s v="61031888674"/>
        <s v="36070317939"/>
        <s v="66110573429"/>
        <s v="97071094113"/>
        <s v="82080826231"/>
        <s v="25032732974"/>
        <s v="57020814955"/>
        <s v="42101332691"/>
        <s v="56062075915"/>
        <s v="95112846514"/>
        <s v="34061334585"/>
        <s v="54022648838"/>
        <s v="84110223373"/>
        <s v="52041838456"/>
        <s v="84031322513"/>
        <s v="32032162719"/>
        <s v="97071355946"/>
        <s v="68031278319"/>
        <s v="74091385948"/>
        <s v="98031871755"/>
        <s v="20033117319"/>
        <s v="61061737391"/>
        <s v="41052166915"/>
        <s v="30120672731"/>
        <s v="37030758148"/>
        <s v="73120916124"/>
        <s v="97050796267"/>
        <s v="02310988788"/>
        <s v="60072586165"/>
        <s v="20083041532"/>
        <s v="81020398779"/>
        <s v="68031128232"/>
        <s v="26010923799"/>
        <s v="39100436174"/>
        <s v="35100161414"/>
        <s v="00313097537"/>
        <s v="23020138968"/>
        <s v="53020684558"/>
        <s v="00302153828"/>
        <s v="73050542985"/>
        <s v="93080389561"/>
        <s v="58110789311"/>
        <s v="53083029181"/>
        <s v="47060575491"/>
        <s v="81030767242"/>
        <s v="23021398945"/>
        <s v="63062527298"/>
        <s v="86031882961"/>
        <s v="99091228246"/>
        <s v="05240635872"/>
        <s v="71051041144"/>
        <s v="70030269571"/>
        <s v="83011367542"/>
        <s v="87090814478"/>
        <s v="54072686543"/>
        <s v="70110136542"/>
        <s v="97100169892"/>
        <s v="65031884531"/>
        <s v="73122951518"/>
        <s v="55111826315"/>
        <s v="32041285373"/>
        <s v="42112851493"/>
        <s v="05261773597"/>
        <s v="69081435648"/>
        <s v="02280662345"/>
        <s v="84022657936"/>
        <s v="48101719555"/>
        <s v="02213087139"/>
        <s v="40022232773"/>
        <s v="48081955217"/>
        <s v="50121547348"/>
        <s v="43031032635"/>
        <s v="03251128637"/>
        <s v="80062354785"/>
        <s v="02311545784"/>
        <s v="25111396468"/>
        <s v="33042842215"/>
        <s v="28100582374"/>
        <s v="99072844919"/>
        <s v="01250991368"/>
        <s v="22032032875"/>
        <s v="81113041454"/>
        <s v="09311045276"/>
        <s v="39071421292"/>
        <s v="87082031359"/>
        <s v="93040472816"/>
        <s v="81100414748"/>
        <s v="38082022588"/>
        <s v="07261292591"/>
        <s v="46022384991"/>
        <s v="97020325844"/>
        <s v="08231762539"/>
        <s v="76081141583"/>
        <s v="93050967531"/>
        <s v="40060177519"/>
        <s v="55012852385"/>
        <s v="87011431214"/>
        <s v="05281176583"/>
        <s v="83122017327"/>
        <s v="45040287376"/>
        <s v="27032555478"/>
        <s v="88111977491"/>
        <s v="00241645299"/>
        <s v="67010894445"/>
        <s v="96030638982"/>
        <s v="89062565472"/>
        <s v="46052327173"/>
        <s v="23111828323"/>
        <s v="30021131852"/>
        <s v="80031916112"/>
        <s v="78062476848"/>
        <s v="74070224767"/>
        <s v="35110511647"/>
        <s v="31121533272"/>
        <s v="79011023319"/>
        <s v="93071365514"/>
        <s v="20022021197"/>
        <s v="34010514565"/>
        <s v="87032986685"/>
        <s v="93111938272"/>
        <s v="32082876734"/>
        <s v="71112186139"/>
        <s v="51041632947"/>
        <s v="28042413925"/>
        <s v="08212126581"/>
        <s v="90061971629"/>
        <s v="22060986926"/>
        <s v="20071266347"/>
        <s v="93090426797"/>
        <s v="72080678389"/>
        <s v="54022057258"/>
        <s v="23081349275"/>
        <s v="52010156343"/>
        <s v="48092133558"/>
        <s v="52062858569"/>
        <s v="97060877642"/>
        <s v="96122982869"/>
        <s v="79091155377"/>
        <s v="02300364525"/>
        <s v="06290512595"/>
        <s v="43070562795"/>
        <s v="06281534812"/>
        <s v="06230267871"/>
        <s v="55021173347"/>
        <s v="44062292353"/>
        <s v="30080361197"/>
        <s v="03240155763"/>
        <s v="06241139242"/>
        <s v="44101537939"/>
        <s v="47102474269"/>
        <s v="06281643996"/>
        <s v="54110819487"/>
        <s v="74040628254"/>
        <s v="87080722396"/>
        <s v="31090559989"/>
        <s v="46022655284"/>
        <s v="58012774837"/>
        <s v="45112319471"/>
        <s v="23030436562"/>
        <s v="35012796652"/>
        <s v="86120371859"/>
        <s v="02301066266"/>
        <s v="75031568995"/>
        <s v="74022088997"/>
        <s v="04272952573"/>
        <s v="95062121776"/>
        <s v="48021366534"/>
        <s v="05320823322"/>
        <s v="87041224268"/>
        <s v="08211236469"/>
        <s v="94041771362"/>
        <s v="08280523622"/>
        <s v="28111415492"/>
        <s v="35030859197"/>
        <s v="92081637192"/>
        <s v="39021949173"/>
        <s v="80070515514"/>
        <s v="41090343718"/>
        <s v="62091143985"/>
        <s v="71030266872"/>
        <s v="37060241535"/>
        <s v="27052465261"/>
        <s v="93010539549"/>
        <s v="31120146318"/>
        <s v="94060442786"/>
        <s v="08300996513"/>
        <s v="87071754944"/>
        <s v="66091342146"/>
        <s v="48120934478"/>
        <s v="88011322267"/>
        <s v="59042321268"/>
        <s v="60020194394"/>
        <s v="54051894257"/>
        <s v="63022648489"/>
        <s v="66031135467"/>
        <s v="49072924229"/>
        <s v="09291837313"/>
        <s v="45020892626"/>
        <s v="35032869556"/>
        <s v="34081398633"/>
        <s v="20051966337"/>
        <s v="58022191471"/>
        <s v="33092927353"/>
        <s v="31071117359"/>
        <s v="88012178515"/>
        <s v="20052716283"/>
        <s v="07230934929"/>
        <s v="61070152859"/>
        <s v="48011459585"/>
        <s v="68102192991"/>
        <s v="49062323812"/>
        <s v="48123076117"/>
        <s v="77081388774"/>
        <s v="98033094657"/>
        <s v="75033075912"/>
        <s v="77112911681"/>
        <s v="32082919521"/>
        <s v="07321653122"/>
        <s v="97051475275"/>
        <s v="83040151116"/>
        <s v="56071482434"/>
        <s v="00292475236"/>
        <s v="73022861658"/>
        <s v="97051868914"/>
        <s v="98082439627"/>
        <s v="27041396967"/>
        <s v="52011078749"/>
        <s v="40112924179"/>
        <s v="38091826412"/>
        <s v="83051049688"/>
        <s v="78062222821"/>
        <s v="25101587957"/>
        <s v="56070449645"/>
        <s v="09280566174"/>
        <s v="89090688459"/>
        <s v="40022828594"/>
        <s v="27011314739"/>
        <s v="48082514468"/>
        <s v="98071097991"/>
        <s v="64041882922"/>
        <s v="91112263319"/>
        <s v="21012094418"/>
        <s v="32100725349"/>
        <s v="24090793257"/>
        <s v="60111055892"/>
        <s v="76102185958"/>
        <s v="36051999736"/>
        <s v="91061249619"/>
        <s v="53062719315"/>
        <s v="52051969249"/>
        <s v="83082872374"/>
        <s v="64021858958"/>
        <s v="79070873683"/>
        <s v="97092383821"/>
        <s v="75100677636"/>
        <s v="60052879768"/>
        <s v="82050649936"/>
        <s v="87102335953"/>
        <s v="30122494245"/>
        <s v="69071363494"/>
        <s v="59090462876"/>
        <s v="40072854617"/>
        <s v="92011957543"/>
        <s v="35072127328"/>
        <s v="81021128544"/>
        <s v="35031981781"/>
        <s v="00242332741"/>
        <s v="93042086974"/>
        <s v="83080425697"/>
        <s v="59061133347"/>
        <s v="06241646834"/>
        <s v="99052626957"/>
        <s v="95091375285"/>
        <s v="78080457991"/>
        <s v="86072755961"/>
        <s v="93112216724"/>
        <s v="99110312837"/>
        <s v="78071228911"/>
        <s v="66011549194"/>
        <s v="92031265318"/>
        <s v="95053028484"/>
        <s v="02312031316"/>
        <s v="35092324918"/>
        <s v="65010426154"/>
        <s v="25041042314"/>
        <s v="49082934988"/>
        <s v="98092523329"/>
        <s v="57112718273"/>
        <s v="25070321893"/>
        <s v="61090158314"/>
        <s v="60101785127"/>
        <s v="96020629538"/>
        <s v="80122343162"/>
        <s v="97100751244"/>
        <s v="74041088235"/>
        <s v="38030817521"/>
        <s v="82111099968"/>
        <s v="90081293316"/>
        <s v="68081198252"/>
        <s v="86112455547"/>
        <s v="24092415733"/>
        <s v="92110798812"/>
        <s v="08261396278"/>
        <s v="36041921569"/>
        <s v="06231723558"/>
        <s v="75031268611"/>
        <s v="48051332398"/>
        <s v="32020633489"/>
        <s v="45110774979"/>
        <s v="68051767343"/>
        <s v="44111193639"/>
        <s v="84071475659"/>
        <s v="51100268395"/>
        <s v="50122977832"/>
        <s v="77020522748"/>
        <s v="56100891974"/>
        <s v="45011941212"/>
        <s v="81090457923"/>
        <s v="70122286888"/>
        <s v="36031815159"/>
        <s v="58091635692"/>
        <s v="64112712121"/>
        <s v="66011597562"/>
        <s v="80122265644"/>
        <s v="80010449156"/>
        <s v="65070514862"/>
        <s v="99082877196"/>
        <s v="04301916244"/>
        <s v="82041048153"/>
        <s v="34120819787"/>
        <s v="33013033275"/>
        <s v="92112735222"/>
        <s v="25010776758"/>
        <s v="57100835496"/>
        <s v="65121249114"/>
        <s v="26061058275"/>
        <s v="88031152516"/>
        <s v="26030776337"/>
        <s v="06310913124"/>
        <s v="27020649316"/>
        <s v="45031494446"/>
        <s v="76112869819"/>
        <s v="60082029883"/>
        <s v="51062491811"/>
        <s v="40111493892"/>
        <s v="99122046784"/>
        <s v="33022763466"/>
        <s v="53060254227"/>
        <s v="01231531925"/>
        <s v="40093026165"/>
        <s v="73042365376"/>
        <s v="63082122785"/>
        <s v="50070111638"/>
        <s v="22041442366"/>
        <s v="35122696673"/>
        <s v="68080517485"/>
        <s v="00242225256"/>
        <s v="50061356156"/>
        <s v="91022175957"/>
        <s v="43100281726"/>
        <s v="66020552185"/>
        <s v="42062978969"/>
        <s v="54041042376"/>
        <s v="21013119149"/>
        <s v="69122033354"/>
        <s v="66063067127"/>
        <s v="20092948718"/>
        <s v="59072322767"/>
        <s v="05300727525"/>
        <s v="92020137895"/>
        <s v="85090738378"/>
        <s v="41060745555"/>
        <s v="94061387495"/>
        <s v="74043054933"/>
        <s v="04240923383"/>
        <s v="28100451674"/>
        <s v="30041586876"/>
        <s v="37050927434"/>
        <s v="21040358249"/>
        <s v="81120991883"/>
        <s v="03220281794"/>
        <s v="50021519195"/>
        <s v="72041899866"/>
        <s v="67110663536"/>
        <s v="51111963535"/>
        <s v="73051797551"/>
        <s v="07302324298"/>
        <s v="85082853229"/>
        <s v="01303087585"/>
        <s v="24103124645"/>
        <s v="53031368678"/>
        <s v="02311665831"/>
        <s v="34012884695"/>
        <s v="32110971772"/>
        <s v="61010554877"/>
        <s v="78062549665"/>
        <s v="20041912689"/>
        <s v="78120853329"/>
        <s v="53052543443"/>
        <s v="75082852618"/>
        <s v="28050452851"/>
        <s v="01241694474"/>
        <s v="70072711216"/>
        <s v="91030314931"/>
        <s v="05260658897"/>
        <s v="46122793413"/>
        <s v="03251014336"/>
        <s v="25100881533"/>
        <s v="02271493745"/>
        <s v="54102164119"/>
        <s v="04282562647"/>
        <s v="02290535572"/>
        <s v="68072766473"/>
        <s v="59071767916"/>
        <s v="32112735273"/>
        <s v="70041966133"/>
        <s v="00282223623"/>
        <s v="28011479941"/>
        <s v="98040991347"/>
        <s v="77091813668"/>
        <s v="53062118664"/>
        <s v="60111734245"/>
        <s v="87112947715"/>
        <s v="03232669786"/>
        <s v="99062917216"/>
        <s v="77112363518"/>
        <s v="71052925243"/>
        <s v="52102323215"/>
        <s v="82070773846"/>
        <s v="91022231569"/>
        <s v="85032257639"/>
        <s v="26112297598"/>
        <s v="84040539649"/>
        <s v="28100889327"/>
        <s v="54121487532"/>
        <s v="58021399764"/>
        <s v="03282114533"/>
        <s v="31091073617"/>
        <s v="31050679612"/>
        <s v="03271214219"/>
        <s v="72051336717"/>
        <s v="56102659936"/>
        <s v="42092966431"/>
        <s v="69070762218"/>
        <s v="88100219328"/>
        <s v="62091881281"/>
        <s v="89041363833"/>
        <s v="60060322474"/>
        <s v="57110125563"/>
        <s v="60032357169"/>
        <s v="80090872345"/>
        <s v="89041555874"/>
        <s v="49020934816"/>
        <s v="30070547978"/>
        <s v="68090165764"/>
        <s v="90092074423"/>
        <s v="60051991245"/>
        <s v="96040551121"/>
        <s v="80032243415"/>
        <s v="74011931745"/>
        <s v="32042933169"/>
        <s v="76021025625"/>
        <s v="82112079152"/>
        <s v="27121034325"/>
        <s v="25010246853"/>
        <s v="28120717411"/>
        <s v="59091214779"/>
        <s v="01301584817"/>
        <s v="08312554282"/>
        <s v="36030623126"/>
        <s v="03232486938"/>
        <s v="04211111982"/>
        <s v="98061186115"/>
        <s v="07252299886"/>
        <s v="56050947141"/>
        <s v="78050661425"/>
        <s v="65030412425"/>
        <s v="50100924858"/>
        <s v="84063031577"/>
        <s v="83040667448"/>
        <s v="62091343378"/>
        <s v="67120368616"/>
        <s v="49090966296"/>
        <s v="51101451688"/>
        <s v="83120872847"/>
        <s v="77100344996"/>
        <s v="71051072588"/>
        <s v="35091976246"/>
        <s v="68102446298"/>
        <s v="42122341465"/>
        <s v="36121262168"/>
        <s v="66010198313"/>
        <s v="89101632857"/>
        <s v="88122551811"/>
        <s v="58072364177"/>
        <s v="09222687156"/>
        <s v="97012789254"/>
        <s v="05323044344"/>
        <s v="31083057216"/>
        <s v="91052287136"/>
        <s v="35072457663"/>
        <s v="00302461745"/>
        <s v="72070631167"/>
        <s v="76110647246"/>
        <s v="24040177241"/>
        <s v="86013082275"/>
        <s v="69071554267"/>
        <s v="66092881561"/>
        <s v="83111396178"/>
        <s v="66080191177"/>
        <s v="77020795272"/>
        <s v="75021565595"/>
        <s v="29092084945"/>
        <s v="05301389427"/>
        <s v="08230465143"/>
        <s v="32042656495"/>
        <s v="66080665924"/>
        <s v="01270645313"/>
        <s v="78073185238"/>
        <s v="20021536689"/>
        <s v="72043046662"/>
        <s v="07262999459"/>
        <s v="37091024981"/>
        <s v="53092368598"/>
        <s v="31091712778"/>
        <s v="29101951255"/>
        <s v="57092585746"/>
        <s v="06292133936"/>
        <s v="74081887586"/>
        <s v="90070369365"/>
        <s v="48110866662"/>
        <s v="32100235767"/>
        <s v="01272357513"/>
        <s v="37112023212"/>
        <s v="03311196468"/>
        <s v="93092676596"/>
        <s v="93012418598"/>
        <s v="82030879562"/>
        <s v="09221337489"/>
        <s v="75090635997"/>
        <s v="40042025863"/>
        <s v="06292578955"/>
        <s v="40071161114"/>
        <s v="36011592485"/>
        <s v="75041016895"/>
        <s v="84070799958"/>
        <s v="78102746342"/>
        <s v="23013013119"/>
        <s v="43061996312"/>
        <s v="59030132122"/>
        <s v="80070812222"/>
        <s v="21112217759"/>
        <s v="32072731623"/>
        <s v="79050188499"/>
        <s v="57051974372"/>
        <s v="71092496572"/>
        <s v="32020583272"/>
        <s v="00322971837"/>
        <s v="64052512173"/>
        <s v="83030581624"/>
        <s v="08300885789"/>
        <s v="03231736256"/>
        <s v="47060254295"/>
        <s v="84090377527"/>
        <s v="47012778262"/>
        <s v="44081827574"/>
        <s v="70031559431"/>
        <s v="70080391567"/>
        <s v="30043041872"/>
        <s v="47022815696"/>
        <s v="02282423874"/>
        <s v="81102259213"/>
        <s v="97021668337"/>
        <s v="41101655649"/>
        <s v="30070676591"/>
        <s v="95033053233"/>
        <s v="74121984617"/>
        <s v="96121877629"/>
        <s v="82020224149"/>
        <s v="42101274155"/>
        <s v="42041525276"/>
        <s v="21071654248"/>
        <s v="01220393556"/>
        <s v="91121039154"/>
        <s v="47111564494"/>
        <s v="09272335528"/>
        <s v="25022587856"/>
        <s v="82032729827"/>
        <s v="34042967111"/>
        <s v="51050267358"/>
        <s v="27100496667"/>
        <s v="74012446273"/>
        <s v="39032288946"/>
        <s v="65122963266"/>
        <s v="85011778463"/>
        <s v="71103132237"/>
        <s v="78011817784"/>
        <s v="42011867728"/>
        <s v="75102995219"/>
        <s v="74090463252"/>
        <s v="80061597297"/>
        <s v="79092276738"/>
        <s v="89042722899"/>
        <s v="95032259654"/>
        <s v="61020991356"/>
        <s v="51110926445"/>
        <s v="92041945695"/>
        <s v="73051881887"/>
        <s v="66082865834"/>
      </sharedItems>
    </cacheField>
    <cacheField name="RODZAJ SZCZEPIONKI" numFmtId="0">
      <sharedItems count="4">
        <s v="Pfizer"/>
        <s v="Johnson&amp;Johnson"/>
        <s v="Moderna"/>
        <s v="AstraZeneca"/>
      </sharedItems>
    </cacheField>
    <cacheField name="GODZINA ZASZCZEPIENIA" numFmtId="164">
      <sharedItems containsSemiMixedTypes="0" containsNonDate="0" containsDate="1" containsString="0" minDate="1899-12-30T08:00:00" maxDate="1899-12-30T16:57:00" count="1000">
        <d v="1899-12-30T08:00:00"/>
        <d v="1899-12-30T08:00:25"/>
        <d v="1899-12-30T08:00:50"/>
        <d v="1899-12-30T08:01:40"/>
        <d v="1899-12-30T08:02:30"/>
        <d v="1899-12-30T08:02:55"/>
        <d v="1899-12-30T08:03:45"/>
        <d v="1899-12-30T08:04:10"/>
        <d v="1899-12-30T08:04:35"/>
        <d v="1899-12-30T08:05:00"/>
        <d v="1899-12-30T08:05:25"/>
        <d v="1899-12-30T08:05:50"/>
        <d v="1899-12-30T08:06:15"/>
        <d v="1899-12-30T08:07:05"/>
        <d v="1899-12-30T08:07:30"/>
        <d v="1899-12-30T08:07:55"/>
        <d v="1899-12-30T08:08:20"/>
        <d v="1899-12-30T08:08:45"/>
        <d v="1899-12-30T08:09:10"/>
        <d v="1899-12-30T08:10:00"/>
        <d v="1899-12-30T08:10:50"/>
        <d v="1899-12-30T08:11:15"/>
        <d v="1899-12-30T08:11:40"/>
        <d v="1899-12-30T08:12:30"/>
        <d v="1899-12-30T08:12:55"/>
        <d v="1899-12-30T08:13:45"/>
        <d v="1899-12-30T08:14:10"/>
        <d v="1899-12-30T08:14:35"/>
        <d v="1899-12-30T08:15:25"/>
        <d v="1899-12-30T08:16:15"/>
        <d v="1899-12-30T08:16:40"/>
        <d v="1899-12-30T08:17:05"/>
        <d v="1899-12-30T08:17:55"/>
        <d v="1899-12-30T08:18:20"/>
        <d v="1899-12-30T08:19:10"/>
        <d v="1899-12-30T08:19:35"/>
        <d v="1899-12-30T08:20:00"/>
        <d v="1899-12-30T08:20:25"/>
        <d v="1899-12-30T08:20:50"/>
        <d v="1899-12-30T08:21:40"/>
        <d v="1899-12-30T08:22:05"/>
        <d v="1899-12-30T08:22:30"/>
        <d v="1899-12-30T08:22:55"/>
        <d v="1899-12-30T08:23:20"/>
        <d v="1899-12-30T08:23:45"/>
        <d v="1899-12-30T08:24:35"/>
        <d v="1899-12-30T08:25:00"/>
        <d v="1899-12-30T08:25:50"/>
        <d v="1899-12-30T08:26:40"/>
        <d v="1899-12-30T08:27:05"/>
        <d v="1899-12-30T08:27:30"/>
        <d v="1899-12-30T08:27:55"/>
        <d v="1899-12-30T08:28:45"/>
        <d v="1899-12-30T08:29:10"/>
        <d v="1899-12-30T08:30:00"/>
        <d v="1899-12-30T08:30:50"/>
        <d v="1899-12-30T08:31:15"/>
        <d v="1899-12-30T08:32:05"/>
        <d v="1899-12-30T08:32:30"/>
        <d v="1899-12-30T08:33:20"/>
        <d v="1899-12-30T08:33:45"/>
        <d v="1899-12-30T08:34:10"/>
        <d v="1899-12-30T08:34:35"/>
        <d v="1899-12-30T08:35:25"/>
        <d v="1899-12-30T08:36:15"/>
        <d v="1899-12-30T08:36:40"/>
        <d v="1899-12-30T08:37:05"/>
        <d v="1899-12-30T08:37:30"/>
        <d v="1899-12-30T08:37:55"/>
        <d v="1899-12-30T08:38:20"/>
        <d v="1899-12-30T08:38:45"/>
        <d v="1899-12-30T08:39:10"/>
        <d v="1899-12-30T08:40:00"/>
        <d v="1899-12-30T08:40:50"/>
        <d v="1899-12-30T08:41:40"/>
        <d v="1899-12-30T08:42:05"/>
        <d v="1899-12-30T08:42:30"/>
        <d v="1899-12-30T08:42:55"/>
        <d v="1899-12-30T08:43:20"/>
        <d v="1899-12-30T08:43:45"/>
        <d v="1899-12-30T08:44:10"/>
        <d v="1899-12-30T08:44:35"/>
        <d v="1899-12-30T08:45:25"/>
        <d v="1899-12-30T08:45:50"/>
        <d v="1899-12-30T08:46:15"/>
        <d v="1899-12-30T08:47:05"/>
        <d v="1899-12-30T08:47:55"/>
        <d v="1899-12-30T08:48:20"/>
        <d v="1899-12-30T08:49:10"/>
        <d v="1899-12-30T08:50:00"/>
        <d v="1899-12-30T08:50:25"/>
        <d v="1899-12-30T08:50:50"/>
        <d v="1899-12-30T08:51:40"/>
        <d v="1899-12-30T08:52:05"/>
        <d v="1899-12-30T08:52:30"/>
        <d v="1899-12-30T08:52:55"/>
        <d v="1899-12-30T08:53:45"/>
        <d v="1899-12-30T08:54:35"/>
        <d v="1899-12-30T08:55:00"/>
        <d v="1899-12-30T08:55:25"/>
        <d v="1899-12-30T08:55:50"/>
        <d v="1899-12-30T08:56:40"/>
        <d v="1899-12-30T08:57:30"/>
        <d v="1899-12-30T08:57:55"/>
        <d v="1899-12-30T08:58:20"/>
        <d v="1899-12-30T08:58:45"/>
        <d v="1899-12-30T08:59:10"/>
        <d v="1899-12-30T08:59:35"/>
        <d v="1899-12-30T09:00:25"/>
        <d v="1899-12-30T09:01:15"/>
        <d v="1899-12-30T09:01:40"/>
        <d v="1899-12-30T09:02:05"/>
        <d v="1899-12-30T09:02:30"/>
        <d v="1899-12-30T09:02:55"/>
        <d v="1899-12-30T09:03:20"/>
        <d v="1899-12-30T09:04:10"/>
        <d v="1899-12-30T09:05:00"/>
        <d v="1899-12-30T09:05:25"/>
        <d v="1899-12-30T09:06:15"/>
        <d v="1899-12-30T09:06:40"/>
        <d v="1899-12-30T09:07:30"/>
        <d v="1899-12-30T09:07:55"/>
        <d v="1899-12-30T09:08:20"/>
        <d v="1899-12-30T09:08:45"/>
        <d v="1899-12-30T09:09:35"/>
        <d v="1899-12-30T09:10:00"/>
        <d v="1899-12-30T09:10:50"/>
        <d v="1899-12-30T09:11:15"/>
        <d v="1899-12-30T09:11:40"/>
        <d v="1899-12-30T09:12:30"/>
        <d v="1899-12-30T09:12:55"/>
        <d v="1899-12-30T09:13:45"/>
        <d v="1899-12-30T09:14:10"/>
        <d v="1899-12-30T09:15:00"/>
        <d v="1899-12-30T09:15:25"/>
        <d v="1899-12-30T09:15:50"/>
        <d v="1899-12-30T09:16:15"/>
        <d v="1899-12-30T09:16:40"/>
        <d v="1899-12-30T09:17:05"/>
        <d v="1899-12-30T09:17:30"/>
        <d v="1899-12-30T09:18:20"/>
        <d v="1899-12-30T09:18:45"/>
        <d v="1899-12-30T09:19:10"/>
        <d v="1899-12-30T09:19:35"/>
        <d v="1899-12-30T09:20:25"/>
        <d v="1899-12-30T09:20:50"/>
        <d v="1899-12-30T09:21:15"/>
        <d v="1899-12-30T09:21:40"/>
        <d v="1899-12-30T09:22:05"/>
        <d v="1899-12-30T09:22:30"/>
        <d v="1899-12-30T09:23:20"/>
        <d v="1899-12-30T09:23:45"/>
        <d v="1899-12-30T09:24:10"/>
        <d v="1899-12-30T09:24:35"/>
        <d v="1899-12-30T09:25:00"/>
        <d v="1899-12-30T09:25:50"/>
        <d v="1899-12-30T09:26:40"/>
        <d v="1899-12-30T09:27:30"/>
        <d v="1899-12-30T09:27:55"/>
        <d v="1899-12-30T09:28:20"/>
        <d v="1899-12-30T09:29:10"/>
        <d v="1899-12-30T09:29:35"/>
        <d v="1899-12-30T09:30:25"/>
        <d v="1899-12-30T09:30:50"/>
        <d v="1899-12-30T09:31:40"/>
        <d v="1899-12-30T09:32:30"/>
        <d v="1899-12-30T09:32:55"/>
        <d v="1899-12-30T09:33:45"/>
        <d v="1899-12-30T09:34:10"/>
        <d v="1899-12-30T09:35:00"/>
        <d v="1899-12-30T09:35:25"/>
        <d v="1899-12-30T09:36:15"/>
        <d v="1899-12-30T09:37:05"/>
        <d v="1899-12-30T09:37:30"/>
        <d v="1899-12-30T09:38:20"/>
        <d v="1899-12-30T09:38:45"/>
        <d v="1899-12-30T09:39:10"/>
        <d v="1899-12-30T09:39:35"/>
        <d v="1899-12-30T09:40:25"/>
        <d v="1899-12-30T09:41:15"/>
        <d v="1899-12-30T09:41:40"/>
        <d v="1899-12-30T09:42:05"/>
        <d v="1899-12-30T09:42:55"/>
        <d v="1899-12-30T09:43:20"/>
        <d v="1899-12-30T09:44:10"/>
        <d v="1899-12-30T09:44:35"/>
        <d v="1899-12-30T09:45:25"/>
        <d v="1899-12-30T09:45:50"/>
        <d v="1899-12-30T09:46:15"/>
        <d v="1899-12-30T09:46:40"/>
        <d v="1899-12-30T09:47:05"/>
        <d v="1899-12-30T09:47:30"/>
        <d v="1899-12-30T09:47:55"/>
        <d v="1899-12-30T09:48:45"/>
        <d v="1899-12-30T09:49:35"/>
        <d v="1899-12-30T09:50:00"/>
        <d v="1899-12-30T09:50:25"/>
        <d v="1899-12-30T09:50:50"/>
        <d v="1899-12-30T09:51:15"/>
        <d v="1899-12-30T09:51:40"/>
        <d v="1899-12-30T09:52:05"/>
        <d v="1899-12-30T09:52:55"/>
        <d v="1899-12-30T09:53:20"/>
        <d v="1899-12-30T09:53:45"/>
        <d v="1899-12-30T09:54:10"/>
        <d v="1899-12-30T09:54:35"/>
        <d v="1899-12-30T09:55:00"/>
        <d v="1899-12-30T09:55:50"/>
        <d v="1899-12-30T09:56:15"/>
        <d v="1899-12-30T09:56:40"/>
        <d v="1899-12-30T09:57:30"/>
        <d v="1899-12-30T09:57:55"/>
        <d v="1899-12-30T09:58:20"/>
        <d v="1899-12-30T09:58:45"/>
        <d v="1899-12-30T09:59:10"/>
        <d v="1899-12-30T09:59:35"/>
        <d v="1899-12-30T10:00:00"/>
        <d v="1899-12-30T10:00:50"/>
        <d v="1899-12-30T10:01:40"/>
        <d v="1899-12-30T10:02:05"/>
        <d v="1899-12-30T10:02:30"/>
        <d v="1899-12-30T10:02:55"/>
        <d v="1899-12-30T10:03:20"/>
        <d v="1899-12-30T10:04:10"/>
        <d v="1899-12-30T10:04:35"/>
        <d v="1899-12-30T10:05:25"/>
        <d v="1899-12-30T10:06:15"/>
        <d v="1899-12-30T10:06:40"/>
        <d v="1899-12-30T10:07:05"/>
        <d v="1899-12-30T10:07:30"/>
        <d v="1899-12-30T10:07:55"/>
        <d v="1899-12-30T10:08:20"/>
        <d v="1899-12-30T10:09:10"/>
        <d v="1899-12-30T10:10:00"/>
        <d v="1899-12-30T10:10:25"/>
        <d v="1899-12-30T10:10:50"/>
        <d v="1899-12-30T10:11:15"/>
        <d v="1899-12-30T10:11:40"/>
        <d v="1899-12-30T10:12:05"/>
        <d v="1899-12-30T10:12:55"/>
        <d v="1899-12-30T10:13:20"/>
        <d v="1899-12-30T10:13:45"/>
        <d v="1899-12-30T10:14:10"/>
        <d v="1899-12-30T10:14:35"/>
        <d v="1899-12-30T10:15:25"/>
        <d v="1899-12-30T10:15:50"/>
        <d v="1899-12-30T10:16:40"/>
        <d v="1899-12-30T10:17:05"/>
        <d v="1899-12-30T10:17:55"/>
        <d v="1899-12-30T10:18:20"/>
        <d v="1899-12-30T10:18:45"/>
        <d v="1899-12-30T10:19:10"/>
        <d v="1899-12-30T10:19:35"/>
        <d v="1899-12-30T10:20:00"/>
        <d v="1899-12-30T10:20:50"/>
        <d v="1899-12-30T10:21:15"/>
        <d v="1899-12-30T10:22:05"/>
        <d v="1899-12-30T10:22:30"/>
        <d v="1899-12-30T10:23:20"/>
        <d v="1899-12-30T10:24:10"/>
        <d v="1899-12-30T10:24:35"/>
        <d v="1899-12-30T10:25:00"/>
        <d v="1899-12-30T10:25:50"/>
        <d v="1899-12-30T10:26:15"/>
        <d v="1899-12-30T10:26:40"/>
        <d v="1899-12-30T10:27:05"/>
        <d v="1899-12-30T10:27:55"/>
        <d v="1899-12-30T10:28:20"/>
        <d v="1899-12-30T10:29:10"/>
        <d v="1899-12-30T10:30:00"/>
        <d v="1899-12-30T10:30:25"/>
        <d v="1899-12-30T10:31:15"/>
        <d v="1899-12-30T10:31:40"/>
        <d v="1899-12-30T10:32:05"/>
        <d v="1899-12-30T10:32:30"/>
        <d v="1899-12-30T10:32:55"/>
        <d v="1899-12-30T10:33:20"/>
        <d v="1899-12-30T10:33:45"/>
        <d v="1899-12-30T10:34:10"/>
        <d v="1899-12-30T10:34:35"/>
        <d v="1899-12-30T10:35:00"/>
        <d v="1899-12-30T10:35:50"/>
        <d v="1899-12-30T10:36:15"/>
        <d v="1899-12-30T10:37:05"/>
        <d v="1899-12-30T10:37:55"/>
        <d v="1899-12-30T10:38:20"/>
        <d v="1899-12-30T10:38:45"/>
        <d v="1899-12-30T10:39:10"/>
        <d v="1899-12-30T10:40:00"/>
        <d v="1899-12-30T10:40:50"/>
        <d v="1899-12-30T10:41:15"/>
        <d v="1899-12-30T10:41:40"/>
        <d v="1899-12-30T10:42:05"/>
        <d v="1899-12-30T10:42:30"/>
        <d v="1899-12-30T10:42:55"/>
        <d v="1899-12-30T10:43:20"/>
        <d v="1899-12-30T10:44:10"/>
        <d v="1899-12-30T10:44:35"/>
        <d v="1899-12-30T10:45:00"/>
        <d v="1899-12-30T10:45:25"/>
        <d v="1899-12-30T10:45:50"/>
        <d v="1899-12-30T10:46:40"/>
        <d v="1899-12-30T10:47:05"/>
        <d v="1899-12-30T10:47:30"/>
        <d v="1899-12-30T10:47:55"/>
        <d v="1899-12-30T10:48:20"/>
        <d v="1899-12-30T10:48:45"/>
        <d v="1899-12-30T10:49:10"/>
        <d v="1899-12-30T10:50:00"/>
        <d v="1899-12-30T10:50:25"/>
        <d v="1899-12-30T10:50:50"/>
        <d v="1899-12-30T10:51:40"/>
        <d v="1899-12-30T10:52:05"/>
        <d v="1899-12-30T10:52:30"/>
        <d v="1899-12-30T10:53:20"/>
        <d v="1899-12-30T10:54:10"/>
        <d v="1899-12-30T10:54:35"/>
        <d v="1899-12-30T10:55:00"/>
        <d v="1899-12-30T10:55:25"/>
        <d v="1899-12-30T10:56:15"/>
        <d v="1899-12-30T10:57:05"/>
        <d v="1899-12-30T10:57:55"/>
        <d v="1899-12-30T10:58:20"/>
        <d v="1899-12-30T10:59:10"/>
        <d v="1899-12-30T10:59:35"/>
        <d v="1899-12-30T11:00:00"/>
        <d v="1899-12-30T11:00:50"/>
        <d v="1899-12-30T11:01:15"/>
        <d v="1899-12-30T11:01:40"/>
        <d v="1899-12-30T11:02:30"/>
        <d v="1899-12-30T11:03:20"/>
        <d v="1899-12-30T11:04:10"/>
        <d v="1899-12-30T11:04:35"/>
        <d v="1899-12-30T11:05:00"/>
        <d v="1899-12-30T11:05:25"/>
        <d v="1899-12-30T11:06:15"/>
        <d v="1899-12-30T11:07:05"/>
        <d v="1899-12-30T11:07:30"/>
        <d v="1899-12-30T11:07:55"/>
        <d v="1899-12-30T11:08:20"/>
        <d v="1899-12-30T11:08:45"/>
        <d v="1899-12-30T11:09:10"/>
        <d v="1899-12-30T11:09:35"/>
        <d v="1899-12-30T11:10:00"/>
        <d v="1899-12-30T11:10:25"/>
        <d v="1899-12-30T11:11:15"/>
        <d v="1899-12-30T11:12:05"/>
        <d v="1899-12-30T11:12:30"/>
        <d v="1899-12-30T11:13:20"/>
        <d v="1899-12-30T11:13:45"/>
        <d v="1899-12-30T11:14:10"/>
        <d v="1899-12-30T11:14:35"/>
        <d v="1899-12-30T11:15:25"/>
        <d v="1899-12-30T11:16:15"/>
        <d v="1899-12-30T11:17:05"/>
        <d v="1899-12-30T11:17:30"/>
        <d v="1899-12-30T11:17:55"/>
        <d v="1899-12-30T11:18:45"/>
        <d v="1899-12-30T11:19:35"/>
        <d v="1899-12-30T11:20:00"/>
        <d v="1899-12-30T11:20:50"/>
        <d v="1899-12-30T11:21:15"/>
        <d v="1899-12-30T11:21:40"/>
        <d v="1899-12-30T11:22:30"/>
        <d v="1899-12-30T11:22:55"/>
        <d v="1899-12-30T11:23:20"/>
        <d v="1899-12-30T11:24:10"/>
        <d v="1899-12-30T11:24:35"/>
        <d v="1899-12-30T11:25:00"/>
        <d v="1899-12-30T11:25:25"/>
        <d v="1899-12-30T11:25:50"/>
        <d v="1899-12-30T11:26:40"/>
        <d v="1899-12-30T11:27:30"/>
        <d v="1899-12-30T11:27:55"/>
        <d v="1899-12-30T11:28:45"/>
        <d v="1899-12-30T11:29:35"/>
        <d v="1899-12-30T11:30:00"/>
        <d v="1899-12-30T11:30:50"/>
        <d v="1899-12-30T11:31:15"/>
        <d v="1899-12-30T11:31:40"/>
        <d v="1899-12-30T11:32:30"/>
        <d v="1899-12-30T11:32:55"/>
        <d v="1899-12-30T11:33:45"/>
        <d v="1899-12-30T11:34:10"/>
        <d v="1899-12-30T11:35:00"/>
        <d v="1899-12-30T11:35:50"/>
        <d v="1899-12-30T11:36:15"/>
        <d v="1899-12-30T11:36:40"/>
        <d v="1899-12-30T11:37:05"/>
        <d v="1899-12-30T11:37:30"/>
        <d v="1899-12-30T11:37:55"/>
        <d v="1899-12-30T11:38:45"/>
        <d v="1899-12-30T11:39:10"/>
        <d v="1899-12-30T11:39:35"/>
        <d v="1899-12-30T11:40:00"/>
        <d v="1899-12-30T11:40:50"/>
        <d v="1899-12-30T11:41:15"/>
        <d v="1899-12-30T11:41:40"/>
        <d v="1899-12-30T11:42:30"/>
        <d v="1899-12-30T11:42:55"/>
        <d v="1899-12-30T11:43:20"/>
        <d v="1899-12-30T11:43:45"/>
        <d v="1899-12-30T11:44:35"/>
        <d v="1899-12-30T11:45:00"/>
        <d v="1899-12-30T11:45:25"/>
        <d v="1899-12-30T11:45:50"/>
        <d v="1899-12-30T11:46:15"/>
        <d v="1899-12-30T11:46:40"/>
        <d v="1899-12-30T11:47:30"/>
        <d v="1899-12-30T11:47:55"/>
        <d v="1899-12-30T11:48:20"/>
        <d v="1899-12-30T11:48:45"/>
        <d v="1899-12-30T11:49:35"/>
        <d v="1899-12-30T11:50:00"/>
        <d v="1899-12-30T11:50:50"/>
        <d v="1899-12-30T11:51:40"/>
        <d v="1899-12-30T11:52:05"/>
        <d v="1899-12-30T11:52:30"/>
        <d v="1899-12-30T11:53:20"/>
        <d v="1899-12-30T11:53:45"/>
        <d v="1899-12-30T11:54:35"/>
        <d v="1899-12-30T11:55:00"/>
        <d v="1899-12-30T11:55:25"/>
        <d v="1899-12-30T11:55:50"/>
        <d v="1899-12-30T11:56:15"/>
        <d v="1899-12-30T11:56:40"/>
        <d v="1899-12-30T11:57:05"/>
        <d v="1899-12-30T11:57:30"/>
        <d v="1899-12-30T11:57:55"/>
        <d v="1899-12-30T11:58:20"/>
        <d v="1899-12-30T11:59:10"/>
        <d v="1899-12-30T11:59:35"/>
        <d v="1899-12-30T12:00:25"/>
        <d v="1899-12-30T12:00:50"/>
        <d v="1899-12-30T12:01:15"/>
        <d v="1899-12-30T12:01:40"/>
        <d v="1899-12-30T12:02:05"/>
        <d v="1899-12-30T12:02:30"/>
        <d v="1899-12-30T12:02:55"/>
        <d v="1899-12-30T12:03:45"/>
        <d v="1899-12-30T12:04:10"/>
        <d v="1899-12-30T12:05:00"/>
        <d v="1899-12-30T12:05:25"/>
        <d v="1899-12-30T12:05:50"/>
        <d v="1899-12-30T12:06:15"/>
        <d v="1899-12-30T12:06:40"/>
        <d v="1899-12-30T12:07:05"/>
        <d v="1899-12-30T12:07:55"/>
        <d v="1899-12-30T12:08:45"/>
        <d v="1899-12-30T12:09:10"/>
        <d v="1899-12-30T12:09:35"/>
        <d v="1899-12-30T12:10:00"/>
        <d v="1899-12-30T12:10:50"/>
        <d v="1899-12-30T12:11:40"/>
        <d v="1899-12-30T12:12:30"/>
        <d v="1899-12-30T12:13:20"/>
        <d v="1899-12-30T12:13:45"/>
        <d v="1899-12-30T12:14:35"/>
        <d v="1899-12-30T12:15:00"/>
        <d v="1899-12-30T12:15:25"/>
        <d v="1899-12-30T12:15:50"/>
        <d v="1899-12-30T12:16:15"/>
        <d v="1899-12-30T12:16:40"/>
        <d v="1899-12-30T12:17:05"/>
        <d v="1899-12-30T12:17:30"/>
        <d v="1899-12-30T12:18:20"/>
        <d v="1899-12-30T12:18:45"/>
        <d v="1899-12-30T12:19:10"/>
        <d v="1899-12-30T12:19:35"/>
        <d v="1899-12-30T12:20:00"/>
        <d v="1899-12-30T12:20:50"/>
        <d v="1899-12-30T12:21:15"/>
        <d v="1899-12-30T12:21:40"/>
        <d v="1899-12-30T12:22:30"/>
        <d v="1899-12-30T12:22:55"/>
        <d v="1899-12-30T12:23:20"/>
        <d v="1899-12-30T12:23:45"/>
        <d v="1899-12-30T12:24:10"/>
        <d v="1899-12-30T12:24:35"/>
        <d v="1899-12-30T12:25:00"/>
        <d v="1899-12-30T12:25:25"/>
        <d v="1899-12-30T12:25:50"/>
        <d v="1899-12-30T12:26:15"/>
        <d v="1899-12-30T12:27:05"/>
        <d v="1899-12-30T12:27:55"/>
        <d v="1899-12-30T12:28:45"/>
        <d v="1899-12-30T12:29:10"/>
        <d v="1899-12-30T12:29:35"/>
        <d v="1899-12-30T12:30:00"/>
        <d v="1899-12-30T12:30:50"/>
        <d v="1899-12-30T12:31:15"/>
        <d v="1899-12-30T12:31:40"/>
        <d v="1899-12-30T12:32:30"/>
        <d v="1899-12-30T12:32:55"/>
        <d v="1899-12-30T12:33:45"/>
        <d v="1899-12-30T12:34:10"/>
        <d v="1899-12-30T12:34:35"/>
        <d v="1899-12-30T12:35:25"/>
        <d v="1899-12-30T12:35:50"/>
        <d v="1899-12-30T12:36:15"/>
        <d v="1899-12-30T12:37:05"/>
        <d v="1899-12-30T12:37:30"/>
        <d v="1899-12-30T12:37:55"/>
        <d v="1899-12-30T12:38:20"/>
        <d v="1899-12-30T12:38:45"/>
        <d v="1899-12-30T12:39:35"/>
        <d v="1899-12-30T12:40:00"/>
        <d v="1899-12-30T12:40:50"/>
        <d v="1899-12-30T12:41:15"/>
        <d v="1899-12-30T12:42:05"/>
        <d v="1899-12-30T12:42:55"/>
        <d v="1899-12-30T12:43:20"/>
        <d v="1899-12-30T12:43:45"/>
        <d v="1899-12-30T12:44:10"/>
        <d v="1899-12-30T12:45:00"/>
        <d v="1899-12-30T12:45:50"/>
        <d v="1899-12-30T12:46:40"/>
        <d v="1899-12-30T12:47:05"/>
        <d v="1899-12-30T12:47:55"/>
        <d v="1899-12-30T12:48:20"/>
        <d v="1899-12-30T12:48:45"/>
        <d v="1899-12-30T12:49:35"/>
        <d v="1899-12-30T12:50:00"/>
        <d v="1899-12-30T12:50:25"/>
        <d v="1899-12-30T12:50:50"/>
        <d v="1899-12-30T12:51:15"/>
        <d v="1899-12-30T12:51:40"/>
        <d v="1899-12-30T12:52:05"/>
        <d v="1899-12-30T12:52:55"/>
        <d v="1899-12-30T12:53:20"/>
        <d v="1899-12-30T12:53:45"/>
        <d v="1899-12-30T12:54:10"/>
        <d v="1899-12-30T12:54:35"/>
        <d v="1899-12-30T12:55:25"/>
        <d v="1899-12-30T12:55:50"/>
        <d v="1899-12-30T12:56:40"/>
        <d v="1899-12-30T12:57:05"/>
        <d v="1899-12-30T12:57:55"/>
        <d v="1899-12-30T12:58:20"/>
        <d v="1899-12-30T12:58:45"/>
        <d v="1899-12-30T12:59:10"/>
        <d v="1899-12-30T12:59:35"/>
        <d v="1899-12-30T13:00:00"/>
        <d v="1899-12-30T13:00:50"/>
        <d v="1899-12-30T13:01:15"/>
        <d v="1899-12-30T13:01:40"/>
        <d v="1899-12-30T13:02:30"/>
        <d v="1899-12-30T13:03:20"/>
        <d v="1899-12-30T13:03:45"/>
        <d v="1899-12-30T13:04:10"/>
        <d v="1899-12-30T13:05:00"/>
        <d v="1899-12-30T13:05:25"/>
        <d v="1899-12-30T13:06:15"/>
        <d v="1899-12-30T13:07:05"/>
        <d v="1899-12-30T13:07:30"/>
        <d v="1899-12-30T13:07:55"/>
        <d v="1899-12-30T13:08:45"/>
        <d v="1899-12-30T13:09:10"/>
        <d v="1899-12-30T13:09:35"/>
        <d v="1899-12-30T13:10:25"/>
        <d v="1899-12-30T13:10:50"/>
        <d v="1899-12-30T13:11:40"/>
        <d v="1899-12-30T13:12:05"/>
        <d v="1899-12-30T13:12:30"/>
        <d v="1899-12-30T13:13:20"/>
        <d v="1899-12-30T13:13:45"/>
        <d v="1899-12-30T13:14:35"/>
        <d v="1899-12-30T13:15:00"/>
        <d v="1899-12-30T13:15:25"/>
        <d v="1899-12-30T13:15:50"/>
        <d v="1899-12-30T13:16:15"/>
        <d v="1899-12-30T13:16:40"/>
        <d v="1899-12-30T13:17:05"/>
        <d v="1899-12-30T13:17:55"/>
        <d v="1899-12-30T13:18:20"/>
        <d v="1899-12-30T13:19:10"/>
        <d v="1899-12-30T13:19:35"/>
        <d v="1899-12-30T13:20:00"/>
        <d v="1899-12-30T13:20:50"/>
        <d v="1899-12-30T13:21:15"/>
        <d v="1899-12-30T13:21:40"/>
        <d v="1899-12-30T13:22:05"/>
        <d v="1899-12-30T13:22:30"/>
        <d v="1899-12-30T13:23:20"/>
        <d v="1899-12-30T13:23:45"/>
        <d v="1899-12-30T13:24:35"/>
        <d v="1899-12-30T13:25:00"/>
        <d v="1899-12-30T13:25:25"/>
        <d v="1899-12-30T13:25:50"/>
        <d v="1899-12-30T13:26:40"/>
        <d v="1899-12-30T13:27:05"/>
        <d v="1899-12-30T13:27:30"/>
        <d v="1899-12-30T13:28:20"/>
        <d v="1899-12-30T13:29:10"/>
        <d v="1899-12-30T13:29:35"/>
        <d v="1899-12-30T13:30:00"/>
        <d v="1899-12-30T13:30:25"/>
        <d v="1899-12-30T13:31:15"/>
        <d v="1899-12-30T13:31:40"/>
        <d v="1899-12-30T13:32:30"/>
        <d v="1899-12-30T13:32:55"/>
        <d v="1899-12-30T13:33:20"/>
        <d v="1899-12-30T13:33:45"/>
        <d v="1899-12-30T13:34:10"/>
        <d v="1899-12-30T13:34:35"/>
        <d v="1899-12-30T13:35:00"/>
        <d v="1899-12-30T13:35:25"/>
        <d v="1899-12-30T13:36:15"/>
        <d v="1899-12-30T13:36:40"/>
        <d v="1899-12-30T13:37:05"/>
        <d v="1899-12-30T13:37:30"/>
        <d v="1899-12-30T13:37:55"/>
        <d v="1899-12-30T13:38:20"/>
        <d v="1899-12-30T13:38:45"/>
        <d v="1899-12-30T13:39:35"/>
        <d v="1899-12-30T13:40:00"/>
        <d v="1899-12-30T13:40:25"/>
        <d v="1899-12-30T13:41:15"/>
        <d v="1899-12-30T13:41:40"/>
        <d v="1899-12-30T13:42:05"/>
        <d v="1899-12-30T13:42:30"/>
        <d v="1899-12-30T13:42:55"/>
        <d v="1899-12-30T13:43:45"/>
        <d v="1899-12-30T13:44:10"/>
        <d v="1899-12-30T13:45:00"/>
        <d v="1899-12-30T13:45:25"/>
        <d v="1899-12-30T13:45:50"/>
        <d v="1899-12-30T13:46:15"/>
        <d v="1899-12-30T13:46:40"/>
        <d v="1899-12-30T13:47:05"/>
        <d v="1899-12-30T13:47:55"/>
        <d v="1899-12-30T13:48:20"/>
        <d v="1899-12-30T13:49:10"/>
        <d v="1899-12-30T13:49:35"/>
        <d v="1899-12-30T13:50:00"/>
        <d v="1899-12-30T13:50:50"/>
        <d v="1899-12-30T13:51:40"/>
        <d v="1899-12-30T13:52:05"/>
        <d v="1899-12-30T13:52:30"/>
        <d v="1899-12-30T13:52:55"/>
        <d v="1899-12-30T13:53:45"/>
        <d v="1899-12-30T13:54:35"/>
        <d v="1899-12-30T13:55:25"/>
        <d v="1899-12-30T13:55:50"/>
        <d v="1899-12-30T13:56:15"/>
        <d v="1899-12-30T13:57:05"/>
        <d v="1899-12-30T13:57:55"/>
        <d v="1899-12-30T13:58:45"/>
        <d v="1899-12-30T13:59:10"/>
        <d v="1899-12-30T14:00:00"/>
        <d v="1899-12-30T14:00:50"/>
        <d v="1899-12-30T14:01:40"/>
        <d v="1899-12-30T14:02:05"/>
        <d v="1899-12-30T14:02:55"/>
        <d v="1899-12-30T14:03:20"/>
        <d v="1899-12-30T14:04:10"/>
        <d v="1899-12-30T14:04:35"/>
        <d v="1899-12-30T14:05:00"/>
        <d v="1899-12-30T14:05:25"/>
        <d v="1899-12-30T14:05:50"/>
        <d v="1899-12-30T14:06:15"/>
        <d v="1899-12-30T14:06:40"/>
        <d v="1899-12-30T14:07:30"/>
        <d v="1899-12-30T14:07:55"/>
        <d v="1899-12-30T14:08:45"/>
        <d v="1899-12-30T14:09:35"/>
        <d v="1899-12-30T14:10:00"/>
        <d v="1899-12-30T14:10:25"/>
        <d v="1899-12-30T14:11:15"/>
        <d v="1899-12-30T14:11:40"/>
        <d v="1899-12-30T14:12:05"/>
        <d v="1899-12-30T14:12:55"/>
        <d v="1899-12-30T14:13:20"/>
        <d v="1899-12-30T14:13:45"/>
        <d v="1899-12-30T14:14:10"/>
        <d v="1899-12-30T14:14:35"/>
        <d v="1899-12-30T14:15:00"/>
        <d v="1899-12-30T14:15:50"/>
        <d v="1899-12-30T14:16:15"/>
        <d v="1899-12-30T14:16:40"/>
        <d v="1899-12-30T14:17:05"/>
        <d v="1899-12-30T14:17:55"/>
        <d v="1899-12-30T14:18:20"/>
        <d v="1899-12-30T14:18:45"/>
        <d v="1899-12-30T14:19:10"/>
        <d v="1899-12-30T14:20:00"/>
        <d v="1899-12-30T14:20:25"/>
        <d v="1899-12-30T14:21:15"/>
        <d v="1899-12-30T14:21:40"/>
        <d v="1899-12-30T14:22:05"/>
        <d v="1899-12-30T14:22:30"/>
        <d v="1899-12-30T14:22:55"/>
        <d v="1899-12-30T14:23:20"/>
        <d v="1899-12-30T14:24:10"/>
        <d v="1899-12-30T14:24:35"/>
        <d v="1899-12-30T14:25:00"/>
        <d v="1899-12-30T14:25:25"/>
        <d v="1899-12-30T14:25:50"/>
        <d v="1899-12-30T14:26:15"/>
        <d v="1899-12-30T14:27:05"/>
        <d v="1899-12-30T14:27:30"/>
        <d v="1899-12-30T14:27:55"/>
        <d v="1899-12-30T14:28:45"/>
        <d v="1899-12-30T14:29:10"/>
        <d v="1899-12-30T14:29:35"/>
        <d v="1899-12-30T14:30:00"/>
        <d v="1899-12-30T14:30:25"/>
        <d v="1899-12-30T14:30:50"/>
        <d v="1899-12-30T14:31:40"/>
        <d v="1899-12-30T14:32:05"/>
        <d v="1899-12-30T14:32:55"/>
        <d v="1899-12-30T14:33:20"/>
        <d v="1899-12-30T14:33:45"/>
        <d v="1899-12-30T14:34:10"/>
        <d v="1899-12-30T14:34:35"/>
        <d v="1899-12-30T14:35:00"/>
        <d v="1899-12-30T14:35:25"/>
        <d v="1899-12-30T14:35:50"/>
        <d v="1899-12-30T14:36:15"/>
        <d v="1899-12-30T14:36:40"/>
        <d v="1899-12-30T14:37:30"/>
        <d v="1899-12-30T14:38:20"/>
        <d v="1899-12-30T14:38:45"/>
        <d v="1899-12-30T14:39:10"/>
        <d v="1899-12-30T14:39:35"/>
        <d v="1899-12-30T14:40:00"/>
        <d v="1899-12-30T14:40:25"/>
        <d v="1899-12-30T14:41:15"/>
        <d v="1899-12-30T14:42:05"/>
        <d v="1899-12-30T14:42:55"/>
        <d v="1899-12-30T14:43:20"/>
        <d v="1899-12-30T14:43:45"/>
        <d v="1899-12-30T14:44:10"/>
        <d v="1899-12-30T14:44:35"/>
        <d v="1899-12-30T14:45:25"/>
        <d v="1899-12-30T14:46:15"/>
        <d v="1899-12-30T14:46:40"/>
        <d v="1899-12-30T14:47:05"/>
        <d v="1899-12-30T14:47:30"/>
        <d v="1899-12-30T14:47:55"/>
        <d v="1899-12-30T14:48:20"/>
        <d v="1899-12-30T14:49:10"/>
        <d v="1899-12-30T14:50:00"/>
        <d v="1899-12-30T14:50:25"/>
        <d v="1899-12-30T14:51:15"/>
        <d v="1899-12-30T14:51:40"/>
        <d v="1899-12-30T14:52:05"/>
        <d v="1899-12-30T14:52:30"/>
        <d v="1899-12-30T14:52:55"/>
        <d v="1899-12-30T14:53:20"/>
        <d v="1899-12-30T14:53:45"/>
        <d v="1899-12-30T14:54:10"/>
        <d v="1899-12-30T14:54:35"/>
        <d v="1899-12-30T14:55:00"/>
        <d v="1899-12-30T14:55:25"/>
        <d v="1899-12-30T14:56:15"/>
        <d v="1899-12-30T14:56:40"/>
        <d v="1899-12-30T14:57:05"/>
        <d v="1899-12-30T14:57:30"/>
        <d v="1899-12-30T14:57:55"/>
        <d v="1899-12-30T14:58:20"/>
        <d v="1899-12-30T14:58:45"/>
        <d v="1899-12-30T14:59:10"/>
        <d v="1899-12-30T14:59:35"/>
        <d v="1899-12-30T15:00:25"/>
        <d v="1899-12-30T15:00:50"/>
        <d v="1899-12-30T15:01:15"/>
        <d v="1899-12-30T15:02:05"/>
        <d v="1899-12-30T15:02:30"/>
        <d v="1899-12-30T15:02:55"/>
        <d v="1899-12-30T15:03:20"/>
        <d v="1899-12-30T15:04:10"/>
        <d v="1899-12-30T15:04:35"/>
        <d v="1899-12-30T15:05:00"/>
        <d v="1899-12-30T15:05:25"/>
        <d v="1899-12-30T15:05:50"/>
        <d v="1899-12-30T15:06:15"/>
        <d v="1899-12-30T15:07:05"/>
        <d v="1899-12-30T15:07:30"/>
        <d v="1899-12-30T15:07:55"/>
        <d v="1899-12-30T15:08:45"/>
        <d v="1899-12-30T15:09:35"/>
        <d v="1899-12-30T15:10:00"/>
        <d v="1899-12-30T15:10:25"/>
        <d v="1899-12-30T15:10:50"/>
        <d v="1899-12-30T15:11:15"/>
        <d v="1899-12-30T15:12:05"/>
        <d v="1899-12-30T15:12:30"/>
        <d v="1899-12-30T15:12:55"/>
        <d v="1899-12-30T15:13:20"/>
        <d v="1899-12-30T15:13:45"/>
        <d v="1899-12-30T15:14:10"/>
        <d v="1899-12-30T15:14:35"/>
        <d v="1899-12-30T15:15:25"/>
        <d v="1899-12-30T15:15:50"/>
        <d v="1899-12-30T15:16:40"/>
        <d v="1899-12-30T15:17:05"/>
        <d v="1899-12-30T15:17:55"/>
        <d v="1899-12-30T15:18:20"/>
        <d v="1899-12-30T15:18:45"/>
        <d v="1899-12-30T15:19:10"/>
        <d v="1899-12-30T15:20:00"/>
        <d v="1899-12-30T15:20:25"/>
        <d v="1899-12-30T15:20:50"/>
        <d v="1899-12-30T15:21:15"/>
        <d v="1899-12-30T15:22:05"/>
        <d v="1899-12-30T15:22:30"/>
        <d v="1899-12-30T15:22:55"/>
        <d v="1899-12-30T15:23:20"/>
        <d v="1899-12-30T15:24:10"/>
        <d v="1899-12-30T15:24:35"/>
        <d v="1899-12-30T15:25:00"/>
        <d v="1899-12-30T15:25:50"/>
        <d v="1899-12-30T15:26:15"/>
        <d v="1899-12-30T15:26:40"/>
        <d v="1899-12-30T15:27:05"/>
        <d v="1899-12-30T15:27:30"/>
        <d v="1899-12-30T15:27:55"/>
        <d v="1899-12-30T15:28:45"/>
        <d v="1899-12-30T15:29:10"/>
        <d v="1899-12-30T15:29:35"/>
        <d v="1899-12-30T15:30:00"/>
        <d v="1899-12-30T15:30:25"/>
        <d v="1899-12-30T15:30:50"/>
        <d v="1899-12-30T15:31:15"/>
        <d v="1899-12-30T15:31:40"/>
        <d v="1899-12-30T15:32:05"/>
        <d v="1899-12-30T15:32:55"/>
        <d v="1899-12-30T15:33:45"/>
        <d v="1899-12-30T15:34:10"/>
        <d v="1899-12-30T15:34:35"/>
        <d v="1899-12-30T15:35:00"/>
        <d v="1899-12-30T15:35:50"/>
        <d v="1899-12-30T15:36:15"/>
        <d v="1899-12-30T15:36:40"/>
        <d v="1899-12-30T15:37:30"/>
        <d v="1899-12-30T15:37:55"/>
        <d v="1899-12-30T15:38:20"/>
        <d v="1899-12-30T15:38:45"/>
        <d v="1899-12-30T15:39:35"/>
        <d v="1899-12-30T15:40:00"/>
        <d v="1899-12-30T15:40:25"/>
        <d v="1899-12-30T15:41:15"/>
        <d v="1899-12-30T15:42:05"/>
        <d v="1899-12-30T15:42:30"/>
        <d v="1899-12-30T15:42:55"/>
        <d v="1899-12-30T15:43:45"/>
        <d v="1899-12-30T15:44:35"/>
        <d v="1899-12-30T15:45:00"/>
        <d v="1899-12-30T15:45:50"/>
        <d v="1899-12-30T15:46:15"/>
        <d v="1899-12-30T15:47:05"/>
        <d v="1899-12-30T15:47:30"/>
        <d v="1899-12-30T15:48:20"/>
        <d v="1899-12-30T15:48:45"/>
        <d v="1899-12-30T15:49:35"/>
        <d v="1899-12-30T15:50:00"/>
        <d v="1899-12-30T15:50:50"/>
        <d v="1899-12-30T15:51:15"/>
        <d v="1899-12-30T15:51:40"/>
        <d v="1899-12-30T15:52:05"/>
        <d v="1899-12-30T15:52:55"/>
        <d v="1899-12-30T15:53:20"/>
        <d v="1899-12-30T15:53:45"/>
        <d v="1899-12-30T15:54:35"/>
        <d v="1899-12-30T15:55:00"/>
        <d v="1899-12-30T15:55:25"/>
        <d v="1899-12-30T15:55:50"/>
        <d v="1899-12-30T15:56:15"/>
        <d v="1899-12-30T15:56:40"/>
        <d v="1899-12-30T15:57:05"/>
        <d v="1899-12-30T15:57:30"/>
        <d v="1899-12-30T15:58:20"/>
        <d v="1899-12-30T15:59:10"/>
        <d v="1899-12-30T15:59:35"/>
        <d v="1899-12-30T16:00:00"/>
        <d v="1899-12-30T16:00:25"/>
        <d v="1899-12-30T16:00:50"/>
        <d v="1899-12-30T16:01:15"/>
        <d v="1899-12-30T16:01:40"/>
        <d v="1899-12-30T16:02:30"/>
        <d v="1899-12-30T16:02:55"/>
        <d v="1899-12-30T16:03:45"/>
        <d v="1899-12-30T16:04:10"/>
        <d v="1899-12-30T16:04:35"/>
        <d v="1899-12-30T16:05:00"/>
        <d v="1899-12-30T16:05:50"/>
        <d v="1899-12-30T16:06:40"/>
        <d v="1899-12-30T16:07:05"/>
        <d v="1899-12-30T16:07:55"/>
        <d v="1899-12-30T16:08:20"/>
        <d v="1899-12-30T16:08:45"/>
        <d v="1899-12-30T16:09:10"/>
        <d v="1899-12-30T16:10:00"/>
        <d v="1899-12-30T16:10:25"/>
        <d v="1899-12-30T16:11:15"/>
        <d v="1899-12-30T16:11:40"/>
        <d v="1899-12-30T16:12:05"/>
        <d v="1899-12-30T16:12:30"/>
        <d v="1899-12-30T16:12:55"/>
        <d v="1899-12-30T16:13:20"/>
        <d v="1899-12-30T16:13:45"/>
        <d v="1899-12-30T16:14:10"/>
        <d v="1899-12-30T16:14:35"/>
        <d v="1899-12-30T16:15:00"/>
        <d v="1899-12-30T16:15:25"/>
        <d v="1899-12-30T16:15:50"/>
        <d v="1899-12-30T16:16:40"/>
        <d v="1899-12-30T16:17:05"/>
        <d v="1899-12-30T16:17:30"/>
        <d v="1899-12-30T16:18:20"/>
        <d v="1899-12-30T16:18:45"/>
        <d v="1899-12-30T16:19:10"/>
        <d v="1899-12-30T16:19:35"/>
        <d v="1899-12-30T16:20:00"/>
        <d v="1899-12-30T16:20:25"/>
        <d v="1899-12-30T16:20:50"/>
        <d v="1899-12-30T16:21:15"/>
        <d v="1899-12-30T16:21:40"/>
        <d v="1899-12-30T16:22:05"/>
        <d v="1899-12-30T16:22:30"/>
        <d v="1899-12-30T16:23:20"/>
        <d v="1899-12-30T16:23:45"/>
        <d v="1899-12-30T16:24:10"/>
        <d v="1899-12-30T16:25:00"/>
        <d v="1899-12-30T16:25:25"/>
        <d v="1899-12-30T16:26:15"/>
        <d v="1899-12-30T16:26:40"/>
        <d v="1899-12-30T16:27:05"/>
        <d v="1899-12-30T16:27:30"/>
        <d v="1899-12-30T16:27:55"/>
        <d v="1899-12-30T16:28:20"/>
        <d v="1899-12-30T16:28:45"/>
        <d v="1899-12-30T16:29:10"/>
        <d v="1899-12-30T16:29:35"/>
        <d v="1899-12-30T16:30:00"/>
        <d v="1899-12-30T16:30:25"/>
        <d v="1899-12-30T16:30:50"/>
        <d v="1899-12-30T16:31:40"/>
        <d v="1899-12-30T16:32:05"/>
        <d v="1899-12-30T16:32:55"/>
        <d v="1899-12-30T16:33:45"/>
        <d v="1899-12-30T16:34:35"/>
        <d v="1899-12-30T16:35:00"/>
        <d v="1899-12-30T16:35:25"/>
        <d v="1899-12-30T16:35:50"/>
        <d v="1899-12-30T16:36:15"/>
        <d v="1899-12-30T16:36:40"/>
        <d v="1899-12-30T16:37:30"/>
        <d v="1899-12-30T16:37:40"/>
        <d v="1899-12-30T16:38:00"/>
        <d v="1899-12-30T16:38:15"/>
        <d v="1899-12-30T16:38:25"/>
        <d v="1899-12-30T16:38:40"/>
        <d v="1899-12-30T16:39:00"/>
        <d v="1899-12-30T16:39:10"/>
        <d v="1899-12-30T16:39:25"/>
        <d v="1899-12-30T16:39:35"/>
        <d v="1899-12-30T16:39:50"/>
        <d v="1899-12-30T16:40:05"/>
        <d v="1899-12-30T16:40:15"/>
        <d v="1899-12-30T16:40:40"/>
        <d v="1899-12-30T16:41:00"/>
        <d v="1899-12-30T16:41:15"/>
        <d v="1899-12-30T16:41:35"/>
        <d v="1899-12-30T16:41:55"/>
        <d v="1899-12-30T16:42:15"/>
        <d v="1899-12-30T16:42:35"/>
        <d v="1899-12-30T16:42:55"/>
        <d v="1899-12-30T16:43:10"/>
        <d v="1899-12-30T16:43:25"/>
        <d v="1899-12-30T16:43:45"/>
        <d v="1899-12-30T16:44:10"/>
        <d v="1899-12-30T16:44:25"/>
        <d v="1899-12-30T16:44:40"/>
        <d v="1899-12-30T16:45:10"/>
        <d v="1899-12-30T16:45:25"/>
        <d v="1899-12-30T16:45:45"/>
        <d v="1899-12-30T16:46:25"/>
        <d v="1899-12-30T16:46:35"/>
        <d v="1899-12-30T16:47:00"/>
        <d v="1899-12-30T16:47:25"/>
        <d v="1899-12-30T16:47:45"/>
        <d v="1899-12-30T16:48:10"/>
        <d v="1899-12-30T16:48:25"/>
        <d v="1899-12-30T16:48:55"/>
        <d v="1899-12-30T16:49:20"/>
        <d v="1899-12-30T16:49:40"/>
        <d v="1899-12-30T16:50:10"/>
        <d v="1899-12-30T16:50:35"/>
        <d v="1899-12-30T16:51:00"/>
        <d v="1899-12-30T16:51:25"/>
        <d v="1899-12-30T16:51:45"/>
        <d v="1899-12-30T16:52:05"/>
        <d v="1899-12-30T16:52:35"/>
        <d v="1899-12-30T16:52:55"/>
        <d v="1899-12-30T16:53:15"/>
        <d v="1899-12-30T16:54:00"/>
        <d v="1899-12-30T16:55:10"/>
        <d v="1899-12-30T16:57:00"/>
      </sharedItems>
      <fieldGroup par="13"/>
    </cacheField>
    <cacheField name="KTÓRA DAWKA " numFmtId="0">
      <sharedItems containsSemiMixedTypes="0" containsString="0" containsNumber="1" containsInteger="1" minValue="1" maxValue="2"/>
    </cacheField>
    <cacheField name="liczba miesiac" numFmtId="0">
      <sharedItems containsSemiMixedTypes="0" containsString="0" containsNumber="1" containsInteger="1" minValue="1" maxValue="32"/>
    </cacheField>
    <cacheField name="miesiac" numFmtId="0">
      <sharedItems containsSemiMixedTypes="0" containsString="0" containsNumber="1" containsInteger="1" minValue="1" maxValue="12"/>
    </cacheField>
    <cacheField name="rok" numFmtId="0">
      <sharedItems containsSemiMixedTypes="0" containsString="0" containsNumber="1" containsInteger="1" minValue="1920" maxValue="2009" count="90">
        <n v="1950"/>
        <n v="2009"/>
        <n v="1978"/>
        <n v="1970"/>
        <n v="1972"/>
        <n v="1927"/>
        <n v="1949"/>
        <n v="1979"/>
        <n v="1967"/>
        <n v="1933"/>
        <n v="1921"/>
        <n v="1938"/>
        <n v="1947"/>
        <n v="1934"/>
        <n v="1973"/>
        <n v="1953"/>
        <n v="2004"/>
        <n v="1942"/>
        <n v="1963"/>
        <n v="1990"/>
        <n v="1980"/>
        <n v="1931"/>
        <n v="1923"/>
        <n v="2008"/>
        <n v="1930"/>
        <n v="1991"/>
        <n v="2006"/>
        <n v="1959"/>
        <n v="1958"/>
        <n v="1937"/>
        <n v="1948"/>
        <n v="1997"/>
        <n v="1946"/>
        <n v="1960"/>
        <n v="1977"/>
        <n v="1935"/>
        <n v="1954"/>
        <n v="1926"/>
        <n v="1986"/>
        <n v="1992"/>
        <n v="1932"/>
        <n v="1988"/>
        <n v="2005"/>
        <n v="1939"/>
        <n v="1925"/>
        <n v="1940"/>
        <n v="1945"/>
        <n v="1983"/>
        <n v="1924"/>
        <n v="2002"/>
        <n v="1956"/>
        <n v="1975"/>
        <n v="1957"/>
        <n v="1994"/>
        <n v="2000"/>
        <n v="1929"/>
        <n v="1995"/>
        <n v="1999"/>
        <n v="1989"/>
        <n v="2001"/>
        <n v="1981"/>
        <n v="1928"/>
        <n v="1969"/>
        <n v="1998"/>
        <n v="1993"/>
        <n v="1985"/>
        <n v="1996"/>
        <n v="1964"/>
        <n v="1971"/>
        <n v="2003"/>
        <n v="1962"/>
        <n v="1965"/>
        <n v="1961"/>
        <n v="2007"/>
        <n v="1944"/>
        <n v="1976"/>
        <n v="1936"/>
        <n v="1920"/>
        <n v="1968"/>
        <n v="1955"/>
        <n v="1952"/>
        <n v="1966"/>
        <n v="1987"/>
        <n v="1943"/>
        <n v="1982"/>
        <n v="1941"/>
        <n v="1984"/>
        <n v="1922"/>
        <n v="1951"/>
        <n v="1974"/>
      </sharedItems>
      <fieldGroup base="6">
        <rangePr startNum="1920" endNum="2009" groupInterval="10"/>
        <groupItems count="11">
          <s v="&lt;1920"/>
          <s v="1920-1929"/>
          <s v="1930-1939"/>
          <s v="1940-1949"/>
          <s v="1950-1959"/>
          <s v="1960-1969"/>
          <s v="1970-1979"/>
          <s v="1980-1989"/>
          <s v="1990-1999"/>
          <s v="2000-2009"/>
          <s v="&gt;2010"/>
        </groupItems>
      </fieldGroup>
    </cacheField>
    <cacheField name="dzień" numFmtId="0">
      <sharedItems containsSemiMixedTypes="0" containsString="0" containsNumber="1" containsInteger="1" minValue="1" maxValue="31"/>
    </cacheField>
    <cacheField name="data" numFmtId="14">
      <sharedItems containsSemiMixedTypes="0" containsNonDate="0" containsDate="1" containsString="0" minDate="1920-02-15T00:00:00" maxDate="2009-11-11T00:00:00"/>
    </cacheField>
    <cacheField name="pesel2" numFmtId="0">
      <sharedItems/>
    </cacheField>
    <cacheField name="liczba płeć" numFmtId="0">
      <sharedItems containsSemiMixedTypes="0" containsString="0" containsNumber="1" containsInteger="1" minValue="1" maxValue="9"/>
    </cacheField>
    <cacheField name="płeć" numFmtId="0">
      <sharedItems count="2">
        <s v="M"/>
        <s v="K"/>
      </sharedItems>
    </cacheField>
    <cacheField name="Minuty (GODZINA ZASZCZEPIENIA)" numFmtId="0" databaseField="0">
      <fieldGroup base="2">
        <rangePr groupBy="minutes" startDate="1899-12-30T08:00:00" endDate="1899-12-30T16:57:00"/>
        <groupItems count="62">
          <s v="&lt;0.01.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.01.1900"/>
        </groupItems>
      </fieldGroup>
    </cacheField>
    <cacheField name="Godziny (GODZINA ZASZCZEPIENIA)" numFmtId="0" databaseField="0">
      <fieldGroup base="2">
        <rangePr groupBy="hours" startDate="1899-12-30T08:00:00" endDate="1899-12-30T16:57:00"/>
        <groupItems count="26">
          <s v="&lt;0.01.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.01.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n v="2"/>
    <n v="11"/>
    <n v="11"/>
    <x v="0"/>
    <n v="8"/>
    <d v="1950-11-08T00:00:00"/>
    <s v="50110858978"/>
    <n v="7"/>
    <x v="0"/>
  </r>
  <r>
    <x v="1"/>
    <x v="1"/>
    <x v="1"/>
    <n v="1"/>
    <n v="26"/>
    <n v="6"/>
    <x v="1"/>
    <n v="18"/>
    <d v="2009-06-18T00:00:00"/>
    <s v="09261817925"/>
    <n v="2"/>
    <x v="1"/>
  </r>
  <r>
    <x v="2"/>
    <x v="2"/>
    <x v="2"/>
    <n v="1"/>
    <n v="7"/>
    <n v="7"/>
    <x v="2"/>
    <n v="21"/>
    <d v="1978-07-21T00:00:00"/>
    <s v="78072115221"/>
    <n v="2"/>
    <x v="1"/>
  </r>
  <r>
    <x v="3"/>
    <x v="0"/>
    <x v="3"/>
    <n v="2"/>
    <n v="2"/>
    <n v="2"/>
    <x v="3"/>
    <n v="12"/>
    <d v="1970-02-12T00:00:00"/>
    <s v="70021259675"/>
    <n v="7"/>
    <x v="0"/>
  </r>
  <r>
    <x v="4"/>
    <x v="0"/>
    <x v="4"/>
    <n v="2"/>
    <n v="9"/>
    <n v="9"/>
    <x v="4"/>
    <n v="16"/>
    <d v="1972-09-16T00:00:00"/>
    <s v="72091667378"/>
    <n v="7"/>
    <x v="0"/>
  </r>
  <r>
    <x v="5"/>
    <x v="0"/>
    <x v="5"/>
    <n v="1"/>
    <n v="11"/>
    <n v="11"/>
    <x v="5"/>
    <n v="19"/>
    <d v="1927-11-19T00:00:00"/>
    <s v="27111914314"/>
    <n v="1"/>
    <x v="0"/>
  </r>
  <r>
    <x v="6"/>
    <x v="2"/>
    <x v="6"/>
    <n v="2"/>
    <n v="7"/>
    <n v="7"/>
    <x v="6"/>
    <n v="13"/>
    <d v="1949-07-13T00:00:00"/>
    <s v="49071332465"/>
    <n v="6"/>
    <x v="1"/>
  </r>
  <r>
    <x v="7"/>
    <x v="2"/>
    <x v="7"/>
    <n v="1"/>
    <n v="12"/>
    <n v="12"/>
    <x v="7"/>
    <n v="5"/>
    <d v="1979-12-05T00:00:00"/>
    <s v="79120586228"/>
    <n v="2"/>
    <x v="1"/>
  </r>
  <r>
    <x v="8"/>
    <x v="2"/>
    <x v="8"/>
    <n v="1"/>
    <n v="8"/>
    <n v="8"/>
    <x v="8"/>
    <n v="13"/>
    <d v="1967-08-13T00:00:00"/>
    <s v="67081396912"/>
    <n v="1"/>
    <x v="0"/>
  </r>
  <r>
    <x v="9"/>
    <x v="2"/>
    <x v="9"/>
    <n v="1"/>
    <n v="1"/>
    <n v="1"/>
    <x v="9"/>
    <n v="12"/>
    <d v="1933-01-12T00:00:00"/>
    <s v="33011242419"/>
    <n v="1"/>
    <x v="0"/>
  </r>
  <r>
    <x v="10"/>
    <x v="2"/>
    <x v="10"/>
    <n v="1"/>
    <n v="6"/>
    <n v="6"/>
    <x v="10"/>
    <n v="8"/>
    <d v="1921-06-08T00:00:00"/>
    <s v="21060849855"/>
    <n v="5"/>
    <x v="0"/>
  </r>
  <r>
    <x v="11"/>
    <x v="0"/>
    <x v="11"/>
    <n v="1"/>
    <n v="10"/>
    <n v="10"/>
    <x v="11"/>
    <n v="29"/>
    <d v="1938-10-29T00:00:00"/>
    <s v="38102913874"/>
    <n v="7"/>
    <x v="0"/>
  </r>
  <r>
    <x v="12"/>
    <x v="1"/>
    <x v="12"/>
    <n v="1"/>
    <n v="6"/>
    <n v="6"/>
    <x v="12"/>
    <n v="28"/>
    <d v="1947-06-28T00:00:00"/>
    <s v="47062844131"/>
    <n v="3"/>
    <x v="0"/>
  </r>
  <r>
    <x v="13"/>
    <x v="0"/>
    <x v="13"/>
    <n v="2"/>
    <n v="5"/>
    <n v="5"/>
    <x v="13"/>
    <n v="15"/>
    <d v="1934-05-15T00:00:00"/>
    <s v="34051574566"/>
    <n v="6"/>
    <x v="1"/>
  </r>
  <r>
    <x v="14"/>
    <x v="2"/>
    <x v="14"/>
    <n v="1"/>
    <n v="1"/>
    <n v="1"/>
    <x v="14"/>
    <n v="11"/>
    <d v="1973-01-11T00:00:00"/>
    <s v="73011179247"/>
    <n v="4"/>
    <x v="1"/>
  </r>
  <r>
    <x v="15"/>
    <x v="1"/>
    <x v="15"/>
    <n v="1"/>
    <n v="5"/>
    <n v="5"/>
    <x v="15"/>
    <n v="24"/>
    <d v="1953-05-24T00:00:00"/>
    <s v="53052475966"/>
    <n v="6"/>
    <x v="1"/>
  </r>
  <r>
    <x v="16"/>
    <x v="0"/>
    <x v="16"/>
    <n v="1"/>
    <n v="32"/>
    <n v="12"/>
    <x v="16"/>
    <n v="2"/>
    <d v="2004-12-02T00:00:00"/>
    <s v="04320263493"/>
    <n v="9"/>
    <x v="0"/>
  </r>
  <r>
    <x v="17"/>
    <x v="1"/>
    <x v="17"/>
    <n v="1"/>
    <n v="7"/>
    <n v="7"/>
    <x v="17"/>
    <n v="30"/>
    <d v="1942-07-30T00:00:00"/>
    <s v="42073091965"/>
    <n v="6"/>
    <x v="1"/>
  </r>
  <r>
    <x v="18"/>
    <x v="1"/>
    <x v="18"/>
    <n v="1"/>
    <n v="6"/>
    <n v="6"/>
    <x v="18"/>
    <n v="29"/>
    <d v="1963-06-29T00:00:00"/>
    <s v="63062967472"/>
    <n v="7"/>
    <x v="0"/>
  </r>
  <r>
    <x v="19"/>
    <x v="3"/>
    <x v="19"/>
    <n v="2"/>
    <n v="9"/>
    <n v="9"/>
    <x v="19"/>
    <n v="22"/>
    <d v="1990-09-22T00:00:00"/>
    <s v="90092267861"/>
    <n v="6"/>
    <x v="1"/>
  </r>
  <r>
    <x v="20"/>
    <x v="3"/>
    <x v="20"/>
    <n v="2"/>
    <n v="4"/>
    <n v="4"/>
    <x v="20"/>
    <n v="29"/>
    <d v="1980-04-29T00:00:00"/>
    <s v="80042954976"/>
    <n v="7"/>
    <x v="0"/>
  </r>
  <r>
    <x v="21"/>
    <x v="1"/>
    <x v="21"/>
    <n v="1"/>
    <n v="4"/>
    <n v="4"/>
    <x v="21"/>
    <n v="16"/>
    <d v="1931-04-16T00:00:00"/>
    <s v="31041628249"/>
    <n v="4"/>
    <x v="1"/>
  </r>
  <r>
    <x v="22"/>
    <x v="1"/>
    <x v="22"/>
    <n v="1"/>
    <n v="8"/>
    <n v="8"/>
    <x v="0"/>
    <n v="15"/>
    <d v="1950-08-15T00:00:00"/>
    <s v="50081532381"/>
    <n v="8"/>
    <x v="1"/>
  </r>
  <r>
    <x v="23"/>
    <x v="0"/>
    <x v="23"/>
    <n v="2"/>
    <n v="8"/>
    <n v="8"/>
    <x v="22"/>
    <n v="9"/>
    <d v="1923-08-09T00:00:00"/>
    <s v="23080973394"/>
    <n v="9"/>
    <x v="0"/>
  </r>
  <r>
    <x v="24"/>
    <x v="0"/>
    <x v="24"/>
    <n v="1"/>
    <n v="30"/>
    <n v="10"/>
    <x v="23"/>
    <n v="11"/>
    <d v="2008-10-11T00:00:00"/>
    <s v="08301168793"/>
    <n v="9"/>
    <x v="0"/>
  </r>
  <r>
    <x v="25"/>
    <x v="2"/>
    <x v="25"/>
    <n v="2"/>
    <n v="12"/>
    <n v="12"/>
    <x v="24"/>
    <n v="26"/>
    <d v="1930-12-26T00:00:00"/>
    <s v="30122667854"/>
    <n v="5"/>
    <x v="0"/>
  </r>
  <r>
    <x v="26"/>
    <x v="3"/>
    <x v="26"/>
    <n v="1"/>
    <n v="8"/>
    <n v="8"/>
    <x v="25"/>
    <n v="18"/>
    <d v="1991-08-18T00:00:00"/>
    <s v="91081839511"/>
    <n v="1"/>
    <x v="0"/>
  </r>
  <r>
    <x v="27"/>
    <x v="1"/>
    <x v="27"/>
    <n v="1"/>
    <n v="31"/>
    <n v="11"/>
    <x v="26"/>
    <n v="20"/>
    <d v="2006-11-20T00:00:00"/>
    <s v="06312031192"/>
    <n v="9"/>
    <x v="0"/>
  </r>
  <r>
    <x v="28"/>
    <x v="2"/>
    <x v="28"/>
    <n v="2"/>
    <n v="5"/>
    <n v="5"/>
    <x v="27"/>
    <n v="20"/>
    <d v="1959-05-20T00:00:00"/>
    <s v="59052074723"/>
    <n v="2"/>
    <x v="1"/>
  </r>
  <r>
    <x v="29"/>
    <x v="3"/>
    <x v="29"/>
    <n v="2"/>
    <n v="23"/>
    <n v="3"/>
    <x v="26"/>
    <n v="8"/>
    <d v="2006-03-08T00:00:00"/>
    <s v="06230853227"/>
    <n v="2"/>
    <x v="1"/>
  </r>
  <r>
    <x v="30"/>
    <x v="1"/>
    <x v="30"/>
    <n v="1"/>
    <n v="8"/>
    <n v="8"/>
    <x v="28"/>
    <n v="19"/>
    <d v="1958-08-19T00:00:00"/>
    <s v="58081951335"/>
    <n v="3"/>
    <x v="0"/>
  </r>
  <r>
    <x v="31"/>
    <x v="1"/>
    <x v="31"/>
    <n v="1"/>
    <n v="12"/>
    <n v="12"/>
    <x v="5"/>
    <n v="20"/>
    <d v="1927-12-20T00:00:00"/>
    <s v="27122066882"/>
    <n v="8"/>
    <x v="1"/>
  </r>
  <r>
    <x v="32"/>
    <x v="2"/>
    <x v="32"/>
    <n v="2"/>
    <n v="8"/>
    <n v="8"/>
    <x v="29"/>
    <n v="13"/>
    <d v="1937-08-13T00:00:00"/>
    <s v="37081333648"/>
    <n v="4"/>
    <x v="1"/>
  </r>
  <r>
    <x v="33"/>
    <x v="1"/>
    <x v="33"/>
    <n v="1"/>
    <n v="27"/>
    <n v="7"/>
    <x v="26"/>
    <n v="8"/>
    <d v="2006-07-08T00:00:00"/>
    <s v="06270811364"/>
    <n v="6"/>
    <x v="1"/>
  </r>
  <r>
    <x v="34"/>
    <x v="3"/>
    <x v="34"/>
    <n v="2"/>
    <n v="9"/>
    <n v="9"/>
    <x v="30"/>
    <n v="18"/>
    <d v="1948-09-18T00:00:00"/>
    <s v="48091864541"/>
    <n v="4"/>
    <x v="1"/>
  </r>
  <r>
    <x v="35"/>
    <x v="3"/>
    <x v="35"/>
    <n v="1"/>
    <n v="8"/>
    <n v="8"/>
    <x v="22"/>
    <n v="31"/>
    <d v="1923-08-31T00:00:00"/>
    <s v="23083169466"/>
    <n v="6"/>
    <x v="1"/>
  </r>
  <r>
    <x v="36"/>
    <x v="1"/>
    <x v="36"/>
    <n v="1"/>
    <n v="11"/>
    <n v="11"/>
    <x v="31"/>
    <n v="6"/>
    <d v="1997-11-06T00:00:00"/>
    <s v="97110669683"/>
    <n v="8"/>
    <x v="1"/>
  </r>
  <r>
    <x v="37"/>
    <x v="1"/>
    <x v="37"/>
    <n v="1"/>
    <n v="1"/>
    <n v="1"/>
    <x v="2"/>
    <n v="22"/>
    <d v="1978-01-22T00:00:00"/>
    <s v="78012238177"/>
    <n v="7"/>
    <x v="0"/>
  </r>
  <r>
    <x v="38"/>
    <x v="0"/>
    <x v="38"/>
    <n v="1"/>
    <n v="7"/>
    <n v="7"/>
    <x v="32"/>
    <n v="25"/>
    <d v="1946-07-25T00:00:00"/>
    <s v="46072512614"/>
    <n v="1"/>
    <x v="0"/>
  </r>
  <r>
    <x v="39"/>
    <x v="3"/>
    <x v="39"/>
    <n v="2"/>
    <n v="4"/>
    <n v="4"/>
    <x v="33"/>
    <n v="20"/>
    <d v="1960-04-20T00:00:00"/>
    <s v="60042047753"/>
    <n v="5"/>
    <x v="0"/>
  </r>
  <r>
    <x v="40"/>
    <x v="3"/>
    <x v="40"/>
    <n v="1"/>
    <n v="11"/>
    <n v="11"/>
    <x v="34"/>
    <n v="11"/>
    <d v="1977-11-11T00:00:00"/>
    <s v="77111143779"/>
    <n v="7"/>
    <x v="0"/>
  </r>
  <r>
    <x v="41"/>
    <x v="1"/>
    <x v="41"/>
    <n v="1"/>
    <n v="6"/>
    <n v="6"/>
    <x v="35"/>
    <n v="23"/>
    <d v="1935-06-23T00:00:00"/>
    <s v="35062321387"/>
    <n v="8"/>
    <x v="1"/>
  </r>
  <r>
    <x v="42"/>
    <x v="2"/>
    <x v="42"/>
    <n v="1"/>
    <n v="7"/>
    <n v="7"/>
    <x v="29"/>
    <n v="18"/>
    <d v="1937-07-18T00:00:00"/>
    <s v="37071876852"/>
    <n v="5"/>
    <x v="0"/>
  </r>
  <r>
    <x v="43"/>
    <x v="2"/>
    <x v="43"/>
    <n v="1"/>
    <n v="10"/>
    <n v="10"/>
    <x v="36"/>
    <n v="25"/>
    <d v="1954-10-25T00:00:00"/>
    <s v="54102531931"/>
    <n v="3"/>
    <x v="0"/>
  </r>
  <r>
    <x v="44"/>
    <x v="1"/>
    <x v="44"/>
    <n v="1"/>
    <n v="5"/>
    <n v="5"/>
    <x v="37"/>
    <n v="10"/>
    <d v="1926-05-10T00:00:00"/>
    <s v="26051089564"/>
    <n v="6"/>
    <x v="1"/>
  </r>
  <r>
    <x v="45"/>
    <x v="3"/>
    <x v="45"/>
    <n v="2"/>
    <n v="8"/>
    <n v="8"/>
    <x v="38"/>
    <n v="12"/>
    <d v="1986-08-12T00:00:00"/>
    <s v="86081222263"/>
    <n v="6"/>
    <x v="1"/>
  </r>
  <r>
    <x v="46"/>
    <x v="1"/>
    <x v="46"/>
    <n v="1"/>
    <n v="3"/>
    <n v="3"/>
    <x v="14"/>
    <n v="14"/>
    <d v="1973-03-14T00:00:00"/>
    <s v="73031494999"/>
    <n v="9"/>
    <x v="0"/>
  </r>
  <r>
    <x v="47"/>
    <x v="2"/>
    <x v="47"/>
    <n v="2"/>
    <n v="4"/>
    <n v="4"/>
    <x v="39"/>
    <n v="4"/>
    <d v="1992-04-04T00:00:00"/>
    <s v="92040472666"/>
    <n v="6"/>
    <x v="1"/>
  </r>
  <r>
    <x v="48"/>
    <x v="2"/>
    <x v="48"/>
    <n v="2"/>
    <n v="4"/>
    <n v="4"/>
    <x v="40"/>
    <n v="26"/>
    <d v="1932-04-26T00:00:00"/>
    <s v="32042611696"/>
    <n v="9"/>
    <x v="0"/>
  </r>
  <r>
    <x v="49"/>
    <x v="1"/>
    <x v="49"/>
    <n v="1"/>
    <n v="11"/>
    <n v="11"/>
    <x v="29"/>
    <n v="11"/>
    <d v="1937-11-11T00:00:00"/>
    <s v="37111128178"/>
    <n v="7"/>
    <x v="0"/>
  </r>
  <r>
    <x v="50"/>
    <x v="3"/>
    <x v="50"/>
    <n v="1"/>
    <n v="30"/>
    <n v="10"/>
    <x v="26"/>
    <n v="1"/>
    <d v="2006-10-01T00:00:00"/>
    <s v="06300133215"/>
    <n v="1"/>
    <x v="0"/>
  </r>
  <r>
    <x v="51"/>
    <x v="1"/>
    <x v="51"/>
    <n v="1"/>
    <n v="5"/>
    <n v="5"/>
    <x v="20"/>
    <n v="21"/>
    <d v="1980-05-21T00:00:00"/>
    <s v="80052194768"/>
    <n v="6"/>
    <x v="1"/>
  </r>
  <r>
    <x v="52"/>
    <x v="2"/>
    <x v="52"/>
    <n v="2"/>
    <n v="12"/>
    <n v="12"/>
    <x v="37"/>
    <n v="31"/>
    <d v="1926-12-31T00:00:00"/>
    <s v="26123154893"/>
    <n v="9"/>
    <x v="0"/>
  </r>
  <r>
    <x v="53"/>
    <x v="1"/>
    <x v="53"/>
    <n v="1"/>
    <n v="8"/>
    <n v="8"/>
    <x v="12"/>
    <n v="27"/>
    <d v="1947-08-27T00:00:00"/>
    <s v="47082776625"/>
    <n v="2"/>
    <x v="1"/>
  </r>
  <r>
    <x v="54"/>
    <x v="3"/>
    <x v="54"/>
    <n v="2"/>
    <n v="3"/>
    <n v="3"/>
    <x v="41"/>
    <n v="25"/>
    <d v="1988-03-25T00:00:00"/>
    <s v="88032584231"/>
    <n v="3"/>
    <x v="0"/>
  </r>
  <r>
    <x v="55"/>
    <x v="3"/>
    <x v="55"/>
    <n v="2"/>
    <n v="29"/>
    <n v="9"/>
    <x v="42"/>
    <n v="2"/>
    <d v="2005-09-02T00:00:00"/>
    <s v="05290223386"/>
    <n v="8"/>
    <x v="1"/>
  </r>
  <r>
    <x v="56"/>
    <x v="1"/>
    <x v="56"/>
    <n v="1"/>
    <n v="7"/>
    <n v="7"/>
    <x v="20"/>
    <n v="18"/>
    <d v="1980-07-18T00:00:00"/>
    <s v="80071854614"/>
    <n v="1"/>
    <x v="0"/>
  </r>
  <r>
    <x v="57"/>
    <x v="0"/>
    <x v="57"/>
    <n v="2"/>
    <n v="4"/>
    <n v="4"/>
    <x v="24"/>
    <n v="21"/>
    <d v="1930-04-21T00:00:00"/>
    <s v="30042155167"/>
    <n v="6"/>
    <x v="1"/>
  </r>
  <r>
    <x v="58"/>
    <x v="0"/>
    <x v="58"/>
    <n v="1"/>
    <n v="2"/>
    <n v="2"/>
    <x v="43"/>
    <n v="4"/>
    <d v="1939-02-04T00:00:00"/>
    <s v="39020468846"/>
    <n v="4"/>
    <x v="1"/>
  </r>
  <r>
    <x v="59"/>
    <x v="3"/>
    <x v="59"/>
    <n v="2"/>
    <n v="7"/>
    <n v="7"/>
    <x v="37"/>
    <n v="10"/>
    <d v="1926-07-10T00:00:00"/>
    <s v="26071021775"/>
    <n v="7"/>
    <x v="0"/>
  </r>
  <r>
    <x v="60"/>
    <x v="3"/>
    <x v="60"/>
    <n v="1"/>
    <n v="3"/>
    <n v="3"/>
    <x v="30"/>
    <n v="28"/>
    <d v="1948-03-28T00:00:00"/>
    <s v="48032821921"/>
    <n v="2"/>
    <x v="1"/>
  </r>
  <r>
    <x v="61"/>
    <x v="1"/>
    <x v="61"/>
    <n v="1"/>
    <n v="10"/>
    <n v="10"/>
    <x v="44"/>
    <n v="27"/>
    <d v="1925-10-27T00:00:00"/>
    <s v="25102773182"/>
    <n v="8"/>
    <x v="1"/>
  </r>
  <r>
    <x v="62"/>
    <x v="2"/>
    <x v="62"/>
    <n v="1"/>
    <n v="7"/>
    <n v="7"/>
    <x v="45"/>
    <n v="19"/>
    <d v="1940-07-19T00:00:00"/>
    <s v="40071985752"/>
    <n v="5"/>
    <x v="0"/>
  </r>
  <r>
    <x v="63"/>
    <x v="0"/>
    <x v="63"/>
    <n v="2"/>
    <n v="26"/>
    <n v="6"/>
    <x v="1"/>
    <n v="21"/>
    <d v="2009-06-21T00:00:00"/>
    <s v="09262126415"/>
    <n v="1"/>
    <x v="0"/>
  </r>
  <r>
    <x v="64"/>
    <x v="3"/>
    <x v="64"/>
    <n v="2"/>
    <n v="6"/>
    <n v="6"/>
    <x v="46"/>
    <n v="6"/>
    <d v="1945-06-06T00:00:00"/>
    <s v="45060687659"/>
    <n v="5"/>
    <x v="0"/>
  </r>
  <r>
    <x v="65"/>
    <x v="1"/>
    <x v="65"/>
    <n v="1"/>
    <n v="3"/>
    <n v="3"/>
    <x v="47"/>
    <n v="3"/>
    <d v="1983-03-03T00:00:00"/>
    <s v="83030333139"/>
    <n v="3"/>
    <x v="0"/>
  </r>
  <r>
    <x v="66"/>
    <x v="3"/>
    <x v="66"/>
    <n v="1"/>
    <n v="2"/>
    <n v="2"/>
    <x v="48"/>
    <n v="25"/>
    <d v="1924-02-25T00:00:00"/>
    <s v="24022581495"/>
    <n v="9"/>
    <x v="0"/>
  </r>
  <r>
    <x v="67"/>
    <x v="3"/>
    <x v="67"/>
    <n v="1"/>
    <n v="21"/>
    <n v="1"/>
    <x v="49"/>
    <n v="8"/>
    <d v="2002-01-08T00:00:00"/>
    <s v="02210873643"/>
    <n v="4"/>
    <x v="1"/>
  </r>
  <r>
    <x v="68"/>
    <x v="1"/>
    <x v="68"/>
    <n v="1"/>
    <n v="10"/>
    <n v="10"/>
    <x v="29"/>
    <n v="20"/>
    <d v="1937-10-20T00:00:00"/>
    <s v="37102057511"/>
    <n v="1"/>
    <x v="0"/>
  </r>
  <r>
    <x v="69"/>
    <x v="1"/>
    <x v="69"/>
    <n v="1"/>
    <n v="11"/>
    <n v="11"/>
    <x v="50"/>
    <n v="13"/>
    <d v="1956-11-13T00:00:00"/>
    <s v="56111381211"/>
    <n v="1"/>
    <x v="0"/>
  </r>
  <r>
    <x v="70"/>
    <x v="2"/>
    <x v="70"/>
    <n v="1"/>
    <n v="1"/>
    <n v="1"/>
    <x v="19"/>
    <n v="14"/>
    <d v="1990-01-14T00:00:00"/>
    <s v="90011425154"/>
    <n v="5"/>
    <x v="0"/>
  </r>
  <r>
    <x v="71"/>
    <x v="0"/>
    <x v="71"/>
    <n v="1"/>
    <n v="12"/>
    <n v="12"/>
    <x v="51"/>
    <n v="24"/>
    <d v="1975-12-24T00:00:00"/>
    <s v="75122442737"/>
    <n v="3"/>
    <x v="0"/>
  </r>
  <r>
    <x v="72"/>
    <x v="0"/>
    <x v="72"/>
    <n v="2"/>
    <n v="1"/>
    <n v="1"/>
    <x v="43"/>
    <n v="27"/>
    <d v="1939-01-27T00:00:00"/>
    <s v="39012798522"/>
    <n v="2"/>
    <x v="1"/>
  </r>
  <r>
    <x v="73"/>
    <x v="0"/>
    <x v="73"/>
    <n v="2"/>
    <n v="4"/>
    <n v="4"/>
    <x v="43"/>
    <n v="9"/>
    <d v="1939-04-09T00:00:00"/>
    <s v="39040935551"/>
    <n v="5"/>
    <x v="0"/>
  </r>
  <r>
    <x v="74"/>
    <x v="3"/>
    <x v="74"/>
    <n v="2"/>
    <n v="4"/>
    <n v="4"/>
    <x v="51"/>
    <n v="25"/>
    <d v="1975-04-25T00:00:00"/>
    <s v="75042594631"/>
    <n v="3"/>
    <x v="0"/>
  </r>
  <r>
    <x v="75"/>
    <x v="1"/>
    <x v="75"/>
    <n v="1"/>
    <n v="7"/>
    <n v="7"/>
    <x v="10"/>
    <n v="14"/>
    <d v="1921-07-14T00:00:00"/>
    <s v="21071449826"/>
    <n v="2"/>
    <x v="1"/>
  </r>
  <r>
    <x v="76"/>
    <x v="1"/>
    <x v="76"/>
    <n v="1"/>
    <n v="12"/>
    <n v="12"/>
    <x v="52"/>
    <n v="2"/>
    <d v="1957-12-02T00:00:00"/>
    <s v="57120218226"/>
    <n v="2"/>
    <x v="1"/>
  </r>
  <r>
    <x v="77"/>
    <x v="1"/>
    <x v="77"/>
    <n v="1"/>
    <n v="5"/>
    <n v="5"/>
    <x v="53"/>
    <n v="14"/>
    <d v="1994-05-14T00:00:00"/>
    <s v="94051417957"/>
    <n v="5"/>
    <x v="0"/>
  </r>
  <r>
    <x v="78"/>
    <x v="1"/>
    <x v="78"/>
    <n v="1"/>
    <n v="11"/>
    <n v="11"/>
    <x v="28"/>
    <n v="2"/>
    <d v="1958-11-02T00:00:00"/>
    <s v="58110232598"/>
    <n v="9"/>
    <x v="0"/>
  </r>
  <r>
    <x v="79"/>
    <x v="0"/>
    <x v="79"/>
    <n v="1"/>
    <n v="30"/>
    <n v="10"/>
    <x v="54"/>
    <n v="9"/>
    <d v="2000-10-09T00:00:00"/>
    <s v="00300964288"/>
    <n v="8"/>
    <x v="1"/>
  </r>
  <r>
    <x v="80"/>
    <x v="0"/>
    <x v="80"/>
    <n v="1"/>
    <n v="11"/>
    <n v="11"/>
    <x v="55"/>
    <n v="19"/>
    <d v="1929-11-19T00:00:00"/>
    <s v="29111941222"/>
    <n v="2"/>
    <x v="1"/>
  </r>
  <r>
    <x v="81"/>
    <x v="0"/>
    <x v="81"/>
    <n v="1"/>
    <n v="2"/>
    <n v="2"/>
    <x v="5"/>
    <n v="4"/>
    <d v="1927-02-04T00:00:00"/>
    <s v="27020478556"/>
    <n v="5"/>
    <x v="0"/>
  </r>
  <r>
    <x v="82"/>
    <x v="0"/>
    <x v="82"/>
    <n v="2"/>
    <n v="2"/>
    <n v="2"/>
    <x v="56"/>
    <n v="17"/>
    <d v="1995-02-17T00:00:00"/>
    <s v="95021791233"/>
    <n v="3"/>
    <x v="0"/>
  </r>
  <r>
    <x v="83"/>
    <x v="1"/>
    <x v="83"/>
    <n v="1"/>
    <n v="11"/>
    <n v="11"/>
    <x v="57"/>
    <n v="26"/>
    <d v="1999-11-26T00:00:00"/>
    <s v="99112669616"/>
    <n v="1"/>
    <x v="0"/>
  </r>
  <r>
    <x v="84"/>
    <x v="1"/>
    <x v="84"/>
    <n v="1"/>
    <n v="3"/>
    <n v="3"/>
    <x v="25"/>
    <n v="27"/>
    <d v="1991-03-27T00:00:00"/>
    <s v="91032773736"/>
    <n v="3"/>
    <x v="0"/>
  </r>
  <r>
    <x v="85"/>
    <x v="2"/>
    <x v="85"/>
    <n v="2"/>
    <n v="12"/>
    <n v="12"/>
    <x v="58"/>
    <n v="8"/>
    <d v="1989-12-08T00:00:00"/>
    <s v="89120883737"/>
    <n v="3"/>
    <x v="0"/>
  </r>
  <r>
    <x v="86"/>
    <x v="0"/>
    <x v="86"/>
    <n v="2"/>
    <n v="12"/>
    <n v="12"/>
    <x v="33"/>
    <n v="9"/>
    <d v="1960-12-09T00:00:00"/>
    <s v="60120982978"/>
    <n v="7"/>
    <x v="0"/>
  </r>
  <r>
    <x v="87"/>
    <x v="1"/>
    <x v="87"/>
    <n v="1"/>
    <n v="25"/>
    <n v="5"/>
    <x v="16"/>
    <n v="17"/>
    <d v="2004-05-17T00:00:00"/>
    <s v="04251789857"/>
    <n v="5"/>
    <x v="0"/>
  </r>
  <r>
    <x v="88"/>
    <x v="0"/>
    <x v="88"/>
    <n v="2"/>
    <n v="1"/>
    <n v="1"/>
    <x v="20"/>
    <n v="27"/>
    <d v="1980-01-27T00:00:00"/>
    <s v="80012713181"/>
    <n v="8"/>
    <x v="1"/>
  </r>
  <r>
    <x v="89"/>
    <x v="3"/>
    <x v="89"/>
    <n v="2"/>
    <n v="4"/>
    <n v="4"/>
    <x v="53"/>
    <n v="19"/>
    <d v="1994-04-19T00:00:00"/>
    <s v="94041961639"/>
    <n v="3"/>
    <x v="0"/>
  </r>
  <r>
    <x v="90"/>
    <x v="1"/>
    <x v="90"/>
    <n v="1"/>
    <n v="11"/>
    <n v="11"/>
    <x v="0"/>
    <n v="16"/>
    <d v="1950-11-16T00:00:00"/>
    <s v="50111694643"/>
    <n v="4"/>
    <x v="1"/>
  </r>
  <r>
    <x v="91"/>
    <x v="2"/>
    <x v="91"/>
    <n v="1"/>
    <n v="11"/>
    <n v="11"/>
    <x v="8"/>
    <n v="22"/>
    <d v="1967-11-22T00:00:00"/>
    <s v="67112236219"/>
    <n v="1"/>
    <x v="0"/>
  </r>
  <r>
    <x v="92"/>
    <x v="2"/>
    <x v="92"/>
    <n v="2"/>
    <n v="9"/>
    <n v="9"/>
    <x v="40"/>
    <n v="29"/>
    <d v="1932-09-29T00:00:00"/>
    <s v="32092977283"/>
    <n v="8"/>
    <x v="1"/>
  </r>
  <r>
    <x v="93"/>
    <x v="1"/>
    <x v="93"/>
    <n v="1"/>
    <n v="26"/>
    <n v="6"/>
    <x v="54"/>
    <n v="25"/>
    <d v="2000-06-25T00:00:00"/>
    <s v="00262529215"/>
    <n v="1"/>
    <x v="0"/>
  </r>
  <r>
    <x v="94"/>
    <x v="2"/>
    <x v="94"/>
    <n v="1"/>
    <n v="27"/>
    <n v="7"/>
    <x v="59"/>
    <n v="25"/>
    <d v="2001-07-25T00:00:00"/>
    <s v="01272579522"/>
    <n v="2"/>
    <x v="1"/>
  </r>
  <r>
    <x v="95"/>
    <x v="1"/>
    <x v="95"/>
    <n v="1"/>
    <n v="9"/>
    <n v="9"/>
    <x v="13"/>
    <n v="12"/>
    <d v="1934-09-12T00:00:00"/>
    <s v="34091272611"/>
    <n v="1"/>
    <x v="0"/>
  </r>
  <r>
    <x v="96"/>
    <x v="0"/>
    <x v="96"/>
    <n v="2"/>
    <n v="10"/>
    <n v="10"/>
    <x v="34"/>
    <n v="16"/>
    <d v="1977-10-16T00:00:00"/>
    <s v="77101646981"/>
    <n v="8"/>
    <x v="1"/>
  </r>
  <r>
    <x v="97"/>
    <x v="0"/>
    <x v="97"/>
    <n v="2"/>
    <n v="7"/>
    <n v="7"/>
    <x v="47"/>
    <n v="13"/>
    <d v="1983-07-13T00:00:00"/>
    <s v="83071365249"/>
    <n v="4"/>
    <x v="1"/>
  </r>
  <r>
    <x v="98"/>
    <x v="1"/>
    <x v="98"/>
    <n v="1"/>
    <n v="24"/>
    <n v="4"/>
    <x v="1"/>
    <n v="4"/>
    <d v="2009-04-04T00:00:00"/>
    <s v="09240422641"/>
    <n v="4"/>
    <x v="1"/>
  </r>
  <r>
    <x v="99"/>
    <x v="1"/>
    <x v="99"/>
    <n v="1"/>
    <n v="2"/>
    <n v="2"/>
    <x v="27"/>
    <n v="18"/>
    <d v="1959-02-18T00:00:00"/>
    <s v="59021867451"/>
    <n v="5"/>
    <x v="0"/>
  </r>
  <r>
    <x v="100"/>
    <x v="1"/>
    <x v="100"/>
    <n v="1"/>
    <n v="12"/>
    <n v="12"/>
    <x v="60"/>
    <n v="31"/>
    <d v="1981-12-31T00:00:00"/>
    <s v="81123191495"/>
    <n v="9"/>
    <x v="0"/>
  </r>
  <r>
    <x v="101"/>
    <x v="2"/>
    <x v="101"/>
    <n v="2"/>
    <n v="1"/>
    <n v="1"/>
    <x v="8"/>
    <n v="20"/>
    <d v="1967-01-20T00:00:00"/>
    <s v="67012096173"/>
    <n v="7"/>
    <x v="0"/>
  </r>
  <r>
    <x v="102"/>
    <x v="3"/>
    <x v="102"/>
    <n v="2"/>
    <n v="6"/>
    <n v="6"/>
    <x v="61"/>
    <n v="20"/>
    <d v="1928-06-20T00:00:00"/>
    <s v="28062088796"/>
    <n v="9"/>
    <x v="0"/>
  </r>
  <r>
    <x v="103"/>
    <x v="1"/>
    <x v="103"/>
    <n v="1"/>
    <n v="9"/>
    <n v="9"/>
    <x v="61"/>
    <n v="17"/>
    <d v="1928-09-17T00:00:00"/>
    <s v="28091755537"/>
    <n v="3"/>
    <x v="0"/>
  </r>
  <r>
    <x v="104"/>
    <x v="2"/>
    <x v="104"/>
    <n v="1"/>
    <n v="9"/>
    <n v="9"/>
    <x v="61"/>
    <n v="9"/>
    <d v="1928-09-09T00:00:00"/>
    <s v="28090956441"/>
    <n v="4"/>
    <x v="1"/>
  </r>
  <r>
    <x v="105"/>
    <x v="1"/>
    <x v="105"/>
    <n v="1"/>
    <n v="4"/>
    <n v="4"/>
    <x v="62"/>
    <n v="2"/>
    <d v="1969-04-02T00:00:00"/>
    <s v="69040264526"/>
    <n v="2"/>
    <x v="1"/>
  </r>
  <r>
    <x v="106"/>
    <x v="0"/>
    <x v="106"/>
    <n v="1"/>
    <n v="12"/>
    <n v="12"/>
    <x v="3"/>
    <n v="10"/>
    <d v="1970-12-10T00:00:00"/>
    <s v="70121095641"/>
    <n v="4"/>
    <x v="1"/>
  </r>
  <r>
    <x v="107"/>
    <x v="1"/>
    <x v="107"/>
    <n v="1"/>
    <n v="5"/>
    <n v="5"/>
    <x v="12"/>
    <n v="25"/>
    <d v="1947-05-25T00:00:00"/>
    <s v="47052571135"/>
    <n v="3"/>
    <x v="0"/>
  </r>
  <r>
    <x v="108"/>
    <x v="3"/>
    <x v="108"/>
    <n v="2"/>
    <n v="5"/>
    <n v="5"/>
    <x v="43"/>
    <n v="20"/>
    <d v="1939-05-20T00:00:00"/>
    <s v="39052018691"/>
    <n v="9"/>
    <x v="0"/>
  </r>
  <r>
    <x v="109"/>
    <x v="3"/>
    <x v="109"/>
    <n v="2"/>
    <n v="10"/>
    <n v="10"/>
    <x v="63"/>
    <n v="28"/>
    <d v="1998-10-28T00:00:00"/>
    <s v="98102845698"/>
    <n v="9"/>
    <x v="0"/>
  </r>
  <r>
    <x v="110"/>
    <x v="3"/>
    <x v="110"/>
    <n v="1"/>
    <n v="12"/>
    <n v="12"/>
    <x v="24"/>
    <n v="7"/>
    <d v="1930-12-07T00:00:00"/>
    <s v="30120774884"/>
    <n v="8"/>
    <x v="1"/>
  </r>
  <r>
    <x v="111"/>
    <x v="3"/>
    <x v="111"/>
    <n v="1"/>
    <n v="5"/>
    <n v="5"/>
    <x v="64"/>
    <n v="31"/>
    <d v="1993-05-31T00:00:00"/>
    <s v="93053117612"/>
    <n v="1"/>
    <x v="0"/>
  </r>
  <r>
    <x v="112"/>
    <x v="1"/>
    <x v="112"/>
    <n v="1"/>
    <n v="2"/>
    <n v="2"/>
    <x v="56"/>
    <n v="8"/>
    <d v="1995-02-08T00:00:00"/>
    <s v="95020838469"/>
    <n v="6"/>
    <x v="1"/>
  </r>
  <r>
    <x v="113"/>
    <x v="0"/>
    <x v="113"/>
    <n v="1"/>
    <n v="7"/>
    <n v="7"/>
    <x v="6"/>
    <n v="1"/>
    <d v="1949-07-01T00:00:00"/>
    <s v="49070153629"/>
    <n v="2"/>
    <x v="1"/>
  </r>
  <r>
    <x v="114"/>
    <x v="1"/>
    <x v="114"/>
    <n v="1"/>
    <n v="12"/>
    <n v="12"/>
    <x v="43"/>
    <n v="29"/>
    <d v="1939-12-29T00:00:00"/>
    <s v="39122971633"/>
    <n v="3"/>
    <x v="0"/>
  </r>
  <r>
    <x v="115"/>
    <x v="2"/>
    <x v="115"/>
    <n v="2"/>
    <n v="8"/>
    <n v="8"/>
    <x v="65"/>
    <n v="19"/>
    <d v="1985-08-19T00:00:00"/>
    <s v="85081929118"/>
    <n v="1"/>
    <x v="0"/>
  </r>
  <r>
    <x v="116"/>
    <x v="2"/>
    <x v="116"/>
    <n v="2"/>
    <n v="9"/>
    <n v="9"/>
    <x v="39"/>
    <n v="21"/>
    <d v="1992-09-21T00:00:00"/>
    <s v="92092117665"/>
    <n v="6"/>
    <x v="1"/>
  </r>
  <r>
    <x v="117"/>
    <x v="2"/>
    <x v="117"/>
    <n v="1"/>
    <n v="2"/>
    <n v="2"/>
    <x v="20"/>
    <n v="21"/>
    <d v="1980-02-21T00:00:00"/>
    <s v="80022149598"/>
    <n v="9"/>
    <x v="0"/>
  </r>
  <r>
    <x v="118"/>
    <x v="0"/>
    <x v="118"/>
    <n v="2"/>
    <n v="7"/>
    <n v="7"/>
    <x v="57"/>
    <n v="17"/>
    <d v="1999-07-17T00:00:00"/>
    <s v="99071754978"/>
    <n v="7"/>
    <x v="0"/>
  </r>
  <r>
    <x v="119"/>
    <x v="1"/>
    <x v="119"/>
    <n v="1"/>
    <n v="10"/>
    <n v="10"/>
    <x v="50"/>
    <n v="5"/>
    <d v="1956-10-05T00:00:00"/>
    <s v="56100584638"/>
    <n v="3"/>
    <x v="0"/>
  </r>
  <r>
    <x v="120"/>
    <x v="2"/>
    <x v="120"/>
    <n v="2"/>
    <n v="9"/>
    <n v="9"/>
    <x v="24"/>
    <n v="17"/>
    <d v="1930-09-17T00:00:00"/>
    <s v="30091772595"/>
    <n v="9"/>
    <x v="0"/>
  </r>
  <r>
    <x v="121"/>
    <x v="1"/>
    <x v="121"/>
    <n v="1"/>
    <n v="11"/>
    <n v="11"/>
    <x v="66"/>
    <n v="22"/>
    <d v="1996-11-22T00:00:00"/>
    <s v="96112289132"/>
    <n v="3"/>
    <x v="0"/>
  </r>
  <r>
    <x v="122"/>
    <x v="2"/>
    <x v="122"/>
    <n v="1"/>
    <n v="10"/>
    <n v="10"/>
    <x v="58"/>
    <n v="30"/>
    <d v="1989-10-30T00:00:00"/>
    <s v="89103094464"/>
    <n v="6"/>
    <x v="1"/>
  </r>
  <r>
    <x v="123"/>
    <x v="1"/>
    <x v="123"/>
    <n v="1"/>
    <n v="6"/>
    <n v="6"/>
    <x v="52"/>
    <n v="23"/>
    <d v="1957-06-23T00:00:00"/>
    <s v="57062327125"/>
    <n v="2"/>
    <x v="1"/>
  </r>
  <r>
    <x v="124"/>
    <x v="2"/>
    <x v="124"/>
    <n v="2"/>
    <n v="1"/>
    <n v="1"/>
    <x v="51"/>
    <n v="10"/>
    <d v="1975-01-10T00:00:00"/>
    <s v="75011014197"/>
    <n v="9"/>
    <x v="0"/>
  </r>
  <r>
    <x v="125"/>
    <x v="1"/>
    <x v="125"/>
    <n v="1"/>
    <n v="2"/>
    <n v="2"/>
    <x v="29"/>
    <n v="11"/>
    <d v="1937-02-11T00:00:00"/>
    <s v="37021188952"/>
    <n v="5"/>
    <x v="0"/>
  </r>
  <r>
    <x v="126"/>
    <x v="2"/>
    <x v="126"/>
    <n v="2"/>
    <n v="3"/>
    <n v="3"/>
    <x v="53"/>
    <n v="9"/>
    <d v="1994-03-09T00:00:00"/>
    <s v="94030927695"/>
    <n v="9"/>
    <x v="0"/>
  </r>
  <r>
    <x v="127"/>
    <x v="1"/>
    <x v="127"/>
    <n v="1"/>
    <n v="7"/>
    <n v="7"/>
    <x v="19"/>
    <n v="3"/>
    <d v="1990-07-03T00:00:00"/>
    <s v="90070329455"/>
    <n v="5"/>
    <x v="0"/>
  </r>
  <r>
    <x v="128"/>
    <x v="1"/>
    <x v="128"/>
    <n v="1"/>
    <n v="2"/>
    <n v="2"/>
    <x v="60"/>
    <n v="12"/>
    <d v="1981-02-12T00:00:00"/>
    <s v="81021221117"/>
    <n v="1"/>
    <x v="0"/>
  </r>
  <r>
    <x v="129"/>
    <x v="2"/>
    <x v="129"/>
    <n v="2"/>
    <n v="24"/>
    <n v="4"/>
    <x v="42"/>
    <n v="2"/>
    <d v="2005-04-02T00:00:00"/>
    <s v="05240284175"/>
    <n v="7"/>
    <x v="0"/>
  </r>
  <r>
    <x v="130"/>
    <x v="1"/>
    <x v="130"/>
    <n v="1"/>
    <n v="11"/>
    <n v="11"/>
    <x v="67"/>
    <n v="11"/>
    <d v="1964-11-11T00:00:00"/>
    <s v="64111126325"/>
    <n v="2"/>
    <x v="1"/>
  </r>
  <r>
    <x v="131"/>
    <x v="0"/>
    <x v="131"/>
    <n v="2"/>
    <n v="7"/>
    <n v="7"/>
    <x v="68"/>
    <n v="27"/>
    <d v="1971-07-27T00:00:00"/>
    <s v="71072788389"/>
    <n v="8"/>
    <x v="1"/>
  </r>
  <r>
    <x v="132"/>
    <x v="2"/>
    <x v="132"/>
    <n v="1"/>
    <n v="1"/>
    <n v="1"/>
    <x v="8"/>
    <n v="7"/>
    <d v="1967-01-07T00:00:00"/>
    <s v="67010775979"/>
    <n v="7"/>
    <x v="0"/>
  </r>
  <r>
    <x v="133"/>
    <x v="3"/>
    <x v="133"/>
    <n v="2"/>
    <n v="25"/>
    <n v="5"/>
    <x v="69"/>
    <n v="4"/>
    <d v="2003-05-04T00:00:00"/>
    <s v="03250482273"/>
    <n v="7"/>
    <x v="0"/>
  </r>
  <r>
    <x v="134"/>
    <x v="1"/>
    <x v="134"/>
    <n v="1"/>
    <n v="6"/>
    <n v="6"/>
    <x v="20"/>
    <n v="23"/>
    <d v="1980-06-23T00:00:00"/>
    <s v="80062327468"/>
    <n v="6"/>
    <x v="1"/>
  </r>
  <r>
    <x v="135"/>
    <x v="2"/>
    <x v="135"/>
    <n v="1"/>
    <n v="7"/>
    <n v="7"/>
    <x v="13"/>
    <n v="27"/>
    <d v="1934-07-27T00:00:00"/>
    <s v="34072791434"/>
    <n v="3"/>
    <x v="0"/>
  </r>
  <r>
    <x v="136"/>
    <x v="1"/>
    <x v="136"/>
    <n v="1"/>
    <n v="7"/>
    <n v="7"/>
    <x v="13"/>
    <n v="20"/>
    <d v="1934-07-20T00:00:00"/>
    <s v="34072025193"/>
    <n v="9"/>
    <x v="0"/>
  </r>
  <r>
    <x v="137"/>
    <x v="2"/>
    <x v="137"/>
    <n v="1"/>
    <n v="9"/>
    <n v="9"/>
    <x v="39"/>
    <n v="26"/>
    <d v="1992-09-26T00:00:00"/>
    <s v="92092613147"/>
    <n v="4"/>
    <x v="1"/>
  </r>
  <r>
    <x v="138"/>
    <x v="3"/>
    <x v="138"/>
    <n v="1"/>
    <n v="6"/>
    <n v="6"/>
    <x v="70"/>
    <n v="25"/>
    <d v="1962-06-25T00:00:00"/>
    <s v="62062544768"/>
    <n v="6"/>
    <x v="1"/>
  </r>
  <r>
    <x v="139"/>
    <x v="1"/>
    <x v="139"/>
    <n v="1"/>
    <n v="9"/>
    <n v="9"/>
    <x v="25"/>
    <n v="9"/>
    <d v="1991-09-09T00:00:00"/>
    <s v="91090998791"/>
    <n v="9"/>
    <x v="0"/>
  </r>
  <r>
    <x v="140"/>
    <x v="0"/>
    <x v="140"/>
    <n v="2"/>
    <n v="7"/>
    <n v="7"/>
    <x v="46"/>
    <n v="8"/>
    <d v="1945-07-08T00:00:00"/>
    <s v="45070896489"/>
    <n v="8"/>
    <x v="1"/>
  </r>
  <r>
    <x v="141"/>
    <x v="0"/>
    <x v="141"/>
    <n v="1"/>
    <n v="6"/>
    <n v="6"/>
    <x v="51"/>
    <n v="10"/>
    <d v="1975-06-10T00:00:00"/>
    <s v="75061093928"/>
    <n v="2"/>
    <x v="1"/>
  </r>
  <r>
    <x v="142"/>
    <x v="1"/>
    <x v="142"/>
    <n v="1"/>
    <n v="4"/>
    <n v="4"/>
    <x v="48"/>
    <n v="5"/>
    <d v="1924-04-05T00:00:00"/>
    <s v="24040515461"/>
    <n v="6"/>
    <x v="1"/>
  </r>
  <r>
    <x v="143"/>
    <x v="1"/>
    <x v="143"/>
    <n v="1"/>
    <n v="2"/>
    <n v="2"/>
    <x v="25"/>
    <n v="14"/>
    <d v="1991-02-14T00:00:00"/>
    <s v="91021463961"/>
    <n v="6"/>
    <x v="1"/>
  </r>
  <r>
    <x v="144"/>
    <x v="2"/>
    <x v="144"/>
    <n v="2"/>
    <n v="25"/>
    <n v="5"/>
    <x v="69"/>
    <n v="26"/>
    <d v="2003-05-26T00:00:00"/>
    <s v="03252684819"/>
    <n v="1"/>
    <x v="0"/>
  </r>
  <r>
    <x v="145"/>
    <x v="1"/>
    <x v="145"/>
    <n v="1"/>
    <n v="6"/>
    <n v="6"/>
    <x v="71"/>
    <n v="9"/>
    <d v="1965-06-09T00:00:00"/>
    <s v="65060997484"/>
    <n v="8"/>
    <x v="1"/>
  </r>
  <r>
    <x v="146"/>
    <x v="2"/>
    <x v="146"/>
    <n v="1"/>
    <n v="11"/>
    <n v="11"/>
    <x v="0"/>
    <n v="29"/>
    <d v="1950-11-29T00:00:00"/>
    <s v="50112986994"/>
    <n v="9"/>
    <x v="0"/>
  </r>
  <r>
    <x v="147"/>
    <x v="3"/>
    <x v="147"/>
    <n v="1"/>
    <n v="5"/>
    <n v="5"/>
    <x v="39"/>
    <n v="9"/>
    <d v="1992-05-09T00:00:00"/>
    <s v="92050952574"/>
    <n v="7"/>
    <x v="0"/>
  </r>
  <r>
    <x v="148"/>
    <x v="1"/>
    <x v="148"/>
    <n v="1"/>
    <n v="1"/>
    <n v="1"/>
    <x v="5"/>
    <n v="31"/>
    <d v="1927-01-31T00:00:00"/>
    <s v="27013163713"/>
    <n v="1"/>
    <x v="0"/>
  </r>
  <r>
    <x v="149"/>
    <x v="0"/>
    <x v="149"/>
    <n v="1"/>
    <n v="23"/>
    <n v="3"/>
    <x v="54"/>
    <n v="26"/>
    <d v="2000-03-26T00:00:00"/>
    <s v="00232645181"/>
    <n v="8"/>
    <x v="1"/>
  </r>
  <r>
    <x v="150"/>
    <x v="2"/>
    <x v="150"/>
    <n v="2"/>
    <n v="27"/>
    <n v="7"/>
    <x v="42"/>
    <n v="27"/>
    <d v="2005-07-27T00:00:00"/>
    <s v="05272744926"/>
    <n v="2"/>
    <x v="1"/>
  </r>
  <r>
    <x v="151"/>
    <x v="1"/>
    <x v="151"/>
    <n v="1"/>
    <n v="5"/>
    <n v="5"/>
    <x v="72"/>
    <n v="10"/>
    <d v="1961-05-10T00:00:00"/>
    <s v="61051099636"/>
    <n v="3"/>
    <x v="0"/>
  </r>
  <r>
    <x v="152"/>
    <x v="1"/>
    <x v="152"/>
    <n v="1"/>
    <n v="30"/>
    <n v="10"/>
    <x v="73"/>
    <n v="23"/>
    <d v="2007-10-23T00:00:00"/>
    <s v="07302347297"/>
    <n v="9"/>
    <x v="0"/>
  </r>
  <r>
    <x v="153"/>
    <x v="2"/>
    <x v="153"/>
    <n v="1"/>
    <n v="3"/>
    <n v="3"/>
    <x v="74"/>
    <n v="4"/>
    <d v="1944-03-04T00:00:00"/>
    <s v="44030414866"/>
    <n v="6"/>
    <x v="1"/>
  </r>
  <r>
    <x v="154"/>
    <x v="0"/>
    <x v="154"/>
    <n v="1"/>
    <n v="7"/>
    <n v="7"/>
    <x v="48"/>
    <n v="29"/>
    <d v="1924-07-29T00:00:00"/>
    <s v="24072971778"/>
    <n v="7"/>
    <x v="0"/>
  </r>
  <r>
    <x v="155"/>
    <x v="0"/>
    <x v="155"/>
    <n v="2"/>
    <n v="11"/>
    <n v="11"/>
    <x v="43"/>
    <n v="1"/>
    <d v="1939-11-01T00:00:00"/>
    <s v="39110151243"/>
    <n v="4"/>
    <x v="1"/>
  </r>
  <r>
    <x v="156"/>
    <x v="3"/>
    <x v="156"/>
    <n v="2"/>
    <n v="6"/>
    <n v="6"/>
    <x v="53"/>
    <n v="24"/>
    <d v="1994-06-24T00:00:00"/>
    <s v="94062419713"/>
    <n v="1"/>
    <x v="0"/>
  </r>
  <r>
    <x v="157"/>
    <x v="3"/>
    <x v="157"/>
    <n v="2"/>
    <n v="4"/>
    <n v="4"/>
    <x v="75"/>
    <n v="7"/>
    <d v="1976-04-07T00:00:00"/>
    <s v="76040728262"/>
    <n v="6"/>
    <x v="1"/>
  </r>
  <r>
    <x v="158"/>
    <x v="1"/>
    <x v="158"/>
    <n v="1"/>
    <n v="29"/>
    <n v="9"/>
    <x v="73"/>
    <n v="14"/>
    <d v="2007-09-14T00:00:00"/>
    <s v="07291427318"/>
    <n v="1"/>
    <x v="0"/>
  </r>
  <r>
    <x v="159"/>
    <x v="0"/>
    <x v="159"/>
    <n v="1"/>
    <n v="7"/>
    <n v="7"/>
    <x v="7"/>
    <n v="7"/>
    <d v="1979-07-07T00:00:00"/>
    <s v="79070718249"/>
    <n v="4"/>
    <x v="1"/>
  </r>
  <r>
    <x v="160"/>
    <x v="2"/>
    <x v="160"/>
    <n v="2"/>
    <n v="12"/>
    <n v="12"/>
    <x v="18"/>
    <n v="23"/>
    <d v="1963-12-23T00:00:00"/>
    <s v="63122321648"/>
    <n v="4"/>
    <x v="1"/>
  </r>
  <r>
    <x v="161"/>
    <x v="2"/>
    <x v="161"/>
    <n v="1"/>
    <n v="31"/>
    <n v="11"/>
    <x v="23"/>
    <n v="17"/>
    <d v="2008-11-17T00:00:00"/>
    <s v="08311797114"/>
    <n v="1"/>
    <x v="0"/>
  </r>
  <r>
    <x v="162"/>
    <x v="2"/>
    <x v="162"/>
    <n v="2"/>
    <n v="6"/>
    <n v="6"/>
    <x v="29"/>
    <n v="28"/>
    <d v="1937-06-28T00:00:00"/>
    <s v="37062822738"/>
    <n v="3"/>
    <x v="0"/>
  </r>
  <r>
    <x v="163"/>
    <x v="1"/>
    <x v="163"/>
    <n v="1"/>
    <n v="5"/>
    <n v="5"/>
    <x v="50"/>
    <n v="11"/>
    <d v="1956-05-11T00:00:00"/>
    <s v="56051159743"/>
    <n v="4"/>
    <x v="1"/>
  </r>
  <r>
    <x v="164"/>
    <x v="0"/>
    <x v="164"/>
    <n v="2"/>
    <n v="7"/>
    <n v="7"/>
    <x v="53"/>
    <n v="31"/>
    <d v="1994-07-31T00:00:00"/>
    <s v="94073125933"/>
    <n v="3"/>
    <x v="0"/>
  </r>
  <r>
    <x v="165"/>
    <x v="2"/>
    <x v="165"/>
    <n v="2"/>
    <n v="8"/>
    <n v="8"/>
    <x v="76"/>
    <n v="22"/>
    <d v="1936-08-22T00:00:00"/>
    <s v="36082258958"/>
    <n v="5"/>
    <x v="0"/>
  </r>
  <r>
    <x v="166"/>
    <x v="2"/>
    <x v="166"/>
    <n v="1"/>
    <n v="21"/>
    <n v="1"/>
    <x v="54"/>
    <n v="24"/>
    <d v="2000-01-24T00:00:00"/>
    <s v="00212411694"/>
    <n v="9"/>
    <x v="0"/>
  </r>
  <r>
    <x v="167"/>
    <x v="2"/>
    <x v="167"/>
    <n v="2"/>
    <n v="7"/>
    <n v="7"/>
    <x v="18"/>
    <n v="19"/>
    <d v="1963-07-19T00:00:00"/>
    <s v="63071973572"/>
    <n v="7"/>
    <x v="0"/>
  </r>
  <r>
    <x v="168"/>
    <x v="1"/>
    <x v="168"/>
    <n v="1"/>
    <n v="1"/>
    <n v="1"/>
    <x v="27"/>
    <n v="4"/>
    <d v="1959-01-04T00:00:00"/>
    <s v="59010456695"/>
    <n v="9"/>
    <x v="0"/>
  </r>
  <r>
    <x v="169"/>
    <x v="0"/>
    <x v="169"/>
    <n v="2"/>
    <n v="4"/>
    <n v="4"/>
    <x v="19"/>
    <n v="19"/>
    <d v="1990-04-19T00:00:00"/>
    <s v="90041954525"/>
    <n v="2"/>
    <x v="1"/>
  </r>
  <r>
    <x v="170"/>
    <x v="0"/>
    <x v="170"/>
    <n v="1"/>
    <n v="10"/>
    <n v="10"/>
    <x v="28"/>
    <n v="13"/>
    <d v="1958-10-13T00:00:00"/>
    <s v="58101383247"/>
    <n v="4"/>
    <x v="1"/>
  </r>
  <r>
    <x v="171"/>
    <x v="0"/>
    <x v="171"/>
    <n v="2"/>
    <n v="24"/>
    <n v="4"/>
    <x v="49"/>
    <n v="15"/>
    <d v="2002-04-15T00:00:00"/>
    <s v="02241531831"/>
    <n v="3"/>
    <x v="0"/>
  </r>
  <r>
    <x v="172"/>
    <x v="3"/>
    <x v="172"/>
    <n v="2"/>
    <n v="5"/>
    <n v="5"/>
    <x v="18"/>
    <n v="15"/>
    <d v="1963-05-15T00:00:00"/>
    <s v="63051587142"/>
    <n v="4"/>
    <x v="1"/>
  </r>
  <r>
    <x v="173"/>
    <x v="3"/>
    <x v="173"/>
    <n v="1"/>
    <n v="10"/>
    <n v="10"/>
    <x v="67"/>
    <n v="23"/>
    <d v="1964-10-23T00:00:00"/>
    <s v="64102333648"/>
    <n v="4"/>
    <x v="1"/>
  </r>
  <r>
    <x v="174"/>
    <x v="3"/>
    <x v="174"/>
    <n v="2"/>
    <n v="9"/>
    <n v="9"/>
    <x v="3"/>
    <n v="19"/>
    <d v="1970-09-19T00:00:00"/>
    <s v="70091927892"/>
    <n v="9"/>
    <x v="0"/>
  </r>
  <r>
    <x v="175"/>
    <x v="1"/>
    <x v="175"/>
    <n v="1"/>
    <n v="2"/>
    <n v="2"/>
    <x v="18"/>
    <n v="7"/>
    <d v="1963-02-07T00:00:00"/>
    <s v="63020713774"/>
    <n v="7"/>
    <x v="0"/>
  </r>
  <r>
    <x v="176"/>
    <x v="3"/>
    <x v="176"/>
    <n v="1"/>
    <n v="11"/>
    <n v="11"/>
    <x v="58"/>
    <n v="30"/>
    <d v="1989-11-30T00:00:00"/>
    <s v="89113013767"/>
    <n v="6"/>
    <x v="1"/>
  </r>
  <r>
    <x v="177"/>
    <x v="1"/>
    <x v="177"/>
    <n v="1"/>
    <n v="7"/>
    <n v="7"/>
    <x v="39"/>
    <n v="24"/>
    <d v="1992-07-24T00:00:00"/>
    <s v="92072495734"/>
    <n v="3"/>
    <x v="0"/>
  </r>
  <r>
    <x v="178"/>
    <x v="2"/>
    <x v="178"/>
    <n v="2"/>
    <n v="8"/>
    <n v="8"/>
    <x v="6"/>
    <n v="7"/>
    <d v="1949-08-07T00:00:00"/>
    <s v="49080779631"/>
    <n v="3"/>
    <x v="0"/>
  </r>
  <r>
    <x v="179"/>
    <x v="2"/>
    <x v="179"/>
    <n v="2"/>
    <n v="9"/>
    <n v="9"/>
    <x v="61"/>
    <n v="26"/>
    <d v="1928-09-26T00:00:00"/>
    <s v="28092633517"/>
    <n v="1"/>
    <x v="0"/>
  </r>
  <r>
    <x v="180"/>
    <x v="1"/>
    <x v="180"/>
    <n v="1"/>
    <n v="8"/>
    <n v="8"/>
    <x v="10"/>
    <n v="5"/>
    <d v="1921-08-05T00:00:00"/>
    <s v="21080584273"/>
    <n v="7"/>
    <x v="0"/>
  </r>
  <r>
    <x v="181"/>
    <x v="1"/>
    <x v="181"/>
    <n v="1"/>
    <n v="11"/>
    <n v="11"/>
    <x v="40"/>
    <n v="25"/>
    <d v="1932-11-25T00:00:00"/>
    <s v="32112595116"/>
    <n v="1"/>
    <x v="0"/>
  </r>
  <r>
    <x v="182"/>
    <x v="0"/>
    <x v="182"/>
    <n v="2"/>
    <n v="11"/>
    <n v="11"/>
    <x v="77"/>
    <n v="25"/>
    <d v="1920-11-25T00:00:00"/>
    <s v="20112516264"/>
    <n v="6"/>
    <x v="1"/>
  </r>
  <r>
    <x v="183"/>
    <x v="1"/>
    <x v="183"/>
    <n v="1"/>
    <n v="11"/>
    <n v="11"/>
    <x v="46"/>
    <n v="5"/>
    <d v="1945-11-05T00:00:00"/>
    <s v="45110598883"/>
    <n v="8"/>
    <x v="1"/>
  </r>
  <r>
    <x v="184"/>
    <x v="2"/>
    <x v="184"/>
    <n v="2"/>
    <n v="10"/>
    <n v="10"/>
    <x v="10"/>
    <n v="11"/>
    <d v="1921-10-11T00:00:00"/>
    <s v="21101152285"/>
    <n v="8"/>
    <x v="1"/>
  </r>
  <r>
    <x v="185"/>
    <x v="1"/>
    <x v="185"/>
    <n v="1"/>
    <n v="30"/>
    <n v="10"/>
    <x v="23"/>
    <n v="21"/>
    <d v="2008-10-21T00:00:00"/>
    <s v="08302171385"/>
    <n v="8"/>
    <x v="1"/>
  </r>
  <r>
    <x v="186"/>
    <x v="2"/>
    <x v="186"/>
    <n v="2"/>
    <n v="6"/>
    <n v="6"/>
    <x v="47"/>
    <n v="21"/>
    <d v="1983-06-21T00:00:00"/>
    <s v="83062193714"/>
    <n v="1"/>
    <x v="0"/>
  </r>
  <r>
    <x v="187"/>
    <x v="1"/>
    <x v="187"/>
    <n v="1"/>
    <n v="6"/>
    <n v="6"/>
    <x v="50"/>
    <n v="26"/>
    <d v="1956-06-26T00:00:00"/>
    <s v="56062628229"/>
    <n v="2"/>
    <x v="1"/>
  </r>
  <r>
    <x v="188"/>
    <x v="2"/>
    <x v="188"/>
    <n v="1"/>
    <n v="8"/>
    <n v="8"/>
    <x v="33"/>
    <n v="2"/>
    <d v="1960-08-02T00:00:00"/>
    <s v="60080277677"/>
    <n v="7"/>
    <x v="0"/>
  </r>
  <r>
    <x v="189"/>
    <x v="1"/>
    <x v="189"/>
    <n v="1"/>
    <n v="7"/>
    <n v="7"/>
    <x v="12"/>
    <n v="13"/>
    <d v="1947-07-13T00:00:00"/>
    <s v="47071349645"/>
    <n v="4"/>
    <x v="1"/>
  </r>
  <r>
    <x v="190"/>
    <x v="3"/>
    <x v="190"/>
    <n v="1"/>
    <n v="5"/>
    <n v="5"/>
    <x v="6"/>
    <n v="23"/>
    <d v="1949-05-23T00:00:00"/>
    <s v="49052312275"/>
    <n v="7"/>
    <x v="0"/>
  </r>
  <r>
    <x v="191"/>
    <x v="1"/>
    <x v="191"/>
    <n v="1"/>
    <n v="9"/>
    <n v="9"/>
    <x v="66"/>
    <n v="5"/>
    <d v="1996-09-05T00:00:00"/>
    <s v="96090531816"/>
    <n v="1"/>
    <x v="0"/>
  </r>
  <r>
    <x v="192"/>
    <x v="2"/>
    <x v="192"/>
    <n v="1"/>
    <n v="7"/>
    <n v="7"/>
    <x v="78"/>
    <n v="9"/>
    <d v="1968-07-09T00:00:00"/>
    <s v="68070965829"/>
    <n v="2"/>
    <x v="1"/>
  </r>
  <r>
    <x v="193"/>
    <x v="3"/>
    <x v="193"/>
    <n v="2"/>
    <n v="3"/>
    <n v="3"/>
    <x v="3"/>
    <n v="30"/>
    <d v="1970-03-30T00:00:00"/>
    <s v="70033049684"/>
    <n v="8"/>
    <x v="1"/>
  </r>
  <r>
    <x v="194"/>
    <x v="3"/>
    <x v="194"/>
    <n v="2"/>
    <n v="12"/>
    <n v="12"/>
    <x v="37"/>
    <n v="12"/>
    <d v="1926-12-12T00:00:00"/>
    <s v="26121298171"/>
    <n v="7"/>
    <x v="0"/>
  </r>
  <r>
    <x v="195"/>
    <x v="1"/>
    <x v="195"/>
    <n v="1"/>
    <n v="3"/>
    <n v="3"/>
    <x v="18"/>
    <n v="29"/>
    <d v="1963-03-29T00:00:00"/>
    <s v="63032962627"/>
    <n v="2"/>
    <x v="1"/>
  </r>
  <r>
    <x v="196"/>
    <x v="3"/>
    <x v="196"/>
    <n v="1"/>
    <n v="9"/>
    <n v="9"/>
    <x v="30"/>
    <n v="5"/>
    <d v="1948-09-05T00:00:00"/>
    <s v="48090527757"/>
    <n v="5"/>
    <x v="0"/>
  </r>
  <r>
    <x v="197"/>
    <x v="1"/>
    <x v="197"/>
    <n v="1"/>
    <n v="11"/>
    <n v="11"/>
    <x v="36"/>
    <n v="16"/>
    <d v="1954-11-16T00:00:00"/>
    <s v="54111621272"/>
    <n v="7"/>
    <x v="0"/>
  </r>
  <r>
    <x v="198"/>
    <x v="0"/>
    <x v="198"/>
    <n v="1"/>
    <n v="5"/>
    <n v="5"/>
    <x v="67"/>
    <n v="21"/>
    <d v="1964-05-21T00:00:00"/>
    <s v="64052194515"/>
    <n v="1"/>
    <x v="0"/>
  </r>
  <r>
    <x v="199"/>
    <x v="2"/>
    <x v="199"/>
    <n v="1"/>
    <n v="4"/>
    <n v="4"/>
    <x v="63"/>
    <n v="10"/>
    <d v="1998-04-10T00:00:00"/>
    <s v="98041093895"/>
    <n v="9"/>
    <x v="0"/>
  </r>
  <r>
    <x v="200"/>
    <x v="0"/>
    <x v="200"/>
    <n v="1"/>
    <n v="7"/>
    <n v="7"/>
    <x v="67"/>
    <n v="7"/>
    <d v="1964-07-07T00:00:00"/>
    <s v="64070762664"/>
    <n v="6"/>
    <x v="1"/>
  </r>
  <r>
    <x v="201"/>
    <x v="3"/>
    <x v="201"/>
    <n v="2"/>
    <n v="7"/>
    <n v="7"/>
    <x v="60"/>
    <n v="26"/>
    <d v="1981-07-26T00:00:00"/>
    <s v="81072643636"/>
    <n v="3"/>
    <x v="0"/>
  </r>
  <r>
    <x v="202"/>
    <x v="1"/>
    <x v="202"/>
    <n v="1"/>
    <n v="3"/>
    <n v="3"/>
    <x v="28"/>
    <n v="8"/>
    <d v="1958-03-08T00:00:00"/>
    <s v="58030815749"/>
    <n v="4"/>
    <x v="1"/>
  </r>
  <r>
    <x v="203"/>
    <x v="2"/>
    <x v="203"/>
    <n v="1"/>
    <n v="3"/>
    <n v="3"/>
    <x v="13"/>
    <n v="24"/>
    <d v="1934-03-24T00:00:00"/>
    <s v="34032429818"/>
    <n v="1"/>
    <x v="0"/>
  </r>
  <r>
    <x v="204"/>
    <x v="2"/>
    <x v="204"/>
    <n v="1"/>
    <n v="2"/>
    <n v="2"/>
    <x v="17"/>
    <n v="7"/>
    <d v="1942-02-07T00:00:00"/>
    <s v="42020779674"/>
    <n v="7"/>
    <x v="0"/>
  </r>
  <r>
    <x v="205"/>
    <x v="1"/>
    <x v="205"/>
    <n v="1"/>
    <n v="6"/>
    <n v="6"/>
    <x v="36"/>
    <n v="12"/>
    <d v="1954-06-12T00:00:00"/>
    <s v="54061265142"/>
    <n v="4"/>
    <x v="1"/>
  </r>
  <r>
    <x v="206"/>
    <x v="0"/>
    <x v="206"/>
    <n v="1"/>
    <n v="9"/>
    <n v="9"/>
    <x v="74"/>
    <n v="22"/>
    <d v="1944-09-22T00:00:00"/>
    <s v="44092266689"/>
    <n v="8"/>
    <x v="1"/>
  </r>
  <r>
    <x v="207"/>
    <x v="2"/>
    <x v="207"/>
    <n v="2"/>
    <n v="1"/>
    <n v="1"/>
    <x v="35"/>
    <n v="9"/>
    <d v="1935-01-09T00:00:00"/>
    <s v="35010956137"/>
    <n v="3"/>
    <x v="0"/>
  </r>
  <r>
    <x v="208"/>
    <x v="3"/>
    <x v="208"/>
    <n v="1"/>
    <n v="12"/>
    <n v="12"/>
    <x v="34"/>
    <n v="6"/>
    <d v="1977-12-06T00:00:00"/>
    <s v="77120652211"/>
    <n v="1"/>
    <x v="0"/>
  </r>
  <r>
    <x v="209"/>
    <x v="1"/>
    <x v="209"/>
    <n v="1"/>
    <n v="9"/>
    <n v="9"/>
    <x v="21"/>
    <n v="27"/>
    <d v="1931-09-27T00:00:00"/>
    <s v="31092778122"/>
    <n v="2"/>
    <x v="1"/>
  </r>
  <r>
    <x v="210"/>
    <x v="2"/>
    <x v="210"/>
    <n v="2"/>
    <n v="3"/>
    <n v="3"/>
    <x v="47"/>
    <n v="17"/>
    <d v="1983-03-17T00:00:00"/>
    <s v="83031792287"/>
    <n v="8"/>
    <x v="1"/>
  </r>
  <r>
    <x v="211"/>
    <x v="0"/>
    <x v="211"/>
    <n v="1"/>
    <n v="8"/>
    <n v="8"/>
    <x v="3"/>
    <n v="12"/>
    <d v="1970-08-12T00:00:00"/>
    <s v="70081252384"/>
    <n v="8"/>
    <x v="1"/>
  </r>
  <r>
    <x v="212"/>
    <x v="2"/>
    <x v="212"/>
    <n v="1"/>
    <n v="12"/>
    <n v="12"/>
    <x v="35"/>
    <n v="7"/>
    <d v="1935-12-07T00:00:00"/>
    <s v="35120744569"/>
    <n v="6"/>
    <x v="1"/>
  </r>
  <r>
    <x v="213"/>
    <x v="1"/>
    <x v="213"/>
    <n v="1"/>
    <n v="8"/>
    <n v="8"/>
    <x v="28"/>
    <n v="27"/>
    <d v="1958-08-27T00:00:00"/>
    <s v="58082763724"/>
    <n v="2"/>
    <x v="1"/>
  </r>
  <r>
    <x v="214"/>
    <x v="2"/>
    <x v="214"/>
    <n v="1"/>
    <n v="4"/>
    <n v="4"/>
    <x v="75"/>
    <n v="21"/>
    <d v="1976-04-21T00:00:00"/>
    <s v="76042197176"/>
    <n v="7"/>
    <x v="0"/>
  </r>
  <r>
    <x v="215"/>
    <x v="1"/>
    <x v="215"/>
    <n v="1"/>
    <n v="6"/>
    <n v="6"/>
    <x v="56"/>
    <n v="27"/>
    <d v="1995-06-27T00:00:00"/>
    <s v="95062748474"/>
    <n v="7"/>
    <x v="0"/>
  </r>
  <r>
    <x v="216"/>
    <x v="1"/>
    <x v="216"/>
    <n v="1"/>
    <n v="12"/>
    <n v="12"/>
    <x v="29"/>
    <n v="15"/>
    <d v="1937-12-15T00:00:00"/>
    <s v="37121545255"/>
    <n v="5"/>
    <x v="0"/>
  </r>
  <r>
    <x v="217"/>
    <x v="2"/>
    <x v="217"/>
    <n v="2"/>
    <n v="7"/>
    <n v="7"/>
    <x v="43"/>
    <n v="21"/>
    <d v="1939-07-21T00:00:00"/>
    <s v="39072133424"/>
    <n v="2"/>
    <x v="1"/>
  </r>
  <r>
    <x v="218"/>
    <x v="2"/>
    <x v="218"/>
    <n v="2"/>
    <n v="3"/>
    <n v="3"/>
    <x v="79"/>
    <n v="13"/>
    <d v="1955-03-13T00:00:00"/>
    <s v="55031313863"/>
    <n v="6"/>
    <x v="1"/>
  </r>
  <r>
    <x v="219"/>
    <x v="1"/>
    <x v="219"/>
    <n v="1"/>
    <n v="4"/>
    <n v="4"/>
    <x v="55"/>
    <n v="18"/>
    <d v="1929-04-18T00:00:00"/>
    <s v="29041816146"/>
    <n v="4"/>
    <x v="1"/>
  </r>
  <r>
    <x v="220"/>
    <x v="1"/>
    <x v="220"/>
    <n v="1"/>
    <n v="4"/>
    <n v="4"/>
    <x v="5"/>
    <n v="9"/>
    <d v="1927-04-09T00:00:00"/>
    <s v="27040982659"/>
    <n v="5"/>
    <x v="0"/>
  </r>
  <r>
    <x v="221"/>
    <x v="3"/>
    <x v="221"/>
    <n v="1"/>
    <n v="31"/>
    <n v="11"/>
    <x v="49"/>
    <n v="11"/>
    <d v="2002-11-11T00:00:00"/>
    <s v="02311171927"/>
    <n v="2"/>
    <x v="1"/>
  </r>
  <r>
    <x v="222"/>
    <x v="1"/>
    <x v="222"/>
    <n v="1"/>
    <n v="24"/>
    <n v="4"/>
    <x v="23"/>
    <n v="15"/>
    <d v="2008-04-15T00:00:00"/>
    <s v="08241598142"/>
    <n v="4"/>
    <x v="1"/>
  </r>
  <r>
    <x v="223"/>
    <x v="0"/>
    <x v="223"/>
    <n v="2"/>
    <n v="21"/>
    <n v="1"/>
    <x v="59"/>
    <n v="10"/>
    <d v="2001-01-10T00:00:00"/>
    <s v="01211021239"/>
    <n v="3"/>
    <x v="0"/>
  </r>
  <r>
    <x v="224"/>
    <x v="2"/>
    <x v="224"/>
    <n v="1"/>
    <n v="7"/>
    <n v="7"/>
    <x v="0"/>
    <n v="7"/>
    <d v="1950-07-07T00:00:00"/>
    <s v="50070768526"/>
    <n v="2"/>
    <x v="1"/>
  </r>
  <r>
    <x v="225"/>
    <x v="2"/>
    <x v="225"/>
    <n v="2"/>
    <n v="4"/>
    <n v="4"/>
    <x v="78"/>
    <n v="26"/>
    <d v="1968-04-26T00:00:00"/>
    <s v="68042682819"/>
    <n v="1"/>
    <x v="0"/>
  </r>
  <r>
    <x v="226"/>
    <x v="2"/>
    <x v="226"/>
    <n v="2"/>
    <n v="12"/>
    <n v="12"/>
    <x v="77"/>
    <n v="28"/>
    <d v="1920-12-28T00:00:00"/>
    <s v="20122893755"/>
    <n v="5"/>
    <x v="0"/>
  </r>
  <r>
    <x v="227"/>
    <x v="1"/>
    <x v="227"/>
    <n v="1"/>
    <n v="4"/>
    <n v="4"/>
    <x v="27"/>
    <n v="10"/>
    <d v="1959-04-10T00:00:00"/>
    <s v="59041061932"/>
    <n v="3"/>
    <x v="0"/>
  </r>
  <r>
    <x v="228"/>
    <x v="0"/>
    <x v="228"/>
    <n v="1"/>
    <n v="23"/>
    <n v="3"/>
    <x v="1"/>
    <n v="22"/>
    <d v="2009-03-22T00:00:00"/>
    <s v="09232261218"/>
    <n v="1"/>
    <x v="0"/>
  </r>
  <r>
    <x v="229"/>
    <x v="1"/>
    <x v="229"/>
    <n v="1"/>
    <n v="5"/>
    <n v="5"/>
    <x v="6"/>
    <n v="7"/>
    <d v="1949-05-07T00:00:00"/>
    <s v="49050781718"/>
    <n v="1"/>
    <x v="0"/>
  </r>
  <r>
    <x v="230"/>
    <x v="2"/>
    <x v="230"/>
    <n v="1"/>
    <n v="12"/>
    <n v="12"/>
    <x v="46"/>
    <n v="19"/>
    <d v="1945-12-19T00:00:00"/>
    <s v="45121949283"/>
    <n v="8"/>
    <x v="1"/>
  </r>
  <r>
    <x v="231"/>
    <x v="0"/>
    <x v="231"/>
    <n v="1"/>
    <n v="8"/>
    <n v="8"/>
    <x v="21"/>
    <n v="12"/>
    <d v="1931-08-12T00:00:00"/>
    <s v="31081212321"/>
    <n v="2"/>
    <x v="1"/>
  </r>
  <r>
    <x v="232"/>
    <x v="2"/>
    <x v="232"/>
    <n v="2"/>
    <n v="9"/>
    <n v="9"/>
    <x v="21"/>
    <n v="8"/>
    <d v="1931-09-08T00:00:00"/>
    <s v="31090849482"/>
    <n v="8"/>
    <x v="1"/>
  </r>
  <r>
    <x v="233"/>
    <x v="0"/>
    <x v="233"/>
    <n v="2"/>
    <n v="12"/>
    <n v="12"/>
    <x v="78"/>
    <n v="25"/>
    <d v="1968-12-25T00:00:00"/>
    <s v="68122558162"/>
    <n v="6"/>
    <x v="1"/>
  </r>
  <r>
    <x v="234"/>
    <x v="1"/>
    <x v="234"/>
    <n v="1"/>
    <n v="9"/>
    <n v="9"/>
    <x v="55"/>
    <n v="9"/>
    <d v="1929-09-09T00:00:00"/>
    <s v="29090938284"/>
    <n v="8"/>
    <x v="1"/>
  </r>
  <r>
    <x v="235"/>
    <x v="3"/>
    <x v="235"/>
    <n v="1"/>
    <n v="7"/>
    <n v="7"/>
    <x v="46"/>
    <n v="22"/>
    <d v="1945-07-22T00:00:00"/>
    <s v="45072239756"/>
    <n v="5"/>
    <x v="0"/>
  </r>
  <r>
    <x v="236"/>
    <x v="1"/>
    <x v="236"/>
    <n v="1"/>
    <n v="11"/>
    <n v="11"/>
    <x v="22"/>
    <n v="12"/>
    <d v="1923-11-12T00:00:00"/>
    <s v="23111276218"/>
    <n v="1"/>
    <x v="0"/>
  </r>
  <r>
    <x v="237"/>
    <x v="0"/>
    <x v="237"/>
    <n v="1"/>
    <n v="9"/>
    <n v="9"/>
    <x v="77"/>
    <n v="9"/>
    <d v="1920-09-09T00:00:00"/>
    <s v="20090917161"/>
    <n v="6"/>
    <x v="1"/>
  </r>
  <r>
    <x v="238"/>
    <x v="0"/>
    <x v="238"/>
    <n v="1"/>
    <n v="7"/>
    <n v="7"/>
    <x v="27"/>
    <n v="11"/>
    <d v="1959-07-11T00:00:00"/>
    <s v="59071125491"/>
    <n v="9"/>
    <x v="0"/>
  </r>
  <r>
    <x v="239"/>
    <x v="0"/>
    <x v="239"/>
    <n v="2"/>
    <n v="1"/>
    <n v="1"/>
    <x v="27"/>
    <n v="31"/>
    <d v="1959-01-31T00:00:00"/>
    <s v="59013185354"/>
    <n v="5"/>
    <x v="0"/>
  </r>
  <r>
    <x v="240"/>
    <x v="1"/>
    <x v="240"/>
    <n v="1"/>
    <n v="9"/>
    <n v="9"/>
    <x v="7"/>
    <n v="9"/>
    <d v="1979-09-09T00:00:00"/>
    <s v="79090951196"/>
    <n v="9"/>
    <x v="0"/>
  </r>
  <r>
    <x v="241"/>
    <x v="1"/>
    <x v="241"/>
    <n v="1"/>
    <n v="5"/>
    <n v="5"/>
    <x v="40"/>
    <n v="12"/>
    <d v="1932-05-12T00:00:00"/>
    <s v="32051245259"/>
    <n v="5"/>
    <x v="0"/>
  </r>
  <r>
    <x v="242"/>
    <x v="1"/>
    <x v="242"/>
    <n v="1"/>
    <n v="11"/>
    <n v="11"/>
    <x v="80"/>
    <n v="9"/>
    <d v="1952-11-09T00:00:00"/>
    <s v="52110915493"/>
    <n v="9"/>
    <x v="0"/>
  </r>
  <r>
    <x v="243"/>
    <x v="1"/>
    <x v="243"/>
    <n v="1"/>
    <n v="7"/>
    <n v="7"/>
    <x v="18"/>
    <n v="15"/>
    <d v="1963-07-15T00:00:00"/>
    <s v="63071519565"/>
    <n v="6"/>
    <x v="1"/>
  </r>
  <r>
    <x v="244"/>
    <x v="0"/>
    <x v="244"/>
    <n v="2"/>
    <n v="3"/>
    <n v="3"/>
    <x v="21"/>
    <n v="25"/>
    <d v="1931-03-25T00:00:00"/>
    <s v="31032574678"/>
    <n v="7"/>
    <x v="0"/>
  </r>
  <r>
    <x v="245"/>
    <x v="0"/>
    <x v="245"/>
    <n v="1"/>
    <n v="12"/>
    <n v="12"/>
    <x v="55"/>
    <n v="4"/>
    <d v="1929-12-04T00:00:00"/>
    <s v="29120451253"/>
    <n v="5"/>
    <x v="0"/>
  </r>
  <r>
    <x v="246"/>
    <x v="2"/>
    <x v="246"/>
    <n v="2"/>
    <n v="12"/>
    <n v="12"/>
    <x v="38"/>
    <n v="17"/>
    <d v="1986-12-17T00:00:00"/>
    <s v="86121779571"/>
    <n v="7"/>
    <x v="0"/>
  </r>
  <r>
    <x v="247"/>
    <x v="1"/>
    <x v="247"/>
    <n v="1"/>
    <n v="11"/>
    <n v="11"/>
    <x v="81"/>
    <n v="25"/>
    <d v="1966-11-25T00:00:00"/>
    <s v="66112536848"/>
    <n v="4"/>
    <x v="1"/>
  </r>
  <r>
    <x v="248"/>
    <x v="0"/>
    <x v="248"/>
    <n v="2"/>
    <n v="9"/>
    <n v="9"/>
    <x v="33"/>
    <n v="21"/>
    <d v="1960-09-21T00:00:00"/>
    <s v="60092125757"/>
    <n v="5"/>
    <x v="0"/>
  </r>
  <r>
    <x v="249"/>
    <x v="3"/>
    <x v="249"/>
    <n v="1"/>
    <n v="21"/>
    <n v="1"/>
    <x v="69"/>
    <n v="24"/>
    <d v="2003-01-24T00:00:00"/>
    <s v="03212425357"/>
    <n v="5"/>
    <x v="0"/>
  </r>
  <r>
    <x v="250"/>
    <x v="3"/>
    <x v="250"/>
    <n v="1"/>
    <n v="3"/>
    <n v="3"/>
    <x v="76"/>
    <n v="20"/>
    <d v="1936-03-20T00:00:00"/>
    <s v="36032085238"/>
    <n v="3"/>
    <x v="0"/>
  </r>
  <r>
    <x v="251"/>
    <x v="3"/>
    <x v="251"/>
    <n v="1"/>
    <n v="11"/>
    <n v="11"/>
    <x v="35"/>
    <n v="4"/>
    <d v="1935-11-04T00:00:00"/>
    <s v="35110487159"/>
    <n v="5"/>
    <x v="0"/>
  </r>
  <r>
    <x v="252"/>
    <x v="1"/>
    <x v="252"/>
    <n v="1"/>
    <n v="8"/>
    <n v="8"/>
    <x v="82"/>
    <n v="11"/>
    <d v="1987-08-11T00:00:00"/>
    <s v="87081197986"/>
    <n v="8"/>
    <x v="1"/>
  </r>
  <r>
    <x v="253"/>
    <x v="2"/>
    <x v="253"/>
    <n v="1"/>
    <n v="26"/>
    <n v="6"/>
    <x v="49"/>
    <n v="16"/>
    <d v="2002-06-16T00:00:00"/>
    <s v="02261657214"/>
    <n v="1"/>
    <x v="0"/>
  </r>
  <r>
    <x v="254"/>
    <x v="0"/>
    <x v="254"/>
    <n v="2"/>
    <n v="7"/>
    <n v="7"/>
    <x v="83"/>
    <n v="18"/>
    <d v="1943-07-18T00:00:00"/>
    <s v="43071866744"/>
    <n v="4"/>
    <x v="1"/>
  </r>
  <r>
    <x v="255"/>
    <x v="1"/>
    <x v="255"/>
    <n v="1"/>
    <n v="3"/>
    <n v="3"/>
    <x v="58"/>
    <n v="6"/>
    <d v="1989-03-06T00:00:00"/>
    <s v="89030688767"/>
    <n v="6"/>
    <x v="1"/>
  </r>
  <r>
    <x v="256"/>
    <x v="0"/>
    <x v="256"/>
    <n v="2"/>
    <n v="1"/>
    <n v="1"/>
    <x v="25"/>
    <n v="2"/>
    <d v="1991-01-02T00:00:00"/>
    <s v="91010272679"/>
    <n v="7"/>
    <x v="0"/>
  </r>
  <r>
    <x v="257"/>
    <x v="1"/>
    <x v="257"/>
    <n v="1"/>
    <n v="3"/>
    <n v="3"/>
    <x v="57"/>
    <n v="25"/>
    <d v="1999-03-25T00:00:00"/>
    <s v="99032535899"/>
    <n v="9"/>
    <x v="0"/>
  </r>
  <r>
    <x v="258"/>
    <x v="0"/>
    <x v="258"/>
    <n v="2"/>
    <n v="10"/>
    <n v="10"/>
    <x v="79"/>
    <n v="13"/>
    <d v="1955-10-13T00:00:00"/>
    <s v="55101396662"/>
    <n v="6"/>
    <x v="1"/>
  </r>
  <r>
    <x v="259"/>
    <x v="0"/>
    <x v="259"/>
    <n v="2"/>
    <n v="12"/>
    <n v="12"/>
    <x v="70"/>
    <n v="10"/>
    <d v="1962-12-10T00:00:00"/>
    <s v="62121072494"/>
    <n v="9"/>
    <x v="0"/>
  </r>
  <r>
    <x v="260"/>
    <x v="0"/>
    <x v="260"/>
    <n v="1"/>
    <n v="1"/>
    <n v="1"/>
    <x v="84"/>
    <n v="31"/>
    <d v="1982-01-31T00:00:00"/>
    <s v="82013188393"/>
    <n v="9"/>
    <x v="0"/>
  </r>
  <r>
    <x v="261"/>
    <x v="2"/>
    <x v="261"/>
    <n v="1"/>
    <n v="7"/>
    <n v="7"/>
    <x v="11"/>
    <n v="13"/>
    <d v="1938-07-13T00:00:00"/>
    <s v="38071351228"/>
    <n v="2"/>
    <x v="1"/>
  </r>
  <r>
    <x v="262"/>
    <x v="3"/>
    <x v="262"/>
    <n v="2"/>
    <n v="5"/>
    <n v="5"/>
    <x v="85"/>
    <n v="4"/>
    <d v="1941-05-04T00:00:00"/>
    <s v="41050489849"/>
    <n v="4"/>
    <x v="1"/>
  </r>
  <r>
    <x v="263"/>
    <x v="1"/>
    <x v="263"/>
    <n v="1"/>
    <n v="1"/>
    <n v="1"/>
    <x v="37"/>
    <n v="28"/>
    <d v="1926-01-28T00:00:00"/>
    <s v="26012882827"/>
    <n v="2"/>
    <x v="1"/>
  </r>
  <r>
    <x v="264"/>
    <x v="0"/>
    <x v="264"/>
    <n v="1"/>
    <n v="11"/>
    <n v="11"/>
    <x v="9"/>
    <n v="24"/>
    <d v="1933-11-24T00:00:00"/>
    <s v="33112424381"/>
    <n v="8"/>
    <x v="1"/>
  </r>
  <r>
    <x v="265"/>
    <x v="2"/>
    <x v="265"/>
    <n v="1"/>
    <n v="3"/>
    <n v="3"/>
    <x v="78"/>
    <n v="5"/>
    <d v="1968-03-05T00:00:00"/>
    <s v="68030575448"/>
    <n v="4"/>
    <x v="1"/>
  </r>
  <r>
    <x v="266"/>
    <x v="0"/>
    <x v="266"/>
    <n v="2"/>
    <n v="7"/>
    <n v="7"/>
    <x v="40"/>
    <n v="10"/>
    <d v="1932-07-10T00:00:00"/>
    <s v="32071042599"/>
    <n v="9"/>
    <x v="0"/>
  </r>
  <r>
    <x v="267"/>
    <x v="2"/>
    <x v="267"/>
    <n v="1"/>
    <n v="7"/>
    <n v="7"/>
    <x v="46"/>
    <n v="20"/>
    <d v="1945-07-20T00:00:00"/>
    <s v="45072016319"/>
    <n v="1"/>
    <x v="0"/>
  </r>
  <r>
    <x v="268"/>
    <x v="0"/>
    <x v="268"/>
    <n v="2"/>
    <n v="10"/>
    <n v="10"/>
    <x v="29"/>
    <n v="5"/>
    <d v="1937-10-05T00:00:00"/>
    <s v="37100557389"/>
    <n v="8"/>
    <x v="1"/>
  </r>
  <r>
    <x v="269"/>
    <x v="0"/>
    <x v="269"/>
    <n v="2"/>
    <n v="2"/>
    <n v="2"/>
    <x v="82"/>
    <n v="28"/>
    <d v="1987-02-28T00:00:00"/>
    <s v="87022876479"/>
    <n v="7"/>
    <x v="0"/>
  </r>
  <r>
    <x v="270"/>
    <x v="1"/>
    <x v="270"/>
    <n v="1"/>
    <n v="4"/>
    <n v="4"/>
    <x v="84"/>
    <n v="5"/>
    <d v="1982-04-05T00:00:00"/>
    <s v="82040551834"/>
    <n v="3"/>
    <x v="0"/>
  </r>
  <r>
    <x v="271"/>
    <x v="0"/>
    <x v="271"/>
    <n v="2"/>
    <n v="3"/>
    <n v="3"/>
    <x v="86"/>
    <n v="23"/>
    <d v="1984-03-23T00:00:00"/>
    <s v="84032393453"/>
    <n v="5"/>
    <x v="0"/>
  </r>
  <r>
    <x v="272"/>
    <x v="0"/>
    <x v="272"/>
    <n v="1"/>
    <n v="12"/>
    <n v="12"/>
    <x v="75"/>
    <n v="11"/>
    <d v="1976-12-11T00:00:00"/>
    <s v="76121116166"/>
    <n v="6"/>
    <x v="1"/>
  </r>
  <r>
    <x v="273"/>
    <x v="2"/>
    <x v="273"/>
    <n v="1"/>
    <n v="10"/>
    <n v="10"/>
    <x v="38"/>
    <n v="4"/>
    <d v="1986-10-04T00:00:00"/>
    <s v="86100435894"/>
    <n v="9"/>
    <x v="0"/>
  </r>
  <r>
    <x v="274"/>
    <x v="3"/>
    <x v="274"/>
    <n v="1"/>
    <n v="12"/>
    <n v="12"/>
    <x v="17"/>
    <n v="12"/>
    <d v="1942-12-12T00:00:00"/>
    <s v="42121286459"/>
    <n v="5"/>
    <x v="0"/>
  </r>
  <r>
    <x v="275"/>
    <x v="1"/>
    <x v="275"/>
    <n v="1"/>
    <n v="21"/>
    <n v="1"/>
    <x v="54"/>
    <n v="10"/>
    <d v="2000-01-10T00:00:00"/>
    <s v="00211068217"/>
    <n v="1"/>
    <x v="0"/>
  </r>
  <r>
    <x v="276"/>
    <x v="2"/>
    <x v="276"/>
    <n v="1"/>
    <n v="10"/>
    <n v="10"/>
    <x v="29"/>
    <n v="13"/>
    <d v="1937-10-13T00:00:00"/>
    <s v="37101335553"/>
    <n v="5"/>
    <x v="0"/>
  </r>
  <r>
    <x v="277"/>
    <x v="0"/>
    <x v="277"/>
    <n v="1"/>
    <n v="10"/>
    <n v="10"/>
    <x v="64"/>
    <n v="14"/>
    <d v="1993-10-14T00:00:00"/>
    <s v="93101437282"/>
    <n v="8"/>
    <x v="1"/>
  </r>
  <r>
    <x v="278"/>
    <x v="1"/>
    <x v="278"/>
    <n v="1"/>
    <n v="9"/>
    <n v="9"/>
    <x v="86"/>
    <n v="24"/>
    <d v="1984-09-24T00:00:00"/>
    <s v="84092469248"/>
    <n v="4"/>
    <x v="1"/>
  </r>
  <r>
    <x v="279"/>
    <x v="0"/>
    <x v="279"/>
    <n v="1"/>
    <n v="12"/>
    <n v="12"/>
    <x v="81"/>
    <n v="29"/>
    <d v="1966-12-29T00:00:00"/>
    <s v="66122925348"/>
    <n v="4"/>
    <x v="1"/>
  </r>
  <r>
    <x v="280"/>
    <x v="1"/>
    <x v="280"/>
    <n v="1"/>
    <n v="8"/>
    <n v="8"/>
    <x v="32"/>
    <n v="22"/>
    <d v="1946-08-22T00:00:00"/>
    <s v="46082271864"/>
    <n v="6"/>
    <x v="1"/>
  </r>
  <r>
    <x v="281"/>
    <x v="0"/>
    <x v="281"/>
    <n v="2"/>
    <n v="5"/>
    <n v="5"/>
    <x v="6"/>
    <n v="4"/>
    <d v="1949-05-04T00:00:00"/>
    <s v="49050437329"/>
    <n v="2"/>
    <x v="1"/>
  </r>
  <r>
    <x v="282"/>
    <x v="1"/>
    <x v="282"/>
    <n v="1"/>
    <n v="12"/>
    <n v="12"/>
    <x v="43"/>
    <n v="13"/>
    <d v="1939-12-13T00:00:00"/>
    <s v="39121348999"/>
    <n v="9"/>
    <x v="0"/>
  </r>
  <r>
    <x v="283"/>
    <x v="3"/>
    <x v="283"/>
    <n v="2"/>
    <n v="5"/>
    <n v="5"/>
    <x v="84"/>
    <n v="5"/>
    <d v="1982-05-05T00:00:00"/>
    <s v="82050531273"/>
    <n v="7"/>
    <x v="0"/>
  </r>
  <r>
    <x v="284"/>
    <x v="3"/>
    <x v="284"/>
    <n v="2"/>
    <n v="7"/>
    <n v="7"/>
    <x v="44"/>
    <n v="17"/>
    <d v="1925-07-17T00:00:00"/>
    <s v="25071775264"/>
    <n v="6"/>
    <x v="1"/>
  </r>
  <r>
    <x v="285"/>
    <x v="1"/>
    <x v="285"/>
    <n v="1"/>
    <n v="5"/>
    <n v="5"/>
    <x v="21"/>
    <n v="15"/>
    <d v="1931-05-15T00:00:00"/>
    <s v="31051584261"/>
    <n v="6"/>
    <x v="1"/>
  </r>
  <r>
    <x v="286"/>
    <x v="1"/>
    <x v="286"/>
    <n v="1"/>
    <n v="3"/>
    <n v="3"/>
    <x v="18"/>
    <n v="29"/>
    <d v="1963-03-29T00:00:00"/>
    <s v="63032962313"/>
    <n v="1"/>
    <x v="0"/>
  </r>
  <r>
    <x v="287"/>
    <x v="2"/>
    <x v="287"/>
    <n v="1"/>
    <n v="2"/>
    <n v="2"/>
    <x v="18"/>
    <n v="4"/>
    <d v="1963-02-04T00:00:00"/>
    <s v="63020471144"/>
    <n v="4"/>
    <x v="1"/>
  </r>
  <r>
    <x v="288"/>
    <x v="0"/>
    <x v="288"/>
    <n v="2"/>
    <n v="4"/>
    <n v="4"/>
    <x v="7"/>
    <n v="30"/>
    <d v="1979-04-30T00:00:00"/>
    <s v="79043088122"/>
    <n v="2"/>
    <x v="1"/>
  </r>
  <r>
    <x v="289"/>
    <x v="0"/>
    <x v="289"/>
    <n v="2"/>
    <n v="12"/>
    <n v="12"/>
    <x v="28"/>
    <n v="26"/>
    <d v="1958-12-26T00:00:00"/>
    <s v="58122678814"/>
    <n v="1"/>
    <x v="0"/>
  </r>
  <r>
    <x v="290"/>
    <x v="0"/>
    <x v="290"/>
    <n v="1"/>
    <n v="3"/>
    <n v="3"/>
    <x v="85"/>
    <n v="3"/>
    <d v="1941-03-03T00:00:00"/>
    <s v="41030348687"/>
    <n v="8"/>
    <x v="1"/>
  </r>
  <r>
    <x v="291"/>
    <x v="1"/>
    <x v="291"/>
    <n v="1"/>
    <n v="8"/>
    <n v="8"/>
    <x v="31"/>
    <n v="3"/>
    <d v="1997-08-03T00:00:00"/>
    <s v="97080315144"/>
    <n v="4"/>
    <x v="1"/>
  </r>
  <r>
    <x v="292"/>
    <x v="0"/>
    <x v="292"/>
    <n v="1"/>
    <n v="1"/>
    <n v="1"/>
    <x v="47"/>
    <n v="13"/>
    <d v="1983-01-13T00:00:00"/>
    <s v="83011332388"/>
    <n v="8"/>
    <x v="1"/>
  </r>
  <r>
    <x v="293"/>
    <x v="0"/>
    <x v="293"/>
    <n v="1"/>
    <n v="6"/>
    <n v="6"/>
    <x v="86"/>
    <n v="10"/>
    <d v="1984-06-10T00:00:00"/>
    <s v="84061088793"/>
    <n v="9"/>
    <x v="0"/>
  </r>
  <r>
    <x v="294"/>
    <x v="1"/>
    <x v="294"/>
    <n v="1"/>
    <n v="3"/>
    <n v="3"/>
    <x v="21"/>
    <n v="29"/>
    <d v="1931-03-29T00:00:00"/>
    <s v="31032966828"/>
    <n v="2"/>
    <x v="1"/>
  </r>
  <r>
    <x v="295"/>
    <x v="0"/>
    <x v="295"/>
    <n v="1"/>
    <n v="6"/>
    <n v="6"/>
    <x v="27"/>
    <n v="28"/>
    <d v="1959-06-28T00:00:00"/>
    <s v="59062851844"/>
    <n v="4"/>
    <x v="1"/>
  </r>
  <r>
    <x v="296"/>
    <x v="3"/>
    <x v="296"/>
    <n v="2"/>
    <n v="2"/>
    <n v="2"/>
    <x v="63"/>
    <n v="21"/>
    <d v="1998-02-21T00:00:00"/>
    <s v="98022138285"/>
    <n v="8"/>
    <x v="1"/>
  </r>
  <r>
    <x v="297"/>
    <x v="1"/>
    <x v="297"/>
    <n v="1"/>
    <n v="7"/>
    <n v="7"/>
    <x v="9"/>
    <n v="17"/>
    <d v="1933-07-17T00:00:00"/>
    <s v="33071781183"/>
    <n v="8"/>
    <x v="1"/>
  </r>
  <r>
    <x v="298"/>
    <x v="1"/>
    <x v="298"/>
    <n v="1"/>
    <n v="11"/>
    <n v="11"/>
    <x v="14"/>
    <n v="23"/>
    <d v="1973-11-23T00:00:00"/>
    <s v="73112338424"/>
    <n v="2"/>
    <x v="1"/>
  </r>
  <r>
    <x v="299"/>
    <x v="3"/>
    <x v="299"/>
    <n v="1"/>
    <n v="4"/>
    <n v="4"/>
    <x v="14"/>
    <n v="30"/>
    <d v="1973-04-30T00:00:00"/>
    <s v="73043098635"/>
    <n v="3"/>
    <x v="0"/>
  </r>
  <r>
    <x v="300"/>
    <x v="1"/>
    <x v="300"/>
    <n v="1"/>
    <n v="12"/>
    <n v="12"/>
    <x v="18"/>
    <n v="1"/>
    <d v="1963-12-01T00:00:00"/>
    <s v="63120197421"/>
    <n v="2"/>
    <x v="1"/>
  </r>
  <r>
    <x v="301"/>
    <x v="3"/>
    <x v="301"/>
    <n v="2"/>
    <n v="10"/>
    <n v="10"/>
    <x v="44"/>
    <n v="22"/>
    <d v="1925-10-22T00:00:00"/>
    <s v="25102265353"/>
    <n v="5"/>
    <x v="0"/>
  </r>
  <r>
    <x v="302"/>
    <x v="1"/>
    <x v="302"/>
    <n v="1"/>
    <n v="29"/>
    <n v="9"/>
    <x v="69"/>
    <n v="14"/>
    <d v="2003-09-14T00:00:00"/>
    <s v="03291445574"/>
    <n v="7"/>
    <x v="0"/>
  </r>
  <r>
    <x v="303"/>
    <x v="2"/>
    <x v="303"/>
    <n v="1"/>
    <n v="22"/>
    <n v="2"/>
    <x v="59"/>
    <n v="6"/>
    <d v="2001-02-06T00:00:00"/>
    <s v="01220679359"/>
    <n v="5"/>
    <x v="0"/>
  </r>
  <r>
    <x v="304"/>
    <x v="1"/>
    <x v="304"/>
    <n v="1"/>
    <n v="5"/>
    <n v="5"/>
    <x v="45"/>
    <n v="4"/>
    <d v="1940-05-04T00:00:00"/>
    <s v="40050435676"/>
    <n v="7"/>
    <x v="0"/>
  </r>
  <r>
    <x v="305"/>
    <x v="1"/>
    <x v="305"/>
    <n v="1"/>
    <n v="9"/>
    <n v="9"/>
    <x v="37"/>
    <n v="4"/>
    <d v="1926-09-04T00:00:00"/>
    <s v="26090492884"/>
    <n v="8"/>
    <x v="1"/>
  </r>
  <r>
    <x v="306"/>
    <x v="2"/>
    <x v="306"/>
    <n v="1"/>
    <n v="1"/>
    <n v="1"/>
    <x v="56"/>
    <n v="23"/>
    <d v="1995-01-23T00:00:00"/>
    <s v="95012392586"/>
    <n v="8"/>
    <x v="1"/>
  </r>
  <r>
    <x v="307"/>
    <x v="1"/>
    <x v="307"/>
    <n v="1"/>
    <n v="4"/>
    <n v="4"/>
    <x v="14"/>
    <n v="7"/>
    <d v="1973-04-07T00:00:00"/>
    <s v="73040792617"/>
    <n v="1"/>
    <x v="0"/>
  </r>
  <r>
    <x v="308"/>
    <x v="0"/>
    <x v="308"/>
    <n v="2"/>
    <n v="26"/>
    <n v="6"/>
    <x v="49"/>
    <n v="5"/>
    <d v="2002-06-05T00:00:00"/>
    <s v="02260568212"/>
    <n v="1"/>
    <x v="0"/>
  </r>
  <r>
    <x v="309"/>
    <x v="1"/>
    <x v="309"/>
    <n v="1"/>
    <n v="9"/>
    <n v="9"/>
    <x v="43"/>
    <n v="3"/>
    <d v="1939-09-03T00:00:00"/>
    <s v="39090352748"/>
    <n v="4"/>
    <x v="1"/>
  </r>
  <r>
    <x v="310"/>
    <x v="1"/>
    <x v="310"/>
    <n v="1"/>
    <n v="1"/>
    <n v="1"/>
    <x v="68"/>
    <n v="12"/>
    <d v="1971-01-12T00:00:00"/>
    <s v="71011284668"/>
    <n v="6"/>
    <x v="1"/>
  </r>
  <r>
    <x v="311"/>
    <x v="0"/>
    <x v="311"/>
    <n v="2"/>
    <n v="25"/>
    <n v="5"/>
    <x v="54"/>
    <n v="13"/>
    <d v="2000-05-13T00:00:00"/>
    <s v="00251358325"/>
    <n v="2"/>
    <x v="1"/>
  </r>
  <r>
    <x v="312"/>
    <x v="3"/>
    <x v="312"/>
    <n v="1"/>
    <n v="1"/>
    <n v="1"/>
    <x v="10"/>
    <n v="26"/>
    <d v="1921-01-26T00:00:00"/>
    <s v="21012655389"/>
    <n v="8"/>
    <x v="1"/>
  </r>
  <r>
    <x v="313"/>
    <x v="1"/>
    <x v="313"/>
    <n v="1"/>
    <n v="5"/>
    <n v="5"/>
    <x v="50"/>
    <n v="8"/>
    <d v="1956-05-08T00:00:00"/>
    <s v="56050856955"/>
    <n v="5"/>
    <x v="0"/>
  </r>
  <r>
    <x v="314"/>
    <x v="3"/>
    <x v="314"/>
    <n v="2"/>
    <n v="10"/>
    <n v="10"/>
    <x v="36"/>
    <n v="2"/>
    <d v="1954-10-02T00:00:00"/>
    <s v="54100245953"/>
    <n v="5"/>
    <x v="0"/>
  </r>
  <r>
    <x v="315"/>
    <x v="3"/>
    <x v="315"/>
    <n v="2"/>
    <n v="11"/>
    <n v="11"/>
    <x v="86"/>
    <n v="20"/>
    <d v="1984-11-20T00:00:00"/>
    <s v="84112018447"/>
    <n v="4"/>
    <x v="1"/>
  </r>
  <r>
    <x v="316"/>
    <x v="1"/>
    <x v="316"/>
    <n v="1"/>
    <n v="10"/>
    <n v="10"/>
    <x v="4"/>
    <n v="10"/>
    <d v="1972-10-10T00:00:00"/>
    <s v="72101068197"/>
    <n v="9"/>
    <x v="0"/>
  </r>
  <r>
    <x v="317"/>
    <x v="1"/>
    <x v="317"/>
    <n v="1"/>
    <n v="31"/>
    <n v="11"/>
    <x v="54"/>
    <n v="13"/>
    <d v="2000-11-13T00:00:00"/>
    <s v="00311313587"/>
    <n v="8"/>
    <x v="1"/>
  </r>
  <r>
    <x v="318"/>
    <x v="1"/>
    <x v="318"/>
    <n v="1"/>
    <n v="4"/>
    <n v="4"/>
    <x v="79"/>
    <n v="10"/>
    <d v="1955-04-10T00:00:00"/>
    <s v="55041048188"/>
    <n v="8"/>
    <x v="1"/>
  </r>
  <r>
    <x v="319"/>
    <x v="2"/>
    <x v="319"/>
    <n v="2"/>
    <n v="10"/>
    <n v="10"/>
    <x v="20"/>
    <n v="13"/>
    <d v="1980-10-13T00:00:00"/>
    <s v="80101362548"/>
    <n v="4"/>
    <x v="1"/>
  </r>
  <r>
    <x v="320"/>
    <x v="2"/>
    <x v="320"/>
    <n v="2"/>
    <n v="26"/>
    <n v="6"/>
    <x v="54"/>
    <n v="7"/>
    <d v="2000-06-07T00:00:00"/>
    <s v="00260733249"/>
    <n v="4"/>
    <x v="1"/>
  </r>
  <r>
    <x v="321"/>
    <x v="0"/>
    <x v="321"/>
    <n v="2"/>
    <n v="9"/>
    <n v="9"/>
    <x v="61"/>
    <n v="28"/>
    <d v="1928-09-28T00:00:00"/>
    <s v="28092893533"/>
    <n v="3"/>
    <x v="0"/>
  </r>
  <r>
    <x v="322"/>
    <x v="1"/>
    <x v="322"/>
    <n v="1"/>
    <n v="1"/>
    <n v="1"/>
    <x v="33"/>
    <n v="8"/>
    <d v="1960-01-08T00:00:00"/>
    <s v="60010859593"/>
    <n v="9"/>
    <x v="0"/>
  </r>
  <r>
    <x v="323"/>
    <x v="2"/>
    <x v="323"/>
    <n v="2"/>
    <n v="11"/>
    <n v="11"/>
    <x v="85"/>
    <n v="15"/>
    <d v="1941-11-15T00:00:00"/>
    <s v="41111587989"/>
    <n v="8"/>
    <x v="1"/>
  </r>
  <r>
    <x v="324"/>
    <x v="2"/>
    <x v="324"/>
    <n v="1"/>
    <n v="2"/>
    <n v="2"/>
    <x v="43"/>
    <n v="18"/>
    <d v="1939-02-18T00:00:00"/>
    <s v="39021872574"/>
    <n v="7"/>
    <x v="0"/>
  </r>
  <r>
    <x v="325"/>
    <x v="1"/>
    <x v="325"/>
    <n v="1"/>
    <n v="2"/>
    <n v="2"/>
    <x v="68"/>
    <n v="27"/>
    <d v="1971-02-27T00:00:00"/>
    <s v="71022752822"/>
    <n v="2"/>
    <x v="1"/>
  </r>
  <r>
    <x v="326"/>
    <x v="2"/>
    <x v="326"/>
    <n v="2"/>
    <n v="3"/>
    <n v="3"/>
    <x v="82"/>
    <n v="21"/>
    <d v="1987-03-21T00:00:00"/>
    <s v="87032191885"/>
    <n v="8"/>
    <x v="1"/>
  </r>
  <r>
    <x v="327"/>
    <x v="0"/>
    <x v="327"/>
    <n v="1"/>
    <n v="21"/>
    <n v="1"/>
    <x v="69"/>
    <n v="7"/>
    <d v="2003-01-07T00:00:00"/>
    <s v="03210738523"/>
    <n v="2"/>
    <x v="1"/>
  </r>
  <r>
    <x v="328"/>
    <x v="1"/>
    <x v="328"/>
    <n v="1"/>
    <n v="8"/>
    <n v="8"/>
    <x v="33"/>
    <n v="15"/>
    <d v="1960-08-15T00:00:00"/>
    <s v="60081536575"/>
    <n v="7"/>
    <x v="0"/>
  </r>
  <r>
    <x v="329"/>
    <x v="0"/>
    <x v="329"/>
    <n v="2"/>
    <n v="12"/>
    <n v="12"/>
    <x v="68"/>
    <n v="20"/>
    <d v="1971-12-20T00:00:00"/>
    <s v="71122032516"/>
    <n v="1"/>
    <x v="0"/>
  </r>
  <r>
    <x v="330"/>
    <x v="2"/>
    <x v="330"/>
    <n v="2"/>
    <n v="26"/>
    <n v="6"/>
    <x v="54"/>
    <n v="1"/>
    <d v="2000-06-01T00:00:00"/>
    <s v="00260186788"/>
    <n v="8"/>
    <x v="1"/>
  </r>
  <r>
    <x v="331"/>
    <x v="3"/>
    <x v="331"/>
    <n v="2"/>
    <n v="9"/>
    <n v="9"/>
    <x v="33"/>
    <n v="11"/>
    <d v="1960-09-11T00:00:00"/>
    <s v="60091118475"/>
    <n v="7"/>
    <x v="0"/>
  </r>
  <r>
    <x v="332"/>
    <x v="1"/>
    <x v="332"/>
    <n v="1"/>
    <n v="6"/>
    <n v="6"/>
    <x v="51"/>
    <n v="11"/>
    <d v="1975-06-11T00:00:00"/>
    <s v="75061174364"/>
    <n v="6"/>
    <x v="1"/>
  </r>
  <r>
    <x v="333"/>
    <x v="1"/>
    <x v="333"/>
    <n v="1"/>
    <n v="2"/>
    <n v="2"/>
    <x v="62"/>
    <n v="4"/>
    <d v="1969-02-04T00:00:00"/>
    <s v="69020422395"/>
    <n v="9"/>
    <x v="0"/>
  </r>
  <r>
    <x v="334"/>
    <x v="1"/>
    <x v="334"/>
    <n v="1"/>
    <n v="3"/>
    <n v="3"/>
    <x v="47"/>
    <n v="3"/>
    <d v="1983-03-03T00:00:00"/>
    <s v="83030382645"/>
    <n v="4"/>
    <x v="1"/>
  </r>
  <r>
    <x v="335"/>
    <x v="0"/>
    <x v="335"/>
    <n v="2"/>
    <n v="8"/>
    <n v="8"/>
    <x v="43"/>
    <n v="14"/>
    <d v="1939-08-14T00:00:00"/>
    <s v="39081461356"/>
    <n v="5"/>
    <x v="0"/>
  </r>
  <r>
    <x v="336"/>
    <x v="0"/>
    <x v="336"/>
    <n v="2"/>
    <n v="21"/>
    <n v="1"/>
    <x v="54"/>
    <n v="3"/>
    <d v="2000-01-03T00:00:00"/>
    <s v="00210374584"/>
    <n v="8"/>
    <x v="1"/>
  </r>
  <r>
    <x v="337"/>
    <x v="1"/>
    <x v="337"/>
    <n v="1"/>
    <n v="6"/>
    <n v="6"/>
    <x v="61"/>
    <n v="5"/>
    <d v="1928-06-05T00:00:00"/>
    <s v="28060532327"/>
    <n v="2"/>
    <x v="1"/>
  </r>
  <r>
    <x v="338"/>
    <x v="1"/>
    <x v="338"/>
    <n v="1"/>
    <n v="2"/>
    <n v="2"/>
    <x v="78"/>
    <n v="9"/>
    <d v="1968-02-09T00:00:00"/>
    <s v="68020927398"/>
    <n v="9"/>
    <x v="0"/>
  </r>
  <r>
    <x v="339"/>
    <x v="3"/>
    <x v="339"/>
    <n v="1"/>
    <n v="7"/>
    <n v="7"/>
    <x v="67"/>
    <n v="12"/>
    <d v="1964-07-12T00:00:00"/>
    <s v="64071283528"/>
    <n v="2"/>
    <x v="1"/>
  </r>
  <r>
    <x v="340"/>
    <x v="3"/>
    <x v="340"/>
    <n v="1"/>
    <n v="5"/>
    <n v="5"/>
    <x v="87"/>
    <n v="20"/>
    <d v="1922-05-20T00:00:00"/>
    <s v="22052057724"/>
    <n v="2"/>
    <x v="1"/>
  </r>
  <r>
    <x v="341"/>
    <x v="1"/>
    <x v="341"/>
    <n v="1"/>
    <n v="2"/>
    <n v="2"/>
    <x v="31"/>
    <n v="28"/>
    <d v="1997-02-28T00:00:00"/>
    <s v="97022899972"/>
    <n v="7"/>
    <x v="0"/>
  </r>
  <r>
    <x v="342"/>
    <x v="1"/>
    <x v="342"/>
    <n v="1"/>
    <n v="7"/>
    <n v="7"/>
    <x v="88"/>
    <n v="11"/>
    <d v="1951-07-11T00:00:00"/>
    <s v="51071171359"/>
    <n v="5"/>
    <x v="0"/>
  </r>
  <r>
    <x v="343"/>
    <x v="0"/>
    <x v="343"/>
    <n v="1"/>
    <n v="7"/>
    <n v="7"/>
    <x v="41"/>
    <n v="27"/>
    <d v="1988-07-27T00:00:00"/>
    <s v="88072775381"/>
    <n v="8"/>
    <x v="1"/>
  </r>
  <r>
    <x v="344"/>
    <x v="0"/>
    <x v="344"/>
    <n v="1"/>
    <n v="10"/>
    <n v="10"/>
    <x v="55"/>
    <n v="13"/>
    <d v="1929-10-13T00:00:00"/>
    <s v="29101387319"/>
    <n v="1"/>
    <x v="0"/>
  </r>
  <r>
    <x v="345"/>
    <x v="0"/>
    <x v="345"/>
    <n v="2"/>
    <n v="10"/>
    <n v="10"/>
    <x v="40"/>
    <n v="23"/>
    <d v="1932-10-23T00:00:00"/>
    <s v="32102381695"/>
    <n v="9"/>
    <x v="0"/>
  </r>
  <r>
    <x v="346"/>
    <x v="0"/>
    <x v="346"/>
    <n v="2"/>
    <n v="1"/>
    <n v="1"/>
    <x v="5"/>
    <n v="14"/>
    <d v="1927-01-14T00:00:00"/>
    <s v="27011448364"/>
    <n v="6"/>
    <x v="1"/>
  </r>
  <r>
    <x v="347"/>
    <x v="1"/>
    <x v="347"/>
    <n v="1"/>
    <n v="12"/>
    <n v="12"/>
    <x v="4"/>
    <n v="4"/>
    <d v="1972-12-04T00:00:00"/>
    <s v="72120475358"/>
    <n v="5"/>
    <x v="0"/>
  </r>
  <r>
    <x v="348"/>
    <x v="0"/>
    <x v="348"/>
    <n v="2"/>
    <n v="9"/>
    <n v="9"/>
    <x v="85"/>
    <n v="3"/>
    <d v="1941-09-03T00:00:00"/>
    <s v="41090356844"/>
    <n v="4"/>
    <x v="1"/>
  </r>
  <r>
    <x v="349"/>
    <x v="2"/>
    <x v="349"/>
    <n v="1"/>
    <n v="12"/>
    <n v="12"/>
    <x v="9"/>
    <n v="7"/>
    <d v="1933-12-07T00:00:00"/>
    <s v="33120771547"/>
    <n v="4"/>
    <x v="1"/>
  </r>
  <r>
    <x v="350"/>
    <x v="2"/>
    <x v="350"/>
    <n v="1"/>
    <n v="3"/>
    <n v="3"/>
    <x v="34"/>
    <n v="14"/>
    <d v="1977-03-14T00:00:00"/>
    <s v="77031493347"/>
    <n v="4"/>
    <x v="1"/>
  </r>
  <r>
    <x v="351"/>
    <x v="1"/>
    <x v="351"/>
    <n v="1"/>
    <n v="2"/>
    <n v="2"/>
    <x v="60"/>
    <n v="28"/>
    <d v="1981-02-28T00:00:00"/>
    <s v="81022858718"/>
    <n v="1"/>
    <x v="0"/>
  </r>
  <r>
    <x v="352"/>
    <x v="2"/>
    <x v="352"/>
    <n v="2"/>
    <n v="2"/>
    <n v="2"/>
    <x v="27"/>
    <n v="14"/>
    <d v="1959-02-14T00:00:00"/>
    <s v="59021483349"/>
    <n v="4"/>
    <x v="1"/>
  </r>
  <r>
    <x v="353"/>
    <x v="3"/>
    <x v="353"/>
    <n v="2"/>
    <n v="7"/>
    <n v="7"/>
    <x v="67"/>
    <n v="16"/>
    <d v="1964-07-16T00:00:00"/>
    <s v="64071661153"/>
    <n v="5"/>
    <x v="0"/>
  </r>
  <r>
    <x v="354"/>
    <x v="3"/>
    <x v="354"/>
    <n v="2"/>
    <n v="5"/>
    <n v="5"/>
    <x v="64"/>
    <n v="13"/>
    <d v="1993-05-13T00:00:00"/>
    <s v="93051387442"/>
    <n v="4"/>
    <x v="1"/>
  </r>
  <r>
    <x v="355"/>
    <x v="1"/>
    <x v="355"/>
    <n v="1"/>
    <n v="8"/>
    <n v="8"/>
    <x v="17"/>
    <n v="5"/>
    <d v="1942-08-05T00:00:00"/>
    <s v="42080534747"/>
    <n v="4"/>
    <x v="1"/>
  </r>
  <r>
    <x v="356"/>
    <x v="2"/>
    <x v="356"/>
    <n v="1"/>
    <n v="9"/>
    <n v="9"/>
    <x v="47"/>
    <n v="25"/>
    <d v="1983-09-25T00:00:00"/>
    <s v="83092587754"/>
    <n v="5"/>
    <x v="0"/>
  </r>
  <r>
    <x v="357"/>
    <x v="3"/>
    <x v="357"/>
    <n v="2"/>
    <n v="26"/>
    <n v="6"/>
    <x v="42"/>
    <n v="25"/>
    <d v="2005-06-25T00:00:00"/>
    <s v="05262581579"/>
    <n v="7"/>
    <x v="0"/>
  </r>
  <r>
    <x v="358"/>
    <x v="3"/>
    <x v="358"/>
    <n v="2"/>
    <n v="10"/>
    <n v="10"/>
    <x v="22"/>
    <n v="17"/>
    <d v="1923-10-17T00:00:00"/>
    <s v="23101725346"/>
    <n v="4"/>
    <x v="1"/>
  </r>
  <r>
    <x v="359"/>
    <x v="1"/>
    <x v="359"/>
    <n v="1"/>
    <n v="21"/>
    <n v="1"/>
    <x v="23"/>
    <n v="24"/>
    <d v="2008-01-24T00:00:00"/>
    <s v="08212447312"/>
    <n v="1"/>
    <x v="0"/>
  </r>
  <r>
    <x v="360"/>
    <x v="0"/>
    <x v="360"/>
    <n v="2"/>
    <n v="26"/>
    <n v="6"/>
    <x v="59"/>
    <n v="28"/>
    <d v="2001-06-28T00:00:00"/>
    <s v="01262885453"/>
    <n v="5"/>
    <x v="0"/>
  </r>
  <r>
    <x v="361"/>
    <x v="1"/>
    <x v="361"/>
    <n v="1"/>
    <n v="6"/>
    <n v="6"/>
    <x v="2"/>
    <n v="30"/>
    <d v="1978-06-30T00:00:00"/>
    <s v="78063029274"/>
    <n v="7"/>
    <x v="0"/>
  </r>
  <r>
    <x v="362"/>
    <x v="2"/>
    <x v="362"/>
    <n v="1"/>
    <n v="2"/>
    <n v="2"/>
    <x v="86"/>
    <n v="9"/>
    <d v="1984-02-09T00:00:00"/>
    <s v="84020958541"/>
    <n v="4"/>
    <x v="1"/>
  </r>
  <r>
    <x v="363"/>
    <x v="2"/>
    <x v="363"/>
    <n v="2"/>
    <n v="5"/>
    <n v="5"/>
    <x v="83"/>
    <n v="16"/>
    <d v="1943-05-16T00:00:00"/>
    <s v="43051688715"/>
    <n v="1"/>
    <x v="0"/>
  </r>
  <r>
    <x v="364"/>
    <x v="0"/>
    <x v="364"/>
    <n v="1"/>
    <n v="2"/>
    <n v="2"/>
    <x v="22"/>
    <n v="17"/>
    <d v="1923-02-17T00:00:00"/>
    <s v="23021741866"/>
    <n v="6"/>
    <x v="1"/>
  </r>
  <r>
    <x v="365"/>
    <x v="1"/>
    <x v="365"/>
    <n v="1"/>
    <n v="5"/>
    <n v="5"/>
    <x v="64"/>
    <n v="21"/>
    <d v="1993-05-21T00:00:00"/>
    <s v="93052137947"/>
    <n v="4"/>
    <x v="1"/>
  </r>
  <r>
    <x v="366"/>
    <x v="3"/>
    <x v="366"/>
    <n v="2"/>
    <n v="3"/>
    <n v="3"/>
    <x v="40"/>
    <n v="29"/>
    <d v="1932-03-29T00:00:00"/>
    <s v="32032919984"/>
    <n v="8"/>
    <x v="1"/>
  </r>
  <r>
    <x v="367"/>
    <x v="1"/>
    <x v="367"/>
    <n v="1"/>
    <n v="4"/>
    <n v="4"/>
    <x v="29"/>
    <n v="28"/>
    <d v="1937-04-28T00:00:00"/>
    <s v="37042813178"/>
    <n v="7"/>
    <x v="0"/>
  </r>
  <r>
    <x v="368"/>
    <x v="2"/>
    <x v="368"/>
    <n v="1"/>
    <n v="2"/>
    <n v="2"/>
    <x v="40"/>
    <n v="22"/>
    <d v="1932-02-22T00:00:00"/>
    <s v="32022294723"/>
    <n v="2"/>
    <x v="1"/>
  </r>
  <r>
    <x v="369"/>
    <x v="1"/>
    <x v="369"/>
    <n v="1"/>
    <n v="7"/>
    <n v="7"/>
    <x v="47"/>
    <n v="14"/>
    <d v="1983-07-14T00:00:00"/>
    <s v="83071485952"/>
    <n v="5"/>
    <x v="0"/>
  </r>
  <r>
    <x v="370"/>
    <x v="1"/>
    <x v="370"/>
    <n v="1"/>
    <n v="9"/>
    <n v="9"/>
    <x v="76"/>
    <n v="23"/>
    <d v="1936-09-23T00:00:00"/>
    <s v="36092347815"/>
    <n v="1"/>
    <x v="0"/>
  </r>
  <r>
    <x v="371"/>
    <x v="0"/>
    <x v="371"/>
    <n v="2"/>
    <n v="1"/>
    <n v="1"/>
    <x v="40"/>
    <n v="18"/>
    <d v="1932-01-18T00:00:00"/>
    <s v="32011873759"/>
    <n v="5"/>
    <x v="0"/>
  </r>
  <r>
    <x v="372"/>
    <x v="2"/>
    <x v="372"/>
    <n v="2"/>
    <n v="5"/>
    <n v="5"/>
    <x v="70"/>
    <n v="7"/>
    <d v="1962-05-07T00:00:00"/>
    <s v="62050797655"/>
    <n v="5"/>
    <x v="0"/>
  </r>
  <r>
    <x v="373"/>
    <x v="2"/>
    <x v="373"/>
    <n v="1"/>
    <n v="7"/>
    <n v="7"/>
    <x v="37"/>
    <n v="10"/>
    <d v="1926-07-10T00:00:00"/>
    <s v="26071012872"/>
    <n v="7"/>
    <x v="0"/>
  </r>
  <r>
    <x v="374"/>
    <x v="2"/>
    <x v="374"/>
    <n v="2"/>
    <n v="3"/>
    <n v="3"/>
    <x v="40"/>
    <n v="13"/>
    <d v="1932-03-13T00:00:00"/>
    <s v="32031342886"/>
    <n v="8"/>
    <x v="1"/>
  </r>
  <r>
    <x v="375"/>
    <x v="0"/>
    <x v="375"/>
    <n v="2"/>
    <n v="8"/>
    <n v="8"/>
    <x v="53"/>
    <n v="13"/>
    <d v="1994-08-13T00:00:00"/>
    <s v="94081388276"/>
    <n v="7"/>
    <x v="0"/>
  </r>
  <r>
    <x v="376"/>
    <x v="2"/>
    <x v="376"/>
    <n v="1"/>
    <n v="4"/>
    <n v="4"/>
    <x v="28"/>
    <n v="27"/>
    <d v="1958-04-27T00:00:00"/>
    <s v="58042747827"/>
    <n v="2"/>
    <x v="1"/>
  </r>
  <r>
    <x v="377"/>
    <x v="3"/>
    <x v="377"/>
    <n v="2"/>
    <n v="3"/>
    <n v="3"/>
    <x v="25"/>
    <n v="4"/>
    <d v="1991-03-04T00:00:00"/>
    <s v="91030424825"/>
    <n v="2"/>
    <x v="1"/>
  </r>
  <r>
    <x v="378"/>
    <x v="1"/>
    <x v="378"/>
    <n v="1"/>
    <n v="10"/>
    <n v="10"/>
    <x v="53"/>
    <n v="12"/>
    <d v="1994-10-12T00:00:00"/>
    <s v="94101225839"/>
    <n v="3"/>
    <x v="0"/>
  </r>
  <r>
    <x v="379"/>
    <x v="0"/>
    <x v="379"/>
    <n v="1"/>
    <n v="6"/>
    <n v="6"/>
    <x v="5"/>
    <n v="15"/>
    <d v="1927-06-15T00:00:00"/>
    <s v="27061576592"/>
    <n v="9"/>
    <x v="0"/>
  </r>
  <r>
    <x v="380"/>
    <x v="3"/>
    <x v="380"/>
    <n v="2"/>
    <n v="8"/>
    <n v="8"/>
    <x v="62"/>
    <n v="22"/>
    <d v="1969-08-22T00:00:00"/>
    <s v="69082256695"/>
    <n v="9"/>
    <x v="0"/>
  </r>
  <r>
    <x v="381"/>
    <x v="1"/>
    <x v="381"/>
    <n v="1"/>
    <n v="9"/>
    <n v="9"/>
    <x v="48"/>
    <n v="15"/>
    <d v="1924-09-15T00:00:00"/>
    <s v="24091544555"/>
    <n v="5"/>
    <x v="0"/>
  </r>
  <r>
    <x v="382"/>
    <x v="0"/>
    <x v="382"/>
    <n v="2"/>
    <n v="8"/>
    <n v="8"/>
    <x v="40"/>
    <n v="6"/>
    <d v="1932-08-06T00:00:00"/>
    <s v="32080613144"/>
    <n v="4"/>
    <x v="1"/>
  </r>
  <r>
    <x v="383"/>
    <x v="1"/>
    <x v="383"/>
    <n v="1"/>
    <n v="10"/>
    <n v="10"/>
    <x v="80"/>
    <n v="11"/>
    <d v="1952-10-11T00:00:00"/>
    <s v="52101126932"/>
    <n v="3"/>
    <x v="0"/>
  </r>
  <r>
    <x v="384"/>
    <x v="0"/>
    <x v="384"/>
    <n v="2"/>
    <n v="3"/>
    <n v="3"/>
    <x v="33"/>
    <n v="2"/>
    <d v="1960-03-02T00:00:00"/>
    <s v="60030287422"/>
    <n v="2"/>
    <x v="1"/>
  </r>
  <r>
    <x v="385"/>
    <x v="0"/>
    <x v="385"/>
    <n v="2"/>
    <n v="29"/>
    <n v="9"/>
    <x v="59"/>
    <n v="4"/>
    <d v="2001-09-04T00:00:00"/>
    <s v="01290493581"/>
    <n v="8"/>
    <x v="1"/>
  </r>
  <r>
    <x v="386"/>
    <x v="1"/>
    <x v="386"/>
    <n v="1"/>
    <n v="9"/>
    <n v="9"/>
    <x v="68"/>
    <n v="21"/>
    <d v="1971-09-21T00:00:00"/>
    <s v="71092135527"/>
    <n v="2"/>
    <x v="1"/>
  </r>
  <r>
    <x v="387"/>
    <x v="0"/>
    <x v="387"/>
    <n v="1"/>
    <n v="1"/>
    <n v="1"/>
    <x v="4"/>
    <n v="11"/>
    <d v="1972-01-11T00:00:00"/>
    <s v="72011163265"/>
    <n v="6"/>
    <x v="1"/>
  </r>
  <r>
    <x v="388"/>
    <x v="0"/>
    <x v="388"/>
    <n v="1"/>
    <n v="2"/>
    <n v="2"/>
    <x v="50"/>
    <n v="25"/>
    <d v="1956-02-25T00:00:00"/>
    <s v="56022547346"/>
    <n v="4"/>
    <x v="1"/>
  </r>
  <r>
    <x v="389"/>
    <x v="1"/>
    <x v="389"/>
    <n v="1"/>
    <n v="12"/>
    <n v="12"/>
    <x v="2"/>
    <n v="17"/>
    <d v="1978-12-17T00:00:00"/>
    <s v="78121792643"/>
    <n v="4"/>
    <x v="1"/>
  </r>
  <r>
    <x v="390"/>
    <x v="1"/>
    <x v="390"/>
    <n v="1"/>
    <n v="10"/>
    <n v="10"/>
    <x v="72"/>
    <n v="3"/>
    <d v="1961-10-03T00:00:00"/>
    <s v="61100364182"/>
    <n v="8"/>
    <x v="1"/>
  </r>
  <r>
    <x v="391"/>
    <x v="2"/>
    <x v="391"/>
    <n v="2"/>
    <n v="3"/>
    <n v="3"/>
    <x v="72"/>
    <n v="18"/>
    <d v="1961-03-18T00:00:00"/>
    <s v="61031888674"/>
    <n v="7"/>
    <x v="0"/>
  </r>
  <r>
    <x v="392"/>
    <x v="0"/>
    <x v="392"/>
    <n v="1"/>
    <n v="7"/>
    <n v="7"/>
    <x v="76"/>
    <n v="3"/>
    <d v="1936-07-03T00:00:00"/>
    <s v="36070317939"/>
    <n v="3"/>
    <x v="0"/>
  </r>
  <r>
    <x v="393"/>
    <x v="0"/>
    <x v="393"/>
    <n v="1"/>
    <n v="11"/>
    <n v="11"/>
    <x v="81"/>
    <n v="5"/>
    <d v="1966-11-05T00:00:00"/>
    <s v="66110573429"/>
    <n v="2"/>
    <x v="1"/>
  </r>
  <r>
    <x v="394"/>
    <x v="1"/>
    <x v="394"/>
    <n v="1"/>
    <n v="7"/>
    <n v="7"/>
    <x v="31"/>
    <n v="10"/>
    <d v="1997-07-10T00:00:00"/>
    <s v="97071094113"/>
    <n v="1"/>
    <x v="0"/>
  </r>
  <r>
    <x v="395"/>
    <x v="2"/>
    <x v="395"/>
    <n v="2"/>
    <n v="8"/>
    <n v="8"/>
    <x v="84"/>
    <n v="8"/>
    <d v="1982-08-08T00:00:00"/>
    <s v="82080826231"/>
    <n v="3"/>
    <x v="0"/>
  </r>
  <r>
    <x v="396"/>
    <x v="2"/>
    <x v="396"/>
    <n v="1"/>
    <n v="3"/>
    <n v="3"/>
    <x v="44"/>
    <n v="27"/>
    <d v="1925-03-27T00:00:00"/>
    <s v="25032732974"/>
    <n v="7"/>
    <x v="0"/>
  </r>
  <r>
    <x v="397"/>
    <x v="2"/>
    <x v="397"/>
    <n v="1"/>
    <n v="2"/>
    <n v="2"/>
    <x v="52"/>
    <n v="8"/>
    <d v="1957-02-08T00:00:00"/>
    <s v="57020814955"/>
    <n v="5"/>
    <x v="0"/>
  </r>
  <r>
    <x v="398"/>
    <x v="0"/>
    <x v="398"/>
    <n v="2"/>
    <n v="10"/>
    <n v="10"/>
    <x v="17"/>
    <n v="13"/>
    <d v="1942-10-13T00:00:00"/>
    <s v="42101332691"/>
    <n v="9"/>
    <x v="0"/>
  </r>
  <r>
    <x v="399"/>
    <x v="0"/>
    <x v="399"/>
    <n v="1"/>
    <n v="6"/>
    <n v="6"/>
    <x v="50"/>
    <n v="20"/>
    <d v="1956-06-20T00:00:00"/>
    <s v="56062075915"/>
    <n v="1"/>
    <x v="0"/>
  </r>
  <r>
    <x v="400"/>
    <x v="1"/>
    <x v="400"/>
    <n v="1"/>
    <n v="11"/>
    <n v="11"/>
    <x v="56"/>
    <n v="28"/>
    <d v="1995-11-28T00:00:00"/>
    <s v="95112846514"/>
    <n v="1"/>
    <x v="0"/>
  </r>
  <r>
    <x v="401"/>
    <x v="1"/>
    <x v="401"/>
    <n v="1"/>
    <n v="6"/>
    <n v="6"/>
    <x v="13"/>
    <n v="13"/>
    <d v="1934-06-13T00:00:00"/>
    <s v="34061334585"/>
    <n v="8"/>
    <x v="1"/>
  </r>
  <r>
    <x v="402"/>
    <x v="0"/>
    <x v="402"/>
    <n v="2"/>
    <n v="2"/>
    <n v="2"/>
    <x v="36"/>
    <n v="26"/>
    <d v="1954-02-26T00:00:00"/>
    <s v="54022648838"/>
    <n v="3"/>
    <x v="0"/>
  </r>
  <r>
    <x v="403"/>
    <x v="1"/>
    <x v="403"/>
    <n v="1"/>
    <n v="11"/>
    <n v="11"/>
    <x v="86"/>
    <n v="2"/>
    <d v="1984-11-02T00:00:00"/>
    <s v="84110223373"/>
    <n v="7"/>
    <x v="0"/>
  </r>
  <r>
    <x v="404"/>
    <x v="0"/>
    <x v="404"/>
    <n v="1"/>
    <n v="4"/>
    <n v="4"/>
    <x v="80"/>
    <n v="18"/>
    <d v="1952-04-18T00:00:00"/>
    <s v="52041838456"/>
    <n v="5"/>
    <x v="0"/>
  </r>
  <r>
    <x v="405"/>
    <x v="1"/>
    <x v="405"/>
    <n v="1"/>
    <n v="3"/>
    <n v="3"/>
    <x v="86"/>
    <n v="13"/>
    <d v="1984-03-13T00:00:00"/>
    <s v="84031322513"/>
    <n v="1"/>
    <x v="0"/>
  </r>
  <r>
    <x v="406"/>
    <x v="2"/>
    <x v="406"/>
    <n v="1"/>
    <n v="3"/>
    <n v="3"/>
    <x v="40"/>
    <n v="21"/>
    <d v="1932-03-21T00:00:00"/>
    <s v="32032162719"/>
    <n v="1"/>
    <x v="0"/>
  </r>
  <r>
    <x v="407"/>
    <x v="0"/>
    <x v="407"/>
    <n v="1"/>
    <n v="7"/>
    <n v="7"/>
    <x v="31"/>
    <n v="13"/>
    <d v="1997-07-13T00:00:00"/>
    <s v="97071355946"/>
    <n v="4"/>
    <x v="1"/>
  </r>
  <r>
    <x v="408"/>
    <x v="2"/>
    <x v="408"/>
    <n v="2"/>
    <n v="3"/>
    <n v="3"/>
    <x v="78"/>
    <n v="12"/>
    <d v="1968-03-12T00:00:00"/>
    <s v="68031278319"/>
    <n v="1"/>
    <x v="0"/>
  </r>
  <r>
    <x v="409"/>
    <x v="2"/>
    <x v="409"/>
    <n v="1"/>
    <n v="9"/>
    <n v="9"/>
    <x v="89"/>
    <n v="13"/>
    <d v="1974-09-13T00:00:00"/>
    <s v="74091385948"/>
    <n v="4"/>
    <x v="1"/>
  </r>
  <r>
    <x v="410"/>
    <x v="1"/>
    <x v="410"/>
    <n v="1"/>
    <n v="3"/>
    <n v="3"/>
    <x v="63"/>
    <n v="18"/>
    <d v="1998-03-18T00:00:00"/>
    <s v="98031871755"/>
    <n v="5"/>
    <x v="0"/>
  </r>
  <r>
    <x v="411"/>
    <x v="1"/>
    <x v="411"/>
    <n v="1"/>
    <n v="3"/>
    <n v="3"/>
    <x v="77"/>
    <n v="31"/>
    <d v="1920-03-31T00:00:00"/>
    <s v="20033117319"/>
    <n v="1"/>
    <x v="0"/>
  </r>
  <r>
    <x v="412"/>
    <x v="2"/>
    <x v="412"/>
    <n v="2"/>
    <n v="6"/>
    <n v="6"/>
    <x v="72"/>
    <n v="17"/>
    <d v="1961-06-17T00:00:00"/>
    <s v="61061737391"/>
    <n v="9"/>
    <x v="0"/>
  </r>
  <r>
    <x v="413"/>
    <x v="2"/>
    <x v="413"/>
    <n v="1"/>
    <n v="5"/>
    <n v="5"/>
    <x v="85"/>
    <n v="21"/>
    <d v="1941-05-21T00:00:00"/>
    <s v="41052166915"/>
    <n v="1"/>
    <x v="0"/>
  </r>
  <r>
    <x v="414"/>
    <x v="2"/>
    <x v="414"/>
    <n v="2"/>
    <n v="12"/>
    <n v="12"/>
    <x v="24"/>
    <n v="6"/>
    <d v="1930-12-06T00:00:00"/>
    <s v="30120672731"/>
    <n v="3"/>
    <x v="0"/>
  </r>
  <r>
    <x v="415"/>
    <x v="0"/>
    <x v="415"/>
    <n v="2"/>
    <n v="3"/>
    <n v="3"/>
    <x v="29"/>
    <n v="7"/>
    <d v="1937-03-07T00:00:00"/>
    <s v="37030758148"/>
    <n v="4"/>
    <x v="1"/>
  </r>
  <r>
    <x v="416"/>
    <x v="1"/>
    <x v="416"/>
    <n v="1"/>
    <n v="12"/>
    <n v="12"/>
    <x v="14"/>
    <n v="9"/>
    <d v="1973-12-09T00:00:00"/>
    <s v="73120916124"/>
    <n v="2"/>
    <x v="1"/>
  </r>
  <r>
    <x v="417"/>
    <x v="0"/>
    <x v="417"/>
    <n v="1"/>
    <n v="5"/>
    <n v="5"/>
    <x v="31"/>
    <n v="7"/>
    <d v="1997-05-07T00:00:00"/>
    <s v="97050796267"/>
    <n v="6"/>
    <x v="1"/>
  </r>
  <r>
    <x v="418"/>
    <x v="3"/>
    <x v="418"/>
    <n v="2"/>
    <n v="31"/>
    <n v="11"/>
    <x v="49"/>
    <n v="9"/>
    <d v="2002-11-09T00:00:00"/>
    <s v="02310988788"/>
    <n v="8"/>
    <x v="1"/>
  </r>
  <r>
    <x v="419"/>
    <x v="1"/>
    <x v="419"/>
    <n v="1"/>
    <n v="7"/>
    <n v="7"/>
    <x v="33"/>
    <n v="25"/>
    <d v="1960-07-25T00:00:00"/>
    <s v="60072586165"/>
    <n v="6"/>
    <x v="1"/>
  </r>
  <r>
    <x v="420"/>
    <x v="0"/>
    <x v="420"/>
    <n v="2"/>
    <n v="8"/>
    <n v="8"/>
    <x v="77"/>
    <n v="30"/>
    <d v="1920-08-30T00:00:00"/>
    <s v="20083041532"/>
    <n v="3"/>
    <x v="0"/>
  </r>
  <r>
    <x v="421"/>
    <x v="1"/>
    <x v="421"/>
    <n v="1"/>
    <n v="2"/>
    <n v="2"/>
    <x v="60"/>
    <n v="3"/>
    <d v="1981-02-03T00:00:00"/>
    <s v="81020398779"/>
    <n v="7"/>
    <x v="0"/>
  </r>
  <r>
    <x v="422"/>
    <x v="2"/>
    <x v="422"/>
    <n v="1"/>
    <n v="3"/>
    <n v="3"/>
    <x v="78"/>
    <n v="11"/>
    <d v="1968-03-11T00:00:00"/>
    <s v="68031128232"/>
    <n v="3"/>
    <x v="0"/>
  </r>
  <r>
    <x v="423"/>
    <x v="1"/>
    <x v="423"/>
    <n v="1"/>
    <n v="1"/>
    <n v="1"/>
    <x v="37"/>
    <n v="9"/>
    <d v="1926-01-09T00:00:00"/>
    <s v="26010923799"/>
    <n v="9"/>
    <x v="0"/>
  </r>
  <r>
    <x v="424"/>
    <x v="1"/>
    <x v="424"/>
    <n v="1"/>
    <n v="10"/>
    <n v="10"/>
    <x v="43"/>
    <n v="4"/>
    <d v="1939-10-04T00:00:00"/>
    <s v="39100436174"/>
    <n v="7"/>
    <x v="0"/>
  </r>
  <r>
    <x v="425"/>
    <x v="2"/>
    <x v="425"/>
    <n v="1"/>
    <n v="10"/>
    <n v="10"/>
    <x v="35"/>
    <n v="1"/>
    <d v="1935-10-01T00:00:00"/>
    <s v="35100161414"/>
    <n v="1"/>
    <x v="0"/>
  </r>
  <r>
    <x v="426"/>
    <x v="1"/>
    <x v="426"/>
    <n v="1"/>
    <n v="31"/>
    <n v="11"/>
    <x v="54"/>
    <n v="30"/>
    <d v="2000-11-30T00:00:00"/>
    <s v="00313097537"/>
    <n v="3"/>
    <x v="0"/>
  </r>
  <r>
    <x v="427"/>
    <x v="0"/>
    <x v="427"/>
    <n v="1"/>
    <n v="2"/>
    <n v="2"/>
    <x v="22"/>
    <n v="1"/>
    <d v="1923-02-01T00:00:00"/>
    <s v="23020138968"/>
    <n v="6"/>
    <x v="1"/>
  </r>
  <r>
    <x v="428"/>
    <x v="1"/>
    <x v="428"/>
    <n v="1"/>
    <n v="2"/>
    <n v="2"/>
    <x v="15"/>
    <n v="6"/>
    <d v="1953-02-06T00:00:00"/>
    <s v="53020684558"/>
    <n v="5"/>
    <x v="0"/>
  </r>
  <r>
    <x v="429"/>
    <x v="1"/>
    <x v="429"/>
    <n v="1"/>
    <n v="30"/>
    <n v="10"/>
    <x v="54"/>
    <n v="21"/>
    <d v="2000-10-21T00:00:00"/>
    <s v="00302153828"/>
    <n v="2"/>
    <x v="1"/>
  </r>
  <r>
    <x v="430"/>
    <x v="2"/>
    <x v="430"/>
    <n v="2"/>
    <n v="5"/>
    <n v="5"/>
    <x v="14"/>
    <n v="5"/>
    <d v="1973-05-05T00:00:00"/>
    <s v="73050542985"/>
    <n v="8"/>
    <x v="1"/>
  </r>
  <r>
    <x v="431"/>
    <x v="1"/>
    <x v="431"/>
    <n v="1"/>
    <n v="8"/>
    <n v="8"/>
    <x v="64"/>
    <n v="3"/>
    <d v="1993-08-03T00:00:00"/>
    <s v="93080389561"/>
    <n v="6"/>
    <x v="1"/>
  </r>
  <r>
    <x v="432"/>
    <x v="2"/>
    <x v="432"/>
    <n v="2"/>
    <n v="11"/>
    <n v="11"/>
    <x v="28"/>
    <n v="7"/>
    <d v="1958-11-07T00:00:00"/>
    <s v="58110789311"/>
    <n v="1"/>
    <x v="0"/>
  </r>
  <r>
    <x v="433"/>
    <x v="0"/>
    <x v="433"/>
    <n v="1"/>
    <n v="8"/>
    <n v="8"/>
    <x v="15"/>
    <n v="30"/>
    <d v="1953-08-30T00:00:00"/>
    <s v="53083029181"/>
    <n v="8"/>
    <x v="1"/>
  </r>
  <r>
    <x v="434"/>
    <x v="1"/>
    <x v="434"/>
    <n v="1"/>
    <n v="6"/>
    <n v="6"/>
    <x v="12"/>
    <n v="5"/>
    <d v="1947-06-05T00:00:00"/>
    <s v="47060575491"/>
    <n v="9"/>
    <x v="0"/>
  </r>
  <r>
    <x v="435"/>
    <x v="0"/>
    <x v="435"/>
    <n v="1"/>
    <n v="3"/>
    <n v="3"/>
    <x v="60"/>
    <n v="7"/>
    <d v="1981-03-07T00:00:00"/>
    <s v="81030767242"/>
    <n v="4"/>
    <x v="1"/>
  </r>
  <r>
    <x v="436"/>
    <x v="2"/>
    <x v="436"/>
    <n v="1"/>
    <n v="2"/>
    <n v="2"/>
    <x v="22"/>
    <n v="13"/>
    <d v="1923-02-13T00:00:00"/>
    <s v="23021398945"/>
    <n v="4"/>
    <x v="1"/>
  </r>
  <r>
    <x v="437"/>
    <x v="3"/>
    <x v="437"/>
    <n v="1"/>
    <n v="6"/>
    <n v="6"/>
    <x v="18"/>
    <n v="25"/>
    <d v="1963-06-25T00:00:00"/>
    <s v="63062527298"/>
    <n v="9"/>
    <x v="0"/>
  </r>
  <r>
    <x v="438"/>
    <x v="1"/>
    <x v="438"/>
    <n v="1"/>
    <n v="3"/>
    <n v="3"/>
    <x v="38"/>
    <n v="18"/>
    <d v="1986-03-18T00:00:00"/>
    <s v="86031882961"/>
    <n v="6"/>
    <x v="1"/>
  </r>
  <r>
    <x v="439"/>
    <x v="2"/>
    <x v="439"/>
    <n v="2"/>
    <n v="9"/>
    <n v="9"/>
    <x v="57"/>
    <n v="12"/>
    <d v="1999-09-12T00:00:00"/>
    <s v="99091228246"/>
    <n v="4"/>
    <x v="1"/>
  </r>
  <r>
    <x v="440"/>
    <x v="1"/>
    <x v="440"/>
    <n v="1"/>
    <n v="24"/>
    <n v="4"/>
    <x v="42"/>
    <n v="6"/>
    <d v="2005-04-06T00:00:00"/>
    <s v="05240635872"/>
    <n v="7"/>
    <x v="0"/>
  </r>
  <r>
    <x v="441"/>
    <x v="0"/>
    <x v="441"/>
    <n v="2"/>
    <n v="5"/>
    <n v="5"/>
    <x v="68"/>
    <n v="10"/>
    <d v="1971-05-10T00:00:00"/>
    <s v="71051041144"/>
    <n v="4"/>
    <x v="1"/>
  </r>
  <r>
    <x v="442"/>
    <x v="1"/>
    <x v="442"/>
    <n v="1"/>
    <n v="3"/>
    <n v="3"/>
    <x v="3"/>
    <n v="2"/>
    <d v="1970-03-02T00:00:00"/>
    <s v="70030269571"/>
    <n v="7"/>
    <x v="0"/>
  </r>
  <r>
    <x v="443"/>
    <x v="2"/>
    <x v="443"/>
    <n v="1"/>
    <n v="1"/>
    <n v="1"/>
    <x v="47"/>
    <n v="13"/>
    <d v="1983-01-13T00:00:00"/>
    <s v="83011367542"/>
    <n v="4"/>
    <x v="1"/>
  </r>
  <r>
    <x v="444"/>
    <x v="3"/>
    <x v="444"/>
    <n v="1"/>
    <n v="9"/>
    <n v="9"/>
    <x v="82"/>
    <n v="8"/>
    <d v="1987-09-08T00:00:00"/>
    <s v="87090814478"/>
    <n v="7"/>
    <x v="0"/>
  </r>
  <r>
    <x v="445"/>
    <x v="1"/>
    <x v="445"/>
    <n v="1"/>
    <n v="7"/>
    <n v="7"/>
    <x v="36"/>
    <n v="26"/>
    <d v="1954-07-26T00:00:00"/>
    <s v="54072686543"/>
    <n v="4"/>
    <x v="1"/>
  </r>
  <r>
    <x v="446"/>
    <x v="1"/>
    <x v="446"/>
    <n v="1"/>
    <n v="11"/>
    <n v="11"/>
    <x v="3"/>
    <n v="1"/>
    <d v="1970-11-01T00:00:00"/>
    <s v="70110136542"/>
    <n v="4"/>
    <x v="1"/>
  </r>
  <r>
    <x v="447"/>
    <x v="2"/>
    <x v="447"/>
    <n v="2"/>
    <n v="10"/>
    <n v="10"/>
    <x v="31"/>
    <n v="1"/>
    <d v="1997-10-01T00:00:00"/>
    <s v="97100169892"/>
    <n v="9"/>
    <x v="0"/>
  </r>
  <r>
    <x v="448"/>
    <x v="2"/>
    <x v="448"/>
    <n v="2"/>
    <n v="3"/>
    <n v="3"/>
    <x v="71"/>
    <n v="18"/>
    <d v="1965-03-18T00:00:00"/>
    <s v="65031884531"/>
    <n v="3"/>
    <x v="0"/>
  </r>
  <r>
    <x v="449"/>
    <x v="0"/>
    <x v="449"/>
    <n v="1"/>
    <n v="12"/>
    <n v="12"/>
    <x v="14"/>
    <n v="29"/>
    <d v="1973-12-29T00:00:00"/>
    <s v="73122951518"/>
    <n v="1"/>
    <x v="0"/>
  </r>
  <r>
    <x v="450"/>
    <x v="1"/>
    <x v="450"/>
    <n v="1"/>
    <n v="11"/>
    <n v="11"/>
    <x v="79"/>
    <n v="18"/>
    <d v="1955-11-18T00:00:00"/>
    <s v="55111826315"/>
    <n v="1"/>
    <x v="0"/>
  </r>
  <r>
    <x v="451"/>
    <x v="1"/>
    <x v="451"/>
    <n v="1"/>
    <n v="4"/>
    <n v="4"/>
    <x v="40"/>
    <n v="12"/>
    <d v="1932-04-12T00:00:00"/>
    <s v="32041285373"/>
    <n v="7"/>
    <x v="0"/>
  </r>
  <r>
    <x v="452"/>
    <x v="2"/>
    <x v="452"/>
    <n v="2"/>
    <n v="11"/>
    <n v="11"/>
    <x v="17"/>
    <n v="28"/>
    <d v="1942-11-28T00:00:00"/>
    <s v="42112851493"/>
    <n v="9"/>
    <x v="0"/>
  </r>
  <r>
    <x v="453"/>
    <x v="0"/>
    <x v="453"/>
    <n v="2"/>
    <n v="26"/>
    <n v="6"/>
    <x v="42"/>
    <n v="17"/>
    <d v="2005-06-17T00:00:00"/>
    <s v="05261773597"/>
    <n v="9"/>
    <x v="0"/>
  </r>
  <r>
    <x v="454"/>
    <x v="2"/>
    <x v="454"/>
    <n v="2"/>
    <n v="8"/>
    <n v="8"/>
    <x v="62"/>
    <n v="14"/>
    <d v="1969-08-14T00:00:00"/>
    <s v="69081435648"/>
    <n v="4"/>
    <x v="1"/>
  </r>
  <r>
    <x v="455"/>
    <x v="0"/>
    <x v="455"/>
    <n v="2"/>
    <n v="28"/>
    <n v="8"/>
    <x v="49"/>
    <n v="6"/>
    <d v="2002-08-06T00:00:00"/>
    <s v="02280662345"/>
    <n v="4"/>
    <x v="1"/>
  </r>
  <r>
    <x v="456"/>
    <x v="1"/>
    <x v="456"/>
    <n v="1"/>
    <n v="2"/>
    <n v="2"/>
    <x v="86"/>
    <n v="26"/>
    <d v="1984-02-26T00:00:00"/>
    <s v="84022657936"/>
    <n v="3"/>
    <x v="0"/>
  </r>
  <r>
    <x v="457"/>
    <x v="0"/>
    <x v="457"/>
    <n v="2"/>
    <n v="10"/>
    <n v="10"/>
    <x v="30"/>
    <n v="17"/>
    <d v="1948-10-17T00:00:00"/>
    <s v="48101719555"/>
    <n v="5"/>
    <x v="0"/>
  </r>
  <r>
    <x v="458"/>
    <x v="1"/>
    <x v="458"/>
    <n v="1"/>
    <n v="21"/>
    <n v="1"/>
    <x v="49"/>
    <n v="30"/>
    <d v="2002-01-30T00:00:00"/>
    <s v="02213087139"/>
    <n v="3"/>
    <x v="0"/>
  </r>
  <r>
    <x v="459"/>
    <x v="1"/>
    <x v="459"/>
    <n v="1"/>
    <n v="2"/>
    <n v="2"/>
    <x v="45"/>
    <n v="22"/>
    <d v="1940-02-22T00:00:00"/>
    <s v="40022232773"/>
    <n v="7"/>
    <x v="0"/>
  </r>
  <r>
    <x v="460"/>
    <x v="0"/>
    <x v="460"/>
    <n v="1"/>
    <n v="8"/>
    <n v="8"/>
    <x v="30"/>
    <n v="19"/>
    <d v="1948-08-19T00:00:00"/>
    <s v="48081955217"/>
    <n v="1"/>
    <x v="0"/>
  </r>
  <r>
    <x v="461"/>
    <x v="0"/>
    <x v="461"/>
    <n v="1"/>
    <n v="12"/>
    <n v="12"/>
    <x v="0"/>
    <n v="15"/>
    <d v="1950-12-15T00:00:00"/>
    <s v="50121547348"/>
    <n v="4"/>
    <x v="1"/>
  </r>
  <r>
    <x v="462"/>
    <x v="1"/>
    <x v="462"/>
    <n v="1"/>
    <n v="3"/>
    <n v="3"/>
    <x v="83"/>
    <n v="10"/>
    <d v="1943-03-10T00:00:00"/>
    <s v="43031032635"/>
    <n v="3"/>
    <x v="0"/>
  </r>
  <r>
    <x v="463"/>
    <x v="0"/>
    <x v="463"/>
    <n v="1"/>
    <n v="25"/>
    <n v="5"/>
    <x v="69"/>
    <n v="11"/>
    <d v="2003-05-11T00:00:00"/>
    <s v="03251128637"/>
    <n v="3"/>
    <x v="0"/>
  </r>
  <r>
    <x v="464"/>
    <x v="1"/>
    <x v="464"/>
    <n v="1"/>
    <n v="6"/>
    <n v="6"/>
    <x v="20"/>
    <n v="23"/>
    <d v="1980-06-23T00:00:00"/>
    <s v="80062354785"/>
    <n v="8"/>
    <x v="1"/>
  </r>
  <r>
    <x v="465"/>
    <x v="0"/>
    <x v="465"/>
    <n v="2"/>
    <n v="31"/>
    <n v="11"/>
    <x v="49"/>
    <n v="15"/>
    <d v="2002-11-15T00:00:00"/>
    <s v="02311545784"/>
    <n v="8"/>
    <x v="1"/>
  </r>
  <r>
    <x v="466"/>
    <x v="1"/>
    <x v="466"/>
    <n v="1"/>
    <n v="11"/>
    <n v="11"/>
    <x v="44"/>
    <n v="13"/>
    <d v="1925-11-13T00:00:00"/>
    <s v="25111396468"/>
    <n v="6"/>
    <x v="1"/>
  </r>
  <r>
    <x v="467"/>
    <x v="1"/>
    <x v="467"/>
    <n v="1"/>
    <n v="4"/>
    <n v="4"/>
    <x v="9"/>
    <n v="28"/>
    <d v="1933-04-28T00:00:00"/>
    <s v="33042842215"/>
    <n v="1"/>
    <x v="0"/>
  </r>
  <r>
    <x v="468"/>
    <x v="1"/>
    <x v="468"/>
    <n v="1"/>
    <n v="10"/>
    <n v="10"/>
    <x v="61"/>
    <n v="5"/>
    <d v="1928-10-05T00:00:00"/>
    <s v="28100582374"/>
    <n v="7"/>
    <x v="0"/>
  </r>
  <r>
    <x v="469"/>
    <x v="1"/>
    <x v="469"/>
    <n v="1"/>
    <n v="7"/>
    <n v="7"/>
    <x v="57"/>
    <n v="28"/>
    <d v="1999-07-28T00:00:00"/>
    <s v="99072844919"/>
    <n v="1"/>
    <x v="0"/>
  </r>
  <r>
    <x v="470"/>
    <x v="0"/>
    <x v="470"/>
    <n v="2"/>
    <n v="25"/>
    <n v="5"/>
    <x v="59"/>
    <n v="9"/>
    <d v="2001-05-09T00:00:00"/>
    <s v="01250991368"/>
    <n v="6"/>
    <x v="1"/>
  </r>
  <r>
    <x v="471"/>
    <x v="2"/>
    <x v="471"/>
    <n v="1"/>
    <n v="3"/>
    <n v="3"/>
    <x v="87"/>
    <n v="20"/>
    <d v="1922-03-20T00:00:00"/>
    <s v="22032032875"/>
    <n v="7"/>
    <x v="0"/>
  </r>
  <r>
    <x v="472"/>
    <x v="1"/>
    <x v="472"/>
    <n v="1"/>
    <n v="11"/>
    <n v="11"/>
    <x v="60"/>
    <n v="30"/>
    <d v="1981-11-30T00:00:00"/>
    <s v="81113041454"/>
    <n v="5"/>
    <x v="0"/>
  </r>
  <r>
    <x v="473"/>
    <x v="2"/>
    <x v="473"/>
    <n v="2"/>
    <n v="31"/>
    <n v="11"/>
    <x v="1"/>
    <n v="10"/>
    <d v="2009-11-10T00:00:00"/>
    <s v="09311045276"/>
    <n v="7"/>
    <x v="0"/>
  </r>
  <r>
    <x v="474"/>
    <x v="1"/>
    <x v="474"/>
    <n v="1"/>
    <n v="7"/>
    <n v="7"/>
    <x v="43"/>
    <n v="14"/>
    <d v="1939-07-14T00:00:00"/>
    <s v="39071421292"/>
    <n v="9"/>
    <x v="0"/>
  </r>
  <r>
    <x v="475"/>
    <x v="1"/>
    <x v="475"/>
    <n v="1"/>
    <n v="8"/>
    <n v="8"/>
    <x v="82"/>
    <n v="20"/>
    <d v="1987-08-20T00:00:00"/>
    <s v="87082031359"/>
    <n v="5"/>
    <x v="0"/>
  </r>
  <r>
    <x v="476"/>
    <x v="1"/>
    <x v="476"/>
    <n v="1"/>
    <n v="4"/>
    <n v="4"/>
    <x v="64"/>
    <n v="4"/>
    <d v="1993-04-04T00:00:00"/>
    <s v="93040472816"/>
    <n v="1"/>
    <x v="0"/>
  </r>
  <r>
    <x v="477"/>
    <x v="0"/>
    <x v="477"/>
    <n v="1"/>
    <n v="10"/>
    <n v="10"/>
    <x v="60"/>
    <n v="4"/>
    <d v="1981-10-04T00:00:00"/>
    <s v="81100414748"/>
    <n v="4"/>
    <x v="1"/>
  </r>
  <r>
    <x v="478"/>
    <x v="1"/>
    <x v="478"/>
    <n v="1"/>
    <n v="8"/>
    <n v="8"/>
    <x v="11"/>
    <n v="20"/>
    <d v="1938-08-20T00:00:00"/>
    <s v="38082022588"/>
    <n v="8"/>
    <x v="1"/>
  </r>
  <r>
    <x v="479"/>
    <x v="1"/>
    <x v="479"/>
    <n v="1"/>
    <n v="26"/>
    <n v="6"/>
    <x v="73"/>
    <n v="12"/>
    <d v="2007-06-12T00:00:00"/>
    <s v="07261292591"/>
    <n v="9"/>
    <x v="0"/>
  </r>
  <r>
    <x v="480"/>
    <x v="1"/>
    <x v="480"/>
    <n v="1"/>
    <n v="2"/>
    <n v="2"/>
    <x v="32"/>
    <n v="23"/>
    <d v="1946-02-23T00:00:00"/>
    <s v="46022384991"/>
    <n v="9"/>
    <x v="0"/>
  </r>
  <r>
    <x v="481"/>
    <x v="1"/>
    <x v="481"/>
    <n v="1"/>
    <n v="2"/>
    <n v="2"/>
    <x v="31"/>
    <n v="3"/>
    <d v="1997-02-03T00:00:00"/>
    <s v="97020325844"/>
    <n v="4"/>
    <x v="1"/>
  </r>
  <r>
    <x v="482"/>
    <x v="1"/>
    <x v="482"/>
    <n v="1"/>
    <n v="23"/>
    <n v="3"/>
    <x v="23"/>
    <n v="17"/>
    <d v="2008-03-17T00:00:00"/>
    <s v="08231762539"/>
    <n v="3"/>
    <x v="0"/>
  </r>
  <r>
    <x v="483"/>
    <x v="2"/>
    <x v="483"/>
    <n v="2"/>
    <n v="8"/>
    <n v="8"/>
    <x v="75"/>
    <n v="11"/>
    <d v="1976-08-11T00:00:00"/>
    <s v="76081141583"/>
    <n v="8"/>
    <x v="1"/>
  </r>
  <r>
    <x v="484"/>
    <x v="2"/>
    <x v="484"/>
    <n v="2"/>
    <n v="5"/>
    <n v="5"/>
    <x v="64"/>
    <n v="9"/>
    <d v="1993-05-09T00:00:00"/>
    <s v="93050967531"/>
    <n v="3"/>
    <x v="0"/>
  </r>
  <r>
    <x v="485"/>
    <x v="2"/>
    <x v="485"/>
    <n v="2"/>
    <n v="6"/>
    <n v="6"/>
    <x v="45"/>
    <n v="1"/>
    <d v="1940-06-01T00:00:00"/>
    <s v="40060177519"/>
    <n v="1"/>
    <x v="0"/>
  </r>
  <r>
    <x v="486"/>
    <x v="2"/>
    <x v="486"/>
    <n v="1"/>
    <n v="1"/>
    <n v="1"/>
    <x v="79"/>
    <n v="28"/>
    <d v="1955-01-28T00:00:00"/>
    <s v="55012852385"/>
    <n v="8"/>
    <x v="1"/>
  </r>
  <r>
    <x v="487"/>
    <x v="0"/>
    <x v="487"/>
    <n v="1"/>
    <n v="1"/>
    <n v="1"/>
    <x v="82"/>
    <n v="14"/>
    <d v="1987-01-14T00:00:00"/>
    <s v="87011431214"/>
    <n v="1"/>
    <x v="0"/>
  </r>
  <r>
    <x v="488"/>
    <x v="2"/>
    <x v="488"/>
    <n v="1"/>
    <n v="28"/>
    <n v="8"/>
    <x v="42"/>
    <n v="11"/>
    <d v="2005-08-11T00:00:00"/>
    <s v="05281176583"/>
    <n v="8"/>
    <x v="1"/>
  </r>
  <r>
    <x v="489"/>
    <x v="2"/>
    <x v="489"/>
    <n v="2"/>
    <n v="12"/>
    <n v="12"/>
    <x v="47"/>
    <n v="20"/>
    <d v="1983-12-20T00:00:00"/>
    <s v="83122017327"/>
    <n v="2"/>
    <x v="1"/>
  </r>
  <r>
    <x v="490"/>
    <x v="2"/>
    <x v="490"/>
    <n v="1"/>
    <n v="4"/>
    <n v="4"/>
    <x v="46"/>
    <n v="2"/>
    <d v="1945-04-02T00:00:00"/>
    <s v="45040287376"/>
    <n v="7"/>
    <x v="0"/>
  </r>
  <r>
    <x v="491"/>
    <x v="0"/>
    <x v="491"/>
    <n v="1"/>
    <n v="3"/>
    <n v="3"/>
    <x v="5"/>
    <n v="25"/>
    <d v="1927-03-25T00:00:00"/>
    <s v="27032555478"/>
    <n v="7"/>
    <x v="0"/>
  </r>
  <r>
    <x v="492"/>
    <x v="0"/>
    <x v="492"/>
    <n v="2"/>
    <n v="11"/>
    <n v="11"/>
    <x v="41"/>
    <n v="19"/>
    <d v="1988-11-19T00:00:00"/>
    <s v="88111977491"/>
    <n v="9"/>
    <x v="0"/>
  </r>
  <r>
    <x v="493"/>
    <x v="1"/>
    <x v="493"/>
    <n v="1"/>
    <n v="24"/>
    <n v="4"/>
    <x v="54"/>
    <n v="16"/>
    <d v="2000-04-16T00:00:00"/>
    <s v="00241645299"/>
    <n v="9"/>
    <x v="0"/>
  </r>
  <r>
    <x v="494"/>
    <x v="2"/>
    <x v="494"/>
    <n v="2"/>
    <n v="1"/>
    <n v="1"/>
    <x v="8"/>
    <n v="8"/>
    <d v="1967-01-08T00:00:00"/>
    <s v="67010894445"/>
    <n v="4"/>
    <x v="1"/>
  </r>
  <r>
    <x v="495"/>
    <x v="1"/>
    <x v="495"/>
    <n v="1"/>
    <n v="3"/>
    <n v="3"/>
    <x v="66"/>
    <n v="6"/>
    <d v="1996-03-06T00:00:00"/>
    <s v="96030638982"/>
    <n v="8"/>
    <x v="1"/>
  </r>
  <r>
    <x v="496"/>
    <x v="2"/>
    <x v="496"/>
    <n v="1"/>
    <n v="6"/>
    <n v="6"/>
    <x v="58"/>
    <n v="25"/>
    <d v="1989-06-25T00:00:00"/>
    <s v="89062565472"/>
    <n v="7"/>
    <x v="0"/>
  </r>
  <r>
    <x v="497"/>
    <x v="2"/>
    <x v="497"/>
    <n v="2"/>
    <n v="5"/>
    <n v="5"/>
    <x v="32"/>
    <n v="23"/>
    <d v="1946-05-23T00:00:00"/>
    <s v="46052327173"/>
    <n v="7"/>
    <x v="0"/>
  </r>
  <r>
    <x v="498"/>
    <x v="1"/>
    <x v="498"/>
    <n v="1"/>
    <n v="11"/>
    <n v="11"/>
    <x v="22"/>
    <n v="18"/>
    <d v="1923-11-18T00:00:00"/>
    <s v="23111828323"/>
    <n v="2"/>
    <x v="1"/>
  </r>
  <r>
    <x v="499"/>
    <x v="1"/>
    <x v="499"/>
    <n v="1"/>
    <n v="2"/>
    <n v="2"/>
    <x v="24"/>
    <n v="11"/>
    <d v="1930-02-11T00:00:00"/>
    <s v="30021131852"/>
    <n v="5"/>
    <x v="0"/>
  </r>
  <r>
    <x v="500"/>
    <x v="3"/>
    <x v="500"/>
    <n v="2"/>
    <n v="3"/>
    <n v="3"/>
    <x v="20"/>
    <n v="19"/>
    <d v="1980-03-19T00:00:00"/>
    <s v="80031916112"/>
    <n v="1"/>
    <x v="0"/>
  </r>
  <r>
    <x v="501"/>
    <x v="3"/>
    <x v="501"/>
    <n v="1"/>
    <n v="6"/>
    <n v="6"/>
    <x v="2"/>
    <n v="24"/>
    <d v="1978-06-24T00:00:00"/>
    <s v="78062476848"/>
    <n v="4"/>
    <x v="1"/>
  </r>
  <r>
    <x v="502"/>
    <x v="3"/>
    <x v="502"/>
    <n v="1"/>
    <n v="7"/>
    <n v="7"/>
    <x v="89"/>
    <n v="2"/>
    <d v="1974-07-02T00:00:00"/>
    <s v="74070224767"/>
    <n v="6"/>
    <x v="1"/>
  </r>
  <r>
    <x v="503"/>
    <x v="1"/>
    <x v="503"/>
    <n v="1"/>
    <n v="11"/>
    <n v="11"/>
    <x v="35"/>
    <n v="5"/>
    <d v="1935-11-05T00:00:00"/>
    <s v="35110511647"/>
    <n v="4"/>
    <x v="1"/>
  </r>
  <r>
    <x v="504"/>
    <x v="2"/>
    <x v="504"/>
    <n v="1"/>
    <n v="12"/>
    <n v="12"/>
    <x v="21"/>
    <n v="15"/>
    <d v="1931-12-15T00:00:00"/>
    <s v="31121533272"/>
    <n v="7"/>
    <x v="0"/>
  </r>
  <r>
    <x v="505"/>
    <x v="0"/>
    <x v="505"/>
    <n v="2"/>
    <n v="1"/>
    <n v="1"/>
    <x v="7"/>
    <n v="10"/>
    <d v="1979-01-10T00:00:00"/>
    <s v="79011023319"/>
    <n v="1"/>
    <x v="0"/>
  </r>
  <r>
    <x v="506"/>
    <x v="1"/>
    <x v="506"/>
    <n v="1"/>
    <n v="7"/>
    <n v="7"/>
    <x v="64"/>
    <n v="13"/>
    <d v="1993-07-13T00:00:00"/>
    <s v="93071365514"/>
    <n v="1"/>
    <x v="0"/>
  </r>
  <r>
    <x v="507"/>
    <x v="0"/>
    <x v="507"/>
    <n v="2"/>
    <n v="2"/>
    <n v="2"/>
    <x v="77"/>
    <n v="20"/>
    <d v="1920-02-20T00:00:00"/>
    <s v="20022021197"/>
    <n v="9"/>
    <x v="0"/>
  </r>
  <r>
    <x v="508"/>
    <x v="2"/>
    <x v="508"/>
    <n v="1"/>
    <n v="1"/>
    <n v="1"/>
    <x v="13"/>
    <n v="5"/>
    <d v="1934-01-05T00:00:00"/>
    <s v="34010514565"/>
    <n v="6"/>
    <x v="1"/>
  </r>
  <r>
    <x v="509"/>
    <x v="2"/>
    <x v="509"/>
    <n v="2"/>
    <n v="3"/>
    <n v="3"/>
    <x v="82"/>
    <n v="29"/>
    <d v="1987-03-29T00:00:00"/>
    <s v="87032986685"/>
    <n v="8"/>
    <x v="1"/>
  </r>
  <r>
    <x v="510"/>
    <x v="3"/>
    <x v="510"/>
    <n v="2"/>
    <n v="11"/>
    <n v="11"/>
    <x v="64"/>
    <n v="19"/>
    <d v="1993-11-19T00:00:00"/>
    <s v="93111938272"/>
    <n v="7"/>
    <x v="0"/>
  </r>
  <r>
    <x v="511"/>
    <x v="1"/>
    <x v="511"/>
    <n v="1"/>
    <n v="8"/>
    <n v="8"/>
    <x v="40"/>
    <n v="28"/>
    <d v="1932-08-28T00:00:00"/>
    <s v="32082876734"/>
    <n v="3"/>
    <x v="0"/>
  </r>
  <r>
    <x v="512"/>
    <x v="2"/>
    <x v="512"/>
    <n v="1"/>
    <n v="11"/>
    <n v="11"/>
    <x v="68"/>
    <n v="21"/>
    <d v="1971-11-21T00:00:00"/>
    <s v="71112186139"/>
    <n v="3"/>
    <x v="0"/>
  </r>
  <r>
    <x v="513"/>
    <x v="1"/>
    <x v="513"/>
    <n v="1"/>
    <n v="4"/>
    <n v="4"/>
    <x v="88"/>
    <n v="16"/>
    <d v="1951-04-16T00:00:00"/>
    <s v="51041632947"/>
    <n v="4"/>
    <x v="1"/>
  </r>
  <r>
    <x v="514"/>
    <x v="0"/>
    <x v="514"/>
    <n v="2"/>
    <n v="4"/>
    <n v="4"/>
    <x v="61"/>
    <n v="24"/>
    <d v="1928-04-24T00:00:00"/>
    <s v="28042413925"/>
    <n v="2"/>
    <x v="1"/>
  </r>
  <r>
    <x v="515"/>
    <x v="0"/>
    <x v="515"/>
    <n v="2"/>
    <n v="21"/>
    <n v="1"/>
    <x v="23"/>
    <n v="21"/>
    <d v="2008-01-21T00:00:00"/>
    <s v="08212126581"/>
    <n v="8"/>
    <x v="1"/>
  </r>
  <r>
    <x v="516"/>
    <x v="2"/>
    <x v="516"/>
    <n v="2"/>
    <n v="6"/>
    <n v="6"/>
    <x v="19"/>
    <n v="19"/>
    <d v="1990-06-19T00:00:00"/>
    <s v="90061971629"/>
    <n v="2"/>
    <x v="1"/>
  </r>
  <r>
    <x v="517"/>
    <x v="2"/>
    <x v="517"/>
    <n v="1"/>
    <n v="6"/>
    <n v="6"/>
    <x v="87"/>
    <n v="9"/>
    <d v="1922-06-09T00:00:00"/>
    <s v="22060986926"/>
    <n v="2"/>
    <x v="1"/>
  </r>
  <r>
    <x v="518"/>
    <x v="2"/>
    <x v="518"/>
    <n v="2"/>
    <n v="7"/>
    <n v="7"/>
    <x v="77"/>
    <n v="12"/>
    <d v="1920-07-12T00:00:00"/>
    <s v="20071266347"/>
    <n v="4"/>
    <x v="1"/>
  </r>
  <r>
    <x v="519"/>
    <x v="1"/>
    <x v="519"/>
    <n v="1"/>
    <n v="9"/>
    <n v="9"/>
    <x v="64"/>
    <n v="4"/>
    <d v="1993-09-04T00:00:00"/>
    <s v="93090426797"/>
    <n v="9"/>
    <x v="0"/>
  </r>
  <r>
    <x v="520"/>
    <x v="2"/>
    <x v="520"/>
    <n v="1"/>
    <n v="8"/>
    <n v="8"/>
    <x v="4"/>
    <n v="6"/>
    <d v="1972-08-06T00:00:00"/>
    <s v="72080678389"/>
    <n v="8"/>
    <x v="1"/>
  </r>
  <r>
    <x v="521"/>
    <x v="3"/>
    <x v="521"/>
    <n v="2"/>
    <n v="2"/>
    <n v="2"/>
    <x v="36"/>
    <n v="20"/>
    <d v="1954-02-20T00:00:00"/>
    <s v="54022057258"/>
    <n v="5"/>
    <x v="0"/>
  </r>
  <r>
    <x v="522"/>
    <x v="1"/>
    <x v="522"/>
    <n v="1"/>
    <n v="8"/>
    <n v="8"/>
    <x v="22"/>
    <n v="13"/>
    <d v="1923-08-13T00:00:00"/>
    <s v="23081349275"/>
    <n v="7"/>
    <x v="0"/>
  </r>
  <r>
    <x v="523"/>
    <x v="1"/>
    <x v="523"/>
    <n v="1"/>
    <n v="1"/>
    <n v="1"/>
    <x v="80"/>
    <n v="1"/>
    <d v="1952-01-01T00:00:00"/>
    <s v="52010156343"/>
    <n v="4"/>
    <x v="1"/>
  </r>
  <r>
    <x v="524"/>
    <x v="2"/>
    <x v="524"/>
    <n v="1"/>
    <n v="9"/>
    <n v="9"/>
    <x v="30"/>
    <n v="21"/>
    <d v="1948-09-21T00:00:00"/>
    <s v="48092133558"/>
    <n v="5"/>
    <x v="0"/>
  </r>
  <r>
    <x v="525"/>
    <x v="1"/>
    <x v="525"/>
    <n v="1"/>
    <n v="6"/>
    <n v="6"/>
    <x v="80"/>
    <n v="28"/>
    <d v="1952-06-28T00:00:00"/>
    <s v="52062858569"/>
    <n v="6"/>
    <x v="1"/>
  </r>
  <r>
    <x v="526"/>
    <x v="0"/>
    <x v="526"/>
    <n v="1"/>
    <n v="6"/>
    <n v="6"/>
    <x v="31"/>
    <n v="8"/>
    <d v="1997-06-08T00:00:00"/>
    <s v="97060877642"/>
    <n v="4"/>
    <x v="1"/>
  </r>
  <r>
    <x v="527"/>
    <x v="1"/>
    <x v="527"/>
    <n v="1"/>
    <n v="12"/>
    <n v="12"/>
    <x v="66"/>
    <n v="29"/>
    <d v="1996-12-29T00:00:00"/>
    <s v="96122982869"/>
    <n v="6"/>
    <x v="1"/>
  </r>
  <r>
    <x v="528"/>
    <x v="2"/>
    <x v="528"/>
    <n v="2"/>
    <n v="9"/>
    <n v="9"/>
    <x v="7"/>
    <n v="11"/>
    <d v="1979-09-11T00:00:00"/>
    <s v="79091155377"/>
    <n v="7"/>
    <x v="0"/>
  </r>
  <r>
    <x v="529"/>
    <x v="3"/>
    <x v="529"/>
    <n v="1"/>
    <n v="30"/>
    <n v="10"/>
    <x v="49"/>
    <n v="3"/>
    <d v="2002-10-03T00:00:00"/>
    <s v="02300364525"/>
    <n v="2"/>
    <x v="1"/>
  </r>
  <r>
    <x v="530"/>
    <x v="3"/>
    <x v="530"/>
    <n v="1"/>
    <n v="29"/>
    <n v="9"/>
    <x v="26"/>
    <n v="5"/>
    <d v="2006-09-05T00:00:00"/>
    <s v="06290512595"/>
    <n v="9"/>
    <x v="0"/>
  </r>
  <r>
    <x v="531"/>
    <x v="1"/>
    <x v="531"/>
    <n v="1"/>
    <n v="7"/>
    <n v="7"/>
    <x v="83"/>
    <n v="5"/>
    <d v="1943-07-05T00:00:00"/>
    <s v="43070562795"/>
    <n v="9"/>
    <x v="0"/>
  </r>
  <r>
    <x v="532"/>
    <x v="2"/>
    <x v="532"/>
    <n v="1"/>
    <n v="28"/>
    <n v="8"/>
    <x v="26"/>
    <n v="15"/>
    <d v="2006-08-15T00:00:00"/>
    <s v="06281534812"/>
    <n v="1"/>
    <x v="0"/>
  </r>
  <r>
    <x v="533"/>
    <x v="2"/>
    <x v="533"/>
    <n v="2"/>
    <n v="23"/>
    <n v="3"/>
    <x v="26"/>
    <n v="2"/>
    <d v="2006-03-02T00:00:00"/>
    <s v="06230267871"/>
    <n v="7"/>
    <x v="0"/>
  </r>
  <r>
    <x v="534"/>
    <x v="1"/>
    <x v="534"/>
    <n v="1"/>
    <n v="2"/>
    <n v="2"/>
    <x v="79"/>
    <n v="11"/>
    <d v="1955-02-11T00:00:00"/>
    <s v="55021173347"/>
    <n v="4"/>
    <x v="1"/>
  </r>
  <r>
    <x v="535"/>
    <x v="2"/>
    <x v="535"/>
    <n v="2"/>
    <n v="6"/>
    <n v="6"/>
    <x v="74"/>
    <n v="22"/>
    <d v="1944-06-22T00:00:00"/>
    <s v="44062292353"/>
    <n v="5"/>
    <x v="0"/>
  </r>
  <r>
    <x v="536"/>
    <x v="1"/>
    <x v="536"/>
    <n v="1"/>
    <n v="8"/>
    <n v="8"/>
    <x v="24"/>
    <n v="3"/>
    <d v="1930-08-03T00:00:00"/>
    <s v="30080361197"/>
    <n v="9"/>
    <x v="0"/>
  </r>
  <r>
    <x v="537"/>
    <x v="0"/>
    <x v="537"/>
    <n v="2"/>
    <n v="24"/>
    <n v="4"/>
    <x v="69"/>
    <n v="1"/>
    <d v="2003-04-01T00:00:00"/>
    <s v="03240155763"/>
    <n v="6"/>
    <x v="1"/>
  </r>
  <r>
    <x v="538"/>
    <x v="2"/>
    <x v="538"/>
    <n v="1"/>
    <n v="24"/>
    <n v="4"/>
    <x v="26"/>
    <n v="11"/>
    <d v="2006-04-11T00:00:00"/>
    <s v="06241139242"/>
    <n v="4"/>
    <x v="1"/>
  </r>
  <r>
    <x v="539"/>
    <x v="1"/>
    <x v="539"/>
    <n v="1"/>
    <n v="10"/>
    <n v="10"/>
    <x v="74"/>
    <n v="15"/>
    <d v="1944-10-15T00:00:00"/>
    <s v="44101537939"/>
    <n v="3"/>
    <x v="0"/>
  </r>
  <r>
    <x v="540"/>
    <x v="0"/>
    <x v="540"/>
    <n v="1"/>
    <n v="10"/>
    <n v="10"/>
    <x v="12"/>
    <n v="24"/>
    <d v="1947-10-24T00:00:00"/>
    <s v="47102474269"/>
    <n v="6"/>
    <x v="1"/>
  </r>
  <r>
    <x v="541"/>
    <x v="1"/>
    <x v="541"/>
    <n v="1"/>
    <n v="28"/>
    <n v="8"/>
    <x v="26"/>
    <n v="16"/>
    <d v="2006-08-16T00:00:00"/>
    <s v="06281643996"/>
    <n v="9"/>
    <x v="0"/>
  </r>
  <r>
    <x v="542"/>
    <x v="2"/>
    <x v="542"/>
    <n v="1"/>
    <n v="11"/>
    <n v="11"/>
    <x v="36"/>
    <n v="8"/>
    <d v="1954-11-08T00:00:00"/>
    <s v="54110819487"/>
    <n v="8"/>
    <x v="1"/>
  </r>
  <r>
    <x v="543"/>
    <x v="3"/>
    <x v="543"/>
    <n v="2"/>
    <n v="4"/>
    <n v="4"/>
    <x v="89"/>
    <n v="6"/>
    <d v="1974-04-06T00:00:00"/>
    <s v="74040628254"/>
    <n v="5"/>
    <x v="0"/>
  </r>
  <r>
    <x v="544"/>
    <x v="1"/>
    <x v="544"/>
    <n v="1"/>
    <n v="8"/>
    <n v="8"/>
    <x v="82"/>
    <n v="7"/>
    <d v="1987-08-07T00:00:00"/>
    <s v="87080722396"/>
    <n v="9"/>
    <x v="0"/>
  </r>
  <r>
    <x v="545"/>
    <x v="1"/>
    <x v="545"/>
    <n v="1"/>
    <n v="9"/>
    <n v="9"/>
    <x v="21"/>
    <n v="5"/>
    <d v="1931-09-05T00:00:00"/>
    <s v="31090559989"/>
    <n v="8"/>
    <x v="1"/>
  </r>
  <r>
    <x v="546"/>
    <x v="0"/>
    <x v="546"/>
    <n v="2"/>
    <n v="2"/>
    <n v="2"/>
    <x v="32"/>
    <n v="26"/>
    <d v="1946-02-26T00:00:00"/>
    <s v="46022655284"/>
    <n v="8"/>
    <x v="1"/>
  </r>
  <r>
    <x v="547"/>
    <x v="2"/>
    <x v="547"/>
    <n v="2"/>
    <n v="1"/>
    <n v="1"/>
    <x v="28"/>
    <n v="27"/>
    <d v="1958-01-27T00:00:00"/>
    <s v="58012774837"/>
    <n v="3"/>
    <x v="0"/>
  </r>
  <r>
    <x v="548"/>
    <x v="2"/>
    <x v="548"/>
    <n v="1"/>
    <n v="11"/>
    <n v="11"/>
    <x v="46"/>
    <n v="23"/>
    <d v="1945-11-23T00:00:00"/>
    <s v="45112319471"/>
    <n v="7"/>
    <x v="0"/>
  </r>
  <r>
    <x v="549"/>
    <x v="1"/>
    <x v="549"/>
    <n v="1"/>
    <n v="3"/>
    <n v="3"/>
    <x v="22"/>
    <n v="4"/>
    <d v="1923-03-04T00:00:00"/>
    <s v="23030436562"/>
    <n v="6"/>
    <x v="1"/>
  </r>
  <r>
    <x v="550"/>
    <x v="2"/>
    <x v="550"/>
    <n v="2"/>
    <n v="1"/>
    <n v="1"/>
    <x v="35"/>
    <n v="27"/>
    <d v="1935-01-27T00:00:00"/>
    <s v="35012796652"/>
    <n v="5"/>
    <x v="0"/>
  </r>
  <r>
    <x v="551"/>
    <x v="0"/>
    <x v="551"/>
    <n v="1"/>
    <n v="12"/>
    <n v="12"/>
    <x v="38"/>
    <n v="3"/>
    <d v="1986-12-03T00:00:00"/>
    <s v="86120371859"/>
    <n v="5"/>
    <x v="0"/>
  </r>
  <r>
    <x v="552"/>
    <x v="0"/>
    <x v="552"/>
    <n v="2"/>
    <n v="30"/>
    <n v="10"/>
    <x v="49"/>
    <n v="10"/>
    <d v="2002-10-10T00:00:00"/>
    <s v="02301066266"/>
    <n v="6"/>
    <x v="1"/>
  </r>
  <r>
    <x v="553"/>
    <x v="3"/>
    <x v="553"/>
    <n v="2"/>
    <n v="3"/>
    <n v="3"/>
    <x v="51"/>
    <n v="15"/>
    <d v="1975-03-15T00:00:00"/>
    <s v="75031568995"/>
    <n v="9"/>
    <x v="0"/>
  </r>
  <r>
    <x v="554"/>
    <x v="1"/>
    <x v="554"/>
    <n v="1"/>
    <n v="2"/>
    <n v="2"/>
    <x v="89"/>
    <n v="20"/>
    <d v="1974-02-20T00:00:00"/>
    <s v="74022088997"/>
    <n v="9"/>
    <x v="0"/>
  </r>
  <r>
    <x v="555"/>
    <x v="1"/>
    <x v="555"/>
    <n v="1"/>
    <n v="27"/>
    <n v="7"/>
    <x v="16"/>
    <n v="29"/>
    <d v="2004-07-29T00:00:00"/>
    <s v="04272952573"/>
    <n v="7"/>
    <x v="0"/>
  </r>
  <r>
    <x v="556"/>
    <x v="3"/>
    <x v="556"/>
    <n v="2"/>
    <n v="6"/>
    <n v="6"/>
    <x v="56"/>
    <n v="21"/>
    <d v="1995-06-21T00:00:00"/>
    <s v="95062121776"/>
    <n v="7"/>
    <x v="0"/>
  </r>
  <r>
    <x v="557"/>
    <x v="1"/>
    <x v="557"/>
    <n v="1"/>
    <n v="2"/>
    <n v="2"/>
    <x v="30"/>
    <n v="13"/>
    <d v="1948-02-13T00:00:00"/>
    <s v="48021366534"/>
    <n v="3"/>
    <x v="0"/>
  </r>
  <r>
    <x v="558"/>
    <x v="0"/>
    <x v="558"/>
    <n v="1"/>
    <n v="32"/>
    <n v="12"/>
    <x v="42"/>
    <n v="8"/>
    <d v="2005-12-08T00:00:00"/>
    <s v="05320823322"/>
    <n v="2"/>
    <x v="1"/>
  </r>
  <r>
    <x v="559"/>
    <x v="2"/>
    <x v="559"/>
    <n v="2"/>
    <n v="4"/>
    <n v="4"/>
    <x v="82"/>
    <n v="12"/>
    <d v="1987-04-12T00:00:00"/>
    <s v="87041224268"/>
    <n v="6"/>
    <x v="1"/>
  </r>
  <r>
    <x v="560"/>
    <x v="1"/>
    <x v="560"/>
    <n v="1"/>
    <n v="21"/>
    <n v="1"/>
    <x v="23"/>
    <n v="12"/>
    <d v="2008-01-12T00:00:00"/>
    <s v="08211236469"/>
    <n v="6"/>
    <x v="1"/>
  </r>
  <r>
    <x v="561"/>
    <x v="2"/>
    <x v="561"/>
    <n v="2"/>
    <n v="4"/>
    <n v="4"/>
    <x v="53"/>
    <n v="17"/>
    <d v="1994-04-17T00:00:00"/>
    <s v="94041771362"/>
    <n v="6"/>
    <x v="1"/>
  </r>
  <r>
    <x v="562"/>
    <x v="0"/>
    <x v="562"/>
    <n v="1"/>
    <n v="28"/>
    <n v="8"/>
    <x v="23"/>
    <n v="5"/>
    <d v="2008-08-05T00:00:00"/>
    <s v="08280523622"/>
    <n v="2"/>
    <x v="1"/>
  </r>
  <r>
    <x v="563"/>
    <x v="1"/>
    <x v="563"/>
    <n v="1"/>
    <n v="11"/>
    <n v="11"/>
    <x v="61"/>
    <n v="14"/>
    <d v="1928-11-14T00:00:00"/>
    <s v="28111415492"/>
    <n v="9"/>
    <x v="0"/>
  </r>
  <r>
    <x v="564"/>
    <x v="2"/>
    <x v="564"/>
    <n v="2"/>
    <n v="3"/>
    <n v="3"/>
    <x v="35"/>
    <n v="8"/>
    <d v="1935-03-08T00:00:00"/>
    <s v="35030859197"/>
    <n v="9"/>
    <x v="0"/>
  </r>
  <r>
    <x v="565"/>
    <x v="2"/>
    <x v="565"/>
    <n v="1"/>
    <n v="8"/>
    <n v="8"/>
    <x v="39"/>
    <n v="16"/>
    <d v="1992-08-16T00:00:00"/>
    <s v="92081637192"/>
    <n v="9"/>
    <x v="0"/>
  </r>
  <r>
    <x v="566"/>
    <x v="2"/>
    <x v="566"/>
    <n v="2"/>
    <n v="2"/>
    <n v="2"/>
    <x v="43"/>
    <n v="19"/>
    <d v="1939-02-19T00:00:00"/>
    <s v="39021949173"/>
    <n v="7"/>
    <x v="0"/>
  </r>
  <r>
    <x v="567"/>
    <x v="2"/>
    <x v="567"/>
    <n v="1"/>
    <n v="7"/>
    <n v="7"/>
    <x v="20"/>
    <n v="5"/>
    <d v="1980-07-05T00:00:00"/>
    <s v="80070515514"/>
    <n v="1"/>
    <x v="0"/>
  </r>
  <r>
    <x v="568"/>
    <x v="3"/>
    <x v="568"/>
    <n v="1"/>
    <n v="9"/>
    <n v="9"/>
    <x v="85"/>
    <n v="3"/>
    <d v="1941-09-03T00:00:00"/>
    <s v="41090343718"/>
    <n v="1"/>
    <x v="0"/>
  </r>
  <r>
    <x v="569"/>
    <x v="1"/>
    <x v="569"/>
    <n v="1"/>
    <n v="9"/>
    <n v="9"/>
    <x v="70"/>
    <n v="11"/>
    <d v="1962-09-11T00:00:00"/>
    <s v="62091143985"/>
    <n v="8"/>
    <x v="1"/>
  </r>
  <r>
    <x v="570"/>
    <x v="1"/>
    <x v="570"/>
    <n v="1"/>
    <n v="3"/>
    <n v="3"/>
    <x v="68"/>
    <n v="2"/>
    <d v="1971-03-02T00:00:00"/>
    <s v="71030266872"/>
    <n v="7"/>
    <x v="0"/>
  </r>
  <r>
    <x v="571"/>
    <x v="1"/>
    <x v="571"/>
    <n v="1"/>
    <n v="6"/>
    <n v="6"/>
    <x v="29"/>
    <n v="2"/>
    <d v="1937-06-02T00:00:00"/>
    <s v="37060241535"/>
    <n v="3"/>
    <x v="0"/>
  </r>
  <r>
    <x v="572"/>
    <x v="1"/>
    <x v="572"/>
    <n v="1"/>
    <n v="5"/>
    <n v="5"/>
    <x v="5"/>
    <n v="24"/>
    <d v="1927-05-24T00:00:00"/>
    <s v="27052465261"/>
    <n v="6"/>
    <x v="1"/>
  </r>
  <r>
    <x v="573"/>
    <x v="3"/>
    <x v="573"/>
    <n v="2"/>
    <n v="1"/>
    <n v="1"/>
    <x v="64"/>
    <n v="5"/>
    <d v="1993-01-05T00:00:00"/>
    <s v="93010539549"/>
    <n v="4"/>
    <x v="1"/>
  </r>
  <r>
    <x v="574"/>
    <x v="3"/>
    <x v="574"/>
    <n v="1"/>
    <n v="12"/>
    <n v="12"/>
    <x v="21"/>
    <n v="1"/>
    <d v="1931-12-01T00:00:00"/>
    <s v="31120146318"/>
    <n v="1"/>
    <x v="0"/>
  </r>
  <r>
    <x v="575"/>
    <x v="3"/>
    <x v="575"/>
    <n v="2"/>
    <n v="6"/>
    <n v="6"/>
    <x v="53"/>
    <n v="4"/>
    <d v="1994-06-04T00:00:00"/>
    <s v="94060442786"/>
    <n v="8"/>
    <x v="1"/>
  </r>
  <r>
    <x v="576"/>
    <x v="1"/>
    <x v="576"/>
    <n v="1"/>
    <n v="30"/>
    <n v="10"/>
    <x v="23"/>
    <n v="9"/>
    <d v="2008-10-09T00:00:00"/>
    <s v="08300996513"/>
    <n v="1"/>
    <x v="0"/>
  </r>
  <r>
    <x v="577"/>
    <x v="0"/>
    <x v="577"/>
    <n v="1"/>
    <n v="7"/>
    <n v="7"/>
    <x v="82"/>
    <n v="17"/>
    <d v="1987-07-17T00:00:00"/>
    <s v="87071754944"/>
    <n v="4"/>
    <x v="1"/>
  </r>
  <r>
    <x v="578"/>
    <x v="0"/>
    <x v="578"/>
    <n v="2"/>
    <n v="9"/>
    <n v="9"/>
    <x v="81"/>
    <n v="13"/>
    <d v="1966-09-13T00:00:00"/>
    <s v="66091342146"/>
    <n v="4"/>
    <x v="1"/>
  </r>
  <r>
    <x v="579"/>
    <x v="3"/>
    <x v="579"/>
    <n v="1"/>
    <n v="12"/>
    <n v="12"/>
    <x v="30"/>
    <n v="9"/>
    <d v="1948-12-09T00:00:00"/>
    <s v="48120934478"/>
    <n v="7"/>
    <x v="0"/>
  </r>
  <r>
    <x v="580"/>
    <x v="1"/>
    <x v="580"/>
    <n v="1"/>
    <n v="1"/>
    <n v="1"/>
    <x v="41"/>
    <n v="13"/>
    <d v="1988-01-13T00:00:00"/>
    <s v="88011322267"/>
    <n v="6"/>
    <x v="1"/>
  </r>
  <r>
    <x v="581"/>
    <x v="1"/>
    <x v="581"/>
    <n v="1"/>
    <n v="4"/>
    <n v="4"/>
    <x v="27"/>
    <n v="23"/>
    <d v="1959-04-23T00:00:00"/>
    <s v="59042321268"/>
    <n v="6"/>
    <x v="1"/>
  </r>
  <r>
    <x v="582"/>
    <x v="0"/>
    <x v="582"/>
    <n v="1"/>
    <n v="2"/>
    <n v="2"/>
    <x v="33"/>
    <n v="1"/>
    <d v="1960-02-01T00:00:00"/>
    <s v="60020194394"/>
    <n v="9"/>
    <x v="0"/>
  </r>
  <r>
    <x v="583"/>
    <x v="2"/>
    <x v="583"/>
    <n v="2"/>
    <n v="5"/>
    <n v="5"/>
    <x v="36"/>
    <n v="18"/>
    <d v="1954-05-18T00:00:00"/>
    <s v="54051894257"/>
    <n v="5"/>
    <x v="0"/>
  </r>
  <r>
    <x v="584"/>
    <x v="2"/>
    <x v="584"/>
    <n v="1"/>
    <n v="2"/>
    <n v="2"/>
    <x v="18"/>
    <n v="26"/>
    <d v="1963-02-26T00:00:00"/>
    <s v="63022648489"/>
    <n v="8"/>
    <x v="1"/>
  </r>
  <r>
    <x v="585"/>
    <x v="3"/>
    <x v="585"/>
    <n v="2"/>
    <n v="3"/>
    <n v="3"/>
    <x v="81"/>
    <n v="11"/>
    <d v="1966-03-11T00:00:00"/>
    <s v="66031135467"/>
    <n v="6"/>
    <x v="1"/>
  </r>
  <r>
    <x v="586"/>
    <x v="1"/>
    <x v="586"/>
    <n v="1"/>
    <n v="7"/>
    <n v="7"/>
    <x v="6"/>
    <n v="29"/>
    <d v="1949-07-29T00:00:00"/>
    <s v="49072924229"/>
    <n v="2"/>
    <x v="1"/>
  </r>
  <r>
    <x v="587"/>
    <x v="2"/>
    <x v="587"/>
    <n v="1"/>
    <n v="29"/>
    <n v="9"/>
    <x v="1"/>
    <n v="18"/>
    <d v="2009-09-18T00:00:00"/>
    <s v="09291837313"/>
    <n v="1"/>
    <x v="0"/>
  </r>
  <r>
    <x v="588"/>
    <x v="0"/>
    <x v="588"/>
    <n v="1"/>
    <n v="2"/>
    <n v="2"/>
    <x v="46"/>
    <n v="8"/>
    <d v="1945-02-08T00:00:00"/>
    <s v="45020892626"/>
    <n v="2"/>
    <x v="1"/>
  </r>
  <r>
    <x v="589"/>
    <x v="0"/>
    <x v="589"/>
    <n v="2"/>
    <n v="3"/>
    <n v="3"/>
    <x v="35"/>
    <n v="28"/>
    <d v="1935-03-28T00:00:00"/>
    <s v="35032869556"/>
    <n v="5"/>
    <x v="0"/>
  </r>
  <r>
    <x v="590"/>
    <x v="1"/>
    <x v="590"/>
    <n v="1"/>
    <n v="8"/>
    <n v="8"/>
    <x v="13"/>
    <n v="13"/>
    <d v="1934-08-13T00:00:00"/>
    <s v="34081398633"/>
    <n v="3"/>
    <x v="0"/>
  </r>
  <r>
    <x v="591"/>
    <x v="0"/>
    <x v="591"/>
    <n v="1"/>
    <n v="5"/>
    <n v="5"/>
    <x v="77"/>
    <n v="19"/>
    <d v="1920-05-19T00:00:00"/>
    <s v="20051966337"/>
    <n v="3"/>
    <x v="0"/>
  </r>
  <r>
    <x v="592"/>
    <x v="2"/>
    <x v="592"/>
    <n v="2"/>
    <n v="2"/>
    <n v="2"/>
    <x v="28"/>
    <n v="21"/>
    <d v="1958-02-21T00:00:00"/>
    <s v="58022191471"/>
    <n v="7"/>
    <x v="0"/>
  </r>
  <r>
    <x v="593"/>
    <x v="3"/>
    <x v="593"/>
    <n v="2"/>
    <n v="9"/>
    <n v="9"/>
    <x v="9"/>
    <n v="29"/>
    <d v="1933-09-29T00:00:00"/>
    <s v="33092927353"/>
    <n v="5"/>
    <x v="0"/>
  </r>
  <r>
    <x v="594"/>
    <x v="1"/>
    <x v="594"/>
    <n v="1"/>
    <n v="7"/>
    <n v="7"/>
    <x v="21"/>
    <n v="11"/>
    <d v="1931-07-11T00:00:00"/>
    <s v="31071117359"/>
    <n v="5"/>
    <x v="0"/>
  </r>
  <r>
    <x v="595"/>
    <x v="1"/>
    <x v="595"/>
    <n v="1"/>
    <n v="1"/>
    <n v="1"/>
    <x v="41"/>
    <n v="21"/>
    <d v="1988-01-21T00:00:00"/>
    <s v="88012178515"/>
    <n v="1"/>
    <x v="0"/>
  </r>
  <r>
    <x v="596"/>
    <x v="1"/>
    <x v="596"/>
    <n v="1"/>
    <n v="5"/>
    <n v="5"/>
    <x v="77"/>
    <n v="27"/>
    <d v="1920-05-27T00:00:00"/>
    <s v="20052716283"/>
    <n v="8"/>
    <x v="1"/>
  </r>
  <r>
    <x v="597"/>
    <x v="3"/>
    <x v="597"/>
    <n v="2"/>
    <n v="23"/>
    <n v="3"/>
    <x v="73"/>
    <n v="9"/>
    <d v="2007-03-09T00:00:00"/>
    <s v="07230934929"/>
    <n v="2"/>
    <x v="1"/>
  </r>
  <r>
    <x v="598"/>
    <x v="1"/>
    <x v="598"/>
    <n v="1"/>
    <n v="7"/>
    <n v="7"/>
    <x v="72"/>
    <n v="1"/>
    <d v="1961-07-01T00:00:00"/>
    <s v="61070152859"/>
    <n v="5"/>
    <x v="0"/>
  </r>
  <r>
    <x v="599"/>
    <x v="2"/>
    <x v="599"/>
    <n v="2"/>
    <n v="1"/>
    <n v="1"/>
    <x v="30"/>
    <n v="14"/>
    <d v="1948-01-14T00:00:00"/>
    <s v="48011459585"/>
    <n v="8"/>
    <x v="1"/>
  </r>
  <r>
    <x v="600"/>
    <x v="2"/>
    <x v="600"/>
    <n v="1"/>
    <n v="10"/>
    <n v="10"/>
    <x v="78"/>
    <n v="21"/>
    <d v="1968-10-21T00:00:00"/>
    <s v="68102192991"/>
    <n v="9"/>
    <x v="0"/>
  </r>
  <r>
    <x v="601"/>
    <x v="1"/>
    <x v="601"/>
    <n v="1"/>
    <n v="6"/>
    <n v="6"/>
    <x v="6"/>
    <n v="23"/>
    <d v="1949-06-23T00:00:00"/>
    <s v="49062323812"/>
    <n v="1"/>
    <x v="0"/>
  </r>
  <r>
    <x v="602"/>
    <x v="1"/>
    <x v="602"/>
    <n v="1"/>
    <n v="12"/>
    <n v="12"/>
    <x v="30"/>
    <n v="30"/>
    <d v="1948-12-30T00:00:00"/>
    <s v="48123076117"/>
    <n v="1"/>
    <x v="0"/>
  </r>
  <r>
    <x v="603"/>
    <x v="2"/>
    <x v="603"/>
    <n v="1"/>
    <n v="8"/>
    <n v="8"/>
    <x v="34"/>
    <n v="13"/>
    <d v="1977-08-13T00:00:00"/>
    <s v="77081388774"/>
    <n v="7"/>
    <x v="0"/>
  </r>
  <r>
    <x v="604"/>
    <x v="1"/>
    <x v="604"/>
    <n v="1"/>
    <n v="3"/>
    <n v="3"/>
    <x v="63"/>
    <n v="30"/>
    <d v="1998-03-30T00:00:00"/>
    <s v="98033094657"/>
    <n v="5"/>
    <x v="0"/>
  </r>
  <r>
    <x v="605"/>
    <x v="3"/>
    <x v="605"/>
    <n v="1"/>
    <n v="3"/>
    <n v="3"/>
    <x v="51"/>
    <n v="30"/>
    <d v="1975-03-30T00:00:00"/>
    <s v="75033075912"/>
    <n v="1"/>
    <x v="0"/>
  </r>
  <r>
    <x v="606"/>
    <x v="1"/>
    <x v="606"/>
    <n v="1"/>
    <n v="11"/>
    <n v="11"/>
    <x v="34"/>
    <n v="29"/>
    <d v="1977-11-29T00:00:00"/>
    <s v="77112911681"/>
    <n v="8"/>
    <x v="1"/>
  </r>
  <r>
    <x v="607"/>
    <x v="2"/>
    <x v="607"/>
    <n v="2"/>
    <n v="8"/>
    <n v="8"/>
    <x v="40"/>
    <n v="29"/>
    <d v="1932-08-29T00:00:00"/>
    <s v="32082919521"/>
    <n v="2"/>
    <x v="1"/>
  </r>
  <r>
    <x v="608"/>
    <x v="2"/>
    <x v="608"/>
    <n v="1"/>
    <n v="32"/>
    <n v="12"/>
    <x v="73"/>
    <n v="16"/>
    <d v="2007-12-16T00:00:00"/>
    <s v="07321653122"/>
    <n v="2"/>
    <x v="1"/>
  </r>
  <r>
    <x v="609"/>
    <x v="2"/>
    <x v="609"/>
    <n v="1"/>
    <n v="5"/>
    <n v="5"/>
    <x v="31"/>
    <n v="14"/>
    <d v="1997-05-14T00:00:00"/>
    <s v="97051475275"/>
    <n v="7"/>
    <x v="0"/>
  </r>
  <r>
    <x v="610"/>
    <x v="0"/>
    <x v="610"/>
    <n v="1"/>
    <n v="4"/>
    <n v="4"/>
    <x v="47"/>
    <n v="1"/>
    <d v="1983-04-01T00:00:00"/>
    <s v="83040151116"/>
    <n v="1"/>
    <x v="0"/>
  </r>
  <r>
    <x v="611"/>
    <x v="1"/>
    <x v="611"/>
    <n v="1"/>
    <n v="7"/>
    <n v="7"/>
    <x v="50"/>
    <n v="14"/>
    <d v="1956-07-14T00:00:00"/>
    <s v="56071482434"/>
    <n v="3"/>
    <x v="0"/>
  </r>
  <r>
    <x v="612"/>
    <x v="2"/>
    <x v="612"/>
    <n v="1"/>
    <n v="29"/>
    <n v="9"/>
    <x v="54"/>
    <n v="24"/>
    <d v="2000-09-24T00:00:00"/>
    <s v="00292475236"/>
    <n v="3"/>
    <x v="0"/>
  </r>
  <r>
    <x v="613"/>
    <x v="1"/>
    <x v="613"/>
    <n v="1"/>
    <n v="2"/>
    <n v="2"/>
    <x v="14"/>
    <n v="28"/>
    <d v="1973-02-28T00:00:00"/>
    <s v="73022861658"/>
    <n v="5"/>
    <x v="0"/>
  </r>
  <r>
    <x v="614"/>
    <x v="0"/>
    <x v="614"/>
    <n v="2"/>
    <n v="5"/>
    <n v="5"/>
    <x v="31"/>
    <n v="18"/>
    <d v="1997-05-18T00:00:00"/>
    <s v="97051868914"/>
    <n v="1"/>
    <x v="0"/>
  </r>
  <r>
    <x v="615"/>
    <x v="2"/>
    <x v="615"/>
    <n v="1"/>
    <n v="8"/>
    <n v="8"/>
    <x v="63"/>
    <n v="24"/>
    <d v="1998-08-24T00:00:00"/>
    <s v="98082439627"/>
    <n v="2"/>
    <x v="1"/>
  </r>
  <r>
    <x v="616"/>
    <x v="1"/>
    <x v="616"/>
    <n v="1"/>
    <n v="4"/>
    <n v="4"/>
    <x v="5"/>
    <n v="13"/>
    <d v="1927-04-13T00:00:00"/>
    <s v="27041396967"/>
    <n v="6"/>
    <x v="1"/>
  </r>
  <r>
    <x v="617"/>
    <x v="0"/>
    <x v="617"/>
    <n v="2"/>
    <n v="1"/>
    <n v="1"/>
    <x v="80"/>
    <n v="10"/>
    <d v="1952-01-10T00:00:00"/>
    <s v="52011078749"/>
    <n v="4"/>
    <x v="1"/>
  </r>
  <r>
    <x v="618"/>
    <x v="0"/>
    <x v="618"/>
    <n v="1"/>
    <n v="11"/>
    <n v="11"/>
    <x v="45"/>
    <n v="29"/>
    <d v="1940-11-29T00:00:00"/>
    <s v="40112924179"/>
    <n v="7"/>
    <x v="0"/>
  </r>
  <r>
    <x v="619"/>
    <x v="1"/>
    <x v="619"/>
    <n v="1"/>
    <n v="9"/>
    <n v="9"/>
    <x v="11"/>
    <n v="18"/>
    <d v="1938-09-18T00:00:00"/>
    <s v="38091826412"/>
    <n v="1"/>
    <x v="0"/>
  </r>
  <r>
    <x v="620"/>
    <x v="2"/>
    <x v="620"/>
    <n v="1"/>
    <n v="5"/>
    <n v="5"/>
    <x v="47"/>
    <n v="10"/>
    <d v="1983-05-10T00:00:00"/>
    <s v="83051049688"/>
    <n v="8"/>
    <x v="1"/>
  </r>
  <r>
    <x v="621"/>
    <x v="1"/>
    <x v="621"/>
    <n v="1"/>
    <n v="6"/>
    <n v="6"/>
    <x v="2"/>
    <n v="22"/>
    <d v="1978-06-22T00:00:00"/>
    <s v="78062222821"/>
    <n v="2"/>
    <x v="1"/>
  </r>
  <r>
    <x v="622"/>
    <x v="2"/>
    <x v="622"/>
    <n v="2"/>
    <n v="10"/>
    <n v="10"/>
    <x v="44"/>
    <n v="15"/>
    <d v="1925-10-15T00:00:00"/>
    <s v="25101587957"/>
    <n v="5"/>
    <x v="0"/>
  </r>
  <r>
    <x v="623"/>
    <x v="1"/>
    <x v="623"/>
    <n v="1"/>
    <n v="7"/>
    <n v="7"/>
    <x v="50"/>
    <n v="4"/>
    <d v="1956-07-04T00:00:00"/>
    <s v="56070449645"/>
    <n v="4"/>
    <x v="1"/>
  </r>
  <r>
    <x v="624"/>
    <x v="0"/>
    <x v="624"/>
    <n v="2"/>
    <n v="28"/>
    <n v="8"/>
    <x v="1"/>
    <n v="5"/>
    <d v="2009-08-05T00:00:00"/>
    <s v="09280566174"/>
    <n v="7"/>
    <x v="0"/>
  </r>
  <r>
    <x v="625"/>
    <x v="0"/>
    <x v="625"/>
    <n v="1"/>
    <n v="9"/>
    <n v="9"/>
    <x v="58"/>
    <n v="6"/>
    <d v="1989-09-06T00:00:00"/>
    <s v="89090688459"/>
    <n v="5"/>
    <x v="0"/>
  </r>
  <r>
    <x v="626"/>
    <x v="1"/>
    <x v="626"/>
    <n v="1"/>
    <n v="2"/>
    <n v="2"/>
    <x v="45"/>
    <n v="28"/>
    <d v="1940-02-28T00:00:00"/>
    <s v="40022828594"/>
    <n v="9"/>
    <x v="0"/>
  </r>
  <r>
    <x v="627"/>
    <x v="2"/>
    <x v="627"/>
    <n v="1"/>
    <n v="1"/>
    <n v="1"/>
    <x v="5"/>
    <n v="13"/>
    <d v="1927-01-13T00:00:00"/>
    <s v="27011314739"/>
    <n v="3"/>
    <x v="0"/>
  </r>
  <r>
    <x v="628"/>
    <x v="1"/>
    <x v="628"/>
    <n v="1"/>
    <n v="8"/>
    <n v="8"/>
    <x v="30"/>
    <n v="25"/>
    <d v="1948-08-25T00:00:00"/>
    <s v="48082514468"/>
    <n v="6"/>
    <x v="1"/>
  </r>
  <r>
    <x v="629"/>
    <x v="1"/>
    <x v="629"/>
    <n v="1"/>
    <n v="7"/>
    <n v="7"/>
    <x v="63"/>
    <n v="10"/>
    <d v="1998-07-10T00:00:00"/>
    <s v="98071097991"/>
    <n v="9"/>
    <x v="0"/>
  </r>
  <r>
    <x v="630"/>
    <x v="2"/>
    <x v="630"/>
    <n v="2"/>
    <n v="4"/>
    <n v="4"/>
    <x v="67"/>
    <n v="18"/>
    <d v="1964-04-18T00:00:00"/>
    <s v="64041882922"/>
    <n v="2"/>
    <x v="1"/>
  </r>
  <r>
    <x v="631"/>
    <x v="1"/>
    <x v="631"/>
    <n v="1"/>
    <n v="11"/>
    <n v="11"/>
    <x v="25"/>
    <n v="22"/>
    <d v="1991-11-22T00:00:00"/>
    <s v="91112263319"/>
    <n v="1"/>
    <x v="0"/>
  </r>
  <r>
    <x v="632"/>
    <x v="0"/>
    <x v="632"/>
    <n v="2"/>
    <n v="1"/>
    <n v="1"/>
    <x v="10"/>
    <n v="20"/>
    <d v="1921-01-20T00:00:00"/>
    <s v="21012094418"/>
    <n v="1"/>
    <x v="0"/>
  </r>
  <r>
    <x v="633"/>
    <x v="1"/>
    <x v="633"/>
    <n v="1"/>
    <n v="10"/>
    <n v="10"/>
    <x v="40"/>
    <n v="7"/>
    <d v="1932-10-07T00:00:00"/>
    <s v="32100725349"/>
    <n v="4"/>
    <x v="1"/>
  </r>
  <r>
    <x v="634"/>
    <x v="1"/>
    <x v="634"/>
    <n v="1"/>
    <n v="9"/>
    <n v="9"/>
    <x v="48"/>
    <n v="7"/>
    <d v="1924-09-07T00:00:00"/>
    <s v="24090793257"/>
    <n v="5"/>
    <x v="0"/>
  </r>
  <r>
    <x v="635"/>
    <x v="0"/>
    <x v="635"/>
    <n v="2"/>
    <n v="11"/>
    <n v="11"/>
    <x v="33"/>
    <n v="10"/>
    <d v="1960-11-10T00:00:00"/>
    <s v="60111055892"/>
    <n v="9"/>
    <x v="0"/>
  </r>
  <r>
    <x v="636"/>
    <x v="3"/>
    <x v="636"/>
    <n v="2"/>
    <n v="10"/>
    <n v="10"/>
    <x v="75"/>
    <n v="21"/>
    <d v="1976-10-21T00:00:00"/>
    <s v="76102185958"/>
    <n v="5"/>
    <x v="0"/>
  </r>
  <r>
    <x v="637"/>
    <x v="1"/>
    <x v="637"/>
    <n v="1"/>
    <n v="5"/>
    <n v="5"/>
    <x v="76"/>
    <n v="19"/>
    <d v="1936-05-19T00:00:00"/>
    <s v="36051999736"/>
    <n v="3"/>
    <x v="0"/>
  </r>
  <r>
    <x v="638"/>
    <x v="1"/>
    <x v="638"/>
    <n v="1"/>
    <n v="6"/>
    <n v="6"/>
    <x v="25"/>
    <n v="12"/>
    <d v="1991-06-12T00:00:00"/>
    <s v="91061249619"/>
    <n v="1"/>
    <x v="0"/>
  </r>
  <r>
    <x v="639"/>
    <x v="2"/>
    <x v="639"/>
    <n v="1"/>
    <n v="6"/>
    <n v="6"/>
    <x v="15"/>
    <n v="27"/>
    <d v="1953-06-27T00:00:00"/>
    <s v="53062719315"/>
    <n v="1"/>
    <x v="0"/>
  </r>
  <r>
    <x v="640"/>
    <x v="2"/>
    <x v="640"/>
    <n v="2"/>
    <n v="5"/>
    <n v="5"/>
    <x v="80"/>
    <n v="19"/>
    <d v="1952-05-19T00:00:00"/>
    <s v="52051969249"/>
    <n v="4"/>
    <x v="1"/>
  </r>
  <r>
    <x v="641"/>
    <x v="3"/>
    <x v="641"/>
    <n v="2"/>
    <n v="8"/>
    <n v="8"/>
    <x v="47"/>
    <n v="28"/>
    <d v="1983-08-28T00:00:00"/>
    <s v="83082872374"/>
    <n v="7"/>
    <x v="0"/>
  </r>
  <r>
    <x v="642"/>
    <x v="3"/>
    <x v="642"/>
    <n v="2"/>
    <n v="2"/>
    <n v="2"/>
    <x v="67"/>
    <n v="18"/>
    <d v="1964-02-18T00:00:00"/>
    <s v="64021858958"/>
    <n v="5"/>
    <x v="0"/>
  </r>
  <r>
    <x v="643"/>
    <x v="1"/>
    <x v="643"/>
    <n v="1"/>
    <n v="7"/>
    <n v="7"/>
    <x v="7"/>
    <n v="8"/>
    <d v="1979-07-08T00:00:00"/>
    <s v="79070873683"/>
    <n v="8"/>
    <x v="1"/>
  </r>
  <r>
    <x v="644"/>
    <x v="1"/>
    <x v="644"/>
    <n v="1"/>
    <n v="9"/>
    <n v="9"/>
    <x v="31"/>
    <n v="23"/>
    <d v="1997-09-23T00:00:00"/>
    <s v="97092383821"/>
    <n v="2"/>
    <x v="1"/>
  </r>
  <r>
    <x v="645"/>
    <x v="3"/>
    <x v="645"/>
    <n v="2"/>
    <n v="10"/>
    <n v="10"/>
    <x v="51"/>
    <n v="6"/>
    <d v="1975-10-06T00:00:00"/>
    <s v="75100677636"/>
    <n v="3"/>
    <x v="0"/>
  </r>
  <r>
    <x v="646"/>
    <x v="3"/>
    <x v="646"/>
    <n v="2"/>
    <n v="5"/>
    <n v="5"/>
    <x v="33"/>
    <n v="28"/>
    <d v="1960-05-28T00:00:00"/>
    <s v="60052879768"/>
    <n v="6"/>
    <x v="1"/>
  </r>
  <r>
    <x v="647"/>
    <x v="3"/>
    <x v="647"/>
    <n v="2"/>
    <n v="5"/>
    <n v="5"/>
    <x v="84"/>
    <n v="6"/>
    <d v="1982-05-06T00:00:00"/>
    <s v="82050649936"/>
    <n v="3"/>
    <x v="0"/>
  </r>
  <r>
    <x v="648"/>
    <x v="1"/>
    <x v="648"/>
    <n v="1"/>
    <n v="10"/>
    <n v="10"/>
    <x v="82"/>
    <n v="23"/>
    <d v="1987-10-23T00:00:00"/>
    <s v="87102335953"/>
    <n v="5"/>
    <x v="0"/>
  </r>
  <r>
    <x v="649"/>
    <x v="0"/>
    <x v="649"/>
    <n v="2"/>
    <n v="12"/>
    <n v="12"/>
    <x v="24"/>
    <n v="24"/>
    <d v="1930-12-24T00:00:00"/>
    <s v="30122494245"/>
    <n v="4"/>
    <x v="1"/>
  </r>
  <r>
    <x v="650"/>
    <x v="0"/>
    <x v="650"/>
    <n v="2"/>
    <n v="7"/>
    <n v="7"/>
    <x v="62"/>
    <n v="13"/>
    <d v="1969-07-13T00:00:00"/>
    <s v="69071363494"/>
    <n v="9"/>
    <x v="0"/>
  </r>
  <r>
    <x v="651"/>
    <x v="0"/>
    <x v="651"/>
    <n v="2"/>
    <n v="9"/>
    <n v="9"/>
    <x v="27"/>
    <n v="4"/>
    <d v="1959-09-04T00:00:00"/>
    <s v="59090462876"/>
    <n v="7"/>
    <x v="0"/>
  </r>
  <r>
    <x v="652"/>
    <x v="2"/>
    <x v="652"/>
    <n v="1"/>
    <n v="7"/>
    <n v="7"/>
    <x v="45"/>
    <n v="28"/>
    <d v="1940-07-28T00:00:00"/>
    <s v="40072854617"/>
    <n v="1"/>
    <x v="0"/>
  </r>
  <r>
    <x v="653"/>
    <x v="2"/>
    <x v="653"/>
    <n v="2"/>
    <n v="1"/>
    <n v="1"/>
    <x v="39"/>
    <n v="19"/>
    <d v="1992-01-19T00:00:00"/>
    <s v="92011957543"/>
    <n v="4"/>
    <x v="1"/>
  </r>
  <r>
    <x v="654"/>
    <x v="1"/>
    <x v="654"/>
    <n v="1"/>
    <n v="7"/>
    <n v="7"/>
    <x v="35"/>
    <n v="21"/>
    <d v="1935-07-21T00:00:00"/>
    <s v="35072127328"/>
    <n v="2"/>
    <x v="1"/>
  </r>
  <r>
    <x v="655"/>
    <x v="2"/>
    <x v="655"/>
    <n v="2"/>
    <n v="2"/>
    <n v="2"/>
    <x v="60"/>
    <n v="11"/>
    <d v="1981-02-11T00:00:00"/>
    <s v="81021128544"/>
    <n v="4"/>
    <x v="1"/>
  </r>
  <r>
    <x v="656"/>
    <x v="1"/>
    <x v="656"/>
    <n v="1"/>
    <n v="3"/>
    <n v="3"/>
    <x v="35"/>
    <n v="19"/>
    <d v="1935-03-19T00:00:00"/>
    <s v="35031981781"/>
    <n v="8"/>
    <x v="1"/>
  </r>
  <r>
    <x v="657"/>
    <x v="1"/>
    <x v="657"/>
    <n v="1"/>
    <n v="24"/>
    <n v="4"/>
    <x v="54"/>
    <n v="23"/>
    <d v="2000-04-23T00:00:00"/>
    <s v="00242332741"/>
    <n v="4"/>
    <x v="1"/>
  </r>
  <r>
    <x v="658"/>
    <x v="3"/>
    <x v="658"/>
    <n v="1"/>
    <n v="4"/>
    <n v="4"/>
    <x v="64"/>
    <n v="20"/>
    <d v="1993-04-20T00:00:00"/>
    <s v="93042086974"/>
    <n v="7"/>
    <x v="0"/>
  </r>
  <r>
    <x v="659"/>
    <x v="3"/>
    <x v="659"/>
    <n v="1"/>
    <n v="8"/>
    <n v="8"/>
    <x v="47"/>
    <n v="4"/>
    <d v="1983-08-04T00:00:00"/>
    <s v="83080425697"/>
    <n v="9"/>
    <x v="0"/>
  </r>
  <r>
    <x v="660"/>
    <x v="1"/>
    <x v="660"/>
    <n v="1"/>
    <n v="6"/>
    <n v="6"/>
    <x v="27"/>
    <n v="11"/>
    <d v="1959-06-11T00:00:00"/>
    <s v="59061133347"/>
    <n v="4"/>
    <x v="1"/>
  </r>
  <r>
    <x v="661"/>
    <x v="2"/>
    <x v="661"/>
    <n v="1"/>
    <n v="24"/>
    <n v="4"/>
    <x v="26"/>
    <n v="16"/>
    <d v="2006-04-16T00:00:00"/>
    <s v="06241646834"/>
    <n v="3"/>
    <x v="0"/>
  </r>
  <r>
    <x v="662"/>
    <x v="2"/>
    <x v="662"/>
    <n v="2"/>
    <n v="5"/>
    <n v="5"/>
    <x v="57"/>
    <n v="26"/>
    <d v="1999-05-26T00:00:00"/>
    <s v="99052626957"/>
    <n v="5"/>
    <x v="0"/>
  </r>
  <r>
    <x v="663"/>
    <x v="2"/>
    <x v="663"/>
    <n v="1"/>
    <n v="9"/>
    <n v="9"/>
    <x v="56"/>
    <n v="13"/>
    <d v="1995-09-13T00:00:00"/>
    <s v="95091375285"/>
    <n v="8"/>
    <x v="1"/>
  </r>
  <r>
    <x v="664"/>
    <x v="0"/>
    <x v="664"/>
    <n v="2"/>
    <n v="8"/>
    <n v="8"/>
    <x v="2"/>
    <n v="4"/>
    <d v="1978-08-04T00:00:00"/>
    <s v="78080457991"/>
    <n v="9"/>
    <x v="0"/>
  </r>
  <r>
    <x v="665"/>
    <x v="2"/>
    <x v="665"/>
    <n v="2"/>
    <n v="7"/>
    <n v="7"/>
    <x v="38"/>
    <n v="27"/>
    <d v="1986-07-27T00:00:00"/>
    <s v="86072755961"/>
    <n v="6"/>
    <x v="1"/>
  </r>
  <r>
    <x v="666"/>
    <x v="1"/>
    <x v="666"/>
    <n v="1"/>
    <n v="11"/>
    <n v="11"/>
    <x v="64"/>
    <n v="22"/>
    <d v="1993-11-22T00:00:00"/>
    <s v="93112216724"/>
    <n v="2"/>
    <x v="1"/>
  </r>
  <r>
    <x v="667"/>
    <x v="2"/>
    <x v="667"/>
    <n v="1"/>
    <n v="11"/>
    <n v="11"/>
    <x v="57"/>
    <n v="3"/>
    <d v="1999-11-03T00:00:00"/>
    <s v="99110312837"/>
    <n v="3"/>
    <x v="0"/>
  </r>
  <r>
    <x v="668"/>
    <x v="2"/>
    <x v="668"/>
    <n v="2"/>
    <n v="7"/>
    <n v="7"/>
    <x v="2"/>
    <n v="12"/>
    <d v="1978-07-12T00:00:00"/>
    <s v="78071228911"/>
    <n v="1"/>
    <x v="0"/>
  </r>
  <r>
    <x v="669"/>
    <x v="2"/>
    <x v="669"/>
    <n v="1"/>
    <n v="1"/>
    <n v="1"/>
    <x v="81"/>
    <n v="15"/>
    <d v="1966-01-15T00:00:00"/>
    <s v="66011549194"/>
    <n v="9"/>
    <x v="0"/>
  </r>
  <r>
    <x v="670"/>
    <x v="1"/>
    <x v="670"/>
    <n v="1"/>
    <n v="3"/>
    <n v="3"/>
    <x v="39"/>
    <n v="12"/>
    <d v="1992-03-12T00:00:00"/>
    <s v="92031265318"/>
    <n v="1"/>
    <x v="0"/>
  </r>
  <r>
    <x v="671"/>
    <x v="2"/>
    <x v="671"/>
    <n v="2"/>
    <n v="5"/>
    <n v="5"/>
    <x v="56"/>
    <n v="30"/>
    <d v="1995-05-30T00:00:00"/>
    <s v="95053028484"/>
    <n v="8"/>
    <x v="1"/>
  </r>
  <r>
    <x v="672"/>
    <x v="1"/>
    <x v="672"/>
    <n v="1"/>
    <n v="31"/>
    <n v="11"/>
    <x v="49"/>
    <n v="20"/>
    <d v="2002-11-20T00:00:00"/>
    <s v="02312031316"/>
    <n v="1"/>
    <x v="0"/>
  </r>
  <r>
    <x v="673"/>
    <x v="0"/>
    <x v="673"/>
    <n v="1"/>
    <n v="9"/>
    <n v="9"/>
    <x v="35"/>
    <n v="23"/>
    <d v="1935-09-23T00:00:00"/>
    <s v="35092324918"/>
    <n v="1"/>
    <x v="0"/>
  </r>
  <r>
    <x v="674"/>
    <x v="3"/>
    <x v="674"/>
    <n v="1"/>
    <n v="1"/>
    <n v="1"/>
    <x v="71"/>
    <n v="4"/>
    <d v="1965-01-04T00:00:00"/>
    <s v="65010426154"/>
    <n v="5"/>
    <x v="0"/>
  </r>
  <r>
    <x v="675"/>
    <x v="3"/>
    <x v="675"/>
    <n v="1"/>
    <n v="4"/>
    <n v="4"/>
    <x v="44"/>
    <n v="10"/>
    <d v="1925-04-10T00:00:00"/>
    <s v="25041042314"/>
    <n v="1"/>
    <x v="0"/>
  </r>
  <r>
    <x v="676"/>
    <x v="1"/>
    <x v="676"/>
    <n v="1"/>
    <n v="8"/>
    <n v="8"/>
    <x v="6"/>
    <n v="29"/>
    <d v="1949-08-29T00:00:00"/>
    <s v="49082934988"/>
    <n v="8"/>
    <x v="1"/>
  </r>
  <r>
    <x v="677"/>
    <x v="2"/>
    <x v="677"/>
    <n v="2"/>
    <n v="9"/>
    <n v="9"/>
    <x v="63"/>
    <n v="25"/>
    <d v="1998-09-25T00:00:00"/>
    <s v="98092523329"/>
    <n v="2"/>
    <x v="1"/>
  </r>
  <r>
    <x v="678"/>
    <x v="0"/>
    <x v="678"/>
    <n v="1"/>
    <n v="11"/>
    <n v="11"/>
    <x v="52"/>
    <n v="27"/>
    <d v="1957-11-27T00:00:00"/>
    <s v="57112718273"/>
    <n v="7"/>
    <x v="0"/>
  </r>
  <r>
    <x v="679"/>
    <x v="1"/>
    <x v="679"/>
    <n v="1"/>
    <n v="7"/>
    <n v="7"/>
    <x v="44"/>
    <n v="3"/>
    <d v="1925-07-03T00:00:00"/>
    <s v="25070321893"/>
    <n v="9"/>
    <x v="0"/>
  </r>
  <r>
    <x v="680"/>
    <x v="1"/>
    <x v="680"/>
    <n v="1"/>
    <n v="9"/>
    <n v="9"/>
    <x v="72"/>
    <n v="1"/>
    <d v="1961-09-01T00:00:00"/>
    <s v="61090158314"/>
    <n v="1"/>
    <x v="0"/>
  </r>
  <r>
    <x v="681"/>
    <x v="3"/>
    <x v="681"/>
    <n v="2"/>
    <n v="10"/>
    <n v="10"/>
    <x v="33"/>
    <n v="17"/>
    <d v="1960-10-17T00:00:00"/>
    <s v="60101785127"/>
    <n v="2"/>
    <x v="1"/>
  </r>
  <r>
    <x v="682"/>
    <x v="1"/>
    <x v="682"/>
    <n v="1"/>
    <n v="2"/>
    <n v="2"/>
    <x v="66"/>
    <n v="6"/>
    <d v="1996-02-06T00:00:00"/>
    <s v="96020629538"/>
    <n v="3"/>
    <x v="0"/>
  </r>
  <r>
    <x v="683"/>
    <x v="2"/>
    <x v="683"/>
    <n v="1"/>
    <n v="12"/>
    <n v="12"/>
    <x v="20"/>
    <n v="23"/>
    <d v="1980-12-23T00:00:00"/>
    <s v="80122343162"/>
    <n v="6"/>
    <x v="1"/>
  </r>
  <r>
    <x v="684"/>
    <x v="2"/>
    <x v="684"/>
    <n v="1"/>
    <n v="10"/>
    <n v="10"/>
    <x v="31"/>
    <n v="7"/>
    <d v="1997-10-07T00:00:00"/>
    <s v="97100751244"/>
    <n v="4"/>
    <x v="1"/>
  </r>
  <r>
    <x v="685"/>
    <x v="3"/>
    <x v="685"/>
    <n v="2"/>
    <n v="4"/>
    <n v="4"/>
    <x v="89"/>
    <n v="10"/>
    <d v="1974-04-10T00:00:00"/>
    <s v="74041088235"/>
    <n v="3"/>
    <x v="0"/>
  </r>
  <r>
    <x v="686"/>
    <x v="1"/>
    <x v="686"/>
    <n v="1"/>
    <n v="3"/>
    <n v="3"/>
    <x v="11"/>
    <n v="8"/>
    <d v="1938-03-08T00:00:00"/>
    <s v="38030817521"/>
    <n v="2"/>
    <x v="1"/>
  </r>
  <r>
    <x v="687"/>
    <x v="3"/>
    <x v="687"/>
    <n v="2"/>
    <n v="11"/>
    <n v="11"/>
    <x v="84"/>
    <n v="10"/>
    <d v="1982-11-10T00:00:00"/>
    <s v="82111099968"/>
    <n v="6"/>
    <x v="1"/>
  </r>
  <r>
    <x v="688"/>
    <x v="1"/>
    <x v="688"/>
    <n v="1"/>
    <n v="8"/>
    <n v="8"/>
    <x v="19"/>
    <n v="12"/>
    <d v="1990-08-12T00:00:00"/>
    <s v="90081293316"/>
    <n v="1"/>
    <x v="0"/>
  </r>
  <r>
    <x v="689"/>
    <x v="2"/>
    <x v="689"/>
    <n v="1"/>
    <n v="8"/>
    <n v="8"/>
    <x v="78"/>
    <n v="11"/>
    <d v="1968-08-11T00:00:00"/>
    <s v="68081198252"/>
    <n v="5"/>
    <x v="0"/>
  </r>
  <r>
    <x v="690"/>
    <x v="0"/>
    <x v="690"/>
    <n v="1"/>
    <n v="11"/>
    <n v="11"/>
    <x v="38"/>
    <n v="24"/>
    <d v="1986-11-24T00:00:00"/>
    <s v="86112455547"/>
    <n v="4"/>
    <x v="1"/>
  </r>
  <r>
    <x v="691"/>
    <x v="3"/>
    <x v="691"/>
    <n v="1"/>
    <n v="9"/>
    <n v="9"/>
    <x v="48"/>
    <n v="24"/>
    <d v="1924-09-24T00:00:00"/>
    <s v="24092415733"/>
    <n v="3"/>
    <x v="0"/>
  </r>
  <r>
    <x v="692"/>
    <x v="1"/>
    <x v="692"/>
    <n v="1"/>
    <n v="11"/>
    <n v="11"/>
    <x v="39"/>
    <n v="7"/>
    <d v="1992-11-07T00:00:00"/>
    <s v="92110798812"/>
    <n v="1"/>
    <x v="0"/>
  </r>
  <r>
    <x v="693"/>
    <x v="3"/>
    <x v="693"/>
    <n v="2"/>
    <n v="26"/>
    <n v="6"/>
    <x v="23"/>
    <n v="13"/>
    <d v="2008-06-13T00:00:00"/>
    <s v="08261396278"/>
    <n v="7"/>
    <x v="0"/>
  </r>
  <r>
    <x v="694"/>
    <x v="1"/>
    <x v="694"/>
    <n v="1"/>
    <n v="4"/>
    <n v="4"/>
    <x v="76"/>
    <n v="19"/>
    <d v="1936-04-19T00:00:00"/>
    <s v="36041921569"/>
    <n v="6"/>
    <x v="1"/>
  </r>
  <r>
    <x v="695"/>
    <x v="2"/>
    <x v="695"/>
    <n v="1"/>
    <n v="23"/>
    <n v="3"/>
    <x v="26"/>
    <n v="17"/>
    <d v="2006-03-17T00:00:00"/>
    <s v="06231723558"/>
    <n v="5"/>
    <x v="0"/>
  </r>
  <r>
    <x v="696"/>
    <x v="1"/>
    <x v="696"/>
    <n v="1"/>
    <n v="3"/>
    <n v="3"/>
    <x v="51"/>
    <n v="12"/>
    <d v="1975-03-12T00:00:00"/>
    <s v="75031268611"/>
    <n v="1"/>
    <x v="0"/>
  </r>
  <r>
    <x v="697"/>
    <x v="2"/>
    <x v="697"/>
    <n v="1"/>
    <n v="5"/>
    <n v="5"/>
    <x v="30"/>
    <n v="13"/>
    <d v="1948-05-13T00:00:00"/>
    <s v="48051332398"/>
    <n v="9"/>
    <x v="0"/>
  </r>
  <r>
    <x v="698"/>
    <x v="1"/>
    <x v="698"/>
    <n v="1"/>
    <n v="2"/>
    <n v="2"/>
    <x v="40"/>
    <n v="6"/>
    <d v="1932-02-06T00:00:00"/>
    <s v="32020633489"/>
    <n v="8"/>
    <x v="1"/>
  </r>
  <r>
    <x v="699"/>
    <x v="0"/>
    <x v="699"/>
    <n v="2"/>
    <n v="11"/>
    <n v="11"/>
    <x v="46"/>
    <n v="7"/>
    <d v="1945-11-07T00:00:00"/>
    <s v="45110774979"/>
    <n v="7"/>
    <x v="0"/>
  </r>
  <r>
    <x v="700"/>
    <x v="1"/>
    <x v="700"/>
    <n v="1"/>
    <n v="5"/>
    <n v="5"/>
    <x v="78"/>
    <n v="17"/>
    <d v="1968-05-17T00:00:00"/>
    <s v="68051767343"/>
    <n v="4"/>
    <x v="1"/>
  </r>
  <r>
    <x v="701"/>
    <x v="3"/>
    <x v="701"/>
    <n v="1"/>
    <n v="11"/>
    <n v="11"/>
    <x v="74"/>
    <n v="11"/>
    <d v="1944-11-11T00:00:00"/>
    <s v="44111193639"/>
    <n v="3"/>
    <x v="0"/>
  </r>
  <r>
    <x v="702"/>
    <x v="3"/>
    <x v="702"/>
    <n v="2"/>
    <n v="7"/>
    <n v="7"/>
    <x v="86"/>
    <n v="14"/>
    <d v="1984-07-14T00:00:00"/>
    <s v="84071475659"/>
    <n v="5"/>
    <x v="0"/>
  </r>
  <r>
    <x v="703"/>
    <x v="1"/>
    <x v="703"/>
    <n v="1"/>
    <n v="10"/>
    <n v="10"/>
    <x v="88"/>
    <n v="2"/>
    <d v="1951-10-02T00:00:00"/>
    <s v="51100268395"/>
    <n v="9"/>
    <x v="0"/>
  </r>
  <r>
    <x v="704"/>
    <x v="1"/>
    <x v="704"/>
    <n v="1"/>
    <n v="12"/>
    <n v="12"/>
    <x v="0"/>
    <n v="29"/>
    <d v="1950-12-29T00:00:00"/>
    <s v="50122977832"/>
    <n v="3"/>
    <x v="0"/>
  </r>
  <r>
    <x v="705"/>
    <x v="1"/>
    <x v="705"/>
    <n v="1"/>
    <n v="2"/>
    <n v="2"/>
    <x v="34"/>
    <n v="5"/>
    <d v="1977-02-05T00:00:00"/>
    <s v="77020522748"/>
    <n v="4"/>
    <x v="1"/>
  </r>
  <r>
    <x v="706"/>
    <x v="2"/>
    <x v="706"/>
    <n v="1"/>
    <n v="10"/>
    <n v="10"/>
    <x v="50"/>
    <n v="8"/>
    <d v="1956-10-08T00:00:00"/>
    <s v="56100891974"/>
    <n v="7"/>
    <x v="0"/>
  </r>
  <r>
    <x v="707"/>
    <x v="1"/>
    <x v="707"/>
    <n v="1"/>
    <n v="1"/>
    <n v="1"/>
    <x v="46"/>
    <n v="19"/>
    <d v="1945-01-19T00:00:00"/>
    <s v="45011941212"/>
    <n v="1"/>
    <x v="0"/>
  </r>
  <r>
    <x v="708"/>
    <x v="2"/>
    <x v="708"/>
    <n v="2"/>
    <n v="9"/>
    <n v="9"/>
    <x v="60"/>
    <n v="4"/>
    <d v="1981-09-04T00:00:00"/>
    <s v="81090457923"/>
    <n v="2"/>
    <x v="1"/>
  </r>
  <r>
    <x v="709"/>
    <x v="1"/>
    <x v="709"/>
    <n v="1"/>
    <n v="12"/>
    <n v="12"/>
    <x v="3"/>
    <n v="22"/>
    <d v="1970-12-22T00:00:00"/>
    <s v="70122286888"/>
    <n v="8"/>
    <x v="1"/>
  </r>
  <r>
    <x v="710"/>
    <x v="3"/>
    <x v="710"/>
    <n v="2"/>
    <n v="3"/>
    <n v="3"/>
    <x v="76"/>
    <n v="18"/>
    <d v="1936-03-18T00:00:00"/>
    <s v="36031815159"/>
    <n v="5"/>
    <x v="0"/>
  </r>
  <r>
    <x v="711"/>
    <x v="1"/>
    <x v="711"/>
    <n v="1"/>
    <n v="9"/>
    <n v="9"/>
    <x v="28"/>
    <n v="16"/>
    <d v="1958-09-16T00:00:00"/>
    <s v="58091635692"/>
    <n v="9"/>
    <x v="0"/>
  </r>
  <r>
    <x v="712"/>
    <x v="1"/>
    <x v="712"/>
    <n v="1"/>
    <n v="11"/>
    <n v="11"/>
    <x v="67"/>
    <n v="27"/>
    <d v="1964-11-27T00:00:00"/>
    <s v="64112712121"/>
    <n v="2"/>
    <x v="1"/>
  </r>
  <r>
    <x v="713"/>
    <x v="1"/>
    <x v="713"/>
    <n v="1"/>
    <n v="1"/>
    <n v="1"/>
    <x v="81"/>
    <n v="15"/>
    <d v="1966-01-15T00:00:00"/>
    <s v="66011597562"/>
    <n v="6"/>
    <x v="1"/>
  </r>
  <r>
    <x v="714"/>
    <x v="2"/>
    <x v="714"/>
    <n v="1"/>
    <n v="12"/>
    <n v="12"/>
    <x v="20"/>
    <n v="22"/>
    <d v="1980-12-22T00:00:00"/>
    <s v="80122265644"/>
    <n v="4"/>
    <x v="1"/>
  </r>
  <r>
    <x v="715"/>
    <x v="3"/>
    <x v="715"/>
    <n v="1"/>
    <n v="1"/>
    <n v="1"/>
    <x v="20"/>
    <n v="4"/>
    <d v="1980-01-04T00:00:00"/>
    <s v="80010449156"/>
    <n v="5"/>
    <x v="0"/>
  </r>
  <r>
    <x v="716"/>
    <x v="1"/>
    <x v="716"/>
    <n v="1"/>
    <n v="7"/>
    <n v="7"/>
    <x v="71"/>
    <n v="5"/>
    <d v="1965-07-05T00:00:00"/>
    <s v="65070514862"/>
    <n v="6"/>
    <x v="1"/>
  </r>
  <r>
    <x v="717"/>
    <x v="0"/>
    <x v="717"/>
    <n v="1"/>
    <n v="8"/>
    <n v="8"/>
    <x v="57"/>
    <n v="28"/>
    <d v="1999-08-28T00:00:00"/>
    <s v="99082877196"/>
    <n v="9"/>
    <x v="0"/>
  </r>
  <r>
    <x v="718"/>
    <x v="1"/>
    <x v="718"/>
    <n v="1"/>
    <n v="30"/>
    <n v="10"/>
    <x v="16"/>
    <n v="19"/>
    <d v="2004-10-19T00:00:00"/>
    <s v="04301916244"/>
    <n v="4"/>
    <x v="1"/>
  </r>
  <r>
    <x v="719"/>
    <x v="2"/>
    <x v="719"/>
    <n v="1"/>
    <n v="4"/>
    <n v="4"/>
    <x v="84"/>
    <n v="10"/>
    <d v="1982-04-10T00:00:00"/>
    <s v="82041048153"/>
    <n v="5"/>
    <x v="0"/>
  </r>
  <r>
    <x v="720"/>
    <x v="2"/>
    <x v="720"/>
    <n v="2"/>
    <n v="12"/>
    <n v="12"/>
    <x v="13"/>
    <n v="8"/>
    <d v="1934-12-08T00:00:00"/>
    <s v="34120819787"/>
    <n v="8"/>
    <x v="1"/>
  </r>
  <r>
    <x v="721"/>
    <x v="0"/>
    <x v="721"/>
    <n v="2"/>
    <n v="1"/>
    <n v="1"/>
    <x v="9"/>
    <n v="30"/>
    <d v="1933-01-30T00:00:00"/>
    <s v="33013033275"/>
    <n v="7"/>
    <x v="0"/>
  </r>
  <r>
    <x v="722"/>
    <x v="3"/>
    <x v="722"/>
    <n v="1"/>
    <n v="11"/>
    <n v="11"/>
    <x v="39"/>
    <n v="27"/>
    <d v="1992-11-27T00:00:00"/>
    <s v="92112735222"/>
    <n v="2"/>
    <x v="1"/>
  </r>
  <r>
    <x v="723"/>
    <x v="1"/>
    <x v="723"/>
    <n v="1"/>
    <n v="1"/>
    <n v="1"/>
    <x v="44"/>
    <n v="7"/>
    <d v="1925-01-07T00:00:00"/>
    <s v="25010776758"/>
    <n v="5"/>
    <x v="0"/>
  </r>
  <r>
    <x v="724"/>
    <x v="2"/>
    <x v="724"/>
    <n v="1"/>
    <n v="10"/>
    <n v="10"/>
    <x v="52"/>
    <n v="8"/>
    <d v="1957-10-08T00:00:00"/>
    <s v="57100835496"/>
    <n v="9"/>
    <x v="0"/>
  </r>
  <r>
    <x v="725"/>
    <x v="2"/>
    <x v="725"/>
    <n v="1"/>
    <n v="12"/>
    <n v="12"/>
    <x v="71"/>
    <n v="12"/>
    <d v="1965-12-12T00:00:00"/>
    <s v="65121249114"/>
    <n v="1"/>
    <x v="0"/>
  </r>
  <r>
    <x v="726"/>
    <x v="1"/>
    <x v="726"/>
    <n v="1"/>
    <n v="6"/>
    <n v="6"/>
    <x v="37"/>
    <n v="10"/>
    <d v="1926-06-10T00:00:00"/>
    <s v="26061058275"/>
    <n v="7"/>
    <x v="0"/>
  </r>
  <r>
    <x v="727"/>
    <x v="0"/>
    <x v="727"/>
    <n v="2"/>
    <n v="3"/>
    <n v="3"/>
    <x v="41"/>
    <n v="11"/>
    <d v="1988-03-11T00:00:00"/>
    <s v="88031152516"/>
    <n v="1"/>
    <x v="0"/>
  </r>
  <r>
    <x v="728"/>
    <x v="3"/>
    <x v="728"/>
    <n v="2"/>
    <n v="3"/>
    <n v="3"/>
    <x v="37"/>
    <n v="7"/>
    <d v="1926-03-07T00:00:00"/>
    <s v="26030776337"/>
    <n v="3"/>
    <x v="0"/>
  </r>
  <r>
    <x v="729"/>
    <x v="3"/>
    <x v="729"/>
    <n v="2"/>
    <n v="31"/>
    <n v="11"/>
    <x v="26"/>
    <n v="9"/>
    <d v="2006-11-09T00:00:00"/>
    <s v="06310913124"/>
    <n v="2"/>
    <x v="1"/>
  </r>
  <r>
    <x v="730"/>
    <x v="3"/>
    <x v="730"/>
    <n v="1"/>
    <n v="2"/>
    <n v="2"/>
    <x v="5"/>
    <n v="6"/>
    <d v="1927-02-06T00:00:00"/>
    <s v="27020649316"/>
    <n v="1"/>
    <x v="0"/>
  </r>
  <r>
    <x v="731"/>
    <x v="1"/>
    <x v="731"/>
    <n v="1"/>
    <n v="3"/>
    <n v="3"/>
    <x v="46"/>
    <n v="14"/>
    <d v="1945-03-14T00:00:00"/>
    <s v="45031494446"/>
    <n v="4"/>
    <x v="1"/>
  </r>
  <r>
    <x v="732"/>
    <x v="1"/>
    <x v="732"/>
    <n v="1"/>
    <n v="11"/>
    <n v="11"/>
    <x v="75"/>
    <n v="28"/>
    <d v="1976-11-28T00:00:00"/>
    <s v="76112869819"/>
    <n v="1"/>
    <x v="0"/>
  </r>
  <r>
    <x v="733"/>
    <x v="2"/>
    <x v="733"/>
    <n v="1"/>
    <n v="8"/>
    <n v="8"/>
    <x v="33"/>
    <n v="20"/>
    <d v="1960-08-20T00:00:00"/>
    <s v="60082029883"/>
    <n v="8"/>
    <x v="1"/>
  </r>
  <r>
    <x v="734"/>
    <x v="2"/>
    <x v="734"/>
    <n v="2"/>
    <n v="6"/>
    <n v="6"/>
    <x v="88"/>
    <n v="24"/>
    <d v="1951-06-24T00:00:00"/>
    <s v="51062491811"/>
    <n v="1"/>
    <x v="0"/>
  </r>
  <r>
    <x v="735"/>
    <x v="3"/>
    <x v="735"/>
    <n v="2"/>
    <n v="11"/>
    <n v="11"/>
    <x v="45"/>
    <n v="14"/>
    <d v="1940-11-14T00:00:00"/>
    <s v="40111493892"/>
    <n v="9"/>
    <x v="0"/>
  </r>
  <r>
    <x v="736"/>
    <x v="1"/>
    <x v="736"/>
    <n v="1"/>
    <n v="12"/>
    <n v="12"/>
    <x v="57"/>
    <n v="20"/>
    <d v="1999-12-20T00:00:00"/>
    <s v="99122046784"/>
    <n v="8"/>
    <x v="1"/>
  </r>
  <r>
    <x v="737"/>
    <x v="1"/>
    <x v="737"/>
    <n v="1"/>
    <n v="2"/>
    <n v="2"/>
    <x v="9"/>
    <n v="27"/>
    <d v="1933-02-27T00:00:00"/>
    <s v="33022763466"/>
    <n v="6"/>
    <x v="1"/>
  </r>
  <r>
    <x v="738"/>
    <x v="0"/>
    <x v="738"/>
    <n v="1"/>
    <n v="6"/>
    <n v="6"/>
    <x v="15"/>
    <n v="2"/>
    <d v="1953-06-02T00:00:00"/>
    <s v="53060254227"/>
    <n v="2"/>
    <x v="1"/>
  </r>
  <r>
    <x v="739"/>
    <x v="0"/>
    <x v="739"/>
    <n v="1"/>
    <n v="23"/>
    <n v="3"/>
    <x v="59"/>
    <n v="15"/>
    <d v="2001-03-15T00:00:00"/>
    <s v="01231531925"/>
    <n v="2"/>
    <x v="1"/>
  </r>
  <r>
    <x v="740"/>
    <x v="2"/>
    <x v="740"/>
    <n v="1"/>
    <n v="9"/>
    <n v="9"/>
    <x v="45"/>
    <n v="30"/>
    <d v="1940-09-30T00:00:00"/>
    <s v="40093026165"/>
    <n v="6"/>
    <x v="1"/>
  </r>
  <r>
    <x v="741"/>
    <x v="0"/>
    <x v="741"/>
    <n v="2"/>
    <n v="4"/>
    <n v="4"/>
    <x v="14"/>
    <n v="23"/>
    <d v="1973-04-23T00:00:00"/>
    <s v="73042365376"/>
    <n v="7"/>
    <x v="0"/>
  </r>
  <r>
    <x v="742"/>
    <x v="3"/>
    <x v="742"/>
    <n v="2"/>
    <n v="8"/>
    <n v="8"/>
    <x v="18"/>
    <n v="21"/>
    <d v="1963-08-21T00:00:00"/>
    <s v="63082122785"/>
    <n v="8"/>
    <x v="1"/>
  </r>
  <r>
    <x v="743"/>
    <x v="1"/>
    <x v="743"/>
    <n v="1"/>
    <n v="7"/>
    <n v="7"/>
    <x v="0"/>
    <n v="1"/>
    <d v="1950-07-01T00:00:00"/>
    <s v="50070111638"/>
    <n v="3"/>
    <x v="0"/>
  </r>
  <r>
    <x v="744"/>
    <x v="2"/>
    <x v="744"/>
    <n v="2"/>
    <n v="4"/>
    <n v="4"/>
    <x v="87"/>
    <n v="14"/>
    <d v="1922-04-14T00:00:00"/>
    <s v="22041442366"/>
    <n v="6"/>
    <x v="1"/>
  </r>
  <r>
    <x v="745"/>
    <x v="1"/>
    <x v="745"/>
    <n v="1"/>
    <n v="12"/>
    <n v="12"/>
    <x v="35"/>
    <n v="26"/>
    <d v="1935-12-26T00:00:00"/>
    <s v="35122696673"/>
    <n v="7"/>
    <x v="0"/>
  </r>
  <r>
    <x v="746"/>
    <x v="1"/>
    <x v="746"/>
    <n v="1"/>
    <n v="8"/>
    <n v="8"/>
    <x v="78"/>
    <n v="5"/>
    <d v="1968-08-05T00:00:00"/>
    <s v="68080517485"/>
    <n v="8"/>
    <x v="1"/>
  </r>
  <r>
    <x v="747"/>
    <x v="1"/>
    <x v="747"/>
    <n v="1"/>
    <n v="24"/>
    <n v="4"/>
    <x v="54"/>
    <n v="22"/>
    <d v="2000-04-22T00:00:00"/>
    <s v="00242225256"/>
    <n v="5"/>
    <x v="0"/>
  </r>
  <r>
    <x v="748"/>
    <x v="1"/>
    <x v="748"/>
    <n v="1"/>
    <n v="6"/>
    <n v="6"/>
    <x v="0"/>
    <n v="13"/>
    <d v="1950-06-13T00:00:00"/>
    <s v="50061356156"/>
    <n v="5"/>
    <x v="0"/>
  </r>
  <r>
    <x v="749"/>
    <x v="0"/>
    <x v="749"/>
    <n v="1"/>
    <n v="2"/>
    <n v="2"/>
    <x v="25"/>
    <n v="21"/>
    <d v="1991-02-21T00:00:00"/>
    <s v="91022175957"/>
    <n v="5"/>
    <x v="0"/>
  </r>
  <r>
    <x v="750"/>
    <x v="0"/>
    <x v="750"/>
    <n v="1"/>
    <n v="10"/>
    <n v="10"/>
    <x v="83"/>
    <n v="2"/>
    <d v="1943-10-02T00:00:00"/>
    <s v="43100281726"/>
    <n v="2"/>
    <x v="1"/>
  </r>
  <r>
    <x v="751"/>
    <x v="1"/>
    <x v="751"/>
    <n v="1"/>
    <n v="2"/>
    <n v="2"/>
    <x v="81"/>
    <n v="5"/>
    <d v="1966-02-05T00:00:00"/>
    <s v="66020552185"/>
    <n v="8"/>
    <x v="1"/>
  </r>
  <r>
    <x v="752"/>
    <x v="1"/>
    <x v="752"/>
    <n v="1"/>
    <n v="6"/>
    <n v="6"/>
    <x v="17"/>
    <n v="29"/>
    <d v="1942-06-29T00:00:00"/>
    <s v="42062978969"/>
    <n v="6"/>
    <x v="1"/>
  </r>
  <r>
    <x v="753"/>
    <x v="1"/>
    <x v="753"/>
    <n v="1"/>
    <n v="4"/>
    <n v="4"/>
    <x v="36"/>
    <n v="10"/>
    <d v="1954-04-10T00:00:00"/>
    <s v="54041042376"/>
    <n v="7"/>
    <x v="0"/>
  </r>
  <r>
    <x v="754"/>
    <x v="1"/>
    <x v="754"/>
    <n v="1"/>
    <n v="1"/>
    <n v="1"/>
    <x v="10"/>
    <n v="31"/>
    <d v="1921-01-31T00:00:00"/>
    <s v="21013119149"/>
    <n v="4"/>
    <x v="1"/>
  </r>
  <r>
    <x v="755"/>
    <x v="3"/>
    <x v="755"/>
    <n v="2"/>
    <n v="12"/>
    <n v="12"/>
    <x v="62"/>
    <n v="20"/>
    <d v="1969-12-20T00:00:00"/>
    <s v="69122033354"/>
    <n v="5"/>
    <x v="0"/>
  </r>
  <r>
    <x v="756"/>
    <x v="1"/>
    <x v="756"/>
    <n v="1"/>
    <n v="6"/>
    <n v="6"/>
    <x v="81"/>
    <n v="30"/>
    <d v="1966-06-30T00:00:00"/>
    <s v="66063067127"/>
    <n v="2"/>
    <x v="1"/>
  </r>
  <r>
    <x v="757"/>
    <x v="2"/>
    <x v="757"/>
    <n v="1"/>
    <n v="9"/>
    <n v="9"/>
    <x v="77"/>
    <n v="29"/>
    <d v="1920-09-29T00:00:00"/>
    <s v="20092948718"/>
    <n v="1"/>
    <x v="0"/>
  </r>
  <r>
    <x v="758"/>
    <x v="2"/>
    <x v="758"/>
    <n v="1"/>
    <n v="7"/>
    <n v="7"/>
    <x v="27"/>
    <n v="23"/>
    <d v="1959-07-23T00:00:00"/>
    <s v="59072322767"/>
    <n v="6"/>
    <x v="1"/>
  </r>
  <r>
    <x v="759"/>
    <x v="0"/>
    <x v="759"/>
    <n v="1"/>
    <n v="30"/>
    <n v="10"/>
    <x v="42"/>
    <n v="7"/>
    <d v="2005-10-07T00:00:00"/>
    <s v="05300727525"/>
    <n v="2"/>
    <x v="1"/>
  </r>
  <r>
    <x v="760"/>
    <x v="0"/>
    <x v="760"/>
    <n v="1"/>
    <n v="2"/>
    <n v="2"/>
    <x v="39"/>
    <n v="1"/>
    <d v="1992-02-01T00:00:00"/>
    <s v="92020137895"/>
    <n v="9"/>
    <x v="0"/>
  </r>
  <r>
    <x v="761"/>
    <x v="1"/>
    <x v="761"/>
    <n v="1"/>
    <n v="9"/>
    <n v="9"/>
    <x v="65"/>
    <n v="7"/>
    <d v="1985-09-07T00:00:00"/>
    <s v="85090738378"/>
    <n v="7"/>
    <x v="0"/>
  </r>
  <r>
    <x v="762"/>
    <x v="1"/>
    <x v="762"/>
    <n v="1"/>
    <n v="6"/>
    <n v="6"/>
    <x v="85"/>
    <n v="7"/>
    <d v="1941-06-07T00:00:00"/>
    <s v="41060745555"/>
    <n v="5"/>
    <x v="0"/>
  </r>
  <r>
    <x v="763"/>
    <x v="1"/>
    <x v="763"/>
    <n v="1"/>
    <n v="6"/>
    <n v="6"/>
    <x v="53"/>
    <n v="13"/>
    <d v="1994-06-13T00:00:00"/>
    <s v="94061387495"/>
    <n v="9"/>
    <x v="0"/>
  </r>
  <r>
    <x v="764"/>
    <x v="0"/>
    <x v="764"/>
    <n v="2"/>
    <n v="4"/>
    <n v="4"/>
    <x v="89"/>
    <n v="30"/>
    <d v="1974-04-30T00:00:00"/>
    <s v="74043054933"/>
    <n v="3"/>
    <x v="0"/>
  </r>
  <r>
    <x v="765"/>
    <x v="3"/>
    <x v="765"/>
    <n v="1"/>
    <n v="24"/>
    <n v="4"/>
    <x v="16"/>
    <n v="9"/>
    <d v="2004-04-09T00:00:00"/>
    <s v="04240923383"/>
    <n v="8"/>
    <x v="1"/>
  </r>
  <r>
    <x v="766"/>
    <x v="1"/>
    <x v="766"/>
    <n v="1"/>
    <n v="10"/>
    <n v="10"/>
    <x v="61"/>
    <n v="4"/>
    <d v="1928-10-04T00:00:00"/>
    <s v="28100451674"/>
    <n v="7"/>
    <x v="0"/>
  </r>
  <r>
    <x v="767"/>
    <x v="2"/>
    <x v="767"/>
    <n v="2"/>
    <n v="4"/>
    <n v="4"/>
    <x v="24"/>
    <n v="15"/>
    <d v="1930-04-15T00:00:00"/>
    <s v="30041586876"/>
    <n v="7"/>
    <x v="0"/>
  </r>
  <r>
    <x v="768"/>
    <x v="1"/>
    <x v="768"/>
    <n v="1"/>
    <n v="5"/>
    <n v="5"/>
    <x v="29"/>
    <n v="9"/>
    <d v="1937-05-09T00:00:00"/>
    <s v="37050927434"/>
    <n v="3"/>
    <x v="0"/>
  </r>
  <r>
    <x v="769"/>
    <x v="2"/>
    <x v="769"/>
    <n v="1"/>
    <n v="4"/>
    <n v="4"/>
    <x v="10"/>
    <n v="3"/>
    <d v="1921-04-03T00:00:00"/>
    <s v="21040358249"/>
    <n v="4"/>
    <x v="1"/>
  </r>
  <r>
    <x v="770"/>
    <x v="0"/>
    <x v="770"/>
    <n v="1"/>
    <n v="12"/>
    <n v="12"/>
    <x v="60"/>
    <n v="9"/>
    <d v="1981-12-09T00:00:00"/>
    <s v="81120991883"/>
    <n v="8"/>
    <x v="1"/>
  </r>
  <r>
    <x v="771"/>
    <x v="3"/>
    <x v="771"/>
    <n v="2"/>
    <n v="22"/>
    <n v="2"/>
    <x v="69"/>
    <n v="2"/>
    <d v="2003-02-02T00:00:00"/>
    <s v="03220281794"/>
    <n v="9"/>
    <x v="0"/>
  </r>
  <r>
    <x v="772"/>
    <x v="1"/>
    <x v="772"/>
    <n v="1"/>
    <n v="2"/>
    <n v="2"/>
    <x v="0"/>
    <n v="15"/>
    <d v="1950-02-15T00:00:00"/>
    <s v="50021519195"/>
    <n v="9"/>
    <x v="0"/>
  </r>
  <r>
    <x v="773"/>
    <x v="0"/>
    <x v="773"/>
    <n v="1"/>
    <n v="4"/>
    <n v="4"/>
    <x v="4"/>
    <n v="18"/>
    <d v="1972-04-18T00:00:00"/>
    <s v="72041899866"/>
    <n v="6"/>
    <x v="1"/>
  </r>
  <r>
    <x v="774"/>
    <x v="2"/>
    <x v="774"/>
    <n v="1"/>
    <n v="11"/>
    <n v="11"/>
    <x v="8"/>
    <n v="6"/>
    <d v="1967-11-06T00:00:00"/>
    <s v="67110663536"/>
    <n v="3"/>
    <x v="0"/>
  </r>
  <r>
    <x v="775"/>
    <x v="1"/>
    <x v="775"/>
    <n v="1"/>
    <n v="11"/>
    <n v="11"/>
    <x v="88"/>
    <n v="19"/>
    <d v="1951-11-19T00:00:00"/>
    <s v="51111963535"/>
    <n v="3"/>
    <x v="0"/>
  </r>
  <r>
    <x v="776"/>
    <x v="1"/>
    <x v="776"/>
    <n v="1"/>
    <n v="5"/>
    <n v="5"/>
    <x v="14"/>
    <n v="17"/>
    <d v="1973-05-17T00:00:00"/>
    <s v="73051797551"/>
    <n v="5"/>
    <x v="0"/>
  </r>
  <r>
    <x v="777"/>
    <x v="2"/>
    <x v="777"/>
    <n v="2"/>
    <n v="30"/>
    <n v="10"/>
    <x v="73"/>
    <n v="23"/>
    <d v="2007-10-23T00:00:00"/>
    <s v="07302324298"/>
    <n v="9"/>
    <x v="0"/>
  </r>
  <r>
    <x v="778"/>
    <x v="2"/>
    <x v="778"/>
    <n v="1"/>
    <n v="8"/>
    <n v="8"/>
    <x v="65"/>
    <n v="28"/>
    <d v="1985-08-28T00:00:00"/>
    <s v="85082853229"/>
    <n v="2"/>
    <x v="1"/>
  </r>
  <r>
    <x v="779"/>
    <x v="1"/>
    <x v="779"/>
    <n v="1"/>
    <n v="30"/>
    <n v="10"/>
    <x v="59"/>
    <n v="30"/>
    <d v="2001-10-30T00:00:00"/>
    <s v="01303087585"/>
    <n v="8"/>
    <x v="1"/>
  </r>
  <r>
    <x v="780"/>
    <x v="2"/>
    <x v="780"/>
    <n v="2"/>
    <n v="10"/>
    <n v="10"/>
    <x v="48"/>
    <n v="31"/>
    <d v="1924-10-31T00:00:00"/>
    <s v="24103124645"/>
    <n v="4"/>
    <x v="1"/>
  </r>
  <r>
    <x v="781"/>
    <x v="2"/>
    <x v="781"/>
    <n v="2"/>
    <n v="3"/>
    <n v="3"/>
    <x v="15"/>
    <n v="13"/>
    <d v="1953-03-13T00:00:00"/>
    <s v="53031368678"/>
    <n v="7"/>
    <x v="0"/>
  </r>
  <r>
    <x v="782"/>
    <x v="0"/>
    <x v="782"/>
    <n v="1"/>
    <n v="31"/>
    <n v="11"/>
    <x v="49"/>
    <n v="16"/>
    <d v="2002-11-16T00:00:00"/>
    <s v="02311665831"/>
    <n v="3"/>
    <x v="0"/>
  </r>
  <r>
    <x v="783"/>
    <x v="0"/>
    <x v="783"/>
    <n v="1"/>
    <n v="1"/>
    <n v="1"/>
    <x v="13"/>
    <n v="28"/>
    <d v="1934-01-28T00:00:00"/>
    <s v="34012884695"/>
    <n v="9"/>
    <x v="0"/>
  </r>
  <r>
    <x v="784"/>
    <x v="1"/>
    <x v="784"/>
    <n v="1"/>
    <n v="11"/>
    <n v="11"/>
    <x v="40"/>
    <n v="9"/>
    <d v="1932-11-09T00:00:00"/>
    <s v="32110971772"/>
    <n v="7"/>
    <x v="0"/>
  </r>
  <r>
    <x v="785"/>
    <x v="2"/>
    <x v="785"/>
    <n v="1"/>
    <n v="1"/>
    <n v="1"/>
    <x v="72"/>
    <n v="5"/>
    <d v="1961-01-05T00:00:00"/>
    <s v="61010554877"/>
    <n v="7"/>
    <x v="0"/>
  </r>
  <r>
    <x v="786"/>
    <x v="2"/>
    <x v="786"/>
    <n v="2"/>
    <n v="6"/>
    <n v="6"/>
    <x v="2"/>
    <n v="25"/>
    <d v="1978-06-25T00:00:00"/>
    <s v="78062549665"/>
    <n v="6"/>
    <x v="1"/>
  </r>
  <r>
    <x v="787"/>
    <x v="2"/>
    <x v="787"/>
    <n v="1"/>
    <n v="4"/>
    <n v="4"/>
    <x v="77"/>
    <n v="19"/>
    <d v="1920-04-19T00:00:00"/>
    <s v="20041912689"/>
    <n v="8"/>
    <x v="1"/>
  </r>
  <r>
    <x v="788"/>
    <x v="1"/>
    <x v="788"/>
    <n v="1"/>
    <n v="12"/>
    <n v="12"/>
    <x v="2"/>
    <n v="8"/>
    <d v="1978-12-08T00:00:00"/>
    <s v="78120853329"/>
    <n v="2"/>
    <x v="1"/>
  </r>
  <r>
    <x v="789"/>
    <x v="3"/>
    <x v="789"/>
    <n v="1"/>
    <n v="5"/>
    <n v="5"/>
    <x v="15"/>
    <n v="25"/>
    <d v="1953-05-25T00:00:00"/>
    <s v="53052543443"/>
    <n v="4"/>
    <x v="1"/>
  </r>
  <r>
    <x v="790"/>
    <x v="1"/>
    <x v="790"/>
    <n v="1"/>
    <n v="8"/>
    <n v="8"/>
    <x v="51"/>
    <n v="28"/>
    <d v="1975-08-28T00:00:00"/>
    <s v="75082852618"/>
    <n v="1"/>
    <x v="0"/>
  </r>
  <r>
    <x v="791"/>
    <x v="0"/>
    <x v="791"/>
    <n v="1"/>
    <n v="5"/>
    <n v="5"/>
    <x v="61"/>
    <n v="4"/>
    <d v="1928-05-04T00:00:00"/>
    <s v="28050452851"/>
    <n v="5"/>
    <x v="0"/>
  </r>
  <r>
    <x v="792"/>
    <x v="1"/>
    <x v="792"/>
    <n v="1"/>
    <n v="24"/>
    <n v="4"/>
    <x v="59"/>
    <n v="16"/>
    <d v="2001-04-16T00:00:00"/>
    <s v="01241694474"/>
    <n v="7"/>
    <x v="0"/>
  </r>
  <r>
    <x v="793"/>
    <x v="0"/>
    <x v="793"/>
    <n v="2"/>
    <n v="7"/>
    <n v="7"/>
    <x v="3"/>
    <n v="27"/>
    <d v="1970-07-27T00:00:00"/>
    <s v="70072711216"/>
    <n v="1"/>
    <x v="0"/>
  </r>
  <r>
    <x v="794"/>
    <x v="1"/>
    <x v="794"/>
    <n v="1"/>
    <n v="3"/>
    <n v="3"/>
    <x v="25"/>
    <n v="3"/>
    <d v="1991-03-03T00:00:00"/>
    <s v="91030314931"/>
    <n v="3"/>
    <x v="0"/>
  </r>
  <r>
    <x v="795"/>
    <x v="2"/>
    <x v="795"/>
    <n v="2"/>
    <n v="26"/>
    <n v="6"/>
    <x v="42"/>
    <n v="6"/>
    <d v="2005-06-06T00:00:00"/>
    <s v="05260658897"/>
    <n v="9"/>
    <x v="0"/>
  </r>
  <r>
    <x v="796"/>
    <x v="1"/>
    <x v="796"/>
    <n v="1"/>
    <n v="12"/>
    <n v="12"/>
    <x v="32"/>
    <n v="27"/>
    <d v="1946-12-27T00:00:00"/>
    <s v="46122793413"/>
    <n v="1"/>
    <x v="0"/>
  </r>
  <r>
    <x v="797"/>
    <x v="0"/>
    <x v="797"/>
    <n v="2"/>
    <n v="25"/>
    <n v="5"/>
    <x v="69"/>
    <n v="10"/>
    <d v="2003-05-10T00:00:00"/>
    <s v="03251014336"/>
    <n v="3"/>
    <x v="0"/>
  </r>
  <r>
    <x v="798"/>
    <x v="3"/>
    <x v="798"/>
    <n v="1"/>
    <n v="10"/>
    <n v="10"/>
    <x v="44"/>
    <n v="8"/>
    <d v="1925-10-08T00:00:00"/>
    <s v="25100881533"/>
    <n v="3"/>
    <x v="0"/>
  </r>
  <r>
    <x v="799"/>
    <x v="1"/>
    <x v="799"/>
    <n v="1"/>
    <n v="27"/>
    <n v="7"/>
    <x v="49"/>
    <n v="14"/>
    <d v="2002-07-14T00:00:00"/>
    <s v="02271493745"/>
    <n v="4"/>
    <x v="1"/>
  </r>
  <r>
    <x v="800"/>
    <x v="0"/>
    <x v="800"/>
    <n v="1"/>
    <n v="10"/>
    <n v="10"/>
    <x v="36"/>
    <n v="21"/>
    <d v="1954-10-21T00:00:00"/>
    <s v="54102164119"/>
    <n v="1"/>
    <x v="0"/>
  </r>
  <r>
    <x v="801"/>
    <x v="2"/>
    <x v="801"/>
    <n v="2"/>
    <n v="28"/>
    <n v="8"/>
    <x v="16"/>
    <n v="25"/>
    <d v="2004-08-25T00:00:00"/>
    <s v="04282562647"/>
    <n v="4"/>
    <x v="1"/>
  </r>
  <r>
    <x v="802"/>
    <x v="3"/>
    <x v="802"/>
    <n v="1"/>
    <n v="29"/>
    <n v="9"/>
    <x v="49"/>
    <n v="5"/>
    <d v="2002-09-05T00:00:00"/>
    <s v="02290535572"/>
    <n v="7"/>
    <x v="0"/>
  </r>
  <r>
    <x v="803"/>
    <x v="1"/>
    <x v="803"/>
    <n v="1"/>
    <n v="7"/>
    <n v="7"/>
    <x v="78"/>
    <n v="27"/>
    <d v="1968-07-27T00:00:00"/>
    <s v="68072766473"/>
    <n v="7"/>
    <x v="0"/>
  </r>
  <r>
    <x v="804"/>
    <x v="2"/>
    <x v="804"/>
    <n v="1"/>
    <n v="7"/>
    <n v="7"/>
    <x v="27"/>
    <n v="17"/>
    <d v="1959-07-17T00:00:00"/>
    <s v="59071767916"/>
    <n v="1"/>
    <x v="0"/>
  </r>
  <r>
    <x v="805"/>
    <x v="0"/>
    <x v="805"/>
    <n v="2"/>
    <n v="11"/>
    <n v="11"/>
    <x v="40"/>
    <n v="27"/>
    <d v="1932-11-27T00:00:00"/>
    <s v="32112735273"/>
    <n v="7"/>
    <x v="0"/>
  </r>
  <r>
    <x v="806"/>
    <x v="0"/>
    <x v="806"/>
    <n v="1"/>
    <n v="4"/>
    <n v="4"/>
    <x v="3"/>
    <n v="19"/>
    <d v="1970-04-19T00:00:00"/>
    <s v="70041966133"/>
    <n v="3"/>
    <x v="0"/>
  </r>
  <r>
    <x v="807"/>
    <x v="2"/>
    <x v="807"/>
    <n v="1"/>
    <n v="28"/>
    <n v="8"/>
    <x v="54"/>
    <n v="22"/>
    <d v="2000-08-22T00:00:00"/>
    <s v="00282223623"/>
    <n v="2"/>
    <x v="1"/>
  </r>
  <r>
    <x v="808"/>
    <x v="2"/>
    <x v="808"/>
    <n v="1"/>
    <n v="1"/>
    <n v="1"/>
    <x v="61"/>
    <n v="14"/>
    <d v="1928-01-14T00:00:00"/>
    <s v="28011479941"/>
    <n v="4"/>
    <x v="1"/>
  </r>
  <r>
    <x v="809"/>
    <x v="0"/>
    <x v="809"/>
    <n v="2"/>
    <n v="4"/>
    <n v="4"/>
    <x v="63"/>
    <n v="9"/>
    <d v="1998-04-09T00:00:00"/>
    <s v="98040991347"/>
    <n v="4"/>
    <x v="1"/>
  </r>
  <r>
    <x v="810"/>
    <x v="3"/>
    <x v="810"/>
    <n v="1"/>
    <n v="9"/>
    <n v="9"/>
    <x v="34"/>
    <n v="18"/>
    <d v="1977-09-18T00:00:00"/>
    <s v="77091813668"/>
    <n v="6"/>
    <x v="1"/>
  </r>
  <r>
    <x v="811"/>
    <x v="1"/>
    <x v="811"/>
    <n v="1"/>
    <n v="6"/>
    <n v="6"/>
    <x v="15"/>
    <n v="21"/>
    <d v="1953-06-21T00:00:00"/>
    <s v="53062118664"/>
    <n v="6"/>
    <x v="1"/>
  </r>
  <r>
    <x v="812"/>
    <x v="2"/>
    <x v="812"/>
    <n v="2"/>
    <n v="11"/>
    <n v="11"/>
    <x v="33"/>
    <n v="17"/>
    <d v="1960-11-17T00:00:00"/>
    <s v="60111734245"/>
    <n v="4"/>
    <x v="1"/>
  </r>
  <r>
    <x v="813"/>
    <x v="1"/>
    <x v="813"/>
    <n v="1"/>
    <n v="11"/>
    <n v="11"/>
    <x v="82"/>
    <n v="29"/>
    <d v="1987-11-29T00:00:00"/>
    <s v="87112947715"/>
    <n v="1"/>
    <x v="0"/>
  </r>
  <r>
    <x v="814"/>
    <x v="2"/>
    <x v="814"/>
    <n v="1"/>
    <n v="23"/>
    <n v="3"/>
    <x v="69"/>
    <n v="26"/>
    <d v="2003-03-26T00:00:00"/>
    <s v="03232669786"/>
    <n v="8"/>
    <x v="1"/>
  </r>
  <r>
    <x v="815"/>
    <x v="1"/>
    <x v="815"/>
    <n v="1"/>
    <n v="6"/>
    <n v="6"/>
    <x v="57"/>
    <n v="29"/>
    <d v="1999-06-29T00:00:00"/>
    <s v="99062917216"/>
    <n v="1"/>
    <x v="0"/>
  </r>
  <r>
    <x v="816"/>
    <x v="3"/>
    <x v="816"/>
    <n v="1"/>
    <n v="11"/>
    <n v="11"/>
    <x v="34"/>
    <n v="23"/>
    <d v="1977-11-23T00:00:00"/>
    <s v="77112363518"/>
    <n v="1"/>
    <x v="0"/>
  </r>
  <r>
    <x v="817"/>
    <x v="1"/>
    <x v="817"/>
    <n v="1"/>
    <n v="5"/>
    <n v="5"/>
    <x v="68"/>
    <n v="29"/>
    <d v="1971-05-29T00:00:00"/>
    <s v="71052925243"/>
    <n v="4"/>
    <x v="1"/>
  </r>
  <r>
    <x v="818"/>
    <x v="2"/>
    <x v="818"/>
    <n v="2"/>
    <n v="10"/>
    <n v="10"/>
    <x v="80"/>
    <n v="23"/>
    <d v="1952-10-23T00:00:00"/>
    <s v="52102323215"/>
    <n v="1"/>
    <x v="0"/>
  </r>
  <r>
    <x v="819"/>
    <x v="1"/>
    <x v="819"/>
    <n v="1"/>
    <n v="7"/>
    <n v="7"/>
    <x v="84"/>
    <n v="7"/>
    <d v="1982-07-07T00:00:00"/>
    <s v="82070773846"/>
    <n v="4"/>
    <x v="1"/>
  </r>
  <r>
    <x v="820"/>
    <x v="2"/>
    <x v="820"/>
    <n v="1"/>
    <n v="2"/>
    <n v="2"/>
    <x v="25"/>
    <n v="22"/>
    <d v="1991-02-22T00:00:00"/>
    <s v="91022231569"/>
    <n v="6"/>
    <x v="1"/>
  </r>
  <r>
    <x v="821"/>
    <x v="1"/>
    <x v="821"/>
    <n v="1"/>
    <n v="3"/>
    <n v="3"/>
    <x v="65"/>
    <n v="22"/>
    <d v="1985-03-22T00:00:00"/>
    <s v="85032257639"/>
    <n v="3"/>
    <x v="0"/>
  </r>
  <r>
    <x v="822"/>
    <x v="0"/>
    <x v="822"/>
    <n v="1"/>
    <n v="11"/>
    <n v="11"/>
    <x v="37"/>
    <n v="22"/>
    <d v="1926-11-22T00:00:00"/>
    <s v="26112297598"/>
    <n v="9"/>
    <x v="0"/>
  </r>
  <r>
    <x v="823"/>
    <x v="1"/>
    <x v="823"/>
    <n v="1"/>
    <n v="4"/>
    <n v="4"/>
    <x v="86"/>
    <n v="5"/>
    <d v="1984-04-05T00:00:00"/>
    <s v="84040539649"/>
    <n v="4"/>
    <x v="1"/>
  </r>
  <r>
    <x v="824"/>
    <x v="0"/>
    <x v="824"/>
    <n v="1"/>
    <n v="10"/>
    <n v="10"/>
    <x v="61"/>
    <n v="8"/>
    <d v="1928-10-08T00:00:00"/>
    <s v="28100889327"/>
    <n v="2"/>
    <x v="1"/>
  </r>
  <r>
    <x v="825"/>
    <x v="0"/>
    <x v="825"/>
    <n v="1"/>
    <n v="12"/>
    <n v="12"/>
    <x v="36"/>
    <n v="14"/>
    <d v="1954-12-14T00:00:00"/>
    <s v="54121487532"/>
    <n v="3"/>
    <x v="0"/>
  </r>
  <r>
    <x v="826"/>
    <x v="1"/>
    <x v="826"/>
    <n v="1"/>
    <n v="2"/>
    <n v="2"/>
    <x v="28"/>
    <n v="13"/>
    <d v="1958-02-13T00:00:00"/>
    <s v="58021399764"/>
    <n v="6"/>
    <x v="1"/>
  </r>
  <r>
    <x v="827"/>
    <x v="2"/>
    <x v="827"/>
    <n v="2"/>
    <n v="28"/>
    <n v="8"/>
    <x v="69"/>
    <n v="21"/>
    <d v="2003-08-21T00:00:00"/>
    <s v="03282114533"/>
    <n v="3"/>
    <x v="0"/>
  </r>
  <r>
    <x v="828"/>
    <x v="0"/>
    <x v="828"/>
    <n v="2"/>
    <n v="9"/>
    <n v="9"/>
    <x v="21"/>
    <n v="10"/>
    <d v="1931-09-10T00:00:00"/>
    <s v="31091073617"/>
    <n v="1"/>
    <x v="0"/>
  </r>
  <r>
    <x v="829"/>
    <x v="1"/>
    <x v="829"/>
    <n v="1"/>
    <n v="5"/>
    <n v="5"/>
    <x v="21"/>
    <n v="6"/>
    <d v="1931-05-06T00:00:00"/>
    <s v="31050679612"/>
    <n v="1"/>
    <x v="0"/>
  </r>
  <r>
    <x v="830"/>
    <x v="0"/>
    <x v="830"/>
    <n v="1"/>
    <n v="27"/>
    <n v="7"/>
    <x v="69"/>
    <n v="12"/>
    <d v="2003-07-12T00:00:00"/>
    <s v="03271214219"/>
    <n v="1"/>
    <x v="0"/>
  </r>
  <r>
    <x v="831"/>
    <x v="1"/>
    <x v="831"/>
    <n v="1"/>
    <n v="5"/>
    <n v="5"/>
    <x v="4"/>
    <n v="13"/>
    <d v="1972-05-13T00:00:00"/>
    <s v="72051336717"/>
    <n v="1"/>
    <x v="0"/>
  </r>
  <r>
    <x v="832"/>
    <x v="2"/>
    <x v="832"/>
    <n v="2"/>
    <n v="10"/>
    <n v="10"/>
    <x v="50"/>
    <n v="26"/>
    <d v="1956-10-26T00:00:00"/>
    <s v="56102659936"/>
    <n v="3"/>
    <x v="0"/>
  </r>
  <r>
    <x v="833"/>
    <x v="1"/>
    <x v="833"/>
    <n v="1"/>
    <n v="9"/>
    <n v="9"/>
    <x v="17"/>
    <n v="29"/>
    <d v="1942-09-29T00:00:00"/>
    <s v="42092966431"/>
    <n v="3"/>
    <x v="0"/>
  </r>
  <r>
    <x v="834"/>
    <x v="2"/>
    <x v="834"/>
    <n v="1"/>
    <n v="7"/>
    <n v="7"/>
    <x v="62"/>
    <n v="7"/>
    <d v="1969-07-07T00:00:00"/>
    <s v="69070762218"/>
    <n v="1"/>
    <x v="0"/>
  </r>
  <r>
    <x v="835"/>
    <x v="2"/>
    <x v="835"/>
    <n v="2"/>
    <n v="10"/>
    <n v="10"/>
    <x v="41"/>
    <n v="2"/>
    <d v="1988-10-02T00:00:00"/>
    <s v="88100219328"/>
    <n v="2"/>
    <x v="1"/>
  </r>
  <r>
    <x v="836"/>
    <x v="1"/>
    <x v="836"/>
    <n v="1"/>
    <n v="9"/>
    <n v="9"/>
    <x v="70"/>
    <n v="18"/>
    <d v="1962-09-18T00:00:00"/>
    <s v="62091881281"/>
    <n v="8"/>
    <x v="1"/>
  </r>
  <r>
    <x v="837"/>
    <x v="2"/>
    <x v="837"/>
    <n v="1"/>
    <n v="4"/>
    <n v="4"/>
    <x v="58"/>
    <n v="13"/>
    <d v="1989-04-13T00:00:00"/>
    <s v="89041363833"/>
    <n v="3"/>
    <x v="0"/>
  </r>
  <r>
    <x v="838"/>
    <x v="1"/>
    <x v="838"/>
    <n v="1"/>
    <n v="6"/>
    <n v="6"/>
    <x v="33"/>
    <n v="3"/>
    <d v="1960-06-03T00:00:00"/>
    <s v="60060322474"/>
    <n v="7"/>
    <x v="0"/>
  </r>
  <r>
    <x v="839"/>
    <x v="2"/>
    <x v="839"/>
    <n v="2"/>
    <n v="11"/>
    <n v="11"/>
    <x v="52"/>
    <n v="1"/>
    <d v="1957-11-01T00:00:00"/>
    <s v="57110125563"/>
    <n v="6"/>
    <x v="1"/>
  </r>
  <r>
    <x v="840"/>
    <x v="3"/>
    <x v="840"/>
    <n v="1"/>
    <n v="3"/>
    <n v="3"/>
    <x v="33"/>
    <n v="23"/>
    <d v="1960-03-23T00:00:00"/>
    <s v="60032357169"/>
    <n v="6"/>
    <x v="1"/>
  </r>
  <r>
    <x v="841"/>
    <x v="1"/>
    <x v="841"/>
    <n v="1"/>
    <n v="9"/>
    <n v="9"/>
    <x v="20"/>
    <n v="8"/>
    <d v="1980-09-08T00:00:00"/>
    <s v="80090872345"/>
    <n v="4"/>
    <x v="1"/>
  </r>
  <r>
    <x v="842"/>
    <x v="0"/>
    <x v="842"/>
    <n v="2"/>
    <n v="4"/>
    <n v="4"/>
    <x v="58"/>
    <n v="15"/>
    <d v="1989-04-15T00:00:00"/>
    <s v="89041555874"/>
    <n v="7"/>
    <x v="0"/>
  </r>
  <r>
    <x v="843"/>
    <x v="0"/>
    <x v="843"/>
    <n v="2"/>
    <n v="2"/>
    <n v="2"/>
    <x v="6"/>
    <n v="9"/>
    <d v="1949-02-09T00:00:00"/>
    <s v="49020934816"/>
    <n v="1"/>
    <x v="0"/>
  </r>
  <r>
    <x v="844"/>
    <x v="0"/>
    <x v="844"/>
    <n v="1"/>
    <n v="7"/>
    <n v="7"/>
    <x v="24"/>
    <n v="5"/>
    <d v="1930-07-05T00:00:00"/>
    <s v="30070547978"/>
    <n v="7"/>
    <x v="0"/>
  </r>
  <r>
    <x v="845"/>
    <x v="1"/>
    <x v="845"/>
    <n v="1"/>
    <n v="9"/>
    <n v="9"/>
    <x v="78"/>
    <n v="1"/>
    <d v="1968-09-01T00:00:00"/>
    <s v="68090165764"/>
    <n v="6"/>
    <x v="1"/>
  </r>
  <r>
    <x v="846"/>
    <x v="0"/>
    <x v="846"/>
    <n v="2"/>
    <n v="9"/>
    <n v="9"/>
    <x v="19"/>
    <n v="20"/>
    <d v="1990-09-20T00:00:00"/>
    <s v="90092074423"/>
    <n v="2"/>
    <x v="1"/>
  </r>
  <r>
    <x v="847"/>
    <x v="2"/>
    <x v="847"/>
    <n v="2"/>
    <n v="5"/>
    <n v="5"/>
    <x v="33"/>
    <n v="19"/>
    <d v="1960-05-19T00:00:00"/>
    <s v="60051991245"/>
    <n v="4"/>
    <x v="1"/>
  </r>
  <r>
    <x v="848"/>
    <x v="0"/>
    <x v="848"/>
    <n v="1"/>
    <n v="4"/>
    <n v="4"/>
    <x v="66"/>
    <n v="5"/>
    <d v="1996-04-05T00:00:00"/>
    <s v="96040551121"/>
    <n v="2"/>
    <x v="1"/>
  </r>
  <r>
    <x v="849"/>
    <x v="2"/>
    <x v="849"/>
    <n v="2"/>
    <n v="3"/>
    <n v="3"/>
    <x v="20"/>
    <n v="22"/>
    <d v="1980-03-22T00:00:00"/>
    <s v="80032243415"/>
    <n v="1"/>
    <x v="0"/>
  </r>
  <r>
    <x v="850"/>
    <x v="1"/>
    <x v="850"/>
    <n v="1"/>
    <n v="1"/>
    <n v="1"/>
    <x v="89"/>
    <n v="19"/>
    <d v="1974-01-19T00:00:00"/>
    <s v="74011931745"/>
    <n v="4"/>
    <x v="1"/>
  </r>
  <r>
    <x v="851"/>
    <x v="0"/>
    <x v="851"/>
    <n v="2"/>
    <n v="4"/>
    <n v="4"/>
    <x v="40"/>
    <n v="29"/>
    <d v="1932-04-29T00:00:00"/>
    <s v="32042933169"/>
    <n v="6"/>
    <x v="1"/>
  </r>
  <r>
    <x v="852"/>
    <x v="0"/>
    <x v="852"/>
    <n v="1"/>
    <n v="2"/>
    <n v="2"/>
    <x v="75"/>
    <n v="10"/>
    <d v="1976-02-10T00:00:00"/>
    <s v="76021025625"/>
    <n v="2"/>
    <x v="1"/>
  </r>
  <r>
    <x v="853"/>
    <x v="0"/>
    <x v="853"/>
    <n v="2"/>
    <n v="11"/>
    <n v="11"/>
    <x v="84"/>
    <n v="20"/>
    <d v="1982-11-20T00:00:00"/>
    <s v="82112079152"/>
    <n v="5"/>
    <x v="0"/>
  </r>
  <r>
    <x v="854"/>
    <x v="1"/>
    <x v="854"/>
    <n v="1"/>
    <n v="12"/>
    <n v="12"/>
    <x v="5"/>
    <n v="10"/>
    <d v="1927-12-10T00:00:00"/>
    <s v="27121034325"/>
    <n v="2"/>
    <x v="1"/>
  </r>
  <r>
    <x v="855"/>
    <x v="0"/>
    <x v="855"/>
    <n v="2"/>
    <n v="1"/>
    <n v="1"/>
    <x v="44"/>
    <n v="2"/>
    <d v="1925-01-02T00:00:00"/>
    <s v="25010246853"/>
    <n v="5"/>
    <x v="0"/>
  </r>
  <r>
    <x v="856"/>
    <x v="1"/>
    <x v="856"/>
    <n v="1"/>
    <n v="12"/>
    <n v="12"/>
    <x v="61"/>
    <n v="7"/>
    <d v="1928-12-07T00:00:00"/>
    <s v="28120717411"/>
    <n v="1"/>
    <x v="0"/>
  </r>
  <r>
    <x v="857"/>
    <x v="2"/>
    <x v="857"/>
    <n v="2"/>
    <n v="9"/>
    <n v="9"/>
    <x v="27"/>
    <n v="12"/>
    <d v="1959-09-12T00:00:00"/>
    <s v="59091214779"/>
    <n v="7"/>
    <x v="0"/>
  </r>
  <r>
    <x v="858"/>
    <x v="3"/>
    <x v="858"/>
    <n v="1"/>
    <n v="30"/>
    <n v="10"/>
    <x v="59"/>
    <n v="15"/>
    <d v="2001-10-15T00:00:00"/>
    <s v="01301584817"/>
    <n v="1"/>
    <x v="0"/>
  </r>
  <r>
    <x v="859"/>
    <x v="1"/>
    <x v="859"/>
    <n v="1"/>
    <n v="31"/>
    <n v="11"/>
    <x v="23"/>
    <n v="25"/>
    <d v="2008-11-25T00:00:00"/>
    <s v="08312554282"/>
    <n v="8"/>
    <x v="1"/>
  </r>
  <r>
    <x v="860"/>
    <x v="1"/>
    <x v="860"/>
    <n v="1"/>
    <n v="3"/>
    <n v="3"/>
    <x v="76"/>
    <n v="6"/>
    <d v="1936-03-06T00:00:00"/>
    <s v="36030623126"/>
    <n v="2"/>
    <x v="1"/>
  </r>
  <r>
    <x v="861"/>
    <x v="0"/>
    <x v="861"/>
    <n v="2"/>
    <n v="23"/>
    <n v="3"/>
    <x v="69"/>
    <n v="24"/>
    <d v="2003-03-24T00:00:00"/>
    <s v="03232486938"/>
    <n v="3"/>
    <x v="0"/>
  </r>
  <r>
    <x v="862"/>
    <x v="2"/>
    <x v="862"/>
    <n v="1"/>
    <n v="21"/>
    <n v="1"/>
    <x v="16"/>
    <n v="11"/>
    <d v="2004-01-11T00:00:00"/>
    <s v="04211111982"/>
    <n v="8"/>
    <x v="1"/>
  </r>
  <r>
    <x v="863"/>
    <x v="1"/>
    <x v="863"/>
    <n v="1"/>
    <n v="6"/>
    <n v="6"/>
    <x v="63"/>
    <n v="11"/>
    <d v="1998-06-11T00:00:00"/>
    <s v="98061186115"/>
    <n v="1"/>
    <x v="0"/>
  </r>
  <r>
    <x v="864"/>
    <x v="2"/>
    <x v="864"/>
    <n v="2"/>
    <n v="25"/>
    <n v="5"/>
    <x v="73"/>
    <n v="22"/>
    <d v="2007-05-22T00:00:00"/>
    <s v="07252299886"/>
    <n v="8"/>
    <x v="1"/>
  </r>
  <r>
    <x v="865"/>
    <x v="2"/>
    <x v="865"/>
    <n v="1"/>
    <n v="5"/>
    <n v="5"/>
    <x v="50"/>
    <n v="9"/>
    <d v="1956-05-09T00:00:00"/>
    <s v="56050947141"/>
    <n v="4"/>
    <x v="1"/>
  </r>
  <r>
    <x v="866"/>
    <x v="2"/>
    <x v="866"/>
    <n v="1"/>
    <n v="5"/>
    <n v="5"/>
    <x v="2"/>
    <n v="6"/>
    <d v="1978-05-06T00:00:00"/>
    <s v="78050661425"/>
    <n v="2"/>
    <x v="1"/>
  </r>
  <r>
    <x v="867"/>
    <x v="1"/>
    <x v="867"/>
    <n v="1"/>
    <n v="3"/>
    <n v="3"/>
    <x v="71"/>
    <n v="4"/>
    <d v="1965-03-04T00:00:00"/>
    <s v="65030412425"/>
    <n v="2"/>
    <x v="1"/>
  </r>
  <r>
    <x v="868"/>
    <x v="0"/>
    <x v="868"/>
    <n v="1"/>
    <n v="10"/>
    <n v="10"/>
    <x v="0"/>
    <n v="9"/>
    <d v="1950-10-09T00:00:00"/>
    <s v="50100924858"/>
    <n v="5"/>
    <x v="0"/>
  </r>
  <r>
    <x v="869"/>
    <x v="1"/>
    <x v="869"/>
    <n v="1"/>
    <n v="6"/>
    <n v="6"/>
    <x v="86"/>
    <n v="30"/>
    <d v="1984-06-30T00:00:00"/>
    <s v="84063031577"/>
    <n v="7"/>
    <x v="0"/>
  </r>
  <r>
    <x v="870"/>
    <x v="1"/>
    <x v="870"/>
    <n v="1"/>
    <n v="4"/>
    <n v="4"/>
    <x v="47"/>
    <n v="6"/>
    <d v="1983-04-06T00:00:00"/>
    <s v="83040667448"/>
    <n v="4"/>
    <x v="1"/>
  </r>
  <r>
    <x v="871"/>
    <x v="0"/>
    <x v="871"/>
    <n v="1"/>
    <n v="9"/>
    <n v="9"/>
    <x v="70"/>
    <n v="13"/>
    <d v="1962-09-13T00:00:00"/>
    <s v="62091343378"/>
    <n v="7"/>
    <x v="0"/>
  </r>
  <r>
    <x v="872"/>
    <x v="0"/>
    <x v="872"/>
    <n v="2"/>
    <n v="12"/>
    <n v="12"/>
    <x v="8"/>
    <n v="3"/>
    <d v="1967-12-03T00:00:00"/>
    <s v="67120368616"/>
    <n v="1"/>
    <x v="0"/>
  </r>
  <r>
    <x v="873"/>
    <x v="0"/>
    <x v="873"/>
    <n v="2"/>
    <n v="9"/>
    <n v="9"/>
    <x v="6"/>
    <n v="9"/>
    <d v="1949-09-09T00:00:00"/>
    <s v="49090966296"/>
    <n v="9"/>
    <x v="0"/>
  </r>
  <r>
    <x v="874"/>
    <x v="1"/>
    <x v="874"/>
    <n v="1"/>
    <n v="10"/>
    <n v="10"/>
    <x v="88"/>
    <n v="14"/>
    <d v="1951-10-14T00:00:00"/>
    <s v="51101451688"/>
    <n v="8"/>
    <x v="1"/>
  </r>
  <r>
    <x v="875"/>
    <x v="2"/>
    <x v="875"/>
    <n v="1"/>
    <n v="12"/>
    <n v="12"/>
    <x v="47"/>
    <n v="8"/>
    <d v="1983-12-08T00:00:00"/>
    <s v="83120872847"/>
    <n v="4"/>
    <x v="1"/>
  </r>
  <r>
    <x v="876"/>
    <x v="1"/>
    <x v="876"/>
    <n v="1"/>
    <n v="10"/>
    <n v="10"/>
    <x v="34"/>
    <n v="3"/>
    <d v="1977-10-03T00:00:00"/>
    <s v="77100344996"/>
    <n v="9"/>
    <x v="0"/>
  </r>
  <r>
    <x v="877"/>
    <x v="1"/>
    <x v="877"/>
    <n v="1"/>
    <n v="5"/>
    <n v="5"/>
    <x v="68"/>
    <n v="10"/>
    <d v="1971-05-10T00:00:00"/>
    <s v="71051072588"/>
    <n v="8"/>
    <x v="1"/>
  </r>
  <r>
    <x v="878"/>
    <x v="0"/>
    <x v="878"/>
    <n v="1"/>
    <n v="9"/>
    <n v="9"/>
    <x v="35"/>
    <n v="19"/>
    <d v="1935-09-19T00:00:00"/>
    <s v="35091976246"/>
    <n v="4"/>
    <x v="1"/>
  </r>
  <r>
    <x v="879"/>
    <x v="0"/>
    <x v="879"/>
    <n v="1"/>
    <n v="10"/>
    <n v="10"/>
    <x v="78"/>
    <n v="24"/>
    <d v="1968-10-24T00:00:00"/>
    <s v="68102446298"/>
    <n v="9"/>
    <x v="0"/>
  </r>
  <r>
    <x v="880"/>
    <x v="3"/>
    <x v="880"/>
    <n v="2"/>
    <n v="12"/>
    <n v="12"/>
    <x v="17"/>
    <n v="23"/>
    <d v="1942-12-23T00:00:00"/>
    <s v="42122341465"/>
    <n v="6"/>
    <x v="1"/>
  </r>
  <r>
    <x v="881"/>
    <x v="1"/>
    <x v="881"/>
    <n v="1"/>
    <n v="12"/>
    <n v="12"/>
    <x v="76"/>
    <n v="12"/>
    <d v="1936-12-12T00:00:00"/>
    <s v="36121262168"/>
    <n v="6"/>
    <x v="1"/>
  </r>
  <r>
    <x v="882"/>
    <x v="0"/>
    <x v="882"/>
    <n v="2"/>
    <n v="1"/>
    <n v="1"/>
    <x v="81"/>
    <n v="1"/>
    <d v="1966-01-01T00:00:00"/>
    <s v="66010198313"/>
    <n v="1"/>
    <x v="0"/>
  </r>
  <r>
    <x v="883"/>
    <x v="1"/>
    <x v="883"/>
    <n v="1"/>
    <n v="10"/>
    <n v="10"/>
    <x v="58"/>
    <n v="16"/>
    <d v="1989-10-16T00:00:00"/>
    <s v="89101632857"/>
    <n v="5"/>
    <x v="0"/>
  </r>
  <r>
    <x v="884"/>
    <x v="0"/>
    <x v="884"/>
    <n v="1"/>
    <n v="12"/>
    <n v="12"/>
    <x v="41"/>
    <n v="25"/>
    <d v="1988-12-25T00:00:00"/>
    <s v="88122551811"/>
    <n v="1"/>
    <x v="0"/>
  </r>
  <r>
    <x v="885"/>
    <x v="2"/>
    <x v="885"/>
    <n v="1"/>
    <n v="7"/>
    <n v="7"/>
    <x v="28"/>
    <n v="23"/>
    <d v="1958-07-23T00:00:00"/>
    <s v="58072364177"/>
    <n v="7"/>
    <x v="0"/>
  </r>
  <r>
    <x v="886"/>
    <x v="2"/>
    <x v="886"/>
    <n v="2"/>
    <n v="22"/>
    <n v="2"/>
    <x v="1"/>
    <n v="26"/>
    <d v="2009-02-26T00:00:00"/>
    <s v="09222687156"/>
    <n v="5"/>
    <x v="0"/>
  </r>
  <r>
    <x v="887"/>
    <x v="3"/>
    <x v="887"/>
    <n v="2"/>
    <n v="1"/>
    <n v="1"/>
    <x v="31"/>
    <n v="27"/>
    <d v="1997-01-27T00:00:00"/>
    <s v="97012789254"/>
    <n v="5"/>
    <x v="0"/>
  </r>
  <r>
    <x v="888"/>
    <x v="1"/>
    <x v="888"/>
    <n v="1"/>
    <n v="32"/>
    <n v="12"/>
    <x v="42"/>
    <n v="30"/>
    <d v="2005-12-30T00:00:00"/>
    <s v="05323044344"/>
    <n v="4"/>
    <x v="1"/>
  </r>
  <r>
    <x v="889"/>
    <x v="0"/>
    <x v="889"/>
    <n v="2"/>
    <n v="8"/>
    <n v="8"/>
    <x v="21"/>
    <n v="30"/>
    <d v="1931-08-30T00:00:00"/>
    <s v="31083057216"/>
    <n v="1"/>
    <x v="0"/>
  </r>
  <r>
    <x v="890"/>
    <x v="1"/>
    <x v="890"/>
    <n v="1"/>
    <n v="5"/>
    <n v="5"/>
    <x v="25"/>
    <n v="22"/>
    <d v="1991-05-22T00:00:00"/>
    <s v="91052287136"/>
    <n v="3"/>
    <x v="0"/>
  </r>
  <r>
    <x v="891"/>
    <x v="0"/>
    <x v="891"/>
    <n v="1"/>
    <n v="7"/>
    <n v="7"/>
    <x v="35"/>
    <n v="24"/>
    <d v="1935-07-24T00:00:00"/>
    <s v="35072457663"/>
    <n v="6"/>
    <x v="1"/>
  </r>
  <r>
    <x v="892"/>
    <x v="1"/>
    <x v="892"/>
    <n v="1"/>
    <n v="30"/>
    <n v="10"/>
    <x v="54"/>
    <n v="24"/>
    <d v="2000-10-24T00:00:00"/>
    <s v="00302461745"/>
    <n v="4"/>
    <x v="1"/>
  </r>
  <r>
    <x v="893"/>
    <x v="0"/>
    <x v="893"/>
    <n v="2"/>
    <n v="7"/>
    <n v="7"/>
    <x v="4"/>
    <n v="6"/>
    <d v="1972-07-06T00:00:00"/>
    <s v="72070631167"/>
    <n v="6"/>
    <x v="1"/>
  </r>
  <r>
    <x v="894"/>
    <x v="1"/>
    <x v="894"/>
    <n v="1"/>
    <n v="11"/>
    <n v="11"/>
    <x v="75"/>
    <n v="6"/>
    <d v="1976-11-06T00:00:00"/>
    <s v="76110647246"/>
    <n v="4"/>
    <x v="1"/>
  </r>
  <r>
    <x v="895"/>
    <x v="0"/>
    <x v="895"/>
    <n v="2"/>
    <n v="4"/>
    <n v="4"/>
    <x v="48"/>
    <n v="1"/>
    <d v="1924-04-01T00:00:00"/>
    <s v="24040177241"/>
    <n v="4"/>
    <x v="1"/>
  </r>
  <r>
    <x v="896"/>
    <x v="1"/>
    <x v="896"/>
    <n v="1"/>
    <n v="1"/>
    <n v="1"/>
    <x v="38"/>
    <n v="30"/>
    <d v="1986-01-30T00:00:00"/>
    <s v="86013082275"/>
    <n v="7"/>
    <x v="0"/>
  </r>
  <r>
    <x v="897"/>
    <x v="2"/>
    <x v="897"/>
    <n v="1"/>
    <n v="7"/>
    <n v="7"/>
    <x v="62"/>
    <n v="15"/>
    <d v="1969-07-15T00:00:00"/>
    <s v="69071554267"/>
    <n v="6"/>
    <x v="1"/>
  </r>
  <r>
    <x v="898"/>
    <x v="1"/>
    <x v="898"/>
    <n v="1"/>
    <n v="9"/>
    <n v="9"/>
    <x v="81"/>
    <n v="28"/>
    <d v="1966-09-28T00:00:00"/>
    <s v="66092881561"/>
    <n v="6"/>
    <x v="1"/>
  </r>
  <r>
    <x v="899"/>
    <x v="1"/>
    <x v="899"/>
    <n v="1"/>
    <n v="11"/>
    <n v="11"/>
    <x v="47"/>
    <n v="13"/>
    <d v="1983-11-13T00:00:00"/>
    <s v="83111396178"/>
    <n v="7"/>
    <x v="0"/>
  </r>
  <r>
    <x v="900"/>
    <x v="0"/>
    <x v="900"/>
    <n v="1"/>
    <n v="8"/>
    <n v="8"/>
    <x v="81"/>
    <n v="1"/>
    <d v="1966-08-01T00:00:00"/>
    <s v="66080191177"/>
    <n v="7"/>
    <x v="0"/>
  </r>
  <r>
    <x v="901"/>
    <x v="3"/>
    <x v="901"/>
    <n v="1"/>
    <n v="2"/>
    <n v="2"/>
    <x v="34"/>
    <n v="7"/>
    <d v="1977-02-07T00:00:00"/>
    <s v="77020795272"/>
    <n v="7"/>
    <x v="0"/>
  </r>
  <r>
    <x v="902"/>
    <x v="3"/>
    <x v="902"/>
    <n v="1"/>
    <n v="2"/>
    <n v="2"/>
    <x v="51"/>
    <n v="15"/>
    <d v="1975-02-15T00:00:00"/>
    <s v="75021565595"/>
    <n v="9"/>
    <x v="0"/>
  </r>
  <r>
    <x v="903"/>
    <x v="1"/>
    <x v="903"/>
    <n v="1"/>
    <n v="9"/>
    <n v="9"/>
    <x v="55"/>
    <n v="20"/>
    <d v="1929-09-20T00:00:00"/>
    <s v="29092084945"/>
    <n v="4"/>
    <x v="1"/>
  </r>
  <r>
    <x v="904"/>
    <x v="2"/>
    <x v="904"/>
    <n v="1"/>
    <n v="30"/>
    <n v="10"/>
    <x v="42"/>
    <n v="13"/>
    <d v="2005-10-13T00:00:00"/>
    <s v="05301389427"/>
    <n v="2"/>
    <x v="1"/>
  </r>
  <r>
    <x v="905"/>
    <x v="1"/>
    <x v="905"/>
    <n v="1"/>
    <n v="23"/>
    <n v="3"/>
    <x v="23"/>
    <n v="4"/>
    <d v="2008-03-04T00:00:00"/>
    <s v="08230465143"/>
    <n v="4"/>
    <x v="1"/>
  </r>
  <r>
    <x v="906"/>
    <x v="2"/>
    <x v="906"/>
    <n v="1"/>
    <n v="4"/>
    <n v="4"/>
    <x v="40"/>
    <n v="26"/>
    <d v="1932-04-26T00:00:00"/>
    <s v="32042656495"/>
    <n v="9"/>
    <x v="0"/>
  </r>
  <r>
    <x v="907"/>
    <x v="0"/>
    <x v="907"/>
    <n v="2"/>
    <n v="8"/>
    <n v="8"/>
    <x v="81"/>
    <n v="6"/>
    <d v="1966-08-06T00:00:00"/>
    <s v="66080665924"/>
    <n v="2"/>
    <x v="1"/>
  </r>
  <r>
    <x v="908"/>
    <x v="0"/>
    <x v="908"/>
    <n v="1"/>
    <n v="27"/>
    <n v="7"/>
    <x v="59"/>
    <n v="6"/>
    <d v="2001-07-06T00:00:00"/>
    <s v="01270645313"/>
    <n v="1"/>
    <x v="0"/>
  </r>
  <r>
    <x v="909"/>
    <x v="1"/>
    <x v="909"/>
    <n v="1"/>
    <n v="7"/>
    <n v="7"/>
    <x v="2"/>
    <n v="31"/>
    <d v="1978-07-31T00:00:00"/>
    <s v="78073185238"/>
    <n v="3"/>
    <x v="0"/>
  </r>
  <r>
    <x v="910"/>
    <x v="0"/>
    <x v="910"/>
    <n v="2"/>
    <n v="2"/>
    <n v="2"/>
    <x v="77"/>
    <n v="15"/>
    <d v="1920-02-15T00:00:00"/>
    <s v="20021536689"/>
    <n v="8"/>
    <x v="1"/>
  </r>
  <r>
    <x v="911"/>
    <x v="2"/>
    <x v="911"/>
    <n v="1"/>
    <n v="4"/>
    <n v="4"/>
    <x v="4"/>
    <n v="30"/>
    <d v="1972-04-30T00:00:00"/>
    <s v="72043046662"/>
    <n v="6"/>
    <x v="1"/>
  </r>
  <r>
    <x v="912"/>
    <x v="1"/>
    <x v="912"/>
    <n v="1"/>
    <n v="26"/>
    <n v="6"/>
    <x v="73"/>
    <n v="29"/>
    <d v="2007-06-29T00:00:00"/>
    <s v="07262999459"/>
    <n v="5"/>
    <x v="0"/>
  </r>
  <r>
    <x v="913"/>
    <x v="1"/>
    <x v="913"/>
    <n v="1"/>
    <n v="9"/>
    <n v="9"/>
    <x v="29"/>
    <n v="10"/>
    <d v="1937-09-10T00:00:00"/>
    <s v="37091024981"/>
    <n v="8"/>
    <x v="1"/>
  </r>
  <r>
    <x v="914"/>
    <x v="1"/>
    <x v="914"/>
    <n v="1"/>
    <n v="9"/>
    <n v="9"/>
    <x v="15"/>
    <n v="23"/>
    <d v="1953-09-23T00:00:00"/>
    <s v="53092368598"/>
    <n v="9"/>
    <x v="0"/>
  </r>
  <r>
    <x v="915"/>
    <x v="3"/>
    <x v="915"/>
    <n v="1"/>
    <n v="9"/>
    <n v="9"/>
    <x v="21"/>
    <n v="17"/>
    <d v="1931-09-17T00:00:00"/>
    <s v="31091712778"/>
    <n v="7"/>
    <x v="0"/>
  </r>
  <r>
    <x v="916"/>
    <x v="1"/>
    <x v="916"/>
    <n v="1"/>
    <n v="10"/>
    <n v="10"/>
    <x v="55"/>
    <n v="19"/>
    <d v="1929-10-19T00:00:00"/>
    <s v="29101951255"/>
    <n v="5"/>
    <x v="0"/>
  </r>
  <r>
    <x v="917"/>
    <x v="1"/>
    <x v="917"/>
    <n v="1"/>
    <n v="9"/>
    <n v="9"/>
    <x v="52"/>
    <n v="25"/>
    <d v="1957-09-25T00:00:00"/>
    <s v="57092585746"/>
    <n v="4"/>
    <x v="1"/>
  </r>
  <r>
    <x v="918"/>
    <x v="2"/>
    <x v="918"/>
    <n v="1"/>
    <n v="29"/>
    <n v="9"/>
    <x v="26"/>
    <n v="21"/>
    <d v="2006-09-21T00:00:00"/>
    <s v="06292133936"/>
    <n v="3"/>
    <x v="0"/>
  </r>
  <r>
    <x v="919"/>
    <x v="2"/>
    <x v="919"/>
    <n v="1"/>
    <n v="8"/>
    <n v="8"/>
    <x v="89"/>
    <n v="18"/>
    <d v="1974-08-18T00:00:00"/>
    <s v="74081887586"/>
    <n v="8"/>
    <x v="1"/>
  </r>
  <r>
    <x v="920"/>
    <x v="1"/>
    <x v="920"/>
    <n v="1"/>
    <n v="7"/>
    <n v="7"/>
    <x v="19"/>
    <n v="3"/>
    <d v="1990-07-03T00:00:00"/>
    <s v="90070369365"/>
    <n v="6"/>
    <x v="1"/>
  </r>
  <r>
    <x v="921"/>
    <x v="3"/>
    <x v="921"/>
    <n v="2"/>
    <n v="11"/>
    <n v="11"/>
    <x v="30"/>
    <n v="8"/>
    <d v="1948-11-08T00:00:00"/>
    <s v="48110866662"/>
    <n v="6"/>
    <x v="1"/>
  </r>
  <r>
    <x v="922"/>
    <x v="1"/>
    <x v="922"/>
    <n v="1"/>
    <n v="10"/>
    <n v="10"/>
    <x v="40"/>
    <n v="2"/>
    <d v="1932-10-02T00:00:00"/>
    <s v="32100235767"/>
    <n v="6"/>
    <x v="1"/>
  </r>
  <r>
    <x v="923"/>
    <x v="3"/>
    <x v="923"/>
    <n v="1"/>
    <n v="27"/>
    <n v="7"/>
    <x v="59"/>
    <n v="23"/>
    <d v="2001-07-23T00:00:00"/>
    <s v="01272357513"/>
    <n v="1"/>
    <x v="0"/>
  </r>
  <r>
    <x v="924"/>
    <x v="3"/>
    <x v="924"/>
    <n v="2"/>
    <n v="11"/>
    <n v="11"/>
    <x v="29"/>
    <n v="20"/>
    <d v="1937-11-20T00:00:00"/>
    <s v="37112023212"/>
    <n v="1"/>
    <x v="0"/>
  </r>
  <r>
    <x v="925"/>
    <x v="1"/>
    <x v="925"/>
    <n v="1"/>
    <n v="31"/>
    <n v="11"/>
    <x v="69"/>
    <n v="11"/>
    <d v="2003-11-11T00:00:00"/>
    <s v="03311196468"/>
    <n v="6"/>
    <x v="1"/>
  </r>
  <r>
    <x v="926"/>
    <x v="2"/>
    <x v="926"/>
    <n v="2"/>
    <n v="9"/>
    <n v="9"/>
    <x v="64"/>
    <n v="26"/>
    <d v="1993-09-26T00:00:00"/>
    <s v="93092676596"/>
    <n v="9"/>
    <x v="0"/>
  </r>
  <r>
    <x v="927"/>
    <x v="1"/>
    <x v="927"/>
    <n v="1"/>
    <n v="1"/>
    <n v="1"/>
    <x v="64"/>
    <n v="24"/>
    <d v="1993-01-24T00:00:00"/>
    <s v="93012418598"/>
    <n v="9"/>
    <x v="0"/>
  </r>
  <r>
    <x v="928"/>
    <x v="1"/>
    <x v="928"/>
    <n v="1"/>
    <n v="3"/>
    <n v="3"/>
    <x v="84"/>
    <n v="8"/>
    <d v="1982-03-08T00:00:00"/>
    <s v="82030879562"/>
    <n v="6"/>
    <x v="1"/>
  </r>
  <r>
    <x v="929"/>
    <x v="0"/>
    <x v="929"/>
    <n v="1"/>
    <n v="22"/>
    <n v="2"/>
    <x v="1"/>
    <n v="13"/>
    <d v="2009-02-13T00:00:00"/>
    <s v="09221337489"/>
    <n v="8"/>
    <x v="1"/>
  </r>
  <r>
    <x v="930"/>
    <x v="1"/>
    <x v="930"/>
    <n v="1"/>
    <n v="9"/>
    <n v="9"/>
    <x v="51"/>
    <n v="6"/>
    <d v="1975-09-06T00:00:00"/>
    <s v="75090635997"/>
    <n v="9"/>
    <x v="0"/>
  </r>
  <r>
    <x v="931"/>
    <x v="0"/>
    <x v="931"/>
    <n v="1"/>
    <n v="4"/>
    <n v="4"/>
    <x v="45"/>
    <n v="20"/>
    <d v="1940-04-20T00:00:00"/>
    <s v="40042025863"/>
    <n v="6"/>
    <x v="1"/>
  </r>
  <r>
    <x v="932"/>
    <x v="1"/>
    <x v="932"/>
    <n v="1"/>
    <n v="29"/>
    <n v="9"/>
    <x v="26"/>
    <n v="25"/>
    <d v="2006-09-25T00:00:00"/>
    <s v="06292578955"/>
    <n v="5"/>
    <x v="0"/>
  </r>
  <r>
    <x v="933"/>
    <x v="1"/>
    <x v="933"/>
    <n v="1"/>
    <n v="7"/>
    <n v="7"/>
    <x v="45"/>
    <n v="11"/>
    <d v="1940-07-11T00:00:00"/>
    <s v="40071161114"/>
    <n v="1"/>
    <x v="0"/>
  </r>
  <r>
    <x v="934"/>
    <x v="1"/>
    <x v="934"/>
    <n v="1"/>
    <n v="1"/>
    <n v="1"/>
    <x v="76"/>
    <n v="15"/>
    <d v="1936-01-15T00:00:00"/>
    <s v="36011592485"/>
    <n v="8"/>
    <x v="1"/>
  </r>
  <r>
    <x v="935"/>
    <x v="1"/>
    <x v="935"/>
    <n v="1"/>
    <n v="4"/>
    <n v="4"/>
    <x v="51"/>
    <n v="10"/>
    <d v="1975-04-10T00:00:00"/>
    <s v="75041016895"/>
    <n v="9"/>
    <x v="0"/>
  </r>
  <r>
    <x v="936"/>
    <x v="1"/>
    <x v="936"/>
    <n v="1"/>
    <n v="7"/>
    <n v="7"/>
    <x v="86"/>
    <n v="7"/>
    <d v="1984-07-07T00:00:00"/>
    <s v="84070799958"/>
    <n v="5"/>
    <x v="0"/>
  </r>
  <r>
    <x v="937"/>
    <x v="2"/>
    <x v="937"/>
    <n v="1"/>
    <n v="10"/>
    <n v="10"/>
    <x v="2"/>
    <n v="27"/>
    <d v="1978-10-27T00:00:00"/>
    <s v="78102746342"/>
    <n v="4"/>
    <x v="1"/>
  </r>
  <r>
    <x v="938"/>
    <x v="2"/>
    <x v="938"/>
    <n v="2"/>
    <n v="1"/>
    <n v="1"/>
    <x v="22"/>
    <n v="30"/>
    <d v="1923-01-30T00:00:00"/>
    <s v="23013013119"/>
    <n v="1"/>
    <x v="0"/>
  </r>
  <r>
    <x v="939"/>
    <x v="1"/>
    <x v="939"/>
    <n v="1"/>
    <n v="6"/>
    <n v="6"/>
    <x v="83"/>
    <n v="19"/>
    <d v="1943-06-19T00:00:00"/>
    <s v="43061996312"/>
    <n v="1"/>
    <x v="0"/>
  </r>
  <r>
    <x v="940"/>
    <x v="2"/>
    <x v="940"/>
    <n v="2"/>
    <n v="3"/>
    <n v="3"/>
    <x v="27"/>
    <n v="1"/>
    <d v="1959-03-01T00:00:00"/>
    <s v="59030132122"/>
    <n v="2"/>
    <x v="1"/>
  </r>
  <r>
    <x v="941"/>
    <x v="0"/>
    <x v="941"/>
    <n v="2"/>
    <n v="7"/>
    <n v="7"/>
    <x v="20"/>
    <n v="8"/>
    <d v="1980-07-08T00:00:00"/>
    <s v="80070812222"/>
    <n v="2"/>
    <x v="1"/>
  </r>
  <r>
    <x v="942"/>
    <x v="0"/>
    <x v="942"/>
    <n v="2"/>
    <n v="11"/>
    <n v="11"/>
    <x v="10"/>
    <n v="22"/>
    <d v="1921-11-22T00:00:00"/>
    <s v="21112217759"/>
    <n v="5"/>
    <x v="0"/>
  </r>
  <r>
    <x v="943"/>
    <x v="2"/>
    <x v="943"/>
    <n v="1"/>
    <n v="7"/>
    <n v="7"/>
    <x v="40"/>
    <n v="27"/>
    <d v="1932-07-27T00:00:00"/>
    <s v="32072731623"/>
    <n v="2"/>
    <x v="1"/>
  </r>
  <r>
    <x v="944"/>
    <x v="2"/>
    <x v="944"/>
    <n v="1"/>
    <n v="5"/>
    <n v="5"/>
    <x v="7"/>
    <n v="1"/>
    <d v="1979-05-01T00:00:00"/>
    <s v="79050188499"/>
    <n v="9"/>
    <x v="0"/>
  </r>
  <r>
    <x v="945"/>
    <x v="2"/>
    <x v="945"/>
    <n v="1"/>
    <n v="5"/>
    <n v="5"/>
    <x v="52"/>
    <n v="19"/>
    <d v="1957-05-19T00:00:00"/>
    <s v="57051974372"/>
    <n v="7"/>
    <x v="0"/>
  </r>
  <r>
    <x v="946"/>
    <x v="2"/>
    <x v="946"/>
    <n v="1"/>
    <n v="9"/>
    <n v="9"/>
    <x v="68"/>
    <n v="24"/>
    <d v="1971-09-24T00:00:00"/>
    <s v="71092496572"/>
    <n v="7"/>
    <x v="0"/>
  </r>
  <r>
    <x v="947"/>
    <x v="1"/>
    <x v="947"/>
    <n v="1"/>
    <n v="2"/>
    <n v="2"/>
    <x v="40"/>
    <n v="5"/>
    <d v="1932-02-05T00:00:00"/>
    <s v="32020583272"/>
    <n v="7"/>
    <x v="0"/>
  </r>
  <r>
    <x v="948"/>
    <x v="2"/>
    <x v="948"/>
    <n v="2"/>
    <n v="32"/>
    <n v="12"/>
    <x v="54"/>
    <n v="29"/>
    <d v="2000-12-29T00:00:00"/>
    <s v="00322971837"/>
    <n v="3"/>
    <x v="0"/>
  </r>
  <r>
    <x v="949"/>
    <x v="2"/>
    <x v="949"/>
    <n v="2"/>
    <n v="5"/>
    <n v="5"/>
    <x v="67"/>
    <n v="25"/>
    <d v="1964-05-25T00:00:00"/>
    <s v="64052512173"/>
    <n v="7"/>
    <x v="0"/>
  </r>
  <r>
    <x v="950"/>
    <x v="2"/>
    <x v="950"/>
    <n v="1"/>
    <n v="3"/>
    <n v="3"/>
    <x v="47"/>
    <n v="5"/>
    <d v="1983-03-05T00:00:00"/>
    <s v="83030581624"/>
    <n v="2"/>
    <x v="1"/>
  </r>
  <r>
    <x v="951"/>
    <x v="3"/>
    <x v="951"/>
    <n v="1"/>
    <n v="30"/>
    <n v="10"/>
    <x v="23"/>
    <n v="8"/>
    <d v="2008-10-08T00:00:00"/>
    <s v="08300885789"/>
    <n v="8"/>
    <x v="1"/>
  </r>
  <r>
    <x v="952"/>
    <x v="1"/>
    <x v="952"/>
    <n v="1"/>
    <n v="23"/>
    <n v="3"/>
    <x v="69"/>
    <n v="17"/>
    <d v="2003-03-17T00:00:00"/>
    <s v="03231736256"/>
    <n v="5"/>
    <x v="0"/>
  </r>
  <r>
    <x v="953"/>
    <x v="2"/>
    <x v="953"/>
    <n v="2"/>
    <n v="6"/>
    <n v="6"/>
    <x v="12"/>
    <n v="2"/>
    <d v="1947-06-02T00:00:00"/>
    <s v="47060254295"/>
    <n v="9"/>
    <x v="0"/>
  </r>
  <r>
    <x v="954"/>
    <x v="1"/>
    <x v="954"/>
    <n v="1"/>
    <n v="9"/>
    <n v="9"/>
    <x v="86"/>
    <n v="3"/>
    <d v="1984-09-03T00:00:00"/>
    <s v="84090377527"/>
    <n v="2"/>
    <x v="1"/>
  </r>
  <r>
    <x v="955"/>
    <x v="0"/>
    <x v="955"/>
    <n v="2"/>
    <n v="1"/>
    <n v="1"/>
    <x v="12"/>
    <n v="27"/>
    <d v="1947-01-27T00:00:00"/>
    <s v="47012778262"/>
    <n v="6"/>
    <x v="1"/>
  </r>
  <r>
    <x v="956"/>
    <x v="1"/>
    <x v="956"/>
    <n v="1"/>
    <n v="8"/>
    <n v="8"/>
    <x v="74"/>
    <n v="18"/>
    <d v="1944-08-18T00:00:00"/>
    <s v="44081827574"/>
    <n v="7"/>
    <x v="0"/>
  </r>
  <r>
    <x v="957"/>
    <x v="2"/>
    <x v="957"/>
    <n v="2"/>
    <n v="3"/>
    <n v="3"/>
    <x v="3"/>
    <n v="15"/>
    <d v="1970-03-15T00:00:00"/>
    <s v="70031559431"/>
    <n v="3"/>
    <x v="0"/>
  </r>
  <r>
    <x v="958"/>
    <x v="1"/>
    <x v="958"/>
    <n v="1"/>
    <n v="8"/>
    <n v="8"/>
    <x v="3"/>
    <n v="3"/>
    <d v="1970-08-03T00:00:00"/>
    <s v="70080391567"/>
    <n v="6"/>
    <x v="1"/>
  </r>
  <r>
    <x v="959"/>
    <x v="0"/>
    <x v="959"/>
    <n v="1"/>
    <n v="4"/>
    <n v="4"/>
    <x v="24"/>
    <n v="30"/>
    <d v="1930-04-30T00:00:00"/>
    <s v="30043041872"/>
    <n v="7"/>
    <x v="0"/>
  </r>
  <r>
    <x v="960"/>
    <x v="1"/>
    <x v="960"/>
    <n v="1"/>
    <n v="2"/>
    <n v="2"/>
    <x v="12"/>
    <n v="28"/>
    <d v="1947-02-28T00:00:00"/>
    <s v="47022815696"/>
    <n v="9"/>
    <x v="0"/>
  </r>
  <r>
    <x v="961"/>
    <x v="0"/>
    <x v="961"/>
    <n v="2"/>
    <n v="28"/>
    <n v="8"/>
    <x v="49"/>
    <n v="24"/>
    <d v="2002-08-24T00:00:00"/>
    <s v="02282423874"/>
    <n v="7"/>
    <x v="0"/>
  </r>
  <r>
    <x v="962"/>
    <x v="1"/>
    <x v="962"/>
    <n v="1"/>
    <n v="10"/>
    <n v="10"/>
    <x v="60"/>
    <n v="22"/>
    <d v="1981-10-22T00:00:00"/>
    <s v="81102259213"/>
    <n v="1"/>
    <x v="0"/>
  </r>
  <r>
    <x v="963"/>
    <x v="0"/>
    <x v="963"/>
    <n v="2"/>
    <n v="2"/>
    <n v="2"/>
    <x v="31"/>
    <n v="16"/>
    <d v="1997-02-16T00:00:00"/>
    <s v="97021668337"/>
    <n v="3"/>
    <x v="0"/>
  </r>
  <r>
    <x v="964"/>
    <x v="2"/>
    <x v="964"/>
    <n v="2"/>
    <n v="10"/>
    <n v="10"/>
    <x v="85"/>
    <n v="16"/>
    <d v="1941-10-16T00:00:00"/>
    <s v="41101655649"/>
    <n v="4"/>
    <x v="1"/>
  </r>
  <r>
    <x v="965"/>
    <x v="2"/>
    <x v="965"/>
    <n v="1"/>
    <n v="7"/>
    <n v="7"/>
    <x v="24"/>
    <n v="6"/>
    <d v="1930-07-06T00:00:00"/>
    <s v="30070676591"/>
    <n v="9"/>
    <x v="0"/>
  </r>
  <r>
    <x v="966"/>
    <x v="1"/>
    <x v="966"/>
    <n v="1"/>
    <n v="3"/>
    <n v="3"/>
    <x v="56"/>
    <n v="30"/>
    <d v="1995-03-30T00:00:00"/>
    <s v="95033053233"/>
    <n v="3"/>
    <x v="0"/>
  </r>
  <r>
    <x v="967"/>
    <x v="0"/>
    <x v="967"/>
    <n v="1"/>
    <n v="12"/>
    <n v="12"/>
    <x v="89"/>
    <n v="19"/>
    <d v="1974-12-19T00:00:00"/>
    <s v="74121984617"/>
    <n v="1"/>
    <x v="0"/>
  </r>
  <r>
    <x v="968"/>
    <x v="2"/>
    <x v="968"/>
    <n v="1"/>
    <n v="12"/>
    <n v="12"/>
    <x v="66"/>
    <n v="18"/>
    <d v="1996-12-18T00:00:00"/>
    <s v="96121877629"/>
    <n v="2"/>
    <x v="1"/>
  </r>
  <r>
    <x v="969"/>
    <x v="1"/>
    <x v="969"/>
    <n v="1"/>
    <n v="2"/>
    <n v="2"/>
    <x v="84"/>
    <n v="2"/>
    <d v="1982-02-02T00:00:00"/>
    <s v="82020224149"/>
    <n v="4"/>
    <x v="1"/>
  </r>
  <r>
    <x v="970"/>
    <x v="0"/>
    <x v="970"/>
    <n v="2"/>
    <n v="10"/>
    <n v="10"/>
    <x v="17"/>
    <n v="12"/>
    <d v="1942-10-12T00:00:00"/>
    <s v="42101274155"/>
    <n v="5"/>
    <x v="0"/>
  </r>
  <r>
    <x v="971"/>
    <x v="1"/>
    <x v="971"/>
    <n v="1"/>
    <n v="4"/>
    <n v="4"/>
    <x v="17"/>
    <n v="15"/>
    <d v="1942-04-15T00:00:00"/>
    <s v="42041525276"/>
    <n v="7"/>
    <x v="0"/>
  </r>
  <r>
    <x v="972"/>
    <x v="0"/>
    <x v="972"/>
    <n v="1"/>
    <n v="7"/>
    <n v="7"/>
    <x v="10"/>
    <n v="16"/>
    <d v="1921-07-16T00:00:00"/>
    <s v="21071654248"/>
    <n v="4"/>
    <x v="1"/>
  </r>
  <r>
    <x v="973"/>
    <x v="2"/>
    <x v="973"/>
    <n v="2"/>
    <n v="22"/>
    <n v="2"/>
    <x v="59"/>
    <n v="3"/>
    <d v="2001-02-03T00:00:00"/>
    <s v="01220393556"/>
    <n v="5"/>
    <x v="0"/>
  </r>
  <r>
    <x v="974"/>
    <x v="2"/>
    <x v="974"/>
    <n v="1"/>
    <n v="12"/>
    <n v="12"/>
    <x v="25"/>
    <n v="10"/>
    <d v="1991-12-10T00:00:00"/>
    <s v="91121039154"/>
    <n v="5"/>
    <x v="0"/>
  </r>
  <r>
    <x v="975"/>
    <x v="1"/>
    <x v="975"/>
    <n v="1"/>
    <n v="11"/>
    <n v="11"/>
    <x v="12"/>
    <n v="15"/>
    <d v="1947-11-15T00:00:00"/>
    <s v="47111564494"/>
    <n v="9"/>
    <x v="0"/>
  </r>
  <r>
    <x v="976"/>
    <x v="2"/>
    <x v="976"/>
    <n v="2"/>
    <n v="27"/>
    <n v="7"/>
    <x v="1"/>
    <n v="23"/>
    <d v="2009-07-23T00:00:00"/>
    <s v="09272335528"/>
    <n v="2"/>
    <x v="1"/>
  </r>
  <r>
    <x v="977"/>
    <x v="1"/>
    <x v="977"/>
    <n v="1"/>
    <n v="2"/>
    <n v="2"/>
    <x v="44"/>
    <n v="25"/>
    <d v="1925-02-25T00:00:00"/>
    <s v="25022587856"/>
    <n v="5"/>
    <x v="0"/>
  </r>
  <r>
    <x v="978"/>
    <x v="0"/>
    <x v="978"/>
    <n v="2"/>
    <n v="3"/>
    <n v="3"/>
    <x v="84"/>
    <n v="27"/>
    <d v="1982-03-27T00:00:00"/>
    <s v="82032729827"/>
    <n v="2"/>
    <x v="1"/>
  </r>
  <r>
    <x v="979"/>
    <x v="1"/>
    <x v="979"/>
    <n v="1"/>
    <n v="4"/>
    <n v="4"/>
    <x v="13"/>
    <n v="29"/>
    <d v="1934-04-29T00:00:00"/>
    <s v="34042967111"/>
    <n v="1"/>
    <x v="0"/>
  </r>
  <r>
    <x v="980"/>
    <x v="2"/>
    <x v="980"/>
    <n v="1"/>
    <n v="5"/>
    <n v="5"/>
    <x v="88"/>
    <n v="2"/>
    <d v="1951-05-02T00:00:00"/>
    <s v="51050267358"/>
    <n v="5"/>
    <x v="0"/>
  </r>
  <r>
    <x v="981"/>
    <x v="1"/>
    <x v="981"/>
    <n v="1"/>
    <n v="10"/>
    <n v="10"/>
    <x v="5"/>
    <n v="4"/>
    <d v="1927-10-04T00:00:00"/>
    <s v="27100496667"/>
    <n v="6"/>
    <x v="1"/>
  </r>
  <r>
    <x v="982"/>
    <x v="0"/>
    <x v="982"/>
    <n v="1"/>
    <n v="1"/>
    <n v="1"/>
    <x v="89"/>
    <n v="24"/>
    <d v="1974-01-24T00:00:00"/>
    <s v="74012446273"/>
    <n v="7"/>
    <x v="0"/>
  </r>
  <r>
    <x v="983"/>
    <x v="1"/>
    <x v="983"/>
    <n v="1"/>
    <n v="3"/>
    <n v="3"/>
    <x v="43"/>
    <n v="22"/>
    <d v="1939-03-22T00:00:00"/>
    <s v="39032288946"/>
    <n v="4"/>
    <x v="1"/>
  </r>
  <r>
    <x v="984"/>
    <x v="2"/>
    <x v="984"/>
    <n v="1"/>
    <n v="12"/>
    <n v="12"/>
    <x v="71"/>
    <n v="29"/>
    <d v="1965-12-29T00:00:00"/>
    <s v="65122963266"/>
    <n v="6"/>
    <x v="1"/>
  </r>
  <r>
    <x v="985"/>
    <x v="2"/>
    <x v="985"/>
    <n v="2"/>
    <n v="1"/>
    <n v="1"/>
    <x v="65"/>
    <n v="17"/>
    <d v="1985-01-17T00:00:00"/>
    <s v="85011778463"/>
    <n v="6"/>
    <x v="1"/>
  </r>
  <r>
    <x v="986"/>
    <x v="3"/>
    <x v="986"/>
    <n v="1"/>
    <n v="10"/>
    <n v="10"/>
    <x v="68"/>
    <n v="31"/>
    <d v="1971-10-31T00:00:00"/>
    <s v="71103132237"/>
    <n v="3"/>
    <x v="0"/>
  </r>
  <r>
    <x v="987"/>
    <x v="1"/>
    <x v="987"/>
    <n v="1"/>
    <n v="1"/>
    <n v="1"/>
    <x v="2"/>
    <n v="18"/>
    <d v="1978-01-18T00:00:00"/>
    <s v="78011817784"/>
    <n v="8"/>
    <x v="1"/>
  </r>
  <r>
    <x v="988"/>
    <x v="3"/>
    <x v="988"/>
    <n v="1"/>
    <n v="1"/>
    <n v="1"/>
    <x v="17"/>
    <n v="18"/>
    <d v="1942-01-18T00:00:00"/>
    <s v="42011867728"/>
    <n v="2"/>
    <x v="1"/>
  </r>
  <r>
    <x v="989"/>
    <x v="1"/>
    <x v="989"/>
    <n v="1"/>
    <n v="10"/>
    <n v="10"/>
    <x v="51"/>
    <n v="29"/>
    <d v="1975-10-29T00:00:00"/>
    <s v="75102995219"/>
    <n v="1"/>
    <x v="0"/>
  </r>
  <r>
    <x v="990"/>
    <x v="0"/>
    <x v="990"/>
    <n v="1"/>
    <n v="9"/>
    <n v="9"/>
    <x v="89"/>
    <n v="4"/>
    <d v="1974-09-04T00:00:00"/>
    <s v="74090463252"/>
    <n v="5"/>
    <x v="0"/>
  </r>
  <r>
    <x v="991"/>
    <x v="2"/>
    <x v="991"/>
    <n v="1"/>
    <n v="6"/>
    <n v="6"/>
    <x v="20"/>
    <n v="15"/>
    <d v="1980-06-15T00:00:00"/>
    <s v="80061597297"/>
    <n v="9"/>
    <x v="0"/>
  </r>
  <r>
    <x v="992"/>
    <x v="1"/>
    <x v="992"/>
    <n v="1"/>
    <n v="9"/>
    <n v="9"/>
    <x v="7"/>
    <n v="22"/>
    <d v="1979-09-22T00:00:00"/>
    <s v="79092276738"/>
    <n v="3"/>
    <x v="0"/>
  </r>
  <r>
    <x v="993"/>
    <x v="1"/>
    <x v="993"/>
    <n v="1"/>
    <n v="4"/>
    <n v="4"/>
    <x v="58"/>
    <n v="27"/>
    <d v="1989-04-27T00:00:00"/>
    <s v="89042722899"/>
    <n v="9"/>
    <x v="0"/>
  </r>
  <r>
    <x v="994"/>
    <x v="0"/>
    <x v="994"/>
    <n v="2"/>
    <n v="3"/>
    <n v="3"/>
    <x v="56"/>
    <n v="22"/>
    <d v="1995-03-22T00:00:00"/>
    <s v="95032259654"/>
    <n v="5"/>
    <x v="0"/>
  </r>
  <r>
    <x v="995"/>
    <x v="1"/>
    <x v="995"/>
    <n v="1"/>
    <n v="2"/>
    <n v="2"/>
    <x v="72"/>
    <n v="9"/>
    <d v="1961-02-09T00:00:00"/>
    <s v="61020991356"/>
    <n v="5"/>
    <x v="0"/>
  </r>
  <r>
    <x v="996"/>
    <x v="1"/>
    <x v="996"/>
    <n v="1"/>
    <n v="11"/>
    <n v="11"/>
    <x v="88"/>
    <n v="9"/>
    <d v="1951-11-09T00:00:00"/>
    <s v="51110926445"/>
    <n v="4"/>
    <x v="1"/>
  </r>
  <r>
    <x v="997"/>
    <x v="0"/>
    <x v="997"/>
    <n v="1"/>
    <n v="4"/>
    <n v="4"/>
    <x v="39"/>
    <n v="19"/>
    <d v="1992-04-19T00:00:00"/>
    <s v="92041945695"/>
    <n v="9"/>
    <x v="0"/>
  </r>
  <r>
    <x v="998"/>
    <x v="0"/>
    <x v="998"/>
    <n v="2"/>
    <n v="5"/>
    <n v="5"/>
    <x v="14"/>
    <n v="18"/>
    <d v="1973-05-18T00:00:00"/>
    <s v="73051881887"/>
    <n v="8"/>
    <x v="1"/>
  </r>
  <r>
    <x v="999"/>
    <x v="2"/>
    <x v="999"/>
    <n v="2"/>
    <n v="8"/>
    <n v="8"/>
    <x v="81"/>
    <n v="28"/>
    <d v="1966-08-28T00:00:00"/>
    <s v="66082865834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E001D-A72E-4892-8F1B-C1C1F16A0942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13" firstHeaderRow="1" firstDataRow="1" firstDataCol="1"/>
  <pivotFields count="14">
    <pivotField dataField="1" showAll="0"/>
    <pivotField showAll="0"/>
    <pivotField numFmtId="16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numFmtId="14"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6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Liczba z PESEL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D1B5C-2002-48E8-B25E-7B0BA9E96092}" name="Tabela przestawna7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D9" firstHeaderRow="1" firstDataRow="2" firstDataCol="1"/>
  <pivotFields count="14">
    <pivotField dataField="1" showAll="0">
      <items count="1001">
        <item x="336"/>
        <item x="275"/>
        <item x="166"/>
        <item x="149"/>
        <item x="493"/>
        <item x="747"/>
        <item x="657"/>
        <item x="311"/>
        <item x="330"/>
        <item x="320"/>
        <item x="93"/>
        <item x="807"/>
        <item x="612"/>
        <item x="79"/>
        <item x="429"/>
        <item x="892"/>
        <item x="317"/>
        <item x="426"/>
        <item x="948"/>
        <item x="223"/>
        <item x="973"/>
        <item x="303"/>
        <item x="739"/>
        <item x="792"/>
        <item x="470"/>
        <item x="360"/>
        <item x="908"/>
        <item x="923"/>
        <item x="94"/>
        <item x="385"/>
        <item x="858"/>
        <item x="779"/>
        <item x="67"/>
        <item x="458"/>
        <item x="171"/>
        <item x="308"/>
        <item x="253"/>
        <item x="799"/>
        <item x="455"/>
        <item x="961"/>
        <item x="802"/>
        <item x="529"/>
        <item x="552"/>
        <item x="418"/>
        <item x="221"/>
        <item x="465"/>
        <item x="782"/>
        <item x="672"/>
        <item x="327"/>
        <item x="249"/>
        <item x="771"/>
        <item x="952"/>
        <item x="861"/>
        <item x="814"/>
        <item x="537"/>
        <item x="133"/>
        <item x="797"/>
        <item x="463"/>
        <item x="144"/>
        <item x="830"/>
        <item x="827"/>
        <item x="302"/>
        <item x="925"/>
        <item x="862"/>
        <item x="765"/>
        <item x="87"/>
        <item x="555"/>
        <item x="801"/>
        <item x="718"/>
        <item x="16"/>
        <item x="129"/>
        <item x="440"/>
        <item x="795"/>
        <item x="453"/>
        <item x="357"/>
        <item x="150"/>
        <item x="488"/>
        <item x="55"/>
        <item x="759"/>
        <item x="904"/>
        <item x="558"/>
        <item x="888"/>
        <item x="533"/>
        <item x="29"/>
        <item x="695"/>
        <item x="538"/>
        <item x="661"/>
        <item x="33"/>
        <item x="532"/>
        <item x="541"/>
        <item x="530"/>
        <item x="918"/>
        <item x="932"/>
        <item x="50"/>
        <item x="729"/>
        <item x="27"/>
        <item x="597"/>
        <item x="864"/>
        <item x="479"/>
        <item x="912"/>
        <item x="158"/>
        <item x="777"/>
        <item x="152"/>
        <item x="608"/>
        <item x="560"/>
        <item x="515"/>
        <item x="359"/>
        <item x="905"/>
        <item x="482"/>
        <item x="222"/>
        <item x="693"/>
        <item x="562"/>
        <item x="951"/>
        <item x="576"/>
        <item x="24"/>
        <item x="185"/>
        <item x="161"/>
        <item x="859"/>
        <item x="929"/>
        <item x="886"/>
        <item x="228"/>
        <item x="98"/>
        <item x="1"/>
        <item x="63"/>
        <item x="976"/>
        <item x="624"/>
        <item x="587"/>
        <item x="473"/>
        <item x="910"/>
        <item x="507"/>
        <item x="411"/>
        <item x="787"/>
        <item x="591"/>
        <item x="596"/>
        <item x="518"/>
        <item x="420"/>
        <item x="237"/>
        <item x="757"/>
        <item x="182"/>
        <item x="226"/>
        <item x="632"/>
        <item x="312"/>
        <item x="754"/>
        <item x="769"/>
        <item x="10"/>
        <item x="75"/>
        <item x="972"/>
        <item x="180"/>
        <item x="184"/>
        <item x="942"/>
        <item x="471"/>
        <item x="744"/>
        <item x="340"/>
        <item x="517"/>
        <item x="938"/>
        <item x="427"/>
        <item x="436"/>
        <item x="364"/>
        <item x="549"/>
        <item x="23"/>
        <item x="522"/>
        <item x="35"/>
        <item x="358"/>
        <item x="236"/>
        <item x="498"/>
        <item x="66"/>
        <item x="895"/>
        <item x="142"/>
        <item x="154"/>
        <item x="634"/>
        <item x="381"/>
        <item x="691"/>
        <item x="780"/>
        <item x="855"/>
        <item x="723"/>
        <item x="977"/>
        <item x="396"/>
        <item x="675"/>
        <item x="679"/>
        <item x="284"/>
        <item x="798"/>
        <item x="622"/>
        <item x="301"/>
        <item x="61"/>
        <item x="466"/>
        <item x="423"/>
        <item x="263"/>
        <item x="728"/>
        <item x="44"/>
        <item x="726"/>
        <item x="373"/>
        <item x="59"/>
        <item x="305"/>
        <item x="822"/>
        <item x="194"/>
        <item x="52"/>
        <item x="627"/>
        <item x="346"/>
        <item x="148"/>
        <item x="81"/>
        <item x="730"/>
        <item x="491"/>
        <item x="220"/>
        <item x="616"/>
        <item x="572"/>
        <item x="379"/>
        <item x="981"/>
        <item x="5"/>
        <item x="854"/>
        <item x="31"/>
        <item x="808"/>
        <item x="514"/>
        <item x="791"/>
        <item x="337"/>
        <item x="102"/>
        <item x="104"/>
        <item x="103"/>
        <item x="179"/>
        <item x="321"/>
        <item x="766"/>
        <item x="468"/>
        <item x="824"/>
        <item x="563"/>
        <item x="856"/>
        <item x="219"/>
        <item x="234"/>
        <item x="903"/>
        <item x="344"/>
        <item x="916"/>
        <item x="80"/>
        <item x="245"/>
        <item x="499"/>
        <item x="767"/>
        <item x="57"/>
        <item x="959"/>
        <item x="844"/>
        <item x="965"/>
        <item x="536"/>
        <item x="120"/>
        <item x="414"/>
        <item x="110"/>
        <item x="649"/>
        <item x="25"/>
        <item x="244"/>
        <item x="294"/>
        <item x="21"/>
        <item x="829"/>
        <item x="285"/>
        <item x="594"/>
        <item x="231"/>
        <item x="889"/>
        <item x="545"/>
        <item x="232"/>
        <item x="828"/>
        <item x="915"/>
        <item x="209"/>
        <item x="574"/>
        <item x="504"/>
        <item x="371"/>
        <item x="947"/>
        <item x="698"/>
        <item x="368"/>
        <item x="374"/>
        <item x="406"/>
        <item x="366"/>
        <item x="451"/>
        <item x="48"/>
        <item x="906"/>
        <item x="851"/>
        <item x="241"/>
        <item x="266"/>
        <item x="943"/>
        <item x="382"/>
        <item x="511"/>
        <item x="607"/>
        <item x="92"/>
        <item x="922"/>
        <item x="633"/>
        <item x="345"/>
        <item x="784"/>
        <item x="181"/>
        <item x="805"/>
        <item x="9"/>
        <item x="721"/>
        <item x="737"/>
        <item x="467"/>
        <item x="297"/>
        <item x="593"/>
        <item x="264"/>
        <item x="349"/>
        <item x="508"/>
        <item x="783"/>
        <item x="203"/>
        <item x="979"/>
        <item x="13"/>
        <item x="401"/>
        <item x="136"/>
        <item x="135"/>
        <item x="590"/>
        <item x="95"/>
        <item x="720"/>
        <item x="207"/>
        <item x="550"/>
        <item x="564"/>
        <item x="656"/>
        <item x="589"/>
        <item x="41"/>
        <item x="654"/>
        <item x="891"/>
        <item x="878"/>
        <item x="673"/>
        <item x="425"/>
        <item x="251"/>
        <item x="503"/>
        <item x="212"/>
        <item x="745"/>
        <item x="934"/>
        <item x="860"/>
        <item x="710"/>
        <item x="250"/>
        <item x="694"/>
        <item x="637"/>
        <item x="392"/>
        <item x="165"/>
        <item x="370"/>
        <item x="881"/>
        <item x="125"/>
        <item x="415"/>
        <item x="367"/>
        <item x="768"/>
        <item x="571"/>
        <item x="162"/>
        <item x="42"/>
        <item x="32"/>
        <item x="913"/>
        <item x="268"/>
        <item x="276"/>
        <item x="68"/>
        <item x="49"/>
        <item x="924"/>
        <item x="216"/>
        <item x="686"/>
        <item x="261"/>
        <item x="478"/>
        <item x="619"/>
        <item x="11"/>
        <item x="72"/>
        <item x="58"/>
        <item x="324"/>
        <item x="566"/>
        <item x="983"/>
        <item x="73"/>
        <item x="108"/>
        <item x="474"/>
        <item x="217"/>
        <item x="335"/>
        <item x="309"/>
        <item x="424"/>
        <item x="155"/>
        <item x="282"/>
        <item x="114"/>
        <item x="459"/>
        <item x="626"/>
        <item x="931"/>
        <item x="304"/>
        <item x="485"/>
        <item x="933"/>
        <item x="62"/>
        <item x="652"/>
        <item x="740"/>
        <item x="735"/>
        <item x="618"/>
        <item x="290"/>
        <item x="262"/>
        <item x="413"/>
        <item x="762"/>
        <item x="568"/>
        <item x="348"/>
        <item x="964"/>
        <item x="323"/>
        <item x="988"/>
        <item x="204"/>
        <item x="971"/>
        <item x="752"/>
        <item x="17"/>
        <item x="355"/>
        <item x="833"/>
        <item x="970"/>
        <item x="398"/>
        <item x="452"/>
        <item x="274"/>
        <item x="880"/>
        <item x="462"/>
        <item x="363"/>
        <item x="939"/>
        <item x="531"/>
        <item x="254"/>
        <item x="750"/>
        <item x="153"/>
        <item x="535"/>
        <item x="956"/>
        <item x="206"/>
        <item x="539"/>
        <item x="701"/>
        <item x="707"/>
        <item x="588"/>
        <item x="731"/>
        <item x="490"/>
        <item x="64"/>
        <item x="140"/>
        <item x="267"/>
        <item x="235"/>
        <item x="183"/>
        <item x="699"/>
        <item x="548"/>
        <item x="230"/>
        <item x="480"/>
        <item x="546"/>
        <item x="497"/>
        <item x="38"/>
        <item x="280"/>
        <item x="796"/>
        <item x="955"/>
        <item x="960"/>
        <item x="107"/>
        <item x="953"/>
        <item x="434"/>
        <item x="12"/>
        <item x="189"/>
        <item x="53"/>
        <item x="540"/>
        <item x="975"/>
        <item x="599"/>
        <item x="557"/>
        <item x="60"/>
        <item x="697"/>
        <item x="460"/>
        <item x="628"/>
        <item x="196"/>
        <item x="34"/>
        <item x="524"/>
        <item x="457"/>
        <item x="921"/>
        <item x="579"/>
        <item x="602"/>
        <item x="843"/>
        <item x="281"/>
        <item x="229"/>
        <item x="190"/>
        <item x="601"/>
        <item x="113"/>
        <item x="6"/>
        <item x="586"/>
        <item x="178"/>
        <item x="676"/>
        <item x="873"/>
        <item x="772"/>
        <item x="748"/>
        <item x="743"/>
        <item x="224"/>
        <item x="22"/>
        <item x="868"/>
        <item x="0"/>
        <item x="90"/>
        <item x="146"/>
        <item x="461"/>
        <item x="704"/>
        <item x="513"/>
        <item x="980"/>
        <item x="734"/>
        <item x="342"/>
        <item x="703"/>
        <item x="874"/>
        <item x="996"/>
        <item x="775"/>
        <item x="523"/>
        <item x="617"/>
        <item x="404"/>
        <item x="640"/>
        <item x="525"/>
        <item x="383"/>
        <item x="818"/>
        <item x="242"/>
        <item x="428"/>
        <item x="781"/>
        <item x="15"/>
        <item x="789"/>
        <item x="738"/>
        <item x="811"/>
        <item x="639"/>
        <item x="433"/>
        <item x="914"/>
        <item x="521"/>
        <item x="402"/>
        <item x="753"/>
        <item x="583"/>
        <item x="205"/>
        <item x="445"/>
        <item x="314"/>
        <item x="800"/>
        <item x="43"/>
        <item x="542"/>
        <item x="197"/>
        <item x="825"/>
        <item x="486"/>
        <item x="534"/>
        <item x="218"/>
        <item x="318"/>
        <item x="258"/>
        <item x="450"/>
        <item x="388"/>
        <item x="313"/>
        <item x="865"/>
        <item x="163"/>
        <item x="399"/>
        <item x="187"/>
        <item x="623"/>
        <item x="611"/>
        <item x="119"/>
        <item x="706"/>
        <item x="832"/>
        <item x="69"/>
        <item x="397"/>
        <item x="945"/>
        <item x="123"/>
        <item x="917"/>
        <item x="724"/>
        <item x="839"/>
        <item x="678"/>
        <item x="76"/>
        <item x="547"/>
        <item x="826"/>
        <item x="592"/>
        <item x="202"/>
        <item x="376"/>
        <item x="885"/>
        <item x="30"/>
        <item x="213"/>
        <item x="711"/>
        <item x="170"/>
        <item x="78"/>
        <item x="432"/>
        <item x="289"/>
        <item x="168"/>
        <item x="239"/>
        <item x="352"/>
        <item x="99"/>
        <item x="940"/>
        <item x="227"/>
        <item x="581"/>
        <item x="28"/>
        <item x="660"/>
        <item x="295"/>
        <item x="238"/>
        <item x="804"/>
        <item x="758"/>
        <item x="651"/>
        <item x="857"/>
        <item x="322"/>
        <item x="582"/>
        <item x="384"/>
        <item x="840"/>
        <item x="39"/>
        <item x="847"/>
        <item x="646"/>
        <item x="838"/>
        <item x="419"/>
        <item x="188"/>
        <item x="328"/>
        <item x="733"/>
        <item x="331"/>
        <item x="248"/>
        <item x="681"/>
        <item x="635"/>
        <item x="812"/>
        <item x="86"/>
        <item x="785"/>
        <item x="995"/>
        <item x="391"/>
        <item x="151"/>
        <item x="412"/>
        <item x="598"/>
        <item x="680"/>
        <item x="390"/>
        <item x="372"/>
        <item x="138"/>
        <item x="569"/>
        <item x="871"/>
        <item x="836"/>
        <item x="259"/>
        <item x="287"/>
        <item x="175"/>
        <item x="584"/>
        <item x="286"/>
        <item x="195"/>
        <item x="172"/>
        <item x="437"/>
        <item x="18"/>
        <item x="243"/>
        <item x="167"/>
        <item x="742"/>
        <item x="300"/>
        <item x="160"/>
        <item x="642"/>
        <item x="630"/>
        <item x="198"/>
        <item x="949"/>
        <item x="200"/>
        <item x="339"/>
        <item x="353"/>
        <item x="173"/>
        <item x="130"/>
        <item x="712"/>
        <item x="674"/>
        <item x="867"/>
        <item x="448"/>
        <item x="145"/>
        <item x="716"/>
        <item x="725"/>
        <item x="984"/>
        <item x="882"/>
        <item x="669"/>
        <item x="713"/>
        <item x="751"/>
        <item x="585"/>
        <item x="756"/>
        <item x="900"/>
        <item x="907"/>
        <item x="999"/>
        <item x="578"/>
        <item x="898"/>
        <item x="393"/>
        <item x="247"/>
        <item x="279"/>
        <item x="132"/>
        <item x="494"/>
        <item x="101"/>
        <item x="8"/>
        <item x="774"/>
        <item x="91"/>
        <item x="872"/>
        <item x="338"/>
        <item x="265"/>
        <item x="422"/>
        <item x="408"/>
        <item x="225"/>
        <item x="700"/>
        <item x="192"/>
        <item x="803"/>
        <item x="746"/>
        <item x="689"/>
        <item x="845"/>
        <item x="600"/>
        <item x="879"/>
        <item x="233"/>
        <item x="333"/>
        <item x="105"/>
        <item x="834"/>
        <item x="650"/>
        <item x="897"/>
        <item x="454"/>
        <item x="380"/>
        <item x="755"/>
        <item x="3"/>
        <item x="442"/>
        <item x="957"/>
        <item x="193"/>
        <item x="806"/>
        <item x="793"/>
        <item x="958"/>
        <item x="211"/>
        <item x="174"/>
        <item x="446"/>
        <item x="106"/>
        <item x="709"/>
        <item x="310"/>
        <item x="325"/>
        <item x="570"/>
        <item x="441"/>
        <item x="877"/>
        <item x="817"/>
        <item x="131"/>
        <item x="386"/>
        <item x="946"/>
        <item x="986"/>
        <item x="512"/>
        <item x="329"/>
        <item x="387"/>
        <item x="773"/>
        <item x="911"/>
        <item x="831"/>
        <item x="893"/>
        <item x="520"/>
        <item x="4"/>
        <item x="316"/>
        <item x="347"/>
        <item x="14"/>
        <item x="613"/>
        <item x="46"/>
        <item x="307"/>
        <item x="741"/>
        <item x="299"/>
        <item x="430"/>
        <item x="776"/>
        <item x="998"/>
        <item x="298"/>
        <item x="416"/>
        <item x="449"/>
        <item x="850"/>
        <item x="982"/>
        <item x="554"/>
        <item x="543"/>
        <item x="685"/>
        <item x="764"/>
        <item x="502"/>
        <item x="919"/>
        <item x="990"/>
        <item x="409"/>
        <item x="967"/>
        <item x="124"/>
        <item x="902"/>
        <item x="696"/>
        <item x="553"/>
        <item x="605"/>
        <item x="935"/>
        <item x="74"/>
        <item x="141"/>
        <item x="332"/>
        <item x="790"/>
        <item x="930"/>
        <item x="645"/>
        <item x="989"/>
        <item x="71"/>
        <item x="852"/>
        <item x="157"/>
        <item x="214"/>
        <item x="483"/>
        <item x="636"/>
        <item x="894"/>
        <item x="732"/>
        <item x="272"/>
        <item x="705"/>
        <item x="901"/>
        <item x="350"/>
        <item x="603"/>
        <item x="810"/>
        <item x="876"/>
        <item x="96"/>
        <item x="40"/>
        <item x="816"/>
        <item x="606"/>
        <item x="208"/>
        <item x="987"/>
        <item x="37"/>
        <item x="866"/>
        <item x="621"/>
        <item x="501"/>
        <item x="786"/>
        <item x="361"/>
        <item x="668"/>
        <item x="2"/>
        <item x="909"/>
        <item x="664"/>
        <item x="937"/>
        <item x="788"/>
        <item x="389"/>
        <item x="505"/>
        <item x="288"/>
        <item x="944"/>
        <item x="159"/>
        <item x="643"/>
        <item x="240"/>
        <item x="528"/>
        <item x="992"/>
        <item x="7"/>
        <item x="715"/>
        <item x="88"/>
        <item x="117"/>
        <item x="500"/>
        <item x="849"/>
        <item x="20"/>
        <item x="51"/>
        <item x="991"/>
        <item x="134"/>
        <item x="464"/>
        <item x="567"/>
        <item x="941"/>
        <item x="56"/>
        <item x="841"/>
        <item x="319"/>
        <item x="714"/>
        <item x="683"/>
        <item x="421"/>
        <item x="655"/>
        <item x="128"/>
        <item x="351"/>
        <item x="435"/>
        <item x="201"/>
        <item x="708"/>
        <item x="477"/>
        <item x="962"/>
        <item x="472"/>
        <item x="770"/>
        <item x="100"/>
        <item x="260"/>
        <item x="969"/>
        <item x="928"/>
        <item x="978"/>
        <item x="270"/>
        <item x="719"/>
        <item x="283"/>
        <item x="647"/>
        <item x="819"/>
        <item x="395"/>
        <item x="687"/>
        <item x="853"/>
        <item x="292"/>
        <item x="443"/>
        <item x="65"/>
        <item x="334"/>
        <item x="950"/>
        <item x="210"/>
        <item x="610"/>
        <item x="870"/>
        <item x="620"/>
        <item x="186"/>
        <item x="97"/>
        <item x="369"/>
        <item x="659"/>
        <item x="641"/>
        <item x="356"/>
        <item x="899"/>
        <item x="875"/>
        <item x="489"/>
        <item x="362"/>
        <item x="456"/>
        <item x="405"/>
        <item x="271"/>
        <item x="823"/>
        <item x="293"/>
        <item x="869"/>
        <item x="936"/>
        <item x="702"/>
        <item x="954"/>
        <item x="278"/>
        <item x="403"/>
        <item x="315"/>
        <item x="985"/>
        <item x="821"/>
        <item x="115"/>
        <item x="778"/>
        <item x="761"/>
        <item x="896"/>
        <item x="438"/>
        <item x="665"/>
        <item x="45"/>
        <item x="273"/>
        <item x="690"/>
        <item x="551"/>
        <item x="246"/>
        <item x="487"/>
        <item x="269"/>
        <item x="326"/>
        <item x="509"/>
        <item x="559"/>
        <item x="577"/>
        <item x="544"/>
        <item x="252"/>
        <item x="475"/>
        <item x="444"/>
        <item x="648"/>
        <item x="813"/>
        <item x="580"/>
        <item x="595"/>
        <item x="727"/>
        <item x="54"/>
        <item x="343"/>
        <item x="835"/>
        <item x="492"/>
        <item x="884"/>
        <item x="255"/>
        <item x="837"/>
        <item x="842"/>
        <item x="993"/>
        <item x="496"/>
        <item x="625"/>
        <item x="883"/>
        <item x="122"/>
        <item x="176"/>
        <item x="85"/>
        <item x="70"/>
        <item x="169"/>
        <item x="516"/>
        <item x="127"/>
        <item x="920"/>
        <item x="688"/>
        <item x="846"/>
        <item x="19"/>
        <item x="256"/>
        <item x="143"/>
        <item x="749"/>
        <item x="820"/>
        <item x="794"/>
        <item x="377"/>
        <item x="84"/>
        <item x="890"/>
        <item x="638"/>
        <item x="26"/>
        <item x="139"/>
        <item x="631"/>
        <item x="974"/>
        <item x="653"/>
        <item x="760"/>
        <item x="670"/>
        <item x="47"/>
        <item x="997"/>
        <item x="147"/>
        <item x="177"/>
        <item x="565"/>
        <item x="116"/>
        <item x="137"/>
        <item x="692"/>
        <item x="722"/>
        <item x="573"/>
        <item x="927"/>
        <item x="476"/>
        <item x="658"/>
        <item x="484"/>
        <item x="354"/>
        <item x="365"/>
        <item x="111"/>
        <item x="506"/>
        <item x="431"/>
        <item x="519"/>
        <item x="926"/>
        <item x="277"/>
        <item x="510"/>
        <item x="666"/>
        <item x="126"/>
        <item x="561"/>
        <item x="89"/>
        <item x="77"/>
        <item x="575"/>
        <item x="763"/>
        <item x="156"/>
        <item x="164"/>
        <item x="375"/>
        <item x="378"/>
        <item x="306"/>
        <item x="112"/>
        <item x="82"/>
        <item x="994"/>
        <item x="966"/>
        <item x="671"/>
        <item x="556"/>
        <item x="215"/>
        <item x="663"/>
        <item x="400"/>
        <item x="682"/>
        <item x="495"/>
        <item x="848"/>
        <item x="191"/>
        <item x="121"/>
        <item x="968"/>
        <item x="527"/>
        <item x="887"/>
        <item x="481"/>
        <item x="963"/>
        <item x="341"/>
        <item x="417"/>
        <item x="609"/>
        <item x="614"/>
        <item x="526"/>
        <item x="394"/>
        <item x="407"/>
        <item x="291"/>
        <item x="644"/>
        <item x="447"/>
        <item x="684"/>
        <item x="36"/>
        <item x="296"/>
        <item x="410"/>
        <item x="604"/>
        <item x="809"/>
        <item x="199"/>
        <item x="863"/>
        <item x="629"/>
        <item x="615"/>
        <item x="677"/>
        <item x="109"/>
        <item x="257"/>
        <item x="662"/>
        <item x="815"/>
        <item x="118"/>
        <item x="469"/>
        <item x="717"/>
        <item x="439"/>
        <item x="667"/>
        <item x="83"/>
        <item x="736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numFmtId="16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numFmtId="14" showAll="0"/>
    <pivotField showAll="0"/>
    <pivotField showAll="0"/>
    <pivotField axis="axisCol" showAll="0">
      <items count="3">
        <item x="1"/>
        <item x="0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Liczba z PESEL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1563F-E7B1-434A-A3F2-78D655671E77}" name="Tabela przestawna3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13" firstHeaderRow="1" firstDataRow="1" firstDataCol="1"/>
  <pivotFields count="14">
    <pivotField dataField="1" showAll="0"/>
    <pivotField showAll="0"/>
    <pivotField numFmtId="16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3"/>
  </rowFields>
  <rowItems count="10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Liczba z PESEL" fld="0" subtotal="count" baseField="0" baseItem="0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3" count="9"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D84C91-6D5B-4C78-9AA2-EC9F135EF455}" autoFormatId="16" applyNumberFormats="0" applyBorderFormats="0" applyFontFormats="0" applyPatternFormats="0" applyAlignmentFormats="0" applyWidthHeightFormats="0">
  <queryTableRefresh nextId="12">
    <queryTableFields count="4">
      <queryTableField id="1" name="PESEL" tableColumnId="1"/>
      <queryTableField id="2" name="RODZAJ SZCZEPIONKI" tableColumnId="2"/>
      <queryTableField id="3" name="GODZINA ZASZCZEPIENIA" tableColumnId="3"/>
      <queryTableField id="4" name="KTÓRA DAWKA 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8B1987A-3284-4AFA-A84C-7A723583605B}" autoFormatId="16" applyNumberFormats="0" applyBorderFormats="0" applyFontFormats="0" applyPatternFormats="0" applyAlignmentFormats="0" applyWidthHeightFormats="0">
  <queryTableRefresh nextId="13" unboundColumnsRight="8">
    <queryTableFields count="12">
      <queryTableField id="1" name="PESEL" tableColumnId="1"/>
      <queryTableField id="2" name="RODZAJ SZCZEPIONKI" tableColumnId="2"/>
      <queryTableField id="3" name="GODZINA ZASZCZEPIENIA" tableColumnId="3"/>
      <queryTableField id="4" name="KTÓRA DAWKA " tableColumnId="4"/>
      <queryTableField id="5" dataBound="0" tableColumnId="5"/>
      <queryTableField id="6" dataBound="0" tableColumnId="6"/>
      <queryTableField id="7" dataBound="0" tableColumnId="7"/>
      <queryTableField id="9" dataBound="0" tableColumnId="9"/>
      <queryTableField id="8" dataBound="0" tableColumnId="8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4791104-231A-4A1F-A639-471618794907}" autoFormatId="16" applyNumberFormats="0" applyBorderFormats="0" applyFontFormats="0" applyPatternFormats="0" applyAlignmentFormats="0" applyWidthHeightFormats="0">
  <queryTableRefresh nextId="12">
    <queryTableFields count="4">
      <queryTableField id="1" name="PESEL" tableColumnId="1"/>
      <queryTableField id="2" name="RODZAJ SZCZEPIONKI" tableColumnId="2"/>
      <queryTableField id="3" name="GODZINA ZASZCZEPIENIA" tableColumnId="3"/>
      <queryTableField id="4" name="KTÓRA DAWKA 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2F1AAF-846E-46D3-90E9-471B682FFF85}" name="punkt_szczepień__1" displayName="punkt_szczepień__1" ref="A1:D1001" tableType="queryTable" totalsRowShown="0">
  <autoFilter ref="A1:D1001" xr:uid="{9B2F1AAF-846E-46D3-90E9-471B682FFF85}"/>
  <tableColumns count="4">
    <tableColumn id="1" xr3:uid="{C75048DF-E021-4DD5-AB1C-C89E1EAE14C6}" uniqueName="1" name="PESEL" queryTableFieldId="1" dataDxfId="17"/>
    <tableColumn id="2" xr3:uid="{EE0DA55A-544F-4EB9-81D2-D8634E32EE9A}" uniqueName="2" name="RODZAJ SZCZEPIONKI" queryTableFieldId="2" dataDxfId="16"/>
    <tableColumn id="3" xr3:uid="{193176A3-2932-4ADD-B8F4-5784548D21ED}" uniqueName="3" name="GODZINA ZASZCZEPIENIA" queryTableFieldId="3" dataDxfId="15"/>
    <tableColumn id="4" xr3:uid="{6317B43D-7CF8-46E5-8928-0912B6CBE6CF}" uniqueName="4" name="KTÓRA DAWKA 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45E8ED-F4BB-4C1D-9B14-9057F4C2CADE}" name="punkt_szczepień__13" displayName="punkt_szczepień__13" ref="A1:L1001" tableType="queryTable" totalsRowShown="0">
  <autoFilter ref="A1:L1001" xr:uid="{9B2F1AAF-846E-46D3-90E9-471B682FFF85}"/>
  <tableColumns count="12">
    <tableColumn id="1" xr3:uid="{9AFB32F6-1549-4768-B87A-65FCF2751807}" uniqueName="1" name="PESEL" queryTableFieldId="1" dataDxfId="14"/>
    <tableColumn id="2" xr3:uid="{3F4AAA0A-D01A-4768-9F44-6C4377562D13}" uniqueName="2" name="RODZAJ SZCZEPIONKI" queryTableFieldId="2" dataDxfId="13"/>
    <tableColumn id="3" xr3:uid="{1E6299F9-1770-4845-9172-D9FCCDA797DA}" uniqueName="3" name="GODZINA ZASZCZEPIENIA" queryTableFieldId="3" dataDxfId="12"/>
    <tableColumn id="4" xr3:uid="{F3FBB3E2-5484-4782-BA2A-554CF5292C47}" uniqueName="4" name="KTÓRA DAWKA " queryTableFieldId="4"/>
    <tableColumn id="5" xr3:uid="{7B02BFED-A293-4082-8604-850DFE2B2B13}" uniqueName="5" name="liczba miesiac" queryTableFieldId="5" dataDxfId="11">
      <calculatedColumnFormula>VALUE(RIGHT(LEFT(punkt_szczepień__13[[#This Row],[PESEL]],4),2))</calculatedColumnFormula>
    </tableColumn>
    <tableColumn id="6" xr3:uid="{CF9B7812-C686-42AC-84AD-F749284C65FA}" uniqueName="6" name="miesiac" queryTableFieldId="6" dataDxfId="10">
      <calculatedColumnFormula>MOD(punkt_szczepień__13[[#This Row],[liczba miesiac]],20)</calculatedColumnFormula>
    </tableColumn>
    <tableColumn id="7" xr3:uid="{AC2E76F1-9FDD-42A8-BF58-7380364B37E0}" uniqueName="7" name="rok" queryTableFieldId="7" dataDxfId="9">
      <calculatedColumnFormula>VLOOKUP(punkt_szczepień__13[[#This Row],[liczba miesiac]]-punkt_szczepień__13[[#This Row],[miesiac]],$O$3:$P$7,2,0)+VALUE(LEFT(punkt_szczepień__13[[#This Row],[PESEL]],2))</calculatedColumnFormula>
    </tableColumn>
    <tableColumn id="9" xr3:uid="{23255EF9-CE3E-4D6D-9A01-9F6F9FCD8BE0}" uniqueName="9" name="dzień" queryTableFieldId="9" dataDxfId="8">
      <calculatedColumnFormula>VALUE(RIGHT(LEFT(punkt_szczepień__13[[#This Row],[PESEL]],6),2))</calculatedColumnFormula>
    </tableColumn>
    <tableColumn id="8" xr3:uid="{A388CF40-A993-42AE-9A81-2BF3C41CF8EF}" uniqueName="8" name="data" queryTableFieldId="8" dataDxfId="7">
      <calculatedColumnFormula>DATE(punkt_szczepień__13[[#This Row],[rok]],punkt_szczepień__13[[#This Row],[miesiac]],punkt_szczepień__13[[#This Row],[dzień]])</calculatedColumnFormula>
    </tableColumn>
    <tableColumn id="10" xr3:uid="{39FBD930-3082-4955-97F6-BAEA356D4EC1}" uniqueName="10" name="pesel2" queryTableFieldId="10" dataDxfId="6">
      <calculatedColumnFormula>punkt_szczepień__13[[#This Row],[PESEL]]</calculatedColumnFormula>
    </tableColumn>
    <tableColumn id="11" xr3:uid="{66D85A01-125E-49F7-832D-1ED8F89CD13D}" uniqueName="11" name="liczba płeć" queryTableFieldId="11" dataDxfId="5">
      <calculatedColumnFormula>VALUE(MID(punkt_szczepień__13[[#This Row],[PESEL]],10,1))</calculatedColumnFormula>
    </tableColumn>
    <tableColumn id="12" xr3:uid="{2909460A-F5E0-4AA9-9013-5257AC7E3405}" uniqueName="12" name="płeć" queryTableFieldId="12" dataDxfId="4">
      <calculatedColumnFormula>IF(MOD(punkt_szczepień__13[[#This Row],[liczba płeć]],2)=0,"K","M")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5B4721-4BCD-418E-9309-1A9C9ACF3DDE}" name="punkt_szczepień__14" displayName="punkt_szczepień__14" ref="A1:D1001" tableType="queryTable" totalsRowShown="0">
  <autoFilter ref="A1:D1001" xr:uid="{1E5B4721-4BCD-418E-9309-1A9C9ACF3DDE}"/>
  <tableColumns count="4">
    <tableColumn id="1" xr3:uid="{3FD51F61-85A1-4765-AD1E-80FE25462DBB}" uniqueName="1" name="PESEL" queryTableFieldId="1" dataDxfId="3"/>
    <tableColumn id="2" xr3:uid="{C20C9E97-6A81-4CE3-8030-7953F5E264AA}" uniqueName="2" name="RODZAJ SZCZEPIONKI" queryTableFieldId="2" dataDxfId="2"/>
    <tableColumn id="3" xr3:uid="{DE3F4998-DC84-4AC3-8622-8290AC096341}" uniqueName="3" name="GODZINA ZASZCZEPIENIA" queryTableFieldId="3" dataDxfId="1"/>
    <tableColumn id="4" xr3:uid="{E34A1701-2453-4EE0-B93F-CF58CAC954A4}" uniqueName="4" name="KTÓRA DAWKA 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C90A-4C12-4E59-911B-BC53E7702259}">
  <dimension ref="A1:D1001"/>
  <sheetViews>
    <sheetView topLeftCell="A984" zoomScale="190" zoomScaleNormal="190" workbookViewId="0">
      <selection activeCell="A2" sqref="A2:D1001"/>
    </sheetView>
  </sheetViews>
  <sheetFormatPr defaultRowHeight="15" x14ac:dyDescent="0.25"/>
  <cols>
    <col min="1" max="1" width="12.42578125" bestFit="1" customWidth="1"/>
    <col min="2" max="2" width="23" bestFit="1" customWidth="1"/>
    <col min="3" max="3" width="26.42578125" bestFit="1" customWidth="1"/>
    <col min="4" max="4" width="17" bestFit="1" customWidth="1"/>
    <col min="5" max="99" width="1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2">
        <v>0.33333333333333331</v>
      </c>
      <c r="D2">
        <v>2</v>
      </c>
    </row>
    <row r="3" spans="1:4" x14ac:dyDescent="0.25">
      <c r="A3" s="1" t="s">
        <v>6</v>
      </c>
      <c r="B3" s="1" t="s">
        <v>7</v>
      </c>
      <c r="C3" s="2">
        <v>0.33362268518518517</v>
      </c>
      <c r="D3">
        <v>1</v>
      </c>
    </row>
    <row r="4" spans="1:4" x14ac:dyDescent="0.25">
      <c r="A4" s="1" t="s">
        <v>8</v>
      </c>
      <c r="B4" s="1" t="s">
        <v>9</v>
      </c>
      <c r="C4" s="2">
        <v>0.33391203703703703</v>
      </c>
      <c r="D4">
        <v>1</v>
      </c>
    </row>
    <row r="5" spans="1:4" x14ac:dyDescent="0.25">
      <c r="A5" s="1" t="s">
        <v>10</v>
      </c>
      <c r="B5" s="1" t="s">
        <v>5</v>
      </c>
      <c r="C5" s="2">
        <v>0.33449074074074076</v>
      </c>
      <c r="D5">
        <v>2</v>
      </c>
    </row>
    <row r="6" spans="1:4" x14ac:dyDescent="0.25">
      <c r="A6" s="1" t="s">
        <v>11</v>
      </c>
      <c r="B6" s="1" t="s">
        <v>5</v>
      </c>
      <c r="C6" s="2">
        <v>0.33506944444444442</v>
      </c>
      <c r="D6">
        <v>2</v>
      </c>
    </row>
    <row r="7" spans="1:4" x14ac:dyDescent="0.25">
      <c r="A7" s="1" t="s">
        <v>12</v>
      </c>
      <c r="B7" s="1" t="s">
        <v>5</v>
      </c>
      <c r="C7" s="2">
        <v>0.33535879629629628</v>
      </c>
      <c r="D7">
        <v>1</v>
      </c>
    </row>
    <row r="8" spans="1:4" x14ac:dyDescent="0.25">
      <c r="A8" s="1" t="s">
        <v>13</v>
      </c>
      <c r="B8" s="1" t="s">
        <v>9</v>
      </c>
      <c r="C8" s="2">
        <v>0.3359375</v>
      </c>
      <c r="D8">
        <v>2</v>
      </c>
    </row>
    <row r="9" spans="1:4" x14ac:dyDescent="0.25">
      <c r="A9" s="1" t="s">
        <v>14</v>
      </c>
      <c r="B9" s="1" t="s">
        <v>9</v>
      </c>
      <c r="C9" s="2">
        <v>0.33622685185185186</v>
      </c>
      <c r="D9">
        <v>1</v>
      </c>
    </row>
    <row r="10" spans="1:4" x14ac:dyDescent="0.25">
      <c r="A10" s="1" t="s">
        <v>15</v>
      </c>
      <c r="B10" s="1" t="s">
        <v>9</v>
      </c>
      <c r="C10" s="2">
        <v>0.33651620370370372</v>
      </c>
      <c r="D10">
        <v>1</v>
      </c>
    </row>
    <row r="11" spans="1:4" x14ac:dyDescent="0.25">
      <c r="A11" s="1" t="s">
        <v>16</v>
      </c>
      <c r="B11" s="1" t="s">
        <v>9</v>
      </c>
      <c r="C11" s="2">
        <v>0.33680555555555558</v>
      </c>
      <c r="D11">
        <v>1</v>
      </c>
    </row>
    <row r="12" spans="1:4" x14ac:dyDescent="0.25">
      <c r="A12" s="1" t="s">
        <v>17</v>
      </c>
      <c r="B12" s="1" t="s">
        <v>9</v>
      </c>
      <c r="C12" s="2">
        <v>0.33709490740740738</v>
      </c>
      <c r="D12">
        <v>1</v>
      </c>
    </row>
    <row r="13" spans="1:4" x14ac:dyDescent="0.25">
      <c r="A13" s="1" t="s">
        <v>18</v>
      </c>
      <c r="B13" s="1" t="s">
        <v>5</v>
      </c>
      <c r="C13" s="2">
        <v>0.33738425925925924</v>
      </c>
      <c r="D13">
        <v>1</v>
      </c>
    </row>
    <row r="14" spans="1:4" x14ac:dyDescent="0.25">
      <c r="A14" s="1" t="s">
        <v>19</v>
      </c>
      <c r="B14" s="1" t="s">
        <v>7</v>
      </c>
      <c r="C14" s="2">
        <v>0.3376736111111111</v>
      </c>
      <c r="D14">
        <v>1</v>
      </c>
    </row>
    <row r="15" spans="1:4" x14ac:dyDescent="0.25">
      <c r="A15" s="1" t="s">
        <v>20</v>
      </c>
      <c r="B15" s="1" t="s">
        <v>5</v>
      </c>
      <c r="C15" s="2">
        <v>0.33825231481481483</v>
      </c>
      <c r="D15">
        <v>2</v>
      </c>
    </row>
    <row r="16" spans="1:4" x14ac:dyDescent="0.25">
      <c r="A16" s="1" t="s">
        <v>21</v>
      </c>
      <c r="B16" s="1" t="s">
        <v>9</v>
      </c>
      <c r="C16" s="2">
        <v>0.33854166666666669</v>
      </c>
      <c r="D16">
        <v>1</v>
      </c>
    </row>
    <row r="17" spans="1:4" x14ac:dyDescent="0.25">
      <c r="A17" s="1" t="s">
        <v>22</v>
      </c>
      <c r="B17" s="1" t="s">
        <v>7</v>
      </c>
      <c r="C17" s="2">
        <v>0.33883101851851855</v>
      </c>
      <c r="D17">
        <v>1</v>
      </c>
    </row>
    <row r="18" spans="1:4" x14ac:dyDescent="0.25">
      <c r="A18" s="1" t="s">
        <v>23</v>
      </c>
      <c r="B18" s="1" t="s">
        <v>5</v>
      </c>
      <c r="C18" s="2">
        <v>0.33912037037037035</v>
      </c>
      <c r="D18">
        <v>1</v>
      </c>
    </row>
    <row r="19" spans="1:4" x14ac:dyDescent="0.25">
      <c r="A19" s="1" t="s">
        <v>24</v>
      </c>
      <c r="B19" s="1" t="s">
        <v>7</v>
      </c>
      <c r="C19" s="2">
        <v>0.33940972222222221</v>
      </c>
      <c r="D19">
        <v>1</v>
      </c>
    </row>
    <row r="20" spans="1:4" x14ac:dyDescent="0.25">
      <c r="A20" s="1" t="s">
        <v>25</v>
      </c>
      <c r="B20" s="1" t="s">
        <v>7</v>
      </c>
      <c r="C20" s="2">
        <v>0.33969907407407407</v>
      </c>
      <c r="D20">
        <v>1</v>
      </c>
    </row>
    <row r="21" spans="1:4" x14ac:dyDescent="0.25">
      <c r="A21" s="1" t="s">
        <v>26</v>
      </c>
      <c r="B21" s="1" t="s">
        <v>27</v>
      </c>
      <c r="C21" s="2">
        <v>0.34027777777777779</v>
      </c>
      <c r="D21">
        <v>2</v>
      </c>
    </row>
    <row r="22" spans="1:4" x14ac:dyDescent="0.25">
      <c r="A22" s="1" t="s">
        <v>28</v>
      </c>
      <c r="B22" s="1" t="s">
        <v>27</v>
      </c>
      <c r="C22" s="2">
        <v>0.34085648148148145</v>
      </c>
      <c r="D22">
        <v>2</v>
      </c>
    </row>
    <row r="23" spans="1:4" x14ac:dyDescent="0.25">
      <c r="A23" s="1" t="s">
        <v>29</v>
      </c>
      <c r="B23" s="1" t="s">
        <v>7</v>
      </c>
      <c r="C23" s="2">
        <v>0.34114583333333331</v>
      </c>
      <c r="D23">
        <v>1</v>
      </c>
    </row>
    <row r="24" spans="1:4" x14ac:dyDescent="0.25">
      <c r="A24" s="1" t="s">
        <v>30</v>
      </c>
      <c r="B24" s="1" t="s">
        <v>7</v>
      </c>
      <c r="C24" s="2">
        <v>0.34143518518518517</v>
      </c>
      <c r="D24">
        <v>1</v>
      </c>
    </row>
    <row r="25" spans="1:4" x14ac:dyDescent="0.25">
      <c r="A25" s="1" t="s">
        <v>31</v>
      </c>
      <c r="B25" s="1" t="s">
        <v>5</v>
      </c>
      <c r="C25" s="2">
        <v>0.3420138888888889</v>
      </c>
      <c r="D25">
        <v>2</v>
      </c>
    </row>
    <row r="26" spans="1:4" x14ac:dyDescent="0.25">
      <c r="A26" s="1" t="s">
        <v>32</v>
      </c>
      <c r="B26" s="1" t="s">
        <v>5</v>
      </c>
      <c r="C26" s="2">
        <v>0.34230324074074076</v>
      </c>
      <c r="D26">
        <v>1</v>
      </c>
    </row>
    <row r="27" spans="1:4" x14ac:dyDescent="0.25">
      <c r="A27" s="1" t="s">
        <v>33</v>
      </c>
      <c r="B27" s="1" t="s">
        <v>9</v>
      </c>
      <c r="C27" s="2">
        <v>0.34288194444444442</v>
      </c>
      <c r="D27">
        <v>2</v>
      </c>
    </row>
    <row r="28" spans="1:4" x14ac:dyDescent="0.25">
      <c r="A28" s="1" t="s">
        <v>34</v>
      </c>
      <c r="B28" s="1" t="s">
        <v>27</v>
      </c>
      <c r="C28" s="2">
        <v>0.34317129629629628</v>
      </c>
      <c r="D28">
        <v>1</v>
      </c>
    </row>
    <row r="29" spans="1:4" x14ac:dyDescent="0.25">
      <c r="A29" s="1" t="s">
        <v>35</v>
      </c>
      <c r="B29" s="1" t="s">
        <v>7</v>
      </c>
      <c r="C29" s="2">
        <v>0.34346064814814814</v>
      </c>
      <c r="D29">
        <v>1</v>
      </c>
    </row>
    <row r="30" spans="1:4" x14ac:dyDescent="0.25">
      <c r="A30" s="1" t="s">
        <v>36</v>
      </c>
      <c r="B30" s="1" t="s">
        <v>9</v>
      </c>
      <c r="C30" s="2">
        <v>0.34403935185185186</v>
      </c>
      <c r="D30">
        <v>2</v>
      </c>
    </row>
    <row r="31" spans="1:4" x14ac:dyDescent="0.25">
      <c r="A31" s="1" t="s">
        <v>37</v>
      </c>
      <c r="B31" s="1" t="s">
        <v>27</v>
      </c>
      <c r="C31" s="2">
        <v>0.34461805555555558</v>
      </c>
      <c r="D31">
        <v>2</v>
      </c>
    </row>
    <row r="32" spans="1:4" x14ac:dyDescent="0.25">
      <c r="A32" s="1" t="s">
        <v>38</v>
      </c>
      <c r="B32" s="1" t="s">
        <v>7</v>
      </c>
      <c r="C32" s="2">
        <v>0.34490740740740738</v>
      </c>
      <c r="D32">
        <v>1</v>
      </c>
    </row>
    <row r="33" spans="1:4" x14ac:dyDescent="0.25">
      <c r="A33" s="1" t="s">
        <v>39</v>
      </c>
      <c r="B33" s="1" t="s">
        <v>7</v>
      </c>
      <c r="C33" s="2">
        <v>0.34519675925925924</v>
      </c>
      <c r="D33">
        <v>1</v>
      </c>
    </row>
    <row r="34" spans="1:4" x14ac:dyDescent="0.25">
      <c r="A34" s="1" t="s">
        <v>40</v>
      </c>
      <c r="B34" s="1" t="s">
        <v>9</v>
      </c>
      <c r="C34" s="2">
        <v>0.34577546296296297</v>
      </c>
      <c r="D34">
        <v>2</v>
      </c>
    </row>
    <row r="35" spans="1:4" x14ac:dyDescent="0.25">
      <c r="A35" s="1" t="s">
        <v>41</v>
      </c>
      <c r="B35" s="1" t="s">
        <v>7</v>
      </c>
      <c r="C35" s="2">
        <v>0.34606481481481483</v>
      </c>
      <c r="D35">
        <v>1</v>
      </c>
    </row>
    <row r="36" spans="1:4" x14ac:dyDescent="0.25">
      <c r="A36" s="1" t="s">
        <v>42</v>
      </c>
      <c r="B36" s="1" t="s">
        <v>27</v>
      </c>
      <c r="C36" s="2">
        <v>0.34664351851851855</v>
      </c>
      <c r="D36">
        <v>2</v>
      </c>
    </row>
    <row r="37" spans="1:4" x14ac:dyDescent="0.25">
      <c r="A37" s="1" t="s">
        <v>43</v>
      </c>
      <c r="B37" s="1" t="s">
        <v>27</v>
      </c>
      <c r="C37" s="2">
        <v>0.34693287037037035</v>
      </c>
      <c r="D37">
        <v>1</v>
      </c>
    </row>
    <row r="38" spans="1:4" x14ac:dyDescent="0.25">
      <c r="A38" s="1" t="s">
        <v>44</v>
      </c>
      <c r="B38" s="1" t="s">
        <v>7</v>
      </c>
      <c r="C38" s="2">
        <v>0.34722222222222221</v>
      </c>
      <c r="D38">
        <v>1</v>
      </c>
    </row>
    <row r="39" spans="1:4" x14ac:dyDescent="0.25">
      <c r="A39" s="1" t="s">
        <v>45</v>
      </c>
      <c r="B39" s="1" t="s">
        <v>7</v>
      </c>
      <c r="C39" s="2">
        <v>0.34751157407407407</v>
      </c>
      <c r="D39">
        <v>1</v>
      </c>
    </row>
    <row r="40" spans="1:4" x14ac:dyDescent="0.25">
      <c r="A40" s="1" t="s">
        <v>46</v>
      </c>
      <c r="B40" s="1" t="s">
        <v>5</v>
      </c>
      <c r="C40" s="2">
        <v>0.34780092592592593</v>
      </c>
      <c r="D40">
        <v>1</v>
      </c>
    </row>
    <row r="41" spans="1:4" x14ac:dyDescent="0.25">
      <c r="A41" s="1" t="s">
        <v>47</v>
      </c>
      <c r="B41" s="1" t="s">
        <v>27</v>
      </c>
      <c r="C41" s="2">
        <v>0.34837962962962965</v>
      </c>
      <c r="D41">
        <v>2</v>
      </c>
    </row>
    <row r="42" spans="1:4" x14ac:dyDescent="0.25">
      <c r="A42" s="1" t="s">
        <v>48</v>
      </c>
      <c r="B42" s="1" t="s">
        <v>27</v>
      </c>
      <c r="C42" s="2">
        <v>0.34866898148148145</v>
      </c>
      <c r="D42">
        <v>1</v>
      </c>
    </row>
    <row r="43" spans="1:4" x14ac:dyDescent="0.25">
      <c r="A43" s="1" t="s">
        <v>49</v>
      </c>
      <c r="B43" s="1" t="s">
        <v>7</v>
      </c>
      <c r="C43" s="2">
        <v>0.34895833333333331</v>
      </c>
      <c r="D43">
        <v>1</v>
      </c>
    </row>
    <row r="44" spans="1:4" x14ac:dyDescent="0.25">
      <c r="A44" s="1" t="s">
        <v>50</v>
      </c>
      <c r="B44" s="1" t="s">
        <v>9</v>
      </c>
      <c r="C44" s="2">
        <v>0.34924768518518517</v>
      </c>
      <c r="D44">
        <v>1</v>
      </c>
    </row>
    <row r="45" spans="1:4" x14ac:dyDescent="0.25">
      <c r="A45" s="1" t="s">
        <v>51</v>
      </c>
      <c r="B45" s="1" t="s">
        <v>9</v>
      </c>
      <c r="C45" s="2">
        <v>0.34953703703703703</v>
      </c>
      <c r="D45">
        <v>1</v>
      </c>
    </row>
    <row r="46" spans="1:4" x14ac:dyDescent="0.25">
      <c r="A46" s="1" t="s">
        <v>52</v>
      </c>
      <c r="B46" s="1" t="s">
        <v>7</v>
      </c>
      <c r="C46" s="2">
        <v>0.3498263888888889</v>
      </c>
      <c r="D46">
        <v>1</v>
      </c>
    </row>
    <row r="47" spans="1:4" x14ac:dyDescent="0.25">
      <c r="A47" s="1" t="s">
        <v>53</v>
      </c>
      <c r="B47" s="1" t="s">
        <v>27</v>
      </c>
      <c r="C47" s="2">
        <v>0.35040509259259262</v>
      </c>
      <c r="D47">
        <v>2</v>
      </c>
    </row>
    <row r="48" spans="1:4" x14ac:dyDescent="0.25">
      <c r="A48" s="1" t="s">
        <v>54</v>
      </c>
      <c r="B48" s="1" t="s">
        <v>7</v>
      </c>
      <c r="C48" s="2">
        <v>0.35069444444444442</v>
      </c>
      <c r="D48">
        <v>1</v>
      </c>
    </row>
    <row r="49" spans="1:4" x14ac:dyDescent="0.25">
      <c r="A49" s="1" t="s">
        <v>55</v>
      </c>
      <c r="B49" s="1" t="s">
        <v>9</v>
      </c>
      <c r="C49" s="2">
        <v>0.35127314814814814</v>
      </c>
      <c r="D49">
        <v>2</v>
      </c>
    </row>
    <row r="50" spans="1:4" x14ac:dyDescent="0.25">
      <c r="A50" s="1" t="s">
        <v>56</v>
      </c>
      <c r="B50" s="1" t="s">
        <v>9</v>
      </c>
      <c r="C50" s="2">
        <v>0.35185185185185186</v>
      </c>
      <c r="D50">
        <v>2</v>
      </c>
    </row>
    <row r="51" spans="1:4" x14ac:dyDescent="0.25">
      <c r="A51" s="1" t="s">
        <v>57</v>
      </c>
      <c r="B51" s="1" t="s">
        <v>7</v>
      </c>
      <c r="C51" s="2">
        <v>0.35214120370370372</v>
      </c>
      <c r="D51">
        <v>1</v>
      </c>
    </row>
    <row r="52" spans="1:4" x14ac:dyDescent="0.25">
      <c r="A52" s="1" t="s">
        <v>58</v>
      </c>
      <c r="B52" s="1" t="s">
        <v>27</v>
      </c>
      <c r="C52" s="2">
        <v>0.35243055555555558</v>
      </c>
      <c r="D52">
        <v>1</v>
      </c>
    </row>
    <row r="53" spans="1:4" x14ac:dyDescent="0.25">
      <c r="A53" s="1" t="s">
        <v>59</v>
      </c>
      <c r="B53" s="1" t="s">
        <v>7</v>
      </c>
      <c r="C53" s="2">
        <v>0.35271990740740738</v>
      </c>
      <c r="D53">
        <v>1</v>
      </c>
    </row>
    <row r="54" spans="1:4" x14ac:dyDescent="0.25">
      <c r="A54" s="1" t="s">
        <v>60</v>
      </c>
      <c r="B54" s="1" t="s">
        <v>9</v>
      </c>
      <c r="C54" s="2">
        <v>0.3532986111111111</v>
      </c>
      <c r="D54">
        <v>2</v>
      </c>
    </row>
    <row r="55" spans="1:4" x14ac:dyDescent="0.25">
      <c r="A55" s="1" t="s">
        <v>61</v>
      </c>
      <c r="B55" s="1" t="s">
        <v>7</v>
      </c>
      <c r="C55" s="2">
        <v>0.35358796296296297</v>
      </c>
      <c r="D55">
        <v>1</v>
      </c>
    </row>
    <row r="56" spans="1:4" x14ac:dyDescent="0.25">
      <c r="A56" s="1" t="s">
        <v>62</v>
      </c>
      <c r="B56" s="1" t="s">
        <v>27</v>
      </c>
      <c r="C56" s="2">
        <v>0.35416666666666669</v>
      </c>
      <c r="D56">
        <v>2</v>
      </c>
    </row>
    <row r="57" spans="1:4" x14ac:dyDescent="0.25">
      <c r="A57" s="1" t="s">
        <v>63</v>
      </c>
      <c r="B57" s="1" t="s">
        <v>27</v>
      </c>
      <c r="C57" s="2">
        <v>0.35474537037037035</v>
      </c>
      <c r="D57">
        <v>2</v>
      </c>
    </row>
    <row r="58" spans="1:4" x14ac:dyDescent="0.25">
      <c r="A58" s="1" t="s">
        <v>64</v>
      </c>
      <c r="B58" s="1" t="s">
        <v>7</v>
      </c>
      <c r="C58" s="2">
        <v>0.35503472222222221</v>
      </c>
      <c r="D58">
        <v>1</v>
      </c>
    </row>
    <row r="59" spans="1:4" x14ac:dyDescent="0.25">
      <c r="A59" s="1" t="s">
        <v>65</v>
      </c>
      <c r="B59" s="1" t="s">
        <v>5</v>
      </c>
      <c r="C59" s="2">
        <v>0.35561342592592593</v>
      </c>
      <c r="D59">
        <v>2</v>
      </c>
    </row>
    <row r="60" spans="1:4" x14ac:dyDescent="0.25">
      <c r="A60" s="1" t="s">
        <v>66</v>
      </c>
      <c r="B60" s="1" t="s">
        <v>5</v>
      </c>
      <c r="C60" s="2">
        <v>0.35590277777777779</v>
      </c>
      <c r="D60">
        <v>1</v>
      </c>
    </row>
    <row r="61" spans="1:4" x14ac:dyDescent="0.25">
      <c r="A61" s="1" t="s">
        <v>67</v>
      </c>
      <c r="B61" s="1" t="s">
        <v>27</v>
      </c>
      <c r="C61" s="2">
        <v>0.35648148148148145</v>
      </c>
      <c r="D61">
        <v>2</v>
      </c>
    </row>
    <row r="62" spans="1:4" x14ac:dyDescent="0.25">
      <c r="A62" s="1" t="s">
        <v>68</v>
      </c>
      <c r="B62" s="1" t="s">
        <v>27</v>
      </c>
      <c r="C62" s="2">
        <v>0.35677083333333331</v>
      </c>
      <c r="D62">
        <v>1</v>
      </c>
    </row>
    <row r="63" spans="1:4" x14ac:dyDescent="0.25">
      <c r="A63" s="1" t="s">
        <v>69</v>
      </c>
      <c r="B63" s="1" t="s">
        <v>7</v>
      </c>
      <c r="C63" s="2">
        <v>0.35706018518518517</v>
      </c>
      <c r="D63">
        <v>1</v>
      </c>
    </row>
    <row r="64" spans="1:4" x14ac:dyDescent="0.25">
      <c r="A64" s="1" t="s">
        <v>70</v>
      </c>
      <c r="B64" s="1" t="s">
        <v>9</v>
      </c>
      <c r="C64" s="2">
        <v>0.35734953703703703</v>
      </c>
      <c r="D64">
        <v>1</v>
      </c>
    </row>
    <row r="65" spans="1:4" x14ac:dyDescent="0.25">
      <c r="A65" s="1" t="s">
        <v>71</v>
      </c>
      <c r="B65" s="1" t="s">
        <v>5</v>
      </c>
      <c r="C65" s="2">
        <v>0.35792824074074076</v>
      </c>
      <c r="D65">
        <v>2</v>
      </c>
    </row>
    <row r="66" spans="1:4" x14ac:dyDescent="0.25">
      <c r="A66" s="1" t="s">
        <v>72</v>
      </c>
      <c r="B66" s="1" t="s">
        <v>27</v>
      </c>
      <c r="C66" s="2">
        <v>0.35850694444444442</v>
      </c>
      <c r="D66">
        <v>2</v>
      </c>
    </row>
    <row r="67" spans="1:4" x14ac:dyDescent="0.25">
      <c r="A67" s="1" t="s">
        <v>73</v>
      </c>
      <c r="B67" s="1" t="s">
        <v>7</v>
      </c>
      <c r="C67" s="2">
        <v>0.35879629629629628</v>
      </c>
      <c r="D67">
        <v>1</v>
      </c>
    </row>
    <row r="68" spans="1:4" x14ac:dyDescent="0.25">
      <c r="A68" s="1" t="s">
        <v>74</v>
      </c>
      <c r="B68" s="1" t="s">
        <v>27</v>
      </c>
      <c r="C68" s="2">
        <v>0.35908564814814814</v>
      </c>
      <c r="D68">
        <v>1</v>
      </c>
    </row>
    <row r="69" spans="1:4" x14ac:dyDescent="0.25">
      <c r="A69" s="1" t="s">
        <v>75</v>
      </c>
      <c r="B69" s="1" t="s">
        <v>27</v>
      </c>
      <c r="C69" s="2">
        <v>0.359375</v>
      </c>
      <c r="D69">
        <v>1</v>
      </c>
    </row>
    <row r="70" spans="1:4" x14ac:dyDescent="0.25">
      <c r="A70" s="1" t="s">
        <v>76</v>
      </c>
      <c r="B70" s="1" t="s">
        <v>7</v>
      </c>
      <c r="C70" s="2">
        <v>0.35966435185185186</v>
      </c>
      <c r="D70">
        <v>1</v>
      </c>
    </row>
    <row r="71" spans="1:4" x14ac:dyDescent="0.25">
      <c r="A71" s="1" t="s">
        <v>77</v>
      </c>
      <c r="B71" s="1" t="s">
        <v>7</v>
      </c>
      <c r="C71" s="2">
        <v>0.35995370370370372</v>
      </c>
      <c r="D71">
        <v>1</v>
      </c>
    </row>
    <row r="72" spans="1:4" x14ac:dyDescent="0.25">
      <c r="A72" s="1" t="s">
        <v>78</v>
      </c>
      <c r="B72" s="1" t="s">
        <v>9</v>
      </c>
      <c r="C72" s="2">
        <v>0.36024305555555558</v>
      </c>
      <c r="D72">
        <v>1</v>
      </c>
    </row>
    <row r="73" spans="1:4" x14ac:dyDescent="0.25">
      <c r="A73" s="1" t="s">
        <v>79</v>
      </c>
      <c r="B73" s="1" t="s">
        <v>5</v>
      </c>
      <c r="C73" s="2">
        <v>0.36053240740740738</v>
      </c>
      <c r="D73">
        <v>1</v>
      </c>
    </row>
    <row r="74" spans="1:4" x14ac:dyDescent="0.25">
      <c r="A74" s="1" t="s">
        <v>80</v>
      </c>
      <c r="B74" s="1" t="s">
        <v>5</v>
      </c>
      <c r="C74" s="2">
        <v>0.3611111111111111</v>
      </c>
      <c r="D74">
        <v>2</v>
      </c>
    </row>
    <row r="75" spans="1:4" x14ac:dyDescent="0.25">
      <c r="A75" s="1" t="s">
        <v>81</v>
      </c>
      <c r="B75" s="1" t="s">
        <v>5</v>
      </c>
      <c r="C75" s="2">
        <v>0.36168981481481483</v>
      </c>
      <c r="D75">
        <v>2</v>
      </c>
    </row>
    <row r="76" spans="1:4" x14ac:dyDescent="0.25">
      <c r="A76" s="1" t="s">
        <v>82</v>
      </c>
      <c r="B76" s="1" t="s">
        <v>27</v>
      </c>
      <c r="C76" s="2">
        <v>0.36226851851851855</v>
      </c>
      <c r="D76">
        <v>2</v>
      </c>
    </row>
    <row r="77" spans="1:4" x14ac:dyDescent="0.25">
      <c r="A77" s="1" t="s">
        <v>83</v>
      </c>
      <c r="B77" s="1" t="s">
        <v>7</v>
      </c>
      <c r="C77" s="2">
        <v>0.36255787037037035</v>
      </c>
      <c r="D77">
        <v>1</v>
      </c>
    </row>
    <row r="78" spans="1:4" x14ac:dyDescent="0.25">
      <c r="A78" s="1" t="s">
        <v>84</v>
      </c>
      <c r="B78" s="1" t="s">
        <v>7</v>
      </c>
      <c r="C78" s="2">
        <v>0.36284722222222221</v>
      </c>
      <c r="D78">
        <v>1</v>
      </c>
    </row>
    <row r="79" spans="1:4" x14ac:dyDescent="0.25">
      <c r="A79" s="1" t="s">
        <v>85</v>
      </c>
      <c r="B79" s="1" t="s">
        <v>7</v>
      </c>
      <c r="C79" s="2">
        <v>0.36313657407407407</v>
      </c>
      <c r="D79">
        <v>1</v>
      </c>
    </row>
    <row r="80" spans="1:4" x14ac:dyDescent="0.25">
      <c r="A80" s="1" t="s">
        <v>86</v>
      </c>
      <c r="B80" s="1" t="s">
        <v>7</v>
      </c>
      <c r="C80" s="2">
        <v>0.36342592592592593</v>
      </c>
      <c r="D80">
        <v>1</v>
      </c>
    </row>
    <row r="81" spans="1:4" x14ac:dyDescent="0.25">
      <c r="A81" s="1" t="s">
        <v>87</v>
      </c>
      <c r="B81" s="1" t="s">
        <v>5</v>
      </c>
      <c r="C81" s="2">
        <v>0.36371527777777779</v>
      </c>
      <c r="D81">
        <v>1</v>
      </c>
    </row>
    <row r="82" spans="1:4" x14ac:dyDescent="0.25">
      <c r="A82" s="1" t="s">
        <v>88</v>
      </c>
      <c r="B82" s="1" t="s">
        <v>5</v>
      </c>
      <c r="C82" s="2">
        <v>0.36400462962962965</v>
      </c>
      <c r="D82">
        <v>1</v>
      </c>
    </row>
    <row r="83" spans="1:4" x14ac:dyDescent="0.25">
      <c r="A83" s="1" t="s">
        <v>89</v>
      </c>
      <c r="B83" s="1" t="s">
        <v>5</v>
      </c>
      <c r="C83" s="2">
        <v>0.36429398148148145</v>
      </c>
      <c r="D83">
        <v>1</v>
      </c>
    </row>
    <row r="84" spans="1:4" x14ac:dyDescent="0.25">
      <c r="A84" s="1" t="s">
        <v>90</v>
      </c>
      <c r="B84" s="1" t="s">
        <v>5</v>
      </c>
      <c r="C84" s="2">
        <v>0.36487268518518517</v>
      </c>
      <c r="D84">
        <v>2</v>
      </c>
    </row>
    <row r="85" spans="1:4" x14ac:dyDescent="0.25">
      <c r="A85" s="1" t="s">
        <v>91</v>
      </c>
      <c r="B85" s="1" t="s">
        <v>7</v>
      </c>
      <c r="C85" s="2">
        <v>0.36516203703703703</v>
      </c>
      <c r="D85">
        <v>1</v>
      </c>
    </row>
    <row r="86" spans="1:4" x14ac:dyDescent="0.25">
      <c r="A86" s="1" t="s">
        <v>92</v>
      </c>
      <c r="B86" s="1" t="s">
        <v>7</v>
      </c>
      <c r="C86" s="2">
        <v>0.3654513888888889</v>
      </c>
      <c r="D86">
        <v>1</v>
      </c>
    </row>
    <row r="87" spans="1:4" x14ac:dyDescent="0.25">
      <c r="A87" s="1" t="s">
        <v>93</v>
      </c>
      <c r="B87" s="1" t="s">
        <v>9</v>
      </c>
      <c r="C87" s="2">
        <v>0.36603009259259262</v>
      </c>
      <c r="D87">
        <v>2</v>
      </c>
    </row>
    <row r="88" spans="1:4" x14ac:dyDescent="0.25">
      <c r="A88" s="1" t="s">
        <v>94</v>
      </c>
      <c r="B88" s="1" t="s">
        <v>5</v>
      </c>
      <c r="C88" s="2">
        <v>0.36660879629629628</v>
      </c>
      <c r="D88">
        <v>2</v>
      </c>
    </row>
    <row r="89" spans="1:4" x14ac:dyDescent="0.25">
      <c r="A89" s="1" t="s">
        <v>95</v>
      </c>
      <c r="B89" s="1" t="s">
        <v>7</v>
      </c>
      <c r="C89" s="2">
        <v>0.36689814814814814</v>
      </c>
      <c r="D89">
        <v>1</v>
      </c>
    </row>
    <row r="90" spans="1:4" x14ac:dyDescent="0.25">
      <c r="A90" s="1" t="s">
        <v>96</v>
      </c>
      <c r="B90" s="1" t="s">
        <v>5</v>
      </c>
      <c r="C90" s="2">
        <v>0.36747685185185186</v>
      </c>
      <c r="D90">
        <v>2</v>
      </c>
    </row>
    <row r="91" spans="1:4" x14ac:dyDescent="0.25">
      <c r="A91" s="1" t="s">
        <v>97</v>
      </c>
      <c r="B91" s="1" t="s">
        <v>27</v>
      </c>
      <c r="C91" s="2">
        <v>0.36805555555555558</v>
      </c>
      <c r="D91">
        <v>2</v>
      </c>
    </row>
    <row r="92" spans="1:4" x14ac:dyDescent="0.25">
      <c r="A92" s="1" t="s">
        <v>98</v>
      </c>
      <c r="B92" s="1" t="s">
        <v>7</v>
      </c>
      <c r="C92" s="2">
        <v>0.36834490740740738</v>
      </c>
      <c r="D92">
        <v>1</v>
      </c>
    </row>
    <row r="93" spans="1:4" x14ac:dyDescent="0.25">
      <c r="A93" s="1" t="s">
        <v>99</v>
      </c>
      <c r="B93" s="1" t="s">
        <v>9</v>
      </c>
      <c r="C93" s="2">
        <v>0.36863425925925924</v>
      </c>
      <c r="D93">
        <v>1</v>
      </c>
    </row>
    <row r="94" spans="1:4" x14ac:dyDescent="0.25">
      <c r="A94" s="1" t="s">
        <v>100</v>
      </c>
      <c r="B94" s="1" t="s">
        <v>9</v>
      </c>
      <c r="C94" s="2">
        <v>0.36921296296296297</v>
      </c>
      <c r="D94">
        <v>2</v>
      </c>
    </row>
    <row r="95" spans="1:4" x14ac:dyDescent="0.25">
      <c r="A95" s="1" t="s">
        <v>101</v>
      </c>
      <c r="B95" s="1" t="s">
        <v>7</v>
      </c>
      <c r="C95" s="2">
        <v>0.36950231481481483</v>
      </c>
      <c r="D95">
        <v>1</v>
      </c>
    </row>
    <row r="96" spans="1:4" x14ac:dyDescent="0.25">
      <c r="A96" s="1" t="s">
        <v>102</v>
      </c>
      <c r="B96" s="1" t="s">
        <v>9</v>
      </c>
      <c r="C96" s="2">
        <v>0.36979166666666669</v>
      </c>
      <c r="D96">
        <v>1</v>
      </c>
    </row>
    <row r="97" spans="1:4" x14ac:dyDescent="0.25">
      <c r="A97" s="1" t="s">
        <v>103</v>
      </c>
      <c r="B97" s="1" t="s">
        <v>7</v>
      </c>
      <c r="C97" s="2">
        <v>0.37008101851851855</v>
      </c>
      <c r="D97">
        <v>1</v>
      </c>
    </row>
    <row r="98" spans="1:4" x14ac:dyDescent="0.25">
      <c r="A98" s="1" t="s">
        <v>104</v>
      </c>
      <c r="B98" s="1" t="s">
        <v>5</v>
      </c>
      <c r="C98" s="2">
        <v>0.37065972222222221</v>
      </c>
      <c r="D98">
        <v>2</v>
      </c>
    </row>
    <row r="99" spans="1:4" x14ac:dyDescent="0.25">
      <c r="A99" s="1" t="s">
        <v>105</v>
      </c>
      <c r="B99" s="1" t="s">
        <v>5</v>
      </c>
      <c r="C99" s="2">
        <v>0.37123842592592593</v>
      </c>
      <c r="D99">
        <v>2</v>
      </c>
    </row>
    <row r="100" spans="1:4" x14ac:dyDescent="0.25">
      <c r="A100" s="1" t="s">
        <v>106</v>
      </c>
      <c r="B100" s="1" t="s">
        <v>7</v>
      </c>
      <c r="C100" s="2">
        <v>0.37152777777777779</v>
      </c>
      <c r="D100">
        <v>1</v>
      </c>
    </row>
    <row r="101" spans="1:4" x14ac:dyDescent="0.25">
      <c r="A101" s="1" t="s">
        <v>107</v>
      </c>
      <c r="B101" s="1" t="s">
        <v>7</v>
      </c>
      <c r="C101" s="2">
        <v>0.37181712962962965</v>
      </c>
      <c r="D101">
        <v>1</v>
      </c>
    </row>
    <row r="102" spans="1:4" x14ac:dyDescent="0.25">
      <c r="A102" s="1" t="s">
        <v>108</v>
      </c>
      <c r="B102" s="1" t="s">
        <v>7</v>
      </c>
      <c r="C102" s="2">
        <v>0.37210648148148145</v>
      </c>
      <c r="D102">
        <v>1</v>
      </c>
    </row>
    <row r="103" spans="1:4" x14ac:dyDescent="0.25">
      <c r="A103" s="1" t="s">
        <v>109</v>
      </c>
      <c r="B103" s="1" t="s">
        <v>9</v>
      </c>
      <c r="C103" s="2">
        <v>0.37268518518518517</v>
      </c>
      <c r="D103">
        <v>2</v>
      </c>
    </row>
    <row r="104" spans="1:4" x14ac:dyDescent="0.25">
      <c r="A104" s="1" t="s">
        <v>110</v>
      </c>
      <c r="B104" s="1" t="s">
        <v>27</v>
      </c>
      <c r="C104" s="2">
        <v>0.3732638888888889</v>
      </c>
      <c r="D104">
        <v>2</v>
      </c>
    </row>
    <row r="105" spans="1:4" x14ac:dyDescent="0.25">
      <c r="A105" s="1" t="s">
        <v>111</v>
      </c>
      <c r="B105" s="1" t="s">
        <v>7</v>
      </c>
      <c r="C105" s="2">
        <v>0.37355324074074076</v>
      </c>
      <c r="D105">
        <v>1</v>
      </c>
    </row>
    <row r="106" spans="1:4" x14ac:dyDescent="0.25">
      <c r="A106" s="1" t="s">
        <v>112</v>
      </c>
      <c r="B106" s="1" t="s">
        <v>9</v>
      </c>
      <c r="C106" s="2">
        <v>0.37384259259259262</v>
      </c>
      <c r="D106">
        <v>1</v>
      </c>
    </row>
    <row r="107" spans="1:4" x14ac:dyDescent="0.25">
      <c r="A107" s="1" t="s">
        <v>113</v>
      </c>
      <c r="B107" s="1" t="s">
        <v>7</v>
      </c>
      <c r="C107" s="2">
        <v>0.37413194444444442</v>
      </c>
      <c r="D107">
        <v>1</v>
      </c>
    </row>
    <row r="108" spans="1:4" x14ac:dyDescent="0.25">
      <c r="A108" s="1" t="s">
        <v>114</v>
      </c>
      <c r="B108" s="1" t="s">
        <v>5</v>
      </c>
      <c r="C108" s="2">
        <v>0.37442129629629628</v>
      </c>
      <c r="D108">
        <v>1</v>
      </c>
    </row>
    <row r="109" spans="1:4" x14ac:dyDescent="0.25">
      <c r="A109" s="1" t="s">
        <v>115</v>
      </c>
      <c r="B109" s="1" t="s">
        <v>7</v>
      </c>
      <c r="C109" s="2">
        <v>0.37471064814814814</v>
      </c>
      <c r="D109">
        <v>1</v>
      </c>
    </row>
    <row r="110" spans="1:4" x14ac:dyDescent="0.25">
      <c r="A110" s="1" t="s">
        <v>116</v>
      </c>
      <c r="B110" s="1" t="s">
        <v>27</v>
      </c>
      <c r="C110" s="2">
        <v>0.37528935185185186</v>
      </c>
      <c r="D110">
        <v>2</v>
      </c>
    </row>
    <row r="111" spans="1:4" x14ac:dyDescent="0.25">
      <c r="A111" s="1" t="s">
        <v>117</v>
      </c>
      <c r="B111" s="1" t="s">
        <v>27</v>
      </c>
      <c r="C111" s="2">
        <v>0.37586805555555558</v>
      </c>
      <c r="D111">
        <v>2</v>
      </c>
    </row>
    <row r="112" spans="1:4" x14ac:dyDescent="0.25">
      <c r="A112" s="1" t="s">
        <v>118</v>
      </c>
      <c r="B112" s="1" t="s">
        <v>27</v>
      </c>
      <c r="C112" s="2">
        <v>0.37615740740740738</v>
      </c>
      <c r="D112">
        <v>1</v>
      </c>
    </row>
    <row r="113" spans="1:4" x14ac:dyDescent="0.25">
      <c r="A113" s="1" t="s">
        <v>119</v>
      </c>
      <c r="B113" s="1" t="s">
        <v>27</v>
      </c>
      <c r="C113" s="2">
        <v>0.37644675925925924</v>
      </c>
      <c r="D113">
        <v>1</v>
      </c>
    </row>
    <row r="114" spans="1:4" x14ac:dyDescent="0.25">
      <c r="A114" s="1" t="s">
        <v>120</v>
      </c>
      <c r="B114" s="1" t="s">
        <v>7</v>
      </c>
      <c r="C114" s="2">
        <v>0.3767361111111111</v>
      </c>
      <c r="D114">
        <v>1</v>
      </c>
    </row>
    <row r="115" spans="1:4" x14ac:dyDescent="0.25">
      <c r="A115" s="1" t="s">
        <v>121</v>
      </c>
      <c r="B115" s="1" t="s">
        <v>5</v>
      </c>
      <c r="C115" s="2">
        <v>0.37702546296296297</v>
      </c>
      <c r="D115">
        <v>1</v>
      </c>
    </row>
    <row r="116" spans="1:4" x14ac:dyDescent="0.25">
      <c r="A116" s="1" t="s">
        <v>122</v>
      </c>
      <c r="B116" s="1" t="s">
        <v>7</v>
      </c>
      <c r="C116" s="2">
        <v>0.37731481481481483</v>
      </c>
      <c r="D116">
        <v>1</v>
      </c>
    </row>
    <row r="117" spans="1:4" x14ac:dyDescent="0.25">
      <c r="A117" s="1" t="s">
        <v>123</v>
      </c>
      <c r="B117" s="1" t="s">
        <v>9</v>
      </c>
      <c r="C117" s="2">
        <v>0.37789351851851855</v>
      </c>
      <c r="D117">
        <v>2</v>
      </c>
    </row>
    <row r="118" spans="1:4" x14ac:dyDescent="0.25">
      <c r="A118" s="1" t="s">
        <v>124</v>
      </c>
      <c r="B118" s="1" t="s">
        <v>9</v>
      </c>
      <c r="C118" s="2">
        <v>0.37847222222222221</v>
      </c>
      <c r="D118">
        <v>2</v>
      </c>
    </row>
    <row r="119" spans="1:4" x14ac:dyDescent="0.25">
      <c r="A119" s="1" t="s">
        <v>125</v>
      </c>
      <c r="B119" s="1" t="s">
        <v>9</v>
      </c>
      <c r="C119" s="2">
        <v>0.37876157407407407</v>
      </c>
      <c r="D119">
        <v>1</v>
      </c>
    </row>
    <row r="120" spans="1:4" x14ac:dyDescent="0.25">
      <c r="A120" s="1" t="s">
        <v>126</v>
      </c>
      <c r="B120" s="1" t="s">
        <v>5</v>
      </c>
      <c r="C120" s="2">
        <v>0.37934027777777779</v>
      </c>
      <c r="D120">
        <v>2</v>
      </c>
    </row>
    <row r="121" spans="1:4" x14ac:dyDescent="0.25">
      <c r="A121" s="1" t="s">
        <v>127</v>
      </c>
      <c r="B121" s="1" t="s">
        <v>7</v>
      </c>
      <c r="C121" s="2">
        <v>0.37962962962962965</v>
      </c>
      <c r="D121">
        <v>1</v>
      </c>
    </row>
    <row r="122" spans="1:4" x14ac:dyDescent="0.25">
      <c r="A122" s="1" t="s">
        <v>128</v>
      </c>
      <c r="B122" s="1" t="s">
        <v>9</v>
      </c>
      <c r="C122" s="2">
        <v>0.38020833333333331</v>
      </c>
      <c r="D122">
        <v>2</v>
      </c>
    </row>
    <row r="123" spans="1:4" x14ac:dyDescent="0.25">
      <c r="A123" s="1" t="s">
        <v>129</v>
      </c>
      <c r="B123" s="1" t="s">
        <v>7</v>
      </c>
      <c r="C123" s="2">
        <v>0.38049768518518517</v>
      </c>
      <c r="D123">
        <v>1</v>
      </c>
    </row>
    <row r="124" spans="1:4" x14ac:dyDescent="0.25">
      <c r="A124" s="1" t="s">
        <v>130</v>
      </c>
      <c r="B124" s="1" t="s">
        <v>9</v>
      </c>
      <c r="C124" s="2">
        <v>0.38078703703703703</v>
      </c>
      <c r="D124">
        <v>1</v>
      </c>
    </row>
    <row r="125" spans="1:4" x14ac:dyDescent="0.25">
      <c r="A125" s="1" t="s">
        <v>131</v>
      </c>
      <c r="B125" s="1" t="s">
        <v>7</v>
      </c>
      <c r="C125" s="2">
        <v>0.3810763888888889</v>
      </c>
      <c r="D125">
        <v>1</v>
      </c>
    </row>
    <row r="126" spans="1:4" x14ac:dyDescent="0.25">
      <c r="A126" s="1" t="s">
        <v>132</v>
      </c>
      <c r="B126" s="1" t="s">
        <v>9</v>
      </c>
      <c r="C126" s="2">
        <v>0.38165509259259262</v>
      </c>
      <c r="D126">
        <v>2</v>
      </c>
    </row>
    <row r="127" spans="1:4" x14ac:dyDescent="0.25">
      <c r="A127" s="1" t="s">
        <v>133</v>
      </c>
      <c r="B127" s="1" t="s">
        <v>7</v>
      </c>
      <c r="C127" s="2">
        <v>0.38194444444444442</v>
      </c>
      <c r="D127">
        <v>1</v>
      </c>
    </row>
    <row r="128" spans="1:4" x14ac:dyDescent="0.25">
      <c r="A128" s="1" t="s">
        <v>134</v>
      </c>
      <c r="B128" s="1" t="s">
        <v>9</v>
      </c>
      <c r="C128" s="2">
        <v>0.38252314814814814</v>
      </c>
      <c r="D128">
        <v>2</v>
      </c>
    </row>
    <row r="129" spans="1:4" x14ac:dyDescent="0.25">
      <c r="A129" s="1" t="s">
        <v>135</v>
      </c>
      <c r="B129" s="1" t="s">
        <v>7</v>
      </c>
      <c r="C129" s="2">
        <v>0.3828125</v>
      </c>
      <c r="D129">
        <v>1</v>
      </c>
    </row>
    <row r="130" spans="1:4" x14ac:dyDescent="0.25">
      <c r="A130" s="1" t="s">
        <v>136</v>
      </c>
      <c r="B130" s="1" t="s">
        <v>7</v>
      </c>
      <c r="C130" s="2">
        <v>0.38310185185185186</v>
      </c>
      <c r="D130">
        <v>1</v>
      </c>
    </row>
    <row r="131" spans="1:4" x14ac:dyDescent="0.25">
      <c r="A131" s="1" t="s">
        <v>137</v>
      </c>
      <c r="B131" s="1" t="s">
        <v>9</v>
      </c>
      <c r="C131" s="2">
        <v>0.38368055555555558</v>
      </c>
      <c r="D131">
        <v>2</v>
      </c>
    </row>
    <row r="132" spans="1:4" x14ac:dyDescent="0.25">
      <c r="A132" s="1" t="s">
        <v>138</v>
      </c>
      <c r="B132" s="1" t="s">
        <v>7</v>
      </c>
      <c r="C132" s="2">
        <v>0.38396990740740738</v>
      </c>
      <c r="D132">
        <v>1</v>
      </c>
    </row>
    <row r="133" spans="1:4" x14ac:dyDescent="0.25">
      <c r="A133" s="1" t="s">
        <v>139</v>
      </c>
      <c r="B133" s="1" t="s">
        <v>5</v>
      </c>
      <c r="C133" s="2">
        <v>0.3845486111111111</v>
      </c>
      <c r="D133">
        <v>2</v>
      </c>
    </row>
    <row r="134" spans="1:4" x14ac:dyDescent="0.25">
      <c r="A134" s="1" t="s">
        <v>140</v>
      </c>
      <c r="B134" s="1" t="s">
        <v>9</v>
      </c>
      <c r="C134" s="2">
        <v>0.38483796296296297</v>
      </c>
      <c r="D134">
        <v>1</v>
      </c>
    </row>
    <row r="135" spans="1:4" x14ac:dyDescent="0.25">
      <c r="A135" s="1" t="s">
        <v>141</v>
      </c>
      <c r="B135" s="1" t="s">
        <v>27</v>
      </c>
      <c r="C135" s="2">
        <v>0.38541666666666669</v>
      </c>
      <c r="D135">
        <v>2</v>
      </c>
    </row>
    <row r="136" spans="1:4" x14ac:dyDescent="0.25">
      <c r="A136" s="1" t="s">
        <v>142</v>
      </c>
      <c r="B136" s="1" t="s">
        <v>7</v>
      </c>
      <c r="C136" s="2">
        <v>0.38570601851851855</v>
      </c>
      <c r="D136">
        <v>1</v>
      </c>
    </row>
    <row r="137" spans="1:4" x14ac:dyDescent="0.25">
      <c r="A137" s="1" t="s">
        <v>143</v>
      </c>
      <c r="B137" s="1" t="s">
        <v>9</v>
      </c>
      <c r="C137" s="2">
        <v>0.38599537037037035</v>
      </c>
      <c r="D137">
        <v>1</v>
      </c>
    </row>
    <row r="138" spans="1:4" x14ac:dyDescent="0.25">
      <c r="A138" s="1" t="s">
        <v>144</v>
      </c>
      <c r="B138" s="1" t="s">
        <v>7</v>
      </c>
      <c r="C138" s="2">
        <v>0.38628472222222221</v>
      </c>
      <c r="D138">
        <v>1</v>
      </c>
    </row>
    <row r="139" spans="1:4" x14ac:dyDescent="0.25">
      <c r="A139" s="1" t="s">
        <v>145</v>
      </c>
      <c r="B139" s="1" t="s">
        <v>9</v>
      </c>
      <c r="C139" s="2">
        <v>0.38657407407407407</v>
      </c>
      <c r="D139">
        <v>1</v>
      </c>
    </row>
    <row r="140" spans="1:4" x14ac:dyDescent="0.25">
      <c r="A140" s="1" t="s">
        <v>146</v>
      </c>
      <c r="B140" s="1" t="s">
        <v>27</v>
      </c>
      <c r="C140" s="2">
        <v>0.38686342592592593</v>
      </c>
      <c r="D140">
        <v>1</v>
      </c>
    </row>
    <row r="141" spans="1:4" x14ac:dyDescent="0.25">
      <c r="A141" s="1" t="s">
        <v>147</v>
      </c>
      <c r="B141" s="1" t="s">
        <v>7</v>
      </c>
      <c r="C141" s="2">
        <v>0.38715277777777779</v>
      </c>
      <c r="D141">
        <v>1</v>
      </c>
    </row>
    <row r="142" spans="1:4" x14ac:dyDescent="0.25">
      <c r="A142" s="1" t="s">
        <v>148</v>
      </c>
      <c r="B142" s="1" t="s">
        <v>5</v>
      </c>
      <c r="C142" s="2">
        <v>0.38773148148148145</v>
      </c>
      <c r="D142">
        <v>2</v>
      </c>
    </row>
    <row r="143" spans="1:4" x14ac:dyDescent="0.25">
      <c r="A143" s="1" t="s">
        <v>149</v>
      </c>
      <c r="B143" s="1" t="s">
        <v>5</v>
      </c>
      <c r="C143" s="2">
        <v>0.38802083333333331</v>
      </c>
      <c r="D143">
        <v>1</v>
      </c>
    </row>
    <row r="144" spans="1:4" x14ac:dyDescent="0.25">
      <c r="A144" s="1" t="s">
        <v>150</v>
      </c>
      <c r="B144" s="1" t="s">
        <v>7</v>
      </c>
      <c r="C144" s="2">
        <v>0.38831018518518517</v>
      </c>
      <c r="D144">
        <v>1</v>
      </c>
    </row>
    <row r="145" spans="1:4" x14ac:dyDescent="0.25">
      <c r="A145" s="1" t="s">
        <v>151</v>
      </c>
      <c r="B145" s="1" t="s">
        <v>7</v>
      </c>
      <c r="C145" s="2">
        <v>0.38859953703703703</v>
      </c>
      <c r="D145">
        <v>1</v>
      </c>
    </row>
    <row r="146" spans="1:4" x14ac:dyDescent="0.25">
      <c r="A146" s="1" t="s">
        <v>152</v>
      </c>
      <c r="B146" s="1" t="s">
        <v>9</v>
      </c>
      <c r="C146" s="2">
        <v>0.38917824074074076</v>
      </c>
      <c r="D146">
        <v>2</v>
      </c>
    </row>
    <row r="147" spans="1:4" x14ac:dyDescent="0.25">
      <c r="A147" s="1" t="s">
        <v>153</v>
      </c>
      <c r="B147" s="1" t="s">
        <v>7</v>
      </c>
      <c r="C147" s="2">
        <v>0.38946759259259262</v>
      </c>
      <c r="D147">
        <v>1</v>
      </c>
    </row>
    <row r="148" spans="1:4" x14ac:dyDescent="0.25">
      <c r="A148" s="1" t="s">
        <v>154</v>
      </c>
      <c r="B148" s="1" t="s">
        <v>9</v>
      </c>
      <c r="C148" s="2">
        <v>0.38975694444444442</v>
      </c>
      <c r="D148">
        <v>1</v>
      </c>
    </row>
    <row r="149" spans="1:4" x14ac:dyDescent="0.25">
      <c r="A149" s="1" t="s">
        <v>155</v>
      </c>
      <c r="B149" s="1" t="s">
        <v>27</v>
      </c>
      <c r="C149" s="2">
        <v>0.39004629629629628</v>
      </c>
      <c r="D149">
        <v>1</v>
      </c>
    </row>
    <row r="150" spans="1:4" x14ac:dyDescent="0.25">
      <c r="A150" s="1" t="s">
        <v>156</v>
      </c>
      <c r="B150" s="1" t="s">
        <v>7</v>
      </c>
      <c r="C150" s="2">
        <v>0.39033564814814814</v>
      </c>
      <c r="D150">
        <v>1</v>
      </c>
    </row>
    <row r="151" spans="1:4" x14ac:dyDescent="0.25">
      <c r="A151" s="1" t="s">
        <v>157</v>
      </c>
      <c r="B151" s="1" t="s">
        <v>5</v>
      </c>
      <c r="C151" s="2">
        <v>0.390625</v>
      </c>
      <c r="D151">
        <v>1</v>
      </c>
    </row>
    <row r="152" spans="1:4" x14ac:dyDescent="0.25">
      <c r="A152" s="1" t="s">
        <v>158</v>
      </c>
      <c r="B152" s="1" t="s">
        <v>9</v>
      </c>
      <c r="C152" s="2">
        <v>0.39120370370370372</v>
      </c>
      <c r="D152">
        <v>2</v>
      </c>
    </row>
    <row r="153" spans="1:4" x14ac:dyDescent="0.25">
      <c r="A153" s="1" t="s">
        <v>159</v>
      </c>
      <c r="B153" s="1" t="s">
        <v>7</v>
      </c>
      <c r="C153" s="2">
        <v>0.39149305555555558</v>
      </c>
      <c r="D153">
        <v>1</v>
      </c>
    </row>
    <row r="154" spans="1:4" x14ac:dyDescent="0.25">
      <c r="A154" s="1" t="s">
        <v>160</v>
      </c>
      <c r="B154" s="1" t="s">
        <v>7</v>
      </c>
      <c r="C154" s="2">
        <v>0.39178240740740738</v>
      </c>
      <c r="D154">
        <v>1</v>
      </c>
    </row>
    <row r="155" spans="1:4" x14ac:dyDescent="0.25">
      <c r="A155" s="1" t="s">
        <v>161</v>
      </c>
      <c r="B155" s="1" t="s">
        <v>9</v>
      </c>
      <c r="C155" s="2">
        <v>0.39207175925925924</v>
      </c>
      <c r="D155">
        <v>1</v>
      </c>
    </row>
    <row r="156" spans="1:4" x14ac:dyDescent="0.25">
      <c r="A156" s="1" t="s">
        <v>162</v>
      </c>
      <c r="B156" s="1" t="s">
        <v>5</v>
      </c>
      <c r="C156" s="2">
        <v>0.3923611111111111</v>
      </c>
      <c r="D156">
        <v>1</v>
      </c>
    </row>
    <row r="157" spans="1:4" x14ac:dyDescent="0.25">
      <c r="A157" s="1" t="s">
        <v>163</v>
      </c>
      <c r="B157" s="1" t="s">
        <v>5</v>
      </c>
      <c r="C157" s="2">
        <v>0.39293981481481483</v>
      </c>
      <c r="D157">
        <v>2</v>
      </c>
    </row>
    <row r="158" spans="1:4" x14ac:dyDescent="0.25">
      <c r="A158" s="1" t="s">
        <v>164</v>
      </c>
      <c r="B158" s="1" t="s">
        <v>27</v>
      </c>
      <c r="C158" s="2">
        <v>0.39351851851851855</v>
      </c>
      <c r="D158">
        <v>2</v>
      </c>
    </row>
    <row r="159" spans="1:4" x14ac:dyDescent="0.25">
      <c r="A159" s="1" t="s">
        <v>165</v>
      </c>
      <c r="B159" s="1" t="s">
        <v>27</v>
      </c>
      <c r="C159" s="2">
        <v>0.39409722222222221</v>
      </c>
      <c r="D159">
        <v>2</v>
      </c>
    </row>
    <row r="160" spans="1:4" x14ac:dyDescent="0.25">
      <c r="A160" s="1" t="s">
        <v>166</v>
      </c>
      <c r="B160" s="1" t="s">
        <v>7</v>
      </c>
      <c r="C160" s="2">
        <v>0.39438657407407407</v>
      </c>
      <c r="D160">
        <v>1</v>
      </c>
    </row>
    <row r="161" spans="1:4" x14ac:dyDescent="0.25">
      <c r="A161" s="1" t="s">
        <v>167</v>
      </c>
      <c r="B161" s="1" t="s">
        <v>5</v>
      </c>
      <c r="C161" s="2">
        <v>0.39467592592592593</v>
      </c>
      <c r="D161">
        <v>1</v>
      </c>
    </row>
    <row r="162" spans="1:4" x14ac:dyDescent="0.25">
      <c r="A162" s="1" t="s">
        <v>168</v>
      </c>
      <c r="B162" s="1" t="s">
        <v>9</v>
      </c>
      <c r="C162" s="2">
        <v>0.39525462962962965</v>
      </c>
      <c r="D162">
        <v>2</v>
      </c>
    </row>
    <row r="163" spans="1:4" x14ac:dyDescent="0.25">
      <c r="A163" s="1" t="s">
        <v>169</v>
      </c>
      <c r="B163" s="1" t="s">
        <v>9</v>
      </c>
      <c r="C163" s="2">
        <v>0.39554398148148145</v>
      </c>
      <c r="D163">
        <v>1</v>
      </c>
    </row>
    <row r="164" spans="1:4" x14ac:dyDescent="0.25">
      <c r="A164" s="1" t="s">
        <v>170</v>
      </c>
      <c r="B164" s="1" t="s">
        <v>9</v>
      </c>
      <c r="C164" s="2">
        <v>0.39612268518518517</v>
      </c>
      <c r="D164">
        <v>2</v>
      </c>
    </row>
    <row r="165" spans="1:4" x14ac:dyDescent="0.25">
      <c r="A165" s="1" t="s">
        <v>171</v>
      </c>
      <c r="B165" s="1" t="s">
        <v>7</v>
      </c>
      <c r="C165" s="2">
        <v>0.39641203703703703</v>
      </c>
      <c r="D165">
        <v>1</v>
      </c>
    </row>
    <row r="166" spans="1:4" x14ac:dyDescent="0.25">
      <c r="A166" s="1" t="s">
        <v>172</v>
      </c>
      <c r="B166" s="1" t="s">
        <v>5</v>
      </c>
      <c r="C166" s="2">
        <v>0.39699074074074076</v>
      </c>
      <c r="D166">
        <v>2</v>
      </c>
    </row>
    <row r="167" spans="1:4" x14ac:dyDescent="0.25">
      <c r="A167" s="1" t="s">
        <v>173</v>
      </c>
      <c r="B167" s="1" t="s">
        <v>9</v>
      </c>
      <c r="C167" s="2">
        <v>0.39756944444444442</v>
      </c>
      <c r="D167">
        <v>2</v>
      </c>
    </row>
    <row r="168" spans="1:4" x14ac:dyDescent="0.25">
      <c r="A168" s="1" t="s">
        <v>174</v>
      </c>
      <c r="B168" s="1" t="s">
        <v>9</v>
      </c>
      <c r="C168" s="2">
        <v>0.39785879629629628</v>
      </c>
      <c r="D168">
        <v>1</v>
      </c>
    </row>
    <row r="169" spans="1:4" x14ac:dyDescent="0.25">
      <c r="A169" s="1" t="s">
        <v>175</v>
      </c>
      <c r="B169" s="1" t="s">
        <v>9</v>
      </c>
      <c r="C169" s="2">
        <v>0.3984375</v>
      </c>
      <c r="D169">
        <v>2</v>
      </c>
    </row>
    <row r="170" spans="1:4" x14ac:dyDescent="0.25">
      <c r="A170" s="1" t="s">
        <v>176</v>
      </c>
      <c r="B170" s="1" t="s">
        <v>7</v>
      </c>
      <c r="C170" s="2">
        <v>0.39872685185185186</v>
      </c>
      <c r="D170">
        <v>1</v>
      </c>
    </row>
    <row r="171" spans="1:4" x14ac:dyDescent="0.25">
      <c r="A171" s="1" t="s">
        <v>177</v>
      </c>
      <c r="B171" s="1" t="s">
        <v>5</v>
      </c>
      <c r="C171" s="2">
        <v>0.39930555555555558</v>
      </c>
      <c r="D171">
        <v>2</v>
      </c>
    </row>
    <row r="172" spans="1:4" x14ac:dyDescent="0.25">
      <c r="A172" s="1" t="s">
        <v>178</v>
      </c>
      <c r="B172" s="1" t="s">
        <v>5</v>
      </c>
      <c r="C172" s="2">
        <v>0.39959490740740738</v>
      </c>
      <c r="D172">
        <v>1</v>
      </c>
    </row>
    <row r="173" spans="1:4" x14ac:dyDescent="0.25">
      <c r="A173" s="1" t="s">
        <v>179</v>
      </c>
      <c r="B173" s="1" t="s">
        <v>5</v>
      </c>
      <c r="C173" s="2">
        <v>0.4001736111111111</v>
      </c>
      <c r="D173">
        <v>2</v>
      </c>
    </row>
    <row r="174" spans="1:4" x14ac:dyDescent="0.25">
      <c r="A174" s="1" t="s">
        <v>180</v>
      </c>
      <c r="B174" s="1" t="s">
        <v>27</v>
      </c>
      <c r="C174" s="2">
        <v>0.40075231481481483</v>
      </c>
      <c r="D174">
        <v>2</v>
      </c>
    </row>
    <row r="175" spans="1:4" x14ac:dyDescent="0.25">
      <c r="A175" s="1" t="s">
        <v>181</v>
      </c>
      <c r="B175" s="1" t="s">
        <v>27</v>
      </c>
      <c r="C175" s="2">
        <v>0.40104166666666669</v>
      </c>
      <c r="D175">
        <v>1</v>
      </c>
    </row>
    <row r="176" spans="1:4" x14ac:dyDescent="0.25">
      <c r="A176" s="1" t="s">
        <v>182</v>
      </c>
      <c r="B176" s="1" t="s">
        <v>27</v>
      </c>
      <c r="C176" s="2">
        <v>0.40162037037037035</v>
      </c>
      <c r="D176">
        <v>2</v>
      </c>
    </row>
    <row r="177" spans="1:4" x14ac:dyDescent="0.25">
      <c r="A177" s="1" t="s">
        <v>183</v>
      </c>
      <c r="B177" s="1" t="s">
        <v>7</v>
      </c>
      <c r="C177" s="2">
        <v>0.40190972222222221</v>
      </c>
      <c r="D177">
        <v>1</v>
      </c>
    </row>
    <row r="178" spans="1:4" x14ac:dyDescent="0.25">
      <c r="A178" s="1" t="s">
        <v>184</v>
      </c>
      <c r="B178" s="1" t="s">
        <v>27</v>
      </c>
      <c r="C178" s="2">
        <v>0.40219907407407407</v>
      </c>
      <c r="D178">
        <v>1</v>
      </c>
    </row>
    <row r="179" spans="1:4" x14ac:dyDescent="0.25">
      <c r="A179" s="1" t="s">
        <v>185</v>
      </c>
      <c r="B179" s="1" t="s">
        <v>7</v>
      </c>
      <c r="C179" s="2">
        <v>0.40248842592592593</v>
      </c>
      <c r="D179">
        <v>1</v>
      </c>
    </row>
    <row r="180" spans="1:4" x14ac:dyDescent="0.25">
      <c r="A180" s="1" t="s">
        <v>186</v>
      </c>
      <c r="B180" s="1" t="s">
        <v>9</v>
      </c>
      <c r="C180" s="2">
        <v>0.40306712962962965</v>
      </c>
      <c r="D180">
        <v>2</v>
      </c>
    </row>
    <row r="181" spans="1:4" x14ac:dyDescent="0.25">
      <c r="A181" s="1" t="s">
        <v>187</v>
      </c>
      <c r="B181" s="1" t="s">
        <v>9</v>
      </c>
      <c r="C181" s="2">
        <v>0.40364583333333331</v>
      </c>
      <c r="D181">
        <v>2</v>
      </c>
    </row>
    <row r="182" spans="1:4" x14ac:dyDescent="0.25">
      <c r="A182" s="1" t="s">
        <v>188</v>
      </c>
      <c r="B182" s="1" t="s">
        <v>7</v>
      </c>
      <c r="C182" s="2">
        <v>0.40393518518518517</v>
      </c>
      <c r="D182">
        <v>1</v>
      </c>
    </row>
    <row r="183" spans="1:4" x14ac:dyDescent="0.25">
      <c r="A183" s="1" t="s">
        <v>189</v>
      </c>
      <c r="B183" s="1" t="s">
        <v>7</v>
      </c>
      <c r="C183" s="2">
        <v>0.40422453703703703</v>
      </c>
      <c r="D183">
        <v>1</v>
      </c>
    </row>
    <row r="184" spans="1:4" x14ac:dyDescent="0.25">
      <c r="A184" s="1" t="s">
        <v>190</v>
      </c>
      <c r="B184" s="1" t="s">
        <v>5</v>
      </c>
      <c r="C184" s="2">
        <v>0.40480324074074076</v>
      </c>
      <c r="D184">
        <v>2</v>
      </c>
    </row>
    <row r="185" spans="1:4" x14ac:dyDescent="0.25">
      <c r="A185" s="1" t="s">
        <v>191</v>
      </c>
      <c r="B185" s="1" t="s">
        <v>7</v>
      </c>
      <c r="C185" s="2">
        <v>0.40509259259259262</v>
      </c>
      <c r="D185">
        <v>1</v>
      </c>
    </row>
    <row r="186" spans="1:4" x14ac:dyDescent="0.25">
      <c r="A186" s="1" t="s">
        <v>192</v>
      </c>
      <c r="B186" s="1" t="s">
        <v>9</v>
      </c>
      <c r="C186" s="2">
        <v>0.40567129629629628</v>
      </c>
      <c r="D186">
        <v>2</v>
      </c>
    </row>
    <row r="187" spans="1:4" x14ac:dyDescent="0.25">
      <c r="A187" s="1" t="s">
        <v>193</v>
      </c>
      <c r="B187" s="1" t="s">
        <v>7</v>
      </c>
      <c r="C187" s="2">
        <v>0.40596064814814814</v>
      </c>
      <c r="D187">
        <v>1</v>
      </c>
    </row>
    <row r="188" spans="1:4" x14ac:dyDescent="0.25">
      <c r="A188" s="1" t="s">
        <v>194</v>
      </c>
      <c r="B188" s="1" t="s">
        <v>9</v>
      </c>
      <c r="C188" s="2">
        <v>0.40653935185185186</v>
      </c>
      <c r="D188">
        <v>2</v>
      </c>
    </row>
    <row r="189" spans="1:4" x14ac:dyDescent="0.25">
      <c r="A189" s="1" t="s">
        <v>195</v>
      </c>
      <c r="B189" s="1" t="s">
        <v>7</v>
      </c>
      <c r="C189" s="2">
        <v>0.40682870370370372</v>
      </c>
      <c r="D189">
        <v>1</v>
      </c>
    </row>
    <row r="190" spans="1:4" x14ac:dyDescent="0.25">
      <c r="A190" s="1" t="s">
        <v>196</v>
      </c>
      <c r="B190" s="1" t="s">
        <v>9</v>
      </c>
      <c r="C190" s="2">
        <v>0.40711805555555558</v>
      </c>
      <c r="D190">
        <v>1</v>
      </c>
    </row>
    <row r="191" spans="1:4" x14ac:dyDescent="0.25">
      <c r="A191" s="1" t="s">
        <v>197</v>
      </c>
      <c r="B191" s="1" t="s">
        <v>7</v>
      </c>
      <c r="C191" s="2">
        <v>0.40740740740740738</v>
      </c>
      <c r="D191">
        <v>1</v>
      </c>
    </row>
    <row r="192" spans="1:4" x14ac:dyDescent="0.25">
      <c r="A192" s="1" t="s">
        <v>198</v>
      </c>
      <c r="B192" s="1" t="s">
        <v>27</v>
      </c>
      <c r="C192" s="2">
        <v>0.40769675925925924</v>
      </c>
      <c r="D192">
        <v>1</v>
      </c>
    </row>
    <row r="193" spans="1:4" x14ac:dyDescent="0.25">
      <c r="A193" s="1" t="s">
        <v>199</v>
      </c>
      <c r="B193" s="1" t="s">
        <v>7</v>
      </c>
      <c r="C193" s="2">
        <v>0.4079861111111111</v>
      </c>
      <c r="D193">
        <v>1</v>
      </c>
    </row>
    <row r="194" spans="1:4" x14ac:dyDescent="0.25">
      <c r="A194" s="1" t="s">
        <v>200</v>
      </c>
      <c r="B194" s="1" t="s">
        <v>9</v>
      </c>
      <c r="C194" s="2">
        <v>0.40827546296296297</v>
      </c>
      <c r="D194">
        <v>1</v>
      </c>
    </row>
    <row r="195" spans="1:4" x14ac:dyDescent="0.25">
      <c r="A195" s="1" t="s">
        <v>201</v>
      </c>
      <c r="B195" s="1" t="s">
        <v>27</v>
      </c>
      <c r="C195" s="2">
        <v>0.40885416666666669</v>
      </c>
      <c r="D195">
        <v>2</v>
      </c>
    </row>
    <row r="196" spans="1:4" x14ac:dyDescent="0.25">
      <c r="A196" s="1" t="s">
        <v>202</v>
      </c>
      <c r="B196" s="1" t="s">
        <v>27</v>
      </c>
      <c r="C196" s="2">
        <v>0.40943287037037035</v>
      </c>
      <c r="D196">
        <v>2</v>
      </c>
    </row>
    <row r="197" spans="1:4" x14ac:dyDescent="0.25">
      <c r="A197" s="1" t="s">
        <v>203</v>
      </c>
      <c r="B197" s="1" t="s">
        <v>7</v>
      </c>
      <c r="C197" s="2">
        <v>0.40972222222222221</v>
      </c>
      <c r="D197">
        <v>1</v>
      </c>
    </row>
    <row r="198" spans="1:4" x14ac:dyDescent="0.25">
      <c r="A198" s="1" t="s">
        <v>204</v>
      </c>
      <c r="B198" s="1" t="s">
        <v>27</v>
      </c>
      <c r="C198" s="2">
        <v>0.41001157407407407</v>
      </c>
      <c r="D198">
        <v>1</v>
      </c>
    </row>
    <row r="199" spans="1:4" x14ac:dyDescent="0.25">
      <c r="A199" s="1" t="s">
        <v>205</v>
      </c>
      <c r="B199" s="1" t="s">
        <v>7</v>
      </c>
      <c r="C199" s="2">
        <v>0.41030092592592593</v>
      </c>
      <c r="D199">
        <v>1</v>
      </c>
    </row>
    <row r="200" spans="1:4" x14ac:dyDescent="0.25">
      <c r="A200" s="1" t="s">
        <v>206</v>
      </c>
      <c r="B200" s="1" t="s">
        <v>5</v>
      </c>
      <c r="C200" s="2">
        <v>0.41059027777777779</v>
      </c>
      <c r="D200">
        <v>1</v>
      </c>
    </row>
    <row r="201" spans="1:4" x14ac:dyDescent="0.25">
      <c r="A201" s="1" t="s">
        <v>207</v>
      </c>
      <c r="B201" s="1" t="s">
        <v>9</v>
      </c>
      <c r="C201" s="2">
        <v>0.41087962962962965</v>
      </c>
      <c r="D201">
        <v>1</v>
      </c>
    </row>
    <row r="202" spans="1:4" x14ac:dyDescent="0.25">
      <c r="A202" s="1" t="s">
        <v>208</v>
      </c>
      <c r="B202" s="1" t="s">
        <v>5</v>
      </c>
      <c r="C202" s="2">
        <v>0.41116898148148145</v>
      </c>
      <c r="D202">
        <v>1</v>
      </c>
    </row>
    <row r="203" spans="1:4" x14ac:dyDescent="0.25">
      <c r="A203" s="1" t="s">
        <v>209</v>
      </c>
      <c r="B203" s="1" t="s">
        <v>27</v>
      </c>
      <c r="C203" s="2">
        <v>0.41174768518518517</v>
      </c>
      <c r="D203">
        <v>2</v>
      </c>
    </row>
    <row r="204" spans="1:4" x14ac:dyDescent="0.25">
      <c r="A204" s="1" t="s">
        <v>210</v>
      </c>
      <c r="B204" s="1" t="s">
        <v>7</v>
      </c>
      <c r="C204" s="2">
        <v>0.41203703703703703</v>
      </c>
      <c r="D204">
        <v>1</v>
      </c>
    </row>
    <row r="205" spans="1:4" x14ac:dyDescent="0.25">
      <c r="A205" s="1" t="s">
        <v>211</v>
      </c>
      <c r="B205" s="1" t="s">
        <v>9</v>
      </c>
      <c r="C205" s="2">
        <v>0.4123263888888889</v>
      </c>
      <c r="D205">
        <v>1</v>
      </c>
    </row>
    <row r="206" spans="1:4" x14ac:dyDescent="0.25">
      <c r="A206" s="1" t="s">
        <v>212</v>
      </c>
      <c r="B206" s="1" t="s">
        <v>9</v>
      </c>
      <c r="C206" s="2">
        <v>0.41261574074074076</v>
      </c>
      <c r="D206">
        <v>1</v>
      </c>
    </row>
    <row r="207" spans="1:4" x14ac:dyDescent="0.25">
      <c r="A207" s="1" t="s">
        <v>213</v>
      </c>
      <c r="B207" s="1" t="s">
        <v>7</v>
      </c>
      <c r="C207" s="2">
        <v>0.41290509259259262</v>
      </c>
      <c r="D207">
        <v>1</v>
      </c>
    </row>
    <row r="208" spans="1:4" x14ac:dyDescent="0.25">
      <c r="A208" s="1" t="s">
        <v>214</v>
      </c>
      <c r="B208" s="1" t="s">
        <v>5</v>
      </c>
      <c r="C208" s="2">
        <v>0.41319444444444442</v>
      </c>
      <c r="D208">
        <v>1</v>
      </c>
    </row>
    <row r="209" spans="1:4" x14ac:dyDescent="0.25">
      <c r="A209" s="1" t="s">
        <v>215</v>
      </c>
      <c r="B209" s="1" t="s">
        <v>9</v>
      </c>
      <c r="C209" s="2">
        <v>0.41377314814814814</v>
      </c>
      <c r="D209">
        <v>2</v>
      </c>
    </row>
    <row r="210" spans="1:4" x14ac:dyDescent="0.25">
      <c r="A210" s="1" t="s">
        <v>216</v>
      </c>
      <c r="B210" s="1" t="s">
        <v>27</v>
      </c>
      <c r="C210" s="2">
        <v>0.4140625</v>
      </c>
      <c r="D210">
        <v>1</v>
      </c>
    </row>
    <row r="211" spans="1:4" x14ac:dyDescent="0.25">
      <c r="A211" s="1" t="s">
        <v>217</v>
      </c>
      <c r="B211" s="1" t="s">
        <v>7</v>
      </c>
      <c r="C211" s="2">
        <v>0.41435185185185186</v>
      </c>
      <c r="D211">
        <v>1</v>
      </c>
    </row>
    <row r="212" spans="1:4" x14ac:dyDescent="0.25">
      <c r="A212" s="1" t="s">
        <v>218</v>
      </c>
      <c r="B212" s="1" t="s">
        <v>9</v>
      </c>
      <c r="C212" s="2">
        <v>0.41493055555555558</v>
      </c>
      <c r="D212">
        <v>2</v>
      </c>
    </row>
    <row r="213" spans="1:4" x14ac:dyDescent="0.25">
      <c r="A213" s="1" t="s">
        <v>219</v>
      </c>
      <c r="B213" s="1" t="s">
        <v>5</v>
      </c>
      <c r="C213" s="2">
        <v>0.41521990740740738</v>
      </c>
      <c r="D213">
        <v>1</v>
      </c>
    </row>
    <row r="214" spans="1:4" x14ac:dyDescent="0.25">
      <c r="A214" s="1" t="s">
        <v>220</v>
      </c>
      <c r="B214" s="1" t="s">
        <v>9</v>
      </c>
      <c r="C214" s="2">
        <v>0.41550925925925924</v>
      </c>
      <c r="D214">
        <v>1</v>
      </c>
    </row>
    <row r="215" spans="1:4" x14ac:dyDescent="0.25">
      <c r="A215" s="1" t="s">
        <v>221</v>
      </c>
      <c r="B215" s="1" t="s">
        <v>7</v>
      </c>
      <c r="C215" s="2">
        <v>0.4157986111111111</v>
      </c>
      <c r="D215">
        <v>1</v>
      </c>
    </row>
    <row r="216" spans="1:4" x14ac:dyDescent="0.25">
      <c r="A216" s="1" t="s">
        <v>222</v>
      </c>
      <c r="B216" s="1" t="s">
        <v>9</v>
      </c>
      <c r="C216" s="2">
        <v>0.41608796296296297</v>
      </c>
      <c r="D216">
        <v>1</v>
      </c>
    </row>
    <row r="217" spans="1:4" x14ac:dyDescent="0.25">
      <c r="A217" s="1" t="s">
        <v>223</v>
      </c>
      <c r="B217" s="1" t="s">
        <v>7</v>
      </c>
      <c r="C217" s="2">
        <v>0.41637731481481483</v>
      </c>
      <c r="D217">
        <v>1</v>
      </c>
    </row>
    <row r="218" spans="1:4" x14ac:dyDescent="0.25">
      <c r="A218" s="1" t="s">
        <v>224</v>
      </c>
      <c r="B218" s="1" t="s">
        <v>7</v>
      </c>
      <c r="C218" s="2">
        <v>0.41666666666666669</v>
      </c>
      <c r="D218">
        <v>1</v>
      </c>
    </row>
    <row r="219" spans="1:4" x14ac:dyDescent="0.25">
      <c r="A219" s="1" t="s">
        <v>225</v>
      </c>
      <c r="B219" s="1" t="s">
        <v>9</v>
      </c>
      <c r="C219" s="2">
        <v>0.41724537037037035</v>
      </c>
      <c r="D219">
        <v>2</v>
      </c>
    </row>
    <row r="220" spans="1:4" x14ac:dyDescent="0.25">
      <c r="A220" s="1" t="s">
        <v>226</v>
      </c>
      <c r="B220" s="1" t="s">
        <v>9</v>
      </c>
      <c r="C220" s="2">
        <v>0.41782407407407407</v>
      </c>
      <c r="D220">
        <v>2</v>
      </c>
    </row>
    <row r="221" spans="1:4" x14ac:dyDescent="0.25">
      <c r="A221" s="1" t="s">
        <v>227</v>
      </c>
      <c r="B221" s="1" t="s">
        <v>7</v>
      </c>
      <c r="C221" s="2">
        <v>0.41811342592592593</v>
      </c>
      <c r="D221">
        <v>1</v>
      </c>
    </row>
    <row r="222" spans="1:4" x14ac:dyDescent="0.25">
      <c r="A222" s="1" t="s">
        <v>228</v>
      </c>
      <c r="B222" s="1" t="s">
        <v>7</v>
      </c>
      <c r="C222" s="2">
        <v>0.41840277777777779</v>
      </c>
      <c r="D222">
        <v>1</v>
      </c>
    </row>
    <row r="223" spans="1:4" x14ac:dyDescent="0.25">
      <c r="A223" s="1" t="s">
        <v>229</v>
      </c>
      <c r="B223" s="1" t="s">
        <v>27</v>
      </c>
      <c r="C223" s="2">
        <v>0.41869212962962965</v>
      </c>
      <c r="D223">
        <v>1</v>
      </c>
    </row>
    <row r="224" spans="1:4" x14ac:dyDescent="0.25">
      <c r="A224" s="1" t="s">
        <v>230</v>
      </c>
      <c r="B224" s="1" t="s">
        <v>7</v>
      </c>
      <c r="C224" s="2">
        <v>0.41898148148148145</v>
      </c>
      <c r="D224">
        <v>1</v>
      </c>
    </row>
    <row r="225" spans="1:4" x14ac:dyDescent="0.25">
      <c r="A225" s="1" t="s">
        <v>231</v>
      </c>
      <c r="B225" s="1" t="s">
        <v>5</v>
      </c>
      <c r="C225" s="2">
        <v>0.41956018518518517</v>
      </c>
      <c r="D225">
        <v>2</v>
      </c>
    </row>
    <row r="226" spans="1:4" x14ac:dyDescent="0.25">
      <c r="A226" s="1" t="s">
        <v>232</v>
      </c>
      <c r="B226" s="1" t="s">
        <v>9</v>
      </c>
      <c r="C226" s="2">
        <v>0.41984953703703703</v>
      </c>
      <c r="D226">
        <v>1</v>
      </c>
    </row>
    <row r="227" spans="1:4" x14ac:dyDescent="0.25">
      <c r="A227" s="1" t="s">
        <v>233</v>
      </c>
      <c r="B227" s="1" t="s">
        <v>9</v>
      </c>
      <c r="C227" s="2">
        <v>0.42042824074074076</v>
      </c>
      <c r="D227">
        <v>2</v>
      </c>
    </row>
    <row r="228" spans="1:4" x14ac:dyDescent="0.25">
      <c r="A228" s="1" t="s">
        <v>234</v>
      </c>
      <c r="B228" s="1" t="s">
        <v>9</v>
      </c>
      <c r="C228" s="2">
        <v>0.42100694444444442</v>
      </c>
      <c r="D228">
        <v>2</v>
      </c>
    </row>
    <row r="229" spans="1:4" x14ac:dyDescent="0.25">
      <c r="A229" s="1" t="s">
        <v>235</v>
      </c>
      <c r="B229" s="1" t="s">
        <v>7</v>
      </c>
      <c r="C229" s="2">
        <v>0.42129629629629628</v>
      </c>
      <c r="D229">
        <v>1</v>
      </c>
    </row>
    <row r="230" spans="1:4" x14ac:dyDescent="0.25">
      <c r="A230" s="1" t="s">
        <v>236</v>
      </c>
      <c r="B230" s="1" t="s">
        <v>5</v>
      </c>
      <c r="C230" s="2">
        <v>0.42158564814814814</v>
      </c>
      <c r="D230">
        <v>1</v>
      </c>
    </row>
    <row r="231" spans="1:4" x14ac:dyDescent="0.25">
      <c r="A231" s="1" t="s">
        <v>237</v>
      </c>
      <c r="B231" s="1" t="s">
        <v>7</v>
      </c>
      <c r="C231" s="2">
        <v>0.421875</v>
      </c>
      <c r="D231">
        <v>1</v>
      </c>
    </row>
    <row r="232" spans="1:4" x14ac:dyDescent="0.25">
      <c r="A232" s="1" t="s">
        <v>238</v>
      </c>
      <c r="B232" s="1" t="s">
        <v>9</v>
      </c>
      <c r="C232" s="2">
        <v>0.42216435185185186</v>
      </c>
      <c r="D232">
        <v>1</v>
      </c>
    </row>
    <row r="233" spans="1:4" x14ac:dyDescent="0.25">
      <c r="A233" s="1" t="s">
        <v>239</v>
      </c>
      <c r="B233" s="1" t="s">
        <v>5</v>
      </c>
      <c r="C233" s="2">
        <v>0.42245370370370372</v>
      </c>
      <c r="D233">
        <v>1</v>
      </c>
    </row>
    <row r="234" spans="1:4" x14ac:dyDescent="0.25">
      <c r="A234" s="1" t="s">
        <v>240</v>
      </c>
      <c r="B234" s="1" t="s">
        <v>9</v>
      </c>
      <c r="C234" s="2">
        <v>0.42303240740740738</v>
      </c>
      <c r="D234">
        <v>2</v>
      </c>
    </row>
    <row r="235" spans="1:4" x14ac:dyDescent="0.25">
      <c r="A235" s="1" t="s">
        <v>241</v>
      </c>
      <c r="B235" s="1" t="s">
        <v>5</v>
      </c>
      <c r="C235" s="2">
        <v>0.4236111111111111</v>
      </c>
      <c r="D235">
        <v>2</v>
      </c>
    </row>
    <row r="236" spans="1:4" x14ac:dyDescent="0.25">
      <c r="A236" s="1" t="s">
        <v>242</v>
      </c>
      <c r="B236" s="1" t="s">
        <v>7</v>
      </c>
      <c r="C236" s="2">
        <v>0.42390046296296297</v>
      </c>
      <c r="D236">
        <v>1</v>
      </c>
    </row>
    <row r="237" spans="1:4" x14ac:dyDescent="0.25">
      <c r="A237" s="1" t="s">
        <v>243</v>
      </c>
      <c r="B237" s="1" t="s">
        <v>27</v>
      </c>
      <c r="C237" s="2">
        <v>0.42418981481481483</v>
      </c>
      <c r="D237">
        <v>1</v>
      </c>
    </row>
    <row r="238" spans="1:4" x14ac:dyDescent="0.25">
      <c r="A238" s="1" t="s">
        <v>244</v>
      </c>
      <c r="B238" s="1" t="s">
        <v>7</v>
      </c>
      <c r="C238" s="2">
        <v>0.42447916666666669</v>
      </c>
      <c r="D238">
        <v>1</v>
      </c>
    </row>
    <row r="239" spans="1:4" x14ac:dyDescent="0.25">
      <c r="A239" s="1" t="s">
        <v>245</v>
      </c>
      <c r="B239" s="1" t="s">
        <v>5</v>
      </c>
      <c r="C239" s="2">
        <v>0.42476851851851855</v>
      </c>
      <c r="D239">
        <v>1</v>
      </c>
    </row>
    <row r="240" spans="1:4" x14ac:dyDescent="0.25">
      <c r="A240" s="1" t="s">
        <v>246</v>
      </c>
      <c r="B240" s="1" t="s">
        <v>5</v>
      </c>
      <c r="C240" s="2">
        <v>0.42505787037037035</v>
      </c>
      <c r="D240">
        <v>1</v>
      </c>
    </row>
    <row r="241" spans="1:4" x14ac:dyDescent="0.25">
      <c r="A241" s="1" t="s">
        <v>247</v>
      </c>
      <c r="B241" s="1" t="s">
        <v>5</v>
      </c>
      <c r="C241" s="2">
        <v>0.42563657407407407</v>
      </c>
      <c r="D241">
        <v>2</v>
      </c>
    </row>
    <row r="242" spans="1:4" x14ac:dyDescent="0.25">
      <c r="A242" s="1" t="s">
        <v>248</v>
      </c>
      <c r="B242" s="1" t="s">
        <v>7</v>
      </c>
      <c r="C242" s="2">
        <v>0.42592592592592593</v>
      </c>
      <c r="D242">
        <v>1</v>
      </c>
    </row>
    <row r="243" spans="1:4" x14ac:dyDescent="0.25">
      <c r="A243" s="1" t="s">
        <v>249</v>
      </c>
      <c r="B243" s="1" t="s">
        <v>7</v>
      </c>
      <c r="C243" s="2">
        <v>0.42621527777777779</v>
      </c>
      <c r="D243">
        <v>1</v>
      </c>
    </row>
    <row r="244" spans="1:4" x14ac:dyDescent="0.25">
      <c r="A244" s="1" t="s">
        <v>250</v>
      </c>
      <c r="B244" s="1" t="s">
        <v>7</v>
      </c>
      <c r="C244" s="2">
        <v>0.42650462962962965</v>
      </c>
      <c r="D244">
        <v>1</v>
      </c>
    </row>
    <row r="245" spans="1:4" x14ac:dyDescent="0.25">
      <c r="A245" s="1" t="s">
        <v>251</v>
      </c>
      <c r="B245" s="1" t="s">
        <v>7</v>
      </c>
      <c r="C245" s="2">
        <v>0.42679398148148145</v>
      </c>
      <c r="D245">
        <v>1</v>
      </c>
    </row>
    <row r="246" spans="1:4" x14ac:dyDescent="0.25">
      <c r="A246" s="1" t="s">
        <v>252</v>
      </c>
      <c r="B246" s="1" t="s">
        <v>5</v>
      </c>
      <c r="C246" s="2">
        <v>0.42737268518518517</v>
      </c>
      <c r="D246">
        <v>2</v>
      </c>
    </row>
    <row r="247" spans="1:4" x14ac:dyDescent="0.25">
      <c r="A247" s="1" t="s">
        <v>253</v>
      </c>
      <c r="B247" s="1" t="s">
        <v>5</v>
      </c>
      <c r="C247" s="2">
        <v>0.42766203703703703</v>
      </c>
      <c r="D247">
        <v>1</v>
      </c>
    </row>
    <row r="248" spans="1:4" x14ac:dyDescent="0.25">
      <c r="A248" s="1" t="s">
        <v>254</v>
      </c>
      <c r="B248" s="1" t="s">
        <v>9</v>
      </c>
      <c r="C248" s="2">
        <v>0.42824074074074076</v>
      </c>
      <c r="D248">
        <v>2</v>
      </c>
    </row>
    <row r="249" spans="1:4" x14ac:dyDescent="0.25">
      <c r="A249" s="1" t="s">
        <v>255</v>
      </c>
      <c r="B249" s="1" t="s">
        <v>7</v>
      </c>
      <c r="C249" s="2">
        <v>0.42853009259259262</v>
      </c>
      <c r="D249">
        <v>1</v>
      </c>
    </row>
    <row r="250" spans="1:4" x14ac:dyDescent="0.25">
      <c r="A250" s="1" t="s">
        <v>256</v>
      </c>
      <c r="B250" s="1" t="s">
        <v>5</v>
      </c>
      <c r="C250" s="2">
        <v>0.42910879629629628</v>
      </c>
      <c r="D250">
        <v>2</v>
      </c>
    </row>
    <row r="251" spans="1:4" x14ac:dyDescent="0.25">
      <c r="A251" s="1" t="s">
        <v>257</v>
      </c>
      <c r="B251" s="1" t="s">
        <v>27</v>
      </c>
      <c r="C251" s="2">
        <v>0.42939814814814814</v>
      </c>
      <c r="D251">
        <v>1</v>
      </c>
    </row>
    <row r="252" spans="1:4" x14ac:dyDescent="0.25">
      <c r="A252" s="1" t="s">
        <v>258</v>
      </c>
      <c r="B252" s="1" t="s">
        <v>27</v>
      </c>
      <c r="C252" s="2">
        <v>0.4296875</v>
      </c>
      <c r="D252">
        <v>1</v>
      </c>
    </row>
    <row r="253" spans="1:4" x14ac:dyDescent="0.25">
      <c r="A253" s="1" t="s">
        <v>259</v>
      </c>
      <c r="B253" s="1" t="s">
        <v>27</v>
      </c>
      <c r="C253" s="2">
        <v>0.42997685185185186</v>
      </c>
      <c r="D253">
        <v>1</v>
      </c>
    </row>
    <row r="254" spans="1:4" x14ac:dyDescent="0.25">
      <c r="A254" s="1" t="s">
        <v>260</v>
      </c>
      <c r="B254" s="1" t="s">
        <v>7</v>
      </c>
      <c r="C254" s="2">
        <v>0.43026620370370372</v>
      </c>
      <c r="D254">
        <v>1</v>
      </c>
    </row>
    <row r="255" spans="1:4" x14ac:dyDescent="0.25">
      <c r="A255" s="1" t="s">
        <v>261</v>
      </c>
      <c r="B255" s="1" t="s">
        <v>9</v>
      </c>
      <c r="C255" s="2">
        <v>0.43055555555555558</v>
      </c>
      <c r="D255">
        <v>1</v>
      </c>
    </row>
    <row r="256" spans="1:4" x14ac:dyDescent="0.25">
      <c r="A256" s="1" t="s">
        <v>262</v>
      </c>
      <c r="B256" s="1" t="s">
        <v>5</v>
      </c>
      <c r="C256" s="2">
        <v>0.43113425925925924</v>
      </c>
      <c r="D256">
        <v>2</v>
      </c>
    </row>
    <row r="257" spans="1:4" x14ac:dyDescent="0.25">
      <c r="A257" s="1" t="s">
        <v>263</v>
      </c>
      <c r="B257" s="1" t="s">
        <v>7</v>
      </c>
      <c r="C257" s="2">
        <v>0.4314236111111111</v>
      </c>
      <c r="D257">
        <v>1</v>
      </c>
    </row>
    <row r="258" spans="1:4" x14ac:dyDescent="0.25">
      <c r="A258" s="1" t="s">
        <v>264</v>
      </c>
      <c r="B258" s="1" t="s">
        <v>5</v>
      </c>
      <c r="C258" s="2">
        <v>0.43200231481481483</v>
      </c>
      <c r="D258">
        <v>2</v>
      </c>
    </row>
    <row r="259" spans="1:4" x14ac:dyDescent="0.25">
      <c r="A259" s="1" t="s">
        <v>265</v>
      </c>
      <c r="B259" s="1" t="s">
        <v>7</v>
      </c>
      <c r="C259" s="2">
        <v>0.43229166666666669</v>
      </c>
      <c r="D259">
        <v>1</v>
      </c>
    </row>
    <row r="260" spans="1:4" x14ac:dyDescent="0.25">
      <c r="A260" s="1" t="s">
        <v>266</v>
      </c>
      <c r="B260" s="1" t="s">
        <v>5</v>
      </c>
      <c r="C260" s="2">
        <v>0.43287037037037035</v>
      </c>
      <c r="D260">
        <v>2</v>
      </c>
    </row>
    <row r="261" spans="1:4" x14ac:dyDescent="0.25">
      <c r="A261" s="1" t="s">
        <v>267</v>
      </c>
      <c r="B261" s="1" t="s">
        <v>5</v>
      </c>
      <c r="C261" s="2">
        <v>0.43344907407407407</v>
      </c>
      <c r="D261">
        <v>2</v>
      </c>
    </row>
    <row r="262" spans="1:4" x14ac:dyDescent="0.25">
      <c r="A262" s="1" t="s">
        <v>268</v>
      </c>
      <c r="B262" s="1" t="s">
        <v>5</v>
      </c>
      <c r="C262" s="2">
        <v>0.43373842592592593</v>
      </c>
      <c r="D262">
        <v>1</v>
      </c>
    </row>
    <row r="263" spans="1:4" x14ac:dyDescent="0.25">
      <c r="A263" s="1" t="s">
        <v>269</v>
      </c>
      <c r="B263" s="1" t="s">
        <v>9</v>
      </c>
      <c r="C263" s="2">
        <v>0.43402777777777779</v>
      </c>
      <c r="D263">
        <v>1</v>
      </c>
    </row>
    <row r="264" spans="1:4" x14ac:dyDescent="0.25">
      <c r="A264" s="1" t="s">
        <v>270</v>
      </c>
      <c r="B264" s="1" t="s">
        <v>27</v>
      </c>
      <c r="C264" s="2">
        <v>0.43460648148148145</v>
      </c>
      <c r="D264">
        <v>2</v>
      </c>
    </row>
    <row r="265" spans="1:4" x14ac:dyDescent="0.25">
      <c r="A265" s="1" t="s">
        <v>271</v>
      </c>
      <c r="B265" s="1" t="s">
        <v>7</v>
      </c>
      <c r="C265" s="2">
        <v>0.43489583333333331</v>
      </c>
      <c r="D265">
        <v>1</v>
      </c>
    </row>
    <row r="266" spans="1:4" x14ac:dyDescent="0.25">
      <c r="A266" s="1" t="s">
        <v>272</v>
      </c>
      <c r="B266" s="1" t="s">
        <v>5</v>
      </c>
      <c r="C266" s="2">
        <v>0.43518518518518517</v>
      </c>
      <c r="D266">
        <v>1</v>
      </c>
    </row>
    <row r="267" spans="1:4" x14ac:dyDescent="0.25">
      <c r="A267" s="1" t="s">
        <v>273</v>
      </c>
      <c r="B267" s="1" t="s">
        <v>9</v>
      </c>
      <c r="C267" s="2">
        <v>0.43547453703703703</v>
      </c>
      <c r="D267">
        <v>1</v>
      </c>
    </row>
    <row r="268" spans="1:4" x14ac:dyDescent="0.25">
      <c r="A268" s="1" t="s">
        <v>274</v>
      </c>
      <c r="B268" s="1" t="s">
        <v>5</v>
      </c>
      <c r="C268" s="2">
        <v>0.43605324074074076</v>
      </c>
      <c r="D268">
        <v>2</v>
      </c>
    </row>
    <row r="269" spans="1:4" x14ac:dyDescent="0.25">
      <c r="A269" s="1" t="s">
        <v>275</v>
      </c>
      <c r="B269" s="1" t="s">
        <v>9</v>
      </c>
      <c r="C269" s="2">
        <v>0.43634259259259262</v>
      </c>
      <c r="D269">
        <v>1</v>
      </c>
    </row>
    <row r="270" spans="1:4" x14ac:dyDescent="0.25">
      <c r="A270" s="1" t="s">
        <v>276</v>
      </c>
      <c r="B270" s="1" t="s">
        <v>5</v>
      </c>
      <c r="C270" s="2">
        <v>0.43692129629629628</v>
      </c>
      <c r="D270">
        <v>2</v>
      </c>
    </row>
    <row r="271" spans="1:4" x14ac:dyDescent="0.25">
      <c r="A271" s="1" t="s">
        <v>277</v>
      </c>
      <c r="B271" s="1" t="s">
        <v>5</v>
      </c>
      <c r="C271" s="2">
        <v>0.4375</v>
      </c>
      <c r="D271">
        <v>2</v>
      </c>
    </row>
    <row r="272" spans="1:4" x14ac:dyDescent="0.25">
      <c r="A272" s="1" t="s">
        <v>278</v>
      </c>
      <c r="B272" s="1" t="s">
        <v>7</v>
      </c>
      <c r="C272" s="2">
        <v>0.43778935185185186</v>
      </c>
      <c r="D272">
        <v>1</v>
      </c>
    </row>
    <row r="273" spans="1:4" x14ac:dyDescent="0.25">
      <c r="A273" s="1" t="s">
        <v>279</v>
      </c>
      <c r="B273" s="1" t="s">
        <v>5</v>
      </c>
      <c r="C273" s="2">
        <v>0.43836805555555558</v>
      </c>
      <c r="D273">
        <v>2</v>
      </c>
    </row>
    <row r="274" spans="1:4" x14ac:dyDescent="0.25">
      <c r="A274" s="1" t="s">
        <v>280</v>
      </c>
      <c r="B274" s="1" t="s">
        <v>5</v>
      </c>
      <c r="C274" s="2">
        <v>0.43865740740740738</v>
      </c>
      <c r="D274">
        <v>1</v>
      </c>
    </row>
    <row r="275" spans="1:4" x14ac:dyDescent="0.25">
      <c r="A275" s="1" t="s">
        <v>281</v>
      </c>
      <c r="B275" s="1" t="s">
        <v>9</v>
      </c>
      <c r="C275" s="2">
        <v>0.43894675925925924</v>
      </c>
      <c r="D275">
        <v>1</v>
      </c>
    </row>
    <row r="276" spans="1:4" x14ac:dyDescent="0.25">
      <c r="A276" s="1" t="s">
        <v>282</v>
      </c>
      <c r="B276" s="1" t="s">
        <v>27</v>
      </c>
      <c r="C276" s="2">
        <v>0.4392361111111111</v>
      </c>
      <c r="D276">
        <v>1</v>
      </c>
    </row>
    <row r="277" spans="1:4" x14ac:dyDescent="0.25">
      <c r="A277" s="1" t="s">
        <v>283</v>
      </c>
      <c r="B277" s="1" t="s">
        <v>7</v>
      </c>
      <c r="C277" s="2">
        <v>0.43952546296296297</v>
      </c>
      <c r="D277">
        <v>1</v>
      </c>
    </row>
    <row r="278" spans="1:4" x14ac:dyDescent="0.25">
      <c r="A278" s="1" t="s">
        <v>284</v>
      </c>
      <c r="B278" s="1" t="s">
        <v>9</v>
      </c>
      <c r="C278" s="2">
        <v>0.43981481481481483</v>
      </c>
      <c r="D278">
        <v>1</v>
      </c>
    </row>
    <row r="279" spans="1:4" x14ac:dyDescent="0.25">
      <c r="A279" s="1" t="s">
        <v>285</v>
      </c>
      <c r="B279" s="1" t="s">
        <v>5</v>
      </c>
      <c r="C279" s="2">
        <v>0.44010416666666669</v>
      </c>
      <c r="D279">
        <v>1</v>
      </c>
    </row>
    <row r="280" spans="1:4" x14ac:dyDescent="0.25">
      <c r="A280" s="1" t="s">
        <v>286</v>
      </c>
      <c r="B280" s="1" t="s">
        <v>7</v>
      </c>
      <c r="C280" s="2">
        <v>0.44039351851851855</v>
      </c>
      <c r="D280">
        <v>1</v>
      </c>
    </row>
    <row r="281" spans="1:4" x14ac:dyDescent="0.25">
      <c r="A281" s="1" t="s">
        <v>287</v>
      </c>
      <c r="B281" s="1" t="s">
        <v>5</v>
      </c>
      <c r="C281" s="2">
        <v>0.44068287037037035</v>
      </c>
      <c r="D281">
        <v>1</v>
      </c>
    </row>
    <row r="282" spans="1:4" x14ac:dyDescent="0.25">
      <c r="A282" s="1" t="s">
        <v>288</v>
      </c>
      <c r="B282" s="1" t="s">
        <v>7</v>
      </c>
      <c r="C282" s="2">
        <v>0.44097222222222221</v>
      </c>
      <c r="D282">
        <v>1</v>
      </c>
    </row>
    <row r="283" spans="1:4" x14ac:dyDescent="0.25">
      <c r="A283" s="1" t="s">
        <v>289</v>
      </c>
      <c r="B283" s="1" t="s">
        <v>5</v>
      </c>
      <c r="C283" s="2">
        <v>0.44155092592592593</v>
      </c>
      <c r="D283">
        <v>2</v>
      </c>
    </row>
    <row r="284" spans="1:4" x14ac:dyDescent="0.25">
      <c r="A284" s="1" t="s">
        <v>290</v>
      </c>
      <c r="B284" s="1" t="s">
        <v>7</v>
      </c>
      <c r="C284" s="2">
        <v>0.44184027777777779</v>
      </c>
      <c r="D284">
        <v>1</v>
      </c>
    </row>
    <row r="285" spans="1:4" x14ac:dyDescent="0.25">
      <c r="A285" s="1" t="s">
        <v>291</v>
      </c>
      <c r="B285" s="1" t="s">
        <v>27</v>
      </c>
      <c r="C285" s="2">
        <v>0.44241898148148145</v>
      </c>
      <c r="D285">
        <v>2</v>
      </c>
    </row>
    <row r="286" spans="1:4" x14ac:dyDescent="0.25">
      <c r="A286" s="1" t="s">
        <v>292</v>
      </c>
      <c r="B286" s="1" t="s">
        <v>27</v>
      </c>
      <c r="C286" s="2">
        <v>0.44299768518518517</v>
      </c>
      <c r="D286">
        <v>2</v>
      </c>
    </row>
    <row r="287" spans="1:4" x14ac:dyDescent="0.25">
      <c r="A287" s="1" t="s">
        <v>293</v>
      </c>
      <c r="B287" s="1" t="s">
        <v>7</v>
      </c>
      <c r="C287" s="2">
        <v>0.44328703703703703</v>
      </c>
      <c r="D287">
        <v>1</v>
      </c>
    </row>
    <row r="288" spans="1:4" x14ac:dyDescent="0.25">
      <c r="A288" s="1" t="s">
        <v>294</v>
      </c>
      <c r="B288" s="1" t="s">
        <v>7</v>
      </c>
      <c r="C288" s="2">
        <v>0.4435763888888889</v>
      </c>
      <c r="D288">
        <v>1</v>
      </c>
    </row>
    <row r="289" spans="1:4" x14ac:dyDescent="0.25">
      <c r="A289" s="1" t="s">
        <v>295</v>
      </c>
      <c r="B289" s="1" t="s">
        <v>9</v>
      </c>
      <c r="C289" s="2">
        <v>0.44386574074074076</v>
      </c>
      <c r="D289">
        <v>1</v>
      </c>
    </row>
    <row r="290" spans="1:4" x14ac:dyDescent="0.25">
      <c r="A290" s="1" t="s">
        <v>296</v>
      </c>
      <c r="B290" s="1" t="s">
        <v>5</v>
      </c>
      <c r="C290" s="2">
        <v>0.44444444444444442</v>
      </c>
      <c r="D290">
        <v>2</v>
      </c>
    </row>
    <row r="291" spans="1:4" x14ac:dyDescent="0.25">
      <c r="A291" s="1" t="s">
        <v>297</v>
      </c>
      <c r="B291" s="1" t="s">
        <v>5</v>
      </c>
      <c r="C291" s="2">
        <v>0.44502314814814814</v>
      </c>
      <c r="D291">
        <v>2</v>
      </c>
    </row>
    <row r="292" spans="1:4" x14ac:dyDescent="0.25">
      <c r="A292" s="1" t="s">
        <v>298</v>
      </c>
      <c r="B292" s="1" t="s">
        <v>5</v>
      </c>
      <c r="C292" s="2">
        <v>0.4453125</v>
      </c>
      <c r="D292">
        <v>1</v>
      </c>
    </row>
    <row r="293" spans="1:4" x14ac:dyDescent="0.25">
      <c r="A293" s="1" t="s">
        <v>299</v>
      </c>
      <c r="B293" s="1" t="s">
        <v>7</v>
      </c>
      <c r="C293" s="2">
        <v>0.44560185185185186</v>
      </c>
      <c r="D293">
        <v>1</v>
      </c>
    </row>
    <row r="294" spans="1:4" x14ac:dyDescent="0.25">
      <c r="A294" s="1" t="s">
        <v>300</v>
      </c>
      <c r="B294" s="1" t="s">
        <v>5</v>
      </c>
      <c r="C294" s="2">
        <v>0.44589120370370372</v>
      </c>
      <c r="D294">
        <v>1</v>
      </c>
    </row>
    <row r="295" spans="1:4" x14ac:dyDescent="0.25">
      <c r="A295" s="1" t="s">
        <v>301</v>
      </c>
      <c r="B295" s="1" t="s">
        <v>5</v>
      </c>
      <c r="C295" s="2">
        <v>0.44618055555555558</v>
      </c>
      <c r="D295">
        <v>1</v>
      </c>
    </row>
    <row r="296" spans="1:4" x14ac:dyDescent="0.25">
      <c r="A296" s="1" t="s">
        <v>302</v>
      </c>
      <c r="B296" s="1" t="s">
        <v>7</v>
      </c>
      <c r="C296" s="2">
        <v>0.44646990740740738</v>
      </c>
      <c r="D296">
        <v>1</v>
      </c>
    </row>
    <row r="297" spans="1:4" x14ac:dyDescent="0.25">
      <c r="A297" s="1" t="s">
        <v>303</v>
      </c>
      <c r="B297" s="1" t="s">
        <v>5</v>
      </c>
      <c r="C297" s="2">
        <v>0.44675925925925924</v>
      </c>
      <c r="D297">
        <v>1</v>
      </c>
    </row>
    <row r="298" spans="1:4" x14ac:dyDescent="0.25">
      <c r="A298" s="1" t="s">
        <v>304</v>
      </c>
      <c r="B298" s="1" t="s">
        <v>27</v>
      </c>
      <c r="C298" s="2">
        <v>0.44733796296296297</v>
      </c>
      <c r="D298">
        <v>2</v>
      </c>
    </row>
    <row r="299" spans="1:4" x14ac:dyDescent="0.25">
      <c r="A299" s="1" t="s">
        <v>305</v>
      </c>
      <c r="B299" s="1" t="s">
        <v>7</v>
      </c>
      <c r="C299" s="2">
        <v>0.44762731481481483</v>
      </c>
      <c r="D299">
        <v>1</v>
      </c>
    </row>
    <row r="300" spans="1:4" x14ac:dyDescent="0.25">
      <c r="A300" s="1" t="s">
        <v>306</v>
      </c>
      <c r="B300" s="1" t="s">
        <v>7</v>
      </c>
      <c r="C300" s="2">
        <v>0.44791666666666669</v>
      </c>
      <c r="D300">
        <v>1</v>
      </c>
    </row>
    <row r="301" spans="1:4" x14ac:dyDescent="0.25">
      <c r="A301" s="1" t="s">
        <v>307</v>
      </c>
      <c r="B301" s="1" t="s">
        <v>27</v>
      </c>
      <c r="C301" s="2">
        <v>0.44820601851851855</v>
      </c>
      <c r="D301">
        <v>1</v>
      </c>
    </row>
    <row r="302" spans="1:4" x14ac:dyDescent="0.25">
      <c r="A302" s="1" t="s">
        <v>308</v>
      </c>
      <c r="B302" s="1" t="s">
        <v>7</v>
      </c>
      <c r="C302" s="2">
        <v>0.44849537037037035</v>
      </c>
      <c r="D302">
        <v>1</v>
      </c>
    </row>
    <row r="303" spans="1:4" x14ac:dyDescent="0.25">
      <c r="A303" s="1" t="s">
        <v>309</v>
      </c>
      <c r="B303" s="1" t="s">
        <v>27</v>
      </c>
      <c r="C303" s="2">
        <v>0.44907407407407407</v>
      </c>
      <c r="D303">
        <v>2</v>
      </c>
    </row>
    <row r="304" spans="1:4" x14ac:dyDescent="0.25">
      <c r="A304" s="1" t="s">
        <v>310</v>
      </c>
      <c r="B304" s="1" t="s">
        <v>7</v>
      </c>
      <c r="C304" s="2">
        <v>0.44936342592592593</v>
      </c>
      <c r="D304">
        <v>1</v>
      </c>
    </row>
    <row r="305" spans="1:4" x14ac:dyDescent="0.25">
      <c r="A305" s="1" t="s">
        <v>311</v>
      </c>
      <c r="B305" s="1" t="s">
        <v>9</v>
      </c>
      <c r="C305" s="2">
        <v>0.44965277777777779</v>
      </c>
      <c r="D305">
        <v>1</v>
      </c>
    </row>
    <row r="306" spans="1:4" x14ac:dyDescent="0.25">
      <c r="A306" s="1" t="s">
        <v>312</v>
      </c>
      <c r="B306" s="1" t="s">
        <v>7</v>
      </c>
      <c r="C306" s="2">
        <v>0.44994212962962965</v>
      </c>
      <c r="D306">
        <v>1</v>
      </c>
    </row>
    <row r="307" spans="1:4" x14ac:dyDescent="0.25">
      <c r="A307" s="1" t="s">
        <v>313</v>
      </c>
      <c r="B307" s="1" t="s">
        <v>7</v>
      </c>
      <c r="C307" s="2">
        <v>0.45023148148148145</v>
      </c>
      <c r="D307">
        <v>1</v>
      </c>
    </row>
    <row r="308" spans="1:4" x14ac:dyDescent="0.25">
      <c r="A308" s="1" t="s">
        <v>314</v>
      </c>
      <c r="B308" s="1" t="s">
        <v>9</v>
      </c>
      <c r="C308" s="2">
        <v>0.45052083333333331</v>
      </c>
      <c r="D308">
        <v>1</v>
      </c>
    </row>
    <row r="309" spans="1:4" x14ac:dyDescent="0.25">
      <c r="A309" s="1" t="s">
        <v>315</v>
      </c>
      <c r="B309" s="1" t="s">
        <v>7</v>
      </c>
      <c r="C309" s="2">
        <v>0.45081018518518517</v>
      </c>
      <c r="D309">
        <v>1</v>
      </c>
    </row>
    <row r="310" spans="1:4" x14ac:dyDescent="0.25">
      <c r="A310" s="1" t="s">
        <v>316</v>
      </c>
      <c r="B310" s="1" t="s">
        <v>5</v>
      </c>
      <c r="C310" s="2">
        <v>0.4513888888888889</v>
      </c>
      <c r="D310">
        <v>2</v>
      </c>
    </row>
    <row r="311" spans="1:4" x14ac:dyDescent="0.25">
      <c r="A311" s="1" t="s">
        <v>317</v>
      </c>
      <c r="B311" s="1" t="s">
        <v>7</v>
      </c>
      <c r="C311" s="2">
        <v>0.45167824074074076</v>
      </c>
      <c r="D311">
        <v>1</v>
      </c>
    </row>
    <row r="312" spans="1:4" x14ac:dyDescent="0.25">
      <c r="A312" s="1" t="s">
        <v>318</v>
      </c>
      <c r="B312" s="1" t="s">
        <v>7</v>
      </c>
      <c r="C312" s="2">
        <v>0.45196759259259262</v>
      </c>
      <c r="D312">
        <v>1</v>
      </c>
    </row>
    <row r="313" spans="1:4" x14ac:dyDescent="0.25">
      <c r="A313" s="1" t="s">
        <v>319</v>
      </c>
      <c r="B313" s="1" t="s">
        <v>5</v>
      </c>
      <c r="C313" s="2">
        <v>0.45254629629629628</v>
      </c>
      <c r="D313">
        <v>2</v>
      </c>
    </row>
    <row r="314" spans="1:4" x14ac:dyDescent="0.25">
      <c r="A314" s="1" t="s">
        <v>320</v>
      </c>
      <c r="B314" s="1" t="s">
        <v>27</v>
      </c>
      <c r="C314" s="2">
        <v>0.45283564814814814</v>
      </c>
      <c r="D314">
        <v>1</v>
      </c>
    </row>
    <row r="315" spans="1:4" x14ac:dyDescent="0.25">
      <c r="A315" s="1" t="s">
        <v>321</v>
      </c>
      <c r="B315" s="1" t="s">
        <v>7</v>
      </c>
      <c r="C315" s="2">
        <v>0.453125</v>
      </c>
      <c r="D315">
        <v>1</v>
      </c>
    </row>
    <row r="316" spans="1:4" x14ac:dyDescent="0.25">
      <c r="A316" s="1" t="s">
        <v>322</v>
      </c>
      <c r="B316" s="1" t="s">
        <v>27</v>
      </c>
      <c r="C316" s="2">
        <v>0.45370370370370372</v>
      </c>
      <c r="D316">
        <v>2</v>
      </c>
    </row>
    <row r="317" spans="1:4" x14ac:dyDescent="0.25">
      <c r="A317" s="1" t="s">
        <v>323</v>
      </c>
      <c r="B317" s="1" t="s">
        <v>27</v>
      </c>
      <c r="C317" s="2">
        <v>0.45428240740740738</v>
      </c>
      <c r="D317">
        <v>2</v>
      </c>
    </row>
    <row r="318" spans="1:4" x14ac:dyDescent="0.25">
      <c r="A318" s="1" t="s">
        <v>324</v>
      </c>
      <c r="B318" s="1" t="s">
        <v>7</v>
      </c>
      <c r="C318" s="2">
        <v>0.45457175925925924</v>
      </c>
      <c r="D318">
        <v>1</v>
      </c>
    </row>
    <row r="319" spans="1:4" x14ac:dyDescent="0.25">
      <c r="A319" s="1" t="s">
        <v>325</v>
      </c>
      <c r="B319" s="1" t="s">
        <v>7</v>
      </c>
      <c r="C319" s="2">
        <v>0.4548611111111111</v>
      </c>
      <c r="D319">
        <v>1</v>
      </c>
    </row>
    <row r="320" spans="1:4" x14ac:dyDescent="0.25">
      <c r="A320" s="1" t="s">
        <v>326</v>
      </c>
      <c r="B320" s="1" t="s">
        <v>7</v>
      </c>
      <c r="C320" s="2">
        <v>0.45515046296296297</v>
      </c>
      <c r="D320">
        <v>1</v>
      </c>
    </row>
    <row r="321" spans="1:4" x14ac:dyDescent="0.25">
      <c r="A321" s="1" t="s">
        <v>327</v>
      </c>
      <c r="B321" s="1" t="s">
        <v>9</v>
      </c>
      <c r="C321" s="2">
        <v>0.45572916666666669</v>
      </c>
      <c r="D321">
        <v>2</v>
      </c>
    </row>
    <row r="322" spans="1:4" x14ac:dyDescent="0.25">
      <c r="A322" s="1" t="s">
        <v>328</v>
      </c>
      <c r="B322" s="1" t="s">
        <v>9</v>
      </c>
      <c r="C322" s="2">
        <v>0.45630787037037035</v>
      </c>
      <c r="D322">
        <v>2</v>
      </c>
    </row>
    <row r="323" spans="1:4" x14ac:dyDescent="0.25">
      <c r="A323" s="1" t="s">
        <v>329</v>
      </c>
      <c r="B323" s="1" t="s">
        <v>5</v>
      </c>
      <c r="C323" s="2">
        <v>0.45688657407407407</v>
      </c>
      <c r="D323">
        <v>2</v>
      </c>
    </row>
    <row r="324" spans="1:4" x14ac:dyDescent="0.25">
      <c r="A324" s="1" t="s">
        <v>330</v>
      </c>
      <c r="B324" s="1" t="s">
        <v>7</v>
      </c>
      <c r="C324" s="2">
        <v>0.45717592592592593</v>
      </c>
      <c r="D324">
        <v>1</v>
      </c>
    </row>
    <row r="325" spans="1:4" x14ac:dyDescent="0.25">
      <c r="A325" s="1" t="s">
        <v>331</v>
      </c>
      <c r="B325" s="1" t="s">
        <v>9</v>
      </c>
      <c r="C325" s="2">
        <v>0.45775462962962965</v>
      </c>
      <c r="D325">
        <v>2</v>
      </c>
    </row>
    <row r="326" spans="1:4" x14ac:dyDescent="0.25">
      <c r="A326" s="1" t="s">
        <v>332</v>
      </c>
      <c r="B326" s="1" t="s">
        <v>9</v>
      </c>
      <c r="C326" s="2">
        <v>0.45804398148148145</v>
      </c>
      <c r="D326">
        <v>1</v>
      </c>
    </row>
    <row r="327" spans="1:4" x14ac:dyDescent="0.25">
      <c r="A327" s="1" t="s">
        <v>333</v>
      </c>
      <c r="B327" s="1" t="s">
        <v>7</v>
      </c>
      <c r="C327" s="2">
        <v>0.45833333333333331</v>
      </c>
      <c r="D327">
        <v>1</v>
      </c>
    </row>
    <row r="328" spans="1:4" x14ac:dyDescent="0.25">
      <c r="A328" s="1" t="s">
        <v>334</v>
      </c>
      <c r="B328" s="1" t="s">
        <v>9</v>
      </c>
      <c r="C328" s="2">
        <v>0.45891203703703703</v>
      </c>
      <c r="D328">
        <v>2</v>
      </c>
    </row>
    <row r="329" spans="1:4" x14ac:dyDescent="0.25">
      <c r="A329" s="1" t="s">
        <v>335</v>
      </c>
      <c r="B329" s="1" t="s">
        <v>5</v>
      </c>
      <c r="C329" s="2">
        <v>0.4592013888888889</v>
      </c>
      <c r="D329">
        <v>1</v>
      </c>
    </row>
    <row r="330" spans="1:4" x14ac:dyDescent="0.25">
      <c r="A330" s="1" t="s">
        <v>336</v>
      </c>
      <c r="B330" s="1" t="s">
        <v>7</v>
      </c>
      <c r="C330" s="2">
        <v>0.45949074074074076</v>
      </c>
      <c r="D330">
        <v>1</v>
      </c>
    </row>
    <row r="331" spans="1:4" x14ac:dyDescent="0.25">
      <c r="A331" s="1" t="s">
        <v>337</v>
      </c>
      <c r="B331" s="1" t="s">
        <v>5</v>
      </c>
      <c r="C331" s="2">
        <v>0.46006944444444442</v>
      </c>
      <c r="D331">
        <v>2</v>
      </c>
    </row>
    <row r="332" spans="1:4" x14ac:dyDescent="0.25">
      <c r="A332" s="1" t="s">
        <v>338</v>
      </c>
      <c r="B332" s="1" t="s">
        <v>9</v>
      </c>
      <c r="C332" s="2">
        <v>0.46064814814814814</v>
      </c>
      <c r="D332">
        <v>2</v>
      </c>
    </row>
    <row r="333" spans="1:4" x14ac:dyDescent="0.25">
      <c r="A333" s="1" t="s">
        <v>339</v>
      </c>
      <c r="B333" s="1" t="s">
        <v>27</v>
      </c>
      <c r="C333" s="2">
        <v>0.46122685185185186</v>
      </c>
      <c r="D333">
        <v>2</v>
      </c>
    </row>
    <row r="334" spans="1:4" x14ac:dyDescent="0.25">
      <c r="A334" s="1" t="s">
        <v>340</v>
      </c>
      <c r="B334" s="1" t="s">
        <v>7</v>
      </c>
      <c r="C334" s="2">
        <v>0.46151620370370372</v>
      </c>
      <c r="D334">
        <v>1</v>
      </c>
    </row>
    <row r="335" spans="1:4" x14ac:dyDescent="0.25">
      <c r="A335" s="1" t="s">
        <v>341</v>
      </c>
      <c r="B335" s="1" t="s">
        <v>7</v>
      </c>
      <c r="C335" s="2">
        <v>0.46180555555555558</v>
      </c>
      <c r="D335">
        <v>1</v>
      </c>
    </row>
    <row r="336" spans="1:4" x14ac:dyDescent="0.25">
      <c r="A336" s="1" t="s">
        <v>342</v>
      </c>
      <c r="B336" s="1" t="s">
        <v>7</v>
      </c>
      <c r="C336" s="2">
        <v>0.46209490740740738</v>
      </c>
      <c r="D336">
        <v>1</v>
      </c>
    </row>
    <row r="337" spans="1:4" x14ac:dyDescent="0.25">
      <c r="A337" s="1" t="s">
        <v>343</v>
      </c>
      <c r="B337" s="1" t="s">
        <v>5</v>
      </c>
      <c r="C337" s="2">
        <v>0.4626736111111111</v>
      </c>
      <c r="D337">
        <v>2</v>
      </c>
    </row>
    <row r="338" spans="1:4" x14ac:dyDescent="0.25">
      <c r="A338" s="1" t="s">
        <v>344</v>
      </c>
      <c r="B338" s="1" t="s">
        <v>5</v>
      </c>
      <c r="C338" s="2">
        <v>0.46325231481481483</v>
      </c>
      <c r="D338">
        <v>2</v>
      </c>
    </row>
    <row r="339" spans="1:4" x14ac:dyDescent="0.25">
      <c r="A339" s="1" t="s">
        <v>345</v>
      </c>
      <c r="B339" s="1" t="s">
        <v>7</v>
      </c>
      <c r="C339" s="2">
        <v>0.46354166666666669</v>
      </c>
      <c r="D339">
        <v>1</v>
      </c>
    </row>
    <row r="340" spans="1:4" x14ac:dyDescent="0.25">
      <c r="A340" s="1" t="s">
        <v>346</v>
      </c>
      <c r="B340" s="1" t="s">
        <v>7</v>
      </c>
      <c r="C340" s="2">
        <v>0.46383101851851855</v>
      </c>
      <c r="D340">
        <v>1</v>
      </c>
    </row>
    <row r="341" spans="1:4" x14ac:dyDescent="0.25">
      <c r="A341" s="1" t="s">
        <v>347</v>
      </c>
      <c r="B341" s="1" t="s">
        <v>27</v>
      </c>
      <c r="C341" s="2">
        <v>0.46412037037037035</v>
      </c>
      <c r="D341">
        <v>1</v>
      </c>
    </row>
    <row r="342" spans="1:4" x14ac:dyDescent="0.25">
      <c r="A342" s="1" t="s">
        <v>348</v>
      </c>
      <c r="B342" s="1" t="s">
        <v>27</v>
      </c>
      <c r="C342" s="2">
        <v>0.46440972222222221</v>
      </c>
      <c r="D342">
        <v>1</v>
      </c>
    </row>
    <row r="343" spans="1:4" x14ac:dyDescent="0.25">
      <c r="A343" s="1" t="s">
        <v>349</v>
      </c>
      <c r="B343" s="1" t="s">
        <v>7</v>
      </c>
      <c r="C343" s="2">
        <v>0.46469907407407407</v>
      </c>
      <c r="D343">
        <v>1</v>
      </c>
    </row>
    <row r="344" spans="1:4" x14ac:dyDescent="0.25">
      <c r="A344" s="1" t="s">
        <v>350</v>
      </c>
      <c r="B344" s="1" t="s">
        <v>7</v>
      </c>
      <c r="C344" s="2">
        <v>0.46498842592592593</v>
      </c>
      <c r="D344">
        <v>1</v>
      </c>
    </row>
    <row r="345" spans="1:4" x14ac:dyDescent="0.25">
      <c r="A345" s="1" t="s">
        <v>351</v>
      </c>
      <c r="B345" s="1" t="s">
        <v>5</v>
      </c>
      <c r="C345" s="2">
        <v>0.46527777777777779</v>
      </c>
      <c r="D345">
        <v>1</v>
      </c>
    </row>
    <row r="346" spans="1:4" x14ac:dyDescent="0.25">
      <c r="A346" s="1" t="s">
        <v>352</v>
      </c>
      <c r="B346" s="1" t="s">
        <v>5</v>
      </c>
      <c r="C346" s="2">
        <v>0.46556712962962965</v>
      </c>
      <c r="D346">
        <v>1</v>
      </c>
    </row>
    <row r="347" spans="1:4" x14ac:dyDescent="0.25">
      <c r="A347" s="1" t="s">
        <v>353</v>
      </c>
      <c r="B347" s="1" t="s">
        <v>5</v>
      </c>
      <c r="C347" s="2">
        <v>0.46614583333333331</v>
      </c>
      <c r="D347">
        <v>2</v>
      </c>
    </row>
    <row r="348" spans="1:4" x14ac:dyDescent="0.25">
      <c r="A348" s="1" t="s">
        <v>354</v>
      </c>
      <c r="B348" s="1" t="s">
        <v>5</v>
      </c>
      <c r="C348" s="2">
        <v>0.46672453703703703</v>
      </c>
      <c r="D348">
        <v>2</v>
      </c>
    </row>
    <row r="349" spans="1:4" x14ac:dyDescent="0.25">
      <c r="A349" s="1" t="s">
        <v>355</v>
      </c>
      <c r="B349" s="1" t="s">
        <v>7</v>
      </c>
      <c r="C349" s="2">
        <v>0.4670138888888889</v>
      </c>
      <c r="D349">
        <v>1</v>
      </c>
    </row>
    <row r="350" spans="1:4" x14ac:dyDescent="0.25">
      <c r="A350" s="1" t="s">
        <v>356</v>
      </c>
      <c r="B350" s="1" t="s">
        <v>5</v>
      </c>
      <c r="C350" s="2">
        <v>0.46759259259259262</v>
      </c>
      <c r="D350">
        <v>2</v>
      </c>
    </row>
    <row r="351" spans="1:4" x14ac:dyDescent="0.25">
      <c r="A351" s="1" t="s">
        <v>357</v>
      </c>
      <c r="B351" s="1" t="s">
        <v>9</v>
      </c>
      <c r="C351" s="2">
        <v>0.46788194444444442</v>
      </c>
      <c r="D351">
        <v>1</v>
      </c>
    </row>
    <row r="352" spans="1:4" x14ac:dyDescent="0.25">
      <c r="A352" s="1" t="s">
        <v>358</v>
      </c>
      <c r="B352" s="1" t="s">
        <v>9</v>
      </c>
      <c r="C352" s="2">
        <v>0.46817129629629628</v>
      </c>
      <c r="D352">
        <v>1</v>
      </c>
    </row>
    <row r="353" spans="1:4" x14ac:dyDescent="0.25">
      <c r="A353" s="1" t="s">
        <v>359</v>
      </c>
      <c r="B353" s="1" t="s">
        <v>7</v>
      </c>
      <c r="C353" s="2">
        <v>0.46846064814814814</v>
      </c>
      <c r="D353">
        <v>1</v>
      </c>
    </row>
    <row r="354" spans="1:4" x14ac:dyDescent="0.25">
      <c r="A354" s="1" t="s">
        <v>360</v>
      </c>
      <c r="B354" s="1" t="s">
        <v>9</v>
      </c>
      <c r="C354" s="2">
        <v>0.46903935185185186</v>
      </c>
      <c r="D354">
        <v>2</v>
      </c>
    </row>
    <row r="355" spans="1:4" x14ac:dyDescent="0.25">
      <c r="A355" s="1" t="s">
        <v>361</v>
      </c>
      <c r="B355" s="1" t="s">
        <v>27</v>
      </c>
      <c r="C355" s="2">
        <v>0.46961805555555558</v>
      </c>
      <c r="D355">
        <v>2</v>
      </c>
    </row>
    <row r="356" spans="1:4" x14ac:dyDescent="0.25">
      <c r="A356" s="1" t="s">
        <v>362</v>
      </c>
      <c r="B356" s="1" t="s">
        <v>27</v>
      </c>
      <c r="C356" s="2">
        <v>0.47019675925925924</v>
      </c>
      <c r="D356">
        <v>2</v>
      </c>
    </row>
    <row r="357" spans="1:4" x14ac:dyDescent="0.25">
      <c r="A357" s="1" t="s">
        <v>363</v>
      </c>
      <c r="B357" s="1" t="s">
        <v>7</v>
      </c>
      <c r="C357" s="2">
        <v>0.4704861111111111</v>
      </c>
      <c r="D357">
        <v>1</v>
      </c>
    </row>
    <row r="358" spans="1:4" x14ac:dyDescent="0.25">
      <c r="A358" s="1" t="s">
        <v>364</v>
      </c>
      <c r="B358" s="1" t="s">
        <v>9</v>
      </c>
      <c r="C358" s="2">
        <v>0.47077546296296297</v>
      </c>
      <c r="D358">
        <v>1</v>
      </c>
    </row>
    <row r="359" spans="1:4" x14ac:dyDescent="0.25">
      <c r="A359" s="1" t="s">
        <v>365</v>
      </c>
      <c r="B359" s="1" t="s">
        <v>27</v>
      </c>
      <c r="C359" s="2">
        <v>0.47135416666666669</v>
      </c>
      <c r="D359">
        <v>2</v>
      </c>
    </row>
    <row r="360" spans="1:4" x14ac:dyDescent="0.25">
      <c r="A360" s="1" t="s">
        <v>366</v>
      </c>
      <c r="B360" s="1" t="s">
        <v>27</v>
      </c>
      <c r="C360" s="2">
        <v>0.47193287037037035</v>
      </c>
      <c r="D360">
        <v>2</v>
      </c>
    </row>
    <row r="361" spans="1:4" x14ac:dyDescent="0.25">
      <c r="A361" s="1" t="s">
        <v>367</v>
      </c>
      <c r="B361" s="1" t="s">
        <v>7</v>
      </c>
      <c r="C361" s="2">
        <v>0.47222222222222221</v>
      </c>
      <c r="D361">
        <v>1</v>
      </c>
    </row>
    <row r="362" spans="1:4" x14ac:dyDescent="0.25">
      <c r="A362" s="1" t="s">
        <v>368</v>
      </c>
      <c r="B362" s="1" t="s">
        <v>5</v>
      </c>
      <c r="C362" s="2">
        <v>0.47280092592592593</v>
      </c>
      <c r="D362">
        <v>2</v>
      </c>
    </row>
    <row r="363" spans="1:4" x14ac:dyDescent="0.25">
      <c r="A363" s="1" t="s">
        <v>369</v>
      </c>
      <c r="B363" s="1" t="s">
        <v>7</v>
      </c>
      <c r="C363" s="2">
        <v>0.47309027777777779</v>
      </c>
      <c r="D363">
        <v>1</v>
      </c>
    </row>
    <row r="364" spans="1:4" x14ac:dyDescent="0.25">
      <c r="A364" s="1" t="s">
        <v>370</v>
      </c>
      <c r="B364" s="1" t="s">
        <v>9</v>
      </c>
      <c r="C364" s="2">
        <v>0.47337962962962965</v>
      </c>
      <c r="D364">
        <v>1</v>
      </c>
    </row>
    <row r="365" spans="1:4" x14ac:dyDescent="0.25">
      <c r="A365" s="1" t="s">
        <v>371</v>
      </c>
      <c r="B365" s="1" t="s">
        <v>9</v>
      </c>
      <c r="C365" s="2">
        <v>0.47395833333333331</v>
      </c>
      <c r="D365">
        <v>2</v>
      </c>
    </row>
    <row r="366" spans="1:4" x14ac:dyDescent="0.25">
      <c r="A366" s="1" t="s">
        <v>372</v>
      </c>
      <c r="B366" s="1" t="s">
        <v>5</v>
      </c>
      <c r="C366" s="2">
        <v>0.47424768518518517</v>
      </c>
      <c r="D366">
        <v>1</v>
      </c>
    </row>
    <row r="367" spans="1:4" x14ac:dyDescent="0.25">
      <c r="A367" s="1" t="s">
        <v>373</v>
      </c>
      <c r="B367" s="1" t="s">
        <v>7</v>
      </c>
      <c r="C367" s="2">
        <v>0.47453703703703703</v>
      </c>
      <c r="D367">
        <v>1</v>
      </c>
    </row>
    <row r="368" spans="1:4" x14ac:dyDescent="0.25">
      <c r="A368" s="1" t="s">
        <v>374</v>
      </c>
      <c r="B368" s="1" t="s">
        <v>27</v>
      </c>
      <c r="C368" s="2">
        <v>0.47511574074074076</v>
      </c>
      <c r="D368">
        <v>2</v>
      </c>
    </row>
    <row r="369" spans="1:4" x14ac:dyDescent="0.25">
      <c r="A369" s="1" t="s">
        <v>375</v>
      </c>
      <c r="B369" s="1" t="s">
        <v>7</v>
      </c>
      <c r="C369" s="2">
        <v>0.47540509259259262</v>
      </c>
      <c r="D369">
        <v>1</v>
      </c>
    </row>
    <row r="370" spans="1:4" x14ac:dyDescent="0.25">
      <c r="A370" s="1" t="s">
        <v>376</v>
      </c>
      <c r="B370" s="1" t="s">
        <v>9</v>
      </c>
      <c r="C370" s="2">
        <v>0.47569444444444442</v>
      </c>
      <c r="D370">
        <v>1</v>
      </c>
    </row>
    <row r="371" spans="1:4" x14ac:dyDescent="0.25">
      <c r="A371" s="1" t="s">
        <v>377</v>
      </c>
      <c r="B371" s="1" t="s">
        <v>7</v>
      </c>
      <c r="C371" s="2">
        <v>0.47598379629629628</v>
      </c>
      <c r="D371">
        <v>1</v>
      </c>
    </row>
    <row r="372" spans="1:4" x14ac:dyDescent="0.25">
      <c r="A372" s="1" t="s">
        <v>378</v>
      </c>
      <c r="B372" s="1" t="s">
        <v>7</v>
      </c>
      <c r="C372" s="2">
        <v>0.47627314814814814</v>
      </c>
      <c r="D372">
        <v>1</v>
      </c>
    </row>
    <row r="373" spans="1:4" x14ac:dyDescent="0.25">
      <c r="A373" s="1" t="s">
        <v>379</v>
      </c>
      <c r="B373" s="1" t="s">
        <v>5</v>
      </c>
      <c r="C373" s="2">
        <v>0.47685185185185186</v>
      </c>
      <c r="D373">
        <v>2</v>
      </c>
    </row>
    <row r="374" spans="1:4" x14ac:dyDescent="0.25">
      <c r="A374" s="1" t="s">
        <v>380</v>
      </c>
      <c r="B374" s="1" t="s">
        <v>9</v>
      </c>
      <c r="C374" s="2">
        <v>0.47743055555555558</v>
      </c>
      <c r="D374">
        <v>2</v>
      </c>
    </row>
    <row r="375" spans="1:4" x14ac:dyDescent="0.25">
      <c r="A375" s="1" t="s">
        <v>381</v>
      </c>
      <c r="B375" s="1" t="s">
        <v>9</v>
      </c>
      <c r="C375" s="2">
        <v>0.47771990740740738</v>
      </c>
      <c r="D375">
        <v>1</v>
      </c>
    </row>
    <row r="376" spans="1:4" x14ac:dyDescent="0.25">
      <c r="A376" s="1" t="s">
        <v>382</v>
      </c>
      <c r="B376" s="1" t="s">
        <v>9</v>
      </c>
      <c r="C376" s="2">
        <v>0.4782986111111111</v>
      </c>
      <c r="D376">
        <v>2</v>
      </c>
    </row>
    <row r="377" spans="1:4" x14ac:dyDescent="0.25">
      <c r="A377" s="1" t="s">
        <v>383</v>
      </c>
      <c r="B377" s="1" t="s">
        <v>5</v>
      </c>
      <c r="C377" s="2">
        <v>0.47887731481481483</v>
      </c>
      <c r="D377">
        <v>2</v>
      </c>
    </row>
    <row r="378" spans="1:4" x14ac:dyDescent="0.25">
      <c r="A378" s="1" t="s">
        <v>384</v>
      </c>
      <c r="B378" s="1" t="s">
        <v>9</v>
      </c>
      <c r="C378" s="2">
        <v>0.47916666666666669</v>
      </c>
      <c r="D378">
        <v>1</v>
      </c>
    </row>
    <row r="379" spans="1:4" x14ac:dyDescent="0.25">
      <c r="A379" s="1" t="s">
        <v>385</v>
      </c>
      <c r="B379" s="1" t="s">
        <v>27</v>
      </c>
      <c r="C379" s="2">
        <v>0.47974537037037035</v>
      </c>
      <c r="D379">
        <v>2</v>
      </c>
    </row>
    <row r="380" spans="1:4" x14ac:dyDescent="0.25">
      <c r="A380" s="1" t="s">
        <v>386</v>
      </c>
      <c r="B380" s="1" t="s">
        <v>7</v>
      </c>
      <c r="C380" s="2">
        <v>0.48003472222222221</v>
      </c>
      <c r="D380">
        <v>1</v>
      </c>
    </row>
    <row r="381" spans="1:4" x14ac:dyDescent="0.25">
      <c r="A381" s="1" t="s">
        <v>387</v>
      </c>
      <c r="B381" s="1" t="s">
        <v>5</v>
      </c>
      <c r="C381" s="2">
        <v>0.48032407407407407</v>
      </c>
      <c r="D381">
        <v>1</v>
      </c>
    </row>
    <row r="382" spans="1:4" x14ac:dyDescent="0.25">
      <c r="A382" s="1" t="s">
        <v>388</v>
      </c>
      <c r="B382" s="1" t="s">
        <v>27</v>
      </c>
      <c r="C382" s="2">
        <v>0.48090277777777779</v>
      </c>
      <c r="D382">
        <v>2</v>
      </c>
    </row>
    <row r="383" spans="1:4" x14ac:dyDescent="0.25">
      <c r="A383" s="1" t="s">
        <v>389</v>
      </c>
      <c r="B383" s="1" t="s">
        <v>7</v>
      </c>
      <c r="C383" s="2">
        <v>0.48119212962962965</v>
      </c>
      <c r="D383">
        <v>1</v>
      </c>
    </row>
    <row r="384" spans="1:4" x14ac:dyDescent="0.25">
      <c r="A384" s="1" t="s">
        <v>390</v>
      </c>
      <c r="B384" s="1" t="s">
        <v>5</v>
      </c>
      <c r="C384" s="2">
        <v>0.48177083333333331</v>
      </c>
      <c r="D384">
        <v>2</v>
      </c>
    </row>
    <row r="385" spans="1:4" x14ac:dyDescent="0.25">
      <c r="A385" s="1" t="s">
        <v>391</v>
      </c>
      <c r="B385" s="1" t="s">
        <v>7</v>
      </c>
      <c r="C385" s="2">
        <v>0.48206018518518517</v>
      </c>
      <c r="D385">
        <v>1</v>
      </c>
    </row>
    <row r="386" spans="1:4" x14ac:dyDescent="0.25">
      <c r="A386" s="1" t="s">
        <v>392</v>
      </c>
      <c r="B386" s="1" t="s">
        <v>5</v>
      </c>
      <c r="C386" s="2">
        <v>0.4826388888888889</v>
      </c>
      <c r="D386">
        <v>2</v>
      </c>
    </row>
    <row r="387" spans="1:4" x14ac:dyDescent="0.25">
      <c r="A387" s="1" t="s">
        <v>393</v>
      </c>
      <c r="B387" s="1" t="s">
        <v>5</v>
      </c>
      <c r="C387" s="2">
        <v>0.48321759259259262</v>
      </c>
      <c r="D387">
        <v>2</v>
      </c>
    </row>
    <row r="388" spans="1:4" x14ac:dyDescent="0.25">
      <c r="A388" s="1" t="s">
        <v>394</v>
      </c>
      <c r="B388" s="1" t="s">
        <v>7</v>
      </c>
      <c r="C388" s="2">
        <v>0.48350694444444442</v>
      </c>
      <c r="D388">
        <v>1</v>
      </c>
    </row>
    <row r="389" spans="1:4" x14ac:dyDescent="0.25">
      <c r="A389" s="1" t="s">
        <v>395</v>
      </c>
      <c r="B389" s="1" t="s">
        <v>5</v>
      </c>
      <c r="C389" s="2">
        <v>0.48379629629629628</v>
      </c>
      <c r="D389">
        <v>1</v>
      </c>
    </row>
    <row r="390" spans="1:4" x14ac:dyDescent="0.25">
      <c r="A390" s="1" t="s">
        <v>396</v>
      </c>
      <c r="B390" s="1" t="s">
        <v>5</v>
      </c>
      <c r="C390" s="2">
        <v>0.48408564814814814</v>
      </c>
      <c r="D390">
        <v>1</v>
      </c>
    </row>
    <row r="391" spans="1:4" x14ac:dyDescent="0.25">
      <c r="A391" s="1" t="s">
        <v>397</v>
      </c>
      <c r="B391" s="1" t="s">
        <v>7</v>
      </c>
      <c r="C391" s="2">
        <v>0.484375</v>
      </c>
      <c r="D391">
        <v>1</v>
      </c>
    </row>
    <row r="392" spans="1:4" x14ac:dyDescent="0.25">
      <c r="A392" s="1" t="s">
        <v>398</v>
      </c>
      <c r="B392" s="1" t="s">
        <v>7</v>
      </c>
      <c r="C392" s="2">
        <v>0.48466435185185186</v>
      </c>
      <c r="D392">
        <v>1</v>
      </c>
    </row>
    <row r="393" spans="1:4" x14ac:dyDescent="0.25">
      <c r="A393" s="1" t="s">
        <v>399</v>
      </c>
      <c r="B393" s="1" t="s">
        <v>9</v>
      </c>
      <c r="C393" s="2">
        <v>0.48524305555555558</v>
      </c>
      <c r="D393">
        <v>2</v>
      </c>
    </row>
    <row r="394" spans="1:4" x14ac:dyDescent="0.25">
      <c r="A394" s="1" t="s">
        <v>400</v>
      </c>
      <c r="B394" s="1" t="s">
        <v>5</v>
      </c>
      <c r="C394" s="2">
        <v>0.48553240740740738</v>
      </c>
      <c r="D394">
        <v>1</v>
      </c>
    </row>
    <row r="395" spans="1:4" x14ac:dyDescent="0.25">
      <c r="A395" s="1" t="s">
        <v>401</v>
      </c>
      <c r="B395" s="1" t="s">
        <v>5</v>
      </c>
      <c r="C395" s="2">
        <v>0.48582175925925924</v>
      </c>
      <c r="D395">
        <v>1</v>
      </c>
    </row>
    <row r="396" spans="1:4" x14ac:dyDescent="0.25">
      <c r="A396" s="1" t="s">
        <v>402</v>
      </c>
      <c r="B396" s="1" t="s">
        <v>7</v>
      </c>
      <c r="C396" s="2">
        <v>0.4861111111111111</v>
      </c>
      <c r="D396">
        <v>1</v>
      </c>
    </row>
    <row r="397" spans="1:4" x14ac:dyDescent="0.25">
      <c r="A397" s="1" t="s">
        <v>403</v>
      </c>
      <c r="B397" s="1" t="s">
        <v>9</v>
      </c>
      <c r="C397" s="2">
        <v>0.48668981481481483</v>
      </c>
      <c r="D397">
        <v>2</v>
      </c>
    </row>
    <row r="398" spans="1:4" x14ac:dyDescent="0.25">
      <c r="A398" s="1" t="s">
        <v>404</v>
      </c>
      <c r="B398" s="1" t="s">
        <v>9</v>
      </c>
      <c r="C398" s="2">
        <v>0.48697916666666669</v>
      </c>
      <c r="D398">
        <v>1</v>
      </c>
    </row>
    <row r="399" spans="1:4" x14ac:dyDescent="0.25">
      <c r="A399" s="1" t="s">
        <v>405</v>
      </c>
      <c r="B399" s="1" t="s">
        <v>9</v>
      </c>
      <c r="C399" s="2">
        <v>0.48726851851851855</v>
      </c>
      <c r="D399">
        <v>1</v>
      </c>
    </row>
    <row r="400" spans="1:4" x14ac:dyDescent="0.25">
      <c r="A400" s="1" t="s">
        <v>406</v>
      </c>
      <c r="B400" s="1" t="s">
        <v>5</v>
      </c>
      <c r="C400" s="2">
        <v>0.48784722222222221</v>
      </c>
      <c r="D400">
        <v>2</v>
      </c>
    </row>
    <row r="401" spans="1:4" x14ac:dyDescent="0.25">
      <c r="A401" s="1" t="s">
        <v>407</v>
      </c>
      <c r="B401" s="1" t="s">
        <v>5</v>
      </c>
      <c r="C401" s="2">
        <v>0.48813657407407407</v>
      </c>
      <c r="D401">
        <v>1</v>
      </c>
    </row>
    <row r="402" spans="1:4" x14ac:dyDescent="0.25">
      <c r="A402" s="1" t="s">
        <v>408</v>
      </c>
      <c r="B402" s="1" t="s">
        <v>7</v>
      </c>
      <c r="C402" s="2">
        <v>0.48842592592592593</v>
      </c>
      <c r="D402">
        <v>1</v>
      </c>
    </row>
    <row r="403" spans="1:4" x14ac:dyDescent="0.25">
      <c r="A403" s="1" t="s">
        <v>409</v>
      </c>
      <c r="B403" s="1" t="s">
        <v>7</v>
      </c>
      <c r="C403" s="2">
        <v>0.48871527777777779</v>
      </c>
      <c r="D403">
        <v>1</v>
      </c>
    </row>
    <row r="404" spans="1:4" x14ac:dyDescent="0.25">
      <c r="A404" s="1" t="s">
        <v>410</v>
      </c>
      <c r="B404" s="1" t="s">
        <v>5</v>
      </c>
      <c r="C404" s="2">
        <v>0.48929398148148145</v>
      </c>
      <c r="D404">
        <v>2</v>
      </c>
    </row>
    <row r="405" spans="1:4" x14ac:dyDescent="0.25">
      <c r="A405" s="1" t="s">
        <v>411</v>
      </c>
      <c r="B405" s="1" t="s">
        <v>7</v>
      </c>
      <c r="C405" s="2">
        <v>0.48958333333333331</v>
      </c>
      <c r="D405">
        <v>1</v>
      </c>
    </row>
    <row r="406" spans="1:4" x14ac:dyDescent="0.25">
      <c r="A406" s="1" t="s">
        <v>412</v>
      </c>
      <c r="B406" s="1" t="s">
        <v>5</v>
      </c>
      <c r="C406" s="2">
        <v>0.48987268518518517</v>
      </c>
      <c r="D406">
        <v>1</v>
      </c>
    </row>
    <row r="407" spans="1:4" x14ac:dyDescent="0.25">
      <c r="A407" s="1" t="s">
        <v>413</v>
      </c>
      <c r="B407" s="1" t="s">
        <v>7</v>
      </c>
      <c r="C407" s="2">
        <v>0.49016203703703703</v>
      </c>
      <c r="D407">
        <v>1</v>
      </c>
    </row>
    <row r="408" spans="1:4" x14ac:dyDescent="0.25">
      <c r="A408" s="1" t="s">
        <v>414</v>
      </c>
      <c r="B408" s="1" t="s">
        <v>9</v>
      </c>
      <c r="C408" s="2">
        <v>0.4904513888888889</v>
      </c>
      <c r="D408">
        <v>1</v>
      </c>
    </row>
    <row r="409" spans="1:4" x14ac:dyDescent="0.25">
      <c r="A409" s="1" t="s">
        <v>415</v>
      </c>
      <c r="B409" s="1" t="s">
        <v>5</v>
      </c>
      <c r="C409" s="2">
        <v>0.49074074074074076</v>
      </c>
      <c r="D409">
        <v>1</v>
      </c>
    </row>
    <row r="410" spans="1:4" x14ac:dyDescent="0.25">
      <c r="A410" s="1" t="s">
        <v>416</v>
      </c>
      <c r="B410" s="1" t="s">
        <v>9</v>
      </c>
      <c r="C410" s="2">
        <v>0.49131944444444442</v>
      </c>
      <c r="D410">
        <v>2</v>
      </c>
    </row>
    <row r="411" spans="1:4" x14ac:dyDescent="0.25">
      <c r="A411" s="1" t="s">
        <v>417</v>
      </c>
      <c r="B411" s="1" t="s">
        <v>9</v>
      </c>
      <c r="C411" s="2">
        <v>0.49160879629629628</v>
      </c>
      <c r="D411">
        <v>1</v>
      </c>
    </row>
    <row r="412" spans="1:4" x14ac:dyDescent="0.25">
      <c r="A412" s="1" t="s">
        <v>418</v>
      </c>
      <c r="B412" s="1" t="s">
        <v>7</v>
      </c>
      <c r="C412" s="2">
        <v>0.49189814814814814</v>
      </c>
      <c r="D412">
        <v>1</v>
      </c>
    </row>
    <row r="413" spans="1:4" x14ac:dyDescent="0.25">
      <c r="A413" s="1" t="s">
        <v>419</v>
      </c>
      <c r="B413" s="1" t="s">
        <v>7</v>
      </c>
      <c r="C413" s="2">
        <v>0.4921875</v>
      </c>
      <c r="D413">
        <v>1</v>
      </c>
    </row>
    <row r="414" spans="1:4" x14ac:dyDescent="0.25">
      <c r="A414" s="1" t="s">
        <v>420</v>
      </c>
      <c r="B414" s="1" t="s">
        <v>9</v>
      </c>
      <c r="C414" s="2">
        <v>0.49276620370370372</v>
      </c>
      <c r="D414">
        <v>2</v>
      </c>
    </row>
    <row r="415" spans="1:4" x14ac:dyDescent="0.25">
      <c r="A415" s="1" t="s">
        <v>421</v>
      </c>
      <c r="B415" s="1" t="s">
        <v>9</v>
      </c>
      <c r="C415" s="2">
        <v>0.49305555555555558</v>
      </c>
      <c r="D415">
        <v>1</v>
      </c>
    </row>
    <row r="416" spans="1:4" x14ac:dyDescent="0.25">
      <c r="A416" s="1" t="s">
        <v>422</v>
      </c>
      <c r="B416" s="1" t="s">
        <v>9</v>
      </c>
      <c r="C416" s="2">
        <v>0.49363425925925924</v>
      </c>
      <c r="D416">
        <v>2</v>
      </c>
    </row>
    <row r="417" spans="1:4" x14ac:dyDescent="0.25">
      <c r="A417" s="1" t="s">
        <v>423</v>
      </c>
      <c r="B417" s="1" t="s">
        <v>5</v>
      </c>
      <c r="C417" s="2">
        <v>0.49421296296296297</v>
      </c>
      <c r="D417">
        <v>2</v>
      </c>
    </row>
    <row r="418" spans="1:4" x14ac:dyDescent="0.25">
      <c r="A418" s="1" t="s">
        <v>424</v>
      </c>
      <c r="B418" s="1" t="s">
        <v>7</v>
      </c>
      <c r="C418" s="2">
        <v>0.49450231481481483</v>
      </c>
      <c r="D418">
        <v>1</v>
      </c>
    </row>
    <row r="419" spans="1:4" x14ac:dyDescent="0.25">
      <c r="A419" s="1" t="s">
        <v>425</v>
      </c>
      <c r="B419" s="1" t="s">
        <v>5</v>
      </c>
      <c r="C419" s="2">
        <v>0.49479166666666669</v>
      </c>
      <c r="D419">
        <v>1</v>
      </c>
    </row>
    <row r="420" spans="1:4" x14ac:dyDescent="0.25">
      <c r="A420" s="1" t="s">
        <v>426</v>
      </c>
      <c r="B420" s="1" t="s">
        <v>27</v>
      </c>
      <c r="C420" s="2">
        <v>0.49537037037037035</v>
      </c>
      <c r="D420">
        <v>2</v>
      </c>
    </row>
    <row r="421" spans="1:4" x14ac:dyDescent="0.25">
      <c r="A421" s="1" t="s">
        <v>427</v>
      </c>
      <c r="B421" s="1" t="s">
        <v>7</v>
      </c>
      <c r="C421" s="2">
        <v>0.49565972222222221</v>
      </c>
      <c r="D421">
        <v>1</v>
      </c>
    </row>
    <row r="422" spans="1:4" x14ac:dyDescent="0.25">
      <c r="A422" s="1" t="s">
        <v>428</v>
      </c>
      <c r="B422" s="1" t="s">
        <v>5</v>
      </c>
      <c r="C422" s="2">
        <v>0.49623842592592593</v>
      </c>
      <c r="D422">
        <v>2</v>
      </c>
    </row>
    <row r="423" spans="1:4" x14ac:dyDescent="0.25">
      <c r="A423" s="1" t="s">
        <v>429</v>
      </c>
      <c r="B423" s="1" t="s">
        <v>7</v>
      </c>
      <c r="C423" s="2">
        <v>0.49652777777777779</v>
      </c>
      <c r="D423">
        <v>1</v>
      </c>
    </row>
    <row r="424" spans="1:4" x14ac:dyDescent="0.25">
      <c r="A424" s="1" t="s">
        <v>430</v>
      </c>
      <c r="B424" s="1" t="s">
        <v>9</v>
      </c>
      <c r="C424" s="2">
        <v>0.49681712962962965</v>
      </c>
      <c r="D424">
        <v>1</v>
      </c>
    </row>
    <row r="425" spans="1:4" x14ac:dyDescent="0.25">
      <c r="A425" s="1" t="s">
        <v>431</v>
      </c>
      <c r="B425" s="1" t="s">
        <v>7</v>
      </c>
      <c r="C425" s="2">
        <v>0.49710648148148145</v>
      </c>
      <c r="D425">
        <v>1</v>
      </c>
    </row>
    <row r="426" spans="1:4" x14ac:dyDescent="0.25">
      <c r="A426" s="1" t="s">
        <v>432</v>
      </c>
      <c r="B426" s="1" t="s">
        <v>7</v>
      </c>
      <c r="C426" s="2">
        <v>0.49739583333333331</v>
      </c>
      <c r="D426">
        <v>1</v>
      </c>
    </row>
    <row r="427" spans="1:4" x14ac:dyDescent="0.25">
      <c r="A427" s="1" t="s">
        <v>433</v>
      </c>
      <c r="B427" s="1" t="s">
        <v>9</v>
      </c>
      <c r="C427" s="2">
        <v>0.49768518518518517</v>
      </c>
      <c r="D427">
        <v>1</v>
      </c>
    </row>
    <row r="428" spans="1:4" x14ac:dyDescent="0.25">
      <c r="A428" s="1" t="s">
        <v>434</v>
      </c>
      <c r="B428" s="1" t="s">
        <v>7</v>
      </c>
      <c r="C428" s="2">
        <v>0.49797453703703703</v>
      </c>
      <c r="D428">
        <v>1</v>
      </c>
    </row>
    <row r="429" spans="1:4" x14ac:dyDescent="0.25">
      <c r="A429" s="1" t="s">
        <v>435</v>
      </c>
      <c r="B429" s="1" t="s">
        <v>5</v>
      </c>
      <c r="C429" s="2">
        <v>0.4982638888888889</v>
      </c>
      <c r="D429">
        <v>1</v>
      </c>
    </row>
    <row r="430" spans="1:4" x14ac:dyDescent="0.25">
      <c r="A430" s="1" t="s">
        <v>436</v>
      </c>
      <c r="B430" s="1" t="s">
        <v>7</v>
      </c>
      <c r="C430" s="2">
        <v>0.49855324074074076</v>
      </c>
      <c r="D430">
        <v>1</v>
      </c>
    </row>
    <row r="431" spans="1:4" x14ac:dyDescent="0.25">
      <c r="A431" s="1" t="s">
        <v>437</v>
      </c>
      <c r="B431" s="1" t="s">
        <v>7</v>
      </c>
      <c r="C431" s="2">
        <v>0.49884259259259262</v>
      </c>
      <c r="D431">
        <v>1</v>
      </c>
    </row>
    <row r="432" spans="1:4" x14ac:dyDescent="0.25">
      <c r="A432" s="1" t="s">
        <v>438</v>
      </c>
      <c r="B432" s="1" t="s">
        <v>9</v>
      </c>
      <c r="C432" s="2">
        <v>0.49942129629629628</v>
      </c>
      <c r="D432">
        <v>2</v>
      </c>
    </row>
    <row r="433" spans="1:4" x14ac:dyDescent="0.25">
      <c r="A433" s="1" t="s">
        <v>439</v>
      </c>
      <c r="B433" s="1" t="s">
        <v>7</v>
      </c>
      <c r="C433" s="2">
        <v>0.49971064814814814</v>
      </c>
      <c r="D433">
        <v>1</v>
      </c>
    </row>
    <row r="434" spans="1:4" x14ac:dyDescent="0.25">
      <c r="A434" s="1" t="s">
        <v>440</v>
      </c>
      <c r="B434" s="1" t="s">
        <v>9</v>
      </c>
      <c r="C434" s="2">
        <v>0.50028935185185186</v>
      </c>
      <c r="D434">
        <v>2</v>
      </c>
    </row>
    <row r="435" spans="1:4" x14ac:dyDescent="0.25">
      <c r="A435" s="1" t="s">
        <v>441</v>
      </c>
      <c r="B435" s="1" t="s">
        <v>5</v>
      </c>
      <c r="C435" s="2">
        <v>0.50057870370370372</v>
      </c>
      <c r="D435">
        <v>1</v>
      </c>
    </row>
    <row r="436" spans="1:4" x14ac:dyDescent="0.25">
      <c r="A436" s="1" t="s">
        <v>442</v>
      </c>
      <c r="B436" s="1" t="s">
        <v>7</v>
      </c>
      <c r="C436" s="2">
        <v>0.50086805555555558</v>
      </c>
      <c r="D436">
        <v>1</v>
      </c>
    </row>
    <row r="437" spans="1:4" x14ac:dyDescent="0.25">
      <c r="A437" s="1" t="s">
        <v>443</v>
      </c>
      <c r="B437" s="1" t="s">
        <v>5</v>
      </c>
      <c r="C437" s="2">
        <v>0.50115740740740744</v>
      </c>
      <c r="D437">
        <v>1</v>
      </c>
    </row>
    <row r="438" spans="1:4" x14ac:dyDescent="0.25">
      <c r="A438" s="1" t="s">
        <v>444</v>
      </c>
      <c r="B438" s="1" t="s">
        <v>9</v>
      </c>
      <c r="C438" s="2">
        <v>0.5014467592592593</v>
      </c>
      <c r="D438">
        <v>1</v>
      </c>
    </row>
    <row r="439" spans="1:4" x14ac:dyDescent="0.25">
      <c r="A439" s="1" t="s">
        <v>445</v>
      </c>
      <c r="B439" s="1" t="s">
        <v>27</v>
      </c>
      <c r="C439" s="2">
        <v>0.50173611111111116</v>
      </c>
      <c r="D439">
        <v>1</v>
      </c>
    </row>
    <row r="440" spans="1:4" x14ac:dyDescent="0.25">
      <c r="A440" s="1" t="s">
        <v>446</v>
      </c>
      <c r="B440" s="1" t="s">
        <v>7</v>
      </c>
      <c r="C440" s="2">
        <v>0.50202546296296291</v>
      </c>
      <c r="D440">
        <v>1</v>
      </c>
    </row>
    <row r="441" spans="1:4" x14ac:dyDescent="0.25">
      <c r="A441" s="1" t="s">
        <v>447</v>
      </c>
      <c r="B441" s="1" t="s">
        <v>9</v>
      </c>
      <c r="C441" s="2">
        <v>0.50260416666666663</v>
      </c>
      <c r="D441">
        <v>2</v>
      </c>
    </row>
    <row r="442" spans="1:4" x14ac:dyDescent="0.25">
      <c r="A442" s="1" t="s">
        <v>448</v>
      </c>
      <c r="B442" s="1" t="s">
        <v>7</v>
      </c>
      <c r="C442" s="2">
        <v>0.50289351851851849</v>
      </c>
      <c r="D442">
        <v>1</v>
      </c>
    </row>
    <row r="443" spans="1:4" x14ac:dyDescent="0.25">
      <c r="A443" s="1" t="s">
        <v>449</v>
      </c>
      <c r="B443" s="1" t="s">
        <v>5</v>
      </c>
      <c r="C443" s="2">
        <v>0.50347222222222221</v>
      </c>
      <c r="D443">
        <v>2</v>
      </c>
    </row>
    <row r="444" spans="1:4" x14ac:dyDescent="0.25">
      <c r="A444" s="1" t="s">
        <v>450</v>
      </c>
      <c r="B444" s="1" t="s">
        <v>7</v>
      </c>
      <c r="C444" s="2">
        <v>0.50376157407407407</v>
      </c>
      <c r="D444">
        <v>1</v>
      </c>
    </row>
    <row r="445" spans="1:4" x14ac:dyDescent="0.25">
      <c r="A445" s="1" t="s">
        <v>451</v>
      </c>
      <c r="B445" s="1" t="s">
        <v>9</v>
      </c>
      <c r="C445" s="2">
        <v>0.50405092592592593</v>
      </c>
      <c r="D445">
        <v>1</v>
      </c>
    </row>
    <row r="446" spans="1:4" x14ac:dyDescent="0.25">
      <c r="A446" s="1" t="s">
        <v>452</v>
      </c>
      <c r="B446" s="1" t="s">
        <v>27</v>
      </c>
      <c r="C446" s="2">
        <v>0.50434027777777779</v>
      </c>
      <c r="D446">
        <v>1</v>
      </c>
    </row>
    <row r="447" spans="1:4" x14ac:dyDescent="0.25">
      <c r="A447" s="1" t="s">
        <v>453</v>
      </c>
      <c r="B447" s="1" t="s">
        <v>7</v>
      </c>
      <c r="C447" s="2">
        <v>0.50462962962962965</v>
      </c>
      <c r="D447">
        <v>1</v>
      </c>
    </row>
    <row r="448" spans="1:4" x14ac:dyDescent="0.25">
      <c r="A448" s="1" t="s">
        <v>454</v>
      </c>
      <c r="B448" s="1" t="s">
        <v>7</v>
      </c>
      <c r="C448" s="2">
        <v>0.50491898148148151</v>
      </c>
      <c r="D448">
        <v>1</v>
      </c>
    </row>
    <row r="449" spans="1:4" x14ac:dyDescent="0.25">
      <c r="A449" s="1" t="s">
        <v>455</v>
      </c>
      <c r="B449" s="1" t="s">
        <v>9</v>
      </c>
      <c r="C449" s="2">
        <v>0.50549768518518523</v>
      </c>
      <c r="D449">
        <v>2</v>
      </c>
    </row>
    <row r="450" spans="1:4" x14ac:dyDescent="0.25">
      <c r="A450" s="1" t="s">
        <v>456</v>
      </c>
      <c r="B450" s="1" t="s">
        <v>9</v>
      </c>
      <c r="C450" s="2">
        <v>0.50607638888888884</v>
      </c>
      <c r="D450">
        <v>2</v>
      </c>
    </row>
    <row r="451" spans="1:4" x14ac:dyDescent="0.25">
      <c r="A451" s="1" t="s">
        <v>457</v>
      </c>
      <c r="B451" s="1" t="s">
        <v>5</v>
      </c>
      <c r="C451" s="2">
        <v>0.5063657407407407</v>
      </c>
      <c r="D451">
        <v>1</v>
      </c>
    </row>
    <row r="452" spans="1:4" x14ac:dyDescent="0.25">
      <c r="A452" s="1" t="s">
        <v>458</v>
      </c>
      <c r="B452" s="1" t="s">
        <v>7</v>
      </c>
      <c r="C452" s="2">
        <v>0.50665509259259256</v>
      </c>
      <c r="D452">
        <v>1</v>
      </c>
    </row>
    <row r="453" spans="1:4" x14ac:dyDescent="0.25">
      <c r="A453" s="1" t="s">
        <v>459</v>
      </c>
      <c r="B453" s="1" t="s">
        <v>7</v>
      </c>
      <c r="C453" s="2">
        <v>0.50694444444444442</v>
      </c>
      <c r="D453">
        <v>1</v>
      </c>
    </row>
    <row r="454" spans="1:4" x14ac:dyDescent="0.25">
      <c r="A454" s="1" t="s">
        <v>460</v>
      </c>
      <c r="B454" s="1" t="s">
        <v>9</v>
      </c>
      <c r="C454" s="2">
        <v>0.50752314814814814</v>
      </c>
      <c r="D454">
        <v>2</v>
      </c>
    </row>
    <row r="455" spans="1:4" x14ac:dyDescent="0.25">
      <c r="A455" s="1" t="s">
        <v>461</v>
      </c>
      <c r="B455" s="1" t="s">
        <v>5</v>
      </c>
      <c r="C455" s="2">
        <v>0.50810185185185186</v>
      </c>
      <c r="D455">
        <v>2</v>
      </c>
    </row>
    <row r="456" spans="1:4" x14ac:dyDescent="0.25">
      <c r="A456" s="1" t="s">
        <v>462</v>
      </c>
      <c r="B456" s="1" t="s">
        <v>9</v>
      </c>
      <c r="C456" s="2">
        <v>0.50868055555555558</v>
      </c>
      <c r="D456">
        <v>2</v>
      </c>
    </row>
    <row r="457" spans="1:4" x14ac:dyDescent="0.25">
      <c r="A457" s="1" t="s">
        <v>463</v>
      </c>
      <c r="B457" s="1" t="s">
        <v>5</v>
      </c>
      <c r="C457" s="2">
        <v>0.5092592592592593</v>
      </c>
      <c r="D457">
        <v>2</v>
      </c>
    </row>
    <row r="458" spans="1:4" x14ac:dyDescent="0.25">
      <c r="A458" s="1" t="s">
        <v>464</v>
      </c>
      <c r="B458" s="1" t="s">
        <v>7</v>
      </c>
      <c r="C458" s="2">
        <v>0.50954861111111116</v>
      </c>
      <c r="D458">
        <v>1</v>
      </c>
    </row>
    <row r="459" spans="1:4" x14ac:dyDescent="0.25">
      <c r="A459" s="1" t="s">
        <v>465</v>
      </c>
      <c r="B459" s="1" t="s">
        <v>5</v>
      </c>
      <c r="C459" s="2">
        <v>0.51012731481481477</v>
      </c>
      <c r="D459">
        <v>2</v>
      </c>
    </row>
    <row r="460" spans="1:4" x14ac:dyDescent="0.25">
      <c r="A460" s="1" t="s">
        <v>466</v>
      </c>
      <c r="B460" s="1" t="s">
        <v>7</v>
      </c>
      <c r="C460" s="2">
        <v>0.51041666666666663</v>
      </c>
      <c r="D460">
        <v>1</v>
      </c>
    </row>
    <row r="461" spans="1:4" x14ac:dyDescent="0.25">
      <c r="A461" s="1" t="s">
        <v>467</v>
      </c>
      <c r="B461" s="1" t="s">
        <v>7</v>
      </c>
      <c r="C461" s="2">
        <v>0.51070601851851849</v>
      </c>
      <c r="D461">
        <v>1</v>
      </c>
    </row>
    <row r="462" spans="1:4" x14ac:dyDescent="0.25">
      <c r="A462" s="1" t="s">
        <v>468</v>
      </c>
      <c r="B462" s="1" t="s">
        <v>5</v>
      </c>
      <c r="C462" s="2">
        <v>0.51099537037037035</v>
      </c>
      <c r="D462">
        <v>1</v>
      </c>
    </row>
    <row r="463" spans="1:4" x14ac:dyDescent="0.25">
      <c r="A463" s="1" t="s">
        <v>469</v>
      </c>
      <c r="B463" s="1" t="s">
        <v>5</v>
      </c>
      <c r="C463" s="2">
        <v>0.51128472222222221</v>
      </c>
      <c r="D463">
        <v>1</v>
      </c>
    </row>
    <row r="464" spans="1:4" x14ac:dyDescent="0.25">
      <c r="A464" s="1" t="s">
        <v>470</v>
      </c>
      <c r="B464" s="1" t="s">
        <v>7</v>
      </c>
      <c r="C464" s="2">
        <v>0.51157407407407407</v>
      </c>
      <c r="D464">
        <v>1</v>
      </c>
    </row>
    <row r="465" spans="1:4" x14ac:dyDescent="0.25">
      <c r="A465" s="1" t="s">
        <v>471</v>
      </c>
      <c r="B465" s="1" t="s">
        <v>5</v>
      </c>
      <c r="C465" s="2">
        <v>0.51186342592592593</v>
      </c>
      <c r="D465">
        <v>1</v>
      </c>
    </row>
    <row r="466" spans="1:4" x14ac:dyDescent="0.25">
      <c r="A466" s="1" t="s">
        <v>472</v>
      </c>
      <c r="B466" s="1" t="s">
        <v>7</v>
      </c>
      <c r="C466" s="2">
        <v>0.51215277777777779</v>
      </c>
      <c r="D466">
        <v>1</v>
      </c>
    </row>
    <row r="467" spans="1:4" x14ac:dyDescent="0.25">
      <c r="A467" s="1" t="s">
        <v>473</v>
      </c>
      <c r="B467" s="1" t="s">
        <v>5</v>
      </c>
      <c r="C467" s="2">
        <v>0.51273148148148151</v>
      </c>
      <c r="D467">
        <v>2</v>
      </c>
    </row>
    <row r="468" spans="1:4" x14ac:dyDescent="0.25">
      <c r="A468" s="1" t="s">
        <v>474</v>
      </c>
      <c r="B468" s="1" t="s">
        <v>7</v>
      </c>
      <c r="C468" s="2">
        <v>0.51302083333333337</v>
      </c>
      <c r="D468">
        <v>1</v>
      </c>
    </row>
    <row r="469" spans="1:4" x14ac:dyDescent="0.25">
      <c r="A469" s="1" t="s">
        <v>475</v>
      </c>
      <c r="B469" s="1" t="s">
        <v>7</v>
      </c>
      <c r="C469" s="2">
        <v>0.51331018518518523</v>
      </c>
      <c r="D469">
        <v>1</v>
      </c>
    </row>
    <row r="470" spans="1:4" x14ac:dyDescent="0.25">
      <c r="A470" s="1" t="s">
        <v>476</v>
      </c>
      <c r="B470" s="1" t="s">
        <v>7</v>
      </c>
      <c r="C470" s="2">
        <v>0.51359953703703709</v>
      </c>
      <c r="D470">
        <v>1</v>
      </c>
    </row>
    <row r="471" spans="1:4" x14ac:dyDescent="0.25">
      <c r="A471" s="1" t="s">
        <v>477</v>
      </c>
      <c r="B471" s="1" t="s">
        <v>7</v>
      </c>
      <c r="C471" s="2">
        <v>0.51388888888888884</v>
      </c>
      <c r="D471">
        <v>1</v>
      </c>
    </row>
    <row r="472" spans="1:4" x14ac:dyDescent="0.25">
      <c r="A472" s="1" t="s">
        <v>478</v>
      </c>
      <c r="B472" s="1" t="s">
        <v>5</v>
      </c>
      <c r="C472" s="2">
        <v>0.51446759259259256</v>
      </c>
      <c r="D472">
        <v>2</v>
      </c>
    </row>
    <row r="473" spans="1:4" x14ac:dyDescent="0.25">
      <c r="A473" s="1" t="s">
        <v>479</v>
      </c>
      <c r="B473" s="1" t="s">
        <v>9</v>
      </c>
      <c r="C473" s="2">
        <v>0.51475694444444442</v>
      </c>
      <c r="D473">
        <v>1</v>
      </c>
    </row>
    <row r="474" spans="1:4" x14ac:dyDescent="0.25">
      <c r="A474" s="1" t="s">
        <v>480</v>
      </c>
      <c r="B474" s="1" t="s">
        <v>7</v>
      </c>
      <c r="C474" s="2">
        <v>0.51504629629629628</v>
      </c>
      <c r="D474">
        <v>1</v>
      </c>
    </row>
    <row r="475" spans="1:4" x14ac:dyDescent="0.25">
      <c r="A475" s="1" t="s">
        <v>481</v>
      </c>
      <c r="B475" s="1" t="s">
        <v>9</v>
      </c>
      <c r="C475" s="2">
        <v>0.515625</v>
      </c>
      <c r="D475">
        <v>2</v>
      </c>
    </row>
    <row r="476" spans="1:4" x14ac:dyDescent="0.25">
      <c r="A476" s="1" t="s">
        <v>482</v>
      </c>
      <c r="B476" s="1" t="s">
        <v>7</v>
      </c>
      <c r="C476" s="2">
        <v>0.51591435185185186</v>
      </c>
      <c r="D476">
        <v>1</v>
      </c>
    </row>
    <row r="477" spans="1:4" x14ac:dyDescent="0.25">
      <c r="A477" s="1" t="s">
        <v>483</v>
      </c>
      <c r="B477" s="1" t="s">
        <v>7</v>
      </c>
      <c r="C477" s="2">
        <v>0.51620370370370372</v>
      </c>
      <c r="D477">
        <v>1</v>
      </c>
    </row>
    <row r="478" spans="1:4" x14ac:dyDescent="0.25">
      <c r="A478" s="1" t="s">
        <v>484</v>
      </c>
      <c r="B478" s="1" t="s">
        <v>7</v>
      </c>
      <c r="C478" s="2">
        <v>0.51649305555555558</v>
      </c>
      <c r="D478">
        <v>1</v>
      </c>
    </row>
    <row r="479" spans="1:4" x14ac:dyDescent="0.25">
      <c r="A479" s="1" t="s">
        <v>485</v>
      </c>
      <c r="B479" s="1" t="s">
        <v>5</v>
      </c>
      <c r="C479" s="2">
        <v>0.51678240740740744</v>
      </c>
      <c r="D479">
        <v>1</v>
      </c>
    </row>
    <row r="480" spans="1:4" x14ac:dyDescent="0.25">
      <c r="A480" s="1" t="s">
        <v>486</v>
      </c>
      <c r="B480" s="1" t="s">
        <v>7</v>
      </c>
      <c r="C480" s="2">
        <v>0.5170717592592593</v>
      </c>
      <c r="D480">
        <v>1</v>
      </c>
    </row>
    <row r="481" spans="1:4" x14ac:dyDescent="0.25">
      <c r="A481" s="1" t="s">
        <v>487</v>
      </c>
      <c r="B481" s="1" t="s">
        <v>7</v>
      </c>
      <c r="C481" s="2">
        <v>0.51736111111111116</v>
      </c>
      <c r="D481">
        <v>1</v>
      </c>
    </row>
    <row r="482" spans="1:4" x14ac:dyDescent="0.25">
      <c r="A482" s="1" t="s">
        <v>488</v>
      </c>
      <c r="B482" s="1" t="s">
        <v>7</v>
      </c>
      <c r="C482" s="2">
        <v>0.51765046296296291</v>
      </c>
      <c r="D482">
        <v>1</v>
      </c>
    </row>
    <row r="483" spans="1:4" x14ac:dyDescent="0.25">
      <c r="A483" s="1" t="s">
        <v>489</v>
      </c>
      <c r="B483" s="1" t="s">
        <v>7</v>
      </c>
      <c r="C483" s="2">
        <v>0.51793981481481477</v>
      </c>
      <c r="D483">
        <v>1</v>
      </c>
    </row>
    <row r="484" spans="1:4" x14ac:dyDescent="0.25">
      <c r="A484" s="1" t="s">
        <v>490</v>
      </c>
      <c r="B484" s="1" t="s">
        <v>7</v>
      </c>
      <c r="C484" s="2">
        <v>0.51822916666666663</v>
      </c>
      <c r="D484">
        <v>1</v>
      </c>
    </row>
    <row r="485" spans="1:4" x14ac:dyDescent="0.25">
      <c r="A485" s="1" t="s">
        <v>491</v>
      </c>
      <c r="B485" s="1" t="s">
        <v>9</v>
      </c>
      <c r="C485" s="2">
        <v>0.51880787037037035</v>
      </c>
      <c r="D485">
        <v>2</v>
      </c>
    </row>
    <row r="486" spans="1:4" x14ac:dyDescent="0.25">
      <c r="A486" s="1" t="s">
        <v>492</v>
      </c>
      <c r="B486" s="1" t="s">
        <v>9</v>
      </c>
      <c r="C486" s="2">
        <v>0.51938657407407407</v>
      </c>
      <c r="D486">
        <v>2</v>
      </c>
    </row>
    <row r="487" spans="1:4" x14ac:dyDescent="0.25">
      <c r="A487" s="1" t="s">
        <v>493</v>
      </c>
      <c r="B487" s="1" t="s">
        <v>9</v>
      </c>
      <c r="C487" s="2">
        <v>0.51996527777777779</v>
      </c>
      <c r="D487">
        <v>2</v>
      </c>
    </row>
    <row r="488" spans="1:4" x14ac:dyDescent="0.25">
      <c r="A488" s="1" t="s">
        <v>494</v>
      </c>
      <c r="B488" s="1" t="s">
        <v>9</v>
      </c>
      <c r="C488" s="2">
        <v>0.52025462962962965</v>
      </c>
      <c r="D488">
        <v>1</v>
      </c>
    </row>
    <row r="489" spans="1:4" x14ac:dyDescent="0.25">
      <c r="A489" s="1" t="s">
        <v>495</v>
      </c>
      <c r="B489" s="1" t="s">
        <v>5</v>
      </c>
      <c r="C489" s="2">
        <v>0.52054398148148151</v>
      </c>
      <c r="D489">
        <v>1</v>
      </c>
    </row>
    <row r="490" spans="1:4" x14ac:dyDescent="0.25">
      <c r="A490" s="1" t="s">
        <v>496</v>
      </c>
      <c r="B490" s="1" t="s">
        <v>9</v>
      </c>
      <c r="C490" s="2">
        <v>0.52083333333333337</v>
      </c>
      <c r="D490">
        <v>1</v>
      </c>
    </row>
    <row r="491" spans="1:4" x14ac:dyDescent="0.25">
      <c r="A491" s="1" t="s">
        <v>497</v>
      </c>
      <c r="B491" s="1" t="s">
        <v>9</v>
      </c>
      <c r="C491" s="2">
        <v>0.52141203703703709</v>
      </c>
      <c r="D491">
        <v>2</v>
      </c>
    </row>
    <row r="492" spans="1:4" x14ac:dyDescent="0.25">
      <c r="A492" s="1" t="s">
        <v>498</v>
      </c>
      <c r="B492" s="1" t="s">
        <v>9</v>
      </c>
      <c r="C492" s="2">
        <v>0.52170138888888884</v>
      </c>
      <c r="D492">
        <v>1</v>
      </c>
    </row>
    <row r="493" spans="1:4" x14ac:dyDescent="0.25">
      <c r="A493" s="1" t="s">
        <v>499</v>
      </c>
      <c r="B493" s="1" t="s">
        <v>5</v>
      </c>
      <c r="C493" s="2">
        <v>0.5219907407407407</v>
      </c>
      <c r="D493">
        <v>1</v>
      </c>
    </row>
    <row r="494" spans="1:4" x14ac:dyDescent="0.25">
      <c r="A494" s="1" t="s">
        <v>500</v>
      </c>
      <c r="B494" s="1" t="s">
        <v>5</v>
      </c>
      <c r="C494" s="2">
        <v>0.52256944444444442</v>
      </c>
      <c r="D494">
        <v>2</v>
      </c>
    </row>
    <row r="495" spans="1:4" x14ac:dyDescent="0.25">
      <c r="A495" s="1" t="s">
        <v>501</v>
      </c>
      <c r="B495" s="1" t="s">
        <v>7</v>
      </c>
      <c r="C495" s="2">
        <v>0.52285879629629628</v>
      </c>
      <c r="D495">
        <v>1</v>
      </c>
    </row>
    <row r="496" spans="1:4" x14ac:dyDescent="0.25">
      <c r="A496" s="1" t="s">
        <v>502</v>
      </c>
      <c r="B496" s="1" t="s">
        <v>9</v>
      </c>
      <c r="C496" s="2">
        <v>0.5234375</v>
      </c>
      <c r="D496">
        <v>2</v>
      </c>
    </row>
    <row r="497" spans="1:4" x14ac:dyDescent="0.25">
      <c r="A497" s="1" t="s">
        <v>503</v>
      </c>
      <c r="B497" s="1" t="s">
        <v>7</v>
      </c>
      <c r="C497" s="2">
        <v>0.52372685185185186</v>
      </c>
      <c r="D497">
        <v>1</v>
      </c>
    </row>
    <row r="498" spans="1:4" x14ac:dyDescent="0.25">
      <c r="A498" s="1" t="s">
        <v>504</v>
      </c>
      <c r="B498" s="1" t="s">
        <v>9</v>
      </c>
      <c r="C498" s="2">
        <v>0.52401620370370372</v>
      </c>
      <c r="D498">
        <v>1</v>
      </c>
    </row>
    <row r="499" spans="1:4" x14ac:dyDescent="0.25">
      <c r="A499" s="1" t="s">
        <v>505</v>
      </c>
      <c r="B499" s="1" t="s">
        <v>9</v>
      </c>
      <c r="C499" s="2">
        <v>0.52459490740740744</v>
      </c>
      <c r="D499">
        <v>2</v>
      </c>
    </row>
    <row r="500" spans="1:4" x14ac:dyDescent="0.25">
      <c r="A500" s="1" t="s">
        <v>506</v>
      </c>
      <c r="B500" s="1" t="s">
        <v>7</v>
      </c>
      <c r="C500" s="2">
        <v>0.5248842592592593</v>
      </c>
      <c r="D500">
        <v>1</v>
      </c>
    </row>
    <row r="501" spans="1:4" x14ac:dyDescent="0.25">
      <c r="A501" s="1" t="s">
        <v>507</v>
      </c>
      <c r="B501" s="1" t="s">
        <v>7</v>
      </c>
      <c r="C501" s="2">
        <v>0.52517361111111116</v>
      </c>
      <c r="D501">
        <v>1</v>
      </c>
    </row>
    <row r="502" spans="1:4" x14ac:dyDescent="0.25">
      <c r="A502" s="1" t="s">
        <v>508</v>
      </c>
      <c r="B502" s="1" t="s">
        <v>27</v>
      </c>
      <c r="C502" s="2">
        <v>0.52575231481481477</v>
      </c>
      <c r="D502">
        <v>2</v>
      </c>
    </row>
    <row r="503" spans="1:4" x14ac:dyDescent="0.25">
      <c r="A503" s="1" t="s">
        <v>509</v>
      </c>
      <c r="B503" s="1" t="s">
        <v>27</v>
      </c>
      <c r="C503" s="2">
        <v>0.52604166666666663</v>
      </c>
      <c r="D503">
        <v>1</v>
      </c>
    </row>
    <row r="504" spans="1:4" x14ac:dyDescent="0.25">
      <c r="A504" s="1" t="s">
        <v>510</v>
      </c>
      <c r="B504" s="1" t="s">
        <v>27</v>
      </c>
      <c r="C504" s="2">
        <v>0.52633101851851849</v>
      </c>
      <c r="D504">
        <v>1</v>
      </c>
    </row>
    <row r="505" spans="1:4" x14ac:dyDescent="0.25">
      <c r="A505" s="1" t="s">
        <v>511</v>
      </c>
      <c r="B505" s="1" t="s">
        <v>7</v>
      </c>
      <c r="C505" s="2">
        <v>0.52662037037037035</v>
      </c>
      <c r="D505">
        <v>1</v>
      </c>
    </row>
    <row r="506" spans="1:4" x14ac:dyDescent="0.25">
      <c r="A506" s="1" t="s">
        <v>512</v>
      </c>
      <c r="B506" s="1" t="s">
        <v>9</v>
      </c>
      <c r="C506" s="2">
        <v>0.52690972222222221</v>
      </c>
      <c r="D506">
        <v>1</v>
      </c>
    </row>
    <row r="507" spans="1:4" x14ac:dyDescent="0.25">
      <c r="A507" s="1" t="s">
        <v>513</v>
      </c>
      <c r="B507" s="1" t="s">
        <v>5</v>
      </c>
      <c r="C507" s="2">
        <v>0.52748842592592593</v>
      </c>
      <c r="D507">
        <v>2</v>
      </c>
    </row>
    <row r="508" spans="1:4" x14ac:dyDescent="0.25">
      <c r="A508" s="1" t="s">
        <v>514</v>
      </c>
      <c r="B508" s="1" t="s">
        <v>7</v>
      </c>
      <c r="C508" s="2">
        <v>0.52777777777777779</v>
      </c>
      <c r="D508">
        <v>1</v>
      </c>
    </row>
    <row r="509" spans="1:4" x14ac:dyDescent="0.25">
      <c r="A509" s="1" t="s">
        <v>515</v>
      </c>
      <c r="B509" s="1" t="s">
        <v>5</v>
      </c>
      <c r="C509" s="2">
        <v>0.52835648148148151</v>
      </c>
      <c r="D509">
        <v>2</v>
      </c>
    </row>
    <row r="510" spans="1:4" x14ac:dyDescent="0.25">
      <c r="A510" s="1" t="s">
        <v>516</v>
      </c>
      <c r="B510" s="1" t="s">
        <v>9</v>
      </c>
      <c r="C510" s="2">
        <v>0.52864583333333337</v>
      </c>
      <c r="D510">
        <v>1</v>
      </c>
    </row>
    <row r="511" spans="1:4" x14ac:dyDescent="0.25">
      <c r="A511" s="1" t="s">
        <v>517</v>
      </c>
      <c r="B511" s="1" t="s">
        <v>9</v>
      </c>
      <c r="C511" s="2">
        <v>0.52922453703703709</v>
      </c>
      <c r="D511">
        <v>2</v>
      </c>
    </row>
    <row r="512" spans="1:4" x14ac:dyDescent="0.25">
      <c r="A512" s="1" t="s">
        <v>518</v>
      </c>
      <c r="B512" s="1" t="s">
        <v>27</v>
      </c>
      <c r="C512" s="2">
        <v>0.5298032407407407</v>
      </c>
      <c r="D512">
        <v>2</v>
      </c>
    </row>
    <row r="513" spans="1:4" x14ac:dyDescent="0.25">
      <c r="A513" s="1" t="s">
        <v>519</v>
      </c>
      <c r="B513" s="1" t="s">
        <v>7</v>
      </c>
      <c r="C513" s="2">
        <v>0.53009259259259256</v>
      </c>
      <c r="D513">
        <v>1</v>
      </c>
    </row>
    <row r="514" spans="1:4" x14ac:dyDescent="0.25">
      <c r="A514" s="1" t="s">
        <v>520</v>
      </c>
      <c r="B514" s="1" t="s">
        <v>9</v>
      </c>
      <c r="C514" s="2">
        <v>0.53038194444444442</v>
      </c>
      <c r="D514">
        <v>1</v>
      </c>
    </row>
    <row r="515" spans="1:4" x14ac:dyDescent="0.25">
      <c r="A515" s="1" t="s">
        <v>521</v>
      </c>
      <c r="B515" s="1" t="s">
        <v>7</v>
      </c>
      <c r="C515" s="2">
        <v>0.53067129629629628</v>
      </c>
      <c r="D515">
        <v>1</v>
      </c>
    </row>
    <row r="516" spans="1:4" x14ac:dyDescent="0.25">
      <c r="A516" s="1" t="s">
        <v>522</v>
      </c>
      <c r="B516" s="1" t="s">
        <v>5</v>
      </c>
      <c r="C516" s="2">
        <v>0.53125</v>
      </c>
      <c r="D516">
        <v>2</v>
      </c>
    </row>
    <row r="517" spans="1:4" x14ac:dyDescent="0.25">
      <c r="A517" s="1" t="s">
        <v>523</v>
      </c>
      <c r="B517" s="1" t="s">
        <v>5</v>
      </c>
      <c r="C517" s="2">
        <v>0.53182870370370372</v>
      </c>
      <c r="D517">
        <v>2</v>
      </c>
    </row>
    <row r="518" spans="1:4" x14ac:dyDescent="0.25">
      <c r="A518" s="1" t="s">
        <v>524</v>
      </c>
      <c r="B518" s="1" t="s">
        <v>9</v>
      </c>
      <c r="C518" s="2">
        <v>0.53240740740740744</v>
      </c>
      <c r="D518">
        <v>2</v>
      </c>
    </row>
    <row r="519" spans="1:4" x14ac:dyDescent="0.25">
      <c r="A519" s="1" t="s">
        <v>525</v>
      </c>
      <c r="B519" s="1" t="s">
        <v>9</v>
      </c>
      <c r="C519" s="2">
        <v>0.5326967592592593</v>
      </c>
      <c r="D519">
        <v>1</v>
      </c>
    </row>
    <row r="520" spans="1:4" x14ac:dyDescent="0.25">
      <c r="A520" s="1" t="s">
        <v>526</v>
      </c>
      <c r="B520" s="1" t="s">
        <v>9</v>
      </c>
      <c r="C520" s="2">
        <v>0.53327546296296291</v>
      </c>
      <c r="D520">
        <v>2</v>
      </c>
    </row>
    <row r="521" spans="1:4" x14ac:dyDescent="0.25">
      <c r="A521" s="1" t="s">
        <v>527</v>
      </c>
      <c r="B521" s="1" t="s">
        <v>7</v>
      </c>
      <c r="C521" s="2">
        <v>0.53356481481481477</v>
      </c>
      <c r="D521">
        <v>1</v>
      </c>
    </row>
    <row r="522" spans="1:4" x14ac:dyDescent="0.25">
      <c r="A522" s="1" t="s">
        <v>528</v>
      </c>
      <c r="B522" s="1" t="s">
        <v>9</v>
      </c>
      <c r="C522" s="2">
        <v>0.53385416666666663</v>
      </c>
      <c r="D522">
        <v>1</v>
      </c>
    </row>
    <row r="523" spans="1:4" x14ac:dyDescent="0.25">
      <c r="A523" s="1" t="s">
        <v>529</v>
      </c>
      <c r="B523" s="1" t="s">
        <v>27</v>
      </c>
      <c r="C523" s="2">
        <v>0.53443287037037035</v>
      </c>
      <c r="D523">
        <v>2</v>
      </c>
    </row>
    <row r="524" spans="1:4" x14ac:dyDescent="0.25">
      <c r="A524" s="1" t="s">
        <v>530</v>
      </c>
      <c r="B524" s="1" t="s">
        <v>7</v>
      </c>
      <c r="C524" s="2">
        <v>0.53472222222222221</v>
      </c>
      <c r="D524">
        <v>1</v>
      </c>
    </row>
    <row r="525" spans="1:4" x14ac:dyDescent="0.25">
      <c r="A525" s="1" t="s">
        <v>531</v>
      </c>
      <c r="B525" s="1" t="s">
        <v>7</v>
      </c>
      <c r="C525" s="2">
        <v>0.53501157407407407</v>
      </c>
      <c r="D525">
        <v>1</v>
      </c>
    </row>
    <row r="526" spans="1:4" x14ac:dyDescent="0.25">
      <c r="A526" s="1" t="s">
        <v>532</v>
      </c>
      <c r="B526" s="1" t="s">
        <v>9</v>
      </c>
      <c r="C526" s="2">
        <v>0.53530092592592593</v>
      </c>
      <c r="D526">
        <v>1</v>
      </c>
    </row>
    <row r="527" spans="1:4" x14ac:dyDescent="0.25">
      <c r="A527" s="1" t="s">
        <v>533</v>
      </c>
      <c r="B527" s="1" t="s">
        <v>7</v>
      </c>
      <c r="C527" s="2">
        <v>0.53559027777777779</v>
      </c>
      <c r="D527">
        <v>1</v>
      </c>
    </row>
    <row r="528" spans="1:4" x14ac:dyDescent="0.25">
      <c r="A528" s="1" t="s">
        <v>534</v>
      </c>
      <c r="B528" s="1" t="s">
        <v>5</v>
      </c>
      <c r="C528" s="2">
        <v>0.53587962962962965</v>
      </c>
      <c r="D528">
        <v>1</v>
      </c>
    </row>
    <row r="529" spans="1:4" x14ac:dyDescent="0.25">
      <c r="A529" s="1" t="s">
        <v>535</v>
      </c>
      <c r="B529" s="1" t="s">
        <v>7</v>
      </c>
      <c r="C529" s="2">
        <v>0.53616898148148151</v>
      </c>
      <c r="D529">
        <v>1</v>
      </c>
    </row>
    <row r="530" spans="1:4" x14ac:dyDescent="0.25">
      <c r="A530" s="1" t="s">
        <v>536</v>
      </c>
      <c r="B530" s="1" t="s">
        <v>9</v>
      </c>
      <c r="C530" s="2">
        <v>0.53674768518518523</v>
      </c>
      <c r="D530">
        <v>2</v>
      </c>
    </row>
    <row r="531" spans="1:4" x14ac:dyDescent="0.25">
      <c r="A531" s="1" t="s">
        <v>537</v>
      </c>
      <c r="B531" s="1" t="s">
        <v>27</v>
      </c>
      <c r="C531" s="2">
        <v>0.53703703703703709</v>
      </c>
      <c r="D531">
        <v>1</v>
      </c>
    </row>
    <row r="532" spans="1:4" x14ac:dyDescent="0.25">
      <c r="A532" s="1" t="s">
        <v>538</v>
      </c>
      <c r="B532" s="1" t="s">
        <v>27</v>
      </c>
      <c r="C532" s="2">
        <v>0.53732638888888884</v>
      </c>
      <c r="D532">
        <v>1</v>
      </c>
    </row>
    <row r="533" spans="1:4" x14ac:dyDescent="0.25">
      <c r="A533" s="1" t="s">
        <v>539</v>
      </c>
      <c r="B533" s="1" t="s">
        <v>7</v>
      </c>
      <c r="C533" s="2">
        <v>0.5376157407407407</v>
      </c>
      <c r="D533">
        <v>1</v>
      </c>
    </row>
    <row r="534" spans="1:4" x14ac:dyDescent="0.25">
      <c r="A534" s="1" t="s">
        <v>540</v>
      </c>
      <c r="B534" s="1" t="s">
        <v>9</v>
      </c>
      <c r="C534" s="2">
        <v>0.53790509259259256</v>
      </c>
      <c r="D534">
        <v>1</v>
      </c>
    </row>
    <row r="535" spans="1:4" x14ac:dyDescent="0.25">
      <c r="A535" s="1" t="s">
        <v>541</v>
      </c>
      <c r="B535" s="1" t="s">
        <v>9</v>
      </c>
      <c r="C535" s="2">
        <v>0.53848379629629628</v>
      </c>
      <c r="D535">
        <v>2</v>
      </c>
    </row>
    <row r="536" spans="1:4" x14ac:dyDescent="0.25">
      <c r="A536" s="1" t="s">
        <v>542</v>
      </c>
      <c r="B536" s="1" t="s">
        <v>7</v>
      </c>
      <c r="C536" s="2">
        <v>0.53877314814814814</v>
      </c>
      <c r="D536">
        <v>1</v>
      </c>
    </row>
    <row r="537" spans="1:4" x14ac:dyDescent="0.25">
      <c r="A537" s="1" t="s">
        <v>543</v>
      </c>
      <c r="B537" s="1" t="s">
        <v>9</v>
      </c>
      <c r="C537" s="2">
        <v>0.53935185185185186</v>
      </c>
      <c r="D537">
        <v>2</v>
      </c>
    </row>
    <row r="538" spans="1:4" x14ac:dyDescent="0.25">
      <c r="A538" s="1" t="s">
        <v>544</v>
      </c>
      <c r="B538" s="1" t="s">
        <v>7</v>
      </c>
      <c r="C538" s="2">
        <v>0.53964120370370372</v>
      </c>
      <c r="D538">
        <v>1</v>
      </c>
    </row>
    <row r="539" spans="1:4" x14ac:dyDescent="0.25">
      <c r="A539" s="1" t="s">
        <v>545</v>
      </c>
      <c r="B539" s="1" t="s">
        <v>5</v>
      </c>
      <c r="C539" s="2">
        <v>0.54021990740740744</v>
      </c>
      <c r="D539">
        <v>2</v>
      </c>
    </row>
    <row r="540" spans="1:4" x14ac:dyDescent="0.25">
      <c r="A540" s="1" t="s">
        <v>546</v>
      </c>
      <c r="B540" s="1" t="s">
        <v>9</v>
      </c>
      <c r="C540" s="2">
        <v>0.5405092592592593</v>
      </c>
      <c r="D540">
        <v>1</v>
      </c>
    </row>
    <row r="541" spans="1:4" x14ac:dyDescent="0.25">
      <c r="A541" s="1" t="s">
        <v>547</v>
      </c>
      <c r="B541" s="1" t="s">
        <v>7</v>
      </c>
      <c r="C541" s="2">
        <v>0.54079861111111116</v>
      </c>
      <c r="D541">
        <v>1</v>
      </c>
    </row>
    <row r="542" spans="1:4" x14ac:dyDescent="0.25">
      <c r="A542" s="1" t="s">
        <v>548</v>
      </c>
      <c r="B542" s="1" t="s">
        <v>5</v>
      </c>
      <c r="C542" s="2">
        <v>0.54108796296296291</v>
      </c>
      <c r="D542">
        <v>1</v>
      </c>
    </row>
    <row r="543" spans="1:4" x14ac:dyDescent="0.25">
      <c r="A543" s="1" t="s">
        <v>549</v>
      </c>
      <c r="B543" s="1" t="s">
        <v>7</v>
      </c>
      <c r="C543" s="2">
        <v>0.54137731481481477</v>
      </c>
      <c r="D543">
        <v>1</v>
      </c>
    </row>
    <row r="544" spans="1:4" x14ac:dyDescent="0.25">
      <c r="A544" s="1" t="s">
        <v>550</v>
      </c>
      <c r="B544" s="1" t="s">
        <v>9</v>
      </c>
      <c r="C544" s="2">
        <v>0.54166666666666663</v>
      </c>
      <c r="D544">
        <v>1</v>
      </c>
    </row>
    <row r="545" spans="1:4" x14ac:dyDescent="0.25">
      <c r="A545" s="1" t="s">
        <v>551</v>
      </c>
      <c r="B545" s="1" t="s">
        <v>27</v>
      </c>
      <c r="C545" s="2">
        <v>0.54224537037037035</v>
      </c>
      <c r="D545">
        <v>2</v>
      </c>
    </row>
    <row r="546" spans="1:4" x14ac:dyDescent="0.25">
      <c r="A546" s="1" t="s">
        <v>552</v>
      </c>
      <c r="B546" s="1" t="s">
        <v>7</v>
      </c>
      <c r="C546" s="2">
        <v>0.54253472222222221</v>
      </c>
      <c r="D546">
        <v>1</v>
      </c>
    </row>
    <row r="547" spans="1:4" x14ac:dyDescent="0.25">
      <c r="A547" s="1" t="s">
        <v>553</v>
      </c>
      <c r="B547" s="1" t="s">
        <v>7</v>
      </c>
      <c r="C547" s="2">
        <v>0.54282407407407407</v>
      </c>
      <c r="D547">
        <v>1</v>
      </c>
    </row>
    <row r="548" spans="1:4" x14ac:dyDescent="0.25">
      <c r="A548" s="1" t="s">
        <v>554</v>
      </c>
      <c r="B548" s="1" t="s">
        <v>5</v>
      </c>
      <c r="C548" s="2">
        <v>0.54340277777777779</v>
      </c>
      <c r="D548">
        <v>2</v>
      </c>
    </row>
    <row r="549" spans="1:4" x14ac:dyDescent="0.25">
      <c r="A549" s="1" t="s">
        <v>555</v>
      </c>
      <c r="B549" s="1" t="s">
        <v>9</v>
      </c>
      <c r="C549" s="2">
        <v>0.54398148148148151</v>
      </c>
      <c r="D549">
        <v>2</v>
      </c>
    </row>
    <row r="550" spans="1:4" x14ac:dyDescent="0.25">
      <c r="A550" s="1" t="s">
        <v>556</v>
      </c>
      <c r="B550" s="1" t="s">
        <v>9</v>
      </c>
      <c r="C550" s="2">
        <v>0.54427083333333337</v>
      </c>
      <c r="D550">
        <v>1</v>
      </c>
    </row>
    <row r="551" spans="1:4" x14ac:dyDescent="0.25">
      <c r="A551" s="1" t="s">
        <v>557</v>
      </c>
      <c r="B551" s="1" t="s">
        <v>7</v>
      </c>
      <c r="C551" s="2">
        <v>0.54456018518518523</v>
      </c>
      <c r="D551">
        <v>1</v>
      </c>
    </row>
    <row r="552" spans="1:4" x14ac:dyDescent="0.25">
      <c r="A552" s="1" t="s">
        <v>558</v>
      </c>
      <c r="B552" s="1" t="s">
        <v>9</v>
      </c>
      <c r="C552" s="2">
        <v>0.54513888888888884</v>
      </c>
      <c r="D552">
        <v>2</v>
      </c>
    </row>
    <row r="553" spans="1:4" x14ac:dyDescent="0.25">
      <c r="A553" s="1" t="s">
        <v>559</v>
      </c>
      <c r="B553" s="1" t="s">
        <v>5</v>
      </c>
      <c r="C553" s="2">
        <v>0.5454282407407407</v>
      </c>
      <c r="D553">
        <v>1</v>
      </c>
    </row>
    <row r="554" spans="1:4" x14ac:dyDescent="0.25">
      <c r="A554" s="1" t="s">
        <v>560</v>
      </c>
      <c r="B554" s="1" t="s">
        <v>5</v>
      </c>
      <c r="C554" s="2">
        <v>0.54600694444444442</v>
      </c>
      <c r="D554">
        <v>2</v>
      </c>
    </row>
    <row r="555" spans="1:4" x14ac:dyDescent="0.25">
      <c r="A555" s="1" t="s">
        <v>561</v>
      </c>
      <c r="B555" s="1" t="s">
        <v>27</v>
      </c>
      <c r="C555" s="2">
        <v>0.54658564814814814</v>
      </c>
      <c r="D555">
        <v>2</v>
      </c>
    </row>
    <row r="556" spans="1:4" x14ac:dyDescent="0.25">
      <c r="A556" s="1" t="s">
        <v>562</v>
      </c>
      <c r="B556" s="1" t="s">
        <v>7</v>
      </c>
      <c r="C556" s="2">
        <v>0.546875</v>
      </c>
      <c r="D556">
        <v>1</v>
      </c>
    </row>
    <row r="557" spans="1:4" x14ac:dyDescent="0.25">
      <c r="A557" s="1" t="s">
        <v>563</v>
      </c>
      <c r="B557" s="1" t="s">
        <v>7</v>
      </c>
      <c r="C557" s="2">
        <v>0.54716435185185186</v>
      </c>
      <c r="D557">
        <v>1</v>
      </c>
    </row>
    <row r="558" spans="1:4" x14ac:dyDescent="0.25">
      <c r="A558" s="1" t="s">
        <v>564</v>
      </c>
      <c r="B558" s="1" t="s">
        <v>27</v>
      </c>
      <c r="C558" s="2">
        <v>0.54774305555555558</v>
      </c>
      <c r="D558">
        <v>2</v>
      </c>
    </row>
    <row r="559" spans="1:4" x14ac:dyDescent="0.25">
      <c r="A559" s="1" t="s">
        <v>565</v>
      </c>
      <c r="B559" s="1" t="s">
        <v>7</v>
      </c>
      <c r="C559" s="2">
        <v>0.54803240740740744</v>
      </c>
      <c r="D559">
        <v>1</v>
      </c>
    </row>
    <row r="560" spans="1:4" x14ac:dyDescent="0.25">
      <c r="A560" s="1" t="s">
        <v>566</v>
      </c>
      <c r="B560" s="1" t="s">
        <v>5</v>
      </c>
      <c r="C560" s="2">
        <v>0.5483217592592593</v>
      </c>
      <c r="D560">
        <v>1</v>
      </c>
    </row>
    <row r="561" spans="1:4" x14ac:dyDescent="0.25">
      <c r="A561" s="1" t="s">
        <v>567</v>
      </c>
      <c r="B561" s="1" t="s">
        <v>9</v>
      </c>
      <c r="C561" s="2">
        <v>0.54890046296296291</v>
      </c>
      <c r="D561">
        <v>2</v>
      </c>
    </row>
    <row r="562" spans="1:4" x14ac:dyDescent="0.25">
      <c r="A562" s="1" t="s">
        <v>568</v>
      </c>
      <c r="B562" s="1" t="s">
        <v>7</v>
      </c>
      <c r="C562" s="2">
        <v>0.54918981481481477</v>
      </c>
      <c r="D562">
        <v>1</v>
      </c>
    </row>
    <row r="563" spans="1:4" x14ac:dyDescent="0.25">
      <c r="A563" s="1" t="s">
        <v>569</v>
      </c>
      <c r="B563" s="1" t="s">
        <v>9</v>
      </c>
      <c r="C563" s="2">
        <v>0.54976851851851849</v>
      </c>
      <c r="D563">
        <v>2</v>
      </c>
    </row>
    <row r="564" spans="1:4" x14ac:dyDescent="0.25">
      <c r="A564" s="1" t="s">
        <v>570</v>
      </c>
      <c r="B564" s="1" t="s">
        <v>5</v>
      </c>
      <c r="C564" s="2">
        <v>0.55005787037037035</v>
      </c>
      <c r="D564">
        <v>1</v>
      </c>
    </row>
    <row r="565" spans="1:4" x14ac:dyDescent="0.25">
      <c r="A565" s="1" t="s">
        <v>571</v>
      </c>
      <c r="B565" s="1" t="s">
        <v>7</v>
      </c>
      <c r="C565" s="2">
        <v>0.55034722222222221</v>
      </c>
      <c r="D565">
        <v>1</v>
      </c>
    </row>
    <row r="566" spans="1:4" x14ac:dyDescent="0.25">
      <c r="A566" s="1" t="s">
        <v>572</v>
      </c>
      <c r="B566" s="1" t="s">
        <v>9</v>
      </c>
      <c r="C566" s="2">
        <v>0.55092592592592593</v>
      </c>
      <c r="D566">
        <v>2</v>
      </c>
    </row>
    <row r="567" spans="1:4" x14ac:dyDescent="0.25">
      <c r="A567" s="1" t="s">
        <v>573</v>
      </c>
      <c r="B567" s="1" t="s">
        <v>9</v>
      </c>
      <c r="C567" s="2">
        <v>0.55121527777777779</v>
      </c>
      <c r="D567">
        <v>1</v>
      </c>
    </row>
    <row r="568" spans="1:4" x14ac:dyDescent="0.25">
      <c r="A568" s="1" t="s">
        <v>574</v>
      </c>
      <c r="B568" s="1" t="s">
        <v>9</v>
      </c>
      <c r="C568" s="2">
        <v>0.55179398148148151</v>
      </c>
      <c r="D568">
        <v>2</v>
      </c>
    </row>
    <row r="569" spans="1:4" x14ac:dyDescent="0.25">
      <c r="A569" s="1" t="s">
        <v>575</v>
      </c>
      <c r="B569" s="1" t="s">
        <v>9</v>
      </c>
      <c r="C569" s="2">
        <v>0.55208333333333337</v>
      </c>
      <c r="D569">
        <v>1</v>
      </c>
    </row>
    <row r="570" spans="1:4" x14ac:dyDescent="0.25">
      <c r="A570" s="1" t="s">
        <v>576</v>
      </c>
      <c r="B570" s="1" t="s">
        <v>27</v>
      </c>
      <c r="C570" s="2">
        <v>0.55237268518518523</v>
      </c>
      <c r="D570">
        <v>1</v>
      </c>
    </row>
    <row r="571" spans="1:4" x14ac:dyDescent="0.25">
      <c r="A571" s="1" t="s">
        <v>577</v>
      </c>
      <c r="B571" s="1" t="s">
        <v>7</v>
      </c>
      <c r="C571" s="2">
        <v>0.55266203703703709</v>
      </c>
      <c r="D571">
        <v>1</v>
      </c>
    </row>
    <row r="572" spans="1:4" x14ac:dyDescent="0.25">
      <c r="A572" s="1" t="s">
        <v>578</v>
      </c>
      <c r="B572" s="1" t="s">
        <v>7</v>
      </c>
      <c r="C572" s="2">
        <v>0.55295138888888884</v>
      </c>
      <c r="D572">
        <v>1</v>
      </c>
    </row>
    <row r="573" spans="1:4" x14ac:dyDescent="0.25">
      <c r="A573" s="1" t="s">
        <v>579</v>
      </c>
      <c r="B573" s="1" t="s">
        <v>7</v>
      </c>
      <c r="C573" s="2">
        <v>0.5532407407407407</v>
      </c>
      <c r="D573">
        <v>1</v>
      </c>
    </row>
    <row r="574" spans="1:4" x14ac:dyDescent="0.25">
      <c r="A574" s="1" t="s">
        <v>580</v>
      </c>
      <c r="B574" s="1" t="s">
        <v>7</v>
      </c>
      <c r="C574" s="2">
        <v>0.55353009259259256</v>
      </c>
      <c r="D574">
        <v>1</v>
      </c>
    </row>
    <row r="575" spans="1:4" x14ac:dyDescent="0.25">
      <c r="A575" s="1" t="s">
        <v>581</v>
      </c>
      <c r="B575" s="1" t="s">
        <v>27</v>
      </c>
      <c r="C575" s="2">
        <v>0.55410879629629628</v>
      </c>
      <c r="D575">
        <v>2</v>
      </c>
    </row>
    <row r="576" spans="1:4" x14ac:dyDescent="0.25">
      <c r="A576" s="1" t="s">
        <v>582</v>
      </c>
      <c r="B576" s="1" t="s">
        <v>27</v>
      </c>
      <c r="C576" s="2">
        <v>0.55439814814814814</v>
      </c>
      <c r="D576">
        <v>1</v>
      </c>
    </row>
    <row r="577" spans="1:4" x14ac:dyDescent="0.25">
      <c r="A577" s="1" t="s">
        <v>583</v>
      </c>
      <c r="B577" s="1" t="s">
        <v>27</v>
      </c>
      <c r="C577" s="2">
        <v>0.55497685185185186</v>
      </c>
      <c r="D577">
        <v>2</v>
      </c>
    </row>
    <row r="578" spans="1:4" x14ac:dyDescent="0.25">
      <c r="A578" s="1" t="s">
        <v>584</v>
      </c>
      <c r="B578" s="1" t="s">
        <v>7</v>
      </c>
      <c r="C578" s="2">
        <v>0.55526620370370372</v>
      </c>
      <c r="D578">
        <v>1</v>
      </c>
    </row>
    <row r="579" spans="1:4" x14ac:dyDescent="0.25">
      <c r="A579" s="1" t="s">
        <v>585</v>
      </c>
      <c r="B579" s="1" t="s">
        <v>5</v>
      </c>
      <c r="C579" s="2">
        <v>0.55555555555555558</v>
      </c>
      <c r="D579">
        <v>1</v>
      </c>
    </row>
    <row r="580" spans="1:4" x14ac:dyDescent="0.25">
      <c r="A580" s="1" t="s">
        <v>586</v>
      </c>
      <c r="B580" s="1" t="s">
        <v>5</v>
      </c>
      <c r="C580" s="2">
        <v>0.5561342592592593</v>
      </c>
      <c r="D580">
        <v>2</v>
      </c>
    </row>
    <row r="581" spans="1:4" x14ac:dyDescent="0.25">
      <c r="A581" s="1" t="s">
        <v>587</v>
      </c>
      <c r="B581" s="1" t="s">
        <v>27</v>
      </c>
      <c r="C581" s="2">
        <v>0.55642361111111116</v>
      </c>
      <c r="D581">
        <v>1</v>
      </c>
    </row>
    <row r="582" spans="1:4" x14ac:dyDescent="0.25">
      <c r="A582" s="1" t="s">
        <v>588</v>
      </c>
      <c r="B582" s="1" t="s">
        <v>7</v>
      </c>
      <c r="C582" s="2">
        <v>0.55671296296296291</v>
      </c>
      <c r="D582">
        <v>1</v>
      </c>
    </row>
    <row r="583" spans="1:4" x14ac:dyDescent="0.25">
      <c r="A583" s="1" t="s">
        <v>589</v>
      </c>
      <c r="B583" s="1" t="s">
        <v>7</v>
      </c>
      <c r="C583" s="2">
        <v>0.55700231481481477</v>
      </c>
      <c r="D583">
        <v>1</v>
      </c>
    </row>
    <row r="584" spans="1:4" x14ac:dyDescent="0.25">
      <c r="A584" s="1" t="s">
        <v>590</v>
      </c>
      <c r="B584" s="1" t="s">
        <v>5</v>
      </c>
      <c r="C584" s="2">
        <v>0.55729166666666663</v>
      </c>
      <c r="D584">
        <v>1</v>
      </c>
    </row>
    <row r="585" spans="1:4" x14ac:dyDescent="0.25">
      <c r="A585" s="1" t="s">
        <v>591</v>
      </c>
      <c r="B585" s="1" t="s">
        <v>9</v>
      </c>
      <c r="C585" s="2">
        <v>0.55787037037037035</v>
      </c>
      <c r="D585">
        <v>2</v>
      </c>
    </row>
    <row r="586" spans="1:4" x14ac:dyDescent="0.25">
      <c r="A586" s="1" t="s">
        <v>592</v>
      </c>
      <c r="B586" s="1" t="s">
        <v>9</v>
      </c>
      <c r="C586" s="2">
        <v>0.55815972222222221</v>
      </c>
      <c r="D586">
        <v>1</v>
      </c>
    </row>
    <row r="587" spans="1:4" x14ac:dyDescent="0.25">
      <c r="A587" s="1" t="s">
        <v>593</v>
      </c>
      <c r="B587" s="1" t="s">
        <v>27</v>
      </c>
      <c r="C587" s="2">
        <v>0.55873842592592593</v>
      </c>
      <c r="D587">
        <v>2</v>
      </c>
    </row>
    <row r="588" spans="1:4" x14ac:dyDescent="0.25">
      <c r="A588" s="1" t="s">
        <v>594</v>
      </c>
      <c r="B588" s="1" t="s">
        <v>7</v>
      </c>
      <c r="C588" s="2">
        <v>0.55902777777777779</v>
      </c>
      <c r="D588">
        <v>1</v>
      </c>
    </row>
    <row r="589" spans="1:4" x14ac:dyDescent="0.25">
      <c r="A589" s="1" t="s">
        <v>595</v>
      </c>
      <c r="B589" s="1" t="s">
        <v>9</v>
      </c>
      <c r="C589" s="2">
        <v>0.55931712962962965</v>
      </c>
      <c r="D589">
        <v>1</v>
      </c>
    </row>
    <row r="590" spans="1:4" x14ac:dyDescent="0.25">
      <c r="A590" s="1" t="s">
        <v>596</v>
      </c>
      <c r="B590" s="1" t="s">
        <v>5</v>
      </c>
      <c r="C590" s="2">
        <v>0.55960648148148151</v>
      </c>
      <c r="D590">
        <v>1</v>
      </c>
    </row>
    <row r="591" spans="1:4" x14ac:dyDescent="0.25">
      <c r="A591" s="1" t="s">
        <v>597</v>
      </c>
      <c r="B591" s="1" t="s">
        <v>5</v>
      </c>
      <c r="C591" s="2">
        <v>0.56018518518518523</v>
      </c>
      <c r="D591">
        <v>2</v>
      </c>
    </row>
    <row r="592" spans="1:4" x14ac:dyDescent="0.25">
      <c r="A592" s="1" t="s">
        <v>598</v>
      </c>
      <c r="B592" s="1" t="s">
        <v>7</v>
      </c>
      <c r="C592" s="2">
        <v>0.56047453703703709</v>
      </c>
      <c r="D592">
        <v>1</v>
      </c>
    </row>
    <row r="593" spans="1:4" x14ac:dyDescent="0.25">
      <c r="A593" s="1" t="s">
        <v>599</v>
      </c>
      <c r="B593" s="1" t="s">
        <v>5</v>
      </c>
      <c r="C593" s="2">
        <v>0.56076388888888884</v>
      </c>
      <c r="D593">
        <v>1</v>
      </c>
    </row>
    <row r="594" spans="1:4" x14ac:dyDescent="0.25">
      <c r="A594" s="1" t="s">
        <v>600</v>
      </c>
      <c r="B594" s="1" t="s">
        <v>9</v>
      </c>
      <c r="C594" s="2">
        <v>0.56134259259259256</v>
      </c>
      <c r="D594">
        <v>2</v>
      </c>
    </row>
    <row r="595" spans="1:4" x14ac:dyDescent="0.25">
      <c r="A595" s="1" t="s">
        <v>601</v>
      </c>
      <c r="B595" s="1" t="s">
        <v>27</v>
      </c>
      <c r="C595" s="2">
        <v>0.56192129629629628</v>
      </c>
      <c r="D595">
        <v>2</v>
      </c>
    </row>
    <row r="596" spans="1:4" x14ac:dyDescent="0.25">
      <c r="A596" s="1" t="s">
        <v>602</v>
      </c>
      <c r="B596" s="1" t="s">
        <v>7</v>
      </c>
      <c r="C596" s="2">
        <v>0.56221064814814814</v>
      </c>
      <c r="D596">
        <v>1</v>
      </c>
    </row>
    <row r="597" spans="1:4" x14ac:dyDescent="0.25">
      <c r="A597" s="1" t="s">
        <v>603</v>
      </c>
      <c r="B597" s="1" t="s">
        <v>7</v>
      </c>
      <c r="C597" s="2">
        <v>0.5625</v>
      </c>
      <c r="D597">
        <v>1</v>
      </c>
    </row>
    <row r="598" spans="1:4" x14ac:dyDescent="0.25">
      <c r="A598" s="1" t="s">
        <v>604</v>
      </c>
      <c r="B598" s="1" t="s">
        <v>7</v>
      </c>
      <c r="C598" s="2">
        <v>0.56278935185185186</v>
      </c>
      <c r="D598">
        <v>1</v>
      </c>
    </row>
    <row r="599" spans="1:4" x14ac:dyDescent="0.25">
      <c r="A599" s="1" t="s">
        <v>605</v>
      </c>
      <c r="B599" s="1" t="s">
        <v>27</v>
      </c>
      <c r="C599" s="2">
        <v>0.56336805555555558</v>
      </c>
      <c r="D599">
        <v>2</v>
      </c>
    </row>
    <row r="600" spans="1:4" x14ac:dyDescent="0.25">
      <c r="A600" s="1" t="s">
        <v>606</v>
      </c>
      <c r="B600" s="1" t="s">
        <v>7</v>
      </c>
      <c r="C600" s="2">
        <v>0.56365740740740744</v>
      </c>
      <c r="D600">
        <v>1</v>
      </c>
    </row>
    <row r="601" spans="1:4" x14ac:dyDescent="0.25">
      <c r="A601" s="1" t="s">
        <v>607</v>
      </c>
      <c r="B601" s="1" t="s">
        <v>9</v>
      </c>
      <c r="C601" s="2">
        <v>0.56423611111111116</v>
      </c>
      <c r="D601">
        <v>2</v>
      </c>
    </row>
    <row r="602" spans="1:4" x14ac:dyDescent="0.25">
      <c r="A602" s="1" t="s">
        <v>608</v>
      </c>
      <c r="B602" s="1" t="s">
        <v>9</v>
      </c>
      <c r="C602" s="2">
        <v>0.56452546296296291</v>
      </c>
      <c r="D602">
        <v>1</v>
      </c>
    </row>
    <row r="603" spans="1:4" x14ac:dyDescent="0.25">
      <c r="A603" s="1" t="s">
        <v>609</v>
      </c>
      <c r="B603" s="1" t="s">
        <v>7</v>
      </c>
      <c r="C603" s="2">
        <v>0.56481481481481477</v>
      </c>
      <c r="D603">
        <v>1</v>
      </c>
    </row>
    <row r="604" spans="1:4" x14ac:dyDescent="0.25">
      <c r="A604" s="1" t="s">
        <v>610</v>
      </c>
      <c r="B604" s="1" t="s">
        <v>7</v>
      </c>
      <c r="C604" s="2">
        <v>0.56510416666666663</v>
      </c>
      <c r="D604">
        <v>1</v>
      </c>
    </row>
    <row r="605" spans="1:4" x14ac:dyDescent="0.25">
      <c r="A605" s="1" t="s">
        <v>611</v>
      </c>
      <c r="B605" s="1" t="s">
        <v>9</v>
      </c>
      <c r="C605" s="2">
        <v>0.56539351851851849</v>
      </c>
      <c r="D605">
        <v>1</v>
      </c>
    </row>
    <row r="606" spans="1:4" x14ac:dyDescent="0.25">
      <c r="A606" s="1" t="s">
        <v>612</v>
      </c>
      <c r="B606" s="1" t="s">
        <v>7</v>
      </c>
      <c r="C606" s="2">
        <v>0.56568287037037035</v>
      </c>
      <c r="D606">
        <v>1</v>
      </c>
    </row>
    <row r="607" spans="1:4" x14ac:dyDescent="0.25">
      <c r="A607" s="1" t="s">
        <v>613</v>
      </c>
      <c r="B607" s="1" t="s">
        <v>27</v>
      </c>
      <c r="C607" s="2">
        <v>0.56597222222222221</v>
      </c>
      <c r="D607">
        <v>1</v>
      </c>
    </row>
    <row r="608" spans="1:4" x14ac:dyDescent="0.25">
      <c r="A608" s="1" t="s">
        <v>614</v>
      </c>
      <c r="B608" s="1" t="s">
        <v>7</v>
      </c>
      <c r="C608" s="2">
        <v>0.56626157407407407</v>
      </c>
      <c r="D608">
        <v>1</v>
      </c>
    </row>
    <row r="609" spans="1:4" x14ac:dyDescent="0.25">
      <c r="A609" s="1" t="s">
        <v>615</v>
      </c>
      <c r="B609" s="1" t="s">
        <v>9</v>
      </c>
      <c r="C609" s="2">
        <v>0.56684027777777779</v>
      </c>
      <c r="D609">
        <v>2</v>
      </c>
    </row>
    <row r="610" spans="1:4" x14ac:dyDescent="0.25">
      <c r="A610" s="1" t="s">
        <v>616</v>
      </c>
      <c r="B610" s="1" t="s">
        <v>9</v>
      </c>
      <c r="C610" s="2">
        <v>0.56712962962962965</v>
      </c>
      <c r="D610">
        <v>1</v>
      </c>
    </row>
    <row r="611" spans="1:4" x14ac:dyDescent="0.25">
      <c r="A611" s="1" t="s">
        <v>617</v>
      </c>
      <c r="B611" s="1" t="s">
        <v>9</v>
      </c>
      <c r="C611" s="2">
        <v>0.56741898148148151</v>
      </c>
      <c r="D611">
        <v>1</v>
      </c>
    </row>
    <row r="612" spans="1:4" x14ac:dyDescent="0.25">
      <c r="A612" s="1" t="s">
        <v>618</v>
      </c>
      <c r="B612" s="1" t="s">
        <v>5</v>
      </c>
      <c r="C612" s="2">
        <v>0.56770833333333337</v>
      </c>
      <c r="D612">
        <v>1</v>
      </c>
    </row>
    <row r="613" spans="1:4" x14ac:dyDescent="0.25">
      <c r="A613" s="1" t="s">
        <v>619</v>
      </c>
      <c r="B613" s="1" t="s">
        <v>7</v>
      </c>
      <c r="C613" s="2">
        <v>0.56799768518518523</v>
      </c>
      <c r="D613">
        <v>1</v>
      </c>
    </row>
    <row r="614" spans="1:4" x14ac:dyDescent="0.25">
      <c r="A614" s="1" t="s">
        <v>620</v>
      </c>
      <c r="B614" s="1" t="s">
        <v>9</v>
      </c>
      <c r="C614" s="2">
        <v>0.56828703703703709</v>
      </c>
      <c r="D614">
        <v>1</v>
      </c>
    </row>
    <row r="615" spans="1:4" x14ac:dyDescent="0.25">
      <c r="A615" s="1" t="s">
        <v>621</v>
      </c>
      <c r="B615" s="1" t="s">
        <v>7</v>
      </c>
      <c r="C615" s="2">
        <v>0.56857638888888884</v>
      </c>
      <c r="D615">
        <v>1</v>
      </c>
    </row>
    <row r="616" spans="1:4" x14ac:dyDescent="0.25">
      <c r="A616" s="1" t="s">
        <v>622</v>
      </c>
      <c r="B616" s="1" t="s">
        <v>5</v>
      </c>
      <c r="C616" s="2">
        <v>0.56915509259259256</v>
      </c>
      <c r="D616">
        <v>2</v>
      </c>
    </row>
    <row r="617" spans="1:4" x14ac:dyDescent="0.25">
      <c r="A617" s="1" t="s">
        <v>623</v>
      </c>
      <c r="B617" s="1" t="s">
        <v>9</v>
      </c>
      <c r="C617" s="2">
        <v>0.56944444444444442</v>
      </c>
      <c r="D617">
        <v>1</v>
      </c>
    </row>
    <row r="618" spans="1:4" x14ac:dyDescent="0.25">
      <c r="A618" s="1" t="s">
        <v>624</v>
      </c>
      <c r="B618" s="1" t="s">
        <v>7</v>
      </c>
      <c r="C618" s="2">
        <v>0.56973379629629628</v>
      </c>
      <c r="D618">
        <v>1</v>
      </c>
    </row>
    <row r="619" spans="1:4" x14ac:dyDescent="0.25">
      <c r="A619" s="1" t="s">
        <v>625</v>
      </c>
      <c r="B619" s="1" t="s">
        <v>5</v>
      </c>
      <c r="C619" s="2">
        <v>0.5703125</v>
      </c>
      <c r="D619">
        <v>2</v>
      </c>
    </row>
    <row r="620" spans="1:4" x14ac:dyDescent="0.25">
      <c r="A620" s="1" t="s">
        <v>626</v>
      </c>
      <c r="B620" s="1" t="s">
        <v>5</v>
      </c>
      <c r="C620" s="2">
        <v>0.57060185185185186</v>
      </c>
      <c r="D620">
        <v>1</v>
      </c>
    </row>
    <row r="621" spans="1:4" x14ac:dyDescent="0.25">
      <c r="A621" s="1" t="s">
        <v>627</v>
      </c>
      <c r="B621" s="1" t="s">
        <v>7</v>
      </c>
      <c r="C621" s="2">
        <v>0.57089120370370372</v>
      </c>
      <c r="D621">
        <v>1</v>
      </c>
    </row>
    <row r="622" spans="1:4" x14ac:dyDescent="0.25">
      <c r="A622" s="1" t="s">
        <v>628</v>
      </c>
      <c r="B622" s="1" t="s">
        <v>9</v>
      </c>
      <c r="C622" s="2">
        <v>0.57118055555555558</v>
      </c>
      <c r="D622">
        <v>1</v>
      </c>
    </row>
    <row r="623" spans="1:4" x14ac:dyDescent="0.25">
      <c r="A623" s="1" t="s">
        <v>629</v>
      </c>
      <c r="B623" s="1" t="s">
        <v>7</v>
      </c>
      <c r="C623" s="2">
        <v>0.57146990740740744</v>
      </c>
      <c r="D623">
        <v>1</v>
      </c>
    </row>
    <row r="624" spans="1:4" x14ac:dyDescent="0.25">
      <c r="A624" s="1" t="s">
        <v>630</v>
      </c>
      <c r="B624" s="1" t="s">
        <v>9</v>
      </c>
      <c r="C624" s="2">
        <v>0.57204861111111116</v>
      </c>
      <c r="D624">
        <v>2</v>
      </c>
    </row>
    <row r="625" spans="1:4" x14ac:dyDescent="0.25">
      <c r="A625" s="1" t="s">
        <v>631</v>
      </c>
      <c r="B625" s="1" t="s">
        <v>7</v>
      </c>
      <c r="C625" s="2">
        <v>0.57233796296296291</v>
      </c>
      <c r="D625">
        <v>1</v>
      </c>
    </row>
    <row r="626" spans="1:4" x14ac:dyDescent="0.25">
      <c r="A626" s="1" t="s">
        <v>632</v>
      </c>
      <c r="B626" s="1" t="s">
        <v>5</v>
      </c>
      <c r="C626" s="2">
        <v>0.57291666666666663</v>
      </c>
      <c r="D626">
        <v>2</v>
      </c>
    </row>
    <row r="627" spans="1:4" x14ac:dyDescent="0.25">
      <c r="A627" s="1" t="s">
        <v>633</v>
      </c>
      <c r="B627" s="1" t="s">
        <v>5</v>
      </c>
      <c r="C627" s="2">
        <v>0.57320601851851849</v>
      </c>
      <c r="D627">
        <v>1</v>
      </c>
    </row>
    <row r="628" spans="1:4" x14ac:dyDescent="0.25">
      <c r="A628" s="1" t="s">
        <v>634</v>
      </c>
      <c r="B628" s="1" t="s">
        <v>7</v>
      </c>
      <c r="C628" s="2">
        <v>0.57349537037037035</v>
      </c>
      <c r="D628">
        <v>1</v>
      </c>
    </row>
    <row r="629" spans="1:4" x14ac:dyDescent="0.25">
      <c r="A629" s="1" t="s">
        <v>635</v>
      </c>
      <c r="B629" s="1" t="s">
        <v>9</v>
      </c>
      <c r="C629" s="2">
        <v>0.57378472222222221</v>
      </c>
      <c r="D629">
        <v>1</v>
      </c>
    </row>
    <row r="630" spans="1:4" x14ac:dyDescent="0.25">
      <c r="A630" s="1" t="s">
        <v>636</v>
      </c>
      <c r="B630" s="1" t="s">
        <v>7</v>
      </c>
      <c r="C630" s="2">
        <v>0.57407407407407407</v>
      </c>
      <c r="D630">
        <v>1</v>
      </c>
    </row>
    <row r="631" spans="1:4" x14ac:dyDescent="0.25">
      <c r="A631" s="1" t="s">
        <v>637</v>
      </c>
      <c r="B631" s="1" t="s">
        <v>7</v>
      </c>
      <c r="C631" s="2">
        <v>0.57436342592592593</v>
      </c>
      <c r="D631">
        <v>1</v>
      </c>
    </row>
    <row r="632" spans="1:4" x14ac:dyDescent="0.25">
      <c r="A632" s="1" t="s">
        <v>638</v>
      </c>
      <c r="B632" s="1" t="s">
        <v>9</v>
      </c>
      <c r="C632" s="2">
        <v>0.57494212962962965</v>
      </c>
      <c r="D632">
        <v>2</v>
      </c>
    </row>
    <row r="633" spans="1:4" x14ac:dyDescent="0.25">
      <c r="A633" s="1" t="s">
        <v>639</v>
      </c>
      <c r="B633" s="1" t="s">
        <v>7</v>
      </c>
      <c r="C633" s="2">
        <v>0.57523148148148151</v>
      </c>
      <c r="D633">
        <v>1</v>
      </c>
    </row>
    <row r="634" spans="1:4" x14ac:dyDescent="0.25">
      <c r="A634" s="1" t="s">
        <v>640</v>
      </c>
      <c r="B634" s="1" t="s">
        <v>5</v>
      </c>
      <c r="C634" s="2">
        <v>0.57581018518518523</v>
      </c>
      <c r="D634">
        <v>2</v>
      </c>
    </row>
    <row r="635" spans="1:4" x14ac:dyDescent="0.25">
      <c r="A635" s="1" t="s">
        <v>641</v>
      </c>
      <c r="B635" s="1" t="s">
        <v>7</v>
      </c>
      <c r="C635" s="2">
        <v>0.57609953703703709</v>
      </c>
      <c r="D635">
        <v>1</v>
      </c>
    </row>
    <row r="636" spans="1:4" x14ac:dyDescent="0.25">
      <c r="A636" s="1" t="s">
        <v>642</v>
      </c>
      <c r="B636" s="1" t="s">
        <v>7</v>
      </c>
      <c r="C636" s="2">
        <v>0.57638888888888884</v>
      </c>
      <c r="D636">
        <v>1</v>
      </c>
    </row>
    <row r="637" spans="1:4" x14ac:dyDescent="0.25">
      <c r="A637" s="1" t="s">
        <v>643</v>
      </c>
      <c r="B637" s="1" t="s">
        <v>5</v>
      </c>
      <c r="C637" s="2">
        <v>0.57696759259259256</v>
      </c>
      <c r="D637">
        <v>2</v>
      </c>
    </row>
    <row r="638" spans="1:4" x14ac:dyDescent="0.25">
      <c r="A638" s="1" t="s">
        <v>644</v>
      </c>
      <c r="B638" s="1" t="s">
        <v>27</v>
      </c>
      <c r="C638" s="2">
        <v>0.57754629629629628</v>
      </c>
      <c r="D638">
        <v>2</v>
      </c>
    </row>
    <row r="639" spans="1:4" x14ac:dyDescent="0.25">
      <c r="A639" s="1" t="s">
        <v>645</v>
      </c>
      <c r="B639" s="1" t="s">
        <v>7</v>
      </c>
      <c r="C639" s="2">
        <v>0.57783564814814814</v>
      </c>
      <c r="D639">
        <v>1</v>
      </c>
    </row>
    <row r="640" spans="1:4" x14ac:dyDescent="0.25">
      <c r="A640" s="1" t="s">
        <v>646</v>
      </c>
      <c r="B640" s="1" t="s">
        <v>7</v>
      </c>
      <c r="C640" s="2">
        <v>0.578125</v>
      </c>
      <c r="D640">
        <v>1</v>
      </c>
    </row>
    <row r="641" spans="1:4" x14ac:dyDescent="0.25">
      <c r="A641" s="1" t="s">
        <v>647</v>
      </c>
      <c r="B641" s="1" t="s">
        <v>9</v>
      </c>
      <c r="C641" s="2">
        <v>0.57841435185185186</v>
      </c>
      <c r="D641">
        <v>1</v>
      </c>
    </row>
    <row r="642" spans="1:4" x14ac:dyDescent="0.25">
      <c r="A642" s="1" t="s">
        <v>648</v>
      </c>
      <c r="B642" s="1" t="s">
        <v>9</v>
      </c>
      <c r="C642" s="2">
        <v>0.57899305555555558</v>
      </c>
      <c r="D642">
        <v>2</v>
      </c>
    </row>
    <row r="643" spans="1:4" x14ac:dyDescent="0.25">
      <c r="A643" s="1" t="s">
        <v>649</v>
      </c>
      <c r="B643" s="1" t="s">
        <v>27</v>
      </c>
      <c r="C643" s="2">
        <v>0.5795717592592593</v>
      </c>
      <c r="D643">
        <v>2</v>
      </c>
    </row>
    <row r="644" spans="1:4" x14ac:dyDescent="0.25">
      <c r="A644" s="1" t="s">
        <v>650</v>
      </c>
      <c r="B644" s="1" t="s">
        <v>27</v>
      </c>
      <c r="C644" s="2">
        <v>0.58015046296296291</v>
      </c>
      <c r="D644">
        <v>2</v>
      </c>
    </row>
    <row r="645" spans="1:4" x14ac:dyDescent="0.25">
      <c r="A645" s="1" t="s">
        <v>651</v>
      </c>
      <c r="B645" s="1" t="s">
        <v>7</v>
      </c>
      <c r="C645" s="2">
        <v>0.58043981481481477</v>
      </c>
      <c r="D645">
        <v>1</v>
      </c>
    </row>
    <row r="646" spans="1:4" x14ac:dyDescent="0.25">
      <c r="A646" s="1" t="s">
        <v>652</v>
      </c>
      <c r="B646" s="1" t="s">
        <v>7</v>
      </c>
      <c r="C646" s="2">
        <v>0.58072916666666663</v>
      </c>
      <c r="D646">
        <v>1</v>
      </c>
    </row>
    <row r="647" spans="1:4" x14ac:dyDescent="0.25">
      <c r="A647" s="1" t="s">
        <v>653</v>
      </c>
      <c r="B647" s="1" t="s">
        <v>27</v>
      </c>
      <c r="C647" s="2">
        <v>0.58130787037037035</v>
      </c>
      <c r="D647">
        <v>2</v>
      </c>
    </row>
    <row r="648" spans="1:4" x14ac:dyDescent="0.25">
      <c r="A648" s="1" t="s">
        <v>654</v>
      </c>
      <c r="B648" s="1" t="s">
        <v>27</v>
      </c>
      <c r="C648" s="2">
        <v>0.58188657407407407</v>
      </c>
      <c r="D648">
        <v>2</v>
      </c>
    </row>
    <row r="649" spans="1:4" x14ac:dyDescent="0.25">
      <c r="A649" s="1" t="s">
        <v>655</v>
      </c>
      <c r="B649" s="1" t="s">
        <v>27</v>
      </c>
      <c r="C649" s="2">
        <v>0.58246527777777779</v>
      </c>
      <c r="D649">
        <v>2</v>
      </c>
    </row>
    <row r="650" spans="1:4" x14ac:dyDescent="0.25">
      <c r="A650" s="1" t="s">
        <v>656</v>
      </c>
      <c r="B650" s="1" t="s">
        <v>7</v>
      </c>
      <c r="C650" s="2">
        <v>0.58275462962962965</v>
      </c>
      <c r="D650">
        <v>1</v>
      </c>
    </row>
    <row r="651" spans="1:4" x14ac:dyDescent="0.25">
      <c r="A651" s="1" t="s">
        <v>657</v>
      </c>
      <c r="B651" s="1" t="s">
        <v>5</v>
      </c>
      <c r="C651" s="2">
        <v>0.58333333333333337</v>
      </c>
      <c r="D651">
        <v>2</v>
      </c>
    </row>
    <row r="652" spans="1:4" x14ac:dyDescent="0.25">
      <c r="A652" s="1" t="s">
        <v>658</v>
      </c>
      <c r="B652" s="1" t="s">
        <v>5</v>
      </c>
      <c r="C652" s="2">
        <v>0.58391203703703709</v>
      </c>
      <c r="D652">
        <v>2</v>
      </c>
    </row>
    <row r="653" spans="1:4" x14ac:dyDescent="0.25">
      <c r="A653" s="1" t="s">
        <v>659</v>
      </c>
      <c r="B653" s="1" t="s">
        <v>5</v>
      </c>
      <c r="C653" s="2">
        <v>0.5844907407407407</v>
      </c>
      <c r="D653">
        <v>2</v>
      </c>
    </row>
    <row r="654" spans="1:4" x14ac:dyDescent="0.25">
      <c r="A654" s="1" t="s">
        <v>660</v>
      </c>
      <c r="B654" s="1" t="s">
        <v>9</v>
      </c>
      <c r="C654" s="2">
        <v>0.58478009259259256</v>
      </c>
      <c r="D654">
        <v>1</v>
      </c>
    </row>
    <row r="655" spans="1:4" x14ac:dyDescent="0.25">
      <c r="A655" s="1" t="s">
        <v>661</v>
      </c>
      <c r="B655" s="1" t="s">
        <v>9</v>
      </c>
      <c r="C655" s="2">
        <v>0.58535879629629628</v>
      </c>
      <c r="D655">
        <v>2</v>
      </c>
    </row>
    <row r="656" spans="1:4" x14ac:dyDescent="0.25">
      <c r="A656" s="1" t="s">
        <v>662</v>
      </c>
      <c r="B656" s="1" t="s">
        <v>7</v>
      </c>
      <c r="C656" s="2">
        <v>0.58564814814814814</v>
      </c>
      <c r="D656">
        <v>1</v>
      </c>
    </row>
    <row r="657" spans="1:4" x14ac:dyDescent="0.25">
      <c r="A657" s="1" t="s">
        <v>663</v>
      </c>
      <c r="B657" s="1" t="s">
        <v>9</v>
      </c>
      <c r="C657" s="2">
        <v>0.58622685185185186</v>
      </c>
      <c r="D657">
        <v>2</v>
      </c>
    </row>
    <row r="658" spans="1:4" x14ac:dyDescent="0.25">
      <c r="A658" s="1" t="s">
        <v>664</v>
      </c>
      <c r="B658" s="1" t="s">
        <v>7</v>
      </c>
      <c r="C658" s="2">
        <v>0.58651620370370372</v>
      </c>
      <c r="D658">
        <v>1</v>
      </c>
    </row>
    <row r="659" spans="1:4" x14ac:dyDescent="0.25">
      <c r="A659" s="1" t="s">
        <v>665</v>
      </c>
      <c r="B659" s="1" t="s">
        <v>7</v>
      </c>
      <c r="C659" s="2">
        <v>0.58680555555555558</v>
      </c>
      <c r="D659">
        <v>1</v>
      </c>
    </row>
    <row r="660" spans="1:4" x14ac:dyDescent="0.25">
      <c r="A660" s="1" t="s">
        <v>666</v>
      </c>
      <c r="B660" s="1" t="s">
        <v>27</v>
      </c>
      <c r="C660" s="2">
        <v>0.58709490740740744</v>
      </c>
      <c r="D660">
        <v>1</v>
      </c>
    </row>
    <row r="661" spans="1:4" x14ac:dyDescent="0.25">
      <c r="A661" s="1" t="s">
        <v>667</v>
      </c>
      <c r="B661" s="1" t="s">
        <v>27</v>
      </c>
      <c r="C661" s="2">
        <v>0.5873842592592593</v>
      </c>
      <c r="D661">
        <v>1</v>
      </c>
    </row>
    <row r="662" spans="1:4" x14ac:dyDescent="0.25">
      <c r="A662" s="1" t="s">
        <v>668</v>
      </c>
      <c r="B662" s="1" t="s">
        <v>7</v>
      </c>
      <c r="C662" s="2">
        <v>0.58767361111111116</v>
      </c>
      <c r="D662">
        <v>1</v>
      </c>
    </row>
    <row r="663" spans="1:4" x14ac:dyDescent="0.25">
      <c r="A663" s="1" t="s">
        <v>669</v>
      </c>
      <c r="B663" s="1" t="s">
        <v>9</v>
      </c>
      <c r="C663" s="2">
        <v>0.58796296296296291</v>
      </c>
      <c r="D663">
        <v>1</v>
      </c>
    </row>
    <row r="664" spans="1:4" x14ac:dyDescent="0.25">
      <c r="A664" s="1" t="s">
        <v>670</v>
      </c>
      <c r="B664" s="1" t="s">
        <v>9</v>
      </c>
      <c r="C664" s="2">
        <v>0.58854166666666663</v>
      </c>
      <c r="D664">
        <v>2</v>
      </c>
    </row>
    <row r="665" spans="1:4" x14ac:dyDescent="0.25">
      <c r="A665" s="1" t="s">
        <v>671</v>
      </c>
      <c r="B665" s="1" t="s">
        <v>9</v>
      </c>
      <c r="C665" s="2">
        <v>0.58883101851851849</v>
      </c>
      <c r="D665">
        <v>1</v>
      </c>
    </row>
    <row r="666" spans="1:4" x14ac:dyDescent="0.25">
      <c r="A666" s="1" t="s">
        <v>672</v>
      </c>
      <c r="B666" s="1" t="s">
        <v>5</v>
      </c>
      <c r="C666" s="2">
        <v>0.58940972222222221</v>
      </c>
      <c r="D666">
        <v>2</v>
      </c>
    </row>
    <row r="667" spans="1:4" x14ac:dyDescent="0.25">
      <c r="A667" s="1" t="s">
        <v>673</v>
      </c>
      <c r="B667" s="1" t="s">
        <v>9</v>
      </c>
      <c r="C667" s="2">
        <v>0.58998842592592593</v>
      </c>
      <c r="D667">
        <v>2</v>
      </c>
    </row>
    <row r="668" spans="1:4" x14ac:dyDescent="0.25">
      <c r="A668" s="1" t="s">
        <v>674</v>
      </c>
      <c r="B668" s="1" t="s">
        <v>7</v>
      </c>
      <c r="C668" s="2">
        <v>0.59027777777777779</v>
      </c>
      <c r="D668">
        <v>1</v>
      </c>
    </row>
    <row r="669" spans="1:4" x14ac:dyDescent="0.25">
      <c r="A669" s="1" t="s">
        <v>675</v>
      </c>
      <c r="B669" s="1" t="s">
        <v>9</v>
      </c>
      <c r="C669" s="2">
        <v>0.59056712962962965</v>
      </c>
      <c r="D669">
        <v>1</v>
      </c>
    </row>
    <row r="670" spans="1:4" x14ac:dyDescent="0.25">
      <c r="A670" s="1" t="s">
        <v>676</v>
      </c>
      <c r="B670" s="1" t="s">
        <v>9</v>
      </c>
      <c r="C670" s="2">
        <v>0.59114583333333337</v>
      </c>
      <c r="D670">
        <v>2</v>
      </c>
    </row>
    <row r="671" spans="1:4" x14ac:dyDescent="0.25">
      <c r="A671" s="1" t="s">
        <v>677</v>
      </c>
      <c r="B671" s="1" t="s">
        <v>9</v>
      </c>
      <c r="C671" s="2">
        <v>0.59143518518518523</v>
      </c>
      <c r="D671">
        <v>1</v>
      </c>
    </row>
    <row r="672" spans="1:4" x14ac:dyDescent="0.25">
      <c r="A672" s="1" t="s">
        <v>678</v>
      </c>
      <c r="B672" s="1" t="s">
        <v>7</v>
      </c>
      <c r="C672" s="2">
        <v>0.59172453703703709</v>
      </c>
      <c r="D672">
        <v>1</v>
      </c>
    </row>
    <row r="673" spans="1:4" x14ac:dyDescent="0.25">
      <c r="A673" s="1" t="s">
        <v>679</v>
      </c>
      <c r="B673" s="1" t="s">
        <v>9</v>
      </c>
      <c r="C673" s="2">
        <v>0.5923032407407407</v>
      </c>
      <c r="D673">
        <v>2</v>
      </c>
    </row>
    <row r="674" spans="1:4" x14ac:dyDescent="0.25">
      <c r="A674" s="1" t="s">
        <v>680</v>
      </c>
      <c r="B674" s="1" t="s">
        <v>7</v>
      </c>
      <c r="C674" s="2">
        <v>0.59259259259259256</v>
      </c>
      <c r="D674">
        <v>1</v>
      </c>
    </row>
    <row r="675" spans="1:4" x14ac:dyDescent="0.25">
      <c r="A675" s="1" t="s">
        <v>681</v>
      </c>
      <c r="B675" s="1" t="s">
        <v>5</v>
      </c>
      <c r="C675" s="2">
        <v>0.59288194444444442</v>
      </c>
      <c r="D675">
        <v>1</v>
      </c>
    </row>
    <row r="676" spans="1:4" x14ac:dyDescent="0.25">
      <c r="A676" s="1" t="s">
        <v>682</v>
      </c>
      <c r="B676" s="1" t="s">
        <v>27</v>
      </c>
      <c r="C676" s="2">
        <v>0.59317129629629628</v>
      </c>
      <c r="D676">
        <v>1</v>
      </c>
    </row>
    <row r="677" spans="1:4" x14ac:dyDescent="0.25">
      <c r="A677" s="1" t="s">
        <v>683</v>
      </c>
      <c r="B677" s="1" t="s">
        <v>27</v>
      </c>
      <c r="C677" s="2">
        <v>0.59346064814814814</v>
      </c>
      <c r="D677">
        <v>1</v>
      </c>
    </row>
    <row r="678" spans="1:4" x14ac:dyDescent="0.25">
      <c r="A678" s="1" t="s">
        <v>684</v>
      </c>
      <c r="B678" s="1" t="s">
        <v>7</v>
      </c>
      <c r="C678" s="2">
        <v>0.59375</v>
      </c>
      <c r="D678">
        <v>1</v>
      </c>
    </row>
    <row r="679" spans="1:4" x14ac:dyDescent="0.25">
      <c r="A679" s="1" t="s">
        <v>685</v>
      </c>
      <c r="B679" s="1" t="s">
        <v>9</v>
      </c>
      <c r="C679" s="2">
        <v>0.59432870370370372</v>
      </c>
      <c r="D679">
        <v>2</v>
      </c>
    </row>
    <row r="680" spans="1:4" x14ac:dyDescent="0.25">
      <c r="A680" s="1" t="s">
        <v>686</v>
      </c>
      <c r="B680" s="1" t="s">
        <v>5</v>
      </c>
      <c r="C680" s="2">
        <v>0.59461805555555558</v>
      </c>
      <c r="D680">
        <v>1</v>
      </c>
    </row>
    <row r="681" spans="1:4" x14ac:dyDescent="0.25">
      <c r="A681" s="1" t="s">
        <v>687</v>
      </c>
      <c r="B681" s="1" t="s">
        <v>7</v>
      </c>
      <c r="C681" s="2">
        <v>0.59490740740740744</v>
      </c>
      <c r="D681">
        <v>1</v>
      </c>
    </row>
    <row r="682" spans="1:4" x14ac:dyDescent="0.25">
      <c r="A682" s="1" t="s">
        <v>688</v>
      </c>
      <c r="B682" s="1" t="s">
        <v>7</v>
      </c>
      <c r="C682" s="2">
        <v>0.5951967592592593</v>
      </c>
      <c r="D682">
        <v>1</v>
      </c>
    </row>
    <row r="683" spans="1:4" x14ac:dyDescent="0.25">
      <c r="A683" s="1" t="s">
        <v>689</v>
      </c>
      <c r="B683" s="1" t="s">
        <v>27</v>
      </c>
      <c r="C683" s="2">
        <v>0.59577546296296291</v>
      </c>
      <c r="D683">
        <v>2</v>
      </c>
    </row>
    <row r="684" spans="1:4" x14ac:dyDescent="0.25">
      <c r="A684" s="1" t="s">
        <v>690</v>
      </c>
      <c r="B684" s="1" t="s">
        <v>7</v>
      </c>
      <c r="C684" s="2">
        <v>0.59606481481481477</v>
      </c>
      <c r="D684">
        <v>1</v>
      </c>
    </row>
    <row r="685" spans="1:4" x14ac:dyDescent="0.25">
      <c r="A685" s="1" t="s">
        <v>691</v>
      </c>
      <c r="B685" s="1" t="s">
        <v>9</v>
      </c>
      <c r="C685" s="2">
        <v>0.59635416666666663</v>
      </c>
      <c r="D685">
        <v>1</v>
      </c>
    </row>
    <row r="686" spans="1:4" x14ac:dyDescent="0.25">
      <c r="A686" s="1" t="s">
        <v>692</v>
      </c>
      <c r="B686" s="1" t="s">
        <v>9</v>
      </c>
      <c r="C686" s="2">
        <v>0.59664351851851849</v>
      </c>
      <c r="D686">
        <v>1</v>
      </c>
    </row>
    <row r="687" spans="1:4" x14ac:dyDescent="0.25">
      <c r="A687" s="1" t="s">
        <v>693</v>
      </c>
      <c r="B687" s="1" t="s">
        <v>27</v>
      </c>
      <c r="C687" s="2">
        <v>0.59722222222222221</v>
      </c>
      <c r="D687">
        <v>2</v>
      </c>
    </row>
    <row r="688" spans="1:4" x14ac:dyDescent="0.25">
      <c r="A688" s="1" t="s">
        <v>694</v>
      </c>
      <c r="B688" s="1" t="s">
        <v>7</v>
      </c>
      <c r="C688" s="2">
        <v>0.59751157407407407</v>
      </c>
      <c r="D688">
        <v>1</v>
      </c>
    </row>
    <row r="689" spans="1:4" x14ac:dyDescent="0.25">
      <c r="A689" s="1" t="s">
        <v>695</v>
      </c>
      <c r="B689" s="1" t="s">
        <v>27</v>
      </c>
      <c r="C689" s="2">
        <v>0.59809027777777779</v>
      </c>
      <c r="D689">
        <v>2</v>
      </c>
    </row>
    <row r="690" spans="1:4" x14ac:dyDescent="0.25">
      <c r="A690" s="1" t="s">
        <v>696</v>
      </c>
      <c r="B690" s="1" t="s">
        <v>7</v>
      </c>
      <c r="C690" s="2">
        <v>0.59837962962962965</v>
      </c>
      <c r="D690">
        <v>1</v>
      </c>
    </row>
    <row r="691" spans="1:4" x14ac:dyDescent="0.25">
      <c r="A691" s="1" t="s">
        <v>697</v>
      </c>
      <c r="B691" s="1" t="s">
        <v>9</v>
      </c>
      <c r="C691" s="2">
        <v>0.59866898148148151</v>
      </c>
      <c r="D691">
        <v>1</v>
      </c>
    </row>
    <row r="692" spans="1:4" x14ac:dyDescent="0.25">
      <c r="A692" s="1" t="s">
        <v>698</v>
      </c>
      <c r="B692" s="1" t="s">
        <v>5</v>
      </c>
      <c r="C692" s="2">
        <v>0.59895833333333337</v>
      </c>
      <c r="D692">
        <v>1</v>
      </c>
    </row>
    <row r="693" spans="1:4" x14ac:dyDescent="0.25">
      <c r="A693" s="1" t="s">
        <v>699</v>
      </c>
      <c r="B693" s="1" t="s">
        <v>27</v>
      </c>
      <c r="C693" s="2">
        <v>0.59924768518518523</v>
      </c>
      <c r="D693">
        <v>1</v>
      </c>
    </row>
    <row r="694" spans="1:4" x14ac:dyDescent="0.25">
      <c r="A694" s="1" t="s">
        <v>700</v>
      </c>
      <c r="B694" s="1" t="s">
        <v>7</v>
      </c>
      <c r="C694" s="2">
        <v>0.59953703703703709</v>
      </c>
      <c r="D694">
        <v>1</v>
      </c>
    </row>
    <row r="695" spans="1:4" x14ac:dyDescent="0.25">
      <c r="A695" s="1" t="s">
        <v>701</v>
      </c>
      <c r="B695" s="1" t="s">
        <v>27</v>
      </c>
      <c r="C695" s="2">
        <v>0.6001157407407407</v>
      </c>
      <c r="D695">
        <v>2</v>
      </c>
    </row>
    <row r="696" spans="1:4" x14ac:dyDescent="0.25">
      <c r="A696" s="1" t="s">
        <v>702</v>
      </c>
      <c r="B696" s="1" t="s">
        <v>7</v>
      </c>
      <c r="C696" s="2">
        <v>0.60040509259259256</v>
      </c>
      <c r="D696">
        <v>1</v>
      </c>
    </row>
    <row r="697" spans="1:4" x14ac:dyDescent="0.25">
      <c r="A697" s="1" t="s">
        <v>703</v>
      </c>
      <c r="B697" s="1" t="s">
        <v>9</v>
      </c>
      <c r="C697" s="2">
        <v>0.60069444444444442</v>
      </c>
      <c r="D697">
        <v>1</v>
      </c>
    </row>
    <row r="698" spans="1:4" x14ac:dyDescent="0.25">
      <c r="A698" s="1" t="s">
        <v>704</v>
      </c>
      <c r="B698" s="1" t="s">
        <v>7</v>
      </c>
      <c r="C698" s="2">
        <v>0.60098379629629628</v>
      </c>
      <c r="D698">
        <v>1</v>
      </c>
    </row>
    <row r="699" spans="1:4" x14ac:dyDescent="0.25">
      <c r="A699" s="1" t="s">
        <v>705</v>
      </c>
      <c r="B699" s="1" t="s">
        <v>9</v>
      </c>
      <c r="C699" s="2">
        <v>0.60127314814814814</v>
      </c>
      <c r="D699">
        <v>1</v>
      </c>
    </row>
    <row r="700" spans="1:4" x14ac:dyDescent="0.25">
      <c r="A700" s="1" t="s">
        <v>706</v>
      </c>
      <c r="B700" s="1" t="s">
        <v>7</v>
      </c>
      <c r="C700" s="2">
        <v>0.6015625</v>
      </c>
      <c r="D700">
        <v>1</v>
      </c>
    </row>
    <row r="701" spans="1:4" x14ac:dyDescent="0.25">
      <c r="A701" s="1" t="s">
        <v>707</v>
      </c>
      <c r="B701" s="1" t="s">
        <v>5</v>
      </c>
      <c r="C701" s="2">
        <v>0.60214120370370372</v>
      </c>
      <c r="D701">
        <v>2</v>
      </c>
    </row>
    <row r="702" spans="1:4" x14ac:dyDescent="0.25">
      <c r="A702" s="1" t="s">
        <v>708</v>
      </c>
      <c r="B702" s="1" t="s">
        <v>7</v>
      </c>
      <c r="C702" s="2">
        <v>0.60243055555555558</v>
      </c>
      <c r="D702">
        <v>1</v>
      </c>
    </row>
    <row r="703" spans="1:4" x14ac:dyDescent="0.25">
      <c r="A703" s="1" t="s">
        <v>709</v>
      </c>
      <c r="B703" s="1" t="s">
        <v>27</v>
      </c>
      <c r="C703" s="2">
        <v>0.60271990740740744</v>
      </c>
      <c r="D703">
        <v>1</v>
      </c>
    </row>
    <row r="704" spans="1:4" x14ac:dyDescent="0.25">
      <c r="A704" s="1" t="s">
        <v>710</v>
      </c>
      <c r="B704" s="1" t="s">
        <v>27</v>
      </c>
      <c r="C704" s="2">
        <v>0.60329861111111116</v>
      </c>
      <c r="D704">
        <v>2</v>
      </c>
    </row>
    <row r="705" spans="1:4" x14ac:dyDescent="0.25">
      <c r="A705" s="1" t="s">
        <v>711</v>
      </c>
      <c r="B705" s="1" t="s">
        <v>7</v>
      </c>
      <c r="C705" s="2">
        <v>0.60358796296296291</v>
      </c>
      <c r="D705">
        <v>1</v>
      </c>
    </row>
    <row r="706" spans="1:4" x14ac:dyDescent="0.25">
      <c r="A706" s="1" t="s">
        <v>712</v>
      </c>
      <c r="B706" s="1" t="s">
        <v>7</v>
      </c>
      <c r="C706" s="2">
        <v>0.60387731481481477</v>
      </c>
      <c r="D706">
        <v>1</v>
      </c>
    </row>
    <row r="707" spans="1:4" x14ac:dyDescent="0.25">
      <c r="A707" s="1" t="s">
        <v>713</v>
      </c>
      <c r="B707" s="1" t="s">
        <v>7</v>
      </c>
      <c r="C707" s="2">
        <v>0.60416666666666663</v>
      </c>
      <c r="D707">
        <v>1</v>
      </c>
    </row>
    <row r="708" spans="1:4" x14ac:dyDescent="0.25">
      <c r="A708" s="1" t="s">
        <v>714</v>
      </c>
      <c r="B708" s="1" t="s">
        <v>9</v>
      </c>
      <c r="C708" s="2">
        <v>0.60445601851851849</v>
      </c>
      <c r="D708">
        <v>1</v>
      </c>
    </row>
    <row r="709" spans="1:4" x14ac:dyDescent="0.25">
      <c r="A709" s="1" t="s">
        <v>715</v>
      </c>
      <c r="B709" s="1" t="s">
        <v>7</v>
      </c>
      <c r="C709" s="2">
        <v>0.60474537037037035</v>
      </c>
      <c r="D709">
        <v>1</v>
      </c>
    </row>
    <row r="710" spans="1:4" x14ac:dyDescent="0.25">
      <c r="A710" s="1" t="s">
        <v>716</v>
      </c>
      <c r="B710" s="1" t="s">
        <v>9</v>
      </c>
      <c r="C710" s="2">
        <v>0.60532407407407407</v>
      </c>
      <c r="D710">
        <v>2</v>
      </c>
    </row>
    <row r="711" spans="1:4" x14ac:dyDescent="0.25">
      <c r="A711" s="1" t="s">
        <v>717</v>
      </c>
      <c r="B711" s="1" t="s">
        <v>7</v>
      </c>
      <c r="C711" s="2">
        <v>0.60561342592592593</v>
      </c>
      <c r="D711">
        <v>1</v>
      </c>
    </row>
    <row r="712" spans="1:4" x14ac:dyDescent="0.25">
      <c r="A712" s="1" t="s">
        <v>718</v>
      </c>
      <c r="B712" s="1" t="s">
        <v>27</v>
      </c>
      <c r="C712" s="2">
        <v>0.60619212962962965</v>
      </c>
      <c r="D712">
        <v>2</v>
      </c>
    </row>
    <row r="713" spans="1:4" x14ac:dyDescent="0.25">
      <c r="A713" s="1" t="s">
        <v>719</v>
      </c>
      <c r="B713" s="1" t="s">
        <v>7</v>
      </c>
      <c r="C713" s="2">
        <v>0.60648148148148151</v>
      </c>
      <c r="D713">
        <v>1</v>
      </c>
    </row>
    <row r="714" spans="1:4" x14ac:dyDescent="0.25">
      <c r="A714" s="1" t="s">
        <v>720</v>
      </c>
      <c r="B714" s="1" t="s">
        <v>7</v>
      </c>
      <c r="C714" s="2">
        <v>0.60677083333333337</v>
      </c>
      <c r="D714">
        <v>1</v>
      </c>
    </row>
    <row r="715" spans="1:4" x14ac:dyDescent="0.25">
      <c r="A715" s="1" t="s">
        <v>721</v>
      </c>
      <c r="B715" s="1" t="s">
        <v>7</v>
      </c>
      <c r="C715" s="2">
        <v>0.60706018518518523</v>
      </c>
      <c r="D715">
        <v>1</v>
      </c>
    </row>
    <row r="716" spans="1:4" x14ac:dyDescent="0.25">
      <c r="A716" s="1" t="s">
        <v>722</v>
      </c>
      <c r="B716" s="1" t="s">
        <v>9</v>
      </c>
      <c r="C716" s="2">
        <v>0.60734953703703709</v>
      </c>
      <c r="D716">
        <v>1</v>
      </c>
    </row>
    <row r="717" spans="1:4" x14ac:dyDescent="0.25">
      <c r="A717" s="1" t="s">
        <v>723</v>
      </c>
      <c r="B717" s="1" t="s">
        <v>27</v>
      </c>
      <c r="C717" s="2">
        <v>0.60763888888888884</v>
      </c>
      <c r="D717">
        <v>1</v>
      </c>
    </row>
    <row r="718" spans="1:4" x14ac:dyDescent="0.25">
      <c r="A718" s="1" t="s">
        <v>724</v>
      </c>
      <c r="B718" s="1" t="s">
        <v>7</v>
      </c>
      <c r="C718" s="2">
        <v>0.6079282407407407</v>
      </c>
      <c r="D718">
        <v>1</v>
      </c>
    </row>
    <row r="719" spans="1:4" x14ac:dyDescent="0.25">
      <c r="A719" s="1" t="s">
        <v>725</v>
      </c>
      <c r="B719" s="1" t="s">
        <v>5</v>
      </c>
      <c r="C719" s="2">
        <v>0.60821759259259256</v>
      </c>
      <c r="D719">
        <v>1</v>
      </c>
    </row>
    <row r="720" spans="1:4" x14ac:dyDescent="0.25">
      <c r="A720" s="1" t="s">
        <v>726</v>
      </c>
      <c r="B720" s="1" t="s">
        <v>7</v>
      </c>
      <c r="C720" s="2">
        <v>0.60850694444444442</v>
      </c>
      <c r="D720">
        <v>1</v>
      </c>
    </row>
    <row r="721" spans="1:4" x14ac:dyDescent="0.25">
      <c r="A721" s="1" t="s">
        <v>727</v>
      </c>
      <c r="B721" s="1" t="s">
        <v>9</v>
      </c>
      <c r="C721" s="2">
        <v>0.60879629629629628</v>
      </c>
      <c r="D721">
        <v>1</v>
      </c>
    </row>
    <row r="722" spans="1:4" x14ac:dyDescent="0.25">
      <c r="A722" s="1" t="s">
        <v>728</v>
      </c>
      <c r="B722" s="1" t="s">
        <v>9</v>
      </c>
      <c r="C722" s="2">
        <v>0.609375</v>
      </c>
      <c r="D722">
        <v>2</v>
      </c>
    </row>
    <row r="723" spans="1:4" x14ac:dyDescent="0.25">
      <c r="A723" s="1" t="s">
        <v>729</v>
      </c>
      <c r="B723" s="1" t="s">
        <v>5</v>
      </c>
      <c r="C723" s="2">
        <v>0.60995370370370372</v>
      </c>
      <c r="D723">
        <v>2</v>
      </c>
    </row>
    <row r="724" spans="1:4" x14ac:dyDescent="0.25">
      <c r="A724" s="1" t="s">
        <v>730</v>
      </c>
      <c r="B724" s="1" t="s">
        <v>27</v>
      </c>
      <c r="C724" s="2">
        <v>0.61024305555555558</v>
      </c>
      <c r="D724">
        <v>1</v>
      </c>
    </row>
    <row r="725" spans="1:4" x14ac:dyDescent="0.25">
      <c r="A725" s="1" t="s">
        <v>731</v>
      </c>
      <c r="B725" s="1" t="s">
        <v>7</v>
      </c>
      <c r="C725" s="2">
        <v>0.61053240740740744</v>
      </c>
      <c r="D725">
        <v>1</v>
      </c>
    </row>
    <row r="726" spans="1:4" x14ac:dyDescent="0.25">
      <c r="A726" s="1" t="s">
        <v>732</v>
      </c>
      <c r="B726" s="1" t="s">
        <v>9</v>
      </c>
      <c r="C726" s="2">
        <v>0.6108217592592593</v>
      </c>
      <c r="D726">
        <v>1</v>
      </c>
    </row>
    <row r="727" spans="1:4" x14ac:dyDescent="0.25">
      <c r="A727" s="1" t="s">
        <v>733</v>
      </c>
      <c r="B727" s="1" t="s">
        <v>9</v>
      </c>
      <c r="C727" s="2">
        <v>0.61111111111111116</v>
      </c>
      <c r="D727">
        <v>1</v>
      </c>
    </row>
    <row r="728" spans="1:4" x14ac:dyDescent="0.25">
      <c r="A728" s="1" t="s">
        <v>734</v>
      </c>
      <c r="B728" s="1" t="s">
        <v>7</v>
      </c>
      <c r="C728" s="2">
        <v>0.61140046296296291</v>
      </c>
      <c r="D728">
        <v>1</v>
      </c>
    </row>
    <row r="729" spans="1:4" x14ac:dyDescent="0.25">
      <c r="A729" s="1" t="s">
        <v>735</v>
      </c>
      <c r="B729" s="1" t="s">
        <v>5</v>
      </c>
      <c r="C729" s="2">
        <v>0.61197916666666663</v>
      </c>
      <c r="D729">
        <v>2</v>
      </c>
    </row>
    <row r="730" spans="1:4" x14ac:dyDescent="0.25">
      <c r="A730" s="1" t="s">
        <v>736</v>
      </c>
      <c r="B730" s="1" t="s">
        <v>27</v>
      </c>
      <c r="C730" s="2">
        <v>0.61255787037037035</v>
      </c>
      <c r="D730">
        <v>2</v>
      </c>
    </row>
    <row r="731" spans="1:4" x14ac:dyDescent="0.25">
      <c r="A731" s="1" t="s">
        <v>737</v>
      </c>
      <c r="B731" s="1" t="s">
        <v>27</v>
      </c>
      <c r="C731" s="2">
        <v>0.61313657407407407</v>
      </c>
      <c r="D731">
        <v>2</v>
      </c>
    </row>
    <row r="732" spans="1:4" x14ac:dyDescent="0.25">
      <c r="A732" s="1" t="s">
        <v>738</v>
      </c>
      <c r="B732" s="1" t="s">
        <v>27</v>
      </c>
      <c r="C732" s="2">
        <v>0.61342592592592593</v>
      </c>
      <c r="D732">
        <v>1</v>
      </c>
    </row>
    <row r="733" spans="1:4" x14ac:dyDescent="0.25">
      <c r="A733" s="1" t="s">
        <v>739</v>
      </c>
      <c r="B733" s="1" t="s">
        <v>7</v>
      </c>
      <c r="C733" s="2">
        <v>0.61371527777777779</v>
      </c>
      <c r="D733">
        <v>1</v>
      </c>
    </row>
    <row r="734" spans="1:4" x14ac:dyDescent="0.25">
      <c r="A734" s="1" t="s">
        <v>740</v>
      </c>
      <c r="B734" s="1" t="s">
        <v>7</v>
      </c>
      <c r="C734" s="2">
        <v>0.61400462962962965</v>
      </c>
      <c r="D734">
        <v>1</v>
      </c>
    </row>
    <row r="735" spans="1:4" x14ac:dyDescent="0.25">
      <c r="A735" s="1" t="s">
        <v>741</v>
      </c>
      <c r="B735" s="1" t="s">
        <v>9</v>
      </c>
      <c r="C735" s="2">
        <v>0.61429398148148151</v>
      </c>
      <c r="D735">
        <v>1</v>
      </c>
    </row>
    <row r="736" spans="1:4" x14ac:dyDescent="0.25">
      <c r="A736" s="1" t="s">
        <v>742</v>
      </c>
      <c r="B736" s="1" t="s">
        <v>9</v>
      </c>
      <c r="C736" s="2">
        <v>0.61487268518518523</v>
      </c>
      <c r="D736">
        <v>2</v>
      </c>
    </row>
    <row r="737" spans="1:4" x14ac:dyDescent="0.25">
      <c r="A737" s="1" t="s">
        <v>743</v>
      </c>
      <c r="B737" s="1" t="s">
        <v>27</v>
      </c>
      <c r="C737" s="2">
        <v>0.61545138888888884</v>
      </c>
      <c r="D737">
        <v>2</v>
      </c>
    </row>
    <row r="738" spans="1:4" x14ac:dyDescent="0.25">
      <c r="A738" s="1" t="s">
        <v>744</v>
      </c>
      <c r="B738" s="1" t="s">
        <v>7</v>
      </c>
      <c r="C738" s="2">
        <v>0.6157407407407407</v>
      </c>
      <c r="D738">
        <v>1</v>
      </c>
    </row>
    <row r="739" spans="1:4" x14ac:dyDescent="0.25">
      <c r="A739" s="1" t="s">
        <v>745</v>
      </c>
      <c r="B739" s="1" t="s">
        <v>7</v>
      </c>
      <c r="C739" s="2">
        <v>0.61603009259259256</v>
      </c>
      <c r="D739">
        <v>1</v>
      </c>
    </row>
    <row r="740" spans="1:4" x14ac:dyDescent="0.25">
      <c r="A740" s="1" t="s">
        <v>746</v>
      </c>
      <c r="B740" s="1" t="s">
        <v>5</v>
      </c>
      <c r="C740" s="2">
        <v>0.61631944444444442</v>
      </c>
      <c r="D740">
        <v>1</v>
      </c>
    </row>
    <row r="741" spans="1:4" x14ac:dyDescent="0.25">
      <c r="A741" s="1" t="s">
        <v>747</v>
      </c>
      <c r="B741" s="1" t="s">
        <v>5</v>
      </c>
      <c r="C741" s="2">
        <v>0.61660879629629628</v>
      </c>
      <c r="D741">
        <v>1</v>
      </c>
    </row>
    <row r="742" spans="1:4" x14ac:dyDescent="0.25">
      <c r="A742" s="1" t="s">
        <v>748</v>
      </c>
      <c r="B742" s="1" t="s">
        <v>9</v>
      </c>
      <c r="C742" s="2">
        <v>0.61689814814814814</v>
      </c>
      <c r="D742">
        <v>1</v>
      </c>
    </row>
    <row r="743" spans="1:4" x14ac:dyDescent="0.25">
      <c r="A743" s="1" t="s">
        <v>749</v>
      </c>
      <c r="B743" s="1" t="s">
        <v>5</v>
      </c>
      <c r="C743" s="2">
        <v>0.61747685185185186</v>
      </c>
      <c r="D743">
        <v>2</v>
      </c>
    </row>
    <row r="744" spans="1:4" x14ac:dyDescent="0.25">
      <c r="A744" s="1" t="s">
        <v>750</v>
      </c>
      <c r="B744" s="1" t="s">
        <v>27</v>
      </c>
      <c r="C744" s="2">
        <v>0.61805555555555558</v>
      </c>
      <c r="D744">
        <v>2</v>
      </c>
    </row>
    <row r="745" spans="1:4" x14ac:dyDescent="0.25">
      <c r="A745" s="1" t="s">
        <v>751</v>
      </c>
      <c r="B745" s="1" t="s">
        <v>7</v>
      </c>
      <c r="C745" s="2">
        <v>0.61834490740740744</v>
      </c>
      <c r="D745">
        <v>1</v>
      </c>
    </row>
    <row r="746" spans="1:4" x14ac:dyDescent="0.25">
      <c r="A746" s="1" t="s">
        <v>752</v>
      </c>
      <c r="B746" s="1" t="s">
        <v>9</v>
      </c>
      <c r="C746" s="2">
        <v>0.61892361111111116</v>
      </c>
      <c r="D746">
        <v>2</v>
      </c>
    </row>
    <row r="747" spans="1:4" x14ac:dyDescent="0.25">
      <c r="A747" s="1" t="s">
        <v>753</v>
      </c>
      <c r="B747" s="1" t="s">
        <v>7</v>
      </c>
      <c r="C747" s="2">
        <v>0.61921296296296291</v>
      </c>
      <c r="D747">
        <v>1</v>
      </c>
    </row>
    <row r="748" spans="1:4" x14ac:dyDescent="0.25">
      <c r="A748" s="1" t="s">
        <v>754</v>
      </c>
      <c r="B748" s="1" t="s">
        <v>7</v>
      </c>
      <c r="C748" s="2">
        <v>0.61950231481481477</v>
      </c>
      <c r="D748">
        <v>1</v>
      </c>
    </row>
    <row r="749" spans="1:4" x14ac:dyDescent="0.25">
      <c r="A749" s="1" t="s">
        <v>755</v>
      </c>
      <c r="B749" s="1" t="s">
        <v>7</v>
      </c>
      <c r="C749" s="2">
        <v>0.61979166666666663</v>
      </c>
      <c r="D749">
        <v>1</v>
      </c>
    </row>
    <row r="750" spans="1:4" x14ac:dyDescent="0.25">
      <c r="A750" s="1" t="s">
        <v>756</v>
      </c>
      <c r="B750" s="1" t="s">
        <v>7</v>
      </c>
      <c r="C750" s="2">
        <v>0.62008101851851849</v>
      </c>
      <c r="D750">
        <v>1</v>
      </c>
    </row>
    <row r="751" spans="1:4" x14ac:dyDescent="0.25">
      <c r="A751" s="1" t="s">
        <v>757</v>
      </c>
      <c r="B751" s="1" t="s">
        <v>5</v>
      </c>
      <c r="C751" s="2">
        <v>0.62037037037037035</v>
      </c>
      <c r="D751">
        <v>1</v>
      </c>
    </row>
    <row r="752" spans="1:4" x14ac:dyDescent="0.25">
      <c r="A752" s="1" t="s">
        <v>758</v>
      </c>
      <c r="B752" s="1" t="s">
        <v>5</v>
      </c>
      <c r="C752" s="2">
        <v>0.62065972222222221</v>
      </c>
      <c r="D752">
        <v>1</v>
      </c>
    </row>
    <row r="753" spans="1:4" x14ac:dyDescent="0.25">
      <c r="A753" s="1" t="s">
        <v>759</v>
      </c>
      <c r="B753" s="1" t="s">
        <v>7</v>
      </c>
      <c r="C753" s="2">
        <v>0.62094907407407407</v>
      </c>
      <c r="D753">
        <v>1</v>
      </c>
    </row>
    <row r="754" spans="1:4" x14ac:dyDescent="0.25">
      <c r="A754" s="1" t="s">
        <v>760</v>
      </c>
      <c r="B754" s="1" t="s">
        <v>7</v>
      </c>
      <c r="C754" s="2">
        <v>0.62123842592592593</v>
      </c>
      <c r="D754">
        <v>1</v>
      </c>
    </row>
    <row r="755" spans="1:4" x14ac:dyDescent="0.25">
      <c r="A755" s="1" t="s">
        <v>761</v>
      </c>
      <c r="B755" s="1" t="s">
        <v>7</v>
      </c>
      <c r="C755" s="2">
        <v>0.62152777777777779</v>
      </c>
      <c r="D755">
        <v>1</v>
      </c>
    </row>
    <row r="756" spans="1:4" x14ac:dyDescent="0.25">
      <c r="A756" s="1" t="s">
        <v>762</v>
      </c>
      <c r="B756" s="1" t="s">
        <v>7</v>
      </c>
      <c r="C756" s="2">
        <v>0.62181712962962965</v>
      </c>
      <c r="D756">
        <v>1</v>
      </c>
    </row>
    <row r="757" spans="1:4" x14ac:dyDescent="0.25">
      <c r="A757" s="1" t="s">
        <v>763</v>
      </c>
      <c r="B757" s="1" t="s">
        <v>27</v>
      </c>
      <c r="C757" s="2">
        <v>0.62239583333333337</v>
      </c>
      <c r="D757">
        <v>2</v>
      </c>
    </row>
    <row r="758" spans="1:4" x14ac:dyDescent="0.25">
      <c r="A758" s="1" t="s">
        <v>764</v>
      </c>
      <c r="B758" s="1" t="s">
        <v>7</v>
      </c>
      <c r="C758" s="2">
        <v>0.62268518518518523</v>
      </c>
      <c r="D758">
        <v>1</v>
      </c>
    </row>
    <row r="759" spans="1:4" x14ac:dyDescent="0.25">
      <c r="A759" s="1" t="s">
        <v>765</v>
      </c>
      <c r="B759" s="1" t="s">
        <v>9</v>
      </c>
      <c r="C759" s="2">
        <v>0.62297453703703709</v>
      </c>
      <c r="D759">
        <v>1</v>
      </c>
    </row>
    <row r="760" spans="1:4" x14ac:dyDescent="0.25">
      <c r="A760" s="1" t="s">
        <v>766</v>
      </c>
      <c r="B760" s="1" t="s">
        <v>9</v>
      </c>
      <c r="C760" s="2">
        <v>0.62326388888888884</v>
      </c>
      <c r="D760">
        <v>1</v>
      </c>
    </row>
    <row r="761" spans="1:4" x14ac:dyDescent="0.25">
      <c r="A761" s="1" t="s">
        <v>767</v>
      </c>
      <c r="B761" s="1" t="s">
        <v>5</v>
      </c>
      <c r="C761" s="2">
        <v>0.6235532407407407</v>
      </c>
      <c r="D761">
        <v>1</v>
      </c>
    </row>
    <row r="762" spans="1:4" x14ac:dyDescent="0.25">
      <c r="A762" s="1" t="s">
        <v>768</v>
      </c>
      <c r="B762" s="1" t="s">
        <v>5</v>
      </c>
      <c r="C762" s="2">
        <v>0.62384259259259256</v>
      </c>
      <c r="D762">
        <v>1</v>
      </c>
    </row>
    <row r="763" spans="1:4" x14ac:dyDescent="0.25">
      <c r="A763" s="1" t="s">
        <v>769</v>
      </c>
      <c r="B763" s="1" t="s">
        <v>7</v>
      </c>
      <c r="C763" s="2">
        <v>0.62413194444444442</v>
      </c>
      <c r="D763">
        <v>1</v>
      </c>
    </row>
    <row r="764" spans="1:4" x14ac:dyDescent="0.25">
      <c r="A764" s="1" t="s">
        <v>770</v>
      </c>
      <c r="B764" s="1" t="s">
        <v>7</v>
      </c>
      <c r="C764" s="2">
        <v>0.62442129629629628</v>
      </c>
      <c r="D764">
        <v>1</v>
      </c>
    </row>
    <row r="765" spans="1:4" x14ac:dyDescent="0.25">
      <c r="A765" s="1" t="s">
        <v>771</v>
      </c>
      <c r="B765" s="1" t="s">
        <v>7</v>
      </c>
      <c r="C765" s="2">
        <v>0.62471064814814814</v>
      </c>
      <c r="D765">
        <v>1</v>
      </c>
    </row>
    <row r="766" spans="1:4" x14ac:dyDescent="0.25">
      <c r="A766" s="1" t="s">
        <v>772</v>
      </c>
      <c r="B766" s="1" t="s">
        <v>5</v>
      </c>
      <c r="C766" s="2">
        <v>0.62528935185185186</v>
      </c>
      <c r="D766">
        <v>2</v>
      </c>
    </row>
    <row r="767" spans="1:4" x14ac:dyDescent="0.25">
      <c r="A767" s="1" t="s">
        <v>773</v>
      </c>
      <c r="B767" s="1" t="s">
        <v>27</v>
      </c>
      <c r="C767" s="2">
        <v>0.62557870370370372</v>
      </c>
      <c r="D767">
        <v>1</v>
      </c>
    </row>
    <row r="768" spans="1:4" x14ac:dyDescent="0.25">
      <c r="A768" s="1" t="s">
        <v>774</v>
      </c>
      <c r="B768" s="1" t="s">
        <v>7</v>
      </c>
      <c r="C768" s="2">
        <v>0.62586805555555558</v>
      </c>
      <c r="D768">
        <v>1</v>
      </c>
    </row>
    <row r="769" spans="1:4" x14ac:dyDescent="0.25">
      <c r="A769" s="1" t="s">
        <v>775</v>
      </c>
      <c r="B769" s="1" t="s">
        <v>9</v>
      </c>
      <c r="C769" s="2">
        <v>0.6264467592592593</v>
      </c>
      <c r="D769">
        <v>2</v>
      </c>
    </row>
    <row r="770" spans="1:4" x14ac:dyDescent="0.25">
      <c r="A770" s="1" t="s">
        <v>776</v>
      </c>
      <c r="B770" s="1" t="s">
        <v>7</v>
      </c>
      <c r="C770" s="2">
        <v>0.62673611111111116</v>
      </c>
      <c r="D770">
        <v>1</v>
      </c>
    </row>
    <row r="771" spans="1:4" x14ac:dyDescent="0.25">
      <c r="A771" s="1" t="s">
        <v>777</v>
      </c>
      <c r="B771" s="1" t="s">
        <v>9</v>
      </c>
      <c r="C771" s="2">
        <v>0.62702546296296291</v>
      </c>
      <c r="D771">
        <v>1</v>
      </c>
    </row>
    <row r="772" spans="1:4" x14ac:dyDescent="0.25">
      <c r="A772" s="1" t="s">
        <v>778</v>
      </c>
      <c r="B772" s="1" t="s">
        <v>5</v>
      </c>
      <c r="C772" s="2">
        <v>0.62731481481481477</v>
      </c>
      <c r="D772">
        <v>1</v>
      </c>
    </row>
    <row r="773" spans="1:4" x14ac:dyDescent="0.25">
      <c r="A773" s="1" t="s">
        <v>779</v>
      </c>
      <c r="B773" s="1" t="s">
        <v>27</v>
      </c>
      <c r="C773" s="2">
        <v>0.62789351851851849</v>
      </c>
      <c r="D773">
        <v>2</v>
      </c>
    </row>
    <row r="774" spans="1:4" x14ac:dyDescent="0.25">
      <c r="A774" s="1" t="s">
        <v>780</v>
      </c>
      <c r="B774" s="1" t="s">
        <v>7</v>
      </c>
      <c r="C774" s="2">
        <v>0.62818287037037035</v>
      </c>
      <c r="D774">
        <v>1</v>
      </c>
    </row>
    <row r="775" spans="1:4" x14ac:dyDescent="0.25">
      <c r="A775" s="1" t="s">
        <v>781</v>
      </c>
      <c r="B775" s="1" t="s">
        <v>5</v>
      </c>
      <c r="C775" s="2">
        <v>0.62847222222222221</v>
      </c>
      <c r="D775">
        <v>1</v>
      </c>
    </row>
    <row r="776" spans="1:4" x14ac:dyDescent="0.25">
      <c r="A776" s="1" t="s">
        <v>782</v>
      </c>
      <c r="B776" s="1" t="s">
        <v>9</v>
      </c>
      <c r="C776" s="2">
        <v>0.62876157407407407</v>
      </c>
      <c r="D776">
        <v>1</v>
      </c>
    </row>
    <row r="777" spans="1:4" x14ac:dyDescent="0.25">
      <c r="A777" s="1" t="s">
        <v>783</v>
      </c>
      <c r="B777" s="1" t="s">
        <v>7</v>
      </c>
      <c r="C777" s="2">
        <v>0.62905092592592593</v>
      </c>
      <c r="D777">
        <v>1</v>
      </c>
    </row>
    <row r="778" spans="1:4" x14ac:dyDescent="0.25">
      <c r="A778" s="1" t="s">
        <v>784</v>
      </c>
      <c r="B778" s="1" t="s">
        <v>7</v>
      </c>
      <c r="C778" s="2">
        <v>0.62934027777777779</v>
      </c>
      <c r="D778">
        <v>1</v>
      </c>
    </row>
    <row r="779" spans="1:4" x14ac:dyDescent="0.25">
      <c r="A779" s="1" t="s">
        <v>785</v>
      </c>
      <c r="B779" s="1" t="s">
        <v>9</v>
      </c>
      <c r="C779" s="2">
        <v>0.62991898148148151</v>
      </c>
      <c r="D779">
        <v>2</v>
      </c>
    </row>
    <row r="780" spans="1:4" x14ac:dyDescent="0.25">
      <c r="A780" s="1" t="s">
        <v>786</v>
      </c>
      <c r="B780" s="1" t="s">
        <v>9</v>
      </c>
      <c r="C780" s="2">
        <v>0.63020833333333337</v>
      </c>
      <c r="D780">
        <v>1</v>
      </c>
    </row>
    <row r="781" spans="1:4" x14ac:dyDescent="0.25">
      <c r="A781" s="1" t="s">
        <v>787</v>
      </c>
      <c r="B781" s="1" t="s">
        <v>7</v>
      </c>
      <c r="C781" s="2">
        <v>0.63049768518518523</v>
      </c>
      <c r="D781">
        <v>1</v>
      </c>
    </row>
    <row r="782" spans="1:4" x14ac:dyDescent="0.25">
      <c r="A782" s="1" t="s">
        <v>788</v>
      </c>
      <c r="B782" s="1" t="s">
        <v>9</v>
      </c>
      <c r="C782" s="2">
        <v>0.63107638888888884</v>
      </c>
      <c r="D782">
        <v>2</v>
      </c>
    </row>
    <row r="783" spans="1:4" x14ac:dyDescent="0.25">
      <c r="A783" s="1" t="s">
        <v>789</v>
      </c>
      <c r="B783" s="1" t="s">
        <v>9</v>
      </c>
      <c r="C783" s="2">
        <v>0.63165509259259256</v>
      </c>
      <c r="D783">
        <v>2</v>
      </c>
    </row>
    <row r="784" spans="1:4" x14ac:dyDescent="0.25">
      <c r="A784" s="1" t="s">
        <v>790</v>
      </c>
      <c r="B784" s="1" t="s">
        <v>5</v>
      </c>
      <c r="C784" s="2">
        <v>0.63194444444444442</v>
      </c>
      <c r="D784">
        <v>1</v>
      </c>
    </row>
    <row r="785" spans="1:4" x14ac:dyDescent="0.25">
      <c r="A785" s="1" t="s">
        <v>791</v>
      </c>
      <c r="B785" s="1" t="s">
        <v>5</v>
      </c>
      <c r="C785" s="2">
        <v>0.63223379629629628</v>
      </c>
      <c r="D785">
        <v>1</v>
      </c>
    </row>
    <row r="786" spans="1:4" x14ac:dyDescent="0.25">
      <c r="A786" s="1" t="s">
        <v>792</v>
      </c>
      <c r="B786" s="1" t="s">
        <v>7</v>
      </c>
      <c r="C786" s="2">
        <v>0.63252314814814814</v>
      </c>
      <c r="D786">
        <v>1</v>
      </c>
    </row>
    <row r="787" spans="1:4" x14ac:dyDescent="0.25">
      <c r="A787" s="1" t="s">
        <v>793</v>
      </c>
      <c r="B787" s="1" t="s">
        <v>9</v>
      </c>
      <c r="C787" s="2">
        <v>0.6328125</v>
      </c>
      <c r="D787">
        <v>1</v>
      </c>
    </row>
    <row r="788" spans="1:4" x14ac:dyDescent="0.25">
      <c r="A788" s="1" t="s">
        <v>794</v>
      </c>
      <c r="B788" s="1" t="s">
        <v>9</v>
      </c>
      <c r="C788" s="2">
        <v>0.63339120370370372</v>
      </c>
      <c r="D788">
        <v>2</v>
      </c>
    </row>
    <row r="789" spans="1:4" x14ac:dyDescent="0.25">
      <c r="A789" s="1" t="s">
        <v>795</v>
      </c>
      <c r="B789" s="1" t="s">
        <v>9</v>
      </c>
      <c r="C789" s="2">
        <v>0.63368055555555558</v>
      </c>
      <c r="D789">
        <v>1</v>
      </c>
    </row>
    <row r="790" spans="1:4" x14ac:dyDescent="0.25">
      <c r="A790" s="1" t="s">
        <v>796</v>
      </c>
      <c r="B790" s="1" t="s">
        <v>7</v>
      </c>
      <c r="C790" s="2">
        <v>0.63396990740740744</v>
      </c>
      <c r="D790">
        <v>1</v>
      </c>
    </row>
    <row r="791" spans="1:4" x14ac:dyDescent="0.25">
      <c r="A791" s="1" t="s">
        <v>797</v>
      </c>
      <c r="B791" s="1" t="s">
        <v>27</v>
      </c>
      <c r="C791" s="2">
        <v>0.6342592592592593</v>
      </c>
      <c r="D791">
        <v>1</v>
      </c>
    </row>
    <row r="792" spans="1:4" x14ac:dyDescent="0.25">
      <c r="A792" s="1" t="s">
        <v>798</v>
      </c>
      <c r="B792" s="1" t="s">
        <v>7</v>
      </c>
      <c r="C792" s="2">
        <v>0.63454861111111116</v>
      </c>
      <c r="D792">
        <v>1</v>
      </c>
    </row>
    <row r="793" spans="1:4" x14ac:dyDescent="0.25">
      <c r="A793" s="1" t="s">
        <v>799</v>
      </c>
      <c r="B793" s="1" t="s">
        <v>5</v>
      </c>
      <c r="C793" s="2">
        <v>0.63483796296296291</v>
      </c>
      <c r="D793">
        <v>1</v>
      </c>
    </row>
    <row r="794" spans="1:4" x14ac:dyDescent="0.25">
      <c r="A794" s="1" t="s">
        <v>800</v>
      </c>
      <c r="B794" s="1" t="s">
        <v>7</v>
      </c>
      <c r="C794" s="2">
        <v>0.63512731481481477</v>
      </c>
      <c r="D794">
        <v>1</v>
      </c>
    </row>
    <row r="795" spans="1:4" x14ac:dyDescent="0.25">
      <c r="A795" s="1" t="s">
        <v>801</v>
      </c>
      <c r="B795" s="1" t="s">
        <v>5</v>
      </c>
      <c r="C795" s="2">
        <v>0.63570601851851849</v>
      </c>
      <c r="D795">
        <v>2</v>
      </c>
    </row>
    <row r="796" spans="1:4" x14ac:dyDescent="0.25">
      <c r="A796" s="1" t="s">
        <v>802</v>
      </c>
      <c r="B796" s="1" t="s">
        <v>7</v>
      </c>
      <c r="C796" s="2">
        <v>0.63599537037037035</v>
      </c>
      <c r="D796">
        <v>1</v>
      </c>
    </row>
    <row r="797" spans="1:4" x14ac:dyDescent="0.25">
      <c r="A797" s="1" t="s">
        <v>803</v>
      </c>
      <c r="B797" s="1" t="s">
        <v>9</v>
      </c>
      <c r="C797" s="2">
        <v>0.63657407407407407</v>
      </c>
      <c r="D797">
        <v>2</v>
      </c>
    </row>
    <row r="798" spans="1:4" x14ac:dyDescent="0.25">
      <c r="A798" s="1" t="s">
        <v>804</v>
      </c>
      <c r="B798" s="1" t="s">
        <v>7</v>
      </c>
      <c r="C798" s="2">
        <v>0.63686342592592593</v>
      </c>
      <c r="D798">
        <v>1</v>
      </c>
    </row>
    <row r="799" spans="1:4" x14ac:dyDescent="0.25">
      <c r="A799" s="1" t="s">
        <v>805</v>
      </c>
      <c r="B799" s="1" t="s">
        <v>5</v>
      </c>
      <c r="C799" s="2">
        <v>0.63744212962962965</v>
      </c>
      <c r="D799">
        <v>2</v>
      </c>
    </row>
    <row r="800" spans="1:4" x14ac:dyDescent="0.25">
      <c r="A800" s="1" t="s">
        <v>806</v>
      </c>
      <c r="B800" s="1" t="s">
        <v>27</v>
      </c>
      <c r="C800" s="2">
        <v>0.63773148148148151</v>
      </c>
      <c r="D800">
        <v>1</v>
      </c>
    </row>
    <row r="801" spans="1:4" x14ac:dyDescent="0.25">
      <c r="A801" s="1" t="s">
        <v>807</v>
      </c>
      <c r="B801" s="1" t="s">
        <v>7</v>
      </c>
      <c r="C801" s="2">
        <v>0.63802083333333337</v>
      </c>
      <c r="D801">
        <v>1</v>
      </c>
    </row>
    <row r="802" spans="1:4" x14ac:dyDescent="0.25">
      <c r="A802" s="1" t="s">
        <v>808</v>
      </c>
      <c r="B802" s="1" t="s">
        <v>5</v>
      </c>
      <c r="C802" s="2">
        <v>0.63831018518518523</v>
      </c>
      <c r="D802">
        <v>1</v>
      </c>
    </row>
    <row r="803" spans="1:4" x14ac:dyDescent="0.25">
      <c r="A803" s="1" t="s">
        <v>809</v>
      </c>
      <c r="B803" s="1" t="s">
        <v>9</v>
      </c>
      <c r="C803" s="2">
        <v>0.63888888888888884</v>
      </c>
      <c r="D803">
        <v>2</v>
      </c>
    </row>
    <row r="804" spans="1:4" x14ac:dyDescent="0.25">
      <c r="A804" s="1" t="s">
        <v>810</v>
      </c>
      <c r="B804" s="1" t="s">
        <v>27</v>
      </c>
      <c r="C804" s="2">
        <v>0.6391782407407407</v>
      </c>
      <c r="D804">
        <v>1</v>
      </c>
    </row>
    <row r="805" spans="1:4" x14ac:dyDescent="0.25">
      <c r="A805" s="1" t="s">
        <v>811</v>
      </c>
      <c r="B805" s="1" t="s">
        <v>7</v>
      </c>
      <c r="C805" s="2">
        <v>0.63946759259259256</v>
      </c>
      <c r="D805">
        <v>1</v>
      </c>
    </row>
    <row r="806" spans="1:4" x14ac:dyDescent="0.25">
      <c r="A806" s="1" t="s">
        <v>812</v>
      </c>
      <c r="B806" s="1" t="s">
        <v>9</v>
      </c>
      <c r="C806" s="2">
        <v>0.63975694444444442</v>
      </c>
      <c r="D806">
        <v>1</v>
      </c>
    </row>
    <row r="807" spans="1:4" x14ac:dyDescent="0.25">
      <c r="A807" s="1" t="s">
        <v>813</v>
      </c>
      <c r="B807" s="1" t="s">
        <v>5</v>
      </c>
      <c r="C807" s="2">
        <v>0.64033564814814814</v>
      </c>
      <c r="D807">
        <v>2</v>
      </c>
    </row>
    <row r="808" spans="1:4" x14ac:dyDescent="0.25">
      <c r="A808" s="1" t="s">
        <v>814</v>
      </c>
      <c r="B808" s="1" t="s">
        <v>5</v>
      </c>
      <c r="C808" s="2">
        <v>0.640625</v>
      </c>
      <c r="D808">
        <v>1</v>
      </c>
    </row>
    <row r="809" spans="1:4" x14ac:dyDescent="0.25">
      <c r="A809" s="1" t="s">
        <v>815</v>
      </c>
      <c r="B809" s="1" t="s">
        <v>9</v>
      </c>
      <c r="C809" s="2">
        <v>0.64091435185185186</v>
      </c>
      <c r="D809">
        <v>1</v>
      </c>
    </row>
    <row r="810" spans="1:4" x14ac:dyDescent="0.25">
      <c r="A810" s="1" t="s">
        <v>816</v>
      </c>
      <c r="B810" s="1" t="s">
        <v>9</v>
      </c>
      <c r="C810" s="2">
        <v>0.64120370370370372</v>
      </c>
      <c r="D810">
        <v>1</v>
      </c>
    </row>
    <row r="811" spans="1:4" x14ac:dyDescent="0.25">
      <c r="A811" s="1" t="s">
        <v>817</v>
      </c>
      <c r="B811" s="1" t="s">
        <v>5</v>
      </c>
      <c r="C811" s="2">
        <v>0.64178240740740744</v>
      </c>
      <c r="D811">
        <v>2</v>
      </c>
    </row>
    <row r="812" spans="1:4" x14ac:dyDescent="0.25">
      <c r="A812" s="1" t="s">
        <v>818</v>
      </c>
      <c r="B812" s="1" t="s">
        <v>27</v>
      </c>
      <c r="C812" s="2">
        <v>0.6420717592592593</v>
      </c>
      <c r="D812">
        <v>1</v>
      </c>
    </row>
    <row r="813" spans="1:4" x14ac:dyDescent="0.25">
      <c r="A813" s="1" t="s">
        <v>819</v>
      </c>
      <c r="B813" s="1" t="s">
        <v>7</v>
      </c>
      <c r="C813" s="2">
        <v>0.64236111111111116</v>
      </c>
      <c r="D813">
        <v>1</v>
      </c>
    </row>
    <row r="814" spans="1:4" x14ac:dyDescent="0.25">
      <c r="A814" s="1" t="s">
        <v>820</v>
      </c>
      <c r="B814" s="1" t="s">
        <v>9</v>
      </c>
      <c r="C814" s="2">
        <v>0.64293981481481477</v>
      </c>
      <c r="D814">
        <v>2</v>
      </c>
    </row>
    <row r="815" spans="1:4" x14ac:dyDescent="0.25">
      <c r="A815" s="1" t="s">
        <v>821</v>
      </c>
      <c r="B815" s="1" t="s">
        <v>7</v>
      </c>
      <c r="C815" s="2">
        <v>0.64322916666666663</v>
      </c>
      <c r="D815">
        <v>1</v>
      </c>
    </row>
    <row r="816" spans="1:4" x14ac:dyDescent="0.25">
      <c r="A816" s="1" t="s">
        <v>822</v>
      </c>
      <c r="B816" s="1" t="s">
        <v>9</v>
      </c>
      <c r="C816" s="2">
        <v>0.64351851851851849</v>
      </c>
      <c r="D816">
        <v>1</v>
      </c>
    </row>
    <row r="817" spans="1:4" x14ac:dyDescent="0.25">
      <c r="A817" s="1" t="s">
        <v>823</v>
      </c>
      <c r="B817" s="1" t="s">
        <v>7</v>
      </c>
      <c r="C817" s="2">
        <v>0.64380787037037035</v>
      </c>
      <c r="D817">
        <v>1</v>
      </c>
    </row>
    <row r="818" spans="1:4" x14ac:dyDescent="0.25">
      <c r="A818" s="1" t="s">
        <v>824</v>
      </c>
      <c r="B818" s="1" t="s">
        <v>27</v>
      </c>
      <c r="C818" s="2">
        <v>0.64409722222222221</v>
      </c>
      <c r="D818">
        <v>1</v>
      </c>
    </row>
    <row r="819" spans="1:4" x14ac:dyDescent="0.25">
      <c r="A819" s="1" t="s">
        <v>825</v>
      </c>
      <c r="B819" s="1" t="s">
        <v>7</v>
      </c>
      <c r="C819" s="2">
        <v>0.64438657407407407</v>
      </c>
      <c r="D819">
        <v>1</v>
      </c>
    </row>
    <row r="820" spans="1:4" x14ac:dyDescent="0.25">
      <c r="A820" s="1" t="s">
        <v>826</v>
      </c>
      <c r="B820" s="1" t="s">
        <v>9</v>
      </c>
      <c r="C820" s="2">
        <v>0.64496527777777779</v>
      </c>
      <c r="D820">
        <v>2</v>
      </c>
    </row>
    <row r="821" spans="1:4" x14ac:dyDescent="0.25">
      <c r="A821" s="1" t="s">
        <v>827</v>
      </c>
      <c r="B821" s="1" t="s">
        <v>7</v>
      </c>
      <c r="C821" s="2">
        <v>0.64525462962962965</v>
      </c>
      <c r="D821">
        <v>1</v>
      </c>
    </row>
    <row r="822" spans="1:4" x14ac:dyDescent="0.25">
      <c r="A822" s="1" t="s">
        <v>828</v>
      </c>
      <c r="B822" s="1" t="s">
        <v>9</v>
      </c>
      <c r="C822" s="2">
        <v>0.64554398148148151</v>
      </c>
      <c r="D822">
        <v>1</v>
      </c>
    </row>
    <row r="823" spans="1:4" x14ac:dyDescent="0.25">
      <c r="A823" s="1" t="s">
        <v>829</v>
      </c>
      <c r="B823" s="1" t="s">
        <v>7</v>
      </c>
      <c r="C823" s="2">
        <v>0.64583333333333337</v>
      </c>
      <c r="D823">
        <v>1</v>
      </c>
    </row>
    <row r="824" spans="1:4" x14ac:dyDescent="0.25">
      <c r="A824" s="1" t="s">
        <v>830</v>
      </c>
      <c r="B824" s="1" t="s">
        <v>5</v>
      </c>
      <c r="C824" s="2">
        <v>0.64612268518518523</v>
      </c>
      <c r="D824">
        <v>1</v>
      </c>
    </row>
    <row r="825" spans="1:4" x14ac:dyDescent="0.25">
      <c r="A825" s="1" t="s">
        <v>831</v>
      </c>
      <c r="B825" s="1" t="s">
        <v>7</v>
      </c>
      <c r="C825" s="2">
        <v>0.64641203703703709</v>
      </c>
      <c r="D825">
        <v>1</v>
      </c>
    </row>
    <row r="826" spans="1:4" x14ac:dyDescent="0.25">
      <c r="A826" s="1" t="s">
        <v>832</v>
      </c>
      <c r="B826" s="1" t="s">
        <v>5</v>
      </c>
      <c r="C826" s="2">
        <v>0.64670138888888884</v>
      </c>
      <c r="D826">
        <v>1</v>
      </c>
    </row>
    <row r="827" spans="1:4" x14ac:dyDescent="0.25">
      <c r="A827" s="1" t="s">
        <v>833</v>
      </c>
      <c r="B827" s="1" t="s">
        <v>5</v>
      </c>
      <c r="C827" s="2">
        <v>0.6469907407407407</v>
      </c>
      <c r="D827">
        <v>1</v>
      </c>
    </row>
    <row r="828" spans="1:4" x14ac:dyDescent="0.25">
      <c r="A828" s="1" t="s">
        <v>834</v>
      </c>
      <c r="B828" s="1" t="s">
        <v>7</v>
      </c>
      <c r="C828" s="2">
        <v>0.64728009259259256</v>
      </c>
      <c r="D828">
        <v>1</v>
      </c>
    </row>
    <row r="829" spans="1:4" x14ac:dyDescent="0.25">
      <c r="A829" s="1" t="s">
        <v>835</v>
      </c>
      <c r="B829" s="1" t="s">
        <v>9</v>
      </c>
      <c r="C829" s="2">
        <v>0.64785879629629628</v>
      </c>
      <c r="D829">
        <v>2</v>
      </c>
    </row>
    <row r="830" spans="1:4" x14ac:dyDescent="0.25">
      <c r="A830" s="1" t="s">
        <v>836</v>
      </c>
      <c r="B830" s="1" t="s">
        <v>5</v>
      </c>
      <c r="C830" s="2">
        <v>0.6484375</v>
      </c>
      <c r="D830">
        <v>2</v>
      </c>
    </row>
    <row r="831" spans="1:4" x14ac:dyDescent="0.25">
      <c r="A831" s="1" t="s">
        <v>837</v>
      </c>
      <c r="B831" s="1" t="s">
        <v>7</v>
      </c>
      <c r="C831" s="2">
        <v>0.64872685185185186</v>
      </c>
      <c r="D831">
        <v>1</v>
      </c>
    </row>
    <row r="832" spans="1:4" x14ac:dyDescent="0.25">
      <c r="A832" s="1" t="s">
        <v>838</v>
      </c>
      <c r="B832" s="1" t="s">
        <v>5</v>
      </c>
      <c r="C832" s="2">
        <v>0.64901620370370372</v>
      </c>
      <c r="D832">
        <v>1</v>
      </c>
    </row>
    <row r="833" spans="1:4" x14ac:dyDescent="0.25">
      <c r="A833" s="1" t="s">
        <v>839</v>
      </c>
      <c r="B833" s="1" t="s">
        <v>7</v>
      </c>
      <c r="C833" s="2">
        <v>0.64930555555555558</v>
      </c>
      <c r="D833">
        <v>1</v>
      </c>
    </row>
    <row r="834" spans="1:4" x14ac:dyDescent="0.25">
      <c r="A834" s="1" t="s">
        <v>840</v>
      </c>
      <c r="B834" s="1" t="s">
        <v>9</v>
      </c>
      <c r="C834" s="2">
        <v>0.6498842592592593</v>
      </c>
      <c r="D834">
        <v>2</v>
      </c>
    </row>
    <row r="835" spans="1:4" x14ac:dyDescent="0.25">
      <c r="A835" s="1" t="s">
        <v>841</v>
      </c>
      <c r="B835" s="1" t="s">
        <v>7</v>
      </c>
      <c r="C835" s="2">
        <v>0.65017361111111116</v>
      </c>
      <c r="D835">
        <v>1</v>
      </c>
    </row>
    <row r="836" spans="1:4" x14ac:dyDescent="0.25">
      <c r="A836" s="1" t="s">
        <v>842</v>
      </c>
      <c r="B836" s="1" t="s">
        <v>9</v>
      </c>
      <c r="C836" s="2">
        <v>0.65046296296296291</v>
      </c>
      <c r="D836">
        <v>1</v>
      </c>
    </row>
    <row r="837" spans="1:4" x14ac:dyDescent="0.25">
      <c r="A837" s="1" t="s">
        <v>843</v>
      </c>
      <c r="B837" s="1" t="s">
        <v>9</v>
      </c>
      <c r="C837" s="2">
        <v>0.65104166666666663</v>
      </c>
      <c r="D837">
        <v>2</v>
      </c>
    </row>
    <row r="838" spans="1:4" x14ac:dyDescent="0.25">
      <c r="A838" s="1" t="s">
        <v>844</v>
      </c>
      <c r="B838" s="1" t="s">
        <v>7</v>
      </c>
      <c r="C838" s="2">
        <v>0.65133101851851849</v>
      </c>
      <c r="D838">
        <v>1</v>
      </c>
    </row>
    <row r="839" spans="1:4" x14ac:dyDescent="0.25">
      <c r="A839" s="1" t="s">
        <v>845</v>
      </c>
      <c r="B839" s="1" t="s">
        <v>9</v>
      </c>
      <c r="C839" s="2">
        <v>0.65162037037037035</v>
      </c>
      <c r="D839">
        <v>1</v>
      </c>
    </row>
    <row r="840" spans="1:4" x14ac:dyDescent="0.25">
      <c r="A840" s="1" t="s">
        <v>846</v>
      </c>
      <c r="B840" s="1" t="s">
        <v>7</v>
      </c>
      <c r="C840" s="2">
        <v>0.65190972222222221</v>
      </c>
      <c r="D840">
        <v>1</v>
      </c>
    </row>
    <row r="841" spans="1:4" x14ac:dyDescent="0.25">
      <c r="A841" s="1" t="s">
        <v>847</v>
      </c>
      <c r="B841" s="1" t="s">
        <v>9</v>
      </c>
      <c r="C841" s="2">
        <v>0.65248842592592593</v>
      </c>
      <c r="D841">
        <v>2</v>
      </c>
    </row>
    <row r="842" spans="1:4" x14ac:dyDescent="0.25">
      <c r="A842" s="1" t="s">
        <v>848</v>
      </c>
      <c r="B842" s="1" t="s">
        <v>27</v>
      </c>
      <c r="C842" s="2">
        <v>0.65277777777777779</v>
      </c>
      <c r="D842">
        <v>1</v>
      </c>
    </row>
    <row r="843" spans="1:4" x14ac:dyDescent="0.25">
      <c r="A843" s="1" t="s">
        <v>849</v>
      </c>
      <c r="B843" s="1" t="s">
        <v>7</v>
      </c>
      <c r="C843" s="2">
        <v>0.65306712962962965</v>
      </c>
      <c r="D843">
        <v>1</v>
      </c>
    </row>
    <row r="844" spans="1:4" x14ac:dyDescent="0.25">
      <c r="A844" s="1" t="s">
        <v>850</v>
      </c>
      <c r="B844" s="1" t="s">
        <v>5</v>
      </c>
      <c r="C844" s="2">
        <v>0.65364583333333337</v>
      </c>
      <c r="D844">
        <v>2</v>
      </c>
    </row>
    <row r="845" spans="1:4" x14ac:dyDescent="0.25">
      <c r="A845" s="1" t="s">
        <v>851</v>
      </c>
      <c r="B845" s="1" t="s">
        <v>5</v>
      </c>
      <c r="C845" s="2">
        <v>0.65422453703703709</v>
      </c>
      <c r="D845">
        <v>2</v>
      </c>
    </row>
    <row r="846" spans="1:4" x14ac:dyDescent="0.25">
      <c r="A846" s="1" t="s">
        <v>852</v>
      </c>
      <c r="B846" s="1" t="s">
        <v>5</v>
      </c>
      <c r="C846" s="2">
        <v>0.65451388888888884</v>
      </c>
      <c r="D846">
        <v>1</v>
      </c>
    </row>
    <row r="847" spans="1:4" x14ac:dyDescent="0.25">
      <c r="A847" s="1" t="s">
        <v>853</v>
      </c>
      <c r="B847" s="1" t="s">
        <v>7</v>
      </c>
      <c r="C847" s="2">
        <v>0.6548032407407407</v>
      </c>
      <c r="D847">
        <v>1</v>
      </c>
    </row>
    <row r="848" spans="1:4" x14ac:dyDescent="0.25">
      <c r="A848" s="1" t="s">
        <v>854</v>
      </c>
      <c r="B848" s="1" t="s">
        <v>5</v>
      </c>
      <c r="C848" s="2">
        <v>0.65538194444444442</v>
      </c>
      <c r="D848">
        <v>2</v>
      </c>
    </row>
    <row r="849" spans="1:4" x14ac:dyDescent="0.25">
      <c r="A849" s="1" t="s">
        <v>855</v>
      </c>
      <c r="B849" s="1" t="s">
        <v>9</v>
      </c>
      <c r="C849" s="2">
        <v>0.65596064814814814</v>
      </c>
      <c r="D849">
        <v>2</v>
      </c>
    </row>
    <row r="850" spans="1:4" x14ac:dyDescent="0.25">
      <c r="A850" s="1" t="s">
        <v>856</v>
      </c>
      <c r="B850" s="1" t="s">
        <v>5</v>
      </c>
      <c r="C850" s="2">
        <v>0.65625</v>
      </c>
      <c r="D850">
        <v>1</v>
      </c>
    </row>
    <row r="851" spans="1:4" x14ac:dyDescent="0.25">
      <c r="A851" s="1" t="s">
        <v>857</v>
      </c>
      <c r="B851" s="1" t="s">
        <v>9</v>
      </c>
      <c r="C851" s="2">
        <v>0.65682870370370372</v>
      </c>
      <c r="D851">
        <v>2</v>
      </c>
    </row>
    <row r="852" spans="1:4" x14ac:dyDescent="0.25">
      <c r="A852" s="1" t="s">
        <v>858</v>
      </c>
      <c r="B852" s="1" t="s">
        <v>7</v>
      </c>
      <c r="C852" s="2">
        <v>0.65711805555555558</v>
      </c>
      <c r="D852">
        <v>1</v>
      </c>
    </row>
    <row r="853" spans="1:4" x14ac:dyDescent="0.25">
      <c r="A853" s="1" t="s">
        <v>859</v>
      </c>
      <c r="B853" s="1" t="s">
        <v>5</v>
      </c>
      <c r="C853" s="2">
        <v>0.6576967592592593</v>
      </c>
      <c r="D853">
        <v>2</v>
      </c>
    </row>
    <row r="854" spans="1:4" x14ac:dyDescent="0.25">
      <c r="A854" s="1" t="s">
        <v>860</v>
      </c>
      <c r="B854" s="1" t="s">
        <v>5</v>
      </c>
      <c r="C854" s="2">
        <v>0.65798611111111116</v>
      </c>
      <c r="D854">
        <v>1</v>
      </c>
    </row>
    <row r="855" spans="1:4" x14ac:dyDescent="0.25">
      <c r="A855" s="1" t="s">
        <v>861</v>
      </c>
      <c r="B855" s="1" t="s">
        <v>5</v>
      </c>
      <c r="C855" s="2">
        <v>0.65856481481481477</v>
      </c>
      <c r="D855">
        <v>2</v>
      </c>
    </row>
    <row r="856" spans="1:4" x14ac:dyDescent="0.25">
      <c r="A856" s="1" t="s">
        <v>862</v>
      </c>
      <c r="B856" s="1" t="s">
        <v>7</v>
      </c>
      <c r="C856" s="2">
        <v>0.65885416666666663</v>
      </c>
      <c r="D856">
        <v>1</v>
      </c>
    </row>
    <row r="857" spans="1:4" x14ac:dyDescent="0.25">
      <c r="A857" s="1" t="s">
        <v>863</v>
      </c>
      <c r="B857" s="1" t="s">
        <v>5</v>
      </c>
      <c r="C857" s="2">
        <v>0.65943287037037035</v>
      </c>
      <c r="D857">
        <v>2</v>
      </c>
    </row>
    <row r="858" spans="1:4" x14ac:dyDescent="0.25">
      <c r="A858" s="1" t="s">
        <v>864</v>
      </c>
      <c r="B858" s="1" t="s">
        <v>7</v>
      </c>
      <c r="C858" s="2">
        <v>0.65972222222222221</v>
      </c>
      <c r="D858">
        <v>1</v>
      </c>
    </row>
    <row r="859" spans="1:4" x14ac:dyDescent="0.25">
      <c r="A859" s="1" t="s">
        <v>865</v>
      </c>
      <c r="B859" s="1" t="s">
        <v>9</v>
      </c>
      <c r="C859" s="2">
        <v>0.66030092592592593</v>
      </c>
      <c r="D859">
        <v>2</v>
      </c>
    </row>
    <row r="860" spans="1:4" x14ac:dyDescent="0.25">
      <c r="A860" s="1" t="s">
        <v>866</v>
      </c>
      <c r="B860" s="1" t="s">
        <v>27</v>
      </c>
      <c r="C860" s="2">
        <v>0.66059027777777779</v>
      </c>
      <c r="D860">
        <v>1</v>
      </c>
    </row>
    <row r="861" spans="1:4" x14ac:dyDescent="0.25">
      <c r="A861" s="1" t="s">
        <v>867</v>
      </c>
      <c r="B861" s="1" t="s">
        <v>7</v>
      </c>
      <c r="C861" s="2">
        <v>0.66087962962962965</v>
      </c>
      <c r="D861">
        <v>1</v>
      </c>
    </row>
    <row r="862" spans="1:4" x14ac:dyDescent="0.25">
      <c r="A862" s="1" t="s">
        <v>868</v>
      </c>
      <c r="B862" s="1" t="s">
        <v>7</v>
      </c>
      <c r="C862" s="2">
        <v>0.66116898148148151</v>
      </c>
      <c r="D862">
        <v>1</v>
      </c>
    </row>
    <row r="863" spans="1:4" x14ac:dyDescent="0.25">
      <c r="A863" s="1" t="s">
        <v>869</v>
      </c>
      <c r="B863" s="1" t="s">
        <v>5</v>
      </c>
      <c r="C863" s="2">
        <v>0.66174768518518523</v>
      </c>
      <c r="D863">
        <v>2</v>
      </c>
    </row>
    <row r="864" spans="1:4" x14ac:dyDescent="0.25">
      <c r="A864" s="1" t="s">
        <v>870</v>
      </c>
      <c r="B864" s="1" t="s">
        <v>9</v>
      </c>
      <c r="C864" s="2">
        <v>0.66203703703703709</v>
      </c>
      <c r="D864">
        <v>1</v>
      </c>
    </row>
    <row r="865" spans="1:4" x14ac:dyDescent="0.25">
      <c r="A865" s="1" t="s">
        <v>871</v>
      </c>
      <c r="B865" s="1" t="s">
        <v>7</v>
      </c>
      <c r="C865" s="2">
        <v>0.66232638888888884</v>
      </c>
      <c r="D865">
        <v>1</v>
      </c>
    </row>
    <row r="866" spans="1:4" x14ac:dyDescent="0.25">
      <c r="A866" s="1" t="s">
        <v>872</v>
      </c>
      <c r="B866" s="1" t="s">
        <v>9</v>
      </c>
      <c r="C866" s="2">
        <v>0.66290509259259256</v>
      </c>
      <c r="D866">
        <v>2</v>
      </c>
    </row>
    <row r="867" spans="1:4" x14ac:dyDescent="0.25">
      <c r="A867" s="1" t="s">
        <v>873</v>
      </c>
      <c r="B867" s="1" t="s">
        <v>9</v>
      </c>
      <c r="C867" s="2">
        <v>0.66319444444444442</v>
      </c>
      <c r="D867">
        <v>1</v>
      </c>
    </row>
    <row r="868" spans="1:4" x14ac:dyDescent="0.25">
      <c r="A868" s="1" t="s">
        <v>874</v>
      </c>
      <c r="B868" s="1" t="s">
        <v>9</v>
      </c>
      <c r="C868" s="2">
        <v>0.66348379629629628</v>
      </c>
      <c r="D868">
        <v>1</v>
      </c>
    </row>
    <row r="869" spans="1:4" x14ac:dyDescent="0.25">
      <c r="A869" s="1" t="s">
        <v>875</v>
      </c>
      <c r="B869" s="1" t="s">
        <v>7</v>
      </c>
      <c r="C869" s="2">
        <v>0.66377314814814814</v>
      </c>
      <c r="D869">
        <v>1</v>
      </c>
    </row>
    <row r="870" spans="1:4" x14ac:dyDescent="0.25">
      <c r="A870" s="1" t="s">
        <v>876</v>
      </c>
      <c r="B870" s="1" t="s">
        <v>5</v>
      </c>
      <c r="C870" s="2">
        <v>0.6640625</v>
      </c>
      <c r="D870">
        <v>1</v>
      </c>
    </row>
    <row r="871" spans="1:4" x14ac:dyDescent="0.25">
      <c r="A871" s="1" t="s">
        <v>877</v>
      </c>
      <c r="B871" s="1" t="s">
        <v>7</v>
      </c>
      <c r="C871" s="2">
        <v>0.66435185185185186</v>
      </c>
      <c r="D871">
        <v>1</v>
      </c>
    </row>
    <row r="872" spans="1:4" x14ac:dyDescent="0.25">
      <c r="A872" s="1" t="s">
        <v>878</v>
      </c>
      <c r="B872" s="1" t="s">
        <v>7</v>
      </c>
      <c r="C872" s="2">
        <v>0.66464120370370372</v>
      </c>
      <c r="D872">
        <v>1</v>
      </c>
    </row>
    <row r="873" spans="1:4" x14ac:dyDescent="0.25">
      <c r="A873" s="1" t="s">
        <v>879</v>
      </c>
      <c r="B873" s="1" t="s">
        <v>5</v>
      </c>
      <c r="C873" s="2">
        <v>0.66493055555555558</v>
      </c>
      <c r="D873">
        <v>1</v>
      </c>
    </row>
    <row r="874" spans="1:4" x14ac:dyDescent="0.25">
      <c r="A874" s="1" t="s">
        <v>880</v>
      </c>
      <c r="B874" s="1" t="s">
        <v>5</v>
      </c>
      <c r="C874" s="2">
        <v>0.6655092592592593</v>
      </c>
      <c r="D874">
        <v>2</v>
      </c>
    </row>
    <row r="875" spans="1:4" x14ac:dyDescent="0.25">
      <c r="A875" s="1" t="s">
        <v>881</v>
      </c>
      <c r="B875" s="1" t="s">
        <v>5</v>
      </c>
      <c r="C875" s="2">
        <v>0.66608796296296291</v>
      </c>
      <c r="D875">
        <v>2</v>
      </c>
    </row>
    <row r="876" spans="1:4" x14ac:dyDescent="0.25">
      <c r="A876" s="1" t="s">
        <v>882</v>
      </c>
      <c r="B876" s="1" t="s">
        <v>7</v>
      </c>
      <c r="C876" s="2">
        <v>0.66637731481481477</v>
      </c>
      <c r="D876">
        <v>1</v>
      </c>
    </row>
    <row r="877" spans="1:4" x14ac:dyDescent="0.25">
      <c r="A877" s="1" t="s">
        <v>883</v>
      </c>
      <c r="B877" s="1" t="s">
        <v>9</v>
      </c>
      <c r="C877" s="2">
        <v>0.66666666666666663</v>
      </c>
      <c r="D877">
        <v>1</v>
      </c>
    </row>
    <row r="878" spans="1:4" x14ac:dyDescent="0.25">
      <c r="A878" s="1" t="s">
        <v>884</v>
      </c>
      <c r="B878" s="1" t="s">
        <v>7</v>
      </c>
      <c r="C878" s="2">
        <v>0.66695601851851849</v>
      </c>
      <c r="D878">
        <v>1</v>
      </c>
    </row>
    <row r="879" spans="1:4" x14ac:dyDescent="0.25">
      <c r="A879" s="1" t="s">
        <v>885</v>
      </c>
      <c r="B879" s="1" t="s">
        <v>7</v>
      </c>
      <c r="C879" s="2">
        <v>0.66724537037037035</v>
      </c>
      <c r="D879">
        <v>1</v>
      </c>
    </row>
    <row r="880" spans="1:4" x14ac:dyDescent="0.25">
      <c r="A880" s="1" t="s">
        <v>886</v>
      </c>
      <c r="B880" s="1" t="s">
        <v>5</v>
      </c>
      <c r="C880" s="2">
        <v>0.66753472222222221</v>
      </c>
      <c r="D880">
        <v>1</v>
      </c>
    </row>
    <row r="881" spans="1:4" x14ac:dyDescent="0.25">
      <c r="A881" s="1" t="s">
        <v>887</v>
      </c>
      <c r="B881" s="1" t="s">
        <v>5</v>
      </c>
      <c r="C881" s="2">
        <v>0.66782407407407407</v>
      </c>
      <c r="D881">
        <v>1</v>
      </c>
    </row>
    <row r="882" spans="1:4" x14ac:dyDescent="0.25">
      <c r="A882" s="1" t="s">
        <v>888</v>
      </c>
      <c r="B882" s="1" t="s">
        <v>27</v>
      </c>
      <c r="C882" s="2">
        <v>0.66840277777777779</v>
      </c>
      <c r="D882">
        <v>2</v>
      </c>
    </row>
    <row r="883" spans="1:4" x14ac:dyDescent="0.25">
      <c r="A883" s="1" t="s">
        <v>889</v>
      </c>
      <c r="B883" s="1" t="s">
        <v>7</v>
      </c>
      <c r="C883" s="2">
        <v>0.66869212962962965</v>
      </c>
      <c r="D883">
        <v>1</v>
      </c>
    </row>
    <row r="884" spans="1:4" x14ac:dyDescent="0.25">
      <c r="A884" s="1" t="s">
        <v>890</v>
      </c>
      <c r="B884" s="1" t="s">
        <v>5</v>
      </c>
      <c r="C884" s="2">
        <v>0.66927083333333337</v>
      </c>
      <c r="D884">
        <v>2</v>
      </c>
    </row>
    <row r="885" spans="1:4" x14ac:dyDescent="0.25">
      <c r="A885" s="1" t="s">
        <v>891</v>
      </c>
      <c r="B885" s="1" t="s">
        <v>7</v>
      </c>
      <c r="C885" s="2">
        <v>0.66956018518518523</v>
      </c>
      <c r="D885">
        <v>1</v>
      </c>
    </row>
    <row r="886" spans="1:4" x14ac:dyDescent="0.25">
      <c r="A886" s="1" t="s">
        <v>892</v>
      </c>
      <c r="B886" s="1" t="s">
        <v>5</v>
      </c>
      <c r="C886" s="2">
        <v>0.66984953703703709</v>
      </c>
      <c r="D886">
        <v>1</v>
      </c>
    </row>
    <row r="887" spans="1:4" x14ac:dyDescent="0.25">
      <c r="A887" s="1" t="s">
        <v>893</v>
      </c>
      <c r="B887" s="1" t="s">
        <v>9</v>
      </c>
      <c r="C887" s="2">
        <v>0.67013888888888884</v>
      </c>
      <c r="D887">
        <v>1</v>
      </c>
    </row>
    <row r="888" spans="1:4" x14ac:dyDescent="0.25">
      <c r="A888" s="1" t="s">
        <v>894</v>
      </c>
      <c r="B888" s="1" t="s">
        <v>9</v>
      </c>
      <c r="C888" s="2">
        <v>0.67071759259259256</v>
      </c>
      <c r="D888">
        <v>2</v>
      </c>
    </row>
    <row r="889" spans="1:4" x14ac:dyDescent="0.25">
      <c r="A889" s="1" t="s">
        <v>895</v>
      </c>
      <c r="B889" s="1" t="s">
        <v>27</v>
      </c>
      <c r="C889" s="2">
        <v>0.67129629629629628</v>
      </c>
      <c r="D889">
        <v>2</v>
      </c>
    </row>
    <row r="890" spans="1:4" x14ac:dyDescent="0.25">
      <c r="A890" s="1" t="s">
        <v>896</v>
      </c>
      <c r="B890" s="1" t="s">
        <v>7</v>
      </c>
      <c r="C890" s="2">
        <v>0.67158564814814814</v>
      </c>
      <c r="D890">
        <v>1</v>
      </c>
    </row>
    <row r="891" spans="1:4" x14ac:dyDescent="0.25">
      <c r="A891" s="1" t="s">
        <v>897</v>
      </c>
      <c r="B891" s="1" t="s">
        <v>5</v>
      </c>
      <c r="C891" s="2">
        <v>0.67216435185185186</v>
      </c>
      <c r="D891">
        <v>2</v>
      </c>
    </row>
    <row r="892" spans="1:4" x14ac:dyDescent="0.25">
      <c r="A892" s="1" t="s">
        <v>898</v>
      </c>
      <c r="B892" s="1" t="s">
        <v>7</v>
      </c>
      <c r="C892" s="2">
        <v>0.67245370370370372</v>
      </c>
      <c r="D892">
        <v>1</v>
      </c>
    </row>
    <row r="893" spans="1:4" x14ac:dyDescent="0.25">
      <c r="A893" s="1" t="s">
        <v>899</v>
      </c>
      <c r="B893" s="1" t="s">
        <v>5</v>
      </c>
      <c r="C893" s="2">
        <v>0.67274305555555558</v>
      </c>
      <c r="D893">
        <v>1</v>
      </c>
    </row>
    <row r="894" spans="1:4" x14ac:dyDescent="0.25">
      <c r="A894" s="1" t="s">
        <v>900</v>
      </c>
      <c r="B894" s="1" t="s">
        <v>7</v>
      </c>
      <c r="C894" s="2">
        <v>0.67303240740740744</v>
      </c>
      <c r="D894">
        <v>1</v>
      </c>
    </row>
    <row r="895" spans="1:4" x14ac:dyDescent="0.25">
      <c r="A895" s="1" t="s">
        <v>901</v>
      </c>
      <c r="B895" s="1" t="s">
        <v>5</v>
      </c>
      <c r="C895" s="2">
        <v>0.67361111111111116</v>
      </c>
      <c r="D895">
        <v>2</v>
      </c>
    </row>
    <row r="896" spans="1:4" x14ac:dyDescent="0.25">
      <c r="A896" s="1" t="s">
        <v>902</v>
      </c>
      <c r="B896" s="1" t="s">
        <v>7</v>
      </c>
      <c r="C896" s="2">
        <v>0.67390046296296291</v>
      </c>
      <c r="D896">
        <v>1</v>
      </c>
    </row>
    <row r="897" spans="1:4" x14ac:dyDescent="0.25">
      <c r="A897" s="1" t="s">
        <v>903</v>
      </c>
      <c r="B897" s="1" t="s">
        <v>5</v>
      </c>
      <c r="C897" s="2">
        <v>0.67447916666666663</v>
      </c>
      <c r="D897">
        <v>2</v>
      </c>
    </row>
    <row r="898" spans="1:4" x14ac:dyDescent="0.25">
      <c r="A898" s="1" t="s">
        <v>904</v>
      </c>
      <c r="B898" s="1" t="s">
        <v>7</v>
      </c>
      <c r="C898" s="2">
        <v>0.67476851851851849</v>
      </c>
      <c r="D898">
        <v>1</v>
      </c>
    </row>
    <row r="899" spans="1:4" x14ac:dyDescent="0.25">
      <c r="A899" s="1" t="s">
        <v>905</v>
      </c>
      <c r="B899" s="1" t="s">
        <v>9</v>
      </c>
      <c r="C899" s="2">
        <v>0.67505787037037035</v>
      </c>
      <c r="D899">
        <v>1</v>
      </c>
    </row>
    <row r="900" spans="1:4" x14ac:dyDescent="0.25">
      <c r="A900" s="1" t="s">
        <v>906</v>
      </c>
      <c r="B900" s="1" t="s">
        <v>7</v>
      </c>
      <c r="C900" s="2">
        <v>0.67534722222222221</v>
      </c>
      <c r="D900">
        <v>1</v>
      </c>
    </row>
    <row r="901" spans="1:4" x14ac:dyDescent="0.25">
      <c r="A901" s="1" t="s">
        <v>907</v>
      </c>
      <c r="B901" s="1" t="s">
        <v>7</v>
      </c>
      <c r="C901" s="2">
        <v>0.67563657407407407</v>
      </c>
      <c r="D901">
        <v>1</v>
      </c>
    </row>
    <row r="902" spans="1:4" x14ac:dyDescent="0.25">
      <c r="A902" s="1" t="s">
        <v>908</v>
      </c>
      <c r="B902" s="1" t="s">
        <v>5</v>
      </c>
      <c r="C902" s="2">
        <v>0.67592592592592593</v>
      </c>
      <c r="D902">
        <v>1</v>
      </c>
    </row>
    <row r="903" spans="1:4" x14ac:dyDescent="0.25">
      <c r="A903" s="1" t="s">
        <v>909</v>
      </c>
      <c r="B903" s="1" t="s">
        <v>27</v>
      </c>
      <c r="C903" s="2">
        <v>0.67621527777777779</v>
      </c>
      <c r="D903">
        <v>1</v>
      </c>
    </row>
    <row r="904" spans="1:4" x14ac:dyDescent="0.25">
      <c r="A904" s="1" t="s">
        <v>910</v>
      </c>
      <c r="B904" s="1" t="s">
        <v>27</v>
      </c>
      <c r="C904" s="2">
        <v>0.67650462962962965</v>
      </c>
      <c r="D904">
        <v>1</v>
      </c>
    </row>
    <row r="905" spans="1:4" x14ac:dyDescent="0.25">
      <c r="A905" s="1" t="s">
        <v>911</v>
      </c>
      <c r="B905" s="1" t="s">
        <v>7</v>
      </c>
      <c r="C905" s="2">
        <v>0.67679398148148151</v>
      </c>
      <c r="D905">
        <v>1</v>
      </c>
    </row>
    <row r="906" spans="1:4" x14ac:dyDescent="0.25">
      <c r="A906" s="1" t="s">
        <v>912</v>
      </c>
      <c r="B906" s="1" t="s">
        <v>9</v>
      </c>
      <c r="C906" s="2">
        <v>0.67708333333333337</v>
      </c>
      <c r="D906">
        <v>1</v>
      </c>
    </row>
    <row r="907" spans="1:4" x14ac:dyDescent="0.25">
      <c r="A907" s="1" t="s">
        <v>913</v>
      </c>
      <c r="B907" s="1" t="s">
        <v>7</v>
      </c>
      <c r="C907" s="2">
        <v>0.67737268518518523</v>
      </c>
      <c r="D907">
        <v>1</v>
      </c>
    </row>
    <row r="908" spans="1:4" x14ac:dyDescent="0.25">
      <c r="A908" s="1" t="s">
        <v>914</v>
      </c>
      <c r="B908" s="1" t="s">
        <v>9</v>
      </c>
      <c r="C908" s="2">
        <v>0.67766203703703709</v>
      </c>
      <c r="D908">
        <v>1</v>
      </c>
    </row>
    <row r="909" spans="1:4" x14ac:dyDescent="0.25">
      <c r="A909" s="1" t="s">
        <v>915</v>
      </c>
      <c r="B909" s="1" t="s">
        <v>5</v>
      </c>
      <c r="C909" s="2">
        <v>0.6782407407407407</v>
      </c>
      <c r="D909">
        <v>2</v>
      </c>
    </row>
    <row r="910" spans="1:4" x14ac:dyDescent="0.25">
      <c r="A910" s="1" t="s">
        <v>916</v>
      </c>
      <c r="B910" s="1" t="s">
        <v>5</v>
      </c>
      <c r="C910" s="2">
        <v>0.67853009259259256</v>
      </c>
      <c r="D910">
        <v>1</v>
      </c>
    </row>
    <row r="911" spans="1:4" x14ac:dyDescent="0.25">
      <c r="A911" s="1" t="s">
        <v>917</v>
      </c>
      <c r="B911" s="1" t="s">
        <v>7</v>
      </c>
      <c r="C911" s="2">
        <v>0.67881944444444442</v>
      </c>
      <c r="D911">
        <v>1</v>
      </c>
    </row>
    <row r="912" spans="1:4" x14ac:dyDescent="0.25">
      <c r="A912" s="1" t="s">
        <v>918</v>
      </c>
      <c r="B912" s="1" t="s">
        <v>5</v>
      </c>
      <c r="C912" s="2">
        <v>0.67939814814814814</v>
      </c>
      <c r="D912">
        <v>2</v>
      </c>
    </row>
    <row r="913" spans="1:4" x14ac:dyDescent="0.25">
      <c r="A913" s="1" t="s">
        <v>919</v>
      </c>
      <c r="B913" s="1" t="s">
        <v>9</v>
      </c>
      <c r="C913" s="2">
        <v>0.6796875</v>
      </c>
      <c r="D913">
        <v>1</v>
      </c>
    </row>
    <row r="914" spans="1:4" x14ac:dyDescent="0.25">
      <c r="A914" s="1" t="s">
        <v>920</v>
      </c>
      <c r="B914" s="1" t="s">
        <v>7</v>
      </c>
      <c r="C914" s="2">
        <v>0.67997685185185186</v>
      </c>
      <c r="D914">
        <v>1</v>
      </c>
    </row>
    <row r="915" spans="1:4" x14ac:dyDescent="0.25">
      <c r="A915" s="1" t="s">
        <v>921</v>
      </c>
      <c r="B915" s="1" t="s">
        <v>7</v>
      </c>
      <c r="C915" s="2">
        <v>0.68026620370370372</v>
      </c>
      <c r="D915">
        <v>1</v>
      </c>
    </row>
    <row r="916" spans="1:4" x14ac:dyDescent="0.25">
      <c r="A916" s="1" t="s">
        <v>922</v>
      </c>
      <c r="B916" s="1" t="s">
        <v>7</v>
      </c>
      <c r="C916" s="2">
        <v>0.68055555555555558</v>
      </c>
      <c r="D916">
        <v>1</v>
      </c>
    </row>
    <row r="917" spans="1:4" x14ac:dyDescent="0.25">
      <c r="A917" s="1" t="s">
        <v>923</v>
      </c>
      <c r="B917" s="1" t="s">
        <v>27</v>
      </c>
      <c r="C917" s="2">
        <v>0.68084490740740744</v>
      </c>
      <c r="D917">
        <v>1</v>
      </c>
    </row>
    <row r="918" spans="1:4" x14ac:dyDescent="0.25">
      <c r="A918" s="1" t="s">
        <v>924</v>
      </c>
      <c r="B918" s="1" t="s">
        <v>7</v>
      </c>
      <c r="C918" s="2">
        <v>0.6811342592592593</v>
      </c>
      <c r="D918">
        <v>1</v>
      </c>
    </row>
    <row r="919" spans="1:4" x14ac:dyDescent="0.25">
      <c r="A919" s="1" t="s">
        <v>925</v>
      </c>
      <c r="B919" s="1" t="s">
        <v>7</v>
      </c>
      <c r="C919" s="2">
        <v>0.68142361111111116</v>
      </c>
      <c r="D919">
        <v>1</v>
      </c>
    </row>
    <row r="920" spans="1:4" x14ac:dyDescent="0.25">
      <c r="A920" s="1" t="s">
        <v>926</v>
      </c>
      <c r="B920" s="1" t="s">
        <v>9</v>
      </c>
      <c r="C920" s="2">
        <v>0.68171296296296291</v>
      </c>
      <c r="D920">
        <v>1</v>
      </c>
    </row>
    <row r="921" spans="1:4" x14ac:dyDescent="0.25">
      <c r="A921" s="1" t="s">
        <v>927</v>
      </c>
      <c r="B921" s="1" t="s">
        <v>9</v>
      </c>
      <c r="C921" s="2">
        <v>0.68200231481481477</v>
      </c>
      <c r="D921">
        <v>1</v>
      </c>
    </row>
    <row r="922" spans="1:4" x14ac:dyDescent="0.25">
      <c r="A922" s="1" t="s">
        <v>928</v>
      </c>
      <c r="B922" s="1" t="s">
        <v>7</v>
      </c>
      <c r="C922" s="2">
        <v>0.68229166666666663</v>
      </c>
      <c r="D922">
        <v>1</v>
      </c>
    </row>
    <row r="923" spans="1:4" x14ac:dyDescent="0.25">
      <c r="A923" s="1" t="s">
        <v>929</v>
      </c>
      <c r="B923" s="1" t="s">
        <v>27</v>
      </c>
      <c r="C923" s="2">
        <v>0.68287037037037035</v>
      </c>
      <c r="D923">
        <v>2</v>
      </c>
    </row>
    <row r="924" spans="1:4" x14ac:dyDescent="0.25">
      <c r="A924" s="1" t="s">
        <v>930</v>
      </c>
      <c r="B924" s="1" t="s">
        <v>7</v>
      </c>
      <c r="C924" s="2">
        <v>0.68315972222222221</v>
      </c>
      <c r="D924">
        <v>1</v>
      </c>
    </row>
    <row r="925" spans="1:4" x14ac:dyDescent="0.25">
      <c r="A925" s="1" t="s">
        <v>931</v>
      </c>
      <c r="B925" s="1" t="s">
        <v>27</v>
      </c>
      <c r="C925" s="2">
        <v>0.68344907407407407</v>
      </c>
      <c r="D925">
        <v>1</v>
      </c>
    </row>
    <row r="926" spans="1:4" x14ac:dyDescent="0.25">
      <c r="A926" s="1" t="s">
        <v>932</v>
      </c>
      <c r="B926" s="1" t="s">
        <v>27</v>
      </c>
      <c r="C926" s="2">
        <v>0.68402777777777779</v>
      </c>
      <c r="D926">
        <v>2</v>
      </c>
    </row>
    <row r="927" spans="1:4" x14ac:dyDescent="0.25">
      <c r="A927" s="1" t="s">
        <v>933</v>
      </c>
      <c r="B927" s="1" t="s">
        <v>7</v>
      </c>
      <c r="C927" s="2">
        <v>0.68431712962962965</v>
      </c>
      <c r="D927">
        <v>1</v>
      </c>
    </row>
    <row r="928" spans="1:4" x14ac:dyDescent="0.25">
      <c r="A928" s="1" t="s">
        <v>934</v>
      </c>
      <c r="B928" s="1" t="s">
        <v>9</v>
      </c>
      <c r="C928" s="2">
        <v>0.68489583333333337</v>
      </c>
      <c r="D928">
        <v>2</v>
      </c>
    </row>
    <row r="929" spans="1:4" x14ac:dyDescent="0.25">
      <c r="A929" s="1" t="s">
        <v>935</v>
      </c>
      <c r="B929" s="1" t="s">
        <v>7</v>
      </c>
      <c r="C929" s="2">
        <v>0.68518518518518523</v>
      </c>
      <c r="D929">
        <v>1</v>
      </c>
    </row>
    <row r="930" spans="1:4" x14ac:dyDescent="0.25">
      <c r="A930" s="1" t="s">
        <v>936</v>
      </c>
      <c r="B930" s="1" t="s">
        <v>7</v>
      </c>
      <c r="C930" s="2">
        <v>0.68547453703703709</v>
      </c>
      <c r="D930">
        <v>1</v>
      </c>
    </row>
    <row r="931" spans="1:4" x14ac:dyDescent="0.25">
      <c r="A931" s="1" t="s">
        <v>937</v>
      </c>
      <c r="B931" s="1" t="s">
        <v>5</v>
      </c>
      <c r="C931" s="2">
        <v>0.68576388888888884</v>
      </c>
      <c r="D931">
        <v>1</v>
      </c>
    </row>
    <row r="932" spans="1:4" x14ac:dyDescent="0.25">
      <c r="A932" s="1" t="s">
        <v>938</v>
      </c>
      <c r="B932" s="1" t="s">
        <v>7</v>
      </c>
      <c r="C932" s="2">
        <v>0.6860532407407407</v>
      </c>
      <c r="D932">
        <v>1</v>
      </c>
    </row>
    <row r="933" spans="1:4" x14ac:dyDescent="0.25">
      <c r="A933" s="1" t="s">
        <v>939</v>
      </c>
      <c r="B933" s="1" t="s">
        <v>5</v>
      </c>
      <c r="C933" s="2">
        <v>0.68634259259259256</v>
      </c>
      <c r="D933">
        <v>1</v>
      </c>
    </row>
    <row r="934" spans="1:4" x14ac:dyDescent="0.25">
      <c r="A934" s="1" t="s">
        <v>940</v>
      </c>
      <c r="B934" s="1" t="s">
        <v>7</v>
      </c>
      <c r="C934" s="2">
        <v>0.68663194444444442</v>
      </c>
      <c r="D934">
        <v>1</v>
      </c>
    </row>
    <row r="935" spans="1:4" x14ac:dyDescent="0.25">
      <c r="A935" s="1" t="s">
        <v>941</v>
      </c>
      <c r="B935" s="1" t="s">
        <v>7</v>
      </c>
      <c r="C935" s="2">
        <v>0.68692129629629628</v>
      </c>
      <c r="D935">
        <v>1</v>
      </c>
    </row>
    <row r="936" spans="1:4" x14ac:dyDescent="0.25">
      <c r="A936" s="1" t="s">
        <v>942</v>
      </c>
      <c r="B936" s="1" t="s">
        <v>7</v>
      </c>
      <c r="C936" s="2">
        <v>0.68721064814814814</v>
      </c>
      <c r="D936">
        <v>1</v>
      </c>
    </row>
    <row r="937" spans="1:4" x14ac:dyDescent="0.25">
      <c r="A937" s="1" t="s">
        <v>943</v>
      </c>
      <c r="B937" s="1" t="s">
        <v>7</v>
      </c>
      <c r="C937" s="2">
        <v>0.6875</v>
      </c>
      <c r="D937">
        <v>1</v>
      </c>
    </row>
    <row r="938" spans="1:4" x14ac:dyDescent="0.25">
      <c r="A938" s="1" t="s">
        <v>944</v>
      </c>
      <c r="B938" s="1" t="s">
        <v>7</v>
      </c>
      <c r="C938" s="2">
        <v>0.68778935185185186</v>
      </c>
      <c r="D938">
        <v>1</v>
      </c>
    </row>
    <row r="939" spans="1:4" x14ac:dyDescent="0.25">
      <c r="A939" s="1" t="s">
        <v>945</v>
      </c>
      <c r="B939" s="1" t="s">
        <v>9</v>
      </c>
      <c r="C939" s="2">
        <v>0.68807870370370372</v>
      </c>
      <c r="D939">
        <v>1</v>
      </c>
    </row>
    <row r="940" spans="1:4" x14ac:dyDescent="0.25">
      <c r="A940" s="1" t="s">
        <v>946</v>
      </c>
      <c r="B940" s="1" t="s">
        <v>9</v>
      </c>
      <c r="C940" s="2">
        <v>0.68865740740740744</v>
      </c>
      <c r="D940">
        <v>2</v>
      </c>
    </row>
    <row r="941" spans="1:4" x14ac:dyDescent="0.25">
      <c r="A941" s="1" t="s">
        <v>947</v>
      </c>
      <c r="B941" s="1" t="s">
        <v>7</v>
      </c>
      <c r="C941" s="2">
        <v>0.6889467592592593</v>
      </c>
      <c r="D941">
        <v>1</v>
      </c>
    </row>
    <row r="942" spans="1:4" x14ac:dyDescent="0.25">
      <c r="A942" s="1" t="s">
        <v>948</v>
      </c>
      <c r="B942" s="1" t="s">
        <v>9</v>
      </c>
      <c r="C942" s="2">
        <v>0.68952546296296291</v>
      </c>
      <c r="D942">
        <v>2</v>
      </c>
    </row>
    <row r="943" spans="1:4" x14ac:dyDescent="0.25">
      <c r="A943" s="1" t="s">
        <v>949</v>
      </c>
      <c r="B943" s="1" t="s">
        <v>5</v>
      </c>
      <c r="C943" s="2">
        <v>0.69010416666666663</v>
      </c>
      <c r="D943">
        <v>2</v>
      </c>
    </row>
    <row r="944" spans="1:4" x14ac:dyDescent="0.25">
      <c r="A944" s="1" t="s">
        <v>950</v>
      </c>
      <c r="B944" s="1" t="s">
        <v>5</v>
      </c>
      <c r="C944" s="2">
        <v>0.69068287037037035</v>
      </c>
      <c r="D944">
        <v>2</v>
      </c>
    </row>
    <row r="945" spans="1:4" x14ac:dyDescent="0.25">
      <c r="A945" s="1" t="s">
        <v>951</v>
      </c>
      <c r="B945" s="1" t="s">
        <v>9</v>
      </c>
      <c r="C945" s="2">
        <v>0.69097222222222221</v>
      </c>
      <c r="D945">
        <v>1</v>
      </c>
    </row>
    <row r="946" spans="1:4" x14ac:dyDescent="0.25">
      <c r="A946" s="1" t="s">
        <v>952</v>
      </c>
      <c r="B946" s="1" t="s">
        <v>9</v>
      </c>
      <c r="C946" s="2">
        <v>0.69126157407407407</v>
      </c>
      <c r="D946">
        <v>1</v>
      </c>
    </row>
    <row r="947" spans="1:4" x14ac:dyDescent="0.25">
      <c r="A947" s="1" t="s">
        <v>953</v>
      </c>
      <c r="B947" s="1" t="s">
        <v>9</v>
      </c>
      <c r="C947" s="2">
        <v>0.69155092592592593</v>
      </c>
      <c r="D947">
        <v>1</v>
      </c>
    </row>
    <row r="948" spans="1:4" x14ac:dyDescent="0.25">
      <c r="A948" s="1" t="s">
        <v>954</v>
      </c>
      <c r="B948" s="1" t="s">
        <v>9</v>
      </c>
      <c r="C948" s="2">
        <v>0.69184027777777779</v>
      </c>
      <c r="D948">
        <v>1</v>
      </c>
    </row>
    <row r="949" spans="1:4" x14ac:dyDescent="0.25">
      <c r="A949" s="1" t="s">
        <v>955</v>
      </c>
      <c r="B949" s="1" t="s">
        <v>7</v>
      </c>
      <c r="C949" s="2">
        <v>0.69212962962962965</v>
      </c>
      <c r="D949">
        <v>1</v>
      </c>
    </row>
    <row r="950" spans="1:4" x14ac:dyDescent="0.25">
      <c r="A950" s="1" t="s">
        <v>956</v>
      </c>
      <c r="B950" s="1" t="s">
        <v>9</v>
      </c>
      <c r="C950" s="2">
        <v>0.69270833333333337</v>
      </c>
      <c r="D950">
        <v>2</v>
      </c>
    </row>
    <row r="951" spans="1:4" x14ac:dyDescent="0.25">
      <c r="A951" s="1" t="s">
        <v>957</v>
      </c>
      <c r="B951" s="1" t="s">
        <v>9</v>
      </c>
      <c r="C951" s="2">
        <v>0.69282407407407409</v>
      </c>
      <c r="D951">
        <v>2</v>
      </c>
    </row>
    <row r="952" spans="1:4" x14ac:dyDescent="0.25">
      <c r="A952" s="1" t="s">
        <v>958</v>
      </c>
      <c r="B952" s="1" t="s">
        <v>9</v>
      </c>
      <c r="C952" s="2">
        <v>0.69305555555555554</v>
      </c>
      <c r="D952">
        <v>1</v>
      </c>
    </row>
    <row r="953" spans="1:4" x14ac:dyDescent="0.25">
      <c r="A953" s="1" t="s">
        <v>959</v>
      </c>
      <c r="B953" s="1" t="s">
        <v>27</v>
      </c>
      <c r="C953" s="2">
        <v>0.69322916666666667</v>
      </c>
      <c r="D953">
        <v>1</v>
      </c>
    </row>
    <row r="954" spans="1:4" x14ac:dyDescent="0.25">
      <c r="A954" s="1" t="s">
        <v>960</v>
      </c>
      <c r="B954" s="1" t="s">
        <v>7</v>
      </c>
      <c r="C954" s="2">
        <v>0.6933449074074074</v>
      </c>
      <c r="D954">
        <v>1</v>
      </c>
    </row>
    <row r="955" spans="1:4" x14ac:dyDescent="0.25">
      <c r="A955" s="1" t="s">
        <v>961</v>
      </c>
      <c r="B955" s="1" t="s">
        <v>9</v>
      </c>
      <c r="C955" s="2">
        <v>0.69351851851851853</v>
      </c>
      <c r="D955">
        <v>2</v>
      </c>
    </row>
    <row r="956" spans="1:4" x14ac:dyDescent="0.25">
      <c r="A956" s="1" t="s">
        <v>962</v>
      </c>
      <c r="B956" s="1" t="s">
        <v>7</v>
      </c>
      <c r="C956" s="2">
        <v>0.69374999999999998</v>
      </c>
      <c r="D956">
        <v>1</v>
      </c>
    </row>
    <row r="957" spans="1:4" x14ac:dyDescent="0.25">
      <c r="A957" s="1" t="s">
        <v>963</v>
      </c>
      <c r="B957" s="1" t="s">
        <v>5</v>
      </c>
      <c r="C957" s="2">
        <v>0.6938657407407407</v>
      </c>
      <c r="D957">
        <v>2</v>
      </c>
    </row>
    <row r="958" spans="1:4" x14ac:dyDescent="0.25">
      <c r="A958" s="1" t="s">
        <v>964</v>
      </c>
      <c r="B958" s="1" t="s">
        <v>7</v>
      </c>
      <c r="C958" s="2">
        <v>0.69403935185185184</v>
      </c>
      <c r="D958">
        <v>1</v>
      </c>
    </row>
    <row r="959" spans="1:4" x14ac:dyDescent="0.25">
      <c r="A959" s="1" t="s">
        <v>965</v>
      </c>
      <c r="B959" s="1" t="s">
        <v>9</v>
      </c>
      <c r="C959" s="2">
        <v>0.69415509259259256</v>
      </c>
      <c r="D959">
        <v>2</v>
      </c>
    </row>
    <row r="960" spans="1:4" x14ac:dyDescent="0.25">
      <c r="A960" s="1" t="s">
        <v>966</v>
      </c>
      <c r="B960" s="1" t="s">
        <v>7</v>
      </c>
      <c r="C960" s="2">
        <v>0.6943287037037037</v>
      </c>
      <c r="D960">
        <v>1</v>
      </c>
    </row>
    <row r="961" spans="1:4" x14ac:dyDescent="0.25">
      <c r="A961" s="1" t="s">
        <v>967</v>
      </c>
      <c r="B961" s="1" t="s">
        <v>5</v>
      </c>
      <c r="C961" s="2">
        <v>0.69450231481481484</v>
      </c>
      <c r="D961">
        <v>1</v>
      </c>
    </row>
    <row r="962" spans="1:4" x14ac:dyDescent="0.25">
      <c r="A962" s="1" t="s">
        <v>968</v>
      </c>
      <c r="B962" s="1" t="s">
        <v>7</v>
      </c>
      <c r="C962" s="2">
        <v>0.69461805555555556</v>
      </c>
      <c r="D962">
        <v>1</v>
      </c>
    </row>
    <row r="963" spans="1:4" x14ac:dyDescent="0.25">
      <c r="A963" s="1" t="s">
        <v>969</v>
      </c>
      <c r="B963" s="1" t="s">
        <v>5</v>
      </c>
      <c r="C963" s="2">
        <v>0.69490740740740742</v>
      </c>
      <c r="D963">
        <v>2</v>
      </c>
    </row>
    <row r="964" spans="1:4" x14ac:dyDescent="0.25">
      <c r="A964" s="1" t="s">
        <v>970</v>
      </c>
      <c r="B964" s="1" t="s">
        <v>7</v>
      </c>
      <c r="C964" s="2">
        <v>0.69513888888888886</v>
      </c>
      <c r="D964">
        <v>1</v>
      </c>
    </row>
    <row r="965" spans="1:4" x14ac:dyDescent="0.25">
      <c r="A965" s="1" t="s">
        <v>971</v>
      </c>
      <c r="B965" s="1" t="s">
        <v>5</v>
      </c>
      <c r="C965" s="2">
        <v>0.6953125</v>
      </c>
      <c r="D965">
        <v>2</v>
      </c>
    </row>
    <row r="966" spans="1:4" x14ac:dyDescent="0.25">
      <c r="A966" s="1" t="s">
        <v>972</v>
      </c>
      <c r="B966" s="1" t="s">
        <v>9</v>
      </c>
      <c r="C966" s="2">
        <v>0.69554398148148144</v>
      </c>
      <c r="D966">
        <v>2</v>
      </c>
    </row>
    <row r="967" spans="1:4" x14ac:dyDescent="0.25">
      <c r="A967" s="1" t="s">
        <v>973</v>
      </c>
      <c r="B967" s="1" t="s">
        <v>9</v>
      </c>
      <c r="C967" s="2">
        <v>0.695775462962963</v>
      </c>
      <c r="D967">
        <v>1</v>
      </c>
    </row>
    <row r="968" spans="1:4" x14ac:dyDescent="0.25">
      <c r="A968" s="1" t="s">
        <v>974</v>
      </c>
      <c r="B968" s="1" t="s">
        <v>7</v>
      </c>
      <c r="C968" s="2">
        <v>0.69600694444444444</v>
      </c>
      <c r="D968">
        <v>1</v>
      </c>
    </row>
    <row r="969" spans="1:4" x14ac:dyDescent="0.25">
      <c r="A969" s="1" t="s">
        <v>975</v>
      </c>
      <c r="B969" s="1" t="s">
        <v>5</v>
      </c>
      <c r="C969" s="2">
        <v>0.69623842592592589</v>
      </c>
      <c r="D969">
        <v>1</v>
      </c>
    </row>
    <row r="970" spans="1:4" x14ac:dyDescent="0.25">
      <c r="A970" s="1" t="s">
        <v>976</v>
      </c>
      <c r="B970" s="1" t="s">
        <v>9</v>
      </c>
      <c r="C970" s="2">
        <v>0.69646990740740744</v>
      </c>
      <c r="D970">
        <v>1</v>
      </c>
    </row>
    <row r="971" spans="1:4" x14ac:dyDescent="0.25">
      <c r="A971" s="1" t="s">
        <v>977</v>
      </c>
      <c r="B971" s="1" t="s">
        <v>7</v>
      </c>
      <c r="C971" s="2">
        <v>0.69664351851851847</v>
      </c>
      <c r="D971">
        <v>1</v>
      </c>
    </row>
    <row r="972" spans="1:4" x14ac:dyDescent="0.25">
      <c r="A972" s="1" t="s">
        <v>978</v>
      </c>
      <c r="B972" s="1" t="s">
        <v>5</v>
      </c>
      <c r="C972" s="2">
        <v>0.69681712962962961</v>
      </c>
      <c r="D972">
        <v>2</v>
      </c>
    </row>
    <row r="973" spans="1:4" x14ac:dyDescent="0.25">
      <c r="A973" s="1" t="s">
        <v>979</v>
      </c>
      <c r="B973" s="1" t="s">
        <v>7</v>
      </c>
      <c r="C973" s="2">
        <v>0.69704861111111116</v>
      </c>
      <c r="D973">
        <v>1</v>
      </c>
    </row>
    <row r="974" spans="1:4" x14ac:dyDescent="0.25">
      <c r="A974" s="1" t="s">
        <v>980</v>
      </c>
      <c r="B974" s="1" t="s">
        <v>5</v>
      </c>
      <c r="C974" s="2">
        <v>0.69733796296296291</v>
      </c>
      <c r="D974">
        <v>1</v>
      </c>
    </row>
    <row r="975" spans="1:4" x14ac:dyDescent="0.25">
      <c r="A975" s="1" t="s">
        <v>981</v>
      </c>
      <c r="B975" s="1" t="s">
        <v>9</v>
      </c>
      <c r="C975" s="2">
        <v>0.69751157407407405</v>
      </c>
      <c r="D975">
        <v>2</v>
      </c>
    </row>
    <row r="976" spans="1:4" x14ac:dyDescent="0.25">
      <c r="A976" s="1" t="s">
        <v>982</v>
      </c>
      <c r="B976" s="1" t="s">
        <v>9</v>
      </c>
      <c r="C976" s="2">
        <v>0.69768518518518519</v>
      </c>
      <c r="D976">
        <v>1</v>
      </c>
    </row>
    <row r="977" spans="1:4" x14ac:dyDescent="0.25">
      <c r="A977" s="1" t="s">
        <v>983</v>
      </c>
      <c r="B977" s="1" t="s">
        <v>7</v>
      </c>
      <c r="C977" s="2">
        <v>0.69803240740740746</v>
      </c>
      <c r="D977">
        <v>1</v>
      </c>
    </row>
    <row r="978" spans="1:4" x14ac:dyDescent="0.25">
      <c r="A978" s="1" t="s">
        <v>984</v>
      </c>
      <c r="B978" s="1" t="s">
        <v>9</v>
      </c>
      <c r="C978" s="2">
        <v>0.69820601851851849</v>
      </c>
      <c r="D978">
        <v>2</v>
      </c>
    </row>
    <row r="979" spans="1:4" x14ac:dyDescent="0.25">
      <c r="A979" s="1" t="s">
        <v>985</v>
      </c>
      <c r="B979" s="1" t="s">
        <v>7</v>
      </c>
      <c r="C979" s="2">
        <v>0.69843750000000004</v>
      </c>
      <c r="D979">
        <v>1</v>
      </c>
    </row>
    <row r="980" spans="1:4" x14ac:dyDescent="0.25">
      <c r="A980" s="1" t="s">
        <v>986</v>
      </c>
      <c r="B980" s="1" t="s">
        <v>5</v>
      </c>
      <c r="C980" s="2">
        <v>0.69890046296296293</v>
      </c>
      <c r="D980">
        <v>2</v>
      </c>
    </row>
    <row r="981" spans="1:4" x14ac:dyDescent="0.25">
      <c r="A981" s="1" t="s">
        <v>987</v>
      </c>
      <c r="B981" s="1" t="s">
        <v>7</v>
      </c>
      <c r="C981" s="2">
        <v>0.69901620370370365</v>
      </c>
      <c r="D981">
        <v>1</v>
      </c>
    </row>
    <row r="982" spans="1:4" x14ac:dyDescent="0.25">
      <c r="A982" s="1" t="s">
        <v>988</v>
      </c>
      <c r="B982" s="1" t="s">
        <v>9</v>
      </c>
      <c r="C982" s="2">
        <v>0.69930555555555551</v>
      </c>
      <c r="D982">
        <v>1</v>
      </c>
    </row>
    <row r="983" spans="1:4" x14ac:dyDescent="0.25">
      <c r="A983" s="1" t="s">
        <v>989</v>
      </c>
      <c r="B983" s="1" t="s">
        <v>7</v>
      </c>
      <c r="C983" s="2">
        <v>0.69959490740740737</v>
      </c>
      <c r="D983">
        <v>1</v>
      </c>
    </row>
    <row r="984" spans="1:4" x14ac:dyDescent="0.25">
      <c r="A984" s="1" t="s">
        <v>990</v>
      </c>
      <c r="B984" s="1" t="s">
        <v>5</v>
      </c>
      <c r="C984" s="2">
        <v>0.69982638888888893</v>
      </c>
      <c r="D984">
        <v>1</v>
      </c>
    </row>
    <row r="985" spans="1:4" x14ac:dyDescent="0.25">
      <c r="A985" s="1" t="s">
        <v>991</v>
      </c>
      <c r="B985" s="1" t="s">
        <v>7</v>
      </c>
      <c r="C985" s="2">
        <v>0.70011574074074079</v>
      </c>
      <c r="D985">
        <v>1</v>
      </c>
    </row>
    <row r="986" spans="1:4" x14ac:dyDescent="0.25">
      <c r="A986" s="1" t="s">
        <v>992</v>
      </c>
      <c r="B986" s="1" t="s">
        <v>9</v>
      </c>
      <c r="C986" s="2">
        <v>0.70028935185185182</v>
      </c>
      <c r="D986">
        <v>1</v>
      </c>
    </row>
    <row r="987" spans="1:4" x14ac:dyDescent="0.25">
      <c r="A987" s="1" t="s">
        <v>993</v>
      </c>
      <c r="B987" s="1" t="s">
        <v>9</v>
      </c>
      <c r="C987" s="2">
        <v>0.70063657407407409</v>
      </c>
      <c r="D987">
        <v>2</v>
      </c>
    </row>
    <row r="988" spans="1:4" x14ac:dyDescent="0.25">
      <c r="A988" s="1" t="s">
        <v>994</v>
      </c>
      <c r="B988" s="1" t="s">
        <v>27</v>
      </c>
      <c r="C988" s="2">
        <v>0.70092592592592595</v>
      </c>
      <c r="D988">
        <v>1</v>
      </c>
    </row>
    <row r="989" spans="1:4" x14ac:dyDescent="0.25">
      <c r="A989" s="1" t="s">
        <v>995</v>
      </c>
      <c r="B989" s="1" t="s">
        <v>7</v>
      </c>
      <c r="C989" s="2">
        <v>0.7011574074074074</v>
      </c>
      <c r="D989">
        <v>1</v>
      </c>
    </row>
    <row r="990" spans="1:4" x14ac:dyDescent="0.25">
      <c r="A990" s="1" t="s">
        <v>996</v>
      </c>
      <c r="B990" s="1" t="s">
        <v>27</v>
      </c>
      <c r="C990" s="2">
        <v>0.70150462962962967</v>
      </c>
      <c r="D990">
        <v>1</v>
      </c>
    </row>
    <row r="991" spans="1:4" x14ac:dyDescent="0.25">
      <c r="A991" s="1" t="s">
        <v>997</v>
      </c>
      <c r="B991" s="1" t="s">
        <v>7</v>
      </c>
      <c r="C991" s="2">
        <v>0.70179398148148153</v>
      </c>
      <c r="D991">
        <v>1</v>
      </c>
    </row>
    <row r="992" spans="1:4" x14ac:dyDescent="0.25">
      <c r="A992" s="1" t="s">
        <v>998</v>
      </c>
      <c r="B992" s="1" t="s">
        <v>5</v>
      </c>
      <c r="C992" s="2">
        <v>0.70208333333333328</v>
      </c>
      <c r="D992">
        <v>1</v>
      </c>
    </row>
    <row r="993" spans="1:4" x14ac:dyDescent="0.25">
      <c r="A993" s="1" t="s">
        <v>999</v>
      </c>
      <c r="B993" s="1" t="s">
        <v>9</v>
      </c>
      <c r="C993" s="2">
        <v>0.70237268518518514</v>
      </c>
      <c r="D993">
        <v>1</v>
      </c>
    </row>
    <row r="994" spans="1:4" x14ac:dyDescent="0.25">
      <c r="A994" s="1" t="s">
        <v>1000</v>
      </c>
      <c r="B994" s="1" t="s">
        <v>7</v>
      </c>
      <c r="C994" s="2">
        <v>0.7026041666666667</v>
      </c>
      <c r="D994">
        <v>1</v>
      </c>
    </row>
    <row r="995" spans="1:4" x14ac:dyDescent="0.25">
      <c r="A995" s="1" t="s">
        <v>1001</v>
      </c>
      <c r="B995" s="1" t="s">
        <v>7</v>
      </c>
      <c r="C995" s="2">
        <v>0.70283564814814814</v>
      </c>
      <c r="D995">
        <v>1</v>
      </c>
    </row>
    <row r="996" spans="1:4" x14ac:dyDescent="0.25">
      <c r="A996" s="1" t="s">
        <v>1002</v>
      </c>
      <c r="B996" s="1" t="s">
        <v>5</v>
      </c>
      <c r="C996" s="2">
        <v>0.70318287037037042</v>
      </c>
      <c r="D996">
        <v>2</v>
      </c>
    </row>
    <row r="997" spans="1:4" x14ac:dyDescent="0.25">
      <c r="A997" s="1" t="s">
        <v>1003</v>
      </c>
      <c r="B997" s="1" t="s">
        <v>7</v>
      </c>
      <c r="C997" s="2">
        <v>0.70341435185185186</v>
      </c>
      <c r="D997">
        <v>1</v>
      </c>
    </row>
    <row r="998" spans="1:4" x14ac:dyDescent="0.25">
      <c r="A998" s="1" t="s">
        <v>1004</v>
      </c>
      <c r="B998" s="1" t="s">
        <v>7</v>
      </c>
      <c r="C998" s="2">
        <v>0.7036458333333333</v>
      </c>
      <c r="D998">
        <v>1</v>
      </c>
    </row>
    <row r="999" spans="1:4" x14ac:dyDescent="0.25">
      <c r="A999" s="1" t="s">
        <v>1005</v>
      </c>
      <c r="B999" s="1" t="s">
        <v>5</v>
      </c>
      <c r="C999" s="2">
        <v>0.70416666666666672</v>
      </c>
      <c r="D999">
        <v>1</v>
      </c>
    </row>
    <row r="1000" spans="1:4" x14ac:dyDescent="0.25">
      <c r="A1000" s="1" t="s">
        <v>1006</v>
      </c>
      <c r="B1000" s="1" t="s">
        <v>5</v>
      </c>
      <c r="C1000" s="2">
        <v>0.70497685185185188</v>
      </c>
      <c r="D1000">
        <v>2</v>
      </c>
    </row>
    <row r="1001" spans="1:4" x14ac:dyDescent="0.25">
      <c r="A1001" s="1" t="s">
        <v>1007</v>
      </c>
      <c r="B1001" s="1" t="s">
        <v>9</v>
      </c>
      <c r="C1001" s="2">
        <v>0.70625000000000004</v>
      </c>
      <c r="D1001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B473-C692-46CE-B846-E056B206149D}">
  <dimension ref="A1:Q1001"/>
  <sheetViews>
    <sheetView topLeftCell="A2" zoomScaleNormal="100" workbookViewId="0">
      <selection activeCell="C8" sqref="C8"/>
    </sheetView>
  </sheetViews>
  <sheetFormatPr defaultRowHeight="15" x14ac:dyDescent="0.25"/>
  <cols>
    <col min="1" max="1" width="12.42578125" bestFit="1" customWidth="1"/>
    <col min="2" max="2" width="23" bestFit="1" customWidth="1"/>
    <col min="3" max="3" width="26.42578125" bestFit="1" customWidth="1"/>
    <col min="4" max="4" width="17" bestFit="1" customWidth="1"/>
    <col min="5" max="5" width="16" bestFit="1" customWidth="1"/>
    <col min="6" max="6" width="10.28515625" style="10" bestFit="1" customWidth="1"/>
    <col min="7" max="8" width="10.5703125" style="10" customWidth="1"/>
    <col min="9" max="9" width="12.140625" customWidth="1"/>
    <col min="10" max="10" width="12.7109375" bestFit="1" customWidth="1"/>
    <col min="11" max="11" width="12.7109375" customWidth="1"/>
    <col min="12" max="12" width="12.7109375" style="10" customWidth="1"/>
    <col min="13" max="14" width="12.7109375" customWidth="1"/>
    <col min="15" max="16" width="10.5703125" customWidth="1"/>
    <col min="17" max="17" width="12.7109375" bestFit="1" customWidth="1"/>
    <col min="18" max="31" width="10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1008</v>
      </c>
      <c r="F1" s="9" t="s">
        <v>1009</v>
      </c>
      <c r="G1" s="9" t="s">
        <v>1012</v>
      </c>
      <c r="H1" s="9" t="s">
        <v>1014</v>
      </c>
      <c r="I1" t="s">
        <v>1013</v>
      </c>
      <c r="J1" t="s">
        <v>1018</v>
      </c>
      <c r="K1" t="s">
        <v>1023</v>
      </c>
      <c r="L1" s="9" t="s">
        <v>1022</v>
      </c>
    </row>
    <row r="2" spans="1:17" x14ac:dyDescent="0.25">
      <c r="A2" s="1" t="s">
        <v>4</v>
      </c>
      <c r="B2" s="1" t="s">
        <v>5</v>
      </c>
      <c r="C2" s="2">
        <v>0.33333333333333331</v>
      </c>
      <c r="D2">
        <v>2</v>
      </c>
      <c r="E2">
        <f>VALUE(RIGHT(LEFT(punkt_szczepień__13[[#This Row],[PESEL]],4),2))</f>
        <v>11</v>
      </c>
      <c r="F2" s="11">
        <f>MOD(punkt_szczepień__13[[#This Row],[liczba miesiac]],20)</f>
        <v>11</v>
      </c>
      <c r="G2" s="11">
        <f>VLOOKUP(punkt_szczepień__13[[#This Row],[liczba miesiac]]-punkt_szczepień__13[[#This Row],[miesiac]],$O$3:$P$7,2,0)+VALUE(LEFT(punkt_szczepień__13[[#This Row],[PESEL]],2))</f>
        <v>1950</v>
      </c>
      <c r="H2" s="11">
        <f>VALUE(RIGHT(LEFT(punkt_szczepień__13[[#This Row],[PESEL]],6),2))</f>
        <v>8</v>
      </c>
      <c r="I2" s="3">
        <f>DATE(punkt_szczepień__13[[#This Row],[rok]],punkt_szczepień__13[[#This Row],[miesiac]],punkt_szczepień__13[[#This Row],[dzień]])</f>
        <v>18575</v>
      </c>
      <c r="J2" s="1" t="str">
        <f>punkt_szczepień__13[[#This Row],[PESEL]]</f>
        <v>50110858978</v>
      </c>
      <c r="K2" s="1">
        <f>VALUE(MID(punkt_szczepień__13[[#This Row],[PESEL]],10,1))</f>
        <v>7</v>
      </c>
      <c r="L2" s="11" t="str">
        <f>IF(MOD(punkt_szczepień__13[[#This Row],[liczba płeć]],2)=0,"K","M")</f>
        <v>M</v>
      </c>
      <c r="M2" s="1"/>
      <c r="N2" s="1"/>
      <c r="O2" t="s">
        <v>1010</v>
      </c>
      <c r="P2" t="s">
        <v>1011</v>
      </c>
    </row>
    <row r="3" spans="1:17" x14ac:dyDescent="0.25">
      <c r="A3" s="1" t="s">
        <v>6</v>
      </c>
      <c r="B3" s="1" t="s">
        <v>7</v>
      </c>
      <c r="C3" s="2">
        <v>0.33362268518518517</v>
      </c>
      <c r="D3">
        <v>1</v>
      </c>
      <c r="E3">
        <f>VALUE(RIGHT(LEFT(punkt_szczepień__13[[#This Row],[PESEL]],4),2))</f>
        <v>26</v>
      </c>
      <c r="F3" s="11">
        <f>MOD(punkt_szczepień__13[[#This Row],[liczba miesiac]],20)</f>
        <v>6</v>
      </c>
      <c r="G3" s="11">
        <f>VLOOKUP(punkt_szczepień__13[[#This Row],[liczba miesiac]]-punkt_szczepień__13[[#This Row],[miesiac]],$O$3:$P$7,2,0)+VALUE(LEFT(punkt_szczepień__13[[#This Row],[PESEL]],2))</f>
        <v>2009</v>
      </c>
      <c r="H3" s="11">
        <f>VALUE(RIGHT(LEFT(punkt_szczepień__13[[#This Row],[PESEL]],6),2))</f>
        <v>18</v>
      </c>
      <c r="I3" s="3">
        <f>DATE(punkt_szczepień__13[[#This Row],[rok]],punkt_szczepień__13[[#This Row],[miesiac]],punkt_szczepień__13[[#This Row],[dzień]])</f>
        <v>39982</v>
      </c>
      <c r="J3" s="1" t="str">
        <f>punkt_szczepień__13[[#This Row],[PESEL]]</f>
        <v>09261817925</v>
      </c>
      <c r="K3" s="1">
        <f>VALUE(MID(punkt_szczepień__13[[#This Row],[PESEL]],10,1))</f>
        <v>2</v>
      </c>
      <c r="L3" s="11" t="str">
        <f>IF(MOD(punkt_szczepień__13[[#This Row],[liczba płeć]],2)=0,"K","M")</f>
        <v>K</v>
      </c>
      <c r="M3" s="1"/>
      <c r="N3" s="1"/>
      <c r="O3">
        <v>0</v>
      </c>
      <c r="P3">
        <v>1900</v>
      </c>
    </row>
    <row r="4" spans="1:17" x14ac:dyDescent="0.25">
      <c r="A4" s="1" t="s">
        <v>8</v>
      </c>
      <c r="B4" s="1" t="s">
        <v>9</v>
      </c>
      <c r="C4" s="2">
        <v>0.33391203703703703</v>
      </c>
      <c r="D4">
        <v>1</v>
      </c>
      <c r="E4">
        <f>VALUE(RIGHT(LEFT(punkt_szczepień__13[[#This Row],[PESEL]],4),2))</f>
        <v>7</v>
      </c>
      <c r="F4" s="11">
        <f>MOD(punkt_szczepień__13[[#This Row],[liczba miesiac]],20)</f>
        <v>7</v>
      </c>
      <c r="G4" s="11">
        <f>VLOOKUP(punkt_szczepień__13[[#This Row],[liczba miesiac]]-punkt_szczepień__13[[#This Row],[miesiac]],$O$3:$P$7,2,0)+VALUE(LEFT(punkt_szczepień__13[[#This Row],[PESEL]],2))</f>
        <v>1978</v>
      </c>
      <c r="H4" s="11">
        <f>VALUE(RIGHT(LEFT(punkt_szczepień__13[[#This Row],[PESEL]],6),2))</f>
        <v>21</v>
      </c>
      <c r="I4" s="3">
        <f>DATE(punkt_szczepień__13[[#This Row],[rok]],punkt_szczepień__13[[#This Row],[miesiac]],punkt_szczepień__13[[#This Row],[dzień]])</f>
        <v>28692</v>
      </c>
      <c r="J4" s="1" t="str">
        <f>punkt_szczepień__13[[#This Row],[PESEL]]</f>
        <v>78072115221</v>
      </c>
      <c r="K4" s="1">
        <f>VALUE(MID(punkt_szczepień__13[[#This Row],[PESEL]],10,1))</f>
        <v>2</v>
      </c>
      <c r="L4" s="11" t="str">
        <f>IF(MOD(punkt_szczepień__13[[#This Row],[liczba płeć]],2)=0,"K","M")</f>
        <v>K</v>
      </c>
      <c r="M4" s="1"/>
      <c r="N4" s="1"/>
      <c r="O4">
        <v>20</v>
      </c>
      <c r="P4">
        <v>2000</v>
      </c>
    </row>
    <row r="5" spans="1:17" x14ac:dyDescent="0.25">
      <c r="A5" s="1" t="s">
        <v>10</v>
      </c>
      <c r="B5" s="1" t="s">
        <v>5</v>
      </c>
      <c r="C5" s="2">
        <v>0.33449074074074076</v>
      </c>
      <c r="D5">
        <v>2</v>
      </c>
      <c r="E5">
        <f>VALUE(RIGHT(LEFT(punkt_szczepień__13[[#This Row],[PESEL]],4),2))</f>
        <v>2</v>
      </c>
      <c r="F5" s="11">
        <f>MOD(punkt_szczepień__13[[#This Row],[liczba miesiac]],20)</f>
        <v>2</v>
      </c>
      <c r="G5" s="11">
        <f>VLOOKUP(punkt_szczepień__13[[#This Row],[liczba miesiac]]-punkt_szczepień__13[[#This Row],[miesiac]],$O$3:$P$7,2,0)+VALUE(LEFT(punkt_szczepień__13[[#This Row],[PESEL]],2))</f>
        <v>1970</v>
      </c>
      <c r="H5" s="11">
        <f>VALUE(RIGHT(LEFT(punkt_szczepień__13[[#This Row],[PESEL]],6),2))</f>
        <v>12</v>
      </c>
      <c r="I5" s="3">
        <f>DATE(punkt_szczepień__13[[#This Row],[rok]],punkt_szczepień__13[[#This Row],[miesiac]],punkt_szczepień__13[[#This Row],[dzień]])</f>
        <v>25611</v>
      </c>
      <c r="J5" s="1" t="str">
        <f>punkt_szczepień__13[[#This Row],[PESEL]]</f>
        <v>70021259675</v>
      </c>
      <c r="K5" s="1">
        <f>VALUE(MID(punkt_szczepień__13[[#This Row],[PESEL]],10,1))</f>
        <v>7</v>
      </c>
      <c r="L5" s="11" t="str">
        <f>IF(MOD(punkt_szczepień__13[[#This Row],[liczba płeć]],2)=0,"K","M")</f>
        <v>M</v>
      </c>
      <c r="M5" s="1"/>
      <c r="N5" s="1"/>
      <c r="O5">
        <v>40</v>
      </c>
      <c r="P5">
        <v>2100</v>
      </c>
    </row>
    <row r="6" spans="1:17" x14ac:dyDescent="0.25">
      <c r="A6" s="1" t="s">
        <v>11</v>
      </c>
      <c r="B6" s="1" t="s">
        <v>5</v>
      </c>
      <c r="C6" s="2">
        <v>0.33506944444444442</v>
      </c>
      <c r="D6">
        <v>2</v>
      </c>
      <c r="E6">
        <f>VALUE(RIGHT(LEFT(punkt_szczepień__13[[#This Row],[PESEL]],4),2))</f>
        <v>9</v>
      </c>
      <c r="F6" s="11">
        <f>MOD(punkt_szczepień__13[[#This Row],[liczba miesiac]],20)</f>
        <v>9</v>
      </c>
      <c r="G6" s="11">
        <f>VLOOKUP(punkt_szczepień__13[[#This Row],[liczba miesiac]]-punkt_szczepień__13[[#This Row],[miesiac]],$O$3:$P$7,2,0)+VALUE(LEFT(punkt_szczepień__13[[#This Row],[PESEL]],2))</f>
        <v>1972</v>
      </c>
      <c r="H6" s="11">
        <f>VALUE(RIGHT(LEFT(punkt_szczepień__13[[#This Row],[PESEL]],6),2))</f>
        <v>16</v>
      </c>
      <c r="I6" s="3">
        <f>DATE(punkt_szczepień__13[[#This Row],[rok]],punkt_szczepień__13[[#This Row],[miesiac]],punkt_szczepień__13[[#This Row],[dzień]])</f>
        <v>26558</v>
      </c>
      <c r="J6" s="1" t="str">
        <f>punkt_szczepień__13[[#This Row],[PESEL]]</f>
        <v>72091667378</v>
      </c>
      <c r="K6" s="1">
        <f>VALUE(MID(punkt_szczepień__13[[#This Row],[PESEL]],10,1))</f>
        <v>7</v>
      </c>
      <c r="L6" s="11" t="str">
        <f>IF(MOD(punkt_szczepień__13[[#This Row],[liczba płeć]],2)=0,"K","M")</f>
        <v>M</v>
      </c>
      <c r="M6" s="1"/>
      <c r="N6" s="1"/>
      <c r="O6">
        <v>60</v>
      </c>
      <c r="P6">
        <v>2200</v>
      </c>
    </row>
    <row r="7" spans="1:17" x14ac:dyDescent="0.25">
      <c r="A7" s="1" t="s">
        <v>12</v>
      </c>
      <c r="B7" s="1" t="s">
        <v>5</v>
      </c>
      <c r="C7" s="2">
        <v>0.33535879629629628</v>
      </c>
      <c r="D7">
        <v>1</v>
      </c>
      <c r="E7">
        <f>VALUE(RIGHT(LEFT(punkt_szczepień__13[[#This Row],[PESEL]],4),2))</f>
        <v>11</v>
      </c>
      <c r="F7" s="11">
        <f>MOD(punkt_szczepień__13[[#This Row],[liczba miesiac]],20)</f>
        <v>11</v>
      </c>
      <c r="G7" s="11">
        <f>VLOOKUP(punkt_szczepień__13[[#This Row],[liczba miesiac]]-punkt_szczepień__13[[#This Row],[miesiac]],$O$3:$P$7,2,0)+VALUE(LEFT(punkt_szczepień__13[[#This Row],[PESEL]],2))</f>
        <v>1927</v>
      </c>
      <c r="H7" s="11">
        <f>VALUE(RIGHT(LEFT(punkt_szczepień__13[[#This Row],[PESEL]],6),2))</f>
        <v>19</v>
      </c>
      <c r="I7" s="3">
        <f>DATE(punkt_szczepień__13[[#This Row],[rok]],punkt_szczepień__13[[#This Row],[miesiac]],punkt_szczepień__13[[#This Row],[dzień]])</f>
        <v>10185</v>
      </c>
      <c r="J7" s="1" t="str">
        <f>punkt_szczepień__13[[#This Row],[PESEL]]</f>
        <v>27111914314</v>
      </c>
      <c r="K7" s="1">
        <f>VALUE(MID(punkt_szczepień__13[[#This Row],[PESEL]],10,1))</f>
        <v>1</v>
      </c>
      <c r="L7" s="11" t="str">
        <f>IF(MOD(punkt_szczepień__13[[#This Row],[liczba płeć]],2)=0,"K","M")</f>
        <v>M</v>
      </c>
      <c r="M7" s="1"/>
      <c r="N7" s="1"/>
      <c r="O7">
        <v>80</v>
      </c>
      <c r="P7">
        <v>1800</v>
      </c>
    </row>
    <row r="8" spans="1:17" x14ac:dyDescent="0.25">
      <c r="A8" s="1" t="s">
        <v>13</v>
      </c>
      <c r="B8" s="1" t="s">
        <v>9</v>
      </c>
      <c r="C8" s="2">
        <v>0.3359375</v>
      </c>
      <c r="D8">
        <v>2</v>
      </c>
      <c r="E8">
        <f>VALUE(RIGHT(LEFT(punkt_szczepień__13[[#This Row],[PESEL]],4),2))</f>
        <v>7</v>
      </c>
      <c r="F8" s="11">
        <f>MOD(punkt_szczepień__13[[#This Row],[liczba miesiac]],20)</f>
        <v>7</v>
      </c>
      <c r="G8" s="11">
        <f>VLOOKUP(punkt_szczepień__13[[#This Row],[liczba miesiac]]-punkt_szczepień__13[[#This Row],[miesiac]],$O$3:$P$7,2,0)+VALUE(LEFT(punkt_szczepień__13[[#This Row],[PESEL]],2))</f>
        <v>1949</v>
      </c>
      <c r="H8" s="11">
        <f>VALUE(RIGHT(LEFT(punkt_szczepień__13[[#This Row],[PESEL]],6),2))</f>
        <v>13</v>
      </c>
      <c r="I8" s="3">
        <f>DATE(punkt_szczepień__13[[#This Row],[rok]],punkt_szczepień__13[[#This Row],[miesiac]],punkt_szczepień__13[[#This Row],[dzień]])</f>
        <v>18092</v>
      </c>
      <c r="J8" s="1" t="str">
        <f>punkt_szczepień__13[[#This Row],[PESEL]]</f>
        <v>49071332465</v>
      </c>
      <c r="K8" s="1">
        <f>VALUE(MID(punkt_szczepień__13[[#This Row],[PESEL]],10,1))</f>
        <v>6</v>
      </c>
      <c r="L8" s="11" t="str">
        <f>IF(MOD(punkt_szczepień__13[[#This Row],[liczba płeć]],2)=0,"K","M")</f>
        <v>K</v>
      </c>
      <c r="M8" s="1"/>
      <c r="N8" s="1"/>
    </row>
    <row r="9" spans="1:17" x14ac:dyDescent="0.25">
      <c r="A9" s="1" t="s">
        <v>14</v>
      </c>
      <c r="B9" s="1" t="s">
        <v>9</v>
      </c>
      <c r="C9" s="2">
        <v>0.33622685185185186</v>
      </c>
      <c r="D9">
        <v>1</v>
      </c>
      <c r="E9">
        <f>VALUE(RIGHT(LEFT(punkt_szczepień__13[[#This Row],[PESEL]],4),2))</f>
        <v>12</v>
      </c>
      <c r="F9" s="11">
        <f>MOD(punkt_szczepień__13[[#This Row],[liczba miesiac]],20)</f>
        <v>12</v>
      </c>
      <c r="G9" s="11">
        <f>VLOOKUP(punkt_szczepień__13[[#This Row],[liczba miesiac]]-punkt_szczepień__13[[#This Row],[miesiac]],$O$3:$P$7,2,0)+VALUE(LEFT(punkt_szczepień__13[[#This Row],[PESEL]],2))</f>
        <v>1979</v>
      </c>
      <c r="H9" s="11">
        <f>VALUE(RIGHT(LEFT(punkt_szczepień__13[[#This Row],[PESEL]],6),2))</f>
        <v>5</v>
      </c>
      <c r="I9" s="3">
        <f>DATE(punkt_szczepień__13[[#This Row],[rok]],punkt_szczepień__13[[#This Row],[miesiac]],punkt_szczepień__13[[#This Row],[dzień]])</f>
        <v>29194</v>
      </c>
      <c r="J9" s="1" t="str">
        <f>punkt_szczepień__13[[#This Row],[PESEL]]</f>
        <v>79120586228</v>
      </c>
      <c r="K9" s="1">
        <f>VALUE(MID(punkt_szczepień__13[[#This Row],[PESEL]],10,1))</f>
        <v>2</v>
      </c>
      <c r="L9" s="11" t="str">
        <f>IF(MOD(punkt_szczepień__13[[#This Row],[liczba płeć]],2)=0,"K","M")</f>
        <v>K</v>
      </c>
      <c r="M9" s="1"/>
      <c r="N9" s="1"/>
    </row>
    <row r="10" spans="1:17" x14ac:dyDescent="0.25">
      <c r="A10" s="1" t="s">
        <v>15</v>
      </c>
      <c r="B10" s="1" t="s">
        <v>9</v>
      </c>
      <c r="C10" s="2">
        <v>0.33651620370370372</v>
      </c>
      <c r="D10">
        <v>1</v>
      </c>
      <c r="E10">
        <f>VALUE(RIGHT(LEFT(punkt_szczepień__13[[#This Row],[PESEL]],4),2))</f>
        <v>8</v>
      </c>
      <c r="F10" s="11">
        <f>MOD(punkt_szczepień__13[[#This Row],[liczba miesiac]],20)</f>
        <v>8</v>
      </c>
      <c r="G10" s="11">
        <f>VLOOKUP(punkt_szczepień__13[[#This Row],[liczba miesiac]]-punkt_szczepień__13[[#This Row],[miesiac]],$O$3:$P$7,2,0)+VALUE(LEFT(punkt_szczepień__13[[#This Row],[PESEL]],2))</f>
        <v>1967</v>
      </c>
      <c r="H10" s="11">
        <f>VALUE(RIGHT(LEFT(punkt_szczepień__13[[#This Row],[PESEL]],6),2))</f>
        <v>13</v>
      </c>
      <c r="I10" s="3">
        <f>DATE(punkt_szczepień__13[[#This Row],[rok]],punkt_szczepień__13[[#This Row],[miesiac]],punkt_szczepień__13[[#This Row],[dzień]])</f>
        <v>24697</v>
      </c>
      <c r="J10" s="1" t="str">
        <f>punkt_szczepień__13[[#This Row],[PESEL]]</f>
        <v>67081396912</v>
      </c>
      <c r="K10" s="1">
        <f>VALUE(MID(punkt_szczepień__13[[#This Row],[PESEL]],10,1))</f>
        <v>1</v>
      </c>
      <c r="L10" s="11" t="str">
        <f>IF(MOD(punkt_szczepień__13[[#This Row],[liczba płeć]],2)=0,"K","M")</f>
        <v>M</v>
      </c>
      <c r="M10" s="1"/>
      <c r="N10" s="1"/>
      <c r="P10" s="4" t="s">
        <v>1017</v>
      </c>
    </row>
    <row r="11" spans="1:17" x14ac:dyDescent="0.25">
      <c r="A11" s="1" t="s">
        <v>16</v>
      </c>
      <c r="B11" s="1" t="s">
        <v>9</v>
      </c>
      <c r="C11" s="2">
        <v>0.33680555555555558</v>
      </c>
      <c r="D11">
        <v>1</v>
      </c>
      <c r="E11">
        <f>VALUE(RIGHT(LEFT(punkt_szczepień__13[[#This Row],[PESEL]],4),2))</f>
        <v>1</v>
      </c>
      <c r="F11" s="11">
        <f>MOD(punkt_szczepień__13[[#This Row],[liczba miesiac]],20)</f>
        <v>1</v>
      </c>
      <c r="G11" s="11">
        <f>VLOOKUP(punkt_szczepień__13[[#This Row],[liczba miesiac]]-punkt_szczepień__13[[#This Row],[miesiac]],$O$3:$P$7,2,0)+VALUE(LEFT(punkt_szczepień__13[[#This Row],[PESEL]],2))</f>
        <v>1933</v>
      </c>
      <c r="H11" s="11">
        <f>VALUE(RIGHT(LEFT(punkt_szczepień__13[[#This Row],[PESEL]],6),2))</f>
        <v>12</v>
      </c>
      <c r="I11" s="3">
        <f>DATE(punkt_szczepień__13[[#This Row],[rok]],punkt_szczepień__13[[#This Row],[miesiac]],punkt_szczepień__13[[#This Row],[dzień]])</f>
        <v>12066</v>
      </c>
      <c r="J11" s="1" t="str">
        <f>punkt_szczepień__13[[#This Row],[PESEL]]</f>
        <v>33011242419</v>
      </c>
      <c r="K11" s="1">
        <f>VALUE(MID(punkt_szczepień__13[[#This Row],[PESEL]],10,1))</f>
        <v>1</v>
      </c>
      <c r="L11" s="11" t="str">
        <f>IF(MOD(punkt_szczepień__13[[#This Row],[liczba płeć]],2)=0,"K","M")</f>
        <v>M</v>
      </c>
      <c r="M11" s="1"/>
      <c r="N11" s="1"/>
      <c r="O11" s="7" t="s">
        <v>1015</v>
      </c>
      <c r="P11" s="8">
        <f>MAX(I:I)</f>
        <v>40127</v>
      </c>
      <c r="Q11" s="7" t="str">
        <f>VLOOKUP(P11,I:J,2,0)</f>
        <v>09311045276</v>
      </c>
    </row>
    <row r="12" spans="1:17" x14ac:dyDescent="0.25">
      <c r="A12" s="1" t="s">
        <v>17</v>
      </c>
      <c r="B12" s="1" t="s">
        <v>9</v>
      </c>
      <c r="C12" s="2">
        <v>0.33709490740740738</v>
      </c>
      <c r="D12">
        <v>1</v>
      </c>
      <c r="E12">
        <f>VALUE(RIGHT(LEFT(punkt_szczepień__13[[#This Row],[PESEL]],4),2))</f>
        <v>6</v>
      </c>
      <c r="F12" s="11">
        <f>MOD(punkt_szczepień__13[[#This Row],[liczba miesiac]],20)</f>
        <v>6</v>
      </c>
      <c r="G12" s="11">
        <f>VLOOKUP(punkt_szczepień__13[[#This Row],[liczba miesiac]]-punkt_szczepień__13[[#This Row],[miesiac]],$O$3:$P$7,2,0)+VALUE(LEFT(punkt_szczepień__13[[#This Row],[PESEL]],2))</f>
        <v>1921</v>
      </c>
      <c r="H12" s="11">
        <f>VALUE(RIGHT(LEFT(punkt_szczepień__13[[#This Row],[PESEL]],6),2))</f>
        <v>8</v>
      </c>
      <c r="I12" s="3">
        <f>DATE(punkt_szczepień__13[[#This Row],[rok]],punkt_szczepień__13[[#This Row],[miesiac]],punkt_szczepień__13[[#This Row],[dzień]])</f>
        <v>7830</v>
      </c>
      <c r="J12" s="1" t="str">
        <f>punkt_szczepień__13[[#This Row],[PESEL]]</f>
        <v>21060849855</v>
      </c>
      <c r="K12" s="1">
        <f>VALUE(MID(punkt_szczepień__13[[#This Row],[PESEL]],10,1))</f>
        <v>5</v>
      </c>
      <c r="L12" s="11" t="str">
        <f>IF(MOD(punkt_szczepień__13[[#This Row],[liczba płeć]],2)=0,"K","M")</f>
        <v>M</v>
      </c>
      <c r="M12" s="1"/>
      <c r="N12" s="1"/>
      <c r="O12" s="7" t="s">
        <v>1016</v>
      </c>
      <c r="P12" s="8">
        <f>MIN(I:I)</f>
        <v>7351</v>
      </c>
      <c r="Q12" s="7" t="str">
        <f>VLOOKUP(P12,I:J,2,0)</f>
        <v>20021536689</v>
      </c>
    </row>
    <row r="13" spans="1:17" x14ac:dyDescent="0.25">
      <c r="A13" s="1" t="s">
        <v>18</v>
      </c>
      <c r="B13" s="1" t="s">
        <v>5</v>
      </c>
      <c r="C13" s="2">
        <v>0.33738425925925924</v>
      </c>
      <c r="D13">
        <v>1</v>
      </c>
      <c r="E13">
        <f>VALUE(RIGHT(LEFT(punkt_szczepień__13[[#This Row],[PESEL]],4),2))</f>
        <v>10</v>
      </c>
      <c r="F13" s="11">
        <f>MOD(punkt_szczepień__13[[#This Row],[liczba miesiac]],20)</f>
        <v>10</v>
      </c>
      <c r="G13" s="11">
        <f>VLOOKUP(punkt_szczepień__13[[#This Row],[liczba miesiac]]-punkt_szczepień__13[[#This Row],[miesiac]],$O$3:$P$7,2,0)+VALUE(LEFT(punkt_szczepień__13[[#This Row],[PESEL]],2))</f>
        <v>1938</v>
      </c>
      <c r="H13" s="11">
        <f>VALUE(RIGHT(LEFT(punkt_szczepień__13[[#This Row],[PESEL]],6),2))</f>
        <v>29</v>
      </c>
      <c r="I13" s="3">
        <f>DATE(punkt_szczepień__13[[#This Row],[rok]],punkt_szczepień__13[[#This Row],[miesiac]],punkt_szczepień__13[[#This Row],[dzień]])</f>
        <v>14182</v>
      </c>
      <c r="J13" s="1" t="str">
        <f>punkt_szczepień__13[[#This Row],[PESEL]]</f>
        <v>38102913874</v>
      </c>
      <c r="K13" s="1">
        <f>VALUE(MID(punkt_szczepień__13[[#This Row],[PESEL]],10,1))</f>
        <v>7</v>
      </c>
      <c r="L13" s="11" t="str">
        <f>IF(MOD(punkt_szczepień__13[[#This Row],[liczba płeć]],2)=0,"K","M")</f>
        <v>M</v>
      </c>
      <c r="M13" s="1"/>
      <c r="N13" s="1"/>
    </row>
    <row r="14" spans="1:17" x14ac:dyDescent="0.25">
      <c r="A14" s="1" t="s">
        <v>19</v>
      </c>
      <c r="B14" s="1" t="s">
        <v>7</v>
      </c>
      <c r="C14" s="2">
        <v>0.3376736111111111</v>
      </c>
      <c r="D14">
        <v>1</v>
      </c>
      <c r="E14">
        <f>VALUE(RIGHT(LEFT(punkt_szczepień__13[[#This Row],[PESEL]],4),2))</f>
        <v>6</v>
      </c>
      <c r="F14" s="11">
        <f>MOD(punkt_szczepień__13[[#This Row],[liczba miesiac]],20)</f>
        <v>6</v>
      </c>
      <c r="G14" s="11">
        <f>VLOOKUP(punkt_szczepień__13[[#This Row],[liczba miesiac]]-punkt_szczepień__13[[#This Row],[miesiac]],$O$3:$P$7,2,0)+VALUE(LEFT(punkt_szczepień__13[[#This Row],[PESEL]],2))</f>
        <v>1947</v>
      </c>
      <c r="H14" s="11">
        <f>VALUE(RIGHT(LEFT(punkt_szczepień__13[[#This Row],[PESEL]],6),2))</f>
        <v>28</v>
      </c>
      <c r="I14" s="3">
        <f>DATE(punkt_szczepień__13[[#This Row],[rok]],punkt_szczepień__13[[#This Row],[miesiac]],punkt_szczepień__13[[#This Row],[dzień]])</f>
        <v>17346</v>
      </c>
      <c r="J14" s="1" t="str">
        <f>punkt_szczepień__13[[#This Row],[PESEL]]</f>
        <v>47062844131</v>
      </c>
      <c r="K14" s="1">
        <f>VALUE(MID(punkt_szczepień__13[[#This Row],[PESEL]],10,1))</f>
        <v>3</v>
      </c>
      <c r="L14" s="11" t="str">
        <f>IF(MOD(punkt_szczepień__13[[#This Row],[liczba płeć]],2)=0,"K","M")</f>
        <v>M</v>
      </c>
      <c r="M14" s="1"/>
      <c r="N14" s="1"/>
    </row>
    <row r="15" spans="1:17" x14ac:dyDescent="0.25">
      <c r="A15" s="1" t="s">
        <v>20</v>
      </c>
      <c r="B15" s="1" t="s">
        <v>5</v>
      </c>
      <c r="C15" s="2">
        <v>0.33825231481481483</v>
      </c>
      <c r="D15">
        <v>2</v>
      </c>
      <c r="E15">
        <f>VALUE(RIGHT(LEFT(punkt_szczepień__13[[#This Row],[PESEL]],4),2))</f>
        <v>5</v>
      </c>
      <c r="F15" s="11">
        <f>MOD(punkt_szczepień__13[[#This Row],[liczba miesiac]],20)</f>
        <v>5</v>
      </c>
      <c r="G15" s="11">
        <f>VLOOKUP(punkt_szczepień__13[[#This Row],[liczba miesiac]]-punkt_szczepień__13[[#This Row],[miesiac]],$O$3:$P$7,2,0)+VALUE(LEFT(punkt_szczepień__13[[#This Row],[PESEL]],2))</f>
        <v>1934</v>
      </c>
      <c r="H15" s="11">
        <f>VALUE(RIGHT(LEFT(punkt_szczepień__13[[#This Row],[PESEL]],6),2))</f>
        <v>15</v>
      </c>
      <c r="I15" s="3">
        <f>DATE(punkt_szczepień__13[[#This Row],[rok]],punkt_szczepień__13[[#This Row],[miesiac]],punkt_szczepień__13[[#This Row],[dzień]])</f>
        <v>12554</v>
      </c>
      <c r="J15" s="1" t="str">
        <f>punkt_szczepień__13[[#This Row],[PESEL]]</f>
        <v>34051574566</v>
      </c>
      <c r="K15" s="1">
        <f>VALUE(MID(punkt_szczepień__13[[#This Row],[PESEL]],10,1))</f>
        <v>6</v>
      </c>
      <c r="L15" s="11" t="str">
        <f>IF(MOD(punkt_szczepień__13[[#This Row],[liczba płeć]],2)=0,"K","M")</f>
        <v>K</v>
      </c>
      <c r="M15" s="1"/>
      <c r="N15" s="1"/>
    </row>
    <row r="16" spans="1:17" x14ac:dyDescent="0.25">
      <c r="A16" s="1" t="s">
        <v>21</v>
      </c>
      <c r="B16" s="1" t="s">
        <v>9</v>
      </c>
      <c r="C16" s="2">
        <v>0.33854166666666669</v>
      </c>
      <c r="D16">
        <v>1</v>
      </c>
      <c r="E16">
        <f>VALUE(RIGHT(LEFT(punkt_szczepień__13[[#This Row],[PESEL]],4),2))</f>
        <v>1</v>
      </c>
      <c r="F16" s="11">
        <f>MOD(punkt_szczepień__13[[#This Row],[liczba miesiac]],20)</f>
        <v>1</v>
      </c>
      <c r="G16" s="11">
        <f>VLOOKUP(punkt_szczepień__13[[#This Row],[liczba miesiac]]-punkt_szczepień__13[[#This Row],[miesiac]],$O$3:$P$7,2,0)+VALUE(LEFT(punkt_szczepień__13[[#This Row],[PESEL]],2))</f>
        <v>1973</v>
      </c>
      <c r="H16" s="11">
        <f>VALUE(RIGHT(LEFT(punkt_szczepień__13[[#This Row],[PESEL]],6),2))</f>
        <v>11</v>
      </c>
      <c r="I16" s="3">
        <f>DATE(punkt_szczepień__13[[#This Row],[rok]],punkt_szczepień__13[[#This Row],[miesiac]],punkt_szczepień__13[[#This Row],[dzień]])</f>
        <v>26675</v>
      </c>
      <c r="J16" s="1" t="str">
        <f>punkt_szczepień__13[[#This Row],[PESEL]]</f>
        <v>73011179247</v>
      </c>
      <c r="K16" s="1">
        <f>VALUE(MID(punkt_szczepień__13[[#This Row],[PESEL]],10,1))</f>
        <v>4</v>
      </c>
      <c r="L16" s="11" t="str">
        <f>IF(MOD(punkt_szczepień__13[[#This Row],[liczba płeć]],2)=0,"K","M")</f>
        <v>K</v>
      </c>
      <c r="M16" s="1"/>
      <c r="N16" s="1"/>
    </row>
    <row r="17" spans="1:14" x14ac:dyDescent="0.25">
      <c r="A17" s="1" t="s">
        <v>22</v>
      </c>
      <c r="B17" s="1" t="s">
        <v>7</v>
      </c>
      <c r="C17" s="2">
        <v>0.33883101851851855</v>
      </c>
      <c r="D17">
        <v>1</v>
      </c>
      <c r="E17">
        <f>VALUE(RIGHT(LEFT(punkt_szczepień__13[[#This Row],[PESEL]],4),2))</f>
        <v>5</v>
      </c>
      <c r="F17" s="11">
        <f>MOD(punkt_szczepień__13[[#This Row],[liczba miesiac]],20)</f>
        <v>5</v>
      </c>
      <c r="G17" s="11">
        <f>VLOOKUP(punkt_szczepień__13[[#This Row],[liczba miesiac]]-punkt_szczepień__13[[#This Row],[miesiac]],$O$3:$P$7,2,0)+VALUE(LEFT(punkt_szczepień__13[[#This Row],[PESEL]],2))</f>
        <v>1953</v>
      </c>
      <c r="H17" s="11">
        <f>VALUE(RIGHT(LEFT(punkt_szczepień__13[[#This Row],[PESEL]],6),2))</f>
        <v>24</v>
      </c>
      <c r="I17" s="3">
        <f>DATE(punkt_szczepień__13[[#This Row],[rok]],punkt_szczepień__13[[#This Row],[miesiac]],punkt_szczepień__13[[#This Row],[dzień]])</f>
        <v>19503</v>
      </c>
      <c r="J17" s="1" t="str">
        <f>punkt_szczepień__13[[#This Row],[PESEL]]</f>
        <v>53052475966</v>
      </c>
      <c r="K17" s="1">
        <f>VALUE(MID(punkt_szczepień__13[[#This Row],[PESEL]],10,1))</f>
        <v>6</v>
      </c>
      <c r="L17" s="11" t="str">
        <f>IF(MOD(punkt_szczepień__13[[#This Row],[liczba płeć]],2)=0,"K","M")</f>
        <v>K</v>
      </c>
      <c r="M17" s="1"/>
      <c r="N17" s="1"/>
    </row>
    <row r="18" spans="1:14" x14ac:dyDescent="0.25">
      <c r="A18" s="1" t="s">
        <v>23</v>
      </c>
      <c r="B18" s="1" t="s">
        <v>5</v>
      </c>
      <c r="C18" s="2">
        <v>0.33912037037037035</v>
      </c>
      <c r="D18">
        <v>1</v>
      </c>
      <c r="E18">
        <f>VALUE(RIGHT(LEFT(punkt_szczepień__13[[#This Row],[PESEL]],4),2))</f>
        <v>32</v>
      </c>
      <c r="F18" s="11">
        <f>MOD(punkt_szczepień__13[[#This Row],[liczba miesiac]],20)</f>
        <v>12</v>
      </c>
      <c r="G18" s="11">
        <f>VLOOKUP(punkt_szczepień__13[[#This Row],[liczba miesiac]]-punkt_szczepień__13[[#This Row],[miesiac]],$O$3:$P$7,2,0)+VALUE(LEFT(punkt_szczepień__13[[#This Row],[PESEL]],2))</f>
        <v>2004</v>
      </c>
      <c r="H18" s="11">
        <f>VALUE(RIGHT(LEFT(punkt_szczepień__13[[#This Row],[PESEL]],6),2))</f>
        <v>2</v>
      </c>
      <c r="I18" s="3">
        <f>DATE(punkt_szczepień__13[[#This Row],[rok]],punkt_szczepień__13[[#This Row],[miesiac]],punkt_szczepień__13[[#This Row],[dzień]])</f>
        <v>38323</v>
      </c>
      <c r="J18" s="1" t="str">
        <f>punkt_szczepień__13[[#This Row],[PESEL]]</f>
        <v>04320263493</v>
      </c>
      <c r="K18" s="1">
        <f>VALUE(MID(punkt_szczepień__13[[#This Row],[PESEL]],10,1))</f>
        <v>9</v>
      </c>
      <c r="L18" s="11" t="str">
        <f>IF(MOD(punkt_szczepień__13[[#This Row],[liczba płeć]],2)=0,"K","M")</f>
        <v>M</v>
      </c>
      <c r="M18" s="1"/>
      <c r="N18" s="1"/>
    </row>
    <row r="19" spans="1:14" x14ac:dyDescent="0.25">
      <c r="A19" s="1" t="s">
        <v>24</v>
      </c>
      <c r="B19" s="1" t="s">
        <v>7</v>
      </c>
      <c r="C19" s="2">
        <v>0.33940972222222221</v>
      </c>
      <c r="D19">
        <v>1</v>
      </c>
      <c r="E19">
        <f>VALUE(RIGHT(LEFT(punkt_szczepień__13[[#This Row],[PESEL]],4),2))</f>
        <v>7</v>
      </c>
      <c r="F19" s="11">
        <f>MOD(punkt_szczepień__13[[#This Row],[liczba miesiac]],20)</f>
        <v>7</v>
      </c>
      <c r="G19" s="11">
        <f>VLOOKUP(punkt_szczepień__13[[#This Row],[liczba miesiac]]-punkt_szczepień__13[[#This Row],[miesiac]],$O$3:$P$7,2,0)+VALUE(LEFT(punkt_szczepień__13[[#This Row],[PESEL]],2))</f>
        <v>1942</v>
      </c>
      <c r="H19" s="11">
        <f>VALUE(RIGHT(LEFT(punkt_szczepień__13[[#This Row],[PESEL]],6),2))</f>
        <v>30</v>
      </c>
      <c r="I19" s="3">
        <f>DATE(punkt_szczepień__13[[#This Row],[rok]],punkt_szczepień__13[[#This Row],[miesiac]],punkt_szczepień__13[[#This Row],[dzień]])</f>
        <v>15552</v>
      </c>
      <c r="J19" s="1" t="str">
        <f>punkt_szczepień__13[[#This Row],[PESEL]]</f>
        <v>42073091965</v>
      </c>
      <c r="K19" s="1">
        <f>VALUE(MID(punkt_szczepień__13[[#This Row],[PESEL]],10,1))</f>
        <v>6</v>
      </c>
      <c r="L19" s="11" t="str">
        <f>IF(MOD(punkt_szczepień__13[[#This Row],[liczba płeć]],2)=0,"K","M")</f>
        <v>K</v>
      </c>
      <c r="M19" s="1"/>
      <c r="N19" s="1"/>
    </row>
    <row r="20" spans="1:14" x14ac:dyDescent="0.25">
      <c r="A20" s="1" t="s">
        <v>25</v>
      </c>
      <c r="B20" s="1" t="s">
        <v>7</v>
      </c>
      <c r="C20" s="2">
        <v>0.33969907407407407</v>
      </c>
      <c r="D20">
        <v>1</v>
      </c>
      <c r="E20">
        <f>VALUE(RIGHT(LEFT(punkt_szczepień__13[[#This Row],[PESEL]],4),2))</f>
        <v>6</v>
      </c>
      <c r="F20" s="11">
        <f>MOD(punkt_szczepień__13[[#This Row],[liczba miesiac]],20)</f>
        <v>6</v>
      </c>
      <c r="G20" s="11">
        <f>VLOOKUP(punkt_szczepień__13[[#This Row],[liczba miesiac]]-punkt_szczepień__13[[#This Row],[miesiac]],$O$3:$P$7,2,0)+VALUE(LEFT(punkt_szczepień__13[[#This Row],[PESEL]],2))</f>
        <v>1963</v>
      </c>
      <c r="H20" s="11">
        <f>VALUE(RIGHT(LEFT(punkt_szczepień__13[[#This Row],[PESEL]],6),2))</f>
        <v>29</v>
      </c>
      <c r="I20" s="3">
        <f>DATE(punkt_szczepień__13[[#This Row],[rok]],punkt_szczepień__13[[#This Row],[miesiac]],punkt_szczepień__13[[#This Row],[dzień]])</f>
        <v>23191</v>
      </c>
      <c r="J20" s="1" t="str">
        <f>punkt_szczepień__13[[#This Row],[PESEL]]</f>
        <v>63062967472</v>
      </c>
      <c r="K20" s="1">
        <f>VALUE(MID(punkt_szczepień__13[[#This Row],[PESEL]],10,1))</f>
        <v>7</v>
      </c>
      <c r="L20" s="11" t="str">
        <f>IF(MOD(punkt_szczepień__13[[#This Row],[liczba płeć]],2)=0,"K","M")</f>
        <v>M</v>
      </c>
      <c r="M20" s="1"/>
      <c r="N20" s="1"/>
    </row>
    <row r="21" spans="1:14" x14ac:dyDescent="0.25">
      <c r="A21" s="1" t="s">
        <v>26</v>
      </c>
      <c r="B21" s="1" t="s">
        <v>27</v>
      </c>
      <c r="C21" s="2">
        <v>0.34027777777777779</v>
      </c>
      <c r="D21">
        <v>2</v>
      </c>
      <c r="E21">
        <f>VALUE(RIGHT(LEFT(punkt_szczepień__13[[#This Row],[PESEL]],4),2))</f>
        <v>9</v>
      </c>
      <c r="F21" s="11">
        <f>MOD(punkt_szczepień__13[[#This Row],[liczba miesiac]],20)</f>
        <v>9</v>
      </c>
      <c r="G21" s="11">
        <f>VLOOKUP(punkt_szczepień__13[[#This Row],[liczba miesiac]]-punkt_szczepień__13[[#This Row],[miesiac]],$O$3:$P$7,2,0)+VALUE(LEFT(punkt_szczepień__13[[#This Row],[PESEL]],2))</f>
        <v>1990</v>
      </c>
      <c r="H21" s="11">
        <f>VALUE(RIGHT(LEFT(punkt_szczepień__13[[#This Row],[PESEL]],6),2))</f>
        <v>22</v>
      </c>
      <c r="I21" s="3">
        <f>DATE(punkt_szczepień__13[[#This Row],[rok]],punkt_szczepień__13[[#This Row],[miesiac]],punkt_szczepień__13[[#This Row],[dzień]])</f>
        <v>33138</v>
      </c>
      <c r="J21" s="1" t="str">
        <f>punkt_szczepień__13[[#This Row],[PESEL]]</f>
        <v>90092267861</v>
      </c>
      <c r="K21" s="1">
        <f>VALUE(MID(punkt_szczepień__13[[#This Row],[PESEL]],10,1))</f>
        <v>6</v>
      </c>
      <c r="L21" s="11" t="str">
        <f>IF(MOD(punkt_szczepień__13[[#This Row],[liczba płeć]],2)=0,"K","M")</f>
        <v>K</v>
      </c>
      <c r="M21" s="1"/>
      <c r="N21" s="1"/>
    </row>
    <row r="22" spans="1:14" x14ac:dyDescent="0.25">
      <c r="A22" s="1" t="s">
        <v>28</v>
      </c>
      <c r="B22" s="1" t="s">
        <v>27</v>
      </c>
      <c r="C22" s="2">
        <v>0.34085648148148145</v>
      </c>
      <c r="D22">
        <v>2</v>
      </c>
      <c r="E22">
        <f>VALUE(RIGHT(LEFT(punkt_szczepień__13[[#This Row],[PESEL]],4),2))</f>
        <v>4</v>
      </c>
      <c r="F22" s="11">
        <f>MOD(punkt_szczepień__13[[#This Row],[liczba miesiac]],20)</f>
        <v>4</v>
      </c>
      <c r="G22" s="11">
        <f>VLOOKUP(punkt_szczepień__13[[#This Row],[liczba miesiac]]-punkt_szczepień__13[[#This Row],[miesiac]],$O$3:$P$7,2,0)+VALUE(LEFT(punkt_szczepień__13[[#This Row],[PESEL]],2))</f>
        <v>1980</v>
      </c>
      <c r="H22" s="11">
        <f>VALUE(RIGHT(LEFT(punkt_szczepień__13[[#This Row],[PESEL]],6),2))</f>
        <v>29</v>
      </c>
      <c r="I22" s="3">
        <f>DATE(punkt_szczepień__13[[#This Row],[rok]],punkt_szczepień__13[[#This Row],[miesiac]],punkt_szczepień__13[[#This Row],[dzień]])</f>
        <v>29340</v>
      </c>
      <c r="J22" s="1" t="str">
        <f>punkt_szczepień__13[[#This Row],[PESEL]]</f>
        <v>80042954976</v>
      </c>
      <c r="K22" s="1">
        <f>VALUE(MID(punkt_szczepień__13[[#This Row],[PESEL]],10,1))</f>
        <v>7</v>
      </c>
      <c r="L22" s="11" t="str">
        <f>IF(MOD(punkt_szczepień__13[[#This Row],[liczba płeć]],2)=0,"K","M")</f>
        <v>M</v>
      </c>
      <c r="M22" s="1"/>
      <c r="N22" s="1"/>
    </row>
    <row r="23" spans="1:14" x14ac:dyDescent="0.25">
      <c r="A23" s="1" t="s">
        <v>29</v>
      </c>
      <c r="B23" s="1" t="s">
        <v>7</v>
      </c>
      <c r="C23" s="2">
        <v>0.34114583333333331</v>
      </c>
      <c r="D23">
        <v>1</v>
      </c>
      <c r="E23">
        <f>VALUE(RIGHT(LEFT(punkt_szczepień__13[[#This Row],[PESEL]],4),2))</f>
        <v>4</v>
      </c>
      <c r="F23" s="11">
        <f>MOD(punkt_szczepień__13[[#This Row],[liczba miesiac]],20)</f>
        <v>4</v>
      </c>
      <c r="G23" s="11">
        <f>VLOOKUP(punkt_szczepień__13[[#This Row],[liczba miesiac]]-punkt_szczepień__13[[#This Row],[miesiac]],$O$3:$P$7,2,0)+VALUE(LEFT(punkt_szczepień__13[[#This Row],[PESEL]],2))</f>
        <v>1931</v>
      </c>
      <c r="H23" s="11">
        <f>VALUE(RIGHT(LEFT(punkt_szczepień__13[[#This Row],[PESEL]],6),2))</f>
        <v>16</v>
      </c>
      <c r="I23" s="3">
        <f>DATE(punkt_szczepień__13[[#This Row],[rok]],punkt_szczepień__13[[#This Row],[miesiac]],punkt_szczepień__13[[#This Row],[dzień]])</f>
        <v>11429</v>
      </c>
      <c r="J23" s="1" t="str">
        <f>punkt_szczepień__13[[#This Row],[PESEL]]</f>
        <v>31041628249</v>
      </c>
      <c r="K23" s="1">
        <f>VALUE(MID(punkt_szczepień__13[[#This Row],[PESEL]],10,1))</f>
        <v>4</v>
      </c>
      <c r="L23" s="11" t="str">
        <f>IF(MOD(punkt_szczepień__13[[#This Row],[liczba płeć]],2)=0,"K","M")</f>
        <v>K</v>
      </c>
      <c r="M23" s="1"/>
      <c r="N23" s="1"/>
    </row>
    <row r="24" spans="1:14" x14ac:dyDescent="0.25">
      <c r="A24" s="1" t="s">
        <v>30</v>
      </c>
      <c r="B24" s="1" t="s">
        <v>7</v>
      </c>
      <c r="C24" s="2">
        <v>0.34143518518518517</v>
      </c>
      <c r="D24">
        <v>1</v>
      </c>
      <c r="E24">
        <f>VALUE(RIGHT(LEFT(punkt_szczepień__13[[#This Row],[PESEL]],4),2))</f>
        <v>8</v>
      </c>
      <c r="F24" s="11">
        <f>MOD(punkt_szczepień__13[[#This Row],[liczba miesiac]],20)</f>
        <v>8</v>
      </c>
      <c r="G24" s="11">
        <f>VLOOKUP(punkt_szczepień__13[[#This Row],[liczba miesiac]]-punkt_szczepień__13[[#This Row],[miesiac]],$O$3:$P$7,2,0)+VALUE(LEFT(punkt_szczepień__13[[#This Row],[PESEL]],2))</f>
        <v>1950</v>
      </c>
      <c r="H24" s="11">
        <f>VALUE(RIGHT(LEFT(punkt_szczepień__13[[#This Row],[PESEL]],6),2))</f>
        <v>15</v>
      </c>
      <c r="I24" s="3">
        <f>DATE(punkt_szczepień__13[[#This Row],[rok]],punkt_szczepień__13[[#This Row],[miesiac]],punkt_szczepień__13[[#This Row],[dzień]])</f>
        <v>18490</v>
      </c>
      <c r="J24" s="1" t="str">
        <f>punkt_szczepień__13[[#This Row],[PESEL]]</f>
        <v>50081532381</v>
      </c>
      <c r="K24" s="1">
        <f>VALUE(MID(punkt_szczepień__13[[#This Row],[PESEL]],10,1))</f>
        <v>8</v>
      </c>
      <c r="L24" s="11" t="str">
        <f>IF(MOD(punkt_szczepień__13[[#This Row],[liczba płeć]],2)=0,"K","M")</f>
        <v>K</v>
      </c>
      <c r="M24" s="1"/>
      <c r="N24" s="1"/>
    </row>
    <row r="25" spans="1:14" x14ac:dyDescent="0.25">
      <c r="A25" s="1" t="s">
        <v>31</v>
      </c>
      <c r="B25" s="1" t="s">
        <v>5</v>
      </c>
      <c r="C25" s="2">
        <v>0.3420138888888889</v>
      </c>
      <c r="D25">
        <v>2</v>
      </c>
      <c r="E25">
        <f>VALUE(RIGHT(LEFT(punkt_szczepień__13[[#This Row],[PESEL]],4),2))</f>
        <v>8</v>
      </c>
      <c r="F25" s="11">
        <f>MOD(punkt_szczepień__13[[#This Row],[liczba miesiac]],20)</f>
        <v>8</v>
      </c>
      <c r="G25" s="11">
        <f>VLOOKUP(punkt_szczepień__13[[#This Row],[liczba miesiac]]-punkt_szczepień__13[[#This Row],[miesiac]],$O$3:$P$7,2,0)+VALUE(LEFT(punkt_szczepień__13[[#This Row],[PESEL]],2))</f>
        <v>1923</v>
      </c>
      <c r="H25" s="11">
        <f>VALUE(RIGHT(LEFT(punkt_szczepień__13[[#This Row],[PESEL]],6),2))</f>
        <v>9</v>
      </c>
      <c r="I25" s="3">
        <f>DATE(punkt_szczepień__13[[#This Row],[rok]],punkt_szczepień__13[[#This Row],[miesiac]],punkt_szczepień__13[[#This Row],[dzień]])</f>
        <v>8622</v>
      </c>
      <c r="J25" s="1" t="str">
        <f>punkt_szczepień__13[[#This Row],[PESEL]]</f>
        <v>23080973394</v>
      </c>
      <c r="K25" s="1">
        <f>VALUE(MID(punkt_szczepień__13[[#This Row],[PESEL]],10,1))</f>
        <v>9</v>
      </c>
      <c r="L25" s="11" t="str">
        <f>IF(MOD(punkt_szczepień__13[[#This Row],[liczba płeć]],2)=0,"K","M")</f>
        <v>M</v>
      </c>
      <c r="M25" s="1"/>
      <c r="N25" s="1"/>
    </row>
    <row r="26" spans="1:14" x14ac:dyDescent="0.25">
      <c r="A26" s="1" t="s">
        <v>32</v>
      </c>
      <c r="B26" s="1" t="s">
        <v>5</v>
      </c>
      <c r="C26" s="2">
        <v>0.34230324074074076</v>
      </c>
      <c r="D26">
        <v>1</v>
      </c>
      <c r="E26">
        <f>VALUE(RIGHT(LEFT(punkt_szczepień__13[[#This Row],[PESEL]],4),2))</f>
        <v>30</v>
      </c>
      <c r="F26" s="11">
        <f>MOD(punkt_szczepień__13[[#This Row],[liczba miesiac]],20)</f>
        <v>10</v>
      </c>
      <c r="G26" s="11">
        <f>VLOOKUP(punkt_szczepień__13[[#This Row],[liczba miesiac]]-punkt_szczepień__13[[#This Row],[miesiac]],$O$3:$P$7,2,0)+VALUE(LEFT(punkt_szczepień__13[[#This Row],[PESEL]],2))</f>
        <v>2008</v>
      </c>
      <c r="H26" s="11">
        <f>VALUE(RIGHT(LEFT(punkt_szczepień__13[[#This Row],[PESEL]],6),2))</f>
        <v>11</v>
      </c>
      <c r="I26" s="3">
        <f>DATE(punkt_szczepień__13[[#This Row],[rok]],punkt_szczepień__13[[#This Row],[miesiac]],punkt_szczepień__13[[#This Row],[dzień]])</f>
        <v>39732</v>
      </c>
      <c r="J26" s="1" t="str">
        <f>punkt_szczepień__13[[#This Row],[PESEL]]</f>
        <v>08301168793</v>
      </c>
      <c r="K26" s="1">
        <f>VALUE(MID(punkt_szczepień__13[[#This Row],[PESEL]],10,1))</f>
        <v>9</v>
      </c>
      <c r="L26" s="11" t="str">
        <f>IF(MOD(punkt_szczepień__13[[#This Row],[liczba płeć]],2)=0,"K","M")</f>
        <v>M</v>
      </c>
      <c r="M26" s="1"/>
      <c r="N26" s="1"/>
    </row>
    <row r="27" spans="1:14" x14ac:dyDescent="0.25">
      <c r="A27" s="1" t="s">
        <v>33</v>
      </c>
      <c r="B27" s="1" t="s">
        <v>9</v>
      </c>
      <c r="C27" s="2">
        <v>0.34288194444444442</v>
      </c>
      <c r="D27">
        <v>2</v>
      </c>
      <c r="E27">
        <f>VALUE(RIGHT(LEFT(punkt_szczepień__13[[#This Row],[PESEL]],4),2))</f>
        <v>12</v>
      </c>
      <c r="F27" s="11">
        <f>MOD(punkt_szczepień__13[[#This Row],[liczba miesiac]],20)</f>
        <v>12</v>
      </c>
      <c r="G27" s="11">
        <f>VLOOKUP(punkt_szczepień__13[[#This Row],[liczba miesiac]]-punkt_szczepień__13[[#This Row],[miesiac]],$O$3:$P$7,2,0)+VALUE(LEFT(punkt_szczepień__13[[#This Row],[PESEL]],2))</f>
        <v>1930</v>
      </c>
      <c r="H27" s="11">
        <f>VALUE(RIGHT(LEFT(punkt_szczepień__13[[#This Row],[PESEL]],6),2))</f>
        <v>26</v>
      </c>
      <c r="I27" s="3">
        <f>DATE(punkt_szczepień__13[[#This Row],[rok]],punkt_szczepień__13[[#This Row],[miesiac]],punkt_szczepień__13[[#This Row],[dzień]])</f>
        <v>11318</v>
      </c>
      <c r="J27" s="1" t="str">
        <f>punkt_szczepień__13[[#This Row],[PESEL]]</f>
        <v>30122667854</v>
      </c>
      <c r="K27" s="1">
        <f>VALUE(MID(punkt_szczepień__13[[#This Row],[PESEL]],10,1))</f>
        <v>5</v>
      </c>
      <c r="L27" s="11" t="str">
        <f>IF(MOD(punkt_szczepień__13[[#This Row],[liczba płeć]],2)=0,"K","M")</f>
        <v>M</v>
      </c>
      <c r="M27" s="1"/>
      <c r="N27" s="1"/>
    </row>
    <row r="28" spans="1:14" x14ac:dyDescent="0.25">
      <c r="A28" s="1" t="s">
        <v>34</v>
      </c>
      <c r="B28" s="1" t="s">
        <v>27</v>
      </c>
      <c r="C28" s="2">
        <v>0.34317129629629628</v>
      </c>
      <c r="D28">
        <v>1</v>
      </c>
      <c r="E28">
        <f>VALUE(RIGHT(LEFT(punkt_szczepień__13[[#This Row],[PESEL]],4),2))</f>
        <v>8</v>
      </c>
      <c r="F28" s="11">
        <f>MOD(punkt_szczepień__13[[#This Row],[liczba miesiac]],20)</f>
        <v>8</v>
      </c>
      <c r="G28" s="11">
        <f>VLOOKUP(punkt_szczepień__13[[#This Row],[liczba miesiac]]-punkt_szczepień__13[[#This Row],[miesiac]],$O$3:$P$7,2,0)+VALUE(LEFT(punkt_szczepień__13[[#This Row],[PESEL]],2))</f>
        <v>1991</v>
      </c>
      <c r="H28" s="11">
        <f>VALUE(RIGHT(LEFT(punkt_szczepień__13[[#This Row],[PESEL]],6),2))</f>
        <v>18</v>
      </c>
      <c r="I28" s="3">
        <f>DATE(punkt_szczepień__13[[#This Row],[rok]],punkt_szczepień__13[[#This Row],[miesiac]],punkt_szczepień__13[[#This Row],[dzień]])</f>
        <v>33468</v>
      </c>
      <c r="J28" s="1" t="str">
        <f>punkt_szczepień__13[[#This Row],[PESEL]]</f>
        <v>91081839511</v>
      </c>
      <c r="K28" s="1">
        <f>VALUE(MID(punkt_szczepień__13[[#This Row],[PESEL]],10,1))</f>
        <v>1</v>
      </c>
      <c r="L28" s="11" t="str">
        <f>IF(MOD(punkt_szczepień__13[[#This Row],[liczba płeć]],2)=0,"K","M")</f>
        <v>M</v>
      </c>
      <c r="M28" s="1"/>
      <c r="N28" s="1"/>
    </row>
    <row r="29" spans="1:14" x14ac:dyDescent="0.25">
      <c r="A29" s="1" t="s">
        <v>35</v>
      </c>
      <c r="B29" s="1" t="s">
        <v>7</v>
      </c>
      <c r="C29" s="2">
        <v>0.34346064814814814</v>
      </c>
      <c r="D29">
        <v>1</v>
      </c>
      <c r="E29">
        <f>VALUE(RIGHT(LEFT(punkt_szczepień__13[[#This Row],[PESEL]],4),2))</f>
        <v>31</v>
      </c>
      <c r="F29" s="11">
        <f>MOD(punkt_szczepień__13[[#This Row],[liczba miesiac]],20)</f>
        <v>11</v>
      </c>
      <c r="G29" s="11">
        <f>VLOOKUP(punkt_szczepień__13[[#This Row],[liczba miesiac]]-punkt_szczepień__13[[#This Row],[miesiac]],$O$3:$P$7,2,0)+VALUE(LEFT(punkt_szczepień__13[[#This Row],[PESEL]],2))</f>
        <v>2006</v>
      </c>
      <c r="H29" s="11">
        <f>VALUE(RIGHT(LEFT(punkt_szczepień__13[[#This Row],[PESEL]],6),2))</f>
        <v>20</v>
      </c>
      <c r="I29" s="3">
        <f>DATE(punkt_szczepień__13[[#This Row],[rok]],punkt_szczepień__13[[#This Row],[miesiac]],punkt_szczepień__13[[#This Row],[dzień]])</f>
        <v>39041</v>
      </c>
      <c r="J29" s="1" t="str">
        <f>punkt_szczepień__13[[#This Row],[PESEL]]</f>
        <v>06312031192</v>
      </c>
      <c r="K29" s="1">
        <f>VALUE(MID(punkt_szczepień__13[[#This Row],[PESEL]],10,1))</f>
        <v>9</v>
      </c>
      <c r="L29" s="11" t="str">
        <f>IF(MOD(punkt_szczepień__13[[#This Row],[liczba płeć]],2)=0,"K","M")</f>
        <v>M</v>
      </c>
      <c r="M29" s="1"/>
      <c r="N29" s="1"/>
    </row>
    <row r="30" spans="1:14" x14ac:dyDescent="0.25">
      <c r="A30" s="1" t="s">
        <v>36</v>
      </c>
      <c r="B30" s="1" t="s">
        <v>9</v>
      </c>
      <c r="C30" s="2">
        <v>0.34403935185185186</v>
      </c>
      <c r="D30">
        <v>2</v>
      </c>
      <c r="E30">
        <f>VALUE(RIGHT(LEFT(punkt_szczepień__13[[#This Row],[PESEL]],4),2))</f>
        <v>5</v>
      </c>
      <c r="F30" s="11">
        <f>MOD(punkt_szczepień__13[[#This Row],[liczba miesiac]],20)</f>
        <v>5</v>
      </c>
      <c r="G30" s="11">
        <f>VLOOKUP(punkt_szczepień__13[[#This Row],[liczba miesiac]]-punkt_szczepień__13[[#This Row],[miesiac]],$O$3:$P$7,2,0)+VALUE(LEFT(punkt_szczepień__13[[#This Row],[PESEL]],2))</f>
        <v>1959</v>
      </c>
      <c r="H30" s="11">
        <f>VALUE(RIGHT(LEFT(punkt_szczepień__13[[#This Row],[PESEL]],6),2))</f>
        <v>20</v>
      </c>
      <c r="I30" s="3">
        <f>DATE(punkt_szczepień__13[[#This Row],[rok]],punkt_szczepień__13[[#This Row],[miesiac]],punkt_szczepień__13[[#This Row],[dzień]])</f>
        <v>21690</v>
      </c>
      <c r="J30" s="1" t="str">
        <f>punkt_szczepień__13[[#This Row],[PESEL]]</f>
        <v>59052074723</v>
      </c>
      <c r="K30" s="1">
        <f>VALUE(MID(punkt_szczepień__13[[#This Row],[PESEL]],10,1))</f>
        <v>2</v>
      </c>
      <c r="L30" s="11" t="str">
        <f>IF(MOD(punkt_szczepień__13[[#This Row],[liczba płeć]],2)=0,"K","M")</f>
        <v>K</v>
      </c>
      <c r="M30" s="1"/>
      <c r="N30" s="1"/>
    </row>
    <row r="31" spans="1:14" x14ac:dyDescent="0.25">
      <c r="A31" s="1" t="s">
        <v>37</v>
      </c>
      <c r="B31" s="1" t="s">
        <v>27</v>
      </c>
      <c r="C31" s="2">
        <v>0.34461805555555558</v>
      </c>
      <c r="D31">
        <v>2</v>
      </c>
      <c r="E31">
        <f>VALUE(RIGHT(LEFT(punkt_szczepień__13[[#This Row],[PESEL]],4),2))</f>
        <v>23</v>
      </c>
      <c r="F31" s="11">
        <f>MOD(punkt_szczepień__13[[#This Row],[liczba miesiac]],20)</f>
        <v>3</v>
      </c>
      <c r="G31" s="11">
        <f>VLOOKUP(punkt_szczepień__13[[#This Row],[liczba miesiac]]-punkt_szczepień__13[[#This Row],[miesiac]],$O$3:$P$7,2,0)+VALUE(LEFT(punkt_szczepień__13[[#This Row],[PESEL]],2))</f>
        <v>2006</v>
      </c>
      <c r="H31" s="11">
        <f>VALUE(RIGHT(LEFT(punkt_szczepień__13[[#This Row],[PESEL]],6),2))</f>
        <v>8</v>
      </c>
      <c r="I31" s="3">
        <f>DATE(punkt_szczepień__13[[#This Row],[rok]],punkt_szczepień__13[[#This Row],[miesiac]],punkt_szczepień__13[[#This Row],[dzień]])</f>
        <v>38784</v>
      </c>
      <c r="J31" s="1" t="str">
        <f>punkt_szczepień__13[[#This Row],[PESEL]]</f>
        <v>06230853227</v>
      </c>
      <c r="K31" s="1">
        <f>VALUE(MID(punkt_szczepień__13[[#This Row],[PESEL]],10,1))</f>
        <v>2</v>
      </c>
      <c r="L31" s="11" t="str">
        <f>IF(MOD(punkt_szczepień__13[[#This Row],[liczba płeć]],2)=0,"K","M")</f>
        <v>K</v>
      </c>
      <c r="M31" s="1"/>
      <c r="N31" s="1"/>
    </row>
    <row r="32" spans="1:14" x14ac:dyDescent="0.25">
      <c r="A32" s="1" t="s">
        <v>38</v>
      </c>
      <c r="B32" s="1" t="s">
        <v>7</v>
      </c>
      <c r="C32" s="2">
        <v>0.34490740740740738</v>
      </c>
      <c r="D32">
        <v>1</v>
      </c>
      <c r="E32">
        <f>VALUE(RIGHT(LEFT(punkt_szczepień__13[[#This Row],[PESEL]],4),2))</f>
        <v>8</v>
      </c>
      <c r="F32" s="11">
        <f>MOD(punkt_szczepień__13[[#This Row],[liczba miesiac]],20)</f>
        <v>8</v>
      </c>
      <c r="G32" s="11">
        <f>VLOOKUP(punkt_szczepień__13[[#This Row],[liczba miesiac]]-punkt_szczepień__13[[#This Row],[miesiac]],$O$3:$P$7,2,0)+VALUE(LEFT(punkt_szczepień__13[[#This Row],[PESEL]],2))</f>
        <v>1958</v>
      </c>
      <c r="H32" s="11">
        <f>VALUE(RIGHT(LEFT(punkt_szczepień__13[[#This Row],[PESEL]],6),2))</f>
        <v>19</v>
      </c>
      <c r="I32" s="3">
        <f>DATE(punkt_szczepień__13[[#This Row],[rok]],punkt_szczepień__13[[#This Row],[miesiac]],punkt_szczepień__13[[#This Row],[dzień]])</f>
        <v>21416</v>
      </c>
      <c r="J32" s="1" t="str">
        <f>punkt_szczepień__13[[#This Row],[PESEL]]</f>
        <v>58081951335</v>
      </c>
      <c r="K32" s="1">
        <f>VALUE(MID(punkt_szczepień__13[[#This Row],[PESEL]],10,1))</f>
        <v>3</v>
      </c>
      <c r="L32" s="11" t="str">
        <f>IF(MOD(punkt_szczepień__13[[#This Row],[liczba płeć]],2)=0,"K","M")</f>
        <v>M</v>
      </c>
      <c r="M32" s="1"/>
      <c r="N32" s="1"/>
    </row>
    <row r="33" spans="1:14" x14ac:dyDescent="0.25">
      <c r="A33" s="1" t="s">
        <v>39</v>
      </c>
      <c r="B33" s="1" t="s">
        <v>7</v>
      </c>
      <c r="C33" s="2">
        <v>0.34519675925925924</v>
      </c>
      <c r="D33">
        <v>1</v>
      </c>
      <c r="E33">
        <f>VALUE(RIGHT(LEFT(punkt_szczepień__13[[#This Row],[PESEL]],4),2))</f>
        <v>12</v>
      </c>
      <c r="F33" s="11">
        <f>MOD(punkt_szczepień__13[[#This Row],[liczba miesiac]],20)</f>
        <v>12</v>
      </c>
      <c r="G33" s="11">
        <f>VLOOKUP(punkt_szczepień__13[[#This Row],[liczba miesiac]]-punkt_szczepień__13[[#This Row],[miesiac]],$O$3:$P$7,2,0)+VALUE(LEFT(punkt_szczepień__13[[#This Row],[PESEL]],2))</f>
        <v>1927</v>
      </c>
      <c r="H33" s="11">
        <f>VALUE(RIGHT(LEFT(punkt_szczepień__13[[#This Row],[PESEL]],6),2))</f>
        <v>20</v>
      </c>
      <c r="I33" s="3">
        <f>DATE(punkt_szczepień__13[[#This Row],[rok]],punkt_szczepień__13[[#This Row],[miesiac]],punkt_szczepień__13[[#This Row],[dzień]])</f>
        <v>10216</v>
      </c>
      <c r="J33" s="1" t="str">
        <f>punkt_szczepień__13[[#This Row],[PESEL]]</f>
        <v>27122066882</v>
      </c>
      <c r="K33" s="1">
        <f>VALUE(MID(punkt_szczepień__13[[#This Row],[PESEL]],10,1))</f>
        <v>8</v>
      </c>
      <c r="L33" s="11" t="str">
        <f>IF(MOD(punkt_szczepień__13[[#This Row],[liczba płeć]],2)=0,"K","M")</f>
        <v>K</v>
      </c>
      <c r="M33" s="1"/>
      <c r="N33" s="1"/>
    </row>
    <row r="34" spans="1:14" x14ac:dyDescent="0.25">
      <c r="A34" s="1" t="s">
        <v>40</v>
      </c>
      <c r="B34" s="1" t="s">
        <v>9</v>
      </c>
      <c r="C34" s="2">
        <v>0.34577546296296297</v>
      </c>
      <c r="D34">
        <v>2</v>
      </c>
      <c r="E34">
        <f>VALUE(RIGHT(LEFT(punkt_szczepień__13[[#This Row],[PESEL]],4),2))</f>
        <v>8</v>
      </c>
      <c r="F34" s="11">
        <f>MOD(punkt_szczepień__13[[#This Row],[liczba miesiac]],20)</f>
        <v>8</v>
      </c>
      <c r="G34" s="11">
        <f>VLOOKUP(punkt_szczepień__13[[#This Row],[liczba miesiac]]-punkt_szczepień__13[[#This Row],[miesiac]],$O$3:$P$7,2,0)+VALUE(LEFT(punkt_szczepień__13[[#This Row],[PESEL]],2))</f>
        <v>1937</v>
      </c>
      <c r="H34" s="11">
        <f>VALUE(RIGHT(LEFT(punkt_szczepień__13[[#This Row],[PESEL]],6),2))</f>
        <v>13</v>
      </c>
      <c r="I34" s="3">
        <f>DATE(punkt_szczepień__13[[#This Row],[rok]],punkt_szczepień__13[[#This Row],[miesiac]],punkt_szczepień__13[[#This Row],[dzień]])</f>
        <v>13740</v>
      </c>
      <c r="J34" s="1" t="str">
        <f>punkt_szczepień__13[[#This Row],[PESEL]]</f>
        <v>37081333648</v>
      </c>
      <c r="K34" s="1">
        <f>VALUE(MID(punkt_szczepień__13[[#This Row],[PESEL]],10,1))</f>
        <v>4</v>
      </c>
      <c r="L34" s="11" t="str">
        <f>IF(MOD(punkt_szczepień__13[[#This Row],[liczba płeć]],2)=0,"K","M")</f>
        <v>K</v>
      </c>
      <c r="M34" s="1"/>
      <c r="N34" s="1"/>
    </row>
    <row r="35" spans="1:14" x14ac:dyDescent="0.25">
      <c r="A35" s="1" t="s">
        <v>41</v>
      </c>
      <c r="B35" s="1" t="s">
        <v>7</v>
      </c>
      <c r="C35" s="2">
        <v>0.34606481481481483</v>
      </c>
      <c r="D35">
        <v>1</v>
      </c>
      <c r="E35">
        <f>VALUE(RIGHT(LEFT(punkt_szczepień__13[[#This Row],[PESEL]],4),2))</f>
        <v>27</v>
      </c>
      <c r="F35" s="11">
        <f>MOD(punkt_szczepień__13[[#This Row],[liczba miesiac]],20)</f>
        <v>7</v>
      </c>
      <c r="G35" s="11">
        <f>VLOOKUP(punkt_szczepień__13[[#This Row],[liczba miesiac]]-punkt_szczepień__13[[#This Row],[miesiac]],$O$3:$P$7,2,0)+VALUE(LEFT(punkt_szczepień__13[[#This Row],[PESEL]],2))</f>
        <v>2006</v>
      </c>
      <c r="H35" s="11">
        <f>VALUE(RIGHT(LEFT(punkt_szczepień__13[[#This Row],[PESEL]],6),2))</f>
        <v>8</v>
      </c>
      <c r="I35" s="3">
        <f>DATE(punkt_szczepień__13[[#This Row],[rok]],punkt_szczepień__13[[#This Row],[miesiac]],punkt_szczepień__13[[#This Row],[dzień]])</f>
        <v>38906</v>
      </c>
      <c r="J35" s="1" t="str">
        <f>punkt_szczepień__13[[#This Row],[PESEL]]</f>
        <v>06270811364</v>
      </c>
      <c r="K35" s="1">
        <f>VALUE(MID(punkt_szczepień__13[[#This Row],[PESEL]],10,1))</f>
        <v>6</v>
      </c>
      <c r="L35" s="11" t="str">
        <f>IF(MOD(punkt_szczepień__13[[#This Row],[liczba płeć]],2)=0,"K","M")</f>
        <v>K</v>
      </c>
      <c r="M35" s="1"/>
      <c r="N35" s="1"/>
    </row>
    <row r="36" spans="1:14" x14ac:dyDescent="0.25">
      <c r="A36" s="1" t="s">
        <v>42</v>
      </c>
      <c r="B36" s="1" t="s">
        <v>27</v>
      </c>
      <c r="C36" s="2">
        <v>0.34664351851851855</v>
      </c>
      <c r="D36">
        <v>2</v>
      </c>
      <c r="E36">
        <f>VALUE(RIGHT(LEFT(punkt_szczepień__13[[#This Row],[PESEL]],4),2))</f>
        <v>9</v>
      </c>
      <c r="F36" s="11">
        <f>MOD(punkt_szczepień__13[[#This Row],[liczba miesiac]],20)</f>
        <v>9</v>
      </c>
      <c r="G36" s="11">
        <f>VLOOKUP(punkt_szczepień__13[[#This Row],[liczba miesiac]]-punkt_szczepień__13[[#This Row],[miesiac]],$O$3:$P$7,2,0)+VALUE(LEFT(punkt_szczepień__13[[#This Row],[PESEL]],2))</f>
        <v>1948</v>
      </c>
      <c r="H36" s="11">
        <f>VALUE(RIGHT(LEFT(punkt_szczepień__13[[#This Row],[PESEL]],6),2))</f>
        <v>18</v>
      </c>
      <c r="I36" s="3">
        <f>DATE(punkt_szczepień__13[[#This Row],[rok]],punkt_szczepień__13[[#This Row],[miesiac]],punkt_szczepień__13[[#This Row],[dzień]])</f>
        <v>17794</v>
      </c>
      <c r="J36" s="1" t="str">
        <f>punkt_szczepień__13[[#This Row],[PESEL]]</f>
        <v>48091864541</v>
      </c>
      <c r="K36" s="1">
        <f>VALUE(MID(punkt_szczepień__13[[#This Row],[PESEL]],10,1))</f>
        <v>4</v>
      </c>
      <c r="L36" s="11" t="str">
        <f>IF(MOD(punkt_szczepień__13[[#This Row],[liczba płeć]],2)=0,"K","M")</f>
        <v>K</v>
      </c>
      <c r="M36" s="1"/>
      <c r="N36" s="1"/>
    </row>
    <row r="37" spans="1:14" x14ac:dyDescent="0.25">
      <c r="A37" s="1" t="s">
        <v>43</v>
      </c>
      <c r="B37" s="1" t="s">
        <v>27</v>
      </c>
      <c r="C37" s="2">
        <v>0.34693287037037035</v>
      </c>
      <c r="D37">
        <v>1</v>
      </c>
      <c r="E37">
        <f>VALUE(RIGHT(LEFT(punkt_szczepień__13[[#This Row],[PESEL]],4),2))</f>
        <v>8</v>
      </c>
      <c r="F37" s="11">
        <f>MOD(punkt_szczepień__13[[#This Row],[liczba miesiac]],20)</f>
        <v>8</v>
      </c>
      <c r="G37" s="11">
        <f>VLOOKUP(punkt_szczepień__13[[#This Row],[liczba miesiac]]-punkt_szczepień__13[[#This Row],[miesiac]],$O$3:$P$7,2,0)+VALUE(LEFT(punkt_szczepień__13[[#This Row],[PESEL]],2))</f>
        <v>1923</v>
      </c>
      <c r="H37" s="11">
        <f>VALUE(RIGHT(LEFT(punkt_szczepień__13[[#This Row],[PESEL]],6),2))</f>
        <v>31</v>
      </c>
      <c r="I37" s="3">
        <f>DATE(punkt_szczepień__13[[#This Row],[rok]],punkt_szczepień__13[[#This Row],[miesiac]],punkt_szczepień__13[[#This Row],[dzień]])</f>
        <v>8644</v>
      </c>
      <c r="J37" s="1" t="str">
        <f>punkt_szczepień__13[[#This Row],[PESEL]]</f>
        <v>23083169466</v>
      </c>
      <c r="K37" s="1">
        <f>VALUE(MID(punkt_szczepień__13[[#This Row],[PESEL]],10,1))</f>
        <v>6</v>
      </c>
      <c r="L37" s="11" t="str">
        <f>IF(MOD(punkt_szczepień__13[[#This Row],[liczba płeć]],2)=0,"K","M")</f>
        <v>K</v>
      </c>
      <c r="M37" s="1"/>
      <c r="N37" s="1"/>
    </row>
    <row r="38" spans="1:14" x14ac:dyDescent="0.25">
      <c r="A38" s="1" t="s">
        <v>44</v>
      </c>
      <c r="B38" s="1" t="s">
        <v>7</v>
      </c>
      <c r="C38" s="2">
        <v>0.34722222222222221</v>
      </c>
      <c r="D38">
        <v>1</v>
      </c>
      <c r="E38">
        <f>VALUE(RIGHT(LEFT(punkt_szczepień__13[[#This Row],[PESEL]],4),2))</f>
        <v>11</v>
      </c>
      <c r="F38" s="11">
        <f>MOD(punkt_szczepień__13[[#This Row],[liczba miesiac]],20)</f>
        <v>11</v>
      </c>
      <c r="G38" s="11">
        <f>VLOOKUP(punkt_szczepień__13[[#This Row],[liczba miesiac]]-punkt_szczepień__13[[#This Row],[miesiac]],$O$3:$P$7,2,0)+VALUE(LEFT(punkt_szczepień__13[[#This Row],[PESEL]],2))</f>
        <v>1997</v>
      </c>
      <c r="H38" s="11">
        <f>VALUE(RIGHT(LEFT(punkt_szczepień__13[[#This Row],[PESEL]],6),2))</f>
        <v>6</v>
      </c>
      <c r="I38" s="3">
        <f>DATE(punkt_szczepień__13[[#This Row],[rok]],punkt_szczepień__13[[#This Row],[miesiac]],punkt_szczepień__13[[#This Row],[dzień]])</f>
        <v>35740</v>
      </c>
      <c r="J38" s="1" t="str">
        <f>punkt_szczepień__13[[#This Row],[PESEL]]</f>
        <v>97110669683</v>
      </c>
      <c r="K38" s="1">
        <f>VALUE(MID(punkt_szczepień__13[[#This Row],[PESEL]],10,1))</f>
        <v>8</v>
      </c>
      <c r="L38" s="11" t="str">
        <f>IF(MOD(punkt_szczepień__13[[#This Row],[liczba płeć]],2)=0,"K","M")</f>
        <v>K</v>
      </c>
      <c r="M38" s="1"/>
      <c r="N38" s="1"/>
    </row>
    <row r="39" spans="1:14" x14ac:dyDescent="0.25">
      <c r="A39" s="1" t="s">
        <v>45</v>
      </c>
      <c r="B39" s="1" t="s">
        <v>7</v>
      </c>
      <c r="C39" s="2">
        <v>0.34751157407407407</v>
      </c>
      <c r="D39">
        <v>1</v>
      </c>
      <c r="E39">
        <f>VALUE(RIGHT(LEFT(punkt_szczepień__13[[#This Row],[PESEL]],4),2))</f>
        <v>1</v>
      </c>
      <c r="F39" s="11">
        <f>MOD(punkt_szczepień__13[[#This Row],[liczba miesiac]],20)</f>
        <v>1</v>
      </c>
      <c r="G39" s="11">
        <f>VLOOKUP(punkt_szczepień__13[[#This Row],[liczba miesiac]]-punkt_szczepień__13[[#This Row],[miesiac]],$O$3:$P$7,2,0)+VALUE(LEFT(punkt_szczepień__13[[#This Row],[PESEL]],2))</f>
        <v>1978</v>
      </c>
      <c r="H39" s="11">
        <f>VALUE(RIGHT(LEFT(punkt_szczepień__13[[#This Row],[PESEL]],6),2))</f>
        <v>22</v>
      </c>
      <c r="I39" s="3">
        <f>DATE(punkt_szczepień__13[[#This Row],[rok]],punkt_szczepień__13[[#This Row],[miesiac]],punkt_szczepień__13[[#This Row],[dzień]])</f>
        <v>28512</v>
      </c>
      <c r="J39" s="1" t="str">
        <f>punkt_szczepień__13[[#This Row],[PESEL]]</f>
        <v>78012238177</v>
      </c>
      <c r="K39" s="1">
        <f>VALUE(MID(punkt_szczepień__13[[#This Row],[PESEL]],10,1))</f>
        <v>7</v>
      </c>
      <c r="L39" s="11" t="str">
        <f>IF(MOD(punkt_szczepień__13[[#This Row],[liczba płeć]],2)=0,"K","M")</f>
        <v>M</v>
      </c>
      <c r="M39" s="1"/>
      <c r="N39" s="1"/>
    </row>
    <row r="40" spans="1:14" x14ac:dyDescent="0.25">
      <c r="A40" s="1" t="s">
        <v>46</v>
      </c>
      <c r="B40" s="1" t="s">
        <v>5</v>
      </c>
      <c r="C40" s="2">
        <v>0.34780092592592593</v>
      </c>
      <c r="D40">
        <v>1</v>
      </c>
      <c r="E40">
        <f>VALUE(RIGHT(LEFT(punkt_szczepień__13[[#This Row],[PESEL]],4),2))</f>
        <v>7</v>
      </c>
      <c r="F40" s="11">
        <f>MOD(punkt_szczepień__13[[#This Row],[liczba miesiac]],20)</f>
        <v>7</v>
      </c>
      <c r="G40" s="11">
        <f>VLOOKUP(punkt_szczepień__13[[#This Row],[liczba miesiac]]-punkt_szczepień__13[[#This Row],[miesiac]],$O$3:$P$7,2,0)+VALUE(LEFT(punkt_szczepień__13[[#This Row],[PESEL]],2))</f>
        <v>1946</v>
      </c>
      <c r="H40" s="11">
        <f>VALUE(RIGHT(LEFT(punkt_szczepień__13[[#This Row],[PESEL]],6),2))</f>
        <v>25</v>
      </c>
      <c r="I40" s="3">
        <f>DATE(punkt_szczepień__13[[#This Row],[rok]],punkt_szczepień__13[[#This Row],[miesiac]],punkt_szczepień__13[[#This Row],[dzień]])</f>
        <v>17008</v>
      </c>
      <c r="J40" s="1" t="str">
        <f>punkt_szczepień__13[[#This Row],[PESEL]]</f>
        <v>46072512614</v>
      </c>
      <c r="K40" s="1">
        <f>VALUE(MID(punkt_szczepień__13[[#This Row],[PESEL]],10,1))</f>
        <v>1</v>
      </c>
      <c r="L40" s="11" t="str">
        <f>IF(MOD(punkt_szczepień__13[[#This Row],[liczba płeć]],2)=0,"K","M")</f>
        <v>M</v>
      </c>
      <c r="M40" s="1"/>
      <c r="N40" s="1"/>
    </row>
    <row r="41" spans="1:14" x14ac:dyDescent="0.25">
      <c r="A41" s="1" t="s">
        <v>47</v>
      </c>
      <c r="B41" s="1" t="s">
        <v>27</v>
      </c>
      <c r="C41" s="2">
        <v>0.34837962962962965</v>
      </c>
      <c r="D41">
        <v>2</v>
      </c>
      <c r="E41">
        <f>VALUE(RIGHT(LEFT(punkt_szczepień__13[[#This Row],[PESEL]],4),2))</f>
        <v>4</v>
      </c>
      <c r="F41" s="11">
        <f>MOD(punkt_szczepień__13[[#This Row],[liczba miesiac]],20)</f>
        <v>4</v>
      </c>
      <c r="G41" s="11">
        <f>VLOOKUP(punkt_szczepień__13[[#This Row],[liczba miesiac]]-punkt_szczepień__13[[#This Row],[miesiac]],$O$3:$P$7,2,0)+VALUE(LEFT(punkt_szczepień__13[[#This Row],[PESEL]],2))</f>
        <v>1960</v>
      </c>
      <c r="H41" s="11">
        <f>VALUE(RIGHT(LEFT(punkt_szczepień__13[[#This Row],[PESEL]],6),2))</f>
        <v>20</v>
      </c>
      <c r="I41" s="3">
        <f>DATE(punkt_szczepień__13[[#This Row],[rok]],punkt_szczepień__13[[#This Row],[miesiac]],punkt_szczepień__13[[#This Row],[dzień]])</f>
        <v>22026</v>
      </c>
      <c r="J41" s="1" t="str">
        <f>punkt_szczepień__13[[#This Row],[PESEL]]</f>
        <v>60042047753</v>
      </c>
      <c r="K41" s="1">
        <f>VALUE(MID(punkt_szczepień__13[[#This Row],[PESEL]],10,1))</f>
        <v>5</v>
      </c>
      <c r="L41" s="11" t="str">
        <f>IF(MOD(punkt_szczepień__13[[#This Row],[liczba płeć]],2)=0,"K","M")</f>
        <v>M</v>
      </c>
      <c r="M41" s="1"/>
      <c r="N41" s="1"/>
    </row>
    <row r="42" spans="1:14" x14ac:dyDescent="0.25">
      <c r="A42" s="1" t="s">
        <v>48</v>
      </c>
      <c r="B42" s="1" t="s">
        <v>27</v>
      </c>
      <c r="C42" s="2">
        <v>0.34866898148148145</v>
      </c>
      <c r="D42">
        <v>1</v>
      </c>
      <c r="E42">
        <f>VALUE(RIGHT(LEFT(punkt_szczepień__13[[#This Row],[PESEL]],4),2))</f>
        <v>11</v>
      </c>
      <c r="F42" s="11">
        <f>MOD(punkt_szczepień__13[[#This Row],[liczba miesiac]],20)</f>
        <v>11</v>
      </c>
      <c r="G42" s="11">
        <f>VLOOKUP(punkt_szczepień__13[[#This Row],[liczba miesiac]]-punkt_szczepień__13[[#This Row],[miesiac]],$O$3:$P$7,2,0)+VALUE(LEFT(punkt_szczepień__13[[#This Row],[PESEL]],2))</f>
        <v>1977</v>
      </c>
      <c r="H42" s="11">
        <f>VALUE(RIGHT(LEFT(punkt_szczepień__13[[#This Row],[PESEL]],6),2))</f>
        <v>11</v>
      </c>
      <c r="I42" s="3">
        <f>DATE(punkt_szczepień__13[[#This Row],[rok]],punkt_szczepień__13[[#This Row],[miesiac]],punkt_szczepień__13[[#This Row],[dzień]])</f>
        <v>28440</v>
      </c>
      <c r="J42" s="1" t="str">
        <f>punkt_szczepień__13[[#This Row],[PESEL]]</f>
        <v>77111143779</v>
      </c>
      <c r="K42" s="1">
        <f>VALUE(MID(punkt_szczepień__13[[#This Row],[PESEL]],10,1))</f>
        <v>7</v>
      </c>
      <c r="L42" s="11" t="str">
        <f>IF(MOD(punkt_szczepień__13[[#This Row],[liczba płeć]],2)=0,"K","M")</f>
        <v>M</v>
      </c>
      <c r="M42" s="1"/>
      <c r="N42" s="1"/>
    </row>
    <row r="43" spans="1:14" x14ac:dyDescent="0.25">
      <c r="A43" s="1" t="s">
        <v>49</v>
      </c>
      <c r="B43" s="1" t="s">
        <v>7</v>
      </c>
      <c r="C43" s="2">
        <v>0.34895833333333331</v>
      </c>
      <c r="D43">
        <v>1</v>
      </c>
      <c r="E43">
        <f>VALUE(RIGHT(LEFT(punkt_szczepień__13[[#This Row],[PESEL]],4),2))</f>
        <v>6</v>
      </c>
      <c r="F43" s="11">
        <f>MOD(punkt_szczepień__13[[#This Row],[liczba miesiac]],20)</f>
        <v>6</v>
      </c>
      <c r="G43" s="11">
        <f>VLOOKUP(punkt_szczepień__13[[#This Row],[liczba miesiac]]-punkt_szczepień__13[[#This Row],[miesiac]],$O$3:$P$7,2,0)+VALUE(LEFT(punkt_szczepień__13[[#This Row],[PESEL]],2))</f>
        <v>1935</v>
      </c>
      <c r="H43" s="11">
        <f>VALUE(RIGHT(LEFT(punkt_szczepień__13[[#This Row],[PESEL]],6),2))</f>
        <v>23</v>
      </c>
      <c r="I43" s="3">
        <f>DATE(punkt_szczepień__13[[#This Row],[rok]],punkt_szczepień__13[[#This Row],[miesiac]],punkt_szczepień__13[[#This Row],[dzień]])</f>
        <v>12958</v>
      </c>
      <c r="J43" s="1" t="str">
        <f>punkt_szczepień__13[[#This Row],[PESEL]]</f>
        <v>35062321387</v>
      </c>
      <c r="K43" s="1">
        <f>VALUE(MID(punkt_szczepień__13[[#This Row],[PESEL]],10,1))</f>
        <v>8</v>
      </c>
      <c r="L43" s="11" t="str">
        <f>IF(MOD(punkt_szczepień__13[[#This Row],[liczba płeć]],2)=0,"K","M")</f>
        <v>K</v>
      </c>
      <c r="M43" s="1"/>
      <c r="N43" s="1"/>
    </row>
    <row r="44" spans="1:14" x14ac:dyDescent="0.25">
      <c r="A44" s="1" t="s">
        <v>50</v>
      </c>
      <c r="B44" s="1" t="s">
        <v>9</v>
      </c>
      <c r="C44" s="2">
        <v>0.34924768518518517</v>
      </c>
      <c r="D44">
        <v>1</v>
      </c>
      <c r="E44">
        <f>VALUE(RIGHT(LEFT(punkt_szczepień__13[[#This Row],[PESEL]],4),2))</f>
        <v>7</v>
      </c>
      <c r="F44" s="11">
        <f>MOD(punkt_szczepień__13[[#This Row],[liczba miesiac]],20)</f>
        <v>7</v>
      </c>
      <c r="G44" s="11">
        <f>VLOOKUP(punkt_szczepień__13[[#This Row],[liczba miesiac]]-punkt_szczepień__13[[#This Row],[miesiac]],$O$3:$P$7,2,0)+VALUE(LEFT(punkt_szczepień__13[[#This Row],[PESEL]],2))</f>
        <v>1937</v>
      </c>
      <c r="H44" s="11">
        <f>VALUE(RIGHT(LEFT(punkt_szczepień__13[[#This Row],[PESEL]],6),2))</f>
        <v>18</v>
      </c>
      <c r="I44" s="3">
        <f>DATE(punkt_szczepień__13[[#This Row],[rok]],punkt_szczepień__13[[#This Row],[miesiac]],punkt_szczepień__13[[#This Row],[dzień]])</f>
        <v>13714</v>
      </c>
      <c r="J44" s="1" t="str">
        <f>punkt_szczepień__13[[#This Row],[PESEL]]</f>
        <v>37071876852</v>
      </c>
      <c r="K44" s="1">
        <f>VALUE(MID(punkt_szczepień__13[[#This Row],[PESEL]],10,1))</f>
        <v>5</v>
      </c>
      <c r="L44" s="11" t="str">
        <f>IF(MOD(punkt_szczepień__13[[#This Row],[liczba płeć]],2)=0,"K","M")</f>
        <v>M</v>
      </c>
      <c r="M44" s="1"/>
      <c r="N44" s="1"/>
    </row>
    <row r="45" spans="1:14" x14ac:dyDescent="0.25">
      <c r="A45" s="1" t="s">
        <v>51</v>
      </c>
      <c r="B45" s="1" t="s">
        <v>9</v>
      </c>
      <c r="C45" s="2">
        <v>0.34953703703703703</v>
      </c>
      <c r="D45">
        <v>1</v>
      </c>
      <c r="E45">
        <f>VALUE(RIGHT(LEFT(punkt_szczepień__13[[#This Row],[PESEL]],4),2))</f>
        <v>10</v>
      </c>
      <c r="F45" s="11">
        <f>MOD(punkt_szczepień__13[[#This Row],[liczba miesiac]],20)</f>
        <v>10</v>
      </c>
      <c r="G45" s="11">
        <f>VLOOKUP(punkt_szczepień__13[[#This Row],[liczba miesiac]]-punkt_szczepień__13[[#This Row],[miesiac]],$O$3:$P$7,2,0)+VALUE(LEFT(punkt_szczepień__13[[#This Row],[PESEL]],2))</f>
        <v>1954</v>
      </c>
      <c r="H45" s="11">
        <f>VALUE(RIGHT(LEFT(punkt_szczepień__13[[#This Row],[PESEL]],6),2))</f>
        <v>25</v>
      </c>
      <c r="I45" s="3">
        <f>DATE(punkt_szczepień__13[[#This Row],[rok]],punkt_szczepień__13[[#This Row],[miesiac]],punkt_szczepień__13[[#This Row],[dzień]])</f>
        <v>20022</v>
      </c>
      <c r="J45" s="1" t="str">
        <f>punkt_szczepień__13[[#This Row],[PESEL]]</f>
        <v>54102531931</v>
      </c>
      <c r="K45" s="1">
        <f>VALUE(MID(punkt_szczepień__13[[#This Row],[PESEL]],10,1))</f>
        <v>3</v>
      </c>
      <c r="L45" s="11" t="str">
        <f>IF(MOD(punkt_szczepień__13[[#This Row],[liczba płeć]],2)=0,"K","M")</f>
        <v>M</v>
      </c>
      <c r="M45" s="1"/>
      <c r="N45" s="1"/>
    </row>
    <row r="46" spans="1:14" x14ac:dyDescent="0.25">
      <c r="A46" s="1" t="s">
        <v>52</v>
      </c>
      <c r="B46" s="1" t="s">
        <v>7</v>
      </c>
      <c r="C46" s="2">
        <v>0.3498263888888889</v>
      </c>
      <c r="D46">
        <v>1</v>
      </c>
      <c r="E46">
        <f>VALUE(RIGHT(LEFT(punkt_szczepień__13[[#This Row],[PESEL]],4),2))</f>
        <v>5</v>
      </c>
      <c r="F46" s="11">
        <f>MOD(punkt_szczepień__13[[#This Row],[liczba miesiac]],20)</f>
        <v>5</v>
      </c>
      <c r="G46" s="11">
        <f>VLOOKUP(punkt_szczepień__13[[#This Row],[liczba miesiac]]-punkt_szczepień__13[[#This Row],[miesiac]],$O$3:$P$7,2,0)+VALUE(LEFT(punkt_szczepień__13[[#This Row],[PESEL]],2))</f>
        <v>1926</v>
      </c>
      <c r="H46" s="11">
        <f>VALUE(RIGHT(LEFT(punkt_szczepień__13[[#This Row],[PESEL]],6),2))</f>
        <v>10</v>
      </c>
      <c r="I46" s="3">
        <f>DATE(punkt_szczepień__13[[#This Row],[rok]],punkt_szczepień__13[[#This Row],[miesiac]],punkt_szczepień__13[[#This Row],[dzień]])</f>
        <v>9627</v>
      </c>
      <c r="J46" s="1" t="str">
        <f>punkt_szczepień__13[[#This Row],[PESEL]]</f>
        <v>26051089564</v>
      </c>
      <c r="K46" s="1">
        <f>VALUE(MID(punkt_szczepień__13[[#This Row],[PESEL]],10,1))</f>
        <v>6</v>
      </c>
      <c r="L46" s="11" t="str">
        <f>IF(MOD(punkt_szczepień__13[[#This Row],[liczba płeć]],2)=0,"K","M")</f>
        <v>K</v>
      </c>
      <c r="M46" s="1"/>
      <c r="N46" s="1"/>
    </row>
    <row r="47" spans="1:14" x14ac:dyDescent="0.25">
      <c r="A47" s="1" t="s">
        <v>53</v>
      </c>
      <c r="B47" s="1" t="s">
        <v>27</v>
      </c>
      <c r="C47" s="2">
        <v>0.35040509259259262</v>
      </c>
      <c r="D47">
        <v>2</v>
      </c>
      <c r="E47">
        <f>VALUE(RIGHT(LEFT(punkt_szczepień__13[[#This Row],[PESEL]],4),2))</f>
        <v>8</v>
      </c>
      <c r="F47" s="11">
        <f>MOD(punkt_szczepień__13[[#This Row],[liczba miesiac]],20)</f>
        <v>8</v>
      </c>
      <c r="G47" s="11">
        <f>VLOOKUP(punkt_szczepień__13[[#This Row],[liczba miesiac]]-punkt_szczepień__13[[#This Row],[miesiac]],$O$3:$P$7,2,0)+VALUE(LEFT(punkt_szczepień__13[[#This Row],[PESEL]],2))</f>
        <v>1986</v>
      </c>
      <c r="H47" s="11">
        <f>VALUE(RIGHT(LEFT(punkt_szczepień__13[[#This Row],[PESEL]],6),2))</f>
        <v>12</v>
      </c>
      <c r="I47" s="3">
        <f>DATE(punkt_szczepień__13[[#This Row],[rok]],punkt_szczepień__13[[#This Row],[miesiac]],punkt_szczepień__13[[#This Row],[dzień]])</f>
        <v>31636</v>
      </c>
      <c r="J47" s="1" t="str">
        <f>punkt_szczepień__13[[#This Row],[PESEL]]</f>
        <v>86081222263</v>
      </c>
      <c r="K47" s="1">
        <f>VALUE(MID(punkt_szczepień__13[[#This Row],[PESEL]],10,1))</f>
        <v>6</v>
      </c>
      <c r="L47" s="11" t="str">
        <f>IF(MOD(punkt_szczepień__13[[#This Row],[liczba płeć]],2)=0,"K","M")</f>
        <v>K</v>
      </c>
      <c r="M47" s="1"/>
      <c r="N47" s="1"/>
    </row>
    <row r="48" spans="1:14" x14ac:dyDescent="0.25">
      <c r="A48" s="1" t="s">
        <v>54</v>
      </c>
      <c r="B48" s="1" t="s">
        <v>7</v>
      </c>
      <c r="C48" s="2">
        <v>0.35069444444444442</v>
      </c>
      <c r="D48">
        <v>1</v>
      </c>
      <c r="E48">
        <f>VALUE(RIGHT(LEFT(punkt_szczepień__13[[#This Row],[PESEL]],4),2))</f>
        <v>3</v>
      </c>
      <c r="F48" s="11">
        <f>MOD(punkt_szczepień__13[[#This Row],[liczba miesiac]],20)</f>
        <v>3</v>
      </c>
      <c r="G48" s="11">
        <f>VLOOKUP(punkt_szczepień__13[[#This Row],[liczba miesiac]]-punkt_szczepień__13[[#This Row],[miesiac]],$O$3:$P$7,2,0)+VALUE(LEFT(punkt_szczepień__13[[#This Row],[PESEL]],2))</f>
        <v>1973</v>
      </c>
      <c r="H48" s="11">
        <f>VALUE(RIGHT(LEFT(punkt_szczepień__13[[#This Row],[PESEL]],6),2))</f>
        <v>14</v>
      </c>
      <c r="I48" s="3">
        <f>DATE(punkt_szczepień__13[[#This Row],[rok]],punkt_szczepień__13[[#This Row],[miesiac]],punkt_szczepień__13[[#This Row],[dzień]])</f>
        <v>26737</v>
      </c>
      <c r="J48" s="1" t="str">
        <f>punkt_szczepień__13[[#This Row],[PESEL]]</f>
        <v>73031494999</v>
      </c>
      <c r="K48" s="1">
        <f>VALUE(MID(punkt_szczepień__13[[#This Row],[PESEL]],10,1))</f>
        <v>9</v>
      </c>
      <c r="L48" s="11" t="str">
        <f>IF(MOD(punkt_szczepień__13[[#This Row],[liczba płeć]],2)=0,"K","M")</f>
        <v>M</v>
      </c>
      <c r="M48" s="1"/>
      <c r="N48" s="1"/>
    </row>
    <row r="49" spans="1:14" x14ac:dyDescent="0.25">
      <c r="A49" s="1" t="s">
        <v>55</v>
      </c>
      <c r="B49" s="1" t="s">
        <v>9</v>
      </c>
      <c r="C49" s="2">
        <v>0.35127314814814814</v>
      </c>
      <c r="D49">
        <v>2</v>
      </c>
      <c r="E49">
        <f>VALUE(RIGHT(LEFT(punkt_szczepień__13[[#This Row],[PESEL]],4),2))</f>
        <v>4</v>
      </c>
      <c r="F49" s="11">
        <f>MOD(punkt_szczepień__13[[#This Row],[liczba miesiac]],20)</f>
        <v>4</v>
      </c>
      <c r="G49" s="11">
        <f>VLOOKUP(punkt_szczepień__13[[#This Row],[liczba miesiac]]-punkt_szczepień__13[[#This Row],[miesiac]],$O$3:$P$7,2,0)+VALUE(LEFT(punkt_szczepień__13[[#This Row],[PESEL]],2))</f>
        <v>1992</v>
      </c>
      <c r="H49" s="11">
        <f>VALUE(RIGHT(LEFT(punkt_szczepień__13[[#This Row],[PESEL]],6),2))</f>
        <v>4</v>
      </c>
      <c r="I49" s="3">
        <f>DATE(punkt_szczepień__13[[#This Row],[rok]],punkt_szczepień__13[[#This Row],[miesiac]],punkt_szczepień__13[[#This Row],[dzień]])</f>
        <v>33698</v>
      </c>
      <c r="J49" s="1" t="str">
        <f>punkt_szczepień__13[[#This Row],[PESEL]]</f>
        <v>92040472666</v>
      </c>
      <c r="K49" s="1">
        <f>VALUE(MID(punkt_szczepień__13[[#This Row],[PESEL]],10,1))</f>
        <v>6</v>
      </c>
      <c r="L49" s="11" t="str">
        <f>IF(MOD(punkt_szczepień__13[[#This Row],[liczba płeć]],2)=0,"K","M")</f>
        <v>K</v>
      </c>
      <c r="M49" s="1"/>
      <c r="N49" s="1"/>
    </row>
    <row r="50" spans="1:14" x14ac:dyDescent="0.25">
      <c r="A50" s="1" t="s">
        <v>56</v>
      </c>
      <c r="B50" s="1" t="s">
        <v>9</v>
      </c>
      <c r="C50" s="2">
        <v>0.35185185185185186</v>
      </c>
      <c r="D50">
        <v>2</v>
      </c>
      <c r="E50">
        <f>VALUE(RIGHT(LEFT(punkt_szczepień__13[[#This Row],[PESEL]],4),2))</f>
        <v>4</v>
      </c>
      <c r="F50" s="11">
        <f>MOD(punkt_szczepień__13[[#This Row],[liczba miesiac]],20)</f>
        <v>4</v>
      </c>
      <c r="G50" s="11">
        <f>VLOOKUP(punkt_szczepień__13[[#This Row],[liczba miesiac]]-punkt_szczepień__13[[#This Row],[miesiac]],$O$3:$P$7,2,0)+VALUE(LEFT(punkt_szczepień__13[[#This Row],[PESEL]],2))</f>
        <v>1932</v>
      </c>
      <c r="H50" s="11">
        <f>VALUE(RIGHT(LEFT(punkt_szczepień__13[[#This Row],[PESEL]],6),2))</f>
        <v>26</v>
      </c>
      <c r="I50" s="3">
        <f>DATE(punkt_szczepień__13[[#This Row],[rok]],punkt_szczepień__13[[#This Row],[miesiac]],punkt_szczepień__13[[#This Row],[dzień]])</f>
        <v>11805</v>
      </c>
      <c r="J50" s="1" t="str">
        <f>punkt_szczepień__13[[#This Row],[PESEL]]</f>
        <v>32042611696</v>
      </c>
      <c r="K50" s="1">
        <f>VALUE(MID(punkt_szczepień__13[[#This Row],[PESEL]],10,1))</f>
        <v>9</v>
      </c>
      <c r="L50" s="11" t="str">
        <f>IF(MOD(punkt_szczepień__13[[#This Row],[liczba płeć]],2)=0,"K","M")</f>
        <v>M</v>
      </c>
      <c r="M50" s="1"/>
      <c r="N50" s="1"/>
    </row>
    <row r="51" spans="1:14" x14ac:dyDescent="0.25">
      <c r="A51" s="1" t="s">
        <v>57</v>
      </c>
      <c r="B51" s="1" t="s">
        <v>7</v>
      </c>
      <c r="C51" s="2">
        <v>0.35214120370370372</v>
      </c>
      <c r="D51">
        <v>1</v>
      </c>
      <c r="E51">
        <f>VALUE(RIGHT(LEFT(punkt_szczepień__13[[#This Row],[PESEL]],4),2))</f>
        <v>11</v>
      </c>
      <c r="F51" s="11">
        <f>MOD(punkt_szczepień__13[[#This Row],[liczba miesiac]],20)</f>
        <v>11</v>
      </c>
      <c r="G51" s="11">
        <f>VLOOKUP(punkt_szczepień__13[[#This Row],[liczba miesiac]]-punkt_szczepień__13[[#This Row],[miesiac]],$O$3:$P$7,2,0)+VALUE(LEFT(punkt_szczepień__13[[#This Row],[PESEL]],2))</f>
        <v>1937</v>
      </c>
      <c r="H51" s="11">
        <f>VALUE(RIGHT(LEFT(punkt_szczepień__13[[#This Row],[PESEL]],6),2))</f>
        <v>11</v>
      </c>
      <c r="I51" s="3">
        <f>DATE(punkt_szczepień__13[[#This Row],[rok]],punkt_szczepień__13[[#This Row],[miesiac]],punkt_szczepień__13[[#This Row],[dzień]])</f>
        <v>13830</v>
      </c>
      <c r="J51" s="1" t="str">
        <f>punkt_szczepień__13[[#This Row],[PESEL]]</f>
        <v>37111128178</v>
      </c>
      <c r="K51" s="1">
        <f>VALUE(MID(punkt_szczepień__13[[#This Row],[PESEL]],10,1))</f>
        <v>7</v>
      </c>
      <c r="L51" s="11" t="str">
        <f>IF(MOD(punkt_szczepień__13[[#This Row],[liczba płeć]],2)=0,"K","M")</f>
        <v>M</v>
      </c>
      <c r="M51" s="1"/>
      <c r="N51" s="1"/>
    </row>
    <row r="52" spans="1:14" x14ac:dyDescent="0.25">
      <c r="A52" s="1" t="s">
        <v>58</v>
      </c>
      <c r="B52" s="1" t="s">
        <v>27</v>
      </c>
      <c r="C52" s="2">
        <v>0.35243055555555558</v>
      </c>
      <c r="D52">
        <v>1</v>
      </c>
      <c r="E52">
        <f>VALUE(RIGHT(LEFT(punkt_szczepień__13[[#This Row],[PESEL]],4),2))</f>
        <v>30</v>
      </c>
      <c r="F52" s="11">
        <f>MOD(punkt_szczepień__13[[#This Row],[liczba miesiac]],20)</f>
        <v>10</v>
      </c>
      <c r="G52" s="11">
        <f>VLOOKUP(punkt_szczepień__13[[#This Row],[liczba miesiac]]-punkt_szczepień__13[[#This Row],[miesiac]],$O$3:$P$7,2,0)+VALUE(LEFT(punkt_szczepień__13[[#This Row],[PESEL]],2))</f>
        <v>2006</v>
      </c>
      <c r="H52" s="11">
        <f>VALUE(RIGHT(LEFT(punkt_szczepień__13[[#This Row],[PESEL]],6),2))</f>
        <v>1</v>
      </c>
      <c r="I52" s="3">
        <f>DATE(punkt_szczepień__13[[#This Row],[rok]],punkt_szczepień__13[[#This Row],[miesiac]],punkt_szczepień__13[[#This Row],[dzień]])</f>
        <v>38991</v>
      </c>
      <c r="J52" s="1" t="str">
        <f>punkt_szczepień__13[[#This Row],[PESEL]]</f>
        <v>06300133215</v>
      </c>
      <c r="K52" s="1">
        <f>VALUE(MID(punkt_szczepień__13[[#This Row],[PESEL]],10,1))</f>
        <v>1</v>
      </c>
      <c r="L52" s="11" t="str">
        <f>IF(MOD(punkt_szczepień__13[[#This Row],[liczba płeć]],2)=0,"K","M")</f>
        <v>M</v>
      </c>
      <c r="M52" s="1"/>
      <c r="N52" s="1"/>
    </row>
    <row r="53" spans="1:14" x14ac:dyDescent="0.25">
      <c r="A53" s="1" t="s">
        <v>59</v>
      </c>
      <c r="B53" s="1" t="s">
        <v>7</v>
      </c>
      <c r="C53" s="2">
        <v>0.35271990740740738</v>
      </c>
      <c r="D53">
        <v>1</v>
      </c>
      <c r="E53">
        <f>VALUE(RIGHT(LEFT(punkt_szczepień__13[[#This Row],[PESEL]],4),2))</f>
        <v>5</v>
      </c>
      <c r="F53" s="11">
        <f>MOD(punkt_szczepień__13[[#This Row],[liczba miesiac]],20)</f>
        <v>5</v>
      </c>
      <c r="G53" s="11">
        <f>VLOOKUP(punkt_szczepień__13[[#This Row],[liczba miesiac]]-punkt_szczepień__13[[#This Row],[miesiac]],$O$3:$P$7,2,0)+VALUE(LEFT(punkt_szczepień__13[[#This Row],[PESEL]],2))</f>
        <v>1980</v>
      </c>
      <c r="H53" s="11">
        <f>VALUE(RIGHT(LEFT(punkt_szczepień__13[[#This Row],[PESEL]],6),2))</f>
        <v>21</v>
      </c>
      <c r="I53" s="3">
        <f>DATE(punkt_szczepień__13[[#This Row],[rok]],punkt_szczepień__13[[#This Row],[miesiac]],punkt_szczepień__13[[#This Row],[dzień]])</f>
        <v>29362</v>
      </c>
      <c r="J53" s="1" t="str">
        <f>punkt_szczepień__13[[#This Row],[PESEL]]</f>
        <v>80052194768</v>
      </c>
      <c r="K53" s="1">
        <f>VALUE(MID(punkt_szczepień__13[[#This Row],[PESEL]],10,1))</f>
        <v>6</v>
      </c>
      <c r="L53" s="11" t="str">
        <f>IF(MOD(punkt_szczepień__13[[#This Row],[liczba płeć]],2)=0,"K","M")</f>
        <v>K</v>
      </c>
      <c r="M53" s="1"/>
      <c r="N53" s="1"/>
    </row>
    <row r="54" spans="1:14" x14ac:dyDescent="0.25">
      <c r="A54" s="1" t="s">
        <v>60</v>
      </c>
      <c r="B54" s="1" t="s">
        <v>9</v>
      </c>
      <c r="C54" s="2">
        <v>0.3532986111111111</v>
      </c>
      <c r="D54">
        <v>2</v>
      </c>
      <c r="E54">
        <f>VALUE(RIGHT(LEFT(punkt_szczepień__13[[#This Row],[PESEL]],4),2))</f>
        <v>12</v>
      </c>
      <c r="F54" s="11">
        <f>MOD(punkt_szczepień__13[[#This Row],[liczba miesiac]],20)</f>
        <v>12</v>
      </c>
      <c r="G54" s="11">
        <f>VLOOKUP(punkt_szczepień__13[[#This Row],[liczba miesiac]]-punkt_szczepień__13[[#This Row],[miesiac]],$O$3:$P$7,2,0)+VALUE(LEFT(punkt_szczepień__13[[#This Row],[PESEL]],2))</f>
        <v>1926</v>
      </c>
      <c r="H54" s="11">
        <f>VALUE(RIGHT(LEFT(punkt_szczepień__13[[#This Row],[PESEL]],6),2))</f>
        <v>31</v>
      </c>
      <c r="I54" s="3">
        <f>DATE(punkt_szczepień__13[[#This Row],[rok]],punkt_szczepień__13[[#This Row],[miesiac]],punkt_szczepień__13[[#This Row],[dzień]])</f>
        <v>9862</v>
      </c>
      <c r="J54" s="1" t="str">
        <f>punkt_szczepień__13[[#This Row],[PESEL]]</f>
        <v>26123154893</v>
      </c>
      <c r="K54" s="1">
        <f>VALUE(MID(punkt_szczepień__13[[#This Row],[PESEL]],10,1))</f>
        <v>9</v>
      </c>
      <c r="L54" s="11" t="str">
        <f>IF(MOD(punkt_szczepień__13[[#This Row],[liczba płeć]],2)=0,"K","M")</f>
        <v>M</v>
      </c>
      <c r="M54" s="1"/>
      <c r="N54" s="1"/>
    </row>
    <row r="55" spans="1:14" x14ac:dyDescent="0.25">
      <c r="A55" s="1" t="s">
        <v>61</v>
      </c>
      <c r="B55" s="1" t="s">
        <v>7</v>
      </c>
      <c r="C55" s="2">
        <v>0.35358796296296297</v>
      </c>
      <c r="D55">
        <v>1</v>
      </c>
      <c r="E55">
        <f>VALUE(RIGHT(LEFT(punkt_szczepień__13[[#This Row],[PESEL]],4),2))</f>
        <v>8</v>
      </c>
      <c r="F55" s="11">
        <f>MOD(punkt_szczepień__13[[#This Row],[liczba miesiac]],20)</f>
        <v>8</v>
      </c>
      <c r="G55" s="11">
        <f>VLOOKUP(punkt_szczepień__13[[#This Row],[liczba miesiac]]-punkt_szczepień__13[[#This Row],[miesiac]],$O$3:$P$7,2,0)+VALUE(LEFT(punkt_szczepień__13[[#This Row],[PESEL]],2))</f>
        <v>1947</v>
      </c>
      <c r="H55" s="11">
        <f>VALUE(RIGHT(LEFT(punkt_szczepień__13[[#This Row],[PESEL]],6),2))</f>
        <v>27</v>
      </c>
      <c r="I55" s="3">
        <f>DATE(punkt_szczepień__13[[#This Row],[rok]],punkt_szczepień__13[[#This Row],[miesiac]],punkt_szczepień__13[[#This Row],[dzień]])</f>
        <v>17406</v>
      </c>
      <c r="J55" s="1" t="str">
        <f>punkt_szczepień__13[[#This Row],[PESEL]]</f>
        <v>47082776625</v>
      </c>
      <c r="K55" s="1">
        <f>VALUE(MID(punkt_szczepień__13[[#This Row],[PESEL]],10,1))</f>
        <v>2</v>
      </c>
      <c r="L55" s="11" t="str">
        <f>IF(MOD(punkt_szczepień__13[[#This Row],[liczba płeć]],2)=0,"K","M")</f>
        <v>K</v>
      </c>
      <c r="M55" s="1"/>
      <c r="N55" s="1"/>
    </row>
    <row r="56" spans="1:14" x14ac:dyDescent="0.25">
      <c r="A56" s="1" t="s">
        <v>62</v>
      </c>
      <c r="B56" s="1" t="s">
        <v>27</v>
      </c>
      <c r="C56" s="2">
        <v>0.35416666666666669</v>
      </c>
      <c r="D56">
        <v>2</v>
      </c>
      <c r="E56">
        <f>VALUE(RIGHT(LEFT(punkt_szczepień__13[[#This Row],[PESEL]],4),2))</f>
        <v>3</v>
      </c>
      <c r="F56" s="11">
        <f>MOD(punkt_szczepień__13[[#This Row],[liczba miesiac]],20)</f>
        <v>3</v>
      </c>
      <c r="G56" s="11">
        <f>VLOOKUP(punkt_szczepień__13[[#This Row],[liczba miesiac]]-punkt_szczepień__13[[#This Row],[miesiac]],$O$3:$P$7,2,0)+VALUE(LEFT(punkt_szczepień__13[[#This Row],[PESEL]],2))</f>
        <v>1988</v>
      </c>
      <c r="H56" s="11">
        <f>VALUE(RIGHT(LEFT(punkt_szczepień__13[[#This Row],[PESEL]],6),2))</f>
        <v>25</v>
      </c>
      <c r="I56" s="3">
        <f>DATE(punkt_szczepień__13[[#This Row],[rok]],punkt_szczepień__13[[#This Row],[miesiac]],punkt_szczepień__13[[#This Row],[dzień]])</f>
        <v>32227</v>
      </c>
      <c r="J56" s="1" t="str">
        <f>punkt_szczepień__13[[#This Row],[PESEL]]</f>
        <v>88032584231</v>
      </c>
      <c r="K56" s="1">
        <f>VALUE(MID(punkt_szczepień__13[[#This Row],[PESEL]],10,1))</f>
        <v>3</v>
      </c>
      <c r="L56" s="11" t="str">
        <f>IF(MOD(punkt_szczepień__13[[#This Row],[liczba płeć]],2)=0,"K","M")</f>
        <v>M</v>
      </c>
      <c r="M56" s="1"/>
      <c r="N56" s="1"/>
    </row>
    <row r="57" spans="1:14" x14ac:dyDescent="0.25">
      <c r="A57" s="1" t="s">
        <v>63</v>
      </c>
      <c r="B57" s="1" t="s">
        <v>27</v>
      </c>
      <c r="C57" s="2">
        <v>0.35474537037037035</v>
      </c>
      <c r="D57">
        <v>2</v>
      </c>
      <c r="E57">
        <f>VALUE(RIGHT(LEFT(punkt_szczepień__13[[#This Row],[PESEL]],4),2))</f>
        <v>29</v>
      </c>
      <c r="F57" s="11">
        <f>MOD(punkt_szczepień__13[[#This Row],[liczba miesiac]],20)</f>
        <v>9</v>
      </c>
      <c r="G57" s="11">
        <f>VLOOKUP(punkt_szczepień__13[[#This Row],[liczba miesiac]]-punkt_szczepień__13[[#This Row],[miesiac]],$O$3:$P$7,2,0)+VALUE(LEFT(punkt_szczepień__13[[#This Row],[PESEL]],2))</f>
        <v>2005</v>
      </c>
      <c r="H57" s="11">
        <f>VALUE(RIGHT(LEFT(punkt_szczepień__13[[#This Row],[PESEL]],6),2))</f>
        <v>2</v>
      </c>
      <c r="I57" s="3">
        <f>DATE(punkt_szczepień__13[[#This Row],[rok]],punkt_szczepień__13[[#This Row],[miesiac]],punkt_szczepień__13[[#This Row],[dzień]])</f>
        <v>38597</v>
      </c>
      <c r="J57" s="1" t="str">
        <f>punkt_szczepień__13[[#This Row],[PESEL]]</f>
        <v>05290223386</v>
      </c>
      <c r="K57" s="1">
        <f>VALUE(MID(punkt_szczepień__13[[#This Row],[PESEL]],10,1))</f>
        <v>8</v>
      </c>
      <c r="L57" s="11" t="str">
        <f>IF(MOD(punkt_szczepień__13[[#This Row],[liczba płeć]],2)=0,"K","M")</f>
        <v>K</v>
      </c>
      <c r="M57" s="1"/>
      <c r="N57" s="1"/>
    </row>
    <row r="58" spans="1:14" x14ac:dyDescent="0.25">
      <c r="A58" s="1" t="s">
        <v>64</v>
      </c>
      <c r="B58" s="1" t="s">
        <v>7</v>
      </c>
      <c r="C58" s="2">
        <v>0.35503472222222221</v>
      </c>
      <c r="D58">
        <v>1</v>
      </c>
      <c r="E58">
        <f>VALUE(RIGHT(LEFT(punkt_szczepień__13[[#This Row],[PESEL]],4),2))</f>
        <v>7</v>
      </c>
      <c r="F58" s="11">
        <f>MOD(punkt_szczepień__13[[#This Row],[liczba miesiac]],20)</f>
        <v>7</v>
      </c>
      <c r="G58" s="11">
        <f>VLOOKUP(punkt_szczepień__13[[#This Row],[liczba miesiac]]-punkt_szczepień__13[[#This Row],[miesiac]],$O$3:$P$7,2,0)+VALUE(LEFT(punkt_szczepień__13[[#This Row],[PESEL]],2))</f>
        <v>1980</v>
      </c>
      <c r="H58" s="11">
        <f>VALUE(RIGHT(LEFT(punkt_szczepień__13[[#This Row],[PESEL]],6),2))</f>
        <v>18</v>
      </c>
      <c r="I58" s="3">
        <f>DATE(punkt_szczepień__13[[#This Row],[rok]],punkt_szczepień__13[[#This Row],[miesiac]],punkt_szczepień__13[[#This Row],[dzień]])</f>
        <v>29420</v>
      </c>
      <c r="J58" s="1" t="str">
        <f>punkt_szczepień__13[[#This Row],[PESEL]]</f>
        <v>80071854614</v>
      </c>
      <c r="K58" s="1">
        <f>VALUE(MID(punkt_szczepień__13[[#This Row],[PESEL]],10,1))</f>
        <v>1</v>
      </c>
      <c r="L58" s="11" t="str">
        <f>IF(MOD(punkt_szczepień__13[[#This Row],[liczba płeć]],2)=0,"K","M")</f>
        <v>M</v>
      </c>
      <c r="M58" s="1"/>
      <c r="N58" s="1"/>
    </row>
    <row r="59" spans="1:14" x14ac:dyDescent="0.25">
      <c r="A59" s="1" t="s">
        <v>65</v>
      </c>
      <c r="B59" s="1" t="s">
        <v>5</v>
      </c>
      <c r="C59" s="2">
        <v>0.35561342592592593</v>
      </c>
      <c r="D59">
        <v>2</v>
      </c>
      <c r="E59">
        <f>VALUE(RIGHT(LEFT(punkt_szczepień__13[[#This Row],[PESEL]],4),2))</f>
        <v>4</v>
      </c>
      <c r="F59" s="11">
        <f>MOD(punkt_szczepień__13[[#This Row],[liczba miesiac]],20)</f>
        <v>4</v>
      </c>
      <c r="G59" s="11">
        <f>VLOOKUP(punkt_szczepień__13[[#This Row],[liczba miesiac]]-punkt_szczepień__13[[#This Row],[miesiac]],$O$3:$P$7,2,0)+VALUE(LEFT(punkt_szczepień__13[[#This Row],[PESEL]],2))</f>
        <v>1930</v>
      </c>
      <c r="H59" s="11">
        <f>VALUE(RIGHT(LEFT(punkt_szczepień__13[[#This Row],[PESEL]],6),2))</f>
        <v>21</v>
      </c>
      <c r="I59" s="3">
        <f>DATE(punkt_szczepień__13[[#This Row],[rok]],punkt_szczepień__13[[#This Row],[miesiac]],punkt_szczepień__13[[#This Row],[dzień]])</f>
        <v>11069</v>
      </c>
      <c r="J59" s="1" t="str">
        <f>punkt_szczepień__13[[#This Row],[PESEL]]</f>
        <v>30042155167</v>
      </c>
      <c r="K59" s="1">
        <f>VALUE(MID(punkt_szczepień__13[[#This Row],[PESEL]],10,1))</f>
        <v>6</v>
      </c>
      <c r="L59" s="11" t="str">
        <f>IF(MOD(punkt_szczepień__13[[#This Row],[liczba płeć]],2)=0,"K","M")</f>
        <v>K</v>
      </c>
      <c r="M59" s="1"/>
      <c r="N59" s="1"/>
    </row>
    <row r="60" spans="1:14" x14ac:dyDescent="0.25">
      <c r="A60" s="1" t="s">
        <v>66</v>
      </c>
      <c r="B60" s="1" t="s">
        <v>5</v>
      </c>
      <c r="C60" s="2">
        <v>0.35590277777777779</v>
      </c>
      <c r="D60">
        <v>1</v>
      </c>
      <c r="E60">
        <f>VALUE(RIGHT(LEFT(punkt_szczepień__13[[#This Row],[PESEL]],4),2))</f>
        <v>2</v>
      </c>
      <c r="F60" s="11">
        <f>MOD(punkt_szczepień__13[[#This Row],[liczba miesiac]],20)</f>
        <v>2</v>
      </c>
      <c r="G60" s="11">
        <f>VLOOKUP(punkt_szczepień__13[[#This Row],[liczba miesiac]]-punkt_szczepień__13[[#This Row],[miesiac]],$O$3:$P$7,2,0)+VALUE(LEFT(punkt_szczepień__13[[#This Row],[PESEL]],2))</f>
        <v>1939</v>
      </c>
      <c r="H60" s="11">
        <f>VALUE(RIGHT(LEFT(punkt_szczepień__13[[#This Row],[PESEL]],6),2))</f>
        <v>4</v>
      </c>
      <c r="I60" s="3">
        <f>DATE(punkt_szczepień__13[[#This Row],[rok]],punkt_szczepień__13[[#This Row],[miesiac]],punkt_szczepień__13[[#This Row],[dzień]])</f>
        <v>14280</v>
      </c>
      <c r="J60" s="1" t="str">
        <f>punkt_szczepień__13[[#This Row],[PESEL]]</f>
        <v>39020468846</v>
      </c>
      <c r="K60" s="1">
        <f>VALUE(MID(punkt_szczepień__13[[#This Row],[PESEL]],10,1))</f>
        <v>4</v>
      </c>
      <c r="L60" s="11" t="str">
        <f>IF(MOD(punkt_szczepień__13[[#This Row],[liczba płeć]],2)=0,"K","M")</f>
        <v>K</v>
      </c>
      <c r="M60" s="1"/>
      <c r="N60" s="1"/>
    </row>
    <row r="61" spans="1:14" x14ac:dyDescent="0.25">
      <c r="A61" s="1" t="s">
        <v>67</v>
      </c>
      <c r="B61" s="1" t="s">
        <v>27</v>
      </c>
      <c r="C61" s="2">
        <v>0.35648148148148145</v>
      </c>
      <c r="D61">
        <v>2</v>
      </c>
      <c r="E61">
        <f>VALUE(RIGHT(LEFT(punkt_szczepień__13[[#This Row],[PESEL]],4),2))</f>
        <v>7</v>
      </c>
      <c r="F61" s="11">
        <f>MOD(punkt_szczepień__13[[#This Row],[liczba miesiac]],20)</f>
        <v>7</v>
      </c>
      <c r="G61" s="11">
        <f>VLOOKUP(punkt_szczepień__13[[#This Row],[liczba miesiac]]-punkt_szczepień__13[[#This Row],[miesiac]],$O$3:$P$7,2,0)+VALUE(LEFT(punkt_szczepień__13[[#This Row],[PESEL]],2))</f>
        <v>1926</v>
      </c>
      <c r="H61" s="11">
        <f>VALUE(RIGHT(LEFT(punkt_szczepień__13[[#This Row],[PESEL]],6),2))</f>
        <v>10</v>
      </c>
      <c r="I61" s="3">
        <f>DATE(punkt_szczepień__13[[#This Row],[rok]],punkt_szczepień__13[[#This Row],[miesiac]],punkt_szczepień__13[[#This Row],[dzień]])</f>
        <v>9688</v>
      </c>
      <c r="J61" s="1" t="str">
        <f>punkt_szczepień__13[[#This Row],[PESEL]]</f>
        <v>26071021775</v>
      </c>
      <c r="K61" s="1">
        <f>VALUE(MID(punkt_szczepień__13[[#This Row],[PESEL]],10,1))</f>
        <v>7</v>
      </c>
      <c r="L61" s="11" t="str">
        <f>IF(MOD(punkt_szczepień__13[[#This Row],[liczba płeć]],2)=0,"K","M")</f>
        <v>M</v>
      </c>
      <c r="M61" s="1"/>
      <c r="N61" s="1"/>
    </row>
    <row r="62" spans="1:14" x14ac:dyDescent="0.25">
      <c r="A62" s="1" t="s">
        <v>68</v>
      </c>
      <c r="B62" s="1" t="s">
        <v>27</v>
      </c>
      <c r="C62" s="2">
        <v>0.35677083333333331</v>
      </c>
      <c r="D62">
        <v>1</v>
      </c>
      <c r="E62">
        <f>VALUE(RIGHT(LEFT(punkt_szczepień__13[[#This Row],[PESEL]],4),2))</f>
        <v>3</v>
      </c>
      <c r="F62" s="11">
        <f>MOD(punkt_szczepień__13[[#This Row],[liczba miesiac]],20)</f>
        <v>3</v>
      </c>
      <c r="G62" s="11">
        <f>VLOOKUP(punkt_szczepień__13[[#This Row],[liczba miesiac]]-punkt_szczepień__13[[#This Row],[miesiac]],$O$3:$P$7,2,0)+VALUE(LEFT(punkt_szczepień__13[[#This Row],[PESEL]],2))</f>
        <v>1948</v>
      </c>
      <c r="H62" s="11">
        <f>VALUE(RIGHT(LEFT(punkt_szczepień__13[[#This Row],[PESEL]],6),2))</f>
        <v>28</v>
      </c>
      <c r="I62" s="3">
        <f>DATE(punkt_szczepień__13[[#This Row],[rok]],punkt_szczepień__13[[#This Row],[miesiac]],punkt_szczepień__13[[#This Row],[dzień]])</f>
        <v>17620</v>
      </c>
      <c r="J62" s="1" t="str">
        <f>punkt_szczepień__13[[#This Row],[PESEL]]</f>
        <v>48032821921</v>
      </c>
      <c r="K62" s="1">
        <f>VALUE(MID(punkt_szczepień__13[[#This Row],[PESEL]],10,1))</f>
        <v>2</v>
      </c>
      <c r="L62" s="11" t="str">
        <f>IF(MOD(punkt_szczepień__13[[#This Row],[liczba płeć]],2)=0,"K","M")</f>
        <v>K</v>
      </c>
      <c r="M62" s="1"/>
      <c r="N62" s="1"/>
    </row>
    <row r="63" spans="1:14" x14ac:dyDescent="0.25">
      <c r="A63" s="1" t="s">
        <v>69</v>
      </c>
      <c r="B63" s="1" t="s">
        <v>7</v>
      </c>
      <c r="C63" s="2">
        <v>0.35706018518518517</v>
      </c>
      <c r="D63">
        <v>1</v>
      </c>
      <c r="E63">
        <f>VALUE(RIGHT(LEFT(punkt_szczepień__13[[#This Row],[PESEL]],4),2))</f>
        <v>10</v>
      </c>
      <c r="F63" s="11">
        <f>MOD(punkt_szczepień__13[[#This Row],[liczba miesiac]],20)</f>
        <v>10</v>
      </c>
      <c r="G63" s="11">
        <f>VLOOKUP(punkt_szczepień__13[[#This Row],[liczba miesiac]]-punkt_szczepień__13[[#This Row],[miesiac]],$O$3:$P$7,2,0)+VALUE(LEFT(punkt_szczepień__13[[#This Row],[PESEL]],2))</f>
        <v>1925</v>
      </c>
      <c r="H63" s="11">
        <f>VALUE(RIGHT(LEFT(punkt_szczepień__13[[#This Row],[PESEL]],6),2))</f>
        <v>27</v>
      </c>
      <c r="I63" s="3">
        <f>DATE(punkt_szczepień__13[[#This Row],[rok]],punkt_szczepień__13[[#This Row],[miesiac]],punkt_szczepień__13[[#This Row],[dzień]])</f>
        <v>9432</v>
      </c>
      <c r="J63" s="1" t="str">
        <f>punkt_szczepień__13[[#This Row],[PESEL]]</f>
        <v>25102773182</v>
      </c>
      <c r="K63" s="1">
        <f>VALUE(MID(punkt_szczepień__13[[#This Row],[PESEL]],10,1))</f>
        <v>8</v>
      </c>
      <c r="L63" s="11" t="str">
        <f>IF(MOD(punkt_szczepień__13[[#This Row],[liczba płeć]],2)=0,"K","M")</f>
        <v>K</v>
      </c>
      <c r="M63" s="1"/>
      <c r="N63" s="1"/>
    </row>
    <row r="64" spans="1:14" x14ac:dyDescent="0.25">
      <c r="A64" s="1" t="s">
        <v>70</v>
      </c>
      <c r="B64" s="1" t="s">
        <v>9</v>
      </c>
      <c r="C64" s="2">
        <v>0.35734953703703703</v>
      </c>
      <c r="D64">
        <v>1</v>
      </c>
      <c r="E64">
        <f>VALUE(RIGHT(LEFT(punkt_szczepień__13[[#This Row],[PESEL]],4),2))</f>
        <v>7</v>
      </c>
      <c r="F64" s="11">
        <f>MOD(punkt_szczepień__13[[#This Row],[liczba miesiac]],20)</f>
        <v>7</v>
      </c>
      <c r="G64" s="11">
        <f>VLOOKUP(punkt_szczepień__13[[#This Row],[liczba miesiac]]-punkt_szczepień__13[[#This Row],[miesiac]],$O$3:$P$7,2,0)+VALUE(LEFT(punkt_szczepień__13[[#This Row],[PESEL]],2))</f>
        <v>1940</v>
      </c>
      <c r="H64" s="11">
        <f>VALUE(RIGHT(LEFT(punkt_szczepień__13[[#This Row],[PESEL]],6),2))</f>
        <v>19</v>
      </c>
      <c r="I64" s="3">
        <f>DATE(punkt_szczepień__13[[#This Row],[rok]],punkt_szczepień__13[[#This Row],[miesiac]],punkt_szczepień__13[[#This Row],[dzień]])</f>
        <v>14811</v>
      </c>
      <c r="J64" s="1" t="str">
        <f>punkt_szczepień__13[[#This Row],[PESEL]]</f>
        <v>40071985752</v>
      </c>
      <c r="K64" s="1">
        <f>VALUE(MID(punkt_szczepień__13[[#This Row],[PESEL]],10,1))</f>
        <v>5</v>
      </c>
      <c r="L64" s="11" t="str">
        <f>IF(MOD(punkt_szczepień__13[[#This Row],[liczba płeć]],2)=0,"K","M")</f>
        <v>M</v>
      </c>
      <c r="M64" s="1"/>
      <c r="N64" s="1"/>
    </row>
    <row r="65" spans="1:14" x14ac:dyDescent="0.25">
      <c r="A65" s="1" t="s">
        <v>71</v>
      </c>
      <c r="B65" s="1" t="s">
        <v>5</v>
      </c>
      <c r="C65" s="2">
        <v>0.35792824074074076</v>
      </c>
      <c r="D65">
        <v>2</v>
      </c>
      <c r="E65">
        <f>VALUE(RIGHT(LEFT(punkt_szczepień__13[[#This Row],[PESEL]],4),2))</f>
        <v>26</v>
      </c>
      <c r="F65" s="11">
        <f>MOD(punkt_szczepień__13[[#This Row],[liczba miesiac]],20)</f>
        <v>6</v>
      </c>
      <c r="G65" s="11">
        <f>VLOOKUP(punkt_szczepień__13[[#This Row],[liczba miesiac]]-punkt_szczepień__13[[#This Row],[miesiac]],$O$3:$P$7,2,0)+VALUE(LEFT(punkt_szczepień__13[[#This Row],[PESEL]],2))</f>
        <v>2009</v>
      </c>
      <c r="H65" s="11">
        <f>VALUE(RIGHT(LEFT(punkt_szczepień__13[[#This Row],[PESEL]],6),2))</f>
        <v>21</v>
      </c>
      <c r="I65" s="3">
        <f>DATE(punkt_szczepień__13[[#This Row],[rok]],punkt_szczepień__13[[#This Row],[miesiac]],punkt_szczepień__13[[#This Row],[dzień]])</f>
        <v>39985</v>
      </c>
      <c r="J65" s="1" t="str">
        <f>punkt_szczepień__13[[#This Row],[PESEL]]</f>
        <v>09262126415</v>
      </c>
      <c r="K65" s="1">
        <f>VALUE(MID(punkt_szczepień__13[[#This Row],[PESEL]],10,1))</f>
        <v>1</v>
      </c>
      <c r="L65" s="11" t="str">
        <f>IF(MOD(punkt_szczepień__13[[#This Row],[liczba płeć]],2)=0,"K","M")</f>
        <v>M</v>
      </c>
      <c r="M65" s="1"/>
      <c r="N65" s="1"/>
    </row>
    <row r="66" spans="1:14" x14ac:dyDescent="0.25">
      <c r="A66" s="1" t="s">
        <v>72</v>
      </c>
      <c r="B66" s="1" t="s">
        <v>27</v>
      </c>
      <c r="C66" s="2">
        <v>0.35850694444444442</v>
      </c>
      <c r="D66">
        <v>2</v>
      </c>
      <c r="E66">
        <f>VALUE(RIGHT(LEFT(punkt_szczepień__13[[#This Row],[PESEL]],4),2))</f>
        <v>6</v>
      </c>
      <c r="F66" s="11">
        <f>MOD(punkt_szczepień__13[[#This Row],[liczba miesiac]],20)</f>
        <v>6</v>
      </c>
      <c r="G66" s="11">
        <f>VLOOKUP(punkt_szczepień__13[[#This Row],[liczba miesiac]]-punkt_szczepień__13[[#This Row],[miesiac]],$O$3:$P$7,2,0)+VALUE(LEFT(punkt_szczepień__13[[#This Row],[PESEL]],2))</f>
        <v>1945</v>
      </c>
      <c r="H66" s="11">
        <f>VALUE(RIGHT(LEFT(punkt_szczepień__13[[#This Row],[PESEL]],6),2))</f>
        <v>6</v>
      </c>
      <c r="I66" s="3">
        <f>DATE(punkt_szczepień__13[[#This Row],[rok]],punkt_szczepień__13[[#This Row],[miesiac]],punkt_szczepień__13[[#This Row],[dzień]])</f>
        <v>16594</v>
      </c>
      <c r="J66" s="1" t="str">
        <f>punkt_szczepień__13[[#This Row],[PESEL]]</f>
        <v>45060687659</v>
      </c>
      <c r="K66" s="1">
        <f>VALUE(MID(punkt_szczepień__13[[#This Row],[PESEL]],10,1))</f>
        <v>5</v>
      </c>
      <c r="L66" s="11" t="str">
        <f>IF(MOD(punkt_szczepień__13[[#This Row],[liczba płeć]],2)=0,"K","M")</f>
        <v>M</v>
      </c>
      <c r="M66" s="1"/>
      <c r="N66" s="1"/>
    </row>
    <row r="67" spans="1:14" x14ac:dyDescent="0.25">
      <c r="A67" s="1" t="s">
        <v>73</v>
      </c>
      <c r="B67" s="1" t="s">
        <v>7</v>
      </c>
      <c r="C67" s="2">
        <v>0.35879629629629628</v>
      </c>
      <c r="D67">
        <v>1</v>
      </c>
      <c r="E67">
        <f>VALUE(RIGHT(LEFT(punkt_szczepień__13[[#This Row],[PESEL]],4),2))</f>
        <v>3</v>
      </c>
      <c r="F67" s="11">
        <f>MOD(punkt_szczepień__13[[#This Row],[liczba miesiac]],20)</f>
        <v>3</v>
      </c>
      <c r="G67" s="11">
        <f>VLOOKUP(punkt_szczepień__13[[#This Row],[liczba miesiac]]-punkt_szczepień__13[[#This Row],[miesiac]],$O$3:$P$7,2,0)+VALUE(LEFT(punkt_szczepień__13[[#This Row],[PESEL]],2))</f>
        <v>1983</v>
      </c>
      <c r="H67" s="11">
        <f>VALUE(RIGHT(LEFT(punkt_szczepień__13[[#This Row],[PESEL]],6),2))</f>
        <v>3</v>
      </c>
      <c r="I67" s="3">
        <f>DATE(punkt_szczepień__13[[#This Row],[rok]],punkt_szczepień__13[[#This Row],[miesiac]],punkt_szczepień__13[[#This Row],[dzień]])</f>
        <v>30378</v>
      </c>
      <c r="J67" s="1" t="str">
        <f>punkt_szczepień__13[[#This Row],[PESEL]]</f>
        <v>83030333139</v>
      </c>
      <c r="K67" s="1">
        <f>VALUE(MID(punkt_szczepień__13[[#This Row],[PESEL]],10,1))</f>
        <v>3</v>
      </c>
      <c r="L67" s="11" t="str">
        <f>IF(MOD(punkt_szczepień__13[[#This Row],[liczba płeć]],2)=0,"K","M")</f>
        <v>M</v>
      </c>
      <c r="M67" s="1"/>
      <c r="N67" s="1"/>
    </row>
    <row r="68" spans="1:14" x14ac:dyDescent="0.25">
      <c r="A68" s="1" t="s">
        <v>74</v>
      </c>
      <c r="B68" s="1" t="s">
        <v>27</v>
      </c>
      <c r="C68" s="2">
        <v>0.35908564814814814</v>
      </c>
      <c r="D68">
        <v>1</v>
      </c>
      <c r="E68">
        <f>VALUE(RIGHT(LEFT(punkt_szczepień__13[[#This Row],[PESEL]],4),2))</f>
        <v>2</v>
      </c>
      <c r="F68" s="11">
        <f>MOD(punkt_szczepień__13[[#This Row],[liczba miesiac]],20)</f>
        <v>2</v>
      </c>
      <c r="G68" s="11">
        <f>VLOOKUP(punkt_szczepień__13[[#This Row],[liczba miesiac]]-punkt_szczepień__13[[#This Row],[miesiac]],$O$3:$P$7,2,0)+VALUE(LEFT(punkt_szczepień__13[[#This Row],[PESEL]],2))</f>
        <v>1924</v>
      </c>
      <c r="H68" s="11">
        <f>VALUE(RIGHT(LEFT(punkt_szczepień__13[[#This Row],[PESEL]],6),2))</f>
        <v>25</v>
      </c>
      <c r="I68" s="3">
        <f>DATE(punkt_szczepień__13[[#This Row],[rok]],punkt_szczepień__13[[#This Row],[miesiac]],punkt_szczepień__13[[#This Row],[dzień]])</f>
        <v>8822</v>
      </c>
      <c r="J68" s="1" t="str">
        <f>punkt_szczepień__13[[#This Row],[PESEL]]</f>
        <v>24022581495</v>
      </c>
      <c r="K68" s="1">
        <f>VALUE(MID(punkt_szczepień__13[[#This Row],[PESEL]],10,1))</f>
        <v>9</v>
      </c>
      <c r="L68" s="11" t="str">
        <f>IF(MOD(punkt_szczepień__13[[#This Row],[liczba płeć]],2)=0,"K","M")</f>
        <v>M</v>
      </c>
      <c r="M68" s="1"/>
      <c r="N68" s="1"/>
    </row>
    <row r="69" spans="1:14" x14ac:dyDescent="0.25">
      <c r="A69" s="1" t="s">
        <v>75</v>
      </c>
      <c r="B69" s="1" t="s">
        <v>27</v>
      </c>
      <c r="C69" s="2">
        <v>0.359375</v>
      </c>
      <c r="D69">
        <v>1</v>
      </c>
      <c r="E69">
        <f>VALUE(RIGHT(LEFT(punkt_szczepień__13[[#This Row],[PESEL]],4),2))</f>
        <v>21</v>
      </c>
      <c r="F69" s="11">
        <f>MOD(punkt_szczepień__13[[#This Row],[liczba miesiac]],20)</f>
        <v>1</v>
      </c>
      <c r="G69" s="11">
        <f>VLOOKUP(punkt_szczepień__13[[#This Row],[liczba miesiac]]-punkt_szczepień__13[[#This Row],[miesiac]],$O$3:$P$7,2,0)+VALUE(LEFT(punkt_szczepień__13[[#This Row],[PESEL]],2))</f>
        <v>2002</v>
      </c>
      <c r="H69" s="11">
        <f>VALUE(RIGHT(LEFT(punkt_szczepień__13[[#This Row],[PESEL]],6),2))</f>
        <v>8</v>
      </c>
      <c r="I69" s="3">
        <f>DATE(punkt_szczepień__13[[#This Row],[rok]],punkt_szczepień__13[[#This Row],[miesiac]],punkt_szczepień__13[[#This Row],[dzień]])</f>
        <v>37264</v>
      </c>
      <c r="J69" s="1" t="str">
        <f>punkt_szczepień__13[[#This Row],[PESEL]]</f>
        <v>02210873643</v>
      </c>
      <c r="K69" s="1">
        <f>VALUE(MID(punkt_szczepień__13[[#This Row],[PESEL]],10,1))</f>
        <v>4</v>
      </c>
      <c r="L69" s="11" t="str">
        <f>IF(MOD(punkt_szczepień__13[[#This Row],[liczba płeć]],2)=0,"K","M")</f>
        <v>K</v>
      </c>
      <c r="M69" s="1"/>
      <c r="N69" s="1"/>
    </row>
    <row r="70" spans="1:14" x14ac:dyDescent="0.25">
      <c r="A70" s="1" t="s">
        <v>76</v>
      </c>
      <c r="B70" s="1" t="s">
        <v>7</v>
      </c>
      <c r="C70" s="2">
        <v>0.35966435185185186</v>
      </c>
      <c r="D70">
        <v>1</v>
      </c>
      <c r="E70">
        <f>VALUE(RIGHT(LEFT(punkt_szczepień__13[[#This Row],[PESEL]],4),2))</f>
        <v>10</v>
      </c>
      <c r="F70" s="11">
        <f>MOD(punkt_szczepień__13[[#This Row],[liczba miesiac]],20)</f>
        <v>10</v>
      </c>
      <c r="G70" s="11">
        <f>VLOOKUP(punkt_szczepień__13[[#This Row],[liczba miesiac]]-punkt_szczepień__13[[#This Row],[miesiac]],$O$3:$P$7,2,0)+VALUE(LEFT(punkt_szczepień__13[[#This Row],[PESEL]],2))</f>
        <v>1937</v>
      </c>
      <c r="H70" s="11">
        <f>VALUE(RIGHT(LEFT(punkt_szczepień__13[[#This Row],[PESEL]],6),2))</f>
        <v>20</v>
      </c>
      <c r="I70" s="3">
        <f>DATE(punkt_szczepień__13[[#This Row],[rok]],punkt_szczepień__13[[#This Row],[miesiac]],punkt_szczepień__13[[#This Row],[dzień]])</f>
        <v>13808</v>
      </c>
      <c r="J70" s="1" t="str">
        <f>punkt_szczepień__13[[#This Row],[PESEL]]</f>
        <v>37102057511</v>
      </c>
      <c r="K70" s="1">
        <f>VALUE(MID(punkt_szczepień__13[[#This Row],[PESEL]],10,1))</f>
        <v>1</v>
      </c>
      <c r="L70" s="11" t="str">
        <f>IF(MOD(punkt_szczepień__13[[#This Row],[liczba płeć]],2)=0,"K","M")</f>
        <v>M</v>
      </c>
      <c r="M70" s="1"/>
      <c r="N70" s="1"/>
    </row>
    <row r="71" spans="1:14" x14ac:dyDescent="0.25">
      <c r="A71" s="1" t="s">
        <v>77</v>
      </c>
      <c r="B71" s="1" t="s">
        <v>7</v>
      </c>
      <c r="C71" s="2">
        <v>0.35995370370370372</v>
      </c>
      <c r="D71">
        <v>1</v>
      </c>
      <c r="E71">
        <f>VALUE(RIGHT(LEFT(punkt_szczepień__13[[#This Row],[PESEL]],4),2))</f>
        <v>11</v>
      </c>
      <c r="F71" s="11">
        <f>MOD(punkt_szczepień__13[[#This Row],[liczba miesiac]],20)</f>
        <v>11</v>
      </c>
      <c r="G71" s="11">
        <f>VLOOKUP(punkt_szczepień__13[[#This Row],[liczba miesiac]]-punkt_szczepień__13[[#This Row],[miesiac]],$O$3:$P$7,2,0)+VALUE(LEFT(punkt_szczepień__13[[#This Row],[PESEL]],2))</f>
        <v>1956</v>
      </c>
      <c r="H71" s="11">
        <f>VALUE(RIGHT(LEFT(punkt_szczepień__13[[#This Row],[PESEL]],6),2))</f>
        <v>13</v>
      </c>
      <c r="I71" s="3">
        <f>DATE(punkt_szczepień__13[[#This Row],[rok]],punkt_szczepień__13[[#This Row],[miesiac]],punkt_szczepień__13[[#This Row],[dzień]])</f>
        <v>20772</v>
      </c>
      <c r="J71" s="1" t="str">
        <f>punkt_szczepień__13[[#This Row],[PESEL]]</f>
        <v>56111381211</v>
      </c>
      <c r="K71" s="1">
        <f>VALUE(MID(punkt_szczepień__13[[#This Row],[PESEL]],10,1))</f>
        <v>1</v>
      </c>
      <c r="L71" s="11" t="str">
        <f>IF(MOD(punkt_szczepień__13[[#This Row],[liczba płeć]],2)=0,"K","M")</f>
        <v>M</v>
      </c>
      <c r="M71" s="1"/>
      <c r="N71" s="1"/>
    </row>
    <row r="72" spans="1:14" x14ac:dyDescent="0.25">
      <c r="A72" s="1" t="s">
        <v>78</v>
      </c>
      <c r="B72" s="1" t="s">
        <v>9</v>
      </c>
      <c r="C72" s="2">
        <v>0.36024305555555558</v>
      </c>
      <c r="D72">
        <v>1</v>
      </c>
      <c r="E72">
        <f>VALUE(RIGHT(LEFT(punkt_szczepień__13[[#This Row],[PESEL]],4),2))</f>
        <v>1</v>
      </c>
      <c r="F72" s="11">
        <f>MOD(punkt_szczepień__13[[#This Row],[liczba miesiac]],20)</f>
        <v>1</v>
      </c>
      <c r="G72" s="11">
        <f>VLOOKUP(punkt_szczepień__13[[#This Row],[liczba miesiac]]-punkt_szczepień__13[[#This Row],[miesiac]],$O$3:$P$7,2,0)+VALUE(LEFT(punkt_szczepień__13[[#This Row],[PESEL]],2))</f>
        <v>1990</v>
      </c>
      <c r="H72" s="11">
        <f>VALUE(RIGHT(LEFT(punkt_szczepień__13[[#This Row],[PESEL]],6),2))</f>
        <v>14</v>
      </c>
      <c r="I72" s="3">
        <f>DATE(punkt_szczepień__13[[#This Row],[rok]],punkt_szczepień__13[[#This Row],[miesiac]],punkt_szczepień__13[[#This Row],[dzień]])</f>
        <v>32887</v>
      </c>
      <c r="J72" s="1" t="str">
        <f>punkt_szczepień__13[[#This Row],[PESEL]]</f>
        <v>90011425154</v>
      </c>
      <c r="K72" s="1">
        <f>VALUE(MID(punkt_szczepień__13[[#This Row],[PESEL]],10,1))</f>
        <v>5</v>
      </c>
      <c r="L72" s="11" t="str">
        <f>IF(MOD(punkt_szczepień__13[[#This Row],[liczba płeć]],2)=0,"K","M")</f>
        <v>M</v>
      </c>
      <c r="M72" s="1"/>
      <c r="N72" s="1"/>
    </row>
    <row r="73" spans="1:14" x14ac:dyDescent="0.25">
      <c r="A73" s="1" t="s">
        <v>79</v>
      </c>
      <c r="B73" s="1" t="s">
        <v>5</v>
      </c>
      <c r="C73" s="2">
        <v>0.36053240740740738</v>
      </c>
      <c r="D73">
        <v>1</v>
      </c>
      <c r="E73">
        <f>VALUE(RIGHT(LEFT(punkt_szczepień__13[[#This Row],[PESEL]],4),2))</f>
        <v>12</v>
      </c>
      <c r="F73" s="11">
        <f>MOD(punkt_szczepień__13[[#This Row],[liczba miesiac]],20)</f>
        <v>12</v>
      </c>
      <c r="G73" s="11">
        <f>VLOOKUP(punkt_szczepień__13[[#This Row],[liczba miesiac]]-punkt_szczepień__13[[#This Row],[miesiac]],$O$3:$P$7,2,0)+VALUE(LEFT(punkt_szczepień__13[[#This Row],[PESEL]],2))</f>
        <v>1975</v>
      </c>
      <c r="H73" s="11">
        <f>VALUE(RIGHT(LEFT(punkt_szczepień__13[[#This Row],[PESEL]],6),2))</f>
        <v>24</v>
      </c>
      <c r="I73" s="3">
        <f>DATE(punkt_szczepień__13[[#This Row],[rok]],punkt_szczepień__13[[#This Row],[miesiac]],punkt_szczepień__13[[#This Row],[dzień]])</f>
        <v>27752</v>
      </c>
      <c r="J73" s="1" t="str">
        <f>punkt_szczepień__13[[#This Row],[PESEL]]</f>
        <v>75122442737</v>
      </c>
      <c r="K73" s="1">
        <f>VALUE(MID(punkt_szczepień__13[[#This Row],[PESEL]],10,1))</f>
        <v>3</v>
      </c>
      <c r="L73" s="11" t="str">
        <f>IF(MOD(punkt_szczepień__13[[#This Row],[liczba płeć]],2)=0,"K","M")</f>
        <v>M</v>
      </c>
      <c r="M73" s="1"/>
      <c r="N73" s="1"/>
    </row>
    <row r="74" spans="1:14" x14ac:dyDescent="0.25">
      <c r="A74" s="1" t="s">
        <v>80</v>
      </c>
      <c r="B74" s="1" t="s">
        <v>5</v>
      </c>
      <c r="C74" s="2">
        <v>0.3611111111111111</v>
      </c>
      <c r="D74">
        <v>2</v>
      </c>
      <c r="E74">
        <f>VALUE(RIGHT(LEFT(punkt_szczepień__13[[#This Row],[PESEL]],4),2))</f>
        <v>1</v>
      </c>
      <c r="F74" s="11">
        <f>MOD(punkt_szczepień__13[[#This Row],[liczba miesiac]],20)</f>
        <v>1</v>
      </c>
      <c r="G74" s="11">
        <f>VLOOKUP(punkt_szczepień__13[[#This Row],[liczba miesiac]]-punkt_szczepień__13[[#This Row],[miesiac]],$O$3:$P$7,2,0)+VALUE(LEFT(punkt_szczepień__13[[#This Row],[PESEL]],2))</f>
        <v>1939</v>
      </c>
      <c r="H74" s="11">
        <f>VALUE(RIGHT(LEFT(punkt_szczepień__13[[#This Row],[PESEL]],6),2))</f>
        <v>27</v>
      </c>
      <c r="I74" s="3">
        <f>DATE(punkt_szczepień__13[[#This Row],[rok]],punkt_szczepień__13[[#This Row],[miesiac]],punkt_szczepień__13[[#This Row],[dzień]])</f>
        <v>14272</v>
      </c>
      <c r="J74" s="1" t="str">
        <f>punkt_szczepień__13[[#This Row],[PESEL]]</f>
        <v>39012798522</v>
      </c>
      <c r="K74" s="1">
        <f>VALUE(MID(punkt_szczepień__13[[#This Row],[PESEL]],10,1))</f>
        <v>2</v>
      </c>
      <c r="L74" s="11" t="str">
        <f>IF(MOD(punkt_szczepień__13[[#This Row],[liczba płeć]],2)=0,"K","M")</f>
        <v>K</v>
      </c>
      <c r="M74" s="1"/>
      <c r="N74" s="1"/>
    </row>
    <row r="75" spans="1:14" x14ac:dyDescent="0.25">
      <c r="A75" s="1" t="s">
        <v>81</v>
      </c>
      <c r="B75" s="1" t="s">
        <v>5</v>
      </c>
      <c r="C75" s="2">
        <v>0.36168981481481483</v>
      </c>
      <c r="D75">
        <v>2</v>
      </c>
      <c r="E75">
        <f>VALUE(RIGHT(LEFT(punkt_szczepień__13[[#This Row],[PESEL]],4),2))</f>
        <v>4</v>
      </c>
      <c r="F75" s="11">
        <f>MOD(punkt_szczepień__13[[#This Row],[liczba miesiac]],20)</f>
        <v>4</v>
      </c>
      <c r="G75" s="11">
        <f>VLOOKUP(punkt_szczepień__13[[#This Row],[liczba miesiac]]-punkt_szczepień__13[[#This Row],[miesiac]],$O$3:$P$7,2,0)+VALUE(LEFT(punkt_szczepień__13[[#This Row],[PESEL]],2))</f>
        <v>1939</v>
      </c>
      <c r="H75" s="11">
        <f>VALUE(RIGHT(LEFT(punkt_szczepień__13[[#This Row],[PESEL]],6),2))</f>
        <v>9</v>
      </c>
      <c r="I75" s="3">
        <f>DATE(punkt_szczepień__13[[#This Row],[rok]],punkt_szczepień__13[[#This Row],[miesiac]],punkt_szczepień__13[[#This Row],[dzień]])</f>
        <v>14344</v>
      </c>
      <c r="J75" s="1" t="str">
        <f>punkt_szczepień__13[[#This Row],[PESEL]]</f>
        <v>39040935551</v>
      </c>
      <c r="K75" s="1">
        <f>VALUE(MID(punkt_szczepień__13[[#This Row],[PESEL]],10,1))</f>
        <v>5</v>
      </c>
      <c r="L75" s="11" t="str">
        <f>IF(MOD(punkt_szczepień__13[[#This Row],[liczba płeć]],2)=0,"K","M")</f>
        <v>M</v>
      </c>
      <c r="M75" s="1"/>
      <c r="N75" s="1"/>
    </row>
    <row r="76" spans="1:14" x14ac:dyDescent="0.25">
      <c r="A76" s="1" t="s">
        <v>82</v>
      </c>
      <c r="B76" s="1" t="s">
        <v>27</v>
      </c>
      <c r="C76" s="2">
        <v>0.36226851851851855</v>
      </c>
      <c r="D76">
        <v>2</v>
      </c>
      <c r="E76">
        <f>VALUE(RIGHT(LEFT(punkt_szczepień__13[[#This Row],[PESEL]],4),2))</f>
        <v>4</v>
      </c>
      <c r="F76" s="11">
        <f>MOD(punkt_szczepień__13[[#This Row],[liczba miesiac]],20)</f>
        <v>4</v>
      </c>
      <c r="G76" s="11">
        <f>VLOOKUP(punkt_szczepień__13[[#This Row],[liczba miesiac]]-punkt_szczepień__13[[#This Row],[miesiac]],$O$3:$P$7,2,0)+VALUE(LEFT(punkt_szczepień__13[[#This Row],[PESEL]],2))</f>
        <v>1975</v>
      </c>
      <c r="H76" s="11">
        <f>VALUE(RIGHT(LEFT(punkt_szczepień__13[[#This Row],[PESEL]],6),2))</f>
        <v>25</v>
      </c>
      <c r="I76" s="3">
        <f>DATE(punkt_szczepień__13[[#This Row],[rok]],punkt_szczepień__13[[#This Row],[miesiac]],punkt_szczepień__13[[#This Row],[dzień]])</f>
        <v>27509</v>
      </c>
      <c r="J76" s="1" t="str">
        <f>punkt_szczepień__13[[#This Row],[PESEL]]</f>
        <v>75042594631</v>
      </c>
      <c r="K76" s="1">
        <f>VALUE(MID(punkt_szczepień__13[[#This Row],[PESEL]],10,1))</f>
        <v>3</v>
      </c>
      <c r="L76" s="11" t="str">
        <f>IF(MOD(punkt_szczepień__13[[#This Row],[liczba płeć]],2)=0,"K","M")</f>
        <v>M</v>
      </c>
      <c r="M76" s="1"/>
      <c r="N76" s="1"/>
    </row>
    <row r="77" spans="1:14" x14ac:dyDescent="0.25">
      <c r="A77" s="1" t="s">
        <v>83</v>
      </c>
      <c r="B77" s="1" t="s">
        <v>7</v>
      </c>
      <c r="C77" s="2">
        <v>0.36255787037037035</v>
      </c>
      <c r="D77">
        <v>1</v>
      </c>
      <c r="E77">
        <f>VALUE(RIGHT(LEFT(punkt_szczepień__13[[#This Row],[PESEL]],4),2))</f>
        <v>7</v>
      </c>
      <c r="F77" s="11">
        <f>MOD(punkt_szczepień__13[[#This Row],[liczba miesiac]],20)</f>
        <v>7</v>
      </c>
      <c r="G77" s="11">
        <f>VLOOKUP(punkt_szczepień__13[[#This Row],[liczba miesiac]]-punkt_szczepień__13[[#This Row],[miesiac]],$O$3:$P$7,2,0)+VALUE(LEFT(punkt_szczepień__13[[#This Row],[PESEL]],2))</f>
        <v>1921</v>
      </c>
      <c r="H77" s="11">
        <f>VALUE(RIGHT(LEFT(punkt_szczepień__13[[#This Row],[PESEL]],6),2))</f>
        <v>14</v>
      </c>
      <c r="I77" s="3">
        <f>DATE(punkt_szczepień__13[[#This Row],[rok]],punkt_szczepień__13[[#This Row],[miesiac]],punkt_szczepień__13[[#This Row],[dzień]])</f>
        <v>7866</v>
      </c>
      <c r="J77" s="1" t="str">
        <f>punkt_szczepień__13[[#This Row],[PESEL]]</f>
        <v>21071449826</v>
      </c>
      <c r="K77" s="1">
        <f>VALUE(MID(punkt_szczepień__13[[#This Row],[PESEL]],10,1))</f>
        <v>2</v>
      </c>
      <c r="L77" s="11" t="str">
        <f>IF(MOD(punkt_szczepień__13[[#This Row],[liczba płeć]],2)=0,"K","M")</f>
        <v>K</v>
      </c>
      <c r="M77" s="1"/>
      <c r="N77" s="1"/>
    </row>
    <row r="78" spans="1:14" x14ac:dyDescent="0.25">
      <c r="A78" s="1" t="s">
        <v>84</v>
      </c>
      <c r="B78" s="1" t="s">
        <v>7</v>
      </c>
      <c r="C78" s="2">
        <v>0.36284722222222221</v>
      </c>
      <c r="D78">
        <v>1</v>
      </c>
      <c r="E78">
        <f>VALUE(RIGHT(LEFT(punkt_szczepień__13[[#This Row],[PESEL]],4),2))</f>
        <v>12</v>
      </c>
      <c r="F78" s="11">
        <f>MOD(punkt_szczepień__13[[#This Row],[liczba miesiac]],20)</f>
        <v>12</v>
      </c>
      <c r="G78" s="11">
        <f>VLOOKUP(punkt_szczepień__13[[#This Row],[liczba miesiac]]-punkt_szczepień__13[[#This Row],[miesiac]],$O$3:$P$7,2,0)+VALUE(LEFT(punkt_szczepień__13[[#This Row],[PESEL]],2))</f>
        <v>1957</v>
      </c>
      <c r="H78" s="11">
        <f>VALUE(RIGHT(LEFT(punkt_szczepień__13[[#This Row],[PESEL]],6),2))</f>
        <v>2</v>
      </c>
      <c r="I78" s="3">
        <f>DATE(punkt_szczepień__13[[#This Row],[rok]],punkt_szczepień__13[[#This Row],[miesiac]],punkt_szczepień__13[[#This Row],[dzień]])</f>
        <v>21156</v>
      </c>
      <c r="J78" s="1" t="str">
        <f>punkt_szczepień__13[[#This Row],[PESEL]]</f>
        <v>57120218226</v>
      </c>
      <c r="K78" s="1">
        <f>VALUE(MID(punkt_szczepień__13[[#This Row],[PESEL]],10,1))</f>
        <v>2</v>
      </c>
      <c r="L78" s="11" t="str">
        <f>IF(MOD(punkt_szczepień__13[[#This Row],[liczba płeć]],2)=0,"K","M")</f>
        <v>K</v>
      </c>
      <c r="M78" s="1"/>
      <c r="N78" s="1"/>
    </row>
    <row r="79" spans="1:14" x14ac:dyDescent="0.25">
      <c r="A79" s="1" t="s">
        <v>85</v>
      </c>
      <c r="B79" s="1" t="s">
        <v>7</v>
      </c>
      <c r="C79" s="2">
        <v>0.36313657407407407</v>
      </c>
      <c r="D79">
        <v>1</v>
      </c>
      <c r="E79">
        <f>VALUE(RIGHT(LEFT(punkt_szczepień__13[[#This Row],[PESEL]],4),2))</f>
        <v>5</v>
      </c>
      <c r="F79" s="11">
        <f>MOD(punkt_szczepień__13[[#This Row],[liczba miesiac]],20)</f>
        <v>5</v>
      </c>
      <c r="G79" s="11">
        <f>VLOOKUP(punkt_szczepień__13[[#This Row],[liczba miesiac]]-punkt_szczepień__13[[#This Row],[miesiac]],$O$3:$P$7,2,0)+VALUE(LEFT(punkt_szczepień__13[[#This Row],[PESEL]],2))</f>
        <v>1994</v>
      </c>
      <c r="H79" s="11">
        <f>VALUE(RIGHT(LEFT(punkt_szczepień__13[[#This Row],[PESEL]],6),2))</f>
        <v>14</v>
      </c>
      <c r="I79" s="3">
        <f>DATE(punkt_szczepień__13[[#This Row],[rok]],punkt_szczepień__13[[#This Row],[miesiac]],punkt_szczepień__13[[#This Row],[dzień]])</f>
        <v>34468</v>
      </c>
      <c r="J79" s="1" t="str">
        <f>punkt_szczepień__13[[#This Row],[PESEL]]</f>
        <v>94051417957</v>
      </c>
      <c r="K79" s="1">
        <f>VALUE(MID(punkt_szczepień__13[[#This Row],[PESEL]],10,1))</f>
        <v>5</v>
      </c>
      <c r="L79" s="11" t="str">
        <f>IF(MOD(punkt_szczepień__13[[#This Row],[liczba płeć]],2)=0,"K","M")</f>
        <v>M</v>
      </c>
      <c r="M79" s="1"/>
      <c r="N79" s="1"/>
    </row>
    <row r="80" spans="1:14" x14ac:dyDescent="0.25">
      <c r="A80" s="1" t="s">
        <v>86</v>
      </c>
      <c r="B80" s="1" t="s">
        <v>7</v>
      </c>
      <c r="C80" s="2">
        <v>0.36342592592592593</v>
      </c>
      <c r="D80">
        <v>1</v>
      </c>
      <c r="E80">
        <f>VALUE(RIGHT(LEFT(punkt_szczepień__13[[#This Row],[PESEL]],4),2))</f>
        <v>11</v>
      </c>
      <c r="F80" s="11">
        <f>MOD(punkt_szczepień__13[[#This Row],[liczba miesiac]],20)</f>
        <v>11</v>
      </c>
      <c r="G80" s="11">
        <f>VLOOKUP(punkt_szczepień__13[[#This Row],[liczba miesiac]]-punkt_szczepień__13[[#This Row],[miesiac]],$O$3:$P$7,2,0)+VALUE(LEFT(punkt_szczepień__13[[#This Row],[PESEL]],2))</f>
        <v>1958</v>
      </c>
      <c r="H80" s="11">
        <f>VALUE(RIGHT(LEFT(punkt_szczepień__13[[#This Row],[PESEL]],6),2))</f>
        <v>2</v>
      </c>
      <c r="I80" s="3">
        <f>DATE(punkt_szczepień__13[[#This Row],[rok]],punkt_szczepień__13[[#This Row],[miesiac]],punkt_szczepień__13[[#This Row],[dzień]])</f>
        <v>21491</v>
      </c>
      <c r="J80" s="1" t="str">
        <f>punkt_szczepień__13[[#This Row],[PESEL]]</f>
        <v>58110232598</v>
      </c>
      <c r="K80" s="1">
        <f>VALUE(MID(punkt_szczepień__13[[#This Row],[PESEL]],10,1))</f>
        <v>9</v>
      </c>
      <c r="L80" s="11" t="str">
        <f>IF(MOD(punkt_szczepień__13[[#This Row],[liczba płeć]],2)=0,"K","M")</f>
        <v>M</v>
      </c>
      <c r="M80" s="1"/>
      <c r="N80" s="1"/>
    </row>
    <row r="81" spans="1:14" x14ac:dyDescent="0.25">
      <c r="A81" s="1" t="s">
        <v>87</v>
      </c>
      <c r="B81" s="1" t="s">
        <v>5</v>
      </c>
      <c r="C81" s="2">
        <v>0.36371527777777779</v>
      </c>
      <c r="D81">
        <v>1</v>
      </c>
      <c r="E81">
        <f>VALUE(RIGHT(LEFT(punkt_szczepień__13[[#This Row],[PESEL]],4),2))</f>
        <v>30</v>
      </c>
      <c r="F81" s="11">
        <f>MOD(punkt_szczepień__13[[#This Row],[liczba miesiac]],20)</f>
        <v>10</v>
      </c>
      <c r="G81" s="11">
        <f>VLOOKUP(punkt_szczepień__13[[#This Row],[liczba miesiac]]-punkt_szczepień__13[[#This Row],[miesiac]],$O$3:$P$7,2,0)+VALUE(LEFT(punkt_szczepień__13[[#This Row],[PESEL]],2))</f>
        <v>2000</v>
      </c>
      <c r="H81" s="11">
        <f>VALUE(RIGHT(LEFT(punkt_szczepień__13[[#This Row],[PESEL]],6),2))</f>
        <v>9</v>
      </c>
      <c r="I81" s="3">
        <f>DATE(punkt_szczepień__13[[#This Row],[rok]],punkt_szczepień__13[[#This Row],[miesiac]],punkt_szczepień__13[[#This Row],[dzień]])</f>
        <v>36808</v>
      </c>
      <c r="J81" s="1" t="str">
        <f>punkt_szczepień__13[[#This Row],[PESEL]]</f>
        <v>00300964288</v>
      </c>
      <c r="K81" s="1">
        <f>VALUE(MID(punkt_szczepień__13[[#This Row],[PESEL]],10,1))</f>
        <v>8</v>
      </c>
      <c r="L81" s="11" t="str">
        <f>IF(MOD(punkt_szczepień__13[[#This Row],[liczba płeć]],2)=0,"K","M")</f>
        <v>K</v>
      </c>
      <c r="M81" s="1"/>
      <c r="N81" s="1"/>
    </row>
    <row r="82" spans="1:14" x14ac:dyDescent="0.25">
      <c r="A82" s="1" t="s">
        <v>88</v>
      </c>
      <c r="B82" s="1" t="s">
        <v>5</v>
      </c>
      <c r="C82" s="2">
        <v>0.36400462962962965</v>
      </c>
      <c r="D82">
        <v>1</v>
      </c>
      <c r="E82">
        <f>VALUE(RIGHT(LEFT(punkt_szczepień__13[[#This Row],[PESEL]],4),2))</f>
        <v>11</v>
      </c>
      <c r="F82" s="11">
        <f>MOD(punkt_szczepień__13[[#This Row],[liczba miesiac]],20)</f>
        <v>11</v>
      </c>
      <c r="G82" s="11">
        <f>VLOOKUP(punkt_szczepień__13[[#This Row],[liczba miesiac]]-punkt_szczepień__13[[#This Row],[miesiac]],$O$3:$P$7,2,0)+VALUE(LEFT(punkt_szczepień__13[[#This Row],[PESEL]],2))</f>
        <v>1929</v>
      </c>
      <c r="H82" s="11">
        <f>VALUE(RIGHT(LEFT(punkt_szczepień__13[[#This Row],[PESEL]],6),2))</f>
        <v>19</v>
      </c>
      <c r="I82" s="3">
        <f>DATE(punkt_szczepień__13[[#This Row],[rok]],punkt_szczepień__13[[#This Row],[miesiac]],punkt_szczepień__13[[#This Row],[dzień]])</f>
        <v>10916</v>
      </c>
      <c r="J82" s="1" t="str">
        <f>punkt_szczepień__13[[#This Row],[PESEL]]</f>
        <v>29111941222</v>
      </c>
      <c r="K82" s="1">
        <f>VALUE(MID(punkt_szczepień__13[[#This Row],[PESEL]],10,1))</f>
        <v>2</v>
      </c>
      <c r="L82" s="11" t="str">
        <f>IF(MOD(punkt_szczepień__13[[#This Row],[liczba płeć]],2)=0,"K","M")</f>
        <v>K</v>
      </c>
      <c r="M82" s="1"/>
      <c r="N82" s="1"/>
    </row>
    <row r="83" spans="1:14" x14ac:dyDescent="0.25">
      <c r="A83" s="1" t="s">
        <v>89</v>
      </c>
      <c r="B83" s="1" t="s">
        <v>5</v>
      </c>
      <c r="C83" s="2">
        <v>0.36429398148148145</v>
      </c>
      <c r="D83">
        <v>1</v>
      </c>
      <c r="E83">
        <f>VALUE(RIGHT(LEFT(punkt_szczepień__13[[#This Row],[PESEL]],4),2))</f>
        <v>2</v>
      </c>
      <c r="F83" s="11">
        <f>MOD(punkt_szczepień__13[[#This Row],[liczba miesiac]],20)</f>
        <v>2</v>
      </c>
      <c r="G83" s="11">
        <f>VLOOKUP(punkt_szczepień__13[[#This Row],[liczba miesiac]]-punkt_szczepień__13[[#This Row],[miesiac]],$O$3:$P$7,2,0)+VALUE(LEFT(punkt_szczepień__13[[#This Row],[PESEL]],2))</f>
        <v>1927</v>
      </c>
      <c r="H83" s="11">
        <f>VALUE(RIGHT(LEFT(punkt_szczepień__13[[#This Row],[PESEL]],6),2))</f>
        <v>4</v>
      </c>
      <c r="I83" s="3">
        <f>DATE(punkt_szczepień__13[[#This Row],[rok]],punkt_szczepień__13[[#This Row],[miesiac]],punkt_szczepień__13[[#This Row],[dzień]])</f>
        <v>9897</v>
      </c>
      <c r="J83" s="1" t="str">
        <f>punkt_szczepień__13[[#This Row],[PESEL]]</f>
        <v>27020478556</v>
      </c>
      <c r="K83" s="1">
        <f>VALUE(MID(punkt_szczepień__13[[#This Row],[PESEL]],10,1))</f>
        <v>5</v>
      </c>
      <c r="L83" s="11" t="str">
        <f>IF(MOD(punkt_szczepień__13[[#This Row],[liczba płeć]],2)=0,"K","M")</f>
        <v>M</v>
      </c>
      <c r="M83" s="1"/>
      <c r="N83" s="1"/>
    </row>
    <row r="84" spans="1:14" x14ac:dyDescent="0.25">
      <c r="A84" s="1" t="s">
        <v>90</v>
      </c>
      <c r="B84" s="1" t="s">
        <v>5</v>
      </c>
      <c r="C84" s="2">
        <v>0.36487268518518517</v>
      </c>
      <c r="D84">
        <v>2</v>
      </c>
      <c r="E84">
        <f>VALUE(RIGHT(LEFT(punkt_szczepień__13[[#This Row],[PESEL]],4),2))</f>
        <v>2</v>
      </c>
      <c r="F84" s="11">
        <f>MOD(punkt_szczepień__13[[#This Row],[liczba miesiac]],20)</f>
        <v>2</v>
      </c>
      <c r="G84" s="11">
        <f>VLOOKUP(punkt_szczepień__13[[#This Row],[liczba miesiac]]-punkt_szczepień__13[[#This Row],[miesiac]],$O$3:$P$7,2,0)+VALUE(LEFT(punkt_szczepień__13[[#This Row],[PESEL]],2))</f>
        <v>1995</v>
      </c>
      <c r="H84" s="11">
        <f>VALUE(RIGHT(LEFT(punkt_szczepień__13[[#This Row],[PESEL]],6),2))</f>
        <v>17</v>
      </c>
      <c r="I84" s="3">
        <f>DATE(punkt_szczepień__13[[#This Row],[rok]],punkt_szczepień__13[[#This Row],[miesiac]],punkt_szczepień__13[[#This Row],[dzień]])</f>
        <v>34747</v>
      </c>
      <c r="J84" s="1" t="str">
        <f>punkt_szczepień__13[[#This Row],[PESEL]]</f>
        <v>95021791233</v>
      </c>
      <c r="K84" s="1">
        <f>VALUE(MID(punkt_szczepień__13[[#This Row],[PESEL]],10,1))</f>
        <v>3</v>
      </c>
      <c r="L84" s="11" t="str">
        <f>IF(MOD(punkt_szczepień__13[[#This Row],[liczba płeć]],2)=0,"K","M")</f>
        <v>M</v>
      </c>
      <c r="M84" s="1"/>
      <c r="N84" s="1"/>
    </row>
    <row r="85" spans="1:14" x14ac:dyDescent="0.25">
      <c r="A85" s="1" t="s">
        <v>91</v>
      </c>
      <c r="B85" s="1" t="s">
        <v>7</v>
      </c>
      <c r="C85" s="2">
        <v>0.36516203703703703</v>
      </c>
      <c r="D85">
        <v>1</v>
      </c>
      <c r="E85">
        <f>VALUE(RIGHT(LEFT(punkt_szczepień__13[[#This Row],[PESEL]],4),2))</f>
        <v>11</v>
      </c>
      <c r="F85" s="11">
        <f>MOD(punkt_szczepień__13[[#This Row],[liczba miesiac]],20)</f>
        <v>11</v>
      </c>
      <c r="G85" s="11">
        <f>VLOOKUP(punkt_szczepień__13[[#This Row],[liczba miesiac]]-punkt_szczepień__13[[#This Row],[miesiac]],$O$3:$P$7,2,0)+VALUE(LEFT(punkt_szczepień__13[[#This Row],[PESEL]],2))</f>
        <v>1999</v>
      </c>
      <c r="H85" s="11">
        <f>VALUE(RIGHT(LEFT(punkt_szczepień__13[[#This Row],[PESEL]],6),2))</f>
        <v>26</v>
      </c>
      <c r="I85" s="3">
        <f>DATE(punkt_szczepień__13[[#This Row],[rok]],punkt_szczepień__13[[#This Row],[miesiac]],punkt_szczepień__13[[#This Row],[dzień]])</f>
        <v>36490</v>
      </c>
      <c r="J85" s="1" t="str">
        <f>punkt_szczepień__13[[#This Row],[PESEL]]</f>
        <v>99112669616</v>
      </c>
      <c r="K85" s="1">
        <f>VALUE(MID(punkt_szczepień__13[[#This Row],[PESEL]],10,1))</f>
        <v>1</v>
      </c>
      <c r="L85" s="11" t="str">
        <f>IF(MOD(punkt_szczepień__13[[#This Row],[liczba płeć]],2)=0,"K","M")</f>
        <v>M</v>
      </c>
      <c r="M85" s="1"/>
      <c r="N85" s="1"/>
    </row>
    <row r="86" spans="1:14" x14ac:dyDescent="0.25">
      <c r="A86" s="1" t="s">
        <v>92</v>
      </c>
      <c r="B86" s="1" t="s">
        <v>7</v>
      </c>
      <c r="C86" s="2">
        <v>0.3654513888888889</v>
      </c>
      <c r="D86">
        <v>1</v>
      </c>
      <c r="E86">
        <f>VALUE(RIGHT(LEFT(punkt_szczepień__13[[#This Row],[PESEL]],4),2))</f>
        <v>3</v>
      </c>
      <c r="F86" s="11">
        <f>MOD(punkt_szczepień__13[[#This Row],[liczba miesiac]],20)</f>
        <v>3</v>
      </c>
      <c r="G86" s="11">
        <f>VLOOKUP(punkt_szczepień__13[[#This Row],[liczba miesiac]]-punkt_szczepień__13[[#This Row],[miesiac]],$O$3:$P$7,2,0)+VALUE(LEFT(punkt_szczepień__13[[#This Row],[PESEL]],2))</f>
        <v>1991</v>
      </c>
      <c r="H86" s="11">
        <f>VALUE(RIGHT(LEFT(punkt_szczepień__13[[#This Row],[PESEL]],6),2))</f>
        <v>27</v>
      </c>
      <c r="I86" s="3">
        <f>DATE(punkt_szczepień__13[[#This Row],[rok]],punkt_szczepień__13[[#This Row],[miesiac]],punkt_szczepień__13[[#This Row],[dzień]])</f>
        <v>33324</v>
      </c>
      <c r="J86" s="1" t="str">
        <f>punkt_szczepień__13[[#This Row],[PESEL]]</f>
        <v>91032773736</v>
      </c>
      <c r="K86" s="1">
        <f>VALUE(MID(punkt_szczepień__13[[#This Row],[PESEL]],10,1))</f>
        <v>3</v>
      </c>
      <c r="L86" s="11" t="str">
        <f>IF(MOD(punkt_szczepień__13[[#This Row],[liczba płeć]],2)=0,"K","M")</f>
        <v>M</v>
      </c>
      <c r="M86" s="1"/>
      <c r="N86" s="1"/>
    </row>
    <row r="87" spans="1:14" x14ac:dyDescent="0.25">
      <c r="A87" s="1" t="s">
        <v>93</v>
      </c>
      <c r="B87" s="1" t="s">
        <v>9</v>
      </c>
      <c r="C87" s="2">
        <v>0.36603009259259262</v>
      </c>
      <c r="D87">
        <v>2</v>
      </c>
      <c r="E87">
        <f>VALUE(RIGHT(LEFT(punkt_szczepień__13[[#This Row],[PESEL]],4),2))</f>
        <v>12</v>
      </c>
      <c r="F87" s="11">
        <f>MOD(punkt_szczepień__13[[#This Row],[liczba miesiac]],20)</f>
        <v>12</v>
      </c>
      <c r="G87" s="11">
        <f>VLOOKUP(punkt_szczepień__13[[#This Row],[liczba miesiac]]-punkt_szczepień__13[[#This Row],[miesiac]],$O$3:$P$7,2,0)+VALUE(LEFT(punkt_szczepień__13[[#This Row],[PESEL]],2))</f>
        <v>1989</v>
      </c>
      <c r="H87" s="11">
        <f>VALUE(RIGHT(LEFT(punkt_szczepień__13[[#This Row],[PESEL]],6),2))</f>
        <v>8</v>
      </c>
      <c r="I87" s="3">
        <f>DATE(punkt_szczepień__13[[#This Row],[rok]],punkt_szczepień__13[[#This Row],[miesiac]],punkt_szczepień__13[[#This Row],[dzień]])</f>
        <v>32850</v>
      </c>
      <c r="J87" s="1" t="str">
        <f>punkt_szczepień__13[[#This Row],[PESEL]]</f>
        <v>89120883737</v>
      </c>
      <c r="K87" s="1">
        <f>VALUE(MID(punkt_szczepień__13[[#This Row],[PESEL]],10,1))</f>
        <v>3</v>
      </c>
      <c r="L87" s="11" t="str">
        <f>IF(MOD(punkt_szczepień__13[[#This Row],[liczba płeć]],2)=0,"K","M")</f>
        <v>M</v>
      </c>
      <c r="M87" s="1"/>
      <c r="N87" s="1"/>
    </row>
    <row r="88" spans="1:14" x14ac:dyDescent="0.25">
      <c r="A88" s="1" t="s">
        <v>94</v>
      </c>
      <c r="B88" s="1" t="s">
        <v>5</v>
      </c>
      <c r="C88" s="2">
        <v>0.36660879629629628</v>
      </c>
      <c r="D88">
        <v>2</v>
      </c>
      <c r="E88">
        <f>VALUE(RIGHT(LEFT(punkt_szczepień__13[[#This Row],[PESEL]],4),2))</f>
        <v>12</v>
      </c>
      <c r="F88" s="11">
        <f>MOD(punkt_szczepień__13[[#This Row],[liczba miesiac]],20)</f>
        <v>12</v>
      </c>
      <c r="G88" s="11">
        <f>VLOOKUP(punkt_szczepień__13[[#This Row],[liczba miesiac]]-punkt_szczepień__13[[#This Row],[miesiac]],$O$3:$P$7,2,0)+VALUE(LEFT(punkt_szczepień__13[[#This Row],[PESEL]],2))</f>
        <v>1960</v>
      </c>
      <c r="H88" s="11">
        <f>VALUE(RIGHT(LEFT(punkt_szczepień__13[[#This Row],[PESEL]],6),2))</f>
        <v>9</v>
      </c>
      <c r="I88" s="3">
        <f>DATE(punkt_szczepień__13[[#This Row],[rok]],punkt_szczepień__13[[#This Row],[miesiac]],punkt_szczepień__13[[#This Row],[dzień]])</f>
        <v>22259</v>
      </c>
      <c r="J88" s="1" t="str">
        <f>punkt_szczepień__13[[#This Row],[PESEL]]</f>
        <v>60120982978</v>
      </c>
      <c r="K88" s="1">
        <f>VALUE(MID(punkt_szczepień__13[[#This Row],[PESEL]],10,1))</f>
        <v>7</v>
      </c>
      <c r="L88" s="11" t="str">
        <f>IF(MOD(punkt_szczepień__13[[#This Row],[liczba płeć]],2)=0,"K","M")</f>
        <v>M</v>
      </c>
      <c r="M88" s="1"/>
      <c r="N88" s="1"/>
    </row>
    <row r="89" spans="1:14" x14ac:dyDescent="0.25">
      <c r="A89" s="1" t="s">
        <v>95</v>
      </c>
      <c r="B89" s="1" t="s">
        <v>7</v>
      </c>
      <c r="C89" s="2">
        <v>0.36689814814814814</v>
      </c>
      <c r="D89">
        <v>1</v>
      </c>
      <c r="E89">
        <f>VALUE(RIGHT(LEFT(punkt_szczepień__13[[#This Row],[PESEL]],4),2))</f>
        <v>25</v>
      </c>
      <c r="F89" s="11">
        <f>MOD(punkt_szczepień__13[[#This Row],[liczba miesiac]],20)</f>
        <v>5</v>
      </c>
      <c r="G89" s="11">
        <f>VLOOKUP(punkt_szczepień__13[[#This Row],[liczba miesiac]]-punkt_szczepień__13[[#This Row],[miesiac]],$O$3:$P$7,2,0)+VALUE(LEFT(punkt_szczepień__13[[#This Row],[PESEL]],2))</f>
        <v>2004</v>
      </c>
      <c r="H89" s="11">
        <f>VALUE(RIGHT(LEFT(punkt_szczepień__13[[#This Row],[PESEL]],6),2))</f>
        <v>17</v>
      </c>
      <c r="I89" s="3">
        <f>DATE(punkt_szczepień__13[[#This Row],[rok]],punkt_szczepień__13[[#This Row],[miesiac]],punkt_szczepień__13[[#This Row],[dzień]])</f>
        <v>38124</v>
      </c>
      <c r="J89" s="1" t="str">
        <f>punkt_szczepień__13[[#This Row],[PESEL]]</f>
        <v>04251789857</v>
      </c>
      <c r="K89" s="1">
        <f>VALUE(MID(punkt_szczepień__13[[#This Row],[PESEL]],10,1))</f>
        <v>5</v>
      </c>
      <c r="L89" s="11" t="str">
        <f>IF(MOD(punkt_szczepień__13[[#This Row],[liczba płeć]],2)=0,"K","M")</f>
        <v>M</v>
      </c>
      <c r="M89" s="1"/>
      <c r="N89" s="1"/>
    </row>
    <row r="90" spans="1:14" x14ac:dyDescent="0.25">
      <c r="A90" s="1" t="s">
        <v>96</v>
      </c>
      <c r="B90" s="1" t="s">
        <v>5</v>
      </c>
      <c r="C90" s="2">
        <v>0.36747685185185186</v>
      </c>
      <c r="D90">
        <v>2</v>
      </c>
      <c r="E90">
        <f>VALUE(RIGHT(LEFT(punkt_szczepień__13[[#This Row],[PESEL]],4),2))</f>
        <v>1</v>
      </c>
      <c r="F90" s="11">
        <f>MOD(punkt_szczepień__13[[#This Row],[liczba miesiac]],20)</f>
        <v>1</v>
      </c>
      <c r="G90" s="11">
        <f>VLOOKUP(punkt_szczepień__13[[#This Row],[liczba miesiac]]-punkt_szczepień__13[[#This Row],[miesiac]],$O$3:$P$7,2,0)+VALUE(LEFT(punkt_szczepień__13[[#This Row],[PESEL]],2))</f>
        <v>1980</v>
      </c>
      <c r="H90" s="11">
        <f>VALUE(RIGHT(LEFT(punkt_szczepień__13[[#This Row],[PESEL]],6),2))</f>
        <v>27</v>
      </c>
      <c r="I90" s="3">
        <f>DATE(punkt_szczepień__13[[#This Row],[rok]],punkt_szczepień__13[[#This Row],[miesiac]],punkt_szczepień__13[[#This Row],[dzień]])</f>
        <v>29247</v>
      </c>
      <c r="J90" s="1" t="str">
        <f>punkt_szczepień__13[[#This Row],[PESEL]]</f>
        <v>80012713181</v>
      </c>
      <c r="K90" s="1">
        <f>VALUE(MID(punkt_szczepień__13[[#This Row],[PESEL]],10,1))</f>
        <v>8</v>
      </c>
      <c r="L90" s="11" t="str">
        <f>IF(MOD(punkt_szczepień__13[[#This Row],[liczba płeć]],2)=0,"K","M")</f>
        <v>K</v>
      </c>
      <c r="M90" s="1"/>
      <c r="N90" s="1"/>
    </row>
    <row r="91" spans="1:14" x14ac:dyDescent="0.25">
      <c r="A91" s="1" t="s">
        <v>97</v>
      </c>
      <c r="B91" s="1" t="s">
        <v>27</v>
      </c>
      <c r="C91" s="2">
        <v>0.36805555555555558</v>
      </c>
      <c r="D91">
        <v>2</v>
      </c>
      <c r="E91">
        <f>VALUE(RIGHT(LEFT(punkt_szczepień__13[[#This Row],[PESEL]],4),2))</f>
        <v>4</v>
      </c>
      <c r="F91" s="11">
        <f>MOD(punkt_szczepień__13[[#This Row],[liczba miesiac]],20)</f>
        <v>4</v>
      </c>
      <c r="G91" s="11">
        <f>VLOOKUP(punkt_szczepień__13[[#This Row],[liczba miesiac]]-punkt_szczepień__13[[#This Row],[miesiac]],$O$3:$P$7,2,0)+VALUE(LEFT(punkt_szczepień__13[[#This Row],[PESEL]],2))</f>
        <v>1994</v>
      </c>
      <c r="H91" s="11">
        <f>VALUE(RIGHT(LEFT(punkt_szczepień__13[[#This Row],[PESEL]],6),2))</f>
        <v>19</v>
      </c>
      <c r="I91" s="3">
        <f>DATE(punkt_szczepień__13[[#This Row],[rok]],punkt_szczepień__13[[#This Row],[miesiac]],punkt_szczepień__13[[#This Row],[dzień]])</f>
        <v>34443</v>
      </c>
      <c r="J91" s="1" t="str">
        <f>punkt_szczepień__13[[#This Row],[PESEL]]</f>
        <v>94041961639</v>
      </c>
      <c r="K91" s="1">
        <f>VALUE(MID(punkt_szczepień__13[[#This Row],[PESEL]],10,1))</f>
        <v>3</v>
      </c>
      <c r="L91" s="11" t="str">
        <f>IF(MOD(punkt_szczepień__13[[#This Row],[liczba płeć]],2)=0,"K","M")</f>
        <v>M</v>
      </c>
      <c r="M91" s="1"/>
      <c r="N91" s="1"/>
    </row>
    <row r="92" spans="1:14" x14ac:dyDescent="0.25">
      <c r="A92" s="1" t="s">
        <v>98</v>
      </c>
      <c r="B92" s="1" t="s">
        <v>7</v>
      </c>
      <c r="C92" s="2">
        <v>0.36834490740740738</v>
      </c>
      <c r="D92">
        <v>1</v>
      </c>
      <c r="E92">
        <f>VALUE(RIGHT(LEFT(punkt_szczepień__13[[#This Row],[PESEL]],4),2))</f>
        <v>11</v>
      </c>
      <c r="F92" s="11">
        <f>MOD(punkt_szczepień__13[[#This Row],[liczba miesiac]],20)</f>
        <v>11</v>
      </c>
      <c r="G92" s="11">
        <f>VLOOKUP(punkt_szczepień__13[[#This Row],[liczba miesiac]]-punkt_szczepień__13[[#This Row],[miesiac]],$O$3:$P$7,2,0)+VALUE(LEFT(punkt_szczepień__13[[#This Row],[PESEL]],2))</f>
        <v>1950</v>
      </c>
      <c r="H92" s="11">
        <f>VALUE(RIGHT(LEFT(punkt_szczepień__13[[#This Row],[PESEL]],6),2))</f>
        <v>16</v>
      </c>
      <c r="I92" s="3">
        <f>DATE(punkt_szczepień__13[[#This Row],[rok]],punkt_szczepień__13[[#This Row],[miesiac]],punkt_szczepień__13[[#This Row],[dzień]])</f>
        <v>18583</v>
      </c>
      <c r="J92" s="1" t="str">
        <f>punkt_szczepień__13[[#This Row],[PESEL]]</f>
        <v>50111694643</v>
      </c>
      <c r="K92" s="1">
        <f>VALUE(MID(punkt_szczepień__13[[#This Row],[PESEL]],10,1))</f>
        <v>4</v>
      </c>
      <c r="L92" s="11" t="str">
        <f>IF(MOD(punkt_szczepień__13[[#This Row],[liczba płeć]],2)=0,"K","M")</f>
        <v>K</v>
      </c>
      <c r="M92" s="1"/>
      <c r="N92" s="1"/>
    </row>
    <row r="93" spans="1:14" x14ac:dyDescent="0.25">
      <c r="A93" s="1" t="s">
        <v>99</v>
      </c>
      <c r="B93" s="1" t="s">
        <v>9</v>
      </c>
      <c r="C93" s="2">
        <v>0.36863425925925924</v>
      </c>
      <c r="D93">
        <v>1</v>
      </c>
      <c r="E93">
        <f>VALUE(RIGHT(LEFT(punkt_szczepień__13[[#This Row],[PESEL]],4),2))</f>
        <v>11</v>
      </c>
      <c r="F93" s="11">
        <f>MOD(punkt_szczepień__13[[#This Row],[liczba miesiac]],20)</f>
        <v>11</v>
      </c>
      <c r="G93" s="11">
        <f>VLOOKUP(punkt_szczepień__13[[#This Row],[liczba miesiac]]-punkt_szczepień__13[[#This Row],[miesiac]],$O$3:$P$7,2,0)+VALUE(LEFT(punkt_szczepień__13[[#This Row],[PESEL]],2))</f>
        <v>1967</v>
      </c>
      <c r="H93" s="11">
        <f>VALUE(RIGHT(LEFT(punkt_szczepień__13[[#This Row],[PESEL]],6),2))</f>
        <v>22</v>
      </c>
      <c r="I93" s="3">
        <f>DATE(punkt_szczepień__13[[#This Row],[rok]],punkt_szczepień__13[[#This Row],[miesiac]],punkt_szczepień__13[[#This Row],[dzień]])</f>
        <v>24798</v>
      </c>
      <c r="J93" s="1" t="str">
        <f>punkt_szczepień__13[[#This Row],[PESEL]]</f>
        <v>67112236219</v>
      </c>
      <c r="K93" s="1">
        <f>VALUE(MID(punkt_szczepień__13[[#This Row],[PESEL]],10,1))</f>
        <v>1</v>
      </c>
      <c r="L93" s="11" t="str">
        <f>IF(MOD(punkt_szczepień__13[[#This Row],[liczba płeć]],2)=0,"K","M")</f>
        <v>M</v>
      </c>
      <c r="M93" s="1"/>
      <c r="N93" s="1"/>
    </row>
    <row r="94" spans="1:14" x14ac:dyDescent="0.25">
      <c r="A94" s="1" t="s">
        <v>100</v>
      </c>
      <c r="B94" s="1" t="s">
        <v>9</v>
      </c>
      <c r="C94" s="2">
        <v>0.36921296296296297</v>
      </c>
      <c r="D94">
        <v>2</v>
      </c>
      <c r="E94">
        <f>VALUE(RIGHT(LEFT(punkt_szczepień__13[[#This Row],[PESEL]],4),2))</f>
        <v>9</v>
      </c>
      <c r="F94" s="11">
        <f>MOD(punkt_szczepień__13[[#This Row],[liczba miesiac]],20)</f>
        <v>9</v>
      </c>
      <c r="G94" s="11">
        <f>VLOOKUP(punkt_szczepień__13[[#This Row],[liczba miesiac]]-punkt_szczepień__13[[#This Row],[miesiac]],$O$3:$P$7,2,0)+VALUE(LEFT(punkt_szczepień__13[[#This Row],[PESEL]],2))</f>
        <v>1932</v>
      </c>
      <c r="H94" s="11">
        <f>VALUE(RIGHT(LEFT(punkt_szczepień__13[[#This Row],[PESEL]],6),2))</f>
        <v>29</v>
      </c>
      <c r="I94" s="3">
        <f>DATE(punkt_szczepień__13[[#This Row],[rok]],punkt_szczepień__13[[#This Row],[miesiac]],punkt_szczepień__13[[#This Row],[dzień]])</f>
        <v>11961</v>
      </c>
      <c r="J94" s="1" t="str">
        <f>punkt_szczepień__13[[#This Row],[PESEL]]</f>
        <v>32092977283</v>
      </c>
      <c r="K94" s="1">
        <f>VALUE(MID(punkt_szczepień__13[[#This Row],[PESEL]],10,1))</f>
        <v>8</v>
      </c>
      <c r="L94" s="11" t="str">
        <f>IF(MOD(punkt_szczepień__13[[#This Row],[liczba płeć]],2)=0,"K","M")</f>
        <v>K</v>
      </c>
      <c r="M94" s="1"/>
      <c r="N94" s="1"/>
    </row>
    <row r="95" spans="1:14" x14ac:dyDescent="0.25">
      <c r="A95" s="1" t="s">
        <v>101</v>
      </c>
      <c r="B95" s="1" t="s">
        <v>7</v>
      </c>
      <c r="C95" s="2">
        <v>0.36950231481481483</v>
      </c>
      <c r="D95">
        <v>1</v>
      </c>
      <c r="E95">
        <f>VALUE(RIGHT(LEFT(punkt_szczepień__13[[#This Row],[PESEL]],4),2))</f>
        <v>26</v>
      </c>
      <c r="F95" s="11">
        <f>MOD(punkt_szczepień__13[[#This Row],[liczba miesiac]],20)</f>
        <v>6</v>
      </c>
      <c r="G95" s="11">
        <f>VLOOKUP(punkt_szczepień__13[[#This Row],[liczba miesiac]]-punkt_szczepień__13[[#This Row],[miesiac]],$O$3:$P$7,2,0)+VALUE(LEFT(punkt_szczepień__13[[#This Row],[PESEL]],2))</f>
        <v>2000</v>
      </c>
      <c r="H95" s="11">
        <f>VALUE(RIGHT(LEFT(punkt_szczepień__13[[#This Row],[PESEL]],6),2))</f>
        <v>25</v>
      </c>
      <c r="I95" s="3">
        <f>DATE(punkt_szczepień__13[[#This Row],[rok]],punkt_szczepień__13[[#This Row],[miesiac]],punkt_szczepień__13[[#This Row],[dzień]])</f>
        <v>36702</v>
      </c>
      <c r="J95" s="1" t="str">
        <f>punkt_szczepień__13[[#This Row],[PESEL]]</f>
        <v>00262529215</v>
      </c>
      <c r="K95" s="1">
        <f>VALUE(MID(punkt_szczepień__13[[#This Row],[PESEL]],10,1))</f>
        <v>1</v>
      </c>
      <c r="L95" s="11" t="str">
        <f>IF(MOD(punkt_szczepień__13[[#This Row],[liczba płeć]],2)=0,"K","M")</f>
        <v>M</v>
      </c>
      <c r="M95" s="1"/>
      <c r="N95" s="1"/>
    </row>
    <row r="96" spans="1:14" x14ac:dyDescent="0.25">
      <c r="A96" s="1" t="s">
        <v>102</v>
      </c>
      <c r="B96" s="1" t="s">
        <v>9</v>
      </c>
      <c r="C96" s="2">
        <v>0.36979166666666669</v>
      </c>
      <c r="D96">
        <v>1</v>
      </c>
      <c r="E96">
        <f>VALUE(RIGHT(LEFT(punkt_szczepień__13[[#This Row],[PESEL]],4),2))</f>
        <v>27</v>
      </c>
      <c r="F96" s="11">
        <f>MOD(punkt_szczepień__13[[#This Row],[liczba miesiac]],20)</f>
        <v>7</v>
      </c>
      <c r="G96" s="11">
        <f>VLOOKUP(punkt_szczepień__13[[#This Row],[liczba miesiac]]-punkt_szczepień__13[[#This Row],[miesiac]],$O$3:$P$7,2,0)+VALUE(LEFT(punkt_szczepień__13[[#This Row],[PESEL]],2))</f>
        <v>2001</v>
      </c>
      <c r="H96" s="11">
        <f>VALUE(RIGHT(LEFT(punkt_szczepień__13[[#This Row],[PESEL]],6),2))</f>
        <v>25</v>
      </c>
      <c r="I96" s="3">
        <f>DATE(punkt_szczepień__13[[#This Row],[rok]],punkt_szczepień__13[[#This Row],[miesiac]],punkt_szczepień__13[[#This Row],[dzień]])</f>
        <v>37097</v>
      </c>
      <c r="J96" s="1" t="str">
        <f>punkt_szczepień__13[[#This Row],[PESEL]]</f>
        <v>01272579522</v>
      </c>
      <c r="K96" s="1">
        <f>VALUE(MID(punkt_szczepień__13[[#This Row],[PESEL]],10,1))</f>
        <v>2</v>
      </c>
      <c r="L96" s="11" t="str">
        <f>IF(MOD(punkt_szczepień__13[[#This Row],[liczba płeć]],2)=0,"K","M")</f>
        <v>K</v>
      </c>
      <c r="M96" s="1"/>
      <c r="N96" s="1"/>
    </row>
    <row r="97" spans="1:14" x14ac:dyDescent="0.25">
      <c r="A97" s="1" t="s">
        <v>103</v>
      </c>
      <c r="B97" s="1" t="s">
        <v>7</v>
      </c>
      <c r="C97" s="2">
        <v>0.37008101851851855</v>
      </c>
      <c r="D97">
        <v>1</v>
      </c>
      <c r="E97">
        <f>VALUE(RIGHT(LEFT(punkt_szczepień__13[[#This Row],[PESEL]],4),2))</f>
        <v>9</v>
      </c>
      <c r="F97" s="11">
        <f>MOD(punkt_szczepień__13[[#This Row],[liczba miesiac]],20)</f>
        <v>9</v>
      </c>
      <c r="G97" s="11">
        <f>VLOOKUP(punkt_szczepień__13[[#This Row],[liczba miesiac]]-punkt_szczepień__13[[#This Row],[miesiac]],$O$3:$P$7,2,0)+VALUE(LEFT(punkt_szczepień__13[[#This Row],[PESEL]],2))</f>
        <v>1934</v>
      </c>
      <c r="H97" s="11">
        <f>VALUE(RIGHT(LEFT(punkt_szczepień__13[[#This Row],[PESEL]],6),2))</f>
        <v>12</v>
      </c>
      <c r="I97" s="3">
        <f>DATE(punkt_szczepień__13[[#This Row],[rok]],punkt_szczepień__13[[#This Row],[miesiac]],punkt_szczepień__13[[#This Row],[dzień]])</f>
        <v>12674</v>
      </c>
      <c r="J97" s="1" t="str">
        <f>punkt_szczepień__13[[#This Row],[PESEL]]</f>
        <v>34091272611</v>
      </c>
      <c r="K97" s="1">
        <f>VALUE(MID(punkt_szczepień__13[[#This Row],[PESEL]],10,1))</f>
        <v>1</v>
      </c>
      <c r="L97" s="11" t="str">
        <f>IF(MOD(punkt_szczepień__13[[#This Row],[liczba płeć]],2)=0,"K","M")</f>
        <v>M</v>
      </c>
      <c r="M97" s="1"/>
      <c r="N97" s="1"/>
    </row>
    <row r="98" spans="1:14" x14ac:dyDescent="0.25">
      <c r="A98" s="1" t="s">
        <v>104</v>
      </c>
      <c r="B98" s="1" t="s">
        <v>5</v>
      </c>
      <c r="C98" s="2">
        <v>0.37065972222222221</v>
      </c>
      <c r="D98">
        <v>2</v>
      </c>
      <c r="E98">
        <f>VALUE(RIGHT(LEFT(punkt_szczepień__13[[#This Row],[PESEL]],4),2))</f>
        <v>10</v>
      </c>
      <c r="F98" s="11">
        <f>MOD(punkt_szczepień__13[[#This Row],[liczba miesiac]],20)</f>
        <v>10</v>
      </c>
      <c r="G98" s="11">
        <f>VLOOKUP(punkt_szczepień__13[[#This Row],[liczba miesiac]]-punkt_szczepień__13[[#This Row],[miesiac]],$O$3:$P$7,2,0)+VALUE(LEFT(punkt_szczepień__13[[#This Row],[PESEL]],2))</f>
        <v>1977</v>
      </c>
      <c r="H98" s="11">
        <f>VALUE(RIGHT(LEFT(punkt_szczepień__13[[#This Row],[PESEL]],6),2))</f>
        <v>16</v>
      </c>
      <c r="I98" s="3">
        <f>DATE(punkt_szczepień__13[[#This Row],[rok]],punkt_szczepień__13[[#This Row],[miesiac]],punkt_szczepień__13[[#This Row],[dzień]])</f>
        <v>28414</v>
      </c>
      <c r="J98" s="1" t="str">
        <f>punkt_szczepień__13[[#This Row],[PESEL]]</f>
        <v>77101646981</v>
      </c>
      <c r="K98" s="1">
        <f>VALUE(MID(punkt_szczepień__13[[#This Row],[PESEL]],10,1))</f>
        <v>8</v>
      </c>
      <c r="L98" s="11" t="str">
        <f>IF(MOD(punkt_szczepień__13[[#This Row],[liczba płeć]],2)=0,"K","M")</f>
        <v>K</v>
      </c>
      <c r="M98" s="1"/>
      <c r="N98" s="1"/>
    </row>
    <row r="99" spans="1:14" x14ac:dyDescent="0.25">
      <c r="A99" s="1" t="s">
        <v>105</v>
      </c>
      <c r="B99" s="1" t="s">
        <v>5</v>
      </c>
      <c r="C99" s="2">
        <v>0.37123842592592593</v>
      </c>
      <c r="D99">
        <v>2</v>
      </c>
      <c r="E99">
        <f>VALUE(RIGHT(LEFT(punkt_szczepień__13[[#This Row],[PESEL]],4),2))</f>
        <v>7</v>
      </c>
      <c r="F99" s="11">
        <f>MOD(punkt_szczepień__13[[#This Row],[liczba miesiac]],20)</f>
        <v>7</v>
      </c>
      <c r="G99" s="11">
        <f>VLOOKUP(punkt_szczepień__13[[#This Row],[liczba miesiac]]-punkt_szczepień__13[[#This Row],[miesiac]],$O$3:$P$7,2,0)+VALUE(LEFT(punkt_szczepień__13[[#This Row],[PESEL]],2))</f>
        <v>1983</v>
      </c>
      <c r="H99" s="11">
        <f>VALUE(RIGHT(LEFT(punkt_szczepień__13[[#This Row],[PESEL]],6),2))</f>
        <v>13</v>
      </c>
      <c r="I99" s="3">
        <f>DATE(punkt_szczepień__13[[#This Row],[rok]],punkt_szczepień__13[[#This Row],[miesiac]],punkt_szczepień__13[[#This Row],[dzień]])</f>
        <v>30510</v>
      </c>
      <c r="J99" s="1" t="str">
        <f>punkt_szczepień__13[[#This Row],[PESEL]]</f>
        <v>83071365249</v>
      </c>
      <c r="K99" s="1">
        <f>VALUE(MID(punkt_szczepień__13[[#This Row],[PESEL]],10,1))</f>
        <v>4</v>
      </c>
      <c r="L99" s="11" t="str">
        <f>IF(MOD(punkt_szczepień__13[[#This Row],[liczba płeć]],2)=0,"K","M")</f>
        <v>K</v>
      </c>
      <c r="M99" s="1"/>
      <c r="N99" s="1"/>
    </row>
    <row r="100" spans="1:14" x14ac:dyDescent="0.25">
      <c r="A100" s="1" t="s">
        <v>106</v>
      </c>
      <c r="B100" s="1" t="s">
        <v>7</v>
      </c>
      <c r="C100" s="2">
        <v>0.37152777777777779</v>
      </c>
      <c r="D100">
        <v>1</v>
      </c>
      <c r="E100">
        <f>VALUE(RIGHT(LEFT(punkt_szczepień__13[[#This Row],[PESEL]],4),2))</f>
        <v>24</v>
      </c>
      <c r="F100" s="11">
        <f>MOD(punkt_szczepień__13[[#This Row],[liczba miesiac]],20)</f>
        <v>4</v>
      </c>
      <c r="G100" s="11">
        <f>VLOOKUP(punkt_szczepień__13[[#This Row],[liczba miesiac]]-punkt_szczepień__13[[#This Row],[miesiac]],$O$3:$P$7,2,0)+VALUE(LEFT(punkt_szczepień__13[[#This Row],[PESEL]],2))</f>
        <v>2009</v>
      </c>
      <c r="H100" s="11">
        <f>VALUE(RIGHT(LEFT(punkt_szczepień__13[[#This Row],[PESEL]],6),2))</f>
        <v>4</v>
      </c>
      <c r="I100" s="3">
        <f>DATE(punkt_szczepień__13[[#This Row],[rok]],punkt_szczepień__13[[#This Row],[miesiac]],punkt_szczepień__13[[#This Row],[dzień]])</f>
        <v>39907</v>
      </c>
      <c r="J100" s="1" t="str">
        <f>punkt_szczepień__13[[#This Row],[PESEL]]</f>
        <v>09240422641</v>
      </c>
      <c r="K100" s="1">
        <f>VALUE(MID(punkt_szczepień__13[[#This Row],[PESEL]],10,1))</f>
        <v>4</v>
      </c>
      <c r="L100" s="11" t="str">
        <f>IF(MOD(punkt_szczepień__13[[#This Row],[liczba płeć]],2)=0,"K","M")</f>
        <v>K</v>
      </c>
      <c r="M100" s="1"/>
      <c r="N100" s="1"/>
    </row>
    <row r="101" spans="1:14" x14ac:dyDescent="0.25">
      <c r="A101" s="1" t="s">
        <v>107</v>
      </c>
      <c r="B101" s="1" t="s">
        <v>7</v>
      </c>
      <c r="C101" s="2">
        <v>0.37181712962962965</v>
      </c>
      <c r="D101">
        <v>1</v>
      </c>
      <c r="E101">
        <f>VALUE(RIGHT(LEFT(punkt_szczepień__13[[#This Row],[PESEL]],4),2))</f>
        <v>2</v>
      </c>
      <c r="F101" s="11">
        <f>MOD(punkt_szczepień__13[[#This Row],[liczba miesiac]],20)</f>
        <v>2</v>
      </c>
      <c r="G101" s="11">
        <f>VLOOKUP(punkt_szczepień__13[[#This Row],[liczba miesiac]]-punkt_szczepień__13[[#This Row],[miesiac]],$O$3:$P$7,2,0)+VALUE(LEFT(punkt_szczepień__13[[#This Row],[PESEL]],2))</f>
        <v>1959</v>
      </c>
      <c r="H101" s="11">
        <f>VALUE(RIGHT(LEFT(punkt_szczepień__13[[#This Row],[PESEL]],6),2))</f>
        <v>18</v>
      </c>
      <c r="I101" s="3">
        <f>DATE(punkt_szczepień__13[[#This Row],[rok]],punkt_szczepień__13[[#This Row],[miesiac]],punkt_szczepień__13[[#This Row],[dzień]])</f>
        <v>21599</v>
      </c>
      <c r="J101" s="1" t="str">
        <f>punkt_szczepień__13[[#This Row],[PESEL]]</f>
        <v>59021867451</v>
      </c>
      <c r="K101" s="1">
        <f>VALUE(MID(punkt_szczepień__13[[#This Row],[PESEL]],10,1))</f>
        <v>5</v>
      </c>
      <c r="L101" s="11" t="str">
        <f>IF(MOD(punkt_szczepień__13[[#This Row],[liczba płeć]],2)=0,"K","M")</f>
        <v>M</v>
      </c>
      <c r="M101" s="1"/>
      <c r="N101" s="1"/>
    </row>
    <row r="102" spans="1:14" x14ac:dyDescent="0.25">
      <c r="A102" s="1" t="s">
        <v>108</v>
      </c>
      <c r="B102" s="1" t="s">
        <v>7</v>
      </c>
      <c r="C102" s="2">
        <v>0.37210648148148145</v>
      </c>
      <c r="D102">
        <v>1</v>
      </c>
      <c r="E102">
        <f>VALUE(RIGHT(LEFT(punkt_szczepień__13[[#This Row],[PESEL]],4),2))</f>
        <v>12</v>
      </c>
      <c r="F102" s="11">
        <f>MOD(punkt_szczepień__13[[#This Row],[liczba miesiac]],20)</f>
        <v>12</v>
      </c>
      <c r="G102" s="11">
        <f>VLOOKUP(punkt_szczepień__13[[#This Row],[liczba miesiac]]-punkt_szczepień__13[[#This Row],[miesiac]],$O$3:$P$7,2,0)+VALUE(LEFT(punkt_szczepień__13[[#This Row],[PESEL]],2))</f>
        <v>1981</v>
      </c>
      <c r="H102" s="11">
        <f>VALUE(RIGHT(LEFT(punkt_szczepień__13[[#This Row],[PESEL]],6),2))</f>
        <v>31</v>
      </c>
      <c r="I102" s="3">
        <f>DATE(punkt_szczepień__13[[#This Row],[rok]],punkt_szczepień__13[[#This Row],[miesiac]],punkt_szczepień__13[[#This Row],[dzień]])</f>
        <v>29951</v>
      </c>
      <c r="J102" s="1" t="str">
        <f>punkt_szczepień__13[[#This Row],[PESEL]]</f>
        <v>81123191495</v>
      </c>
      <c r="K102" s="1">
        <f>VALUE(MID(punkt_szczepień__13[[#This Row],[PESEL]],10,1))</f>
        <v>9</v>
      </c>
      <c r="L102" s="11" t="str">
        <f>IF(MOD(punkt_szczepień__13[[#This Row],[liczba płeć]],2)=0,"K","M")</f>
        <v>M</v>
      </c>
      <c r="M102" s="1"/>
      <c r="N102" s="1"/>
    </row>
    <row r="103" spans="1:14" x14ac:dyDescent="0.25">
      <c r="A103" s="1" t="s">
        <v>109</v>
      </c>
      <c r="B103" s="1" t="s">
        <v>9</v>
      </c>
      <c r="C103" s="2">
        <v>0.37268518518518517</v>
      </c>
      <c r="D103">
        <v>2</v>
      </c>
      <c r="E103">
        <f>VALUE(RIGHT(LEFT(punkt_szczepień__13[[#This Row],[PESEL]],4),2))</f>
        <v>1</v>
      </c>
      <c r="F103" s="11">
        <f>MOD(punkt_szczepień__13[[#This Row],[liczba miesiac]],20)</f>
        <v>1</v>
      </c>
      <c r="G103" s="11">
        <f>VLOOKUP(punkt_szczepień__13[[#This Row],[liczba miesiac]]-punkt_szczepień__13[[#This Row],[miesiac]],$O$3:$P$7,2,0)+VALUE(LEFT(punkt_szczepień__13[[#This Row],[PESEL]],2))</f>
        <v>1967</v>
      </c>
      <c r="H103" s="11">
        <f>VALUE(RIGHT(LEFT(punkt_szczepień__13[[#This Row],[PESEL]],6),2))</f>
        <v>20</v>
      </c>
      <c r="I103" s="3">
        <f>DATE(punkt_szczepień__13[[#This Row],[rok]],punkt_szczepień__13[[#This Row],[miesiac]],punkt_szczepień__13[[#This Row],[dzień]])</f>
        <v>24492</v>
      </c>
      <c r="J103" s="1" t="str">
        <f>punkt_szczepień__13[[#This Row],[PESEL]]</f>
        <v>67012096173</v>
      </c>
      <c r="K103" s="1">
        <f>VALUE(MID(punkt_szczepień__13[[#This Row],[PESEL]],10,1))</f>
        <v>7</v>
      </c>
      <c r="L103" s="11" t="str">
        <f>IF(MOD(punkt_szczepień__13[[#This Row],[liczba płeć]],2)=0,"K","M")</f>
        <v>M</v>
      </c>
      <c r="M103" s="1"/>
      <c r="N103" s="1"/>
    </row>
    <row r="104" spans="1:14" x14ac:dyDescent="0.25">
      <c r="A104" s="1" t="s">
        <v>110</v>
      </c>
      <c r="B104" s="1" t="s">
        <v>27</v>
      </c>
      <c r="C104" s="2">
        <v>0.3732638888888889</v>
      </c>
      <c r="D104">
        <v>2</v>
      </c>
      <c r="E104">
        <f>VALUE(RIGHT(LEFT(punkt_szczepień__13[[#This Row],[PESEL]],4),2))</f>
        <v>6</v>
      </c>
      <c r="F104" s="11">
        <f>MOD(punkt_szczepień__13[[#This Row],[liczba miesiac]],20)</f>
        <v>6</v>
      </c>
      <c r="G104" s="11">
        <f>VLOOKUP(punkt_szczepień__13[[#This Row],[liczba miesiac]]-punkt_szczepień__13[[#This Row],[miesiac]],$O$3:$P$7,2,0)+VALUE(LEFT(punkt_szczepień__13[[#This Row],[PESEL]],2))</f>
        <v>1928</v>
      </c>
      <c r="H104" s="11">
        <f>VALUE(RIGHT(LEFT(punkt_szczepień__13[[#This Row],[PESEL]],6),2))</f>
        <v>20</v>
      </c>
      <c r="I104" s="3">
        <f>DATE(punkt_szczepień__13[[#This Row],[rok]],punkt_szczepień__13[[#This Row],[miesiac]],punkt_szczepień__13[[#This Row],[dzień]])</f>
        <v>10399</v>
      </c>
      <c r="J104" s="1" t="str">
        <f>punkt_szczepień__13[[#This Row],[PESEL]]</f>
        <v>28062088796</v>
      </c>
      <c r="K104" s="1">
        <f>VALUE(MID(punkt_szczepień__13[[#This Row],[PESEL]],10,1))</f>
        <v>9</v>
      </c>
      <c r="L104" s="11" t="str">
        <f>IF(MOD(punkt_szczepień__13[[#This Row],[liczba płeć]],2)=0,"K","M")</f>
        <v>M</v>
      </c>
      <c r="M104" s="1"/>
      <c r="N104" s="1"/>
    </row>
    <row r="105" spans="1:14" x14ac:dyDescent="0.25">
      <c r="A105" s="1" t="s">
        <v>111</v>
      </c>
      <c r="B105" s="1" t="s">
        <v>7</v>
      </c>
      <c r="C105" s="2">
        <v>0.37355324074074076</v>
      </c>
      <c r="D105">
        <v>1</v>
      </c>
      <c r="E105">
        <f>VALUE(RIGHT(LEFT(punkt_szczepień__13[[#This Row],[PESEL]],4),2))</f>
        <v>9</v>
      </c>
      <c r="F105" s="11">
        <f>MOD(punkt_szczepień__13[[#This Row],[liczba miesiac]],20)</f>
        <v>9</v>
      </c>
      <c r="G105" s="11">
        <f>VLOOKUP(punkt_szczepień__13[[#This Row],[liczba miesiac]]-punkt_szczepień__13[[#This Row],[miesiac]],$O$3:$P$7,2,0)+VALUE(LEFT(punkt_szczepień__13[[#This Row],[PESEL]],2))</f>
        <v>1928</v>
      </c>
      <c r="H105" s="11">
        <f>VALUE(RIGHT(LEFT(punkt_szczepień__13[[#This Row],[PESEL]],6),2))</f>
        <v>17</v>
      </c>
      <c r="I105" s="3">
        <f>DATE(punkt_szczepień__13[[#This Row],[rok]],punkt_szczepień__13[[#This Row],[miesiac]],punkt_szczepień__13[[#This Row],[dzień]])</f>
        <v>10488</v>
      </c>
      <c r="J105" s="1" t="str">
        <f>punkt_szczepień__13[[#This Row],[PESEL]]</f>
        <v>28091755537</v>
      </c>
      <c r="K105" s="1">
        <f>VALUE(MID(punkt_szczepień__13[[#This Row],[PESEL]],10,1))</f>
        <v>3</v>
      </c>
      <c r="L105" s="11" t="str">
        <f>IF(MOD(punkt_szczepień__13[[#This Row],[liczba płeć]],2)=0,"K","M")</f>
        <v>M</v>
      </c>
      <c r="M105" s="1"/>
      <c r="N105" s="1"/>
    </row>
    <row r="106" spans="1:14" x14ac:dyDescent="0.25">
      <c r="A106" s="1" t="s">
        <v>112</v>
      </c>
      <c r="B106" s="1" t="s">
        <v>9</v>
      </c>
      <c r="C106" s="2">
        <v>0.37384259259259262</v>
      </c>
      <c r="D106">
        <v>1</v>
      </c>
      <c r="E106">
        <f>VALUE(RIGHT(LEFT(punkt_szczepień__13[[#This Row],[PESEL]],4),2))</f>
        <v>9</v>
      </c>
      <c r="F106" s="11">
        <f>MOD(punkt_szczepień__13[[#This Row],[liczba miesiac]],20)</f>
        <v>9</v>
      </c>
      <c r="G106" s="11">
        <f>VLOOKUP(punkt_szczepień__13[[#This Row],[liczba miesiac]]-punkt_szczepień__13[[#This Row],[miesiac]],$O$3:$P$7,2,0)+VALUE(LEFT(punkt_szczepień__13[[#This Row],[PESEL]],2))</f>
        <v>1928</v>
      </c>
      <c r="H106" s="11">
        <f>VALUE(RIGHT(LEFT(punkt_szczepień__13[[#This Row],[PESEL]],6),2))</f>
        <v>9</v>
      </c>
      <c r="I106" s="3">
        <f>DATE(punkt_szczepień__13[[#This Row],[rok]],punkt_szczepień__13[[#This Row],[miesiac]],punkt_szczepień__13[[#This Row],[dzień]])</f>
        <v>10480</v>
      </c>
      <c r="J106" s="1" t="str">
        <f>punkt_szczepień__13[[#This Row],[PESEL]]</f>
        <v>28090956441</v>
      </c>
      <c r="K106" s="1">
        <f>VALUE(MID(punkt_szczepień__13[[#This Row],[PESEL]],10,1))</f>
        <v>4</v>
      </c>
      <c r="L106" s="11" t="str">
        <f>IF(MOD(punkt_szczepień__13[[#This Row],[liczba płeć]],2)=0,"K","M")</f>
        <v>K</v>
      </c>
      <c r="M106" s="1"/>
      <c r="N106" s="1"/>
    </row>
    <row r="107" spans="1:14" x14ac:dyDescent="0.25">
      <c r="A107" s="1" t="s">
        <v>113</v>
      </c>
      <c r="B107" s="1" t="s">
        <v>7</v>
      </c>
      <c r="C107" s="2">
        <v>0.37413194444444442</v>
      </c>
      <c r="D107">
        <v>1</v>
      </c>
      <c r="E107">
        <f>VALUE(RIGHT(LEFT(punkt_szczepień__13[[#This Row],[PESEL]],4),2))</f>
        <v>4</v>
      </c>
      <c r="F107" s="11">
        <f>MOD(punkt_szczepień__13[[#This Row],[liczba miesiac]],20)</f>
        <v>4</v>
      </c>
      <c r="G107" s="11">
        <f>VLOOKUP(punkt_szczepień__13[[#This Row],[liczba miesiac]]-punkt_szczepień__13[[#This Row],[miesiac]],$O$3:$P$7,2,0)+VALUE(LEFT(punkt_szczepień__13[[#This Row],[PESEL]],2))</f>
        <v>1969</v>
      </c>
      <c r="H107" s="11">
        <f>VALUE(RIGHT(LEFT(punkt_szczepień__13[[#This Row],[PESEL]],6),2))</f>
        <v>2</v>
      </c>
      <c r="I107" s="3">
        <f>DATE(punkt_szczepień__13[[#This Row],[rok]],punkt_szczepień__13[[#This Row],[miesiac]],punkt_szczepień__13[[#This Row],[dzień]])</f>
        <v>25295</v>
      </c>
      <c r="J107" s="1" t="str">
        <f>punkt_szczepień__13[[#This Row],[PESEL]]</f>
        <v>69040264526</v>
      </c>
      <c r="K107" s="1">
        <f>VALUE(MID(punkt_szczepień__13[[#This Row],[PESEL]],10,1))</f>
        <v>2</v>
      </c>
      <c r="L107" s="11" t="str">
        <f>IF(MOD(punkt_szczepień__13[[#This Row],[liczba płeć]],2)=0,"K","M")</f>
        <v>K</v>
      </c>
      <c r="M107" s="1"/>
      <c r="N107" s="1"/>
    </row>
    <row r="108" spans="1:14" x14ac:dyDescent="0.25">
      <c r="A108" s="1" t="s">
        <v>114</v>
      </c>
      <c r="B108" s="1" t="s">
        <v>5</v>
      </c>
      <c r="C108" s="2">
        <v>0.37442129629629628</v>
      </c>
      <c r="D108">
        <v>1</v>
      </c>
      <c r="E108">
        <f>VALUE(RIGHT(LEFT(punkt_szczepień__13[[#This Row],[PESEL]],4),2))</f>
        <v>12</v>
      </c>
      <c r="F108" s="11">
        <f>MOD(punkt_szczepień__13[[#This Row],[liczba miesiac]],20)</f>
        <v>12</v>
      </c>
      <c r="G108" s="11">
        <f>VLOOKUP(punkt_szczepień__13[[#This Row],[liczba miesiac]]-punkt_szczepień__13[[#This Row],[miesiac]],$O$3:$P$7,2,0)+VALUE(LEFT(punkt_szczepień__13[[#This Row],[PESEL]],2))</f>
        <v>1970</v>
      </c>
      <c r="H108" s="11">
        <f>VALUE(RIGHT(LEFT(punkt_szczepień__13[[#This Row],[PESEL]],6),2))</f>
        <v>10</v>
      </c>
      <c r="I108" s="3">
        <f>DATE(punkt_szczepień__13[[#This Row],[rok]],punkt_szczepień__13[[#This Row],[miesiac]],punkt_szczepień__13[[#This Row],[dzień]])</f>
        <v>25912</v>
      </c>
      <c r="J108" s="1" t="str">
        <f>punkt_szczepień__13[[#This Row],[PESEL]]</f>
        <v>70121095641</v>
      </c>
      <c r="K108" s="1">
        <f>VALUE(MID(punkt_szczepień__13[[#This Row],[PESEL]],10,1))</f>
        <v>4</v>
      </c>
      <c r="L108" s="11" t="str">
        <f>IF(MOD(punkt_szczepień__13[[#This Row],[liczba płeć]],2)=0,"K","M")</f>
        <v>K</v>
      </c>
      <c r="M108" s="1"/>
      <c r="N108" s="1"/>
    </row>
    <row r="109" spans="1:14" x14ac:dyDescent="0.25">
      <c r="A109" s="1" t="s">
        <v>115</v>
      </c>
      <c r="B109" s="1" t="s">
        <v>7</v>
      </c>
      <c r="C109" s="2">
        <v>0.37471064814814814</v>
      </c>
      <c r="D109">
        <v>1</v>
      </c>
      <c r="E109">
        <f>VALUE(RIGHT(LEFT(punkt_szczepień__13[[#This Row],[PESEL]],4),2))</f>
        <v>5</v>
      </c>
      <c r="F109" s="11">
        <f>MOD(punkt_szczepień__13[[#This Row],[liczba miesiac]],20)</f>
        <v>5</v>
      </c>
      <c r="G109" s="11">
        <f>VLOOKUP(punkt_szczepień__13[[#This Row],[liczba miesiac]]-punkt_szczepień__13[[#This Row],[miesiac]],$O$3:$P$7,2,0)+VALUE(LEFT(punkt_szczepień__13[[#This Row],[PESEL]],2))</f>
        <v>1947</v>
      </c>
      <c r="H109" s="11">
        <f>VALUE(RIGHT(LEFT(punkt_szczepień__13[[#This Row],[PESEL]],6),2))</f>
        <v>25</v>
      </c>
      <c r="I109" s="3">
        <f>DATE(punkt_szczepień__13[[#This Row],[rok]],punkt_szczepień__13[[#This Row],[miesiac]],punkt_szczepień__13[[#This Row],[dzień]])</f>
        <v>17312</v>
      </c>
      <c r="J109" s="1" t="str">
        <f>punkt_szczepień__13[[#This Row],[PESEL]]</f>
        <v>47052571135</v>
      </c>
      <c r="K109" s="1">
        <f>VALUE(MID(punkt_szczepień__13[[#This Row],[PESEL]],10,1))</f>
        <v>3</v>
      </c>
      <c r="L109" s="11" t="str">
        <f>IF(MOD(punkt_szczepień__13[[#This Row],[liczba płeć]],2)=0,"K","M")</f>
        <v>M</v>
      </c>
      <c r="M109" s="1"/>
      <c r="N109" s="1"/>
    </row>
    <row r="110" spans="1:14" x14ac:dyDescent="0.25">
      <c r="A110" s="1" t="s">
        <v>116</v>
      </c>
      <c r="B110" s="1" t="s">
        <v>27</v>
      </c>
      <c r="C110" s="2">
        <v>0.37528935185185186</v>
      </c>
      <c r="D110">
        <v>2</v>
      </c>
      <c r="E110">
        <f>VALUE(RIGHT(LEFT(punkt_szczepień__13[[#This Row],[PESEL]],4),2))</f>
        <v>5</v>
      </c>
      <c r="F110" s="11">
        <f>MOD(punkt_szczepień__13[[#This Row],[liczba miesiac]],20)</f>
        <v>5</v>
      </c>
      <c r="G110" s="11">
        <f>VLOOKUP(punkt_szczepień__13[[#This Row],[liczba miesiac]]-punkt_szczepień__13[[#This Row],[miesiac]],$O$3:$P$7,2,0)+VALUE(LEFT(punkt_szczepień__13[[#This Row],[PESEL]],2))</f>
        <v>1939</v>
      </c>
      <c r="H110" s="11">
        <f>VALUE(RIGHT(LEFT(punkt_szczepień__13[[#This Row],[PESEL]],6),2))</f>
        <v>20</v>
      </c>
      <c r="I110" s="3">
        <f>DATE(punkt_szczepień__13[[#This Row],[rok]],punkt_szczepień__13[[#This Row],[miesiac]],punkt_szczepień__13[[#This Row],[dzień]])</f>
        <v>14385</v>
      </c>
      <c r="J110" s="1" t="str">
        <f>punkt_szczepień__13[[#This Row],[PESEL]]</f>
        <v>39052018691</v>
      </c>
      <c r="K110" s="1">
        <f>VALUE(MID(punkt_szczepień__13[[#This Row],[PESEL]],10,1))</f>
        <v>9</v>
      </c>
      <c r="L110" s="11" t="str">
        <f>IF(MOD(punkt_szczepień__13[[#This Row],[liczba płeć]],2)=0,"K","M")</f>
        <v>M</v>
      </c>
      <c r="M110" s="1"/>
      <c r="N110" s="1"/>
    </row>
    <row r="111" spans="1:14" x14ac:dyDescent="0.25">
      <c r="A111" s="1" t="s">
        <v>117</v>
      </c>
      <c r="B111" s="1" t="s">
        <v>27</v>
      </c>
      <c r="C111" s="2">
        <v>0.37586805555555558</v>
      </c>
      <c r="D111">
        <v>2</v>
      </c>
      <c r="E111">
        <f>VALUE(RIGHT(LEFT(punkt_szczepień__13[[#This Row],[PESEL]],4),2))</f>
        <v>10</v>
      </c>
      <c r="F111" s="11">
        <f>MOD(punkt_szczepień__13[[#This Row],[liczba miesiac]],20)</f>
        <v>10</v>
      </c>
      <c r="G111" s="11">
        <f>VLOOKUP(punkt_szczepień__13[[#This Row],[liczba miesiac]]-punkt_szczepień__13[[#This Row],[miesiac]],$O$3:$P$7,2,0)+VALUE(LEFT(punkt_szczepień__13[[#This Row],[PESEL]],2))</f>
        <v>1998</v>
      </c>
      <c r="H111" s="11">
        <f>VALUE(RIGHT(LEFT(punkt_szczepień__13[[#This Row],[PESEL]],6),2))</f>
        <v>28</v>
      </c>
      <c r="I111" s="3">
        <f>DATE(punkt_szczepień__13[[#This Row],[rok]],punkt_szczepień__13[[#This Row],[miesiac]],punkt_szczepień__13[[#This Row],[dzień]])</f>
        <v>36096</v>
      </c>
      <c r="J111" s="1" t="str">
        <f>punkt_szczepień__13[[#This Row],[PESEL]]</f>
        <v>98102845698</v>
      </c>
      <c r="K111" s="1">
        <f>VALUE(MID(punkt_szczepień__13[[#This Row],[PESEL]],10,1))</f>
        <v>9</v>
      </c>
      <c r="L111" s="11" t="str">
        <f>IF(MOD(punkt_szczepień__13[[#This Row],[liczba płeć]],2)=0,"K","M")</f>
        <v>M</v>
      </c>
      <c r="M111" s="1"/>
      <c r="N111" s="1"/>
    </row>
    <row r="112" spans="1:14" x14ac:dyDescent="0.25">
      <c r="A112" s="1" t="s">
        <v>118</v>
      </c>
      <c r="B112" s="1" t="s">
        <v>27</v>
      </c>
      <c r="C112" s="2">
        <v>0.37615740740740738</v>
      </c>
      <c r="D112">
        <v>1</v>
      </c>
      <c r="E112">
        <f>VALUE(RIGHT(LEFT(punkt_szczepień__13[[#This Row],[PESEL]],4),2))</f>
        <v>12</v>
      </c>
      <c r="F112" s="11">
        <f>MOD(punkt_szczepień__13[[#This Row],[liczba miesiac]],20)</f>
        <v>12</v>
      </c>
      <c r="G112" s="11">
        <f>VLOOKUP(punkt_szczepień__13[[#This Row],[liczba miesiac]]-punkt_szczepień__13[[#This Row],[miesiac]],$O$3:$P$7,2,0)+VALUE(LEFT(punkt_szczepień__13[[#This Row],[PESEL]],2))</f>
        <v>1930</v>
      </c>
      <c r="H112" s="11">
        <f>VALUE(RIGHT(LEFT(punkt_szczepień__13[[#This Row],[PESEL]],6),2))</f>
        <v>7</v>
      </c>
      <c r="I112" s="3">
        <f>DATE(punkt_szczepień__13[[#This Row],[rok]],punkt_szczepień__13[[#This Row],[miesiac]],punkt_szczepień__13[[#This Row],[dzień]])</f>
        <v>11299</v>
      </c>
      <c r="J112" s="1" t="str">
        <f>punkt_szczepień__13[[#This Row],[PESEL]]</f>
        <v>30120774884</v>
      </c>
      <c r="K112" s="1">
        <f>VALUE(MID(punkt_szczepień__13[[#This Row],[PESEL]],10,1))</f>
        <v>8</v>
      </c>
      <c r="L112" s="11" t="str">
        <f>IF(MOD(punkt_szczepień__13[[#This Row],[liczba płeć]],2)=0,"K","M")</f>
        <v>K</v>
      </c>
      <c r="M112" s="1"/>
      <c r="N112" s="1"/>
    </row>
    <row r="113" spans="1:14" x14ac:dyDescent="0.25">
      <c r="A113" s="1" t="s">
        <v>119</v>
      </c>
      <c r="B113" s="1" t="s">
        <v>27</v>
      </c>
      <c r="C113" s="2">
        <v>0.37644675925925924</v>
      </c>
      <c r="D113">
        <v>1</v>
      </c>
      <c r="E113">
        <f>VALUE(RIGHT(LEFT(punkt_szczepień__13[[#This Row],[PESEL]],4),2))</f>
        <v>5</v>
      </c>
      <c r="F113" s="11">
        <f>MOD(punkt_szczepień__13[[#This Row],[liczba miesiac]],20)</f>
        <v>5</v>
      </c>
      <c r="G113" s="11">
        <f>VLOOKUP(punkt_szczepień__13[[#This Row],[liczba miesiac]]-punkt_szczepień__13[[#This Row],[miesiac]],$O$3:$P$7,2,0)+VALUE(LEFT(punkt_szczepień__13[[#This Row],[PESEL]],2))</f>
        <v>1993</v>
      </c>
      <c r="H113" s="11">
        <f>VALUE(RIGHT(LEFT(punkt_szczepień__13[[#This Row],[PESEL]],6),2))</f>
        <v>31</v>
      </c>
      <c r="I113" s="3">
        <f>DATE(punkt_szczepień__13[[#This Row],[rok]],punkt_szczepień__13[[#This Row],[miesiac]],punkt_szczepień__13[[#This Row],[dzień]])</f>
        <v>34120</v>
      </c>
      <c r="J113" s="1" t="str">
        <f>punkt_szczepień__13[[#This Row],[PESEL]]</f>
        <v>93053117612</v>
      </c>
      <c r="K113" s="1">
        <f>VALUE(MID(punkt_szczepień__13[[#This Row],[PESEL]],10,1))</f>
        <v>1</v>
      </c>
      <c r="L113" s="11" t="str">
        <f>IF(MOD(punkt_szczepień__13[[#This Row],[liczba płeć]],2)=0,"K","M")</f>
        <v>M</v>
      </c>
      <c r="M113" s="1"/>
      <c r="N113" s="1"/>
    </row>
    <row r="114" spans="1:14" x14ac:dyDescent="0.25">
      <c r="A114" s="1" t="s">
        <v>120</v>
      </c>
      <c r="B114" s="1" t="s">
        <v>7</v>
      </c>
      <c r="C114" s="2">
        <v>0.3767361111111111</v>
      </c>
      <c r="D114">
        <v>1</v>
      </c>
      <c r="E114">
        <f>VALUE(RIGHT(LEFT(punkt_szczepień__13[[#This Row],[PESEL]],4),2))</f>
        <v>2</v>
      </c>
      <c r="F114" s="11">
        <f>MOD(punkt_szczepień__13[[#This Row],[liczba miesiac]],20)</f>
        <v>2</v>
      </c>
      <c r="G114" s="11">
        <f>VLOOKUP(punkt_szczepień__13[[#This Row],[liczba miesiac]]-punkt_szczepień__13[[#This Row],[miesiac]],$O$3:$P$7,2,0)+VALUE(LEFT(punkt_szczepień__13[[#This Row],[PESEL]],2))</f>
        <v>1995</v>
      </c>
      <c r="H114" s="11">
        <f>VALUE(RIGHT(LEFT(punkt_szczepień__13[[#This Row],[PESEL]],6),2))</f>
        <v>8</v>
      </c>
      <c r="I114" s="3">
        <f>DATE(punkt_szczepień__13[[#This Row],[rok]],punkt_szczepień__13[[#This Row],[miesiac]],punkt_szczepień__13[[#This Row],[dzień]])</f>
        <v>34738</v>
      </c>
      <c r="J114" s="1" t="str">
        <f>punkt_szczepień__13[[#This Row],[PESEL]]</f>
        <v>95020838469</v>
      </c>
      <c r="K114" s="1">
        <f>VALUE(MID(punkt_szczepień__13[[#This Row],[PESEL]],10,1))</f>
        <v>6</v>
      </c>
      <c r="L114" s="11" t="str">
        <f>IF(MOD(punkt_szczepień__13[[#This Row],[liczba płeć]],2)=0,"K","M")</f>
        <v>K</v>
      </c>
      <c r="M114" s="1"/>
      <c r="N114" s="1"/>
    </row>
    <row r="115" spans="1:14" x14ac:dyDescent="0.25">
      <c r="A115" s="1" t="s">
        <v>121</v>
      </c>
      <c r="B115" s="1" t="s">
        <v>5</v>
      </c>
      <c r="C115" s="2">
        <v>0.37702546296296297</v>
      </c>
      <c r="D115">
        <v>1</v>
      </c>
      <c r="E115">
        <f>VALUE(RIGHT(LEFT(punkt_szczepień__13[[#This Row],[PESEL]],4),2))</f>
        <v>7</v>
      </c>
      <c r="F115" s="11">
        <f>MOD(punkt_szczepień__13[[#This Row],[liczba miesiac]],20)</f>
        <v>7</v>
      </c>
      <c r="G115" s="11">
        <f>VLOOKUP(punkt_szczepień__13[[#This Row],[liczba miesiac]]-punkt_szczepień__13[[#This Row],[miesiac]],$O$3:$P$7,2,0)+VALUE(LEFT(punkt_szczepień__13[[#This Row],[PESEL]],2))</f>
        <v>1949</v>
      </c>
      <c r="H115" s="11">
        <f>VALUE(RIGHT(LEFT(punkt_szczepień__13[[#This Row],[PESEL]],6),2))</f>
        <v>1</v>
      </c>
      <c r="I115" s="3">
        <f>DATE(punkt_szczepień__13[[#This Row],[rok]],punkt_szczepień__13[[#This Row],[miesiac]],punkt_szczepień__13[[#This Row],[dzień]])</f>
        <v>18080</v>
      </c>
      <c r="J115" s="1" t="str">
        <f>punkt_szczepień__13[[#This Row],[PESEL]]</f>
        <v>49070153629</v>
      </c>
      <c r="K115" s="1">
        <f>VALUE(MID(punkt_szczepień__13[[#This Row],[PESEL]],10,1))</f>
        <v>2</v>
      </c>
      <c r="L115" s="11" t="str">
        <f>IF(MOD(punkt_szczepień__13[[#This Row],[liczba płeć]],2)=0,"K","M")</f>
        <v>K</v>
      </c>
      <c r="M115" s="1"/>
      <c r="N115" s="1"/>
    </row>
    <row r="116" spans="1:14" x14ac:dyDescent="0.25">
      <c r="A116" s="1" t="s">
        <v>122</v>
      </c>
      <c r="B116" s="1" t="s">
        <v>7</v>
      </c>
      <c r="C116" s="2">
        <v>0.37731481481481483</v>
      </c>
      <c r="D116">
        <v>1</v>
      </c>
      <c r="E116">
        <f>VALUE(RIGHT(LEFT(punkt_szczepień__13[[#This Row],[PESEL]],4),2))</f>
        <v>12</v>
      </c>
      <c r="F116" s="11">
        <f>MOD(punkt_szczepień__13[[#This Row],[liczba miesiac]],20)</f>
        <v>12</v>
      </c>
      <c r="G116" s="11">
        <f>VLOOKUP(punkt_szczepień__13[[#This Row],[liczba miesiac]]-punkt_szczepień__13[[#This Row],[miesiac]],$O$3:$P$7,2,0)+VALUE(LEFT(punkt_szczepień__13[[#This Row],[PESEL]],2))</f>
        <v>1939</v>
      </c>
      <c r="H116" s="11">
        <f>VALUE(RIGHT(LEFT(punkt_szczepień__13[[#This Row],[PESEL]],6),2))</f>
        <v>29</v>
      </c>
      <c r="I116" s="3">
        <f>DATE(punkt_szczepień__13[[#This Row],[rok]],punkt_szczepień__13[[#This Row],[miesiac]],punkt_szczepień__13[[#This Row],[dzień]])</f>
        <v>14608</v>
      </c>
      <c r="J116" s="1" t="str">
        <f>punkt_szczepień__13[[#This Row],[PESEL]]</f>
        <v>39122971633</v>
      </c>
      <c r="K116" s="1">
        <f>VALUE(MID(punkt_szczepień__13[[#This Row],[PESEL]],10,1))</f>
        <v>3</v>
      </c>
      <c r="L116" s="11" t="str">
        <f>IF(MOD(punkt_szczepień__13[[#This Row],[liczba płeć]],2)=0,"K","M")</f>
        <v>M</v>
      </c>
      <c r="M116" s="1"/>
      <c r="N116" s="1"/>
    </row>
    <row r="117" spans="1:14" x14ac:dyDescent="0.25">
      <c r="A117" s="1" t="s">
        <v>123</v>
      </c>
      <c r="B117" s="1" t="s">
        <v>9</v>
      </c>
      <c r="C117" s="2">
        <v>0.37789351851851855</v>
      </c>
      <c r="D117">
        <v>2</v>
      </c>
      <c r="E117">
        <f>VALUE(RIGHT(LEFT(punkt_szczepień__13[[#This Row],[PESEL]],4),2))</f>
        <v>8</v>
      </c>
      <c r="F117" s="11">
        <f>MOD(punkt_szczepień__13[[#This Row],[liczba miesiac]],20)</f>
        <v>8</v>
      </c>
      <c r="G117" s="11">
        <f>VLOOKUP(punkt_szczepień__13[[#This Row],[liczba miesiac]]-punkt_szczepień__13[[#This Row],[miesiac]],$O$3:$P$7,2,0)+VALUE(LEFT(punkt_szczepień__13[[#This Row],[PESEL]],2))</f>
        <v>1985</v>
      </c>
      <c r="H117" s="11">
        <f>VALUE(RIGHT(LEFT(punkt_szczepień__13[[#This Row],[PESEL]],6),2))</f>
        <v>19</v>
      </c>
      <c r="I117" s="3">
        <f>DATE(punkt_szczepień__13[[#This Row],[rok]],punkt_szczepień__13[[#This Row],[miesiac]],punkt_szczepień__13[[#This Row],[dzień]])</f>
        <v>31278</v>
      </c>
      <c r="J117" s="1" t="str">
        <f>punkt_szczepień__13[[#This Row],[PESEL]]</f>
        <v>85081929118</v>
      </c>
      <c r="K117" s="1">
        <f>VALUE(MID(punkt_szczepień__13[[#This Row],[PESEL]],10,1))</f>
        <v>1</v>
      </c>
      <c r="L117" s="11" t="str">
        <f>IF(MOD(punkt_szczepień__13[[#This Row],[liczba płeć]],2)=0,"K","M")</f>
        <v>M</v>
      </c>
      <c r="M117" s="1"/>
      <c r="N117" s="1"/>
    </row>
    <row r="118" spans="1:14" x14ac:dyDescent="0.25">
      <c r="A118" s="1" t="s">
        <v>124</v>
      </c>
      <c r="B118" s="1" t="s">
        <v>9</v>
      </c>
      <c r="C118" s="2">
        <v>0.37847222222222221</v>
      </c>
      <c r="D118">
        <v>2</v>
      </c>
      <c r="E118">
        <f>VALUE(RIGHT(LEFT(punkt_szczepień__13[[#This Row],[PESEL]],4),2))</f>
        <v>9</v>
      </c>
      <c r="F118" s="11">
        <f>MOD(punkt_szczepień__13[[#This Row],[liczba miesiac]],20)</f>
        <v>9</v>
      </c>
      <c r="G118" s="11">
        <f>VLOOKUP(punkt_szczepień__13[[#This Row],[liczba miesiac]]-punkt_szczepień__13[[#This Row],[miesiac]],$O$3:$P$7,2,0)+VALUE(LEFT(punkt_szczepień__13[[#This Row],[PESEL]],2))</f>
        <v>1992</v>
      </c>
      <c r="H118" s="11">
        <f>VALUE(RIGHT(LEFT(punkt_szczepień__13[[#This Row],[PESEL]],6),2))</f>
        <v>21</v>
      </c>
      <c r="I118" s="3">
        <f>DATE(punkt_szczepień__13[[#This Row],[rok]],punkt_szczepień__13[[#This Row],[miesiac]],punkt_szczepień__13[[#This Row],[dzień]])</f>
        <v>33868</v>
      </c>
      <c r="J118" s="1" t="str">
        <f>punkt_szczepień__13[[#This Row],[PESEL]]</f>
        <v>92092117665</v>
      </c>
      <c r="K118" s="1">
        <f>VALUE(MID(punkt_szczepień__13[[#This Row],[PESEL]],10,1))</f>
        <v>6</v>
      </c>
      <c r="L118" s="11" t="str">
        <f>IF(MOD(punkt_szczepień__13[[#This Row],[liczba płeć]],2)=0,"K","M")</f>
        <v>K</v>
      </c>
      <c r="M118" s="1"/>
      <c r="N118" s="1"/>
    </row>
    <row r="119" spans="1:14" x14ac:dyDescent="0.25">
      <c r="A119" s="1" t="s">
        <v>125</v>
      </c>
      <c r="B119" s="1" t="s">
        <v>9</v>
      </c>
      <c r="C119" s="2">
        <v>0.37876157407407407</v>
      </c>
      <c r="D119">
        <v>1</v>
      </c>
      <c r="E119">
        <f>VALUE(RIGHT(LEFT(punkt_szczepień__13[[#This Row],[PESEL]],4),2))</f>
        <v>2</v>
      </c>
      <c r="F119" s="11">
        <f>MOD(punkt_szczepień__13[[#This Row],[liczba miesiac]],20)</f>
        <v>2</v>
      </c>
      <c r="G119" s="11">
        <f>VLOOKUP(punkt_szczepień__13[[#This Row],[liczba miesiac]]-punkt_szczepień__13[[#This Row],[miesiac]],$O$3:$P$7,2,0)+VALUE(LEFT(punkt_szczepień__13[[#This Row],[PESEL]],2))</f>
        <v>1980</v>
      </c>
      <c r="H119" s="11">
        <f>VALUE(RIGHT(LEFT(punkt_szczepień__13[[#This Row],[PESEL]],6),2))</f>
        <v>21</v>
      </c>
      <c r="I119" s="3">
        <f>DATE(punkt_szczepień__13[[#This Row],[rok]],punkt_szczepień__13[[#This Row],[miesiac]],punkt_szczepień__13[[#This Row],[dzień]])</f>
        <v>29272</v>
      </c>
      <c r="J119" s="1" t="str">
        <f>punkt_szczepień__13[[#This Row],[PESEL]]</f>
        <v>80022149598</v>
      </c>
      <c r="K119" s="1">
        <f>VALUE(MID(punkt_szczepień__13[[#This Row],[PESEL]],10,1))</f>
        <v>9</v>
      </c>
      <c r="L119" s="11" t="str">
        <f>IF(MOD(punkt_szczepień__13[[#This Row],[liczba płeć]],2)=0,"K","M")</f>
        <v>M</v>
      </c>
      <c r="M119" s="1"/>
      <c r="N119" s="1"/>
    </row>
    <row r="120" spans="1:14" x14ac:dyDescent="0.25">
      <c r="A120" s="1" t="s">
        <v>126</v>
      </c>
      <c r="B120" s="1" t="s">
        <v>5</v>
      </c>
      <c r="C120" s="2">
        <v>0.37934027777777779</v>
      </c>
      <c r="D120">
        <v>2</v>
      </c>
      <c r="E120">
        <f>VALUE(RIGHT(LEFT(punkt_szczepień__13[[#This Row],[PESEL]],4),2))</f>
        <v>7</v>
      </c>
      <c r="F120" s="11">
        <f>MOD(punkt_szczepień__13[[#This Row],[liczba miesiac]],20)</f>
        <v>7</v>
      </c>
      <c r="G120" s="11">
        <f>VLOOKUP(punkt_szczepień__13[[#This Row],[liczba miesiac]]-punkt_szczepień__13[[#This Row],[miesiac]],$O$3:$P$7,2,0)+VALUE(LEFT(punkt_szczepień__13[[#This Row],[PESEL]],2))</f>
        <v>1999</v>
      </c>
      <c r="H120" s="11">
        <f>VALUE(RIGHT(LEFT(punkt_szczepień__13[[#This Row],[PESEL]],6),2))</f>
        <v>17</v>
      </c>
      <c r="I120" s="3">
        <f>DATE(punkt_szczepień__13[[#This Row],[rok]],punkt_szczepień__13[[#This Row],[miesiac]],punkt_szczepień__13[[#This Row],[dzień]])</f>
        <v>36358</v>
      </c>
      <c r="J120" s="1" t="str">
        <f>punkt_szczepień__13[[#This Row],[PESEL]]</f>
        <v>99071754978</v>
      </c>
      <c r="K120" s="1">
        <f>VALUE(MID(punkt_szczepień__13[[#This Row],[PESEL]],10,1))</f>
        <v>7</v>
      </c>
      <c r="L120" s="11" t="str">
        <f>IF(MOD(punkt_szczepień__13[[#This Row],[liczba płeć]],2)=0,"K","M")</f>
        <v>M</v>
      </c>
      <c r="M120" s="1"/>
      <c r="N120" s="1"/>
    </row>
    <row r="121" spans="1:14" x14ac:dyDescent="0.25">
      <c r="A121" s="1" t="s">
        <v>127</v>
      </c>
      <c r="B121" s="1" t="s">
        <v>7</v>
      </c>
      <c r="C121" s="2">
        <v>0.37962962962962965</v>
      </c>
      <c r="D121">
        <v>1</v>
      </c>
      <c r="E121">
        <f>VALUE(RIGHT(LEFT(punkt_szczepień__13[[#This Row],[PESEL]],4),2))</f>
        <v>10</v>
      </c>
      <c r="F121" s="11">
        <f>MOD(punkt_szczepień__13[[#This Row],[liczba miesiac]],20)</f>
        <v>10</v>
      </c>
      <c r="G121" s="11">
        <f>VLOOKUP(punkt_szczepień__13[[#This Row],[liczba miesiac]]-punkt_szczepień__13[[#This Row],[miesiac]],$O$3:$P$7,2,0)+VALUE(LEFT(punkt_szczepień__13[[#This Row],[PESEL]],2))</f>
        <v>1956</v>
      </c>
      <c r="H121" s="11">
        <f>VALUE(RIGHT(LEFT(punkt_szczepień__13[[#This Row],[PESEL]],6),2))</f>
        <v>5</v>
      </c>
      <c r="I121" s="3">
        <f>DATE(punkt_szczepień__13[[#This Row],[rok]],punkt_szczepień__13[[#This Row],[miesiac]],punkt_szczepień__13[[#This Row],[dzień]])</f>
        <v>20733</v>
      </c>
      <c r="J121" s="1" t="str">
        <f>punkt_szczepień__13[[#This Row],[PESEL]]</f>
        <v>56100584638</v>
      </c>
      <c r="K121" s="1">
        <f>VALUE(MID(punkt_szczepień__13[[#This Row],[PESEL]],10,1))</f>
        <v>3</v>
      </c>
      <c r="L121" s="11" t="str">
        <f>IF(MOD(punkt_szczepień__13[[#This Row],[liczba płeć]],2)=0,"K","M")</f>
        <v>M</v>
      </c>
      <c r="M121" s="1"/>
      <c r="N121" s="1"/>
    </row>
    <row r="122" spans="1:14" x14ac:dyDescent="0.25">
      <c r="A122" s="1" t="s">
        <v>128</v>
      </c>
      <c r="B122" s="1" t="s">
        <v>9</v>
      </c>
      <c r="C122" s="2">
        <v>0.38020833333333331</v>
      </c>
      <c r="D122">
        <v>2</v>
      </c>
      <c r="E122">
        <f>VALUE(RIGHT(LEFT(punkt_szczepień__13[[#This Row],[PESEL]],4),2))</f>
        <v>9</v>
      </c>
      <c r="F122" s="11">
        <f>MOD(punkt_szczepień__13[[#This Row],[liczba miesiac]],20)</f>
        <v>9</v>
      </c>
      <c r="G122" s="11">
        <f>VLOOKUP(punkt_szczepień__13[[#This Row],[liczba miesiac]]-punkt_szczepień__13[[#This Row],[miesiac]],$O$3:$P$7,2,0)+VALUE(LEFT(punkt_szczepień__13[[#This Row],[PESEL]],2))</f>
        <v>1930</v>
      </c>
      <c r="H122" s="11">
        <f>VALUE(RIGHT(LEFT(punkt_szczepień__13[[#This Row],[PESEL]],6),2))</f>
        <v>17</v>
      </c>
      <c r="I122" s="3">
        <f>DATE(punkt_szczepień__13[[#This Row],[rok]],punkt_szczepień__13[[#This Row],[miesiac]],punkt_szczepień__13[[#This Row],[dzień]])</f>
        <v>11218</v>
      </c>
      <c r="J122" s="1" t="str">
        <f>punkt_szczepień__13[[#This Row],[PESEL]]</f>
        <v>30091772595</v>
      </c>
      <c r="K122" s="1">
        <f>VALUE(MID(punkt_szczepień__13[[#This Row],[PESEL]],10,1))</f>
        <v>9</v>
      </c>
      <c r="L122" s="11" t="str">
        <f>IF(MOD(punkt_szczepień__13[[#This Row],[liczba płeć]],2)=0,"K","M")</f>
        <v>M</v>
      </c>
      <c r="M122" s="1"/>
      <c r="N122" s="1"/>
    </row>
    <row r="123" spans="1:14" x14ac:dyDescent="0.25">
      <c r="A123" s="1" t="s">
        <v>129</v>
      </c>
      <c r="B123" s="1" t="s">
        <v>7</v>
      </c>
      <c r="C123" s="2">
        <v>0.38049768518518517</v>
      </c>
      <c r="D123">
        <v>1</v>
      </c>
      <c r="E123">
        <f>VALUE(RIGHT(LEFT(punkt_szczepień__13[[#This Row],[PESEL]],4),2))</f>
        <v>11</v>
      </c>
      <c r="F123" s="11">
        <f>MOD(punkt_szczepień__13[[#This Row],[liczba miesiac]],20)</f>
        <v>11</v>
      </c>
      <c r="G123" s="11">
        <f>VLOOKUP(punkt_szczepień__13[[#This Row],[liczba miesiac]]-punkt_szczepień__13[[#This Row],[miesiac]],$O$3:$P$7,2,0)+VALUE(LEFT(punkt_szczepień__13[[#This Row],[PESEL]],2))</f>
        <v>1996</v>
      </c>
      <c r="H123" s="11">
        <f>VALUE(RIGHT(LEFT(punkt_szczepień__13[[#This Row],[PESEL]],6),2))</f>
        <v>22</v>
      </c>
      <c r="I123" s="3">
        <f>DATE(punkt_szczepień__13[[#This Row],[rok]],punkt_szczepień__13[[#This Row],[miesiac]],punkt_szczepień__13[[#This Row],[dzień]])</f>
        <v>35391</v>
      </c>
      <c r="J123" s="1" t="str">
        <f>punkt_szczepień__13[[#This Row],[PESEL]]</f>
        <v>96112289132</v>
      </c>
      <c r="K123" s="1">
        <f>VALUE(MID(punkt_szczepień__13[[#This Row],[PESEL]],10,1))</f>
        <v>3</v>
      </c>
      <c r="L123" s="11" t="str">
        <f>IF(MOD(punkt_szczepień__13[[#This Row],[liczba płeć]],2)=0,"K","M")</f>
        <v>M</v>
      </c>
      <c r="M123" s="1"/>
      <c r="N123" s="1"/>
    </row>
    <row r="124" spans="1:14" x14ac:dyDescent="0.25">
      <c r="A124" s="1" t="s">
        <v>130</v>
      </c>
      <c r="B124" s="1" t="s">
        <v>9</v>
      </c>
      <c r="C124" s="2">
        <v>0.38078703703703703</v>
      </c>
      <c r="D124">
        <v>1</v>
      </c>
      <c r="E124">
        <f>VALUE(RIGHT(LEFT(punkt_szczepień__13[[#This Row],[PESEL]],4),2))</f>
        <v>10</v>
      </c>
      <c r="F124" s="11">
        <f>MOD(punkt_szczepień__13[[#This Row],[liczba miesiac]],20)</f>
        <v>10</v>
      </c>
      <c r="G124" s="11">
        <f>VLOOKUP(punkt_szczepień__13[[#This Row],[liczba miesiac]]-punkt_szczepień__13[[#This Row],[miesiac]],$O$3:$P$7,2,0)+VALUE(LEFT(punkt_szczepień__13[[#This Row],[PESEL]],2))</f>
        <v>1989</v>
      </c>
      <c r="H124" s="11">
        <f>VALUE(RIGHT(LEFT(punkt_szczepień__13[[#This Row],[PESEL]],6),2))</f>
        <v>30</v>
      </c>
      <c r="I124" s="3">
        <f>DATE(punkt_szczepień__13[[#This Row],[rok]],punkt_szczepień__13[[#This Row],[miesiac]],punkt_szczepień__13[[#This Row],[dzień]])</f>
        <v>32811</v>
      </c>
      <c r="J124" s="1" t="str">
        <f>punkt_szczepień__13[[#This Row],[PESEL]]</f>
        <v>89103094464</v>
      </c>
      <c r="K124" s="1">
        <f>VALUE(MID(punkt_szczepień__13[[#This Row],[PESEL]],10,1))</f>
        <v>6</v>
      </c>
      <c r="L124" s="11" t="str">
        <f>IF(MOD(punkt_szczepień__13[[#This Row],[liczba płeć]],2)=0,"K","M")</f>
        <v>K</v>
      </c>
      <c r="M124" s="1"/>
      <c r="N124" s="1"/>
    </row>
    <row r="125" spans="1:14" x14ac:dyDescent="0.25">
      <c r="A125" s="1" t="s">
        <v>131</v>
      </c>
      <c r="B125" s="1" t="s">
        <v>7</v>
      </c>
      <c r="C125" s="2">
        <v>0.3810763888888889</v>
      </c>
      <c r="D125">
        <v>1</v>
      </c>
      <c r="E125">
        <f>VALUE(RIGHT(LEFT(punkt_szczepień__13[[#This Row],[PESEL]],4),2))</f>
        <v>6</v>
      </c>
      <c r="F125" s="11">
        <f>MOD(punkt_szczepień__13[[#This Row],[liczba miesiac]],20)</f>
        <v>6</v>
      </c>
      <c r="G125" s="11">
        <f>VLOOKUP(punkt_szczepień__13[[#This Row],[liczba miesiac]]-punkt_szczepień__13[[#This Row],[miesiac]],$O$3:$P$7,2,0)+VALUE(LEFT(punkt_szczepień__13[[#This Row],[PESEL]],2))</f>
        <v>1957</v>
      </c>
      <c r="H125" s="11">
        <f>VALUE(RIGHT(LEFT(punkt_szczepień__13[[#This Row],[PESEL]],6),2))</f>
        <v>23</v>
      </c>
      <c r="I125" s="3">
        <f>DATE(punkt_szczepień__13[[#This Row],[rok]],punkt_szczepień__13[[#This Row],[miesiac]],punkt_szczepień__13[[#This Row],[dzień]])</f>
        <v>20994</v>
      </c>
      <c r="J125" s="1" t="str">
        <f>punkt_szczepień__13[[#This Row],[PESEL]]</f>
        <v>57062327125</v>
      </c>
      <c r="K125" s="1">
        <f>VALUE(MID(punkt_szczepień__13[[#This Row],[PESEL]],10,1))</f>
        <v>2</v>
      </c>
      <c r="L125" s="11" t="str">
        <f>IF(MOD(punkt_szczepień__13[[#This Row],[liczba płeć]],2)=0,"K","M")</f>
        <v>K</v>
      </c>
      <c r="M125" s="1"/>
      <c r="N125" s="1"/>
    </row>
    <row r="126" spans="1:14" x14ac:dyDescent="0.25">
      <c r="A126" s="1" t="s">
        <v>132</v>
      </c>
      <c r="B126" s="1" t="s">
        <v>9</v>
      </c>
      <c r="C126" s="2">
        <v>0.38165509259259262</v>
      </c>
      <c r="D126">
        <v>2</v>
      </c>
      <c r="E126">
        <f>VALUE(RIGHT(LEFT(punkt_szczepień__13[[#This Row],[PESEL]],4),2))</f>
        <v>1</v>
      </c>
      <c r="F126" s="11">
        <f>MOD(punkt_szczepień__13[[#This Row],[liczba miesiac]],20)</f>
        <v>1</v>
      </c>
      <c r="G126" s="11">
        <f>VLOOKUP(punkt_szczepień__13[[#This Row],[liczba miesiac]]-punkt_szczepień__13[[#This Row],[miesiac]],$O$3:$P$7,2,0)+VALUE(LEFT(punkt_szczepień__13[[#This Row],[PESEL]],2))</f>
        <v>1975</v>
      </c>
      <c r="H126" s="11">
        <f>VALUE(RIGHT(LEFT(punkt_szczepień__13[[#This Row],[PESEL]],6),2))</f>
        <v>10</v>
      </c>
      <c r="I126" s="3">
        <f>DATE(punkt_szczepień__13[[#This Row],[rok]],punkt_szczepień__13[[#This Row],[miesiac]],punkt_szczepień__13[[#This Row],[dzień]])</f>
        <v>27404</v>
      </c>
      <c r="J126" s="1" t="str">
        <f>punkt_szczepień__13[[#This Row],[PESEL]]</f>
        <v>75011014197</v>
      </c>
      <c r="K126" s="1">
        <f>VALUE(MID(punkt_szczepień__13[[#This Row],[PESEL]],10,1))</f>
        <v>9</v>
      </c>
      <c r="L126" s="11" t="str">
        <f>IF(MOD(punkt_szczepień__13[[#This Row],[liczba płeć]],2)=0,"K","M")</f>
        <v>M</v>
      </c>
      <c r="M126" s="1"/>
      <c r="N126" s="1"/>
    </row>
    <row r="127" spans="1:14" x14ac:dyDescent="0.25">
      <c r="A127" s="1" t="s">
        <v>133</v>
      </c>
      <c r="B127" s="1" t="s">
        <v>7</v>
      </c>
      <c r="C127" s="2">
        <v>0.38194444444444442</v>
      </c>
      <c r="D127">
        <v>1</v>
      </c>
      <c r="E127">
        <f>VALUE(RIGHT(LEFT(punkt_szczepień__13[[#This Row],[PESEL]],4),2))</f>
        <v>2</v>
      </c>
      <c r="F127" s="11">
        <f>MOD(punkt_szczepień__13[[#This Row],[liczba miesiac]],20)</f>
        <v>2</v>
      </c>
      <c r="G127" s="11">
        <f>VLOOKUP(punkt_szczepień__13[[#This Row],[liczba miesiac]]-punkt_szczepień__13[[#This Row],[miesiac]],$O$3:$P$7,2,0)+VALUE(LEFT(punkt_szczepień__13[[#This Row],[PESEL]],2))</f>
        <v>1937</v>
      </c>
      <c r="H127" s="11">
        <f>VALUE(RIGHT(LEFT(punkt_szczepień__13[[#This Row],[PESEL]],6),2))</f>
        <v>11</v>
      </c>
      <c r="I127" s="3">
        <f>DATE(punkt_szczepień__13[[#This Row],[rok]],punkt_szczepień__13[[#This Row],[miesiac]],punkt_szczepień__13[[#This Row],[dzień]])</f>
        <v>13557</v>
      </c>
      <c r="J127" s="1" t="str">
        <f>punkt_szczepień__13[[#This Row],[PESEL]]</f>
        <v>37021188952</v>
      </c>
      <c r="K127" s="1">
        <f>VALUE(MID(punkt_szczepień__13[[#This Row],[PESEL]],10,1))</f>
        <v>5</v>
      </c>
      <c r="L127" s="11" t="str">
        <f>IF(MOD(punkt_szczepień__13[[#This Row],[liczba płeć]],2)=0,"K","M")</f>
        <v>M</v>
      </c>
      <c r="M127" s="1"/>
      <c r="N127" s="1"/>
    </row>
    <row r="128" spans="1:14" x14ac:dyDescent="0.25">
      <c r="A128" s="1" t="s">
        <v>134</v>
      </c>
      <c r="B128" s="1" t="s">
        <v>9</v>
      </c>
      <c r="C128" s="2">
        <v>0.38252314814814814</v>
      </c>
      <c r="D128">
        <v>2</v>
      </c>
      <c r="E128">
        <f>VALUE(RIGHT(LEFT(punkt_szczepień__13[[#This Row],[PESEL]],4),2))</f>
        <v>3</v>
      </c>
      <c r="F128" s="11">
        <f>MOD(punkt_szczepień__13[[#This Row],[liczba miesiac]],20)</f>
        <v>3</v>
      </c>
      <c r="G128" s="11">
        <f>VLOOKUP(punkt_szczepień__13[[#This Row],[liczba miesiac]]-punkt_szczepień__13[[#This Row],[miesiac]],$O$3:$P$7,2,0)+VALUE(LEFT(punkt_szczepień__13[[#This Row],[PESEL]],2))</f>
        <v>1994</v>
      </c>
      <c r="H128" s="11">
        <f>VALUE(RIGHT(LEFT(punkt_szczepień__13[[#This Row],[PESEL]],6),2))</f>
        <v>9</v>
      </c>
      <c r="I128" s="3">
        <f>DATE(punkt_szczepień__13[[#This Row],[rok]],punkt_szczepień__13[[#This Row],[miesiac]],punkt_szczepień__13[[#This Row],[dzień]])</f>
        <v>34402</v>
      </c>
      <c r="J128" s="1" t="str">
        <f>punkt_szczepień__13[[#This Row],[PESEL]]</f>
        <v>94030927695</v>
      </c>
      <c r="K128" s="1">
        <f>VALUE(MID(punkt_szczepień__13[[#This Row],[PESEL]],10,1))</f>
        <v>9</v>
      </c>
      <c r="L128" s="11" t="str">
        <f>IF(MOD(punkt_szczepień__13[[#This Row],[liczba płeć]],2)=0,"K","M")</f>
        <v>M</v>
      </c>
      <c r="M128" s="1"/>
      <c r="N128" s="1"/>
    </row>
    <row r="129" spans="1:14" x14ac:dyDescent="0.25">
      <c r="A129" s="1" t="s">
        <v>135</v>
      </c>
      <c r="B129" s="1" t="s">
        <v>7</v>
      </c>
      <c r="C129" s="2">
        <v>0.3828125</v>
      </c>
      <c r="D129">
        <v>1</v>
      </c>
      <c r="E129">
        <f>VALUE(RIGHT(LEFT(punkt_szczepień__13[[#This Row],[PESEL]],4),2))</f>
        <v>7</v>
      </c>
      <c r="F129" s="11">
        <f>MOD(punkt_szczepień__13[[#This Row],[liczba miesiac]],20)</f>
        <v>7</v>
      </c>
      <c r="G129" s="11">
        <f>VLOOKUP(punkt_szczepień__13[[#This Row],[liczba miesiac]]-punkt_szczepień__13[[#This Row],[miesiac]],$O$3:$P$7,2,0)+VALUE(LEFT(punkt_szczepień__13[[#This Row],[PESEL]],2))</f>
        <v>1990</v>
      </c>
      <c r="H129" s="11">
        <f>VALUE(RIGHT(LEFT(punkt_szczepień__13[[#This Row],[PESEL]],6),2))</f>
        <v>3</v>
      </c>
      <c r="I129" s="3">
        <f>DATE(punkt_szczepień__13[[#This Row],[rok]],punkt_szczepień__13[[#This Row],[miesiac]],punkt_szczepień__13[[#This Row],[dzień]])</f>
        <v>33057</v>
      </c>
      <c r="J129" s="1" t="str">
        <f>punkt_szczepień__13[[#This Row],[PESEL]]</f>
        <v>90070329455</v>
      </c>
      <c r="K129" s="1">
        <f>VALUE(MID(punkt_szczepień__13[[#This Row],[PESEL]],10,1))</f>
        <v>5</v>
      </c>
      <c r="L129" s="11" t="str">
        <f>IF(MOD(punkt_szczepień__13[[#This Row],[liczba płeć]],2)=0,"K","M")</f>
        <v>M</v>
      </c>
      <c r="M129" s="1"/>
      <c r="N129" s="1"/>
    </row>
    <row r="130" spans="1:14" x14ac:dyDescent="0.25">
      <c r="A130" s="1" t="s">
        <v>136</v>
      </c>
      <c r="B130" s="1" t="s">
        <v>7</v>
      </c>
      <c r="C130" s="2">
        <v>0.38310185185185186</v>
      </c>
      <c r="D130">
        <v>1</v>
      </c>
      <c r="E130">
        <f>VALUE(RIGHT(LEFT(punkt_szczepień__13[[#This Row],[PESEL]],4),2))</f>
        <v>2</v>
      </c>
      <c r="F130" s="11">
        <f>MOD(punkt_szczepień__13[[#This Row],[liczba miesiac]],20)</f>
        <v>2</v>
      </c>
      <c r="G130" s="11">
        <f>VLOOKUP(punkt_szczepień__13[[#This Row],[liczba miesiac]]-punkt_szczepień__13[[#This Row],[miesiac]],$O$3:$P$7,2,0)+VALUE(LEFT(punkt_szczepień__13[[#This Row],[PESEL]],2))</f>
        <v>1981</v>
      </c>
      <c r="H130" s="11">
        <f>VALUE(RIGHT(LEFT(punkt_szczepień__13[[#This Row],[PESEL]],6),2))</f>
        <v>12</v>
      </c>
      <c r="I130" s="3">
        <f>DATE(punkt_szczepień__13[[#This Row],[rok]],punkt_szczepień__13[[#This Row],[miesiac]],punkt_szczepień__13[[#This Row],[dzień]])</f>
        <v>29629</v>
      </c>
      <c r="J130" s="1" t="str">
        <f>punkt_szczepień__13[[#This Row],[PESEL]]</f>
        <v>81021221117</v>
      </c>
      <c r="K130" s="1">
        <f>VALUE(MID(punkt_szczepień__13[[#This Row],[PESEL]],10,1))</f>
        <v>1</v>
      </c>
      <c r="L130" s="11" t="str">
        <f>IF(MOD(punkt_szczepień__13[[#This Row],[liczba płeć]],2)=0,"K","M")</f>
        <v>M</v>
      </c>
      <c r="M130" s="1"/>
      <c r="N130" s="1"/>
    </row>
    <row r="131" spans="1:14" x14ac:dyDescent="0.25">
      <c r="A131" s="1" t="s">
        <v>137</v>
      </c>
      <c r="B131" s="1" t="s">
        <v>9</v>
      </c>
      <c r="C131" s="2">
        <v>0.38368055555555558</v>
      </c>
      <c r="D131">
        <v>2</v>
      </c>
      <c r="E131">
        <f>VALUE(RIGHT(LEFT(punkt_szczepień__13[[#This Row],[PESEL]],4),2))</f>
        <v>24</v>
      </c>
      <c r="F131" s="11">
        <f>MOD(punkt_szczepień__13[[#This Row],[liczba miesiac]],20)</f>
        <v>4</v>
      </c>
      <c r="G131" s="11">
        <f>VLOOKUP(punkt_szczepień__13[[#This Row],[liczba miesiac]]-punkt_szczepień__13[[#This Row],[miesiac]],$O$3:$P$7,2,0)+VALUE(LEFT(punkt_szczepień__13[[#This Row],[PESEL]],2))</f>
        <v>2005</v>
      </c>
      <c r="H131" s="11">
        <f>VALUE(RIGHT(LEFT(punkt_szczepień__13[[#This Row],[PESEL]],6),2))</f>
        <v>2</v>
      </c>
      <c r="I131" s="3">
        <f>DATE(punkt_szczepień__13[[#This Row],[rok]],punkt_szczepień__13[[#This Row],[miesiac]],punkt_szczepień__13[[#This Row],[dzień]])</f>
        <v>38444</v>
      </c>
      <c r="J131" s="1" t="str">
        <f>punkt_szczepień__13[[#This Row],[PESEL]]</f>
        <v>05240284175</v>
      </c>
      <c r="K131" s="1">
        <f>VALUE(MID(punkt_szczepień__13[[#This Row],[PESEL]],10,1))</f>
        <v>7</v>
      </c>
      <c r="L131" s="11" t="str">
        <f>IF(MOD(punkt_szczepień__13[[#This Row],[liczba płeć]],2)=0,"K","M")</f>
        <v>M</v>
      </c>
      <c r="M131" s="1"/>
      <c r="N131" s="1"/>
    </row>
    <row r="132" spans="1:14" x14ac:dyDescent="0.25">
      <c r="A132" s="1" t="s">
        <v>138</v>
      </c>
      <c r="B132" s="1" t="s">
        <v>7</v>
      </c>
      <c r="C132" s="2">
        <v>0.38396990740740738</v>
      </c>
      <c r="D132">
        <v>1</v>
      </c>
      <c r="E132">
        <f>VALUE(RIGHT(LEFT(punkt_szczepień__13[[#This Row],[PESEL]],4),2))</f>
        <v>11</v>
      </c>
      <c r="F132" s="11">
        <f>MOD(punkt_szczepień__13[[#This Row],[liczba miesiac]],20)</f>
        <v>11</v>
      </c>
      <c r="G132" s="11">
        <f>VLOOKUP(punkt_szczepień__13[[#This Row],[liczba miesiac]]-punkt_szczepień__13[[#This Row],[miesiac]],$O$3:$P$7,2,0)+VALUE(LEFT(punkt_szczepień__13[[#This Row],[PESEL]],2))</f>
        <v>1964</v>
      </c>
      <c r="H132" s="11">
        <f>VALUE(RIGHT(LEFT(punkt_szczepień__13[[#This Row],[PESEL]],6),2))</f>
        <v>11</v>
      </c>
      <c r="I132" s="3">
        <f>DATE(punkt_szczepień__13[[#This Row],[rok]],punkt_szczepień__13[[#This Row],[miesiac]],punkt_szczepień__13[[#This Row],[dzień]])</f>
        <v>23692</v>
      </c>
      <c r="J132" s="1" t="str">
        <f>punkt_szczepień__13[[#This Row],[PESEL]]</f>
        <v>64111126325</v>
      </c>
      <c r="K132" s="1">
        <f>VALUE(MID(punkt_szczepień__13[[#This Row],[PESEL]],10,1))</f>
        <v>2</v>
      </c>
      <c r="L132" s="11" t="str">
        <f>IF(MOD(punkt_szczepień__13[[#This Row],[liczba płeć]],2)=0,"K","M")</f>
        <v>K</v>
      </c>
      <c r="M132" s="1"/>
      <c r="N132" s="1"/>
    </row>
    <row r="133" spans="1:14" x14ac:dyDescent="0.25">
      <c r="A133" s="1" t="s">
        <v>139</v>
      </c>
      <c r="B133" s="1" t="s">
        <v>5</v>
      </c>
      <c r="C133" s="2">
        <v>0.3845486111111111</v>
      </c>
      <c r="D133">
        <v>2</v>
      </c>
      <c r="E133">
        <f>VALUE(RIGHT(LEFT(punkt_szczepień__13[[#This Row],[PESEL]],4),2))</f>
        <v>7</v>
      </c>
      <c r="F133" s="11">
        <f>MOD(punkt_szczepień__13[[#This Row],[liczba miesiac]],20)</f>
        <v>7</v>
      </c>
      <c r="G133" s="11">
        <f>VLOOKUP(punkt_szczepień__13[[#This Row],[liczba miesiac]]-punkt_szczepień__13[[#This Row],[miesiac]],$O$3:$P$7,2,0)+VALUE(LEFT(punkt_szczepień__13[[#This Row],[PESEL]],2))</f>
        <v>1971</v>
      </c>
      <c r="H133" s="11">
        <f>VALUE(RIGHT(LEFT(punkt_szczepień__13[[#This Row],[PESEL]],6),2))</f>
        <v>27</v>
      </c>
      <c r="I133" s="3">
        <f>DATE(punkt_szczepień__13[[#This Row],[rok]],punkt_szczepień__13[[#This Row],[miesiac]],punkt_szczepień__13[[#This Row],[dzień]])</f>
        <v>26141</v>
      </c>
      <c r="J133" s="1" t="str">
        <f>punkt_szczepień__13[[#This Row],[PESEL]]</f>
        <v>71072788389</v>
      </c>
      <c r="K133" s="1">
        <f>VALUE(MID(punkt_szczepień__13[[#This Row],[PESEL]],10,1))</f>
        <v>8</v>
      </c>
      <c r="L133" s="11" t="str">
        <f>IF(MOD(punkt_szczepień__13[[#This Row],[liczba płeć]],2)=0,"K","M")</f>
        <v>K</v>
      </c>
      <c r="M133" s="1"/>
      <c r="N133" s="1"/>
    </row>
    <row r="134" spans="1:14" x14ac:dyDescent="0.25">
      <c r="A134" s="1" t="s">
        <v>140</v>
      </c>
      <c r="B134" s="1" t="s">
        <v>9</v>
      </c>
      <c r="C134" s="2">
        <v>0.38483796296296297</v>
      </c>
      <c r="D134">
        <v>1</v>
      </c>
      <c r="E134">
        <f>VALUE(RIGHT(LEFT(punkt_szczepień__13[[#This Row],[PESEL]],4),2))</f>
        <v>1</v>
      </c>
      <c r="F134" s="11">
        <f>MOD(punkt_szczepień__13[[#This Row],[liczba miesiac]],20)</f>
        <v>1</v>
      </c>
      <c r="G134" s="11">
        <f>VLOOKUP(punkt_szczepień__13[[#This Row],[liczba miesiac]]-punkt_szczepień__13[[#This Row],[miesiac]],$O$3:$P$7,2,0)+VALUE(LEFT(punkt_szczepień__13[[#This Row],[PESEL]],2))</f>
        <v>1967</v>
      </c>
      <c r="H134" s="11">
        <f>VALUE(RIGHT(LEFT(punkt_szczepień__13[[#This Row],[PESEL]],6),2))</f>
        <v>7</v>
      </c>
      <c r="I134" s="3">
        <f>DATE(punkt_szczepień__13[[#This Row],[rok]],punkt_szczepień__13[[#This Row],[miesiac]],punkt_szczepień__13[[#This Row],[dzień]])</f>
        <v>24479</v>
      </c>
      <c r="J134" s="1" t="str">
        <f>punkt_szczepień__13[[#This Row],[PESEL]]</f>
        <v>67010775979</v>
      </c>
      <c r="K134" s="1">
        <f>VALUE(MID(punkt_szczepień__13[[#This Row],[PESEL]],10,1))</f>
        <v>7</v>
      </c>
      <c r="L134" s="11" t="str">
        <f>IF(MOD(punkt_szczepień__13[[#This Row],[liczba płeć]],2)=0,"K","M")</f>
        <v>M</v>
      </c>
      <c r="M134" s="1"/>
      <c r="N134" s="1"/>
    </row>
    <row r="135" spans="1:14" x14ac:dyDescent="0.25">
      <c r="A135" s="1" t="s">
        <v>141</v>
      </c>
      <c r="B135" s="1" t="s">
        <v>27</v>
      </c>
      <c r="C135" s="2">
        <v>0.38541666666666669</v>
      </c>
      <c r="D135">
        <v>2</v>
      </c>
      <c r="E135">
        <f>VALUE(RIGHT(LEFT(punkt_szczepień__13[[#This Row],[PESEL]],4),2))</f>
        <v>25</v>
      </c>
      <c r="F135" s="11">
        <f>MOD(punkt_szczepień__13[[#This Row],[liczba miesiac]],20)</f>
        <v>5</v>
      </c>
      <c r="G135" s="11">
        <f>VLOOKUP(punkt_szczepień__13[[#This Row],[liczba miesiac]]-punkt_szczepień__13[[#This Row],[miesiac]],$O$3:$P$7,2,0)+VALUE(LEFT(punkt_szczepień__13[[#This Row],[PESEL]],2))</f>
        <v>2003</v>
      </c>
      <c r="H135" s="11">
        <f>VALUE(RIGHT(LEFT(punkt_szczepień__13[[#This Row],[PESEL]],6),2))</f>
        <v>4</v>
      </c>
      <c r="I135" s="3">
        <f>DATE(punkt_szczepień__13[[#This Row],[rok]],punkt_szczepień__13[[#This Row],[miesiac]],punkt_szczepień__13[[#This Row],[dzień]])</f>
        <v>37745</v>
      </c>
      <c r="J135" s="1" t="str">
        <f>punkt_szczepień__13[[#This Row],[PESEL]]</f>
        <v>03250482273</v>
      </c>
      <c r="K135" s="1">
        <f>VALUE(MID(punkt_szczepień__13[[#This Row],[PESEL]],10,1))</f>
        <v>7</v>
      </c>
      <c r="L135" s="11" t="str">
        <f>IF(MOD(punkt_szczepień__13[[#This Row],[liczba płeć]],2)=0,"K","M")</f>
        <v>M</v>
      </c>
      <c r="M135" s="1"/>
      <c r="N135" s="1"/>
    </row>
    <row r="136" spans="1:14" x14ac:dyDescent="0.25">
      <c r="A136" s="1" t="s">
        <v>142</v>
      </c>
      <c r="B136" s="1" t="s">
        <v>7</v>
      </c>
      <c r="C136" s="2">
        <v>0.38570601851851855</v>
      </c>
      <c r="D136">
        <v>1</v>
      </c>
      <c r="E136">
        <f>VALUE(RIGHT(LEFT(punkt_szczepień__13[[#This Row],[PESEL]],4),2))</f>
        <v>6</v>
      </c>
      <c r="F136" s="11">
        <f>MOD(punkt_szczepień__13[[#This Row],[liczba miesiac]],20)</f>
        <v>6</v>
      </c>
      <c r="G136" s="11">
        <f>VLOOKUP(punkt_szczepień__13[[#This Row],[liczba miesiac]]-punkt_szczepień__13[[#This Row],[miesiac]],$O$3:$P$7,2,0)+VALUE(LEFT(punkt_szczepień__13[[#This Row],[PESEL]],2))</f>
        <v>1980</v>
      </c>
      <c r="H136" s="11">
        <f>VALUE(RIGHT(LEFT(punkt_szczepień__13[[#This Row],[PESEL]],6),2))</f>
        <v>23</v>
      </c>
      <c r="I136" s="3">
        <f>DATE(punkt_szczepień__13[[#This Row],[rok]],punkt_szczepień__13[[#This Row],[miesiac]],punkt_szczepień__13[[#This Row],[dzień]])</f>
        <v>29395</v>
      </c>
      <c r="J136" s="1" t="str">
        <f>punkt_szczepień__13[[#This Row],[PESEL]]</f>
        <v>80062327468</v>
      </c>
      <c r="K136" s="1">
        <f>VALUE(MID(punkt_szczepień__13[[#This Row],[PESEL]],10,1))</f>
        <v>6</v>
      </c>
      <c r="L136" s="11" t="str">
        <f>IF(MOD(punkt_szczepień__13[[#This Row],[liczba płeć]],2)=0,"K","M")</f>
        <v>K</v>
      </c>
      <c r="M136" s="1"/>
      <c r="N136" s="1"/>
    </row>
    <row r="137" spans="1:14" x14ac:dyDescent="0.25">
      <c r="A137" s="1" t="s">
        <v>143</v>
      </c>
      <c r="B137" s="1" t="s">
        <v>9</v>
      </c>
      <c r="C137" s="2">
        <v>0.38599537037037035</v>
      </c>
      <c r="D137">
        <v>1</v>
      </c>
      <c r="E137">
        <f>VALUE(RIGHT(LEFT(punkt_szczepień__13[[#This Row],[PESEL]],4),2))</f>
        <v>7</v>
      </c>
      <c r="F137" s="11">
        <f>MOD(punkt_szczepień__13[[#This Row],[liczba miesiac]],20)</f>
        <v>7</v>
      </c>
      <c r="G137" s="11">
        <f>VLOOKUP(punkt_szczepień__13[[#This Row],[liczba miesiac]]-punkt_szczepień__13[[#This Row],[miesiac]],$O$3:$P$7,2,0)+VALUE(LEFT(punkt_szczepień__13[[#This Row],[PESEL]],2))</f>
        <v>1934</v>
      </c>
      <c r="H137" s="11">
        <f>VALUE(RIGHT(LEFT(punkt_szczepień__13[[#This Row],[PESEL]],6),2))</f>
        <v>27</v>
      </c>
      <c r="I137" s="3">
        <f>DATE(punkt_szczepień__13[[#This Row],[rok]],punkt_szczepień__13[[#This Row],[miesiac]],punkt_szczepień__13[[#This Row],[dzień]])</f>
        <v>12627</v>
      </c>
      <c r="J137" s="1" t="str">
        <f>punkt_szczepień__13[[#This Row],[PESEL]]</f>
        <v>34072791434</v>
      </c>
      <c r="K137" s="1">
        <f>VALUE(MID(punkt_szczepień__13[[#This Row],[PESEL]],10,1))</f>
        <v>3</v>
      </c>
      <c r="L137" s="11" t="str">
        <f>IF(MOD(punkt_szczepień__13[[#This Row],[liczba płeć]],2)=0,"K","M")</f>
        <v>M</v>
      </c>
      <c r="M137" s="1"/>
      <c r="N137" s="1"/>
    </row>
    <row r="138" spans="1:14" x14ac:dyDescent="0.25">
      <c r="A138" s="1" t="s">
        <v>144</v>
      </c>
      <c r="B138" s="1" t="s">
        <v>7</v>
      </c>
      <c r="C138" s="2">
        <v>0.38628472222222221</v>
      </c>
      <c r="D138">
        <v>1</v>
      </c>
      <c r="E138">
        <f>VALUE(RIGHT(LEFT(punkt_szczepień__13[[#This Row],[PESEL]],4),2))</f>
        <v>7</v>
      </c>
      <c r="F138" s="11">
        <f>MOD(punkt_szczepień__13[[#This Row],[liczba miesiac]],20)</f>
        <v>7</v>
      </c>
      <c r="G138" s="11">
        <f>VLOOKUP(punkt_szczepień__13[[#This Row],[liczba miesiac]]-punkt_szczepień__13[[#This Row],[miesiac]],$O$3:$P$7,2,0)+VALUE(LEFT(punkt_szczepień__13[[#This Row],[PESEL]],2))</f>
        <v>1934</v>
      </c>
      <c r="H138" s="11">
        <f>VALUE(RIGHT(LEFT(punkt_szczepień__13[[#This Row],[PESEL]],6),2))</f>
        <v>20</v>
      </c>
      <c r="I138" s="3">
        <f>DATE(punkt_szczepień__13[[#This Row],[rok]],punkt_szczepień__13[[#This Row],[miesiac]],punkt_szczepień__13[[#This Row],[dzień]])</f>
        <v>12620</v>
      </c>
      <c r="J138" s="1" t="str">
        <f>punkt_szczepień__13[[#This Row],[PESEL]]</f>
        <v>34072025193</v>
      </c>
      <c r="K138" s="1">
        <f>VALUE(MID(punkt_szczepień__13[[#This Row],[PESEL]],10,1))</f>
        <v>9</v>
      </c>
      <c r="L138" s="11" t="str">
        <f>IF(MOD(punkt_szczepień__13[[#This Row],[liczba płeć]],2)=0,"K","M")</f>
        <v>M</v>
      </c>
      <c r="M138" s="1"/>
      <c r="N138" s="1"/>
    </row>
    <row r="139" spans="1:14" x14ac:dyDescent="0.25">
      <c r="A139" s="1" t="s">
        <v>145</v>
      </c>
      <c r="B139" s="1" t="s">
        <v>9</v>
      </c>
      <c r="C139" s="2">
        <v>0.38657407407407407</v>
      </c>
      <c r="D139">
        <v>1</v>
      </c>
      <c r="E139">
        <f>VALUE(RIGHT(LEFT(punkt_szczepień__13[[#This Row],[PESEL]],4),2))</f>
        <v>9</v>
      </c>
      <c r="F139" s="11">
        <f>MOD(punkt_szczepień__13[[#This Row],[liczba miesiac]],20)</f>
        <v>9</v>
      </c>
      <c r="G139" s="11">
        <f>VLOOKUP(punkt_szczepień__13[[#This Row],[liczba miesiac]]-punkt_szczepień__13[[#This Row],[miesiac]],$O$3:$P$7,2,0)+VALUE(LEFT(punkt_szczepień__13[[#This Row],[PESEL]],2))</f>
        <v>1992</v>
      </c>
      <c r="H139" s="11">
        <f>VALUE(RIGHT(LEFT(punkt_szczepień__13[[#This Row],[PESEL]],6),2))</f>
        <v>26</v>
      </c>
      <c r="I139" s="3">
        <f>DATE(punkt_szczepień__13[[#This Row],[rok]],punkt_szczepień__13[[#This Row],[miesiac]],punkt_szczepień__13[[#This Row],[dzień]])</f>
        <v>33873</v>
      </c>
      <c r="J139" s="1" t="str">
        <f>punkt_szczepień__13[[#This Row],[PESEL]]</f>
        <v>92092613147</v>
      </c>
      <c r="K139" s="1">
        <f>VALUE(MID(punkt_szczepień__13[[#This Row],[PESEL]],10,1))</f>
        <v>4</v>
      </c>
      <c r="L139" s="11" t="str">
        <f>IF(MOD(punkt_szczepień__13[[#This Row],[liczba płeć]],2)=0,"K","M")</f>
        <v>K</v>
      </c>
      <c r="M139" s="1"/>
      <c r="N139" s="1"/>
    </row>
    <row r="140" spans="1:14" x14ac:dyDescent="0.25">
      <c r="A140" s="1" t="s">
        <v>146</v>
      </c>
      <c r="B140" s="1" t="s">
        <v>27</v>
      </c>
      <c r="C140" s="2">
        <v>0.38686342592592593</v>
      </c>
      <c r="D140">
        <v>1</v>
      </c>
      <c r="E140">
        <f>VALUE(RIGHT(LEFT(punkt_szczepień__13[[#This Row],[PESEL]],4),2))</f>
        <v>6</v>
      </c>
      <c r="F140" s="11">
        <f>MOD(punkt_szczepień__13[[#This Row],[liczba miesiac]],20)</f>
        <v>6</v>
      </c>
      <c r="G140" s="11">
        <f>VLOOKUP(punkt_szczepień__13[[#This Row],[liczba miesiac]]-punkt_szczepień__13[[#This Row],[miesiac]],$O$3:$P$7,2,0)+VALUE(LEFT(punkt_szczepień__13[[#This Row],[PESEL]],2))</f>
        <v>1962</v>
      </c>
      <c r="H140" s="11">
        <f>VALUE(RIGHT(LEFT(punkt_szczepień__13[[#This Row],[PESEL]],6),2))</f>
        <v>25</v>
      </c>
      <c r="I140" s="3">
        <f>DATE(punkt_szczepień__13[[#This Row],[rok]],punkt_szczepień__13[[#This Row],[miesiac]],punkt_szczepień__13[[#This Row],[dzień]])</f>
        <v>22822</v>
      </c>
      <c r="J140" s="1" t="str">
        <f>punkt_szczepień__13[[#This Row],[PESEL]]</f>
        <v>62062544768</v>
      </c>
      <c r="K140" s="1">
        <f>VALUE(MID(punkt_szczepień__13[[#This Row],[PESEL]],10,1))</f>
        <v>6</v>
      </c>
      <c r="L140" s="11" t="str">
        <f>IF(MOD(punkt_szczepień__13[[#This Row],[liczba płeć]],2)=0,"K","M")</f>
        <v>K</v>
      </c>
      <c r="M140" s="1"/>
      <c r="N140" s="1"/>
    </row>
    <row r="141" spans="1:14" x14ac:dyDescent="0.25">
      <c r="A141" s="1" t="s">
        <v>147</v>
      </c>
      <c r="B141" s="1" t="s">
        <v>7</v>
      </c>
      <c r="C141" s="2">
        <v>0.38715277777777779</v>
      </c>
      <c r="D141">
        <v>1</v>
      </c>
      <c r="E141">
        <f>VALUE(RIGHT(LEFT(punkt_szczepień__13[[#This Row],[PESEL]],4),2))</f>
        <v>9</v>
      </c>
      <c r="F141" s="11">
        <f>MOD(punkt_szczepień__13[[#This Row],[liczba miesiac]],20)</f>
        <v>9</v>
      </c>
      <c r="G141" s="11">
        <f>VLOOKUP(punkt_szczepień__13[[#This Row],[liczba miesiac]]-punkt_szczepień__13[[#This Row],[miesiac]],$O$3:$P$7,2,0)+VALUE(LEFT(punkt_szczepień__13[[#This Row],[PESEL]],2))</f>
        <v>1991</v>
      </c>
      <c r="H141" s="11">
        <f>VALUE(RIGHT(LEFT(punkt_szczepień__13[[#This Row],[PESEL]],6),2))</f>
        <v>9</v>
      </c>
      <c r="I141" s="3">
        <f>DATE(punkt_szczepień__13[[#This Row],[rok]],punkt_szczepień__13[[#This Row],[miesiac]],punkt_szczepień__13[[#This Row],[dzień]])</f>
        <v>33490</v>
      </c>
      <c r="J141" s="1" t="str">
        <f>punkt_szczepień__13[[#This Row],[PESEL]]</f>
        <v>91090998791</v>
      </c>
      <c r="K141" s="1">
        <f>VALUE(MID(punkt_szczepień__13[[#This Row],[PESEL]],10,1))</f>
        <v>9</v>
      </c>
      <c r="L141" s="11" t="str">
        <f>IF(MOD(punkt_szczepień__13[[#This Row],[liczba płeć]],2)=0,"K","M")</f>
        <v>M</v>
      </c>
      <c r="M141" s="1"/>
      <c r="N141" s="1"/>
    </row>
    <row r="142" spans="1:14" x14ac:dyDescent="0.25">
      <c r="A142" s="1" t="s">
        <v>148</v>
      </c>
      <c r="B142" s="1" t="s">
        <v>5</v>
      </c>
      <c r="C142" s="2">
        <v>0.38773148148148145</v>
      </c>
      <c r="D142">
        <v>2</v>
      </c>
      <c r="E142">
        <f>VALUE(RIGHT(LEFT(punkt_szczepień__13[[#This Row],[PESEL]],4),2))</f>
        <v>7</v>
      </c>
      <c r="F142" s="11">
        <f>MOD(punkt_szczepień__13[[#This Row],[liczba miesiac]],20)</f>
        <v>7</v>
      </c>
      <c r="G142" s="11">
        <f>VLOOKUP(punkt_szczepień__13[[#This Row],[liczba miesiac]]-punkt_szczepień__13[[#This Row],[miesiac]],$O$3:$P$7,2,0)+VALUE(LEFT(punkt_szczepień__13[[#This Row],[PESEL]],2))</f>
        <v>1945</v>
      </c>
      <c r="H142" s="11">
        <f>VALUE(RIGHT(LEFT(punkt_szczepień__13[[#This Row],[PESEL]],6),2))</f>
        <v>8</v>
      </c>
      <c r="I142" s="3">
        <f>DATE(punkt_szczepień__13[[#This Row],[rok]],punkt_szczepień__13[[#This Row],[miesiac]],punkt_szczepień__13[[#This Row],[dzień]])</f>
        <v>16626</v>
      </c>
      <c r="J142" s="1" t="str">
        <f>punkt_szczepień__13[[#This Row],[PESEL]]</f>
        <v>45070896489</v>
      </c>
      <c r="K142" s="1">
        <f>VALUE(MID(punkt_szczepień__13[[#This Row],[PESEL]],10,1))</f>
        <v>8</v>
      </c>
      <c r="L142" s="11" t="str">
        <f>IF(MOD(punkt_szczepień__13[[#This Row],[liczba płeć]],2)=0,"K","M")</f>
        <v>K</v>
      </c>
      <c r="M142" s="1"/>
      <c r="N142" s="1"/>
    </row>
    <row r="143" spans="1:14" x14ac:dyDescent="0.25">
      <c r="A143" s="1" t="s">
        <v>149</v>
      </c>
      <c r="B143" s="1" t="s">
        <v>5</v>
      </c>
      <c r="C143" s="2">
        <v>0.38802083333333331</v>
      </c>
      <c r="D143">
        <v>1</v>
      </c>
      <c r="E143">
        <f>VALUE(RIGHT(LEFT(punkt_szczepień__13[[#This Row],[PESEL]],4),2))</f>
        <v>6</v>
      </c>
      <c r="F143" s="11">
        <f>MOD(punkt_szczepień__13[[#This Row],[liczba miesiac]],20)</f>
        <v>6</v>
      </c>
      <c r="G143" s="11">
        <f>VLOOKUP(punkt_szczepień__13[[#This Row],[liczba miesiac]]-punkt_szczepień__13[[#This Row],[miesiac]],$O$3:$P$7,2,0)+VALUE(LEFT(punkt_szczepień__13[[#This Row],[PESEL]],2))</f>
        <v>1975</v>
      </c>
      <c r="H143" s="11">
        <f>VALUE(RIGHT(LEFT(punkt_szczepień__13[[#This Row],[PESEL]],6),2))</f>
        <v>10</v>
      </c>
      <c r="I143" s="3">
        <f>DATE(punkt_szczepień__13[[#This Row],[rok]],punkt_szczepień__13[[#This Row],[miesiac]],punkt_szczepień__13[[#This Row],[dzień]])</f>
        <v>27555</v>
      </c>
      <c r="J143" s="1" t="str">
        <f>punkt_szczepień__13[[#This Row],[PESEL]]</f>
        <v>75061093928</v>
      </c>
      <c r="K143" s="1">
        <f>VALUE(MID(punkt_szczepień__13[[#This Row],[PESEL]],10,1))</f>
        <v>2</v>
      </c>
      <c r="L143" s="11" t="str">
        <f>IF(MOD(punkt_szczepień__13[[#This Row],[liczba płeć]],2)=0,"K","M")</f>
        <v>K</v>
      </c>
      <c r="M143" s="1"/>
      <c r="N143" s="1"/>
    </row>
    <row r="144" spans="1:14" x14ac:dyDescent="0.25">
      <c r="A144" s="1" t="s">
        <v>150</v>
      </c>
      <c r="B144" s="1" t="s">
        <v>7</v>
      </c>
      <c r="C144" s="2">
        <v>0.38831018518518517</v>
      </c>
      <c r="D144">
        <v>1</v>
      </c>
      <c r="E144">
        <f>VALUE(RIGHT(LEFT(punkt_szczepień__13[[#This Row],[PESEL]],4),2))</f>
        <v>4</v>
      </c>
      <c r="F144" s="11">
        <f>MOD(punkt_szczepień__13[[#This Row],[liczba miesiac]],20)</f>
        <v>4</v>
      </c>
      <c r="G144" s="11">
        <f>VLOOKUP(punkt_szczepień__13[[#This Row],[liczba miesiac]]-punkt_szczepień__13[[#This Row],[miesiac]],$O$3:$P$7,2,0)+VALUE(LEFT(punkt_szczepień__13[[#This Row],[PESEL]],2))</f>
        <v>1924</v>
      </c>
      <c r="H144" s="11">
        <f>VALUE(RIGHT(LEFT(punkt_szczepień__13[[#This Row],[PESEL]],6),2))</f>
        <v>5</v>
      </c>
      <c r="I144" s="3">
        <f>DATE(punkt_szczepień__13[[#This Row],[rok]],punkt_szczepień__13[[#This Row],[miesiac]],punkt_szczepień__13[[#This Row],[dzień]])</f>
        <v>8862</v>
      </c>
      <c r="J144" s="1" t="str">
        <f>punkt_szczepień__13[[#This Row],[PESEL]]</f>
        <v>24040515461</v>
      </c>
      <c r="K144" s="1">
        <f>VALUE(MID(punkt_szczepień__13[[#This Row],[PESEL]],10,1))</f>
        <v>6</v>
      </c>
      <c r="L144" s="11" t="str">
        <f>IF(MOD(punkt_szczepień__13[[#This Row],[liczba płeć]],2)=0,"K","M")</f>
        <v>K</v>
      </c>
      <c r="M144" s="1"/>
      <c r="N144" s="1"/>
    </row>
    <row r="145" spans="1:14" x14ac:dyDescent="0.25">
      <c r="A145" s="1" t="s">
        <v>151</v>
      </c>
      <c r="B145" s="1" t="s">
        <v>7</v>
      </c>
      <c r="C145" s="2">
        <v>0.38859953703703703</v>
      </c>
      <c r="D145">
        <v>1</v>
      </c>
      <c r="E145">
        <f>VALUE(RIGHT(LEFT(punkt_szczepień__13[[#This Row],[PESEL]],4),2))</f>
        <v>2</v>
      </c>
      <c r="F145" s="11">
        <f>MOD(punkt_szczepień__13[[#This Row],[liczba miesiac]],20)</f>
        <v>2</v>
      </c>
      <c r="G145" s="11">
        <f>VLOOKUP(punkt_szczepień__13[[#This Row],[liczba miesiac]]-punkt_szczepień__13[[#This Row],[miesiac]],$O$3:$P$7,2,0)+VALUE(LEFT(punkt_szczepień__13[[#This Row],[PESEL]],2))</f>
        <v>1991</v>
      </c>
      <c r="H145" s="11">
        <f>VALUE(RIGHT(LEFT(punkt_szczepień__13[[#This Row],[PESEL]],6),2))</f>
        <v>14</v>
      </c>
      <c r="I145" s="3">
        <f>DATE(punkt_szczepień__13[[#This Row],[rok]],punkt_szczepień__13[[#This Row],[miesiac]],punkt_szczepień__13[[#This Row],[dzień]])</f>
        <v>33283</v>
      </c>
      <c r="J145" s="1" t="str">
        <f>punkt_szczepień__13[[#This Row],[PESEL]]</f>
        <v>91021463961</v>
      </c>
      <c r="K145" s="1">
        <f>VALUE(MID(punkt_szczepień__13[[#This Row],[PESEL]],10,1))</f>
        <v>6</v>
      </c>
      <c r="L145" s="11" t="str">
        <f>IF(MOD(punkt_szczepień__13[[#This Row],[liczba płeć]],2)=0,"K","M")</f>
        <v>K</v>
      </c>
      <c r="M145" s="1"/>
      <c r="N145" s="1"/>
    </row>
    <row r="146" spans="1:14" x14ac:dyDescent="0.25">
      <c r="A146" s="1" t="s">
        <v>152</v>
      </c>
      <c r="B146" s="1" t="s">
        <v>9</v>
      </c>
      <c r="C146" s="2">
        <v>0.38917824074074076</v>
      </c>
      <c r="D146">
        <v>2</v>
      </c>
      <c r="E146">
        <f>VALUE(RIGHT(LEFT(punkt_szczepień__13[[#This Row],[PESEL]],4),2))</f>
        <v>25</v>
      </c>
      <c r="F146" s="11">
        <f>MOD(punkt_szczepień__13[[#This Row],[liczba miesiac]],20)</f>
        <v>5</v>
      </c>
      <c r="G146" s="11">
        <f>VLOOKUP(punkt_szczepień__13[[#This Row],[liczba miesiac]]-punkt_szczepień__13[[#This Row],[miesiac]],$O$3:$P$7,2,0)+VALUE(LEFT(punkt_szczepień__13[[#This Row],[PESEL]],2))</f>
        <v>2003</v>
      </c>
      <c r="H146" s="11">
        <f>VALUE(RIGHT(LEFT(punkt_szczepień__13[[#This Row],[PESEL]],6),2))</f>
        <v>26</v>
      </c>
      <c r="I146" s="3">
        <f>DATE(punkt_szczepień__13[[#This Row],[rok]],punkt_szczepień__13[[#This Row],[miesiac]],punkt_szczepień__13[[#This Row],[dzień]])</f>
        <v>37767</v>
      </c>
      <c r="J146" s="1" t="str">
        <f>punkt_szczepień__13[[#This Row],[PESEL]]</f>
        <v>03252684819</v>
      </c>
      <c r="K146" s="1">
        <f>VALUE(MID(punkt_szczepień__13[[#This Row],[PESEL]],10,1))</f>
        <v>1</v>
      </c>
      <c r="L146" s="11" t="str">
        <f>IF(MOD(punkt_szczepień__13[[#This Row],[liczba płeć]],2)=0,"K","M")</f>
        <v>M</v>
      </c>
      <c r="M146" s="1"/>
      <c r="N146" s="1"/>
    </row>
    <row r="147" spans="1:14" x14ac:dyDescent="0.25">
      <c r="A147" s="1" t="s">
        <v>153</v>
      </c>
      <c r="B147" s="1" t="s">
        <v>7</v>
      </c>
      <c r="C147" s="2">
        <v>0.38946759259259262</v>
      </c>
      <c r="D147">
        <v>1</v>
      </c>
      <c r="E147">
        <f>VALUE(RIGHT(LEFT(punkt_szczepień__13[[#This Row],[PESEL]],4),2))</f>
        <v>6</v>
      </c>
      <c r="F147" s="11">
        <f>MOD(punkt_szczepień__13[[#This Row],[liczba miesiac]],20)</f>
        <v>6</v>
      </c>
      <c r="G147" s="11">
        <f>VLOOKUP(punkt_szczepień__13[[#This Row],[liczba miesiac]]-punkt_szczepień__13[[#This Row],[miesiac]],$O$3:$P$7,2,0)+VALUE(LEFT(punkt_szczepień__13[[#This Row],[PESEL]],2))</f>
        <v>1965</v>
      </c>
      <c r="H147" s="11">
        <f>VALUE(RIGHT(LEFT(punkt_szczepień__13[[#This Row],[PESEL]],6),2))</f>
        <v>9</v>
      </c>
      <c r="I147" s="3">
        <f>DATE(punkt_szczepień__13[[#This Row],[rok]],punkt_szczepień__13[[#This Row],[miesiac]],punkt_szczepień__13[[#This Row],[dzień]])</f>
        <v>23902</v>
      </c>
      <c r="J147" s="1" t="str">
        <f>punkt_szczepień__13[[#This Row],[PESEL]]</f>
        <v>65060997484</v>
      </c>
      <c r="K147" s="1">
        <f>VALUE(MID(punkt_szczepień__13[[#This Row],[PESEL]],10,1))</f>
        <v>8</v>
      </c>
      <c r="L147" s="11" t="str">
        <f>IF(MOD(punkt_szczepień__13[[#This Row],[liczba płeć]],2)=0,"K","M")</f>
        <v>K</v>
      </c>
      <c r="M147" s="1"/>
      <c r="N147" s="1"/>
    </row>
    <row r="148" spans="1:14" x14ac:dyDescent="0.25">
      <c r="A148" s="1" t="s">
        <v>154</v>
      </c>
      <c r="B148" s="1" t="s">
        <v>9</v>
      </c>
      <c r="C148" s="2">
        <v>0.38975694444444442</v>
      </c>
      <c r="D148">
        <v>1</v>
      </c>
      <c r="E148">
        <f>VALUE(RIGHT(LEFT(punkt_szczepień__13[[#This Row],[PESEL]],4),2))</f>
        <v>11</v>
      </c>
      <c r="F148" s="11">
        <f>MOD(punkt_szczepień__13[[#This Row],[liczba miesiac]],20)</f>
        <v>11</v>
      </c>
      <c r="G148" s="11">
        <f>VLOOKUP(punkt_szczepień__13[[#This Row],[liczba miesiac]]-punkt_szczepień__13[[#This Row],[miesiac]],$O$3:$P$7,2,0)+VALUE(LEFT(punkt_szczepień__13[[#This Row],[PESEL]],2))</f>
        <v>1950</v>
      </c>
      <c r="H148" s="11">
        <f>VALUE(RIGHT(LEFT(punkt_szczepień__13[[#This Row],[PESEL]],6),2))</f>
        <v>29</v>
      </c>
      <c r="I148" s="3">
        <f>DATE(punkt_szczepień__13[[#This Row],[rok]],punkt_szczepień__13[[#This Row],[miesiac]],punkt_szczepień__13[[#This Row],[dzień]])</f>
        <v>18596</v>
      </c>
      <c r="J148" s="1" t="str">
        <f>punkt_szczepień__13[[#This Row],[PESEL]]</f>
        <v>50112986994</v>
      </c>
      <c r="K148" s="1">
        <f>VALUE(MID(punkt_szczepień__13[[#This Row],[PESEL]],10,1))</f>
        <v>9</v>
      </c>
      <c r="L148" s="11" t="str">
        <f>IF(MOD(punkt_szczepień__13[[#This Row],[liczba płeć]],2)=0,"K","M")</f>
        <v>M</v>
      </c>
      <c r="M148" s="1"/>
      <c r="N148" s="1"/>
    </row>
    <row r="149" spans="1:14" x14ac:dyDescent="0.25">
      <c r="A149" s="1" t="s">
        <v>155</v>
      </c>
      <c r="B149" s="1" t="s">
        <v>27</v>
      </c>
      <c r="C149" s="2">
        <v>0.39004629629629628</v>
      </c>
      <c r="D149">
        <v>1</v>
      </c>
      <c r="E149">
        <f>VALUE(RIGHT(LEFT(punkt_szczepień__13[[#This Row],[PESEL]],4),2))</f>
        <v>5</v>
      </c>
      <c r="F149" s="11">
        <f>MOD(punkt_szczepień__13[[#This Row],[liczba miesiac]],20)</f>
        <v>5</v>
      </c>
      <c r="G149" s="11">
        <f>VLOOKUP(punkt_szczepień__13[[#This Row],[liczba miesiac]]-punkt_szczepień__13[[#This Row],[miesiac]],$O$3:$P$7,2,0)+VALUE(LEFT(punkt_szczepień__13[[#This Row],[PESEL]],2))</f>
        <v>1992</v>
      </c>
      <c r="H149" s="11">
        <f>VALUE(RIGHT(LEFT(punkt_szczepień__13[[#This Row],[PESEL]],6),2))</f>
        <v>9</v>
      </c>
      <c r="I149" s="3">
        <f>DATE(punkt_szczepień__13[[#This Row],[rok]],punkt_szczepień__13[[#This Row],[miesiac]],punkt_szczepień__13[[#This Row],[dzień]])</f>
        <v>33733</v>
      </c>
      <c r="J149" s="1" t="str">
        <f>punkt_szczepień__13[[#This Row],[PESEL]]</f>
        <v>92050952574</v>
      </c>
      <c r="K149" s="1">
        <f>VALUE(MID(punkt_szczepień__13[[#This Row],[PESEL]],10,1))</f>
        <v>7</v>
      </c>
      <c r="L149" s="11" t="str">
        <f>IF(MOD(punkt_szczepień__13[[#This Row],[liczba płeć]],2)=0,"K","M")</f>
        <v>M</v>
      </c>
      <c r="M149" s="1"/>
      <c r="N149" s="1"/>
    </row>
    <row r="150" spans="1:14" x14ac:dyDescent="0.25">
      <c r="A150" s="1" t="s">
        <v>156</v>
      </c>
      <c r="B150" s="1" t="s">
        <v>7</v>
      </c>
      <c r="C150" s="2">
        <v>0.39033564814814814</v>
      </c>
      <c r="D150">
        <v>1</v>
      </c>
      <c r="E150">
        <f>VALUE(RIGHT(LEFT(punkt_szczepień__13[[#This Row],[PESEL]],4),2))</f>
        <v>1</v>
      </c>
      <c r="F150" s="11">
        <f>MOD(punkt_szczepień__13[[#This Row],[liczba miesiac]],20)</f>
        <v>1</v>
      </c>
      <c r="G150" s="11">
        <f>VLOOKUP(punkt_szczepień__13[[#This Row],[liczba miesiac]]-punkt_szczepień__13[[#This Row],[miesiac]],$O$3:$P$7,2,0)+VALUE(LEFT(punkt_szczepień__13[[#This Row],[PESEL]],2))</f>
        <v>1927</v>
      </c>
      <c r="H150" s="11">
        <f>VALUE(RIGHT(LEFT(punkt_szczepień__13[[#This Row],[PESEL]],6),2))</f>
        <v>31</v>
      </c>
      <c r="I150" s="3">
        <f>DATE(punkt_szczepień__13[[#This Row],[rok]],punkt_szczepień__13[[#This Row],[miesiac]],punkt_szczepień__13[[#This Row],[dzień]])</f>
        <v>9893</v>
      </c>
      <c r="J150" s="1" t="str">
        <f>punkt_szczepień__13[[#This Row],[PESEL]]</f>
        <v>27013163713</v>
      </c>
      <c r="K150" s="1">
        <f>VALUE(MID(punkt_szczepień__13[[#This Row],[PESEL]],10,1))</f>
        <v>1</v>
      </c>
      <c r="L150" s="11" t="str">
        <f>IF(MOD(punkt_szczepień__13[[#This Row],[liczba płeć]],2)=0,"K","M")</f>
        <v>M</v>
      </c>
      <c r="M150" s="1"/>
      <c r="N150" s="1"/>
    </row>
    <row r="151" spans="1:14" x14ac:dyDescent="0.25">
      <c r="A151" s="1" t="s">
        <v>157</v>
      </c>
      <c r="B151" s="1" t="s">
        <v>5</v>
      </c>
      <c r="C151" s="2">
        <v>0.390625</v>
      </c>
      <c r="D151">
        <v>1</v>
      </c>
      <c r="E151">
        <f>VALUE(RIGHT(LEFT(punkt_szczepień__13[[#This Row],[PESEL]],4),2))</f>
        <v>23</v>
      </c>
      <c r="F151" s="11">
        <f>MOD(punkt_szczepień__13[[#This Row],[liczba miesiac]],20)</f>
        <v>3</v>
      </c>
      <c r="G151" s="11">
        <f>VLOOKUP(punkt_szczepień__13[[#This Row],[liczba miesiac]]-punkt_szczepień__13[[#This Row],[miesiac]],$O$3:$P$7,2,0)+VALUE(LEFT(punkt_szczepień__13[[#This Row],[PESEL]],2))</f>
        <v>2000</v>
      </c>
      <c r="H151" s="11">
        <f>VALUE(RIGHT(LEFT(punkt_szczepień__13[[#This Row],[PESEL]],6),2))</f>
        <v>26</v>
      </c>
      <c r="I151" s="3">
        <f>DATE(punkt_szczepień__13[[#This Row],[rok]],punkt_szczepień__13[[#This Row],[miesiac]],punkt_szczepień__13[[#This Row],[dzień]])</f>
        <v>36611</v>
      </c>
      <c r="J151" s="1" t="str">
        <f>punkt_szczepień__13[[#This Row],[PESEL]]</f>
        <v>00232645181</v>
      </c>
      <c r="K151" s="1">
        <f>VALUE(MID(punkt_szczepień__13[[#This Row],[PESEL]],10,1))</f>
        <v>8</v>
      </c>
      <c r="L151" s="11" t="str">
        <f>IF(MOD(punkt_szczepień__13[[#This Row],[liczba płeć]],2)=0,"K","M")</f>
        <v>K</v>
      </c>
      <c r="M151" s="1"/>
      <c r="N151" s="1"/>
    </row>
    <row r="152" spans="1:14" x14ac:dyDescent="0.25">
      <c r="A152" s="1" t="s">
        <v>158</v>
      </c>
      <c r="B152" s="1" t="s">
        <v>9</v>
      </c>
      <c r="C152" s="2">
        <v>0.39120370370370372</v>
      </c>
      <c r="D152">
        <v>2</v>
      </c>
      <c r="E152">
        <f>VALUE(RIGHT(LEFT(punkt_szczepień__13[[#This Row],[PESEL]],4),2))</f>
        <v>27</v>
      </c>
      <c r="F152" s="11">
        <f>MOD(punkt_szczepień__13[[#This Row],[liczba miesiac]],20)</f>
        <v>7</v>
      </c>
      <c r="G152" s="11">
        <f>VLOOKUP(punkt_szczepień__13[[#This Row],[liczba miesiac]]-punkt_szczepień__13[[#This Row],[miesiac]],$O$3:$P$7,2,0)+VALUE(LEFT(punkt_szczepień__13[[#This Row],[PESEL]],2))</f>
        <v>2005</v>
      </c>
      <c r="H152" s="11">
        <f>VALUE(RIGHT(LEFT(punkt_szczepień__13[[#This Row],[PESEL]],6),2))</f>
        <v>27</v>
      </c>
      <c r="I152" s="3">
        <f>DATE(punkt_szczepień__13[[#This Row],[rok]],punkt_szczepień__13[[#This Row],[miesiac]],punkt_szczepień__13[[#This Row],[dzień]])</f>
        <v>38560</v>
      </c>
      <c r="J152" s="1" t="str">
        <f>punkt_szczepień__13[[#This Row],[PESEL]]</f>
        <v>05272744926</v>
      </c>
      <c r="K152" s="1">
        <f>VALUE(MID(punkt_szczepień__13[[#This Row],[PESEL]],10,1))</f>
        <v>2</v>
      </c>
      <c r="L152" s="11" t="str">
        <f>IF(MOD(punkt_szczepień__13[[#This Row],[liczba płeć]],2)=0,"K","M")</f>
        <v>K</v>
      </c>
      <c r="M152" s="1"/>
      <c r="N152" s="1"/>
    </row>
    <row r="153" spans="1:14" x14ac:dyDescent="0.25">
      <c r="A153" s="1" t="s">
        <v>159</v>
      </c>
      <c r="B153" s="1" t="s">
        <v>7</v>
      </c>
      <c r="C153" s="2">
        <v>0.39149305555555558</v>
      </c>
      <c r="D153">
        <v>1</v>
      </c>
      <c r="E153">
        <f>VALUE(RIGHT(LEFT(punkt_szczepień__13[[#This Row],[PESEL]],4),2))</f>
        <v>5</v>
      </c>
      <c r="F153" s="11">
        <f>MOD(punkt_szczepień__13[[#This Row],[liczba miesiac]],20)</f>
        <v>5</v>
      </c>
      <c r="G153" s="11">
        <f>VLOOKUP(punkt_szczepień__13[[#This Row],[liczba miesiac]]-punkt_szczepień__13[[#This Row],[miesiac]],$O$3:$P$7,2,0)+VALUE(LEFT(punkt_szczepień__13[[#This Row],[PESEL]],2))</f>
        <v>1961</v>
      </c>
      <c r="H153" s="11">
        <f>VALUE(RIGHT(LEFT(punkt_szczepień__13[[#This Row],[PESEL]],6),2))</f>
        <v>10</v>
      </c>
      <c r="I153" s="3">
        <f>DATE(punkt_szczepień__13[[#This Row],[rok]],punkt_szczepień__13[[#This Row],[miesiac]],punkt_szczepień__13[[#This Row],[dzień]])</f>
        <v>22411</v>
      </c>
      <c r="J153" s="1" t="str">
        <f>punkt_szczepień__13[[#This Row],[PESEL]]</f>
        <v>61051099636</v>
      </c>
      <c r="K153" s="1">
        <f>VALUE(MID(punkt_szczepień__13[[#This Row],[PESEL]],10,1))</f>
        <v>3</v>
      </c>
      <c r="L153" s="11" t="str">
        <f>IF(MOD(punkt_szczepień__13[[#This Row],[liczba płeć]],2)=0,"K","M")</f>
        <v>M</v>
      </c>
      <c r="M153" s="1"/>
      <c r="N153" s="1"/>
    </row>
    <row r="154" spans="1:14" x14ac:dyDescent="0.25">
      <c r="A154" s="1" t="s">
        <v>160</v>
      </c>
      <c r="B154" s="1" t="s">
        <v>7</v>
      </c>
      <c r="C154" s="2">
        <v>0.39178240740740738</v>
      </c>
      <c r="D154">
        <v>1</v>
      </c>
      <c r="E154">
        <f>VALUE(RIGHT(LEFT(punkt_szczepień__13[[#This Row],[PESEL]],4),2))</f>
        <v>30</v>
      </c>
      <c r="F154" s="11">
        <f>MOD(punkt_szczepień__13[[#This Row],[liczba miesiac]],20)</f>
        <v>10</v>
      </c>
      <c r="G154" s="11">
        <f>VLOOKUP(punkt_szczepień__13[[#This Row],[liczba miesiac]]-punkt_szczepień__13[[#This Row],[miesiac]],$O$3:$P$7,2,0)+VALUE(LEFT(punkt_szczepień__13[[#This Row],[PESEL]],2))</f>
        <v>2007</v>
      </c>
      <c r="H154" s="11">
        <f>VALUE(RIGHT(LEFT(punkt_szczepień__13[[#This Row],[PESEL]],6),2))</f>
        <v>23</v>
      </c>
      <c r="I154" s="3">
        <f>DATE(punkt_szczepień__13[[#This Row],[rok]],punkt_szczepień__13[[#This Row],[miesiac]],punkt_szczepień__13[[#This Row],[dzień]])</f>
        <v>39378</v>
      </c>
      <c r="J154" s="1" t="str">
        <f>punkt_szczepień__13[[#This Row],[PESEL]]</f>
        <v>07302347297</v>
      </c>
      <c r="K154" s="1">
        <f>VALUE(MID(punkt_szczepień__13[[#This Row],[PESEL]],10,1))</f>
        <v>9</v>
      </c>
      <c r="L154" s="11" t="str">
        <f>IF(MOD(punkt_szczepień__13[[#This Row],[liczba płeć]],2)=0,"K","M")</f>
        <v>M</v>
      </c>
      <c r="M154" s="1"/>
      <c r="N154" s="1"/>
    </row>
    <row r="155" spans="1:14" x14ac:dyDescent="0.25">
      <c r="A155" s="1" t="s">
        <v>161</v>
      </c>
      <c r="B155" s="1" t="s">
        <v>9</v>
      </c>
      <c r="C155" s="2">
        <v>0.39207175925925924</v>
      </c>
      <c r="D155">
        <v>1</v>
      </c>
      <c r="E155">
        <f>VALUE(RIGHT(LEFT(punkt_szczepień__13[[#This Row],[PESEL]],4),2))</f>
        <v>3</v>
      </c>
      <c r="F155" s="11">
        <f>MOD(punkt_szczepień__13[[#This Row],[liczba miesiac]],20)</f>
        <v>3</v>
      </c>
      <c r="G155" s="11">
        <f>VLOOKUP(punkt_szczepień__13[[#This Row],[liczba miesiac]]-punkt_szczepień__13[[#This Row],[miesiac]],$O$3:$P$7,2,0)+VALUE(LEFT(punkt_szczepień__13[[#This Row],[PESEL]],2))</f>
        <v>1944</v>
      </c>
      <c r="H155" s="11">
        <f>VALUE(RIGHT(LEFT(punkt_szczepień__13[[#This Row],[PESEL]],6),2))</f>
        <v>4</v>
      </c>
      <c r="I155" s="3">
        <f>DATE(punkt_szczepień__13[[#This Row],[rok]],punkt_szczepień__13[[#This Row],[miesiac]],punkt_szczepień__13[[#This Row],[dzień]])</f>
        <v>16135</v>
      </c>
      <c r="J155" s="1" t="str">
        <f>punkt_szczepień__13[[#This Row],[PESEL]]</f>
        <v>44030414866</v>
      </c>
      <c r="K155" s="1">
        <f>VALUE(MID(punkt_szczepień__13[[#This Row],[PESEL]],10,1))</f>
        <v>6</v>
      </c>
      <c r="L155" s="11" t="str">
        <f>IF(MOD(punkt_szczepień__13[[#This Row],[liczba płeć]],2)=0,"K","M")</f>
        <v>K</v>
      </c>
      <c r="M155" s="1"/>
      <c r="N155" s="1"/>
    </row>
    <row r="156" spans="1:14" x14ac:dyDescent="0.25">
      <c r="A156" s="1" t="s">
        <v>162</v>
      </c>
      <c r="B156" s="1" t="s">
        <v>5</v>
      </c>
      <c r="C156" s="2">
        <v>0.3923611111111111</v>
      </c>
      <c r="D156">
        <v>1</v>
      </c>
      <c r="E156">
        <f>VALUE(RIGHT(LEFT(punkt_szczepień__13[[#This Row],[PESEL]],4),2))</f>
        <v>7</v>
      </c>
      <c r="F156" s="11">
        <f>MOD(punkt_szczepień__13[[#This Row],[liczba miesiac]],20)</f>
        <v>7</v>
      </c>
      <c r="G156" s="11">
        <f>VLOOKUP(punkt_szczepień__13[[#This Row],[liczba miesiac]]-punkt_szczepień__13[[#This Row],[miesiac]],$O$3:$P$7,2,0)+VALUE(LEFT(punkt_szczepień__13[[#This Row],[PESEL]],2))</f>
        <v>1924</v>
      </c>
      <c r="H156" s="11">
        <f>VALUE(RIGHT(LEFT(punkt_szczepień__13[[#This Row],[PESEL]],6),2))</f>
        <v>29</v>
      </c>
      <c r="I156" s="3">
        <f>DATE(punkt_szczepień__13[[#This Row],[rok]],punkt_szczepień__13[[#This Row],[miesiac]],punkt_szczepień__13[[#This Row],[dzień]])</f>
        <v>8977</v>
      </c>
      <c r="J156" s="1" t="str">
        <f>punkt_szczepień__13[[#This Row],[PESEL]]</f>
        <v>24072971778</v>
      </c>
      <c r="K156" s="1">
        <f>VALUE(MID(punkt_szczepień__13[[#This Row],[PESEL]],10,1))</f>
        <v>7</v>
      </c>
      <c r="L156" s="11" t="str">
        <f>IF(MOD(punkt_szczepień__13[[#This Row],[liczba płeć]],2)=0,"K","M")</f>
        <v>M</v>
      </c>
      <c r="M156" s="1"/>
      <c r="N156" s="1"/>
    </row>
    <row r="157" spans="1:14" x14ac:dyDescent="0.25">
      <c r="A157" s="1" t="s">
        <v>163</v>
      </c>
      <c r="B157" s="1" t="s">
        <v>5</v>
      </c>
      <c r="C157" s="2">
        <v>0.39293981481481483</v>
      </c>
      <c r="D157">
        <v>2</v>
      </c>
      <c r="E157">
        <f>VALUE(RIGHT(LEFT(punkt_szczepień__13[[#This Row],[PESEL]],4),2))</f>
        <v>11</v>
      </c>
      <c r="F157" s="11">
        <f>MOD(punkt_szczepień__13[[#This Row],[liczba miesiac]],20)</f>
        <v>11</v>
      </c>
      <c r="G157" s="11">
        <f>VLOOKUP(punkt_szczepień__13[[#This Row],[liczba miesiac]]-punkt_szczepień__13[[#This Row],[miesiac]],$O$3:$P$7,2,0)+VALUE(LEFT(punkt_szczepień__13[[#This Row],[PESEL]],2))</f>
        <v>1939</v>
      </c>
      <c r="H157" s="11">
        <f>VALUE(RIGHT(LEFT(punkt_szczepień__13[[#This Row],[PESEL]],6),2))</f>
        <v>1</v>
      </c>
      <c r="I157" s="3">
        <f>DATE(punkt_szczepień__13[[#This Row],[rok]],punkt_szczepień__13[[#This Row],[miesiac]],punkt_szczepień__13[[#This Row],[dzień]])</f>
        <v>14550</v>
      </c>
      <c r="J157" s="1" t="str">
        <f>punkt_szczepień__13[[#This Row],[PESEL]]</f>
        <v>39110151243</v>
      </c>
      <c r="K157" s="1">
        <f>VALUE(MID(punkt_szczepień__13[[#This Row],[PESEL]],10,1))</f>
        <v>4</v>
      </c>
      <c r="L157" s="11" t="str">
        <f>IF(MOD(punkt_szczepień__13[[#This Row],[liczba płeć]],2)=0,"K","M")</f>
        <v>K</v>
      </c>
      <c r="M157" s="1"/>
      <c r="N157" s="1"/>
    </row>
    <row r="158" spans="1:14" x14ac:dyDescent="0.25">
      <c r="A158" s="1" t="s">
        <v>164</v>
      </c>
      <c r="B158" s="1" t="s">
        <v>27</v>
      </c>
      <c r="C158" s="2">
        <v>0.39351851851851855</v>
      </c>
      <c r="D158">
        <v>2</v>
      </c>
      <c r="E158">
        <f>VALUE(RIGHT(LEFT(punkt_szczepień__13[[#This Row],[PESEL]],4),2))</f>
        <v>6</v>
      </c>
      <c r="F158" s="11">
        <f>MOD(punkt_szczepień__13[[#This Row],[liczba miesiac]],20)</f>
        <v>6</v>
      </c>
      <c r="G158" s="11">
        <f>VLOOKUP(punkt_szczepień__13[[#This Row],[liczba miesiac]]-punkt_szczepień__13[[#This Row],[miesiac]],$O$3:$P$7,2,0)+VALUE(LEFT(punkt_szczepień__13[[#This Row],[PESEL]],2))</f>
        <v>1994</v>
      </c>
      <c r="H158" s="11">
        <f>VALUE(RIGHT(LEFT(punkt_szczepień__13[[#This Row],[PESEL]],6),2))</f>
        <v>24</v>
      </c>
      <c r="I158" s="3">
        <f>DATE(punkt_szczepień__13[[#This Row],[rok]],punkt_szczepień__13[[#This Row],[miesiac]],punkt_szczepień__13[[#This Row],[dzień]])</f>
        <v>34509</v>
      </c>
      <c r="J158" s="1" t="str">
        <f>punkt_szczepień__13[[#This Row],[PESEL]]</f>
        <v>94062419713</v>
      </c>
      <c r="K158" s="1">
        <f>VALUE(MID(punkt_szczepień__13[[#This Row],[PESEL]],10,1))</f>
        <v>1</v>
      </c>
      <c r="L158" s="11" t="str">
        <f>IF(MOD(punkt_szczepień__13[[#This Row],[liczba płeć]],2)=0,"K","M")</f>
        <v>M</v>
      </c>
      <c r="M158" s="1"/>
      <c r="N158" s="1"/>
    </row>
    <row r="159" spans="1:14" x14ac:dyDescent="0.25">
      <c r="A159" s="1" t="s">
        <v>165</v>
      </c>
      <c r="B159" s="1" t="s">
        <v>27</v>
      </c>
      <c r="C159" s="2">
        <v>0.39409722222222221</v>
      </c>
      <c r="D159">
        <v>2</v>
      </c>
      <c r="E159">
        <f>VALUE(RIGHT(LEFT(punkt_szczepień__13[[#This Row],[PESEL]],4),2))</f>
        <v>4</v>
      </c>
      <c r="F159" s="11">
        <f>MOD(punkt_szczepień__13[[#This Row],[liczba miesiac]],20)</f>
        <v>4</v>
      </c>
      <c r="G159" s="11">
        <f>VLOOKUP(punkt_szczepień__13[[#This Row],[liczba miesiac]]-punkt_szczepień__13[[#This Row],[miesiac]],$O$3:$P$7,2,0)+VALUE(LEFT(punkt_szczepień__13[[#This Row],[PESEL]],2))</f>
        <v>1976</v>
      </c>
      <c r="H159" s="11">
        <f>VALUE(RIGHT(LEFT(punkt_szczepień__13[[#This Row],[PESEL]],6),2))</f>
        <v>7</v>
      </c>
      <c r="I159" s="3">
        <f>DATE(punkt_szczepień__13[[#This Row],[rok]],punkt_szczepień__13[[#This Row],[miesiac]],punkt_szczepień__13[[#This Row],[dzień]])</f>
        <v>27857</v>
      </c>
      <c r="J159" s="1" t="str">
        <f>punkt_szczepień__13[[#This Row],[PESEL]]</f>
        <v>76040728262</v>
      </c>
      <c r="K159" s="1">
        <f>VALUE(MID(punkt_szczepień__13[[#This Row],[PESEL]],10,1))</f>
        <v>6</v>
      </c>
      <c r="L159" s="11" t="str">
        <f>IF(MOD(punkt_szczepień__13[[#This Row],[liczba płeć]],2)=0,"K","M")</f>
        <v>K</v>
      </c>
      <c r="M159" s="1"/>
      <c r="N159" s="1"/>
    </row>
    <row r="160" spans="1:14" x14ac:dyDescent="0.25">
      <c r="A160" s="1" t="s">
        <v>166</v>
      </c>
      <c r="B160" s="1" t="s">
        <v>7</v>
      </c>
      <c r="C160" s="2">
        <v>0.39438657407407407</v>
      </c>
      <c r="D160">
        <v>1</v>
      </c>
      <c r="E160">
        <f>VALUE(RIGHT(LEFT(punkt_szczepień__13[[#This Row],[PESEL]],4),2))</f>
        <v>29</v>
      </c>
      <c r="F160" s="11">
        <f>MOD(punkt_szczepień__13[[#This Row],[liczba miesiac]],20)</f>
        <v>9</v>
      </c>
      <c r="G160" s="11">
        <f>VLOOKUP(punkt_szczepień__13[[#This Row],[liczba miesiac]]-punkt_szczepień__13[[#This Row],[miesiac]],$O$3:$P$7,2,0)+VALUE(LEFT(punkt_szczepień__13[[#This Row],[PESEL]],2))</f>
        <v>2007</v>
      </c>
      <c r="H160" s="11">
        <f>VALUE(RIGHT(LEFT(punkt_szczepień__13[[#This Row],[PESEL]],6),2))</f>
        <v>14</v>
      </c>
      <c r="I160" s="3">
        <f>DATE(punkt_szczepień__13[[#This Row],[rok]],punkt_szczepień__13[[#This Row],[miesiac]],punkt_szczepień__13[[#This Row],[dzień]])</f>
        <v>39339</v>
      </c>
      <c r="J160" s="1" t="str">
        <f>punkt_szczepień__13[[#This Row],[PESEL]]</f>
        <v>07291427318</v>
      </c>
      <c r="K160" s="1">
        <f>VALUE(MID(punkt_szczepień__13[[#This Row],[PESEL]],10,1))</f>
        <v>1</v>
      </c>
      <c r="L160" s="11" t="str">
        <f>IF(MOD(punkt_szczepień__13[[#This Row],[liczba płeć]],2)=0,"K","M")</f>
        <v>M</v>
      </c>
      <c r="M160" s="1"/>
      <c r="N160" s="1"/>
    </row>
    <row r="161" spans="1:14" x14ac:dyDescent="0.25">
      <c r="A161" s="1" t="s">
        <v>167</v>
      </c>
      <c r="B161" s="1" t="s">
        <v>5</v>
      </c>
      <c r="C161" s="2">
        <v>0.39467592592592593</v>
      </c>
      <c r="D161">
        <v>1</v>
      </c>
      <c r="E161">
        <f>VALUE(RIGHT(LEFT(punkt_szczepień__13[[#This Row],[PESEL]],4),2))</f>
        <v>7</v>
      </c>
      <c r="F161" s="11">
        <f>MOD(punkt_szczepień__13[[#This Row],[liczba miesiac]],20)</f>
        <v>7</v>
      </c>
      <c r="G161" s="11">
        <f>VLOOKUP(punkt_szczepień__13[[#This Row],[liczba miesiac]]-punkt_szczepień__13[[#This Row],[miesiac]],$O$3:$P$7,2,0)+VALUE(LEFT(punkt_szczepień__13[[#This Row],[PESEL]],2))</f>
        <v>1979</v>
      </c>
      <c r="H161" s="11">
        <f>VALUE(RIGHT(LEFT(punkt_szczepień__13[[#This Row],[PESEL]],6),2))</f>
        <v>7</v>
      </c>
      <c r="I161" s="3">
        <f>DATE(punkt_szczepień__13[[#This Row],[rok]],punkt_szczepień__13[[#This Row],[miesiac]],punkt_szczepień__13[[#This Row],[dzień]])</f>
        <v>29043</v>
      </c>
      <c r="J161" s="1" t="str">
        <f>punkt_szczepień__13[[#This Row],[PESEL]]</f>
        <v>79070718249</v>
      </c>
      <c r="K161" s="1">
        <f>VALUE(MID(punkt_szczepień__13[[#This Row],[PESEL]],10,1))</f>
        <v>4</v>
      </c>
      <c r="L161" s="11" t="str">
        <f>IF(MOD(punkt_szczepień__13[[#This Row],[liczba płeć]],2)=0,"K","M")</f>
        <v>K</v>
      </c>
      <c r="M161" s="1"/>
      <c r="N161" s="1"/>
    </row>
    <row r="162" spans="1:14" x14ac:dyDescent="0.25">
      <c r="A162" s="1" t="s">
        <v>168</v>
      </c>
      <c r="B162" s="1" t="s">
        <v>9</v>
      </c>
      <c r="C162" s="2">
        <v>0.39525462962962965</v>
      </c>
      <c r="D162">
        <v>2</v>
      </c>
      <c r="E162">
        <f>VALUE(RIGHT(LEFT(punkt_szczepień__13[[#This Row],[PESEL]],4),2))</f>
        <v>12</v>
      </c>
      <c r="F162" s="11">
        <f>MOD(punkt_szczepień__13[[#This Row],[liczba miesiac]],20)</f>
        <v>12</v>
      </c>
      <c r="G162" s="11">
        <f>VLOOKUP(punkt_szczepień__13[[#This Row],[liczba miesiac]]-punkt_szczepień__13[[#This Row],[miesiac]],$O$3:$P$7,2,0)+VALUE(LEFT(punkt_szczepień__13[[#This Row],[PESEL]],2))</f>
        <v>1963</v>
      </c>
      <c r="H162" s="11">
        <f>VALUE(RIGHT(LEFT(punkt_szczepień__13[[#This Row],[PESEL]],6),2))</f>
        <v>23</v>
      </c>
      <c r="I162" s="3">
        <f>DATE(punkt_szczepień__13[[#This Row],[rok]],punkt_szczepień__13[[#This Row],[miesiac]],punkt_szczepień__13[[#This Row],[dzień]])</f>
        <v>23368</v>
      </c>
      <c r="J162" s="1" t="str">
        <f>punkt_szczepień__13[[#This Row],[PESEL]]</f>
        <v>63122321648</v>
      </c>
      <c r="K162" s="1">
        <f>VALUE(MID(punkt_szczepień__13[[#This Row],[PESEL]],10,1))</f>
        <v>4</v>
      </c>
      <c r="L162" s="11" t="str">
        <f>IF(MOD(punkt_szczepień__13[[#This Row],[liczba płeć]],2)=0,"K","M")</f>
        <v>K</v>
      </c>
      <c r="M162" s="1"/>
      <c r="N162" s="1"/>
    </row>
    <row r="163" spans="1:14" x14ac:dyDescent="0.25">
      <c r="A163" s="1" t="s">
        <v>169</v>
      </c>
      <c r="B163" s="1" t="s">
        <v>9</v>
      </c>
      <c r="C163" s="2">
        <v>0.39554398148148145</v>
      </c>
      <c r="D163">
        <v>1</v>
      </c>
      <c r="E163">
        <f>VALUE(RIGHT(LEFT(punkt_szczepień__13[[#This Row],[PESEL]],4),2))</f>
        <v>31</v>
      </c>
      <c r="F163" s="11">
        <f>MOD(punkt_szczepień__13[[#This Row],[liczba miesiac]],20)</f>
        <v>11</v>
      </c>
      <c r="G163" s="11">
        <f>VLOOKUP(punkt_szczepień__13[[#This Row],[liczba miesiac]]-punkt_szczepień__13[[#This Row],[miesiac]],$O$3:$P$7,2,0)+VALUE(LEFT(punkt_szczepień__13[[#This Row],[PESEL]],2))</f>
        <v>2008</v>
      </c>
      <c r="H163" s="11">
        <f>VALUE(RIGHT(LEFT(punkt_szczepień__13[[#This Row],[PESEL]],6),2))</f>
        <v>17</v>
      </c>
      <c r="I163" s="3">
        <f>DATE(punkt_szczepień__13[[#This Row],[rok]],punkt_szczepień__13[[#This Row],[miesiac]],punkt_szczepień__13[[#This Row],[dzień]])</f>
        <v>39769</v>
      </c>
      <c r="J163" s="1" t="str">
        <f>punkt_szczepień__13[[#This Row],[PESEL]]</f>
        <v>08311797114</v>
      </c>
      <c r="K163" s="1">
        <f>VALUE(MID(punkt_szczepień__13[[#This Row],[PESEL]],10,1))</f>
        <v>1</v>
      </c>
      <c r="L163" s="11" t="str">
        <f>IF(MOD(punkt_szczepień__13[[#This Row],[liczba płeć]],2)=0,"K","M")</f>
        <v>M</v>
      </c>
      <c r="M163" s="1"/>
      <c r="N163" s="1"/>
    </row>
    <row r="164" spans="1:14" x14ac:dyDescent="0.25">
      <c r="A164" s="1" t="s">
        <v>170</v>
      </c>
      <c r="B164" s="1" t="s">
        <v>9</v>
      </c>
      <c r="C164" s="2">
        <v>0.39612268518518517</v>
      </c>
      <c r="D164">
        <v>2</v>
      </c>
      <c r="E164">
        <f>VALUE(RIGHT(LEFT(punkt_szczepień__13[[#This Row],[PESEL]],4),2))</f>
        <v>6</v>
      </c>
      <c r="F164" s="11">
        <f>MOD(punkt_szczepień__13[[#This Row],[liczba miesiac]],20)</f>
        <v>6</v>
      </c>
      <c r="G164" s="11">
        <f>VLOOKUP(punkt_szczepień__13[[#This Row],[liczba miesiac]]-punkt_szczepień__13[[#This Row],[miesiac]],$O$3:$P$7,2,0)+VALUE(LEFT(punkt_szczepień__13[[#This Row],[PESEL]],2))</f>
        <v>1937</v>
      </c>
      <c r="H164" s="11">
        <f>VALUE(RIGHT(LEFT(punkt_szczepień__13[[#This Row],[PESEL]],6),2))</f>
        <v>28</v>
      </c>
      <c r="I164" s="3">
        <f>DATE(punkt_szczepień__13[[#This Row],[rok]],punkt_szczepień__13[[#This Row],[miesiac]],punkt_szczepień__13[[#This Row],[dzień]])</f>
        <v>13694</v>
      </c>
      <c r="J164" s="1" t="str">
        <f>punkt_szczepień__13[[#This Row],[PESEL]]</f>
        <v>37062822738</v>
      </c>
      <c r="K164" s="1">
        <f>VALUE(MID(punkt_szczepień__13[[#This Row],[PESEL]],10,1))</f>
        <v>3</v>
      </c>
      <c r="L164" s="11" t="str">
        <f>IF(MOD(punkt_szczepień__13[[#This Row],[liczba płeć]],2)=0,"K","M")</f>
        <v>M</v>
      </c>
      <c r="M164" s="1"/>
      <c r="N164" s="1"/>
    </row>
    <row r="165" spans="1:14" x14ac:dyDescent="0.25">
      <c r="A165" s="1" t="s">
        <v>171</v>
      </c>
      <c r="B165" s="1" t="s">
        <v>7</v>
      </c>
      <c r="C165" s="2">
        <v>0.39641203703703703</v>
      </c>
      <c r="D165">
        <v>1</v>
      </c>
      <c r="E165">
        <f>VALUE(RIGHT(LEFT(punkt_szczepień__13[[#This Row],[PESEL]],4),2))</f>
        <v>5</v>
      </c>
      <c r="F165" s="11">
        <f>MOD(punkt_szczepień__13[[#This Row],[liczba miesiac]],20)</f>
        <v>5</v>
      </c>
      <c r="G165" s="11">
        <f>VLOOKUP(punkt_szczepień__13[[#This Row],[liczba miesiac]]-punkt_szczepień__13[[#This Row],[miesiac]],$O$3:$P$7,2,0)+VALUE(LEFT(punkt_szczepień__13[[#This Row],[PESEL]],2))</f>
        <v>1956</v>
      </c>
      <c r="H165" s="11">
        <f>VALUE(RIGHT(LEFT(punkt_szczepień__13[[#This Row],[PESEL]],6),2))</f>
        <v>11</v>
      </c>
      <c r="I165" s="3">
        <f>DATE(punkt_szczepień__13[[#This Row],[rok]],punkt_szczepień__13[[#This Row],[miesiac]],punkt_szczepień__13[[#This Row],[dzień]])</f>
        <v>20586</v>
      </c>
      <c r="J165" s="1" t="str">
        <f>punkt_szczepień__13[[#This Row],[PESEL]]</f>
        <v>56051159743</v>
      </c>
      <c r="K165" s="1">
        <f>VALUE(MID(punkt_szczepień__13[[#This Row],[PESEL]],10,1))</f>
        <v>4</v>
      </c>
      <c r="L165" s="11" t="str">
        <f>IF(MOD(punkt_szczepień__13[[#This Row],[liczba płeć]],2)=0,"K","M")</f>
        <v>K</v>
      </c>
      <c r="M165" s="1"/>
      <c r="N165" s="1"/>
    </row>
    <row r="166" spans="1:14" x14ac:dyDescent="0.25">
      <c r="A166" s="1" t="s">
        <v>172</v>
      </c>
      <c r="B166" s="1" t="s">
        <v>5</v>
      </c>
      <c r="C166" s="2">
        <v>0.39699074074074076</v>
      </c>
      <c r="D166">
        <v>2</v>
      </c>
      <c r="E166">
        <f>VALUE(RIGHT(LEFT(punkt_szczepień__13[[#This Row],[PESEL]],4),2))</f>
        <v>7</v>
      </c>
      <c r="F166" s="11">
        <f>MOD(punkt_szczepień__13[[#This Row],[liczba miesiac]],20)</f>
        <v>7</v>
      </c>
      <c r="G166" s="11">
        <f>VLOOKUP(punkt_szczepień__13[[#This Row],[liczba miesiac]]-punkt_szczepień__13[[#This Row],[miesiac]],$O$3:$P$7,2,0)+VALUE(LEFT(punkt_szczepień__13[[#This Row],[PESEL]],2))</f>
        <v>1994</v>
      </c>
      <c r="H166" s="11">
        <f>VALUE(RIGHT(LEFT(punkt_szczepień__13[[#This Row],[PESEL]],6),2))</f>
        <v>31</v>
      </c>
      <c r="I166" s="3">
        <f>DATE(punkt_szczepień__13[[#This Row],[rok]],punkt_szczepień__13[[#This Row],[miesiac]],punkt_szczepień__13[[#This Row],[dzień]])</f>
        <v>34546</v>
      </c>
      <c r="J166" s="1" t="str">
        <f>punkt_szczepień__13[[#This Row],[PESEL]]</f>
        <v>94073125933</v>
      </c>
      <c r="K166" s="1">
        <f>VALUE(MID(punkt_szczepień__13[[#This Row],[PESEL]],10,1))</f>
        <v>3</v>
      </c>
      <c r="L166" s="11" t="str">
        <f>IF(MOD(punkt_szczepień__13[[#This Row],[liczba płeć]],2)=0,"K","M")</f>
        <v>M</v>
      </c>
      <c r="M166" s="1"/>
      <c r="N166" s="1"/>
    </row>
    <row r="167" spans="1:14" x14ac:dyDescent="0.25">
      <c r="A167" s="1" t="s">
        <v>173</v>
      </c>
      <c r="B167" s="1" t="s">
        <v>9</v>
      </c>
      <c r="C167" s="2">
        <v>0.39756944444444442</v>
      </c>
      <c r="D167">
        <v>2</v>
      </c>
      <c r="E167">
        <f>VALUE(RIGHT(LEFT(punkt_szczepień__13[[#This Row],[PESEL]],4),2))</f>
        <v>8</v>
      </c>
      <c r="F167" s="11">
        <f>MOD(punkt_szczepień__13[[#This Row],[liczba miesiac]],20)</f>
        <v>8</v>
      </c>
      <c r="G167" s="11">
        <f>VLOOKUP(punkt_szczepień__13[[#This Row],[liczba miesiac]]-punkt_szczepień__13[[#This Row],[miesiac]],$O$3:$P$7,2,0)+VALUE(LEFT(punkt_szczepień__13[[#This Row],[PESEL]],2))</f>
        <v>1936</v>
      </c>
      <c r="H167" s="11">
        <f>VALUE(RIGHT(LEFT(punkt_szczepień__13[[#This Row],[PESEL]],6),2))</f>
        <v>22</v>
      </c>
      <c r="I167" s="3">
        <f>DATE(punkt_szczepień__13[[#This Row],[rok]],punkt_szczepień__13[[#This Row],[miesiac]],punkt_szczepień__13[[#This Row],[dzień]])</f>
        <v>13384</v>
      </c>
      <c r="J167" s="1" t="str">
        <f>punkt_szczepień__13[[#This Row],[PESEL]]</f>
        <v>36082258958</v>
      </c>
      <c r="K167" s="1">
        <f>VALUE(MID(punkt_szczepień__13[[#This Row],[PESEL]],10,1))</f>
        <v>5</v>
      </c>
      <c r="L167" s="11" t="str">
        <f>IF(MOD(punkt_szczepień__13[[#This Row],[liczba płeć]],2)=0,"K","M")</f>
        <v>M</v>
      </c>
      <c r="M167" s="1"/>
      <c r="N167" s="1"/>
    </row>
    <row r="168" spans="1:14" x14ac:dyDescent="0.25">
      <c r="A168" s="1" t="s">
        <v>174</v>
      </c>
      <c r="B168" s="1" t="s">
        <v>9</v>
      </c>
      <c r="C168" s="2">
        <v>0.39785879629629628</v>
      </c>
      <c r="D168">
        <v>1</v>
      </c>
      <c r="E168">
        <f>VALUE(RIGHT(LEFT(punkt_szczepień__13[[#This Row],[PESEL]],4),2))</f>
        <v>21</v>
      </c>
      <c r="F168" s="11">
        <f>MOD(punkt_szczepień__13[[#This Row],[liczba miesiac]],20)</f>
        <v>1</v>
      </c>
      <c r="G168" s="11">
        <f>VLOOKUP(punkt_szczepień__13[[#This Row],[liczba miesiac]]-punkt_szczepień__13[[#This Row],[miesiac]],$O$3:$P$7,2,0)+VALUE(LEFT(punkt_szczepień__13[[#This Row],[PESEL]],2))</f>
        <v>2000</v>
      </c>
      <c r="H168" s="11">
        <f>VALUE(RIGHT(LEFT(punkt_szczepień__13[[#This Row],[PESEL]],6),2))</f>
        <v>24</v>
      </c>
      <c r="I168" s="3">
        <f>DATE(punkt_szczepień__13[[#This Row],[rok]],punkt_szczepień__13[[#This Row],[miesiac]],punkt_szczepień__13[[#This Row],[dzień]])</f>
        <v>36549</v>
      </c>
      <c r="J168" s="1" t="str">
        <f>punkt_szczepień__13[[#This Row],[PESEL]]</f>
        <v>00212411694</v>
      </c>
      <c r="K168" s="1">
        <f>VALUE(MID(punkt_szczepień__13[[#This Row],[PESEL]],10,1))</f>
        <v>9</v>
      </c>
      <c r="L168" s="11" t="str">
        <f>IF(MOD(punkt_szczepień__13[[#This Row],[liczba płeć]],2)=0,"K","M")</f>
        <v>M</v>
      </c>
      <c r="M168" s="1"/>
      <c r="N168" s="1"/>
    </row>
    <row r="169" spans="1:14" x14ac:dyDescent="0.25">
      <c r="A169" s="1" t="s">
        <v>175</v>
      </c>
      <c r="B169" s="1" t="s">
        <v>9</v>
      </c>
      <c r="C169" s="2">
        <v>0.3984375</v>
      </c>
      <c r="D169">
        <v>2</v>
      </c>
      <c r="E169">
        <f>VALUE(RIGHT(LEFT(punkt_szczepień__13[[#This Row],[PESEL]],4),2))</f>
        <v>7</v>
      </c>
      <c r="F169" s="11">
        <f>MOD(punkt_szczepień__13[[#This Row],[liczba miesiac]],20)</f>
        <v>7</v>
      </c>
      <c r="G169" s="11">
        <f>VLOOKUP(punkt_szczepień__13[[#This Row],[liczba miesiac]]-punkt_szczepień__13[[#This Row],[miesiac]],$O$3:$P$7,2,0)+VALUE(LEFT(punkt_szczepień__13[[#This Row],[PESEL]],2))</f>
        <v>1963</v>
      </c>
      <c r="H169" s="11">
        <f>VALUE(RIGHT(LEFT(punkt_szczepień__13[[#This Row],[PESEL]],6),2))</f>
        <v>19</v>
      </c>
      <c r="I169" s="3">
        <f>DATE(punkt_szczepień__13[[#This Row],[rok]],punkt_szczepień__13[[#This Row],[miesiac]],punkt_szczepień__13[[#This Row],[dzień]])</f>
        <v>23211</v>
      </c>
      <c r="J169" s="1" t="str">
        <f>punkt_szczepień__13[[#This Row],[PESEL]]</f>
        <v>63071973572</v>
      </c>
      <c r="K169" s="1">
        <f>VALUE(MID(punkt_szczepień__13[[#This Row],[PESEL]],10,1))</f>
        <v>7</v>
      </c>
      <c r="L169" s="11" t="str">
        <f>IF(MOD(punkt_szczepień__13[[#This Row],[liczba płeć]],2)=0,"K","M")</f>
        <v>M</v>
      </c>
      <c r="M169" s="1"/>
      <c r="N169" s="1"/>
    </row>
    <row r="170" spans="1:14" x14ac:dyDescent="0.25">
      <c r="A170" s="1" t="s">
        <v>176</v>
      </c>
      <c r="B170" s="1" t="s">
        <v>7</v>
      </c>
      <c r="C170" s="2">
        <v>0.39872685185185186</v>
      </c>
      <c r="D170">
        <v>1</v>
      </c>
      <c r="E170">
        <f>VALUE(RIGHT(LEFT(punkt_szczepień__13[[#This Row],[PESEL]],4),2))</f>
        <v>1</v>
      </c>
      <c r="F170" s="11">
        <f>MOD(punkt_szczepień__13[[#This Row],[liczba miesiac]],20)</f>
        <v>1</v>
      </c>
      <c r="G170" s="11">
        <f>VLOOKUP(punkt_szczepień__13[[#This Row],[liczba miesiac]]-punkt_szczepień__13[[#This Row],[miesiac]],$O$3:$P$7,2,0)+VALUE(LEFT(punkt_szczepień__13[[#This Row],[PESEL]],2))</f>
        <v>1959</v>
      </c>
      <c r="H170" s="11">
        <f>VALUE(RIGHT(LEFT(punkt_szczepień__13[[#This Row],[PESEL]],6),2))</f>
        <v>4</v>
      </c>
      <c r="I170" s="3">
        <f>DATE(punkt_szczepień__13[[#This Row],[rok]],punkt_szczepień__13[[#This Row],[miesiac]],punkt_szczepień__13[[#This Row],[dzień]])</f>
        <v>21554</v>
      </c>
      <c r="J170" s="1" t="str">
        <f>punkt_szczepień__13[[#This Row],[PESEL]]</f>
        <v>59010456695</v>
      </c>
      <c r="K170" s="1">
        <f>VALUE(MID(punkt_szczepień__13[[#This Row],[PESEL]],10,1))</f>
        <v>9</v>
      </c>
      <c r="L170" s="11" t="str">
        <f>IF(MOD(punkt_szczepień__13[[#This Row],[liczba płeć]],2)=0,"K","M")</f>
        <v>M</v>
      </c>
      <c r="M170" s="1"/>
      <c r="N170" s="1"/>
    </row>
    <row r="171" spans="1:14" x14ac:dyDescent="0.25">
      <c r="A171" s="1" t="s">
        <v>177</v>
      </c>
      <c r="B171" s="1" t="s">
        <v>5</v>
      </c>
      <c r="C171" s="2">
        <v>0.39930555555555558</v>
      </c>
      <c r="D171">
        <v>2</v>
      </c>
      <c r="E171">
        <f>VALUE(RIGHT(LEFT(punkt_szczepień__13[[#This Row],[PESEL]],4),2))</f>
        <v>4</v>
      </c>
      <c r="F171" s="11">
        <f>MOD(punkt_szczepień__13[[#This Row],[liczba miesiac]],20)</f>
        <v>4</v>
      </c>
      <c r="G171" s="11">
        <f>VLOOKUP(punkt_szczepień__13[[#This Row],[liczba miesiac]]-punkt_szczepień__13[[#This Row],[miesiac]],$O$3:$P$7,2,0)+VALUE(LEFT(punkt_szczepień__13[[#This Row],[PESEL]],2))</f>
        <v>1990</v>
      </c>
      <c r="H171" s="11">
        <f>VALUE(RIGHT(LEFT(punkt_szczepień__13[[#This Row],[PESEL]],6),2))</f>
        <v>19</v>
      </c>
      <c r="I171" s="3">
        <f>DATE(punkt_szczepień__13[[#This Row],[rok]],punkt_szczepień__13[[#This Row],[miesiac]],punkt_szczepień__13[[#This Row],[dzień]])</f>
        <v>32982</v>
      </c>
      <c r="J171" s="1" t="str">
        <f>punkt_szczepień__13[[#This Row],[PESEL]]</f>
        <v>90041954525</v>
      </c>
      <c r="K171" s="1">
        <f>VALUE(MID(punkt_szczepień__13[[#This Row],[PESEL]],10,1))</f>
        <v>2</v>
      </c>
      <c r="L171" s="11" t="str">
        <f>IF(MOD(punkt_szczepień__13[[#This Row],[liczba płeć]],2)=0,"K","M")</f>
        <v>K</v>
      </c>
      <c r="M171" s="1"/>
      <c r="N171" s="1"/>
    </row>
    <row r="172" spans="1:14" x14ac:dyDescent="0.25">
      <c r="A172" s="1" t="s">
        <v>178</v>
      </c>
      <c r="B172" s="1" t="s">
        <v>5</v>
      </c>
      <c r="C172" s="2">
        <v>0.39959490740740738</v>
      </c>
      <c r="D172">
        <v>1</v>
      </c>
      <c r="E172">
        <f>VALUE(RIGHT(LEFT(punkt_szczepień__13[[#This Row],[PESEL]],4),2))</f>
        <v>10</v>
      </c>
      <c r="F172" s="11">
        <f>MOD(punkt_szczepień__13[[#This Row],[liczba miesiac]],20)</f>
        <v>10</v>
      </c>
      <c r="G172" s="11">
        <f>VLOOKUP(punkt_szczepień__13[[#This Row],[liczba miesiac]]-punkt_szczepień__13[[#This Row],[miesiac]],$O$3:$P$7,2,0)+VALUE(LEFT(punkt_szczepień__13[[#This Row],[PESEL]],2))</f>
        <v>1958</v>
      </c>
      <c r="H172" s="11">
        <f>VALUE(RIGHT(LEFT(punkt_szczepień__13[[#This Row],[PESEL]],6),2))</f>
        <v>13</v>
      </c>
      <c r="I172" s="3">
        <f>DATE(punkt_szczepień__13[[#This Row],[rok]],punkt_szczepień__13[[#This Row],[miesiac]],punkt_szczepień__13[[#This Row],[dzień]])</f>
        <v>21471</v>
      </c>
      <c r="J172" s="1" t="str">
        <f>punkt_szczepień__13[[#This Row],[PESEL]]</f>
        <v>58101383247</v>
      </c>
      <c r="K172" s="1">
        <f>VALUE(MID(punkt_szczepień__13[[#This Row],[PESEL]],10,1))</f>
        <v>4</v>
      </c>
      <c r="L172" s="11" t="str">
        <f>IF(MOD(punkt_szczepień__13[[#This Row],[liczba płeć]],2)=0,"K","M")</f>
        <v>K</v>
      </c>
      <c r="M172" s="1"/>
      <c r="N172" s="1"/>
    </row>
    <row r="173" spans="1:14" x14ac:dyDescent="0.25">
      <c r="A173" s="1" t="s">
        <v>179</v>
      </c>
      <c r="B173" s="1" t="s">
        <v>5</v>
      </c>
      <c r="C173" s="2">
        <v>0.4001736111111111</v>
      </c>
      <c r="D173">
        <v>2</v>
      </c>
      <c r="E173">
        <f>VALUE(RIGHT(LEFT(punkt_szczepień__13[[#This Row],[PESEL]],4),2))</f>
        <v>24</v>
      </c>
      <c r="F173" s="11">
        <f>MOD(punkt_szczepień__13[[#This Row],[liczba miesiac]],20)</f>
        <v>4</v>
      </c>
      <c r="G173" s="11">
        <f>VLOOKUP(punkt_szczepień__13[[#This Row],[liczba miesiac]]-punkt_szczepień__13[[#This Row],[miesiac]],$O$3:$P$7,2,0)+VALUE(LEFT(punkt_szczepień__13[[#This Row],[PESEL]],2))</f>
        <v>2002</v>
      </c>
      <c r="H173" s="11">
        <f>VALUE(RIGHT(LEFT(punkt_szczepień__13[[#This Row],[PESEL]],6),2))</f>
        <v>15</v>
      </c>
      <c r="I173" s="3">
        <f>DATE(punkt_szczepień__13[[#This Row],[rok]],punkt_szczepień__13[[#This Row],[miesiac]],punkt_szczepień__13[[#This Row],[dzień]])</f>
        <v>37361</v>
      </c>
      <c r="J173" s="1" t="str">
        <f>punkt_szczepień__13[[#This Row],[PESEL]]</f>
        <v>02241531831</v>
      </c>
      <c r="K173" s="1">
        <f>VALUE(MID(punkt_szczepień__13[[#This Row],[PESEL]],10,1))</f>
        <v>3</v>
      </c>
      <c r="L173" s="11" t="str">
        <f>IF(MOD(punkt_szczepień__13[[#This Row],[liczba płeć]],2)=0,"K","M")</f>
        <v>M</v>
      </c>
      <c r="M173" s="1"/>
      <c r="N173" s="1"/>
    </row>
    <row r="174" spans="1:14" x14ac:dyDescent="0.25">
      <c r="A174" s="1" t="s">
        <v>180</v>
      </c>
      <c r="B174" s="1" t="s">
        <v>27</v>
      </c>
      <c r="C174" s="2">
        <v>0.40075231481481483</v>
      </c>
      <c r="D174">
        <v>2</v>
      </c>
      <c r="E174">
        <f>VALUE(RIGHT(LEFT(punkt_szczepień__13[[#This Row],[PESEL]],4),2))</f>
        <v>5</v>
      </c>
      <c r="F174" s="11">
        <f>MOD(punkt_szczepień__13[[#This Row],[liczba miesiac]],20)</f>
        <v>5</v>
      </c>
      <c r="G174" s="11">
        <f>VLOOKUP(punkt_szczepień__13[[#This Row],[liczba miesiac]]-punkt_szczepień__13[[#This Row],[miesiac]],$O$3:$P$7,2,0)+VALUE(LEFT(punkt_szczepień__13[[#This Row],[PESEL]],2))</f>
        <v>1963</v>
      </c>
      <c r="H174" s="11">
        <f>VALUE(RIGHT(LEFT(punkt_szczepień__13[[#This Row],[PESEL]],6),2))</f>
        <v>15</v>
      </c>
      <c r="I174" s="3">
        <f>DATE(punkt_szczepień__13[[#This Row],[rok]],punkt_szczepień__13[[#This Row],[miesiac]],punkt_szczepień__13[[#This Row],[dzień]])</f>
        <v>23146</v>
      </c>
      <c r="J174" s="1" t="str">
        <f>punkt_szczepień__13[[#This Row],[PESEL]]</f>
        <v>63051587142</v>
      </c>
      <c r="K174" s="1">
        <f>VALUE(MID(punkt_szczepień__13[[#This Row],[PESEL]],10,1))</f>
        <v>4</v>
      </c>
      <c r="L174" s="11" t="str">
        <f>IF(MOD(punkt_szczepień__13[[#This Row],[liczba płeć]],2)=0,"K","M")</f>
        <v>K</v>
      </c>
      <c r="M174" s="1"/>
      <c r="N174" s="1"/>
    </row>
    <row r="175" spans="1:14" x14ac:dyDescent="0.25">
      <c r="A175" s="1" t="s">
        <v>181</v>
      </c>
      <c r="B175" s="1" t="s">
        <v>27</v>
      </c>
      <c r="C175" s="2">
        <v>0.40104166666666669</v>
      </c>
      <c r="D175">
        <v>1</v>
      </c>
      <c r="E175">
        <f>VALUE(RIGHT(LEFT(punkt_szczepień__13[[#This Row],[PESEL]],4),2))</f>
        <v>10</v>
      </c>
      <c r="F175" s="11">
        <f>MOD(punkt_szczepień__13[[#This Row],[liczba miesiac]],20)</f>
        <v>10</v>
      </c>
      <c r="G175" s="11">
        <f>VLOOKUP(punkt_szczepień__13[[#This Row],[liczba miesiac]]-punkt_szczepień__13[[#This Row],[miesiac]],$O$3:$P$7,2,0)+VALUE(LEFT(punkt_szczepień__13[[#This Row],[PESEL]],2))</f>
        <v>1964</v>
      </c>
      <c r="H175" s="11">
        <f>VALUE(RIGHT(LEFT(punkt_szczepień__13[[#This Row],[PESEL]],6),2))</f>
        <v>23</v>
      </c>
      <c r="I175" s="3">
        <f>DATE(punkt_szczepień__13[[#This Row],[rok]],punkt_szczepień__13[[#This Row],[miesiac]],punkt_szczepień__13[[#This Row],[dzień]])</f>
        <v>23673</v>
      </c>
      <c r="J175" s="1" t="str">
        <f>punkt_szczepień__13[[#This Row],[PESEL]]</f>
        <v>64102333648</v>
      </c>
      <c r="K175" s="1">
        <f>VALUE(MID(punkt_szczepień__13[[#This Row],[PESEL]],10,1))</f>
        <v>4</v>
      </c>
      <c r="L175" s="11" t="str">
        <f>IF(MOD(punkt_szczepień__13[[#This Row],[liczba płeć]],2)=0,"K","M")</f>
        <v>K</v>
      </c>
      <c r="M175" s="1"/>
      <c r="N175" s="1"/>
    </row>
    <row r="176" spans="1:14" x14ac:dyDescent="0.25">
      <c r="A176" s="1" t="s">
        <v>182</v>
      </c>
      <c r="B176" s="1" t="s">
        <v>27</v>
      </c>
      <c r="C176" s="2">
        <v>0.40162037037037035</v>
      </c>
      <c r="D176">
        <v>2</v>
      </c>
      <c r="E176">
        <f>VALUE(RIGHT(LEFT(punkt_szczepień__13[[#This Row],[PESEL]],4),2))</f>
        <v>9</v>
      </c>
      <c r="F176" s="11">
        <f>MOD(punkt_szczepień__13[[#This Row],[liczba miesiac]],20)</f>
        <v>9</v>
      </c>
      <c r="G176" s="11">
        <f>VLOOKUP(punkt_szczepień__13[[#This Row],[liczba miesiac]]-punkt_szczepień__13[[#This Row],[miesiac]],$O$3:$P$7,2,0)+VALUE(LEFT(punkt_szczepień__13[[#This Row],[PESEL]],2))</f>
        <v>1970</v>
      </c>
      <c r="H176" s="11">
        <f>VALUE(RIGHT(LEFT(punkt_szczepień__13[[#This Row],[PESEL]],6),2))</f>
        <v>19</v>
      </c>
      <c r="I176" s="3">
        <f>DATE(punkt_szczepień__13[[#This Row],[rok]],punkt_szczepień__13[[#This Row],[miesiac]],punkt_szczepień__13[[#This Row],[dzień]])</f>
        <v>25830</v>
      </c>
      <c r="J176" s="1" t="str">
        <f>punkt_szczepień__13[[#This Row],[PESEL]]</f>
        <v>70091927892</v>
      </c>
      <c r="K176" s="1">
        <f>VALUE(MID(punkt_szczepień__13[[#This Row],[PESEL]],10,1))</f>
        <v>9</v>
      </c>
      <c r="L176" s="11" t="str">
        <f>IF(MOD(punkt_szczepień__13[[#This Row],[liczba płeć]],2)=0,"K","M")</f>
        <v>M</v>
      </c>
      <c r="M176" s="1"/>
      <c r="N176" s="1"/>
    </row>
    <row r="177" spans="1:14" x14ac:dyDescent="0.25">
      <c r="A177" s="1" t="s">
        <v>183</v>
      </c>
      <c r="B177" s="1" t="s">
        <v>7</v>
      </c>
      <c r="C177" s="2">
        <v>0.40190972222222221</v>
      </c>
      <c r="D177">
        <v>1</v>
      </c>
      <c r="E177">
        <f>VALUE(RIGHT(LEFT(punkt_szczepień__13[[#This Row],[PESEL]],4),2))</f>
        <v>2</v>
      </c>
      <c r="F177" s="11">
        <f>MOD(punkt_szczepień__13[[#This Row],[liczba miesiac]],20)</f>
        <v>2</v>
      </c>
      <c r="G177" s="11">
        <f>VLOOKUP(punkt_szczepień__13[[#This Row],[liczba miesiac]]-punkt_szczepień__13[[#This Row],[miesiac]],$O$3:$P$7,2,0)+VALUE(LEFT(punkt_szczepień__13[[#This Row],[PESEL]],2))</f>
        <v>1963</v>
      </c>
      <c r="H177" s="11">
        <f>VALUE(RIGHT(LEFT(punkt_szczepień__13[[#This Row],[PESEL]],6),2))</f>
        <v>7</v>
      </c>
      <c r="I177" s="3">
        <f>DATE(punkt_szczepień__13[[#This Row],[rok]],punkt_szczepień__13[[#This Row],[miesiac]],punkt_szczepień__13[[#This Row],[dzień]])</f>
        <v>23049</v>
      </c>
      <c r="J177" s="1" t="str">
        <f>punkt_szczepień__13[[#This Row],[PESEL]]</f>
        <v>63020713774</v>
      </c>
      <c r="K177" s="1">
        <f>VALUE(MID(punkt_szczepień__13[[#This Row],[PESEL]],10,1))</f>
        <v>7</v>
      </c>
      <c r="L177" s="11" t="str">
        <f>IF(MOD(punkt_szczepień__13[[#This Row],[liczba płeć]],2)=0,"K","M")</f>
        <v>M</v>
      </c>
      <c r="M177" s="1"/>
      <c r="N177" s="1"/>
    </row>
    <row r="178" spans="1:14" x14ac:dyDescent="0.25">
      <c r="A178" s="1" t="s">
        <v>184</v>
      </c>
      <c r="B178" s="1" t="s">
        <v>27</v>
      </c>
      <c r="C178" s="2">
        <v>0.40219907407407407</v>
      </c>
      <c r="D178">
        <v>1</v>
      </c>
      <c r="E178">
        <f>VALUE(RIGHT(LEFT(punkt_szczepień__13[[#This Row],[PESEL]],4),2))</f>
        <v>11</v>
      </c>
      <c r="F178" s="11">
        <f>MOD(punkt_szczepień__13[[#This Row],[liczba miesiac]],20)</f>
        <v>11</v>
      </c>
      <c r="G178" s="11">
        <f>VLOOKUP(punkt_szczepień__13[[#This Row],[liczba miesiac]]-punkt_szczepień__13[[#This Row],[miesiac]],$O$3:$P$7,2,0)+VALUE(LEFT(punkt_szczepień__13[[#This Row],[PESEL]],2))</f>
        <v>1989</v>
      </c>
      <c r="H178" s="11">
        <f>VALUE(RIGHT(LEFT(punkt_szczepień__13[[#This Row],[PESEL]],6),2))</f>
        <v>30</v>
      </c>
      <c r="I178" s="3">
        <f>DATE(punkt_szczepień__13[[#This Row],[rok]],punkt_szczepień__13[[#This Row],[miesiac]],punkt_szczepień__13[[#This Row],[dzień]])</f>
        <v>32842</v>
      </c>
      <c r="J178" s="1" t="str">
        <f>punkt_szczepień__13[[#This Row],[PESEL]]</f>
        <v>89113013767</v>
      </c>
      <c r="K178" s="1">
        <f>VALUE(MID(punkt_szczepień__13[[#This Row],[PESEL]],10,1))</f>
        <v>6</v>
      </c>
      <c r="L178" s="11" t="str">
        <f>IF(MOD(punkt_szczepień__13[[#This Row],[liczba płeć]],2)=0,"K","M")</f>
        <v>K</v>
      </c>
      <c r="M178" s="1"/>
      <c r="N178" s="1"/>
    </row>
    <row r="179" spans="1:14" x14ac:dyDescent="0.25">
      <c r="A179" s="1" t="s">
        <v>185</v>
      </c>
      <c r="B179" s="1" t="s">
        <v>7</v>
      </c>
      <c r="C179" s="2">
        <v>0.40248842592592593</v>
      </c>
      <c r="D179">
        <v>1</v>
      </c>
      <c r="E179">
        <f>VALUE(RIGHT(LEFT(punkt_szczepień__13[[#This Row],[PESEL]],4),2))</f>
        <v>7</v>
      </c>
      <c r="F179" s="11">
        <f>MOD(punkt_szczepień__13[[#This Row],[liczba miesiac]],20)</f>
        <v>7</v>
      </c>
      <c r="G179" s="11">
        <f>VLOOKUP(punkt_szczepień__13[[#This Row],[liczba miesiac]]-punkt_szczepień__13[[#This Row],[miesiac]],$O$3:$P$7,2,0)+VALUE(LEFT(punkt_szczepień__13[[#This Row],[PESEL]],2))</f>
        <v>1992</v>
      </c>
      <c r="H179" s="11">
        <f>VALUE(RIGHT(LEFT(punkt_szczepień__13[[#This Row],[PESEL]],6),2))</f>
        <v>24</v>
      </c>
      <c r="I179" s="3">
        <f>DATE(punkt_szczepień__13[[#This Row],[rok]],punkt_szczepień__13[[#This Row],[miesiac]],punkt_szczepień__13[[#This Row],[dzień]])</f>
        <v>33809</v>
      </c>
      <c r="J179" s="1" t="str">
        <f>punkt_szczepień__13[[#This Row],[PESEL]]</f>
        <v>92072495734</v>
      </c>
      <c r="K179" s="1">
        <f>VALUE(MID(punkt_szczepień__13[[#This Row],[PESEL]],10,1))</f>
        <v>3</v>
      </c>
      <c r="L179" s="11" t="str">
        <f>IF(MOD(punkt_szczepień__13[[#This Row],[liczba płeć]],2)=0,"K","M")</f>
        <v>M</v>
      </c>
      <c r="M179" s="1"/>
      <c r="N179" s="1"/>
    </row>
    <row r="180" spans="1:14" x14ac:dyDescent="0.25">
      <c r="A180" s="1" t="s">
        <v>186</v>
      </c>
      <c r="B180" s="1" t="s">
        <v>9</v>
      </c>
      <c r="C180" s="2">
        <v>0.40306712962962965</v>
      </c>
      <c r="D180">
        <v>2</v>
      </c>
      <c r="E180">
        <f>VALUE(RIGHT(LEFT(punkt_szczepień__13[[#This Row],[PESEL]],4),2))</f>
        <v>8</v>
      </c>
      <c r="F180" s="11">
        <f>MOD(punkt_szczepień__13[[#This Row],[liczba miesiac]],20)</f>
        <v>8</v>
      </c>
      <c r="G180" s="11">
        <f>VLOOKUP(punkt_szczepień__13[[#This Row],[liczba miesiac]]-punkt_szczepień__13[[#This Row],[miesiac]],$O$3:$P$7,2,0)+VALUE(LEFT(punkt_szczepień__13[[#This Row],[PESEL]],2))</f>
        <v>1949</v>
      </c>
      <c r="H180" s="11">
        <f>VALUE(RIGHT(LEFT(punkt_szczepień__13[[#This Row],[PESEL]],6),2))</f>
        <v>7</v>
      </c>
      <c r="I180" s="3">
        <f>DATE(punkt_szczepień__13[[#This Row],[rok]],punkt_szczepień__13[[#This Row],[miesiac]],punkt_szczepień__13[[#This Row],[dzień]])</f>
        <v>18117</v>
      </c>
      <c r="J180" s="1" t="str">
        <f>punkt_szczepień__13[[#This Row],[PESEL]]</f>
        <v>49080779631</v>
      </c>
      <c r="K180" s="1">
        <f>VALUE(MID(punkt_szczepień__13[[#This Row],[PESEL]],10,1))</f>
        <v>3</v>
      </c>
      <c r="L180" s="11" t="str">
        <f>IF(MOD(punkt_szczepień__13[[#This Row],[liczba płeć]],2)=0,"K","M")</f>
        <v>M</v>
      </c>
      <c r="M180" s="1"/>
      <c r="N180" s="1"/>
    </row>
    <row r="181" spans="1:14" x14ac:dyDescent="0.25">
      <c r="A181" s="1" t="s">
        <v>187</v>
      </c>
      <c r="B181" s="1" t="s">
        <v>9</v>
      </c>
      <c r="C181" s="2">
        <v>0.40364583333333331</v>
      </c>
      <c r="D181">
        <v>2</v>
      </c>
      <c r="E181">
        <f>VALUE(RIGHT(LEFT(punkt_szczepień__13[[#This Row],[PESEL]],4),2))</f>
        <v>9</v>
      </c>
      <c r="F181" s="11">
        <f>MOD(punkt_szczepień__13[[#This Row],[liczba miesiac]],20)</f>
        <v>9</v>
      </c>
      <c r="G181" s="11">
        <f>VLOOKUP(punkt_szczepień__13[[#This Row],[liczba miesiac]]-punkt_szczepień__13[[#This Row],[miesiac]],$O$3:$P$7,2,0)+VALUE(LEFT(punkt_szczepień__13[[#This Row],[PESEL]],2))</f>
        <v>1928</v>
      </c>
      <c r="H181" s="11">
        <f>VALUE(RIGHT(LEFT(punkt_szczepień__13[[#This Row],[PESEL]],6),2))</f>
        <v>26</v>
      </c>
      <c r="I181" s="3">
        <f>DATE(punkt_szczepień__13[[#This Row],[rok]],punkt_szczepień__13[[#This Row],[miesiac]],punkt_szczepień__13[[#This Row],[dzień]])</f>
        <v>10497</v>
      </c>
      <c r="J181" s="1" t="str">
        <f>punkt_szczepień__13[[#This Row],[PESEL]]</f>
        <v>28092633517</v>
      </c>
      <c r="K181" s="1">
        <f>VALUE(MID(punkt_szczepień__13[[#This Row],[PESEL]],10,1))</f>
        <v>1</v>
      </c>
      <c r="L181" s="11" t="str">
        <f>IF(MOD(punkt_szczepień__13[[#This Row],[liczba płeć]],2)=0,"K","M")</f>
        <v>M</v>
      </c>
      <c r="M181" s="1"/>
      <c r="N181" s="1"/>
    </row>
    <row r="182" spans="1:14" x14ac:dyDescent="0.25">
      <c r="A182" s="1" t="s">
        <v>188</v>
      </c>
      <c r="B182" s="1" t="s">
        <v>7</v>
      </c>
      <c r="C182" s="2">
        <v>0.40393518518518517</v>
      </c>
      <c r="D182">
        <v>1</v>
      </c>
      <c r="E182">
        <f>VALUE(RIGHT(LEFT(punkt_szczepień__13[[#This Row],[PESEL]],4),2))</f>
        <v>8</v>
      </c>
      <c r="F182" s="11">
        <f>MOD(punkt_szczepień__13[[#This Row],[liczba miesiac]],20)</f>
        <v>8</v>
      </c>
      <c r="G182" s="11">
        <f>VLOOKUP(punkt_szczepień__13[[#This Row],[liczba miesiac]]-punkt_szczepień__13[[#This Row],[miesiac]],$O$3:$P$7,2,0)+VALUE(LEFT(punkt_szczepień__13[[#This Row],[PESEL]],2))</f>
        <v>1921</v>
      </c>
      <c r="H182" s="11">
        <f>VALUE(RIGHT(LEFT(punkt_szczepień__13[[#This Row],[PESEL]],6),2))</f>
        <v>5</v>
      </c>
      <c r="I182" s="3">
        <f>DATE(punkt_szczepień__13[[#This Row],[rok]],punkt_szczepień__13[[#This Row],[miesiac]],punkt_szczepień__13[[#This Row],[dzień]])</f>
        <v>7888</v>
      </c>
      <c r="J182" s="1" t="str">
        <f>punkt_szczepień__13[[#This Row],[PESEL]]</f>
        <v>21080584273</v>
      </c>
      <c r="K182" s="1">
        <f>VALUE(MID(punkt_szczepień__13[[#This Row],[PESEL]],10,1))</f>
        <v>7</v>
      </c>
      <c r="L182" s="11" t="str">
        <f>IF(MOD(punkt_szczepień__13[[#This Row],[liczba płeć]],2)=0,"K","M")</f>
        <v>M</v>
      </c>
      <c r="M182" s="1"/>
      <c r="N182" s="1"/>
    </row>
    <row r="183" spans="1:14" x14ac:dyDescent="0.25">
      <c r="A183" s="1" t="s">
        <v>189</v>
      </c>
      <c r="B183" s="1" t="s">
        <v>7</v>
      </c>
      <c r="C183" s="2">
        <v>0.40422453703703703</v>
      </c>
      <c r="D183">
        <v>1</v>
      </c>
      <c r="E183">
        <f>VALUE(RIGHT(LEFT(punkt_szczepień__13[[#This Row],[PESEL]],4),2))</f>
        <v>11</v>
      </c>
      <c r="F183" s="11">
        <f>MOD(punkt_szczepień__13[[#This Row],[liczba miesiac]],20)</f>
        <v>11</v>
      </c>
      <c r="G183" s="11">
        <f>VLOOKUP(punkt_szczepień__13[[#This Row],[liczba miesiac]]-punkt_szczepień__13[[#This Row],[miesiac]],$O$3:$P$7,2,0)+VALUE(LEFT(punkt_szczepień__13[[#This Row],[PESEL]],2))</f>
        <v>1932</v>
      </c>
      <c r="H183" s="11">
        <f>VALUE(RIGHT(LEFT(punkt_szczepień__13[[#This Row],[PESEL]],6),2))</f>
        <v>25</v>
      </c>
      <c r="I183" s="3">
        <f>DATE(punkt_szczepień__13[[#This Row],[rok]],punkt_szczepień__13[[#This Row],[miesiac]],punkt_szczepień__13[[#This Row],[dzień]])</f>
        <v>12018</v>
      </c>
      <c r="J183" s="1" t="str">
        <f>punkt_szczepień__13[[#This Row],[PESEL]]</f>
        <v>32112595116</v>
      </c>
      <c r="K183" s="1">
        <f>VALUE(MID(punkt_szczepień__13[[#This Row],[PESEL]],10,1))</f>
        <v>1</v>
      </c>
      <c r="L183" s="11" t="str">
        <f>IF(MOD(punkt_szczepień__13[[#This Row],[liczba płeć]],2)=0,"K","M")</f>
        <v>M</v>
      </c>
      <c r="M183" s="1"/>
      <c r="N183" s="1"/>
    </row>
    <row r="184" spans="1:14" x14ac:dyDescent="0.25">
      <c r="A184" s="1" t="s">
        <v>190</v>
      </c>
      <c r="B184" s="1" t="s">
        <v>5</v>
      </c>
      <c r="C184" s="2">
        <v>0.40480324074074076</v>
      </c>
      <c r="D184">
        <v>2</v>
      </c>
      <c r="E184">
        <f>VALUE(RIGHT(LEFT(punkt_szczepień__13[[#This Row],[PESEL]],4),2))</f>
        <v>11</v>
      </c>
      <c r="F184" s="11">
        <f>MOD(punkt_szczepień__13[[#This Row],[liczba miesiac]],20)</f>
        <v>11</v>
      </c>
      <c r="G184" s="11">
        <f>VLOOKUP(punkt_szczepień__13[[#This Row],[liczba miesiac]]-punkt_szczepień__13[[#This Row],[miesiac]],$O$3:$P$7,2,0)+VALUE(LEFT(punkt_szczepień__13[[#This Row],[PESEL]],2))</f>
        <v>1920</v>
      </c>
      <c r="H184" s="11">
        <f>VALUE(RIGHT(LEFT(punkt_szczepień__13[[#This Row],[PESEL]],6),2))</f>
        <v>25</v>
      </c>
      <c r="I184" s="3">
        <f>DATE(punkt_szczepień__13[[#This Row],[rok]],punkt_szczepień__13[[#This Row],[miesiac]],punkt_szczepień__13[[#This Row],[dzień]])</f>
        <v>7635</v>
      </c>
      <c r="J184" s="1" t="str">
        <f>punkt_szczepień__13[[#This Row],[PESEL]]</f>
        <v>20112516264</v>
      </c>
      <c r="K184" s="1">
        <f>VALUE(MID(punkt_szczepień__13[[#This Row],[PESEL]],10,1))</f>
        <v>6</v>
      </c>
      <c r="L184" s="11" t="str">
        <f>IF(MOD(punkt_szczepień__13[[#This Row],[liczba płeć]],2)=0,"K","M")</f>
        <v>K</v>
      </c>
      <c r="M184" s="1"/>
      <c r="N184" s="1"/>
    </row>
    <row r="185" spans="1:14" x14ac:dyDescent="0.25">
      <c r="A185" s="1" t="s">
        <v>191</v>
      </c>
      <c r="B185" s="1" t="s">
        <v>7</v>
      </c>
      <c r="C185" s="2">
        <v>0.40509259259259262</v>
      </c>
      <c r="D185">
        <v>1</v>
      </c>
      <c r="E185">
        <f>VALUE(RIGHT(LEFT(punkt_szczepień__13[[#This Row],[PESEL]],4),2))</f>
        <v>11</v>
      </c>
      <c r="F185" s="11">
        <f>MOD(punkt_szczepień__13[[#This Row],[liczba miesiac]],20)</f>
        <v>11</v>
      </c>
      <c r="G185" s="11">
        <f>VLOOKUP(punkt_szczepień__13[[#This Row],[liczba miesiac]]-punkt_szczepień__13[[#This Row],[miesiac]],$O$3:$P$7,2,0)+VALUE(LEFT(punkt_szczepień__13[[#This Row],[PESEL]],2))</f>
        <v>1945</v>
      </c>
      <c r="H185" s="11">
        <f>VALUE(RIGHT(LEFT(punkt_szczepień__13[[#This Row],[PESEL]],6),2))</f>
        <v>5</v>
      </c>
      <c r="I185" s="3">
        <f>DATE(punkt_szczepień__13[[#This Row],[rok]],punkt_szczepień__13[[#This Row],[miesiac]],punkt_szczepień__13[[#This Row],[dzień]])</f>
        <v>16746</v>
      </c>
      <c r="J185" s="1" t="str">
        <f>punkt_szczepień__13[[#This Row],[PESEL]]</f>
        <v>45110598883</v>
      </c>
      <c r="K185" s="1">
        <f>VALUE(MID(punkt_szczepień__13[[#This Row],[PESEL]],10,1))</f>
        <v>8</v>
      </c>
      <c r="L185" s="11" t="str">
        <f>IF(MOD(punkt_szczepień__13[[#This Row],[liczba płeć]],2)=0,"K","M")</f>
        <v>K</v>
      </c>
      <c r="M185" s="1"/>
      <c r="N185" s="1"/>
    </row>
    <row r="186" spans="1:14" x14ac:dyDescent="0.25">
      <c r="A186" s="1" t="s">
        <v>192</v>
      </c>
      <c r="B186" s="1" t="s">
        <v>9</v>
      </c>
      <c r="C186" s="2">
        <v>0.40567129629629628</v>
      </c>
      <c r="D186">
        <v>2</v>
      </c>
      <c r="E186">
        <f>VALUE(RIGHT(LEFT(punkt_szczepień__13[[#This Row],[PESEL]],4),2))</f>
        <v>10</v>
      </c>
      <c r="F186" s="11">
        <f>MOD(punkt_szczepień__13[[#This Row],[liczba miesiac]],20)</f>
        <v>10</v>
      </c>
      <c r="G186" s="11">
        <f>VLOOKUP(punkt_szczepień__13[[#This Row],[liczba miesiac]]-punkt_szczepień__13[[#This Row],[miesiac]],$O$3:$P$7,2,0)+VALUE(LEFT(punkt_szczepień__13[[#This Row],[PESEL]],2))</f>
        <v>1921</v>
      </c>
      <c r="H186" s="11">
        <f>VALUE(RIGHT(LEFT(punkt_szczepień__13[[#This Row],[PESEL]],6),2))</f>
        <v>11</v>
      </c>
      <c r="I186" s="3">
        <f>DATE(punkt_szczepień__13[[#This Row],[rok]],punkt_szczepień__13[[#This Row],[miesiac]],punkt_szczepień__13[[#This Row],[dzień]])</f>
        <v>7955</v>
      </c>
      <c r="J186" s="1" t="str">
        <f>punkt_szczepień__13[[#This Row],[PESEL]]</f>
        <v>21101152285</v>
      </c>
      <c r="K186" s="1">
        <f>VALUE(MID(punkt_szczepień__13[[#This Row],[PESEL]],10,1))</f>
        <v>8</v>
      </c>
      <c r="L186" s="11" t="str">
        <f>IF(MOD(punkt_szczepień__13[[#This Row],[liczba płeć]],2)=0,"K","M")</f>
        <v>K</v>
      </c>
      <c r="M186" s="1"/>
      <c r="N186" s="1"/>
    </row>
    <row r="187" spans="1:14" x14ac:dyDescent="0.25">
      <c r="A187" s="1" t="s">
        <v>193</v>
      </c>
      <c r="B187" s="1" t="s">
        <v>7</v>
      </c>
      <c r="C187" s="2">
        <v>0.40596064814814814</v>
      </c>
      <c r="D187">
        <v>1</v>
      </c>
      <c r="E187">
        <f>VALUE(RIGHT(LEFT(punkt_szczepień__13[[#This Row],[PESEL]],4),2))</f>
        <v>30</v>
      </c>
      <c r="F187" s="11">
        <f>MOD(punkt_szczepień__13[[#This Row],[liczba miesiac]],20)</f>
        <v>10</v>
      </c>
      <c r="G187" s="11">
        <f>VLOOKUP(punkt_szczepień__13[[#This Row],[liczba miesiac]]-punkt_szczepień__13[[#This Row],[miesiac]],$O$3:$P$7,2,0)+VALUE(LEFT(punkt_szczepień__13[[#This Row],[PESEL]],2))</f>
        <v>2008</v>
      </c>
      <c r="H187" s="11">
        <f>VALUE(RIGHT(LEFT(punkt_szczepień__13[[#This Row],[PESEL]],6),2))</f>
        <v>21</v>
      </c>
      <c r="I187" s="3">
        <f>DATE(punkt_szczepień__13[[#This Row],[rok]],punkt_szczepień__13[[#This Row],[miesiac]],punkt_szczepień__13[[#This Row],[dzień]])</f>
        <v>39742</v>
      </c>
      <c r="J187" s="1" t="str">
        <f>punkt_szczepień__13[[#This Row],[PESEL]]</f>
        <v>08302171385</v>
      </c>
      <c r="K187" s="1">
        <f>VALUE(MID(punkt_szczepień__13[[#This Row],[PESEL]],10,1))</f>
        <v>8</v>
      </c>
      <c r="L187" s="11" t="str">
        <f>IF(MOD(punkt_szczepień__13[[#This Row],[liczba płeć]],2)=0,"K","M")</f>
        <v>K</v>
      </c>
      <c r="M187" s="1"/>
      <c r="N187" s="1"/>
    </row>
    <row r="188" spans="1:14" x14ac:dyDescent="0.25">
      <c r="A188" s="1" t="s">
        <v>194</v>
      </c>
      <c r="B188" s="1" t="s">
        <v>9</v>
      </c>
      <c r="C188" s="2">
        <v>0.40653935185185186</v>
      </c>
      <c r="D188">
        <v>2</v>
      </c>
      <c r="E188">
        <f>VALUE(RIGHT(LEFT(punkt_szczepień__13[[#This Row],[PESEL]],4),2))</f>
        <v>6</v>
      </c>
      <c r="F188" s="11">
        <f>MOD(punkt_szczepień__13[[#This Row],[liczba miesiac]],20)</f>
        <v>6</v>
      </c>
      <c r="G188" s="11">
        <f>VLOOKUP(punkt_szczepień__13[[#This Row],[liczba miesiac]]-punkt_szczepień__13[[#This Row],[miesiac]],$O$3:$P$7,2,0)+VALUE(LEFT(punkt_szczepień__13[[#This Row],[PESEL]],2))</f>
        <v>1983</v>
      </c>
      <c r="H188" s="11">
        <f>VALUE(RIGHT(LEFT(punkt_szczepień__13[[#This Row],[PESEL]],6),2))</f>
        <v>21</v>
      </c>
      <c r="I188" s="3">
        <f>DATE(punkt_szczepień__13[[#This Row],[rok]],punkt_szczepień__13[[#This Row],[miesiac]],punkt_szczepień__13[[#This Row],[dzień]])</f>
        <v>30488</v>
      </c>
      <c r="J188" s="1" t="str">
        <f>punkt_szczepień__13[[#This Row],[PESEL]]</f>
        <v>83062193714</v>
      </c>
      <c r="K188" s="1">
        <f>VALUE(MID(punkt_szczepień__13[[#This Row],[PESEL]],10,1))</f>
        <v>1</v>
      </c>
      <c r="L188" s="11" t="str">
        <f>IF(MOD(punkt_szczepień__13[[#This Row],[liczba płeć]],2)=0,"K","M")</f>
        <v>M</v>
      </c>
      <c r="M188" s="1"/>
      <c r="N188" s="1"/>
    </row>
    <row r="189" spans="1:14" x14ac:dyDescent="0.25">
      <c r="A189" s="1" t="s">
        <v>195</v>
      </c>
      <c r="B189" s="1" t="s">
        <v>7</v>
      </c>
      <c r="C189" s="2">
        <v>0.40682870370370372</v>
      </c>
      <c r="D189">
        <v>1</v>
      </c>
      <c r="E189">
        <f>VALUE(RIGHT(LEFT(punkt_szczepień__13[[#This Row],[PESEL]],4),2))</f>
        <v>6</v>
      </c>
      <c r="F189" s="11">
        <f>MOD(punkt_szczepień__13[[#This Row],[liczba miesiac]],20)</f>
        <v>6</v>
      </c>
      <c r="G189" s="11">
        <f>VLOOKUP(punkt_szczepień__13[[#This Row],[liczba miesiac]]-punkt_szczepień__13[[#This Row],[miesiac]],$O$3:$P$7,2,0)+VALUE(LEFT(punkt_szczepień__13[[#This Row],[PESEL]],2))</f>
        <v>1956</v>
      </c>
      <c r="H189" s="11">
        <f>VALUE(RIGHT(LEFT(punkt_szczepień__13[[#This Row],[PESEL]],6),2))</f>
        <v>26</v>
      </c>
      <c r="I189" s="3">
        <f>DATE(punkt_szczepień__13[[#This Row],[rok]],punkt_szczepień__13[[#This Row],[miesiac]],punkt_szczepień__13[[#This Row],[dzień]])</f>
        <v>20632</v>
      </c>
      <c r="J189" s="1" t="str">
        <f>punkt_szczepień__13[[#This Row],[PESEL]]</f>
        <v>56062628229</v>
      </c>
      <c r="K189" s="1">
        <f>VALUE(MID(punkt_szczepień__13[[#This Row],[PESEL]],10,1))</f>
        <v>2</v>
      </c>
      <c r="L189" s="11" t="str">
        <f>IF(MOD(punkt_szczepień__13[[#This Row],[liczba płeć]],2)=0,"K","M")</f>
        <v>K</v>
      </c>
      <c r="M189" s="1"/>
      <c r="N189" s="1"/>
    </row>
    <row r="190" spans="1:14" x14ac:dyDescent="0.25">
      <c r="A190" s="1" t="s">
        <v>196</v>
      </c>
      <c r="B190" s="1" t="s">
        <v>9</v>
      </c>
      <c r="C190" s="2">
        <v>0.40711805555555558</v>
      </c>
      <c r="D190">
        <v>1</v>
      </c>
      <c r="E190">
        <f>VALUE(RIGHT(LEFT(punkt_szczepień__13[[#This Row],[PESEL]],4),2))</f>
        <v>8</v>
      </c>
      <c r="F190" s="11">
        <f>MOD(punkt_szczepień__13[[#This Row],[liczba miesiac]],20)</f>
        <v>8</v>
      </c>
      <c r="G190" s="11">
        <f>VLOOKUP(punkt_szczepień__13[[#This Row],[liczba miesiac]]-punkt_szczepień__13[[#This Row],[miesiac]],$O$3:$P$7,2,0)+VALUE(LEFT(punkt_szczepień__13[[#This Row],[PESEL]],2))</f>
        <v>1960</v>
      </c>
      <c r="H190" s="11">
        <f>VALUE(RIGHT(LEFT(punkt_szczepień__13[[#This Row],[PESEL]],6),2))</f>
        <v>2</v>
      </c>
      <c r="I190" s="3">
        <f>DATE(punkt_szczepień__13[[#This Row],[rok]],punkt_szczepień__13[[#This Row],[miesiac]],punkt_szczepień__13[[#This Row],[dzień]])</f>
        <v>22130</v>
      </c>
      <c r="J190" s="1" t="str">
        <f>punkt_szczepień__13[[#This Row],[PESEL]]</f>
        <v>60080277677</v>
      </c>
      <c r="K190" s="1">
        <f>VALUE(MID(punkt_szczepień__13[[#This Row],[PESEL]],10,1))</f>
        <v>7</v>
      </c>
      <c r="L190" s="11" t="str">
        <f>IF(MOD(punkt_szczepień__13[[#This Row],[liczba płeć]],2)=0,"K","M")</f>
        <v>M</v>
      </c>
      <c r="M190" s="1"/>
      <c r="N190" s="1"/>
    </row>
    <row r="191" spans="1:14" x14ac:dyDescent="0.25">
      <c r="A191" s="1" t="s">
        <v>197</v>
      </c>
      <c r="B191" s="1" t="s">
        <v>7</v>
      </c>
      <c r="C191" s="2">
        <v>0.40740740740740738</v>
      </c>
      <c r="D191">
        <v>1</v>
      </c>
      <c r="E191">
        <f>VALUE(RIGHT(LEFT(punkt_szczepień__13[[#This Row],[PESEL]],4),2))</f>
        <v>7</v>
      </c>
      <c r="F191" s="11">
        <f>MOD(punkt_szczepień__13[[#This Row],[liczba miesiac]],20)</f>
        <v>7</v>
      </c>
      <c r="G191" s="11">
        <f>VLOOKUP(punkt_szczepień__13[[#This Row],[liczba miesiac]]-punkt_szczepień__13[[#This Row],[miesiac]],$O$3:$P$7,2,0)+VALUE(LEFT(punkt_szczepień__13[[#This Row],[PESEL]],2))</f>
        <v>1947</v>
      </c>
      <c r="H191" s="11">
        <f>VALUE(RIGHT(LEFT(punkt_szczepień__13[[#This Row],[PESEL]],6),2))</f>
        <v>13</v>
      </c>
      <c r="I191" s="3">
        <f>DATE(punkt_szczepień__13[[#This Row],[rok]],punkt_szczepień__13[[#This Row],[miesiac]],punkt_szczepień__13[[#This Row],[dzień]])</f>
        <v>17361</v>
      </c>
      <c r="J191" s="1" t="str">
        <f>punkt_szczepień__13[[#This Row],[PESEL]]</f>
        <v>47071349645</v>
      </c>
      <c r="K191" s="1">
        <f>VALUE(MID(punkt_szczepień__13[[#This Row],[PESEL]],10,1))</f>
        <v>4</v>
      </c>
      <c r="L191" s="11" t="str">
        <f>IF(MOD(punkt_szczepień__13[[#This Row],[liczba płeć]],2)=0,"K","M")</f>
        <v>K</v>
      </c>
      <c r="M191" s="1"/>
      <c r="N191" s="1"/>
    </row>
    <row r="192" spans="1:14" x14ac:dyDescent="0.25">
      <c r="A192" s="1" t="s">
        <v>198</v>
      </c>
      <c r="B192" s="1" t="s">
        <v>27</v>
      </c>
      <c r="C192" s="2">
        <v>0.40769675925925924</v>
      </c>
      <c r="D192">
        <v>1</v>
      </c>
      <c r="E192">
        <f>VALUE(RIGHT(LEFT(punkt_szczepień__13[[#This Row],[PESEL]],4),2))</f>
        <v>5</v>
      </c>
      <c r="F192" s="11">
        <f>MOD(punkt_szczepień__13[[#This Row],[liczba miesiac]],20)</f>
        <v>5</v>
      </c>
      <c r="G192" s="11">
        <f>VLOOKUP(punkt_szczepień__13[[#This Row],[liczba miesiac]]-punkt_szczepień__13[[#This Row],[miesiac]],$O$3:$P$7,2,0)+VALUE(LEFT(punkt_szczepień__13[[#This Row],[PESEL]],2))</f>
        <v>1949</v>
      </c>
      <c r="H192" s="11">
        <f>VALUE(RIGHT(LEFT(punkt_szczepień__13[[#This Row],[PESEL]],6),2))</f>
        <v>23</v>
      </c>
      <c r="I192" s="3">
        <f>DATE(punkt_szczepień__13[[#This Row],[rok]],punkt_szczepień__13[[#This Row],[miesiac]],punkt_szczepień__13[[#This Row],[dzień]])</f>
        <v>18041</v>
      </c>
      <c r="J192" s="1" t="str">
        <f>punkt_szczepień__13[[#This Row],[PESEL]]</f>
        <v>49052312275</v>
      </c>
      <c r="K192" s="1">
        <f>VALUE(MID(punkt_szczepień__13[[#This Row],[PESEL]],10,1))</f>
        <v>7</v>
      </c>
      <c r="L192" s="11" t="str">
        <f>IF(MOD(punkt_szczepień__13[[#This Row],[liczba płeć]],2)=0,"K","M")</f>
        <v>M</v>
      </c>
      <c r="M192" s="1"/>
      <c r="N192" s="1"/>
    </row>
    <row r="193" spans="1:14" x14ac:dyDescent="0.25">
      <c r="A193" s="1" t="s">
        <v>199</v>
      </c>
      <c r="B193" s="1" t="s">
        <v>7</v>
      </c>
      <c r="C193" s="2">
        <v>0.4079861111111111</v>
      </c>
      <c r="D193">
        <v>1</v>
      </c>
      <c r="E193">
        <f>VALUE(RIGHT(LEFT(punkt_szczepień__13[[#This Row],[PESEL]],4),2))</f>
        <v>9</v>
      </c>
      <c r="F193" s="11">
        <f>MOD(punkt_szczepień__13[[#This Row],[liczba miesiac]],20)</f>
        <v>9</v>
      </c>
      <c r="G193" s="11">
        <f>VLOOKUP(punkt_szczepień__13[[#This Row],[liczba miesiac]]-punkt_szczepień__13[[#This Row],[miesiac]],$O$3:$P$7,2,0)+VALUE(LEFT(punkt_szczepień__13[[#This Row],[PESEL]],2))</f>
        <v>1996</v>
      </c>
      <c r="H193" s="11">
        <f>VALUE(RIGHT(LEFT(punkt_szczepień__13[[#This Row],[PESEL]],6),2))</f>
        <v>5</v>
      </c>
      <c r="I193" s="3">
        <f>DATE(punkt_szczepień__13[[#This Row],[rok]],punkt_szczepień__13[[#This Row],[miesiac]],punkt_szczepień__13[[#This Row],[dzień]])</f>
        <v>35313</v>
      </c>
      <c r="J193" s="1" t="str">
        <f>punkt_szczepień__13[[#This Row],[PESEL]]</f>
        <v>96090531816</v>
      </c>
      <c r="K193" s="1">
        <f>VALUE(MID(punkt_szczepień__13[[#This Row],[PESEL]],10,1))</f>
        <v>1</v>
      </c>
      <c r="L193" s="11" t="str">
        <f>IF(MOD(punkt_szczepień__13[[#This Row],[liczba płeć]],2)=0,"K","M")</f>
        <v>M</v>
      </c>
      <c r="M193" s="1"/>
      <c r="N193" s="1"/>
    </row>
    <row r="194" spans="1:14" x14ac:dyDescent="0.25">
      <c r="A194" s="1" t="s">
        <v>200</v>
      </c>
      <c r="B194" s="1" t="s">
        <v>9</v>
      </c>
      <c r="C194" s="2">
        <v>0.40827546296296297</v>
      </c>
      <c r="D194">
        <v>1</v>
      </c>
      <c r="E194">
        <f>VALUE(RIGHT(LEFT(punkt_szczepień__13[[#This Row],[PESEL]],4),2))</f>
        <v>7</v>
      </c>
      <c r="F194" s="11">
        <f>MOD(punkt_szczepień__13[[#This Row],[liczba miesiac]],20)</f>
        <v>7</v>
      </c>
      <c r="G194" s="11">
        <f>VLOOKUP(punkt_szczepień__13[[#This Row],[liczba miesiac]]-punkt_szczepień__13[[#This Row],[miesiac]],$O$3:$P$7,2,0)+VALUE(LEFT(punkt_szczepień__13[[#This Row],[PESEL]],2))</f>
        <v>1968</v>
      </c>
      <c r="H194" s="11">
        <f>VALUE(RIGHT(LEFT(punkt_szczepień__13[[#This Row],[PESEL]],6),2))</f>
        <v>9</v>
      </c>
      <c r="I194" s="3">
        <f>DATE(punkt_szczepień__13[[#This Row],[rok]],punkt_szczepień__13[[#This Row],[miesiac]],punkt_szczepień__13[[#This Row],[dzień]])</f>
        <v>25028</v>
      </c>
      <c r="J194" s="1" t="str">
        <f>punkt_szczepień__13[[#This Row],[PESEL]]</f>
        <v>68070965829</v>
      </c>
      <c r="K194" s="1">
        <f>VALUE(MID(punkt_szczepień__13[[#This Row],[PESEL]],10,1))</f>
        <v>2</v>
      </c>
      <c r="L194" s="11" t="str">
        <f>IF(MOD(punkt_szczepień__13[[#This Row],[liczba płeć]],2)=0,"K","M")</f>
        <v>K</v>
      </c>
      <c r="M194" s="1"/>
      <c r="N194" s="1"/>
    </row>
    <row r="195" spans="1:14" x14ac:dyDescent="0.25">
      <c r="A195" s="1" t="s">
        <v>201</v>
      </c>
      <c r="B195" s="1" t="s">
        <v>27</v>
      </c>
      <c r="C195" s="2">
        <v>0.40885416666666669</v>
      </c>
      <c r="D195">
        <v>2</v>
      </c>
      <c r="E195">
        <f>VALUE(RIGHT(LEFT(punkt_szczepień__13[[#This Row],[PESEL]],4),2))</f>
        <v>3</v>
      </c>
      <c r="F195" s="11">
        <f>MOD(punkt_szczepień__13[[#This Row],[liczba miesiac]],20)</f>
        <v>3</v>
      </c>
      <c r="G195" s="11">
        <f>VLOOKUP(punkt_szczepień__13[[#This Row],[liczba miesiac]]-punkt_szczepień__13[[#This Row],[miesiac]],$O$3:$P$7,2,0)+VALUE(LEFT(punkt_szczepień__13[[#This Row],[PESEL]],2))</f>
        <v>1970</v>
      </c>
      <c r="H195" s="11">
        <f>VALUE(RIGHT(LEFT(punkt_szczepień__13[[#This Row],[PESEL]],6),2))</f>
        <v>30</v>
      </c>
      <c r="I195" s="3">
        <f>DATE(punkt_szczepień__13[[#This Row],[rok]],punkt_szczepień__13[[#This Row],[miesiac]],punkt_szczepień__13[[#This Row],[dzień]])</f>
        <v>25657</v>
      </c>
      <c r="J195" s="1" t="str">
        <f>punkt_szczepień__13[[#This Row],[PESEL]]</f>
        <v>70033049684</v>
      </c>
      <c r="K195" s="1">
        <f>VALUE(MID(punkt_szczepień__13[[#This Row],[PESEL]],10,1))</f>
        <v>8</v>
      </c>
      <c r="L195" s="11" t="str">
        <f>IF(MOD(punkt_szczepień__13[[#This Row],[liczba płeć]],2)=0,"K","M")</f>
        <v>K</v>
      </c>
      <c r="M195" s="1"/>
      <c r="N195" s="1"/>
    </row>
    <row r="196" spans="1:14" x14ac:dyDescent="0.25">
      <c r="A196" s="1" t="s">
        <v>202</v>
      </c>
      <c r="B196" s="1" t="s">
        <v>27</v>
      </c>
      <c r="C196" s="2">
        <v>0.40943287037037035</v>
      </c>
      <c r="D196">
        <v>2</v>
      </c>
      <c r="E196">
        <f>VALUE(RIGHT(LEFT(punkt_szczepień__13[[#This Row],[PESEL]],4),2))</f>
        <v>12</v>
      </c>
      <c r="F196" s="11">
        <f>MOD(punkt_szczepień__13[[#This Row],[liczba miesiac]],20)</f>
        <v>12</v>
      </c>
      <c r="G196" s="11">
        <f>VLOOKUP(punkt_szczepień__13[[#This Row],[liczba miesiac]]-punkt_szczepień__13[[#This Row],[miesiac]],$O$3:$P$7,2,0)+VALUE(LEFT(punkt_szczepień__13[[#This Row],[PESEL]],2))</f>
        <v>1926</v>
      </c>
      <c r="H196" s="11">
        <f>VALUE(RIGHT(LEFT(punkt_szczepień__13[[#This Row],[PESEL]],6),2))</f>
        <v>12</v>
      </c>
      <c r="I196" s="3">
        <f>DATE(punkt_szczepień__13[[#This Row],[rok]],punkt_szczepień__13[[#This Row],[miesiac]],punkt_szczepień__13[[#This Row],[dzień]])</f>
        <v>9843</v>
      </c>
      <c r="J196" s="1" t="str">
        <f>punkt_szczepień__13[[#This Row],[PESEL]]</f>
        <v>26121298171</v>
      </c>
      <c r="K196" s="1">
        <f>VALUE(MID(punkt_szczepień__13[[#This Row],[PESEL]],10,1))</f>
        <v>7</v>
      </c>
      <c r="L196" s="11" t="str">
        <f>IF(MOD(punkt_szczepień__13[[#This Row],[liczba płeć]],2)=0,"K","M")</f>
        <v>M</v>
      </c>
      <c r="M196" s="1"/>
      <c r="N196" s="1"/>
    </row>
    <row r="197" spans="1:14" x14ac:dyDescent="0.25">
      <c r="A197" s="1" t="s">
        <v>203</v>
      </c>
      <c r="B197" s="1" t="s">
        <v>7</v>
      </c>
      <c r="C197" s="2">
        <v>0.40972222222222221</v>
      </c>
      <c r="D197">
        <v>1</v>
      </c>
      <c r="E197">
        <f>VALUE(RIGHT(LEFT(punkt_szczepień__13[[#This Row],[PESEL]],4),2))</f>
        <v>3</v>
      </c>
      <c r="F197" s="11">
        <f>MOD(punkt_szczepień__13[[#This Row],[liczba miesiac]],20)</f>
        <v>3</v>
      </c>
      <c r="G197" s="11">
        <f>VLOOKUP(punkt_szczepień__13[[#This Row],[liczba miesiac]]-punkt_szczepień__13[[#This Row],[miesiac]],$O$3:$P$7,2,0)+VALUE(LEFT(punkt_szczepień__13[[#This Row],[PESEL]],2))</f>
        <v>1963</v>
      </c>
      <c r="H197" s="11">
        <f>VALUE(RIGHT(LEFT(punkt_szczepień__13[[#This Row],[PESEL]],6),2))</f>
        <v>29</v>
      </c>
      <c r="I197" s="3">
        <f>DATE(punkt_szczepień__13[[#This Row],[rok]],punkt_szczepień__13[[#This Row],[miesiac]],punkt_szczepień__13[[#This Row],[dzień]])</f>
        <v>23099</v>
      </c>
      <c r="J197" s="1" t="str">
        <f>punkt_szczepień__13[[#This Row],[PESEL]]</f>
        <v>63032962627</v>
      </c>
      <c r="K197" s="1">
        <f>VALUE(MID(punkt_szczepień__13[[#This Row],[PESEL]],10,1))</f>
        <v>2</v>
      </c>
      <c r="L197" s="11" t="str">
        <f>IF(MOD(punkt_szczepień__13[[#This Row],[liczba płeć]],2)=0,"K","M")</f>
        <v>K</v>
      </c>
      <c r="M197" s="1"/>
      <c r="N197" s="1"/>
    </row>
    <row r="198" spans="1:14" x14ac:dyDescent="0.25">
      <c r="A198" s="1" t="s">
        <v>204</v>
      </c>
      <c r="B198" s="1" t="s">
        <v>27</v>
      </c>
      <c r="C198" s="2">
        <v>0.41001157407407407</v>
      </c>
      <c r="D198">
        <v>1</v>
      </c>
      <c r="E198">
        <f>VALUE(RIGHT(LEFT(punkt_szczepień__13[[#This Row],[PESEL]],4),2))</f>
        <v>9</v>
      </c>
      <c r="F198" s="11">
        <f>MOD(punkt_szczepień__13[[#This Row],[liczba miesiac]],20)</f>
        <v>9</v>
      </c>
      <c r="G198" s="11">
        <f>VLOOKUP(punkt_szczepień__13[[#This Row],[liczba miesiac]]-punkt_szczepień__13[[#This Row],[miesiac]],$O$3:$P$7,2,0)+VALUE(LEFT(punkt_szczepień__13[[#This Row],[PESEL]],2))</f>
        <v>1948</v>
      </c>
      <c r="H198" s="11">
        <f>VALUE(RIGHT(LEFT(punkt_szczepień__13[[#This Row],[PESEL]],6),2))</f>
        <v>5</v>
      </c>
      <c r="I198" s="3">
        <f>DATE(punkt_szczepień__13[[#This Row],[rok]],punkt_szczepień__13[[#This Row],[miesiac]],punkt_szczepień__13[[#This Row],[dzień]])</f>
        <v>17781</v>
      </c>
      <c r="J198" s="1" t="str">
        <f>punkt_szczepień__13[[#This Row],[PESEL]]</f>
        <v>48090527757</v>
      </c>
      <c r="K198" s="1">
        <f>VALUE(MID(punkt_szczepień__13[[#This Row],[PESEL]],10,1))</f>
        <v>5</v>
      </c>
      <c r="L198" s="11" t="str">
        <f>IF(MOD(punkt_szczepień__13[[#This Row],[liczba płeć]],2)=0,"K","M")</f>
        <v>M</v>
      </c>
      <c r="M198" s="1"/>
      <c r="N198" s="1"/>
    </row>
    <row r="199" spans="1:14" x14ac:dyDescent="0.25">
      <c r="A199" s="1" t="s">
        <v>205</v>
      </c>
      <c r="B199" s="1" t="s">
        <v>7</v>
      </c>
      <c r="C199" s="2">
        <v>0.41030092592592593</v>
      </c>
      <c r="D199">
        <v>1</v>
      </c>
      <c r="E199">
        <f>VALUE(RIGHT(LEFT(punkt_szczepień__13[[#This Row],[PESEL]],4),2))</f>
        <v>11</v>
      </c>
      <c r="F199" s="11">
        <f>MOD(punkt_szczepień__13[[#This Row],[liczba miesiac]],20)</f>
        <v>11</v>
      </c>
      <c r="G199" s="11">
        <f>VLOOKUP(punkt_szczepień__13[[#This Row],[liczba miesiac]]-punkt_szczepień__13[[#This Row],[miesiac]],$O$3:$P$7,2,0)+VALUE(LEFT(punkt_szczepień__13[[#This Row],[PESEL]],2))</f>
        <v>1954</v>
      </c>
      <c r="H199" s="11">
        <f>VALUE(RIGHT(LEFT(punkt_szczepień__13[[#This Row],[PESEL]],6),2))</f>
        <v>16</v>
      </c>
      <c r="I199" s="3">
        <f>DATE(punkt_szczepień__13[[#This Row],[rok]],punkt_szczepień__13[[#This Row],[miesiac]],punkt_szczepień__13[[#This Row],[dzień]])</f>
        <v>20044</v>
      </c>
      <c r="J199" s="1" t="str">
        <f>punkt_szczepień__13[[#This Row],[PESEL]]</f>
        <v>54111621272</v>
      </c>
      <c r="K199" s="1">
        <f>VALUE(MID(punkt_szczepień__13[[#This Row],[PESEL]],10,1))</f>
        <v>7</v>
      </c>
      <c r="L199" s="11" t="str">
        <f>IF(MOD(punkt_szczepień__13[[#This Row],[liczba płeć]],2)=0,"K","M")</f>
        <v>M</v>
      </c>
      <c r="M199" s="1"/>
      <c r="N199" s="1"/>
    </row>
    <row r="200" spans="1:14" x14ac:dyDescent="0.25">
      <c r="A200" s="1" t="s">
        <v>206</v>
      </c>
      <c r="B200" s="1" t="s">
        <v>5</v>
      </c>
      <c r="C200" s="2">
        <v>0.41059027777777779</v>
      </c>
      <c r="D200">
        <v>1</v>
      </c>
      <c r="E200">
        <f>VALUE(RIGHT(LEFT(punkt_szczepień__13[[#This Row],[PESEL]],4),2))</f>
        <v>5</v>
      </c>
      <c r="F200" s="11">
        <f>MOD(punkt_szczepień__13[[#This Row],[liczba miesiac]],20)</f>
        <v>5</v>
      </c>
      <c r="G200" s="11">
        <f>VLOOKUP(punkt_szczepień__13[[#This Row],[liczba miesiac]]-punkt_szczepień__13[[#This Row],[miesiac]],$O$3:$P$7,2,0)+VALUE(LEFT(punkt_szczepień__13[[#This Row],[PESEL]],2))</f>
        <v>1964</v>
      </c>
      <c r="H200" s="11">
        <f>VALUE(RIGHT(LEFT(punkt_szczepień__13[[#This Row],[PESEL]],6),2))</f>
        <v>21</v>
      </c>
      <c r="I200" s="3">
        <f>DATE(punkt_szczepień__13[[#This Row],[rok]],punkt_szczepień__13[[#This Row],[miesiac]],punkt_szczepień__13[[#This Row],[dzień]])</f>
        <v>23518</v>
      </c>
      <c r="J200" s="1" t="str">
        <f>punkt_szczepień__13[[#This Row],[PESEL]]</f>
        <v>64052194515</v>
      </c>
      <c r="K200" s="1">
        <f>VALUE(MID(punkt_szczepień__13[[#This Row],[PESEL]],10,1))</f>
        <v>1</v>
      </c>
      <c r="L200" s="11" t="str">
        <f>IF(MOD(punkt_szczepień__13[[#This Row],[liczba płeć]],2)=0,"K","M")</f>
        <v>M</v>
      </c>
      <c r="M200" s="1"/>
      <c r="N200" s="1"/>
    </row>
    <row r="201" spans="1:14" x14ac:dyDescent="0.25">
      <c r="A201" s="1" t="s">
        <v>207</v>
      </c>
      <c r="B201" s="1" t="s">
        <v>9</v>
      </c>
      <c r="C201" s="2">
        <v>0.41087962962962965</v>
      </c>
      <c r="D201">
        <v>1</v>
      </c>
      <c r="E201">
        <f>VALUE(RIGHT(LEFT(punkt_szczepień__13[[#This Row],[PESEL]],4),2))</f>
        <v>4</v>
      </c>
      <c r="F201" s="11">
        <f>MOD(punkt_szczepień__13[[#This Row],[liczba miesiac]],20)</f>
        <v>4</v>
      </c>
      <c r="G201" s="11">
        <f>VLOOKUP(punkt_szczepień__13[[#This Row],[liczba miesiac]]-punkt_szczepień__13[[#This Row],[miesiac]],$O$3:$P$7,2,0)+VALUE(LEFT(punkt_szczepień__13[[#This Row],[PESEL]],2))</f>
        <v>1998</v>
      </c>
      <c r="H201" s="11">
        <f>VALUE(RIGHT(LEFT(punkt_szczepień__13[[#This Row],[PESEL]],6),2))</f>
        <v>10</v>
      </c>
      <c r="I201" s="3">
        <f>DATE(punkt_szczepień__13[[#This Row],[rok]],punkt_szczepień__13[[#This Row],[miesiac]],punkt_szczepień__13[[#This Row],[dzień]])</f>
        <v>35895</v>
      </c>
      <c r="J201" s="1" t="str">
        <f>punkt_szczepień__13[[#This Row],[PESEL]]</f>
        <v>98041093895</v>
      </c>
      <c r="K201" s="1">
        <f>VALUE(MID(punkt_szczepień__13[[#This Row],[PESEL]],10,1))</f>
        <v>9</v>
      </c>
      <c r="L201" s="11" t="str">
        <f>IF(MOD(punkt_szczepień__13[[#This Row],[liczba płeć]],2)=0,"K","M")</f>
        <v>M</v>
      </c>
      <c r="M201" s="1"/>
      <c r="N201" s="1"/>
    </row>
    <row r="202" spans="1:14" x14ac:dyDescent="0.25">
      <c r="A202" s="1" t="s">
        <v>208</v>
      </c>
      <c r="B202" s="1" t="s">
        <v>5</v>
      </c>
      <c r="C202" s="2">
        <v>0.41116898148148145</v>
      </c>
      <c r="D202">
        <v>1</v>
      </c>
      <c r="E202">
        <f>VALUE(RIGHT(LEFT(punkt_szczepień__13[[#This Row],[PESEL]],4),2))</f>
        <v>7</v>
      </c>
      <c r="F202" s="11">
        <f>MOD(punkt_szczepień__13[[#This Row],[liczba miesiac]],20)</f>
        <v>7</v>
      </c>
      <c r="G202" s="11">
        <f>VLOOKUP(punkt_szczepień__13[[#This Row],[liczba miesiac]]-punkt_szczepień__13[[#This Row],[miesiac]],$O$3:$P$7,2,0)+VALUE(LEFT(punkt_szczepień__13[[#This Row],[PESEL]],2))</f>
        <v>1964</v>
      </c>
      <c r="H202" s="11">
        <f>VALUE(RIGHT(LEFT(punkt_szczepień__13[[#This Row],[PESEL]],6),2))</f>
        <v>7</v>
      </c>
      <c r="I202" s="3">
        <f>DATE(punkt_szczepień__13[[#This Row],[rok]],punkt_szczepień__13[[#This Row],[miesiac]],punkt_szczepień__13[[#This Row],[dzień]])</f>
        <v>23565</v>
      </c>
      <c r="J202" s="1" t="str">
        <f>punkt_szczepień__13[[#This Row],[PESEL]]</f>
        <v>64070762664</v>
      </c>
      <c r="K202" s="1">
        <f>VALUE(MID(punkt_szczepień__13[[#This Row],[PESEL]],10,1))</f>
        <v>6</v>
      </c>
      <c r="L202" s="11" t="str">
        <f>IF(MOD(punkt_szczepień__13[[#This Row],[liczba płeć]],2)=0,"K","M")</f>
        <v>K</v>
      </c>
      <c r="M202" s="1"/>
      <c r="N202" s="1"/>
    </row>
    <row r="203" spans="1:14" x14ac:dyDescent="0.25">
      <c r="A203" s="1" t="s">
        <v>209</v>
      </c>
      <c r="B203" s="1" t="s">
        <v>27</v>
      </c>
      <c r="C203" s="2">
        <v>0.41174768518518517</v>
      </c>
      <c r="D203">
        <v>2</v>
      </c>
      <c r="E203">
        <f>VALUE(RIGHT(LEFT(punkt_szczepień__13[[#This Row],[PESEL]],4),2))</f>
        <v>7</v>
      </c>
      <c r="F203" s="11">
        <f>MOD(punkt_szczepień__13[[#This Row],[liczba miesiac]],20)</f>
        <v>7</v>
      </c>
      <c r="G203" s="11">
        <f>VLOOKUP(punkt_szczepień__13[[#This Row],[liczba miesiac]]-punkt_szczepień__13[[#This Row],[miesiac]],$O$3:$P$7,2,0)+VALUE(LEFT(punkt_szczepień__13[[#This Row],[PESEL]],2))</f>
        <v>1981</v>
      </c>
      <c r="H203" s="11">
        <f>VALUE(RIGHT(LEFT(punkt_szczepień__13[[#This Row],[PESEL]],6),2))</f>
        <v>26</v>
      </c>
      <c r="I203" s="3">
        <f>DATE(punkt_szczepień__13[[#This Row],[rok]],punkt_szczepień__13[[#This Row],[miesiac]],punkt_szczepień__13[[#This Row],[dzień]])</f>
        <v>29793</v>
      </c>
      <c r="J203" s="1" t="str">
        <f>punkt_szczepień__13[[#This Row],[PESEL]]</f>
        <v>81072643636</v>
      </c>
      <c r="K203" s="1">
        <f>VALUE(MID(punkt_szczepień__13[[#This Row],[PESEL]],10,1))</f>
        <v>3</v>
      </c>
      <c r="L203" s="11" t="str">
        <f>IF(MOD(punkt_szczepień__13[[#This Row],[liczba płeć]],2)=0,"K","M")</f>
        <v>M</v>
      </c>
      <c r="M203" s="1"/>
      <c r="N203" s="1"/>
    </row>
    <row r="204" spans="1:14" x14ac:dyDescent="0.25">
      <c r="A204" s="1" t="s">
        <v>210</v>
      </c>
      <c r="B204" s="1" t="s">
        <v>7</v>
      </c>
      <c r="C204" s="2">
        <v>0.41203703703703703</v>
      </c>
      <c r="D204">
        <v>1</v>
      </c>
      <c r="E204">
        <f>VALUE(RIGHT(LEFT(punkt_szczepień__13[[#This Row],[PESEL]],4),2))</f>
        <v>3</v>
      </c>
      <c r="F204" s="11">
        <f>MOD(punkt_szczepień__13[[#This Row],[liczba miesiac]],20)</f>
        <v>3</v>
      </c>
      <c r="G204" s="11">
        <f>VLOOKUP(punkt_szczepień__13[[#This Row],[liczba miesiac]]-punkt_szczepień__13[[#This Row],[miesiac]],$O$3:$P$7,2,0)+VALUE(LEFT(punkt_szczepień__13[[#This Row],[PESEL]],2))</f>
        <v>1958</v>
      </c>
      <c r="H204" s="11">
        <f>VALUE(RIGHT(LEFT(punkt_szczepień__13[[#This Row],[PESEL]],6),2))</f>
        <v>8</v>
      </c>
      <c r="I204" s="3">
        <f>DATE(punkt_szczepień__13[[#This Row],[rok]],punkt_szczepień__13[[#This Row],[miesiac]],punkt_szczepień__13[[#This Row],[dzień]])</f>
        <v>21252</v>
      </c>
      <c r="J204" s="1" t="str">
        <f>punkt_szczepień__13[[#This Row],[PESEL]]</f>
        <v>58030815749</v>
      </c>
      <c r="K204" s="1">
        <f>VALUE(MID(punkt_szczepień__13[[#This Row],[PESEL]],10,1))</f>
        <v>4</v>
      </c>
      <c r="L204" s="11" t="str">
        <f>IF(MOD(punkt_szczepień__13[[#This Row],[liczba płeć]],2)=0,"K","M")</f>
        <v>K</v>
      </c>
      <c r="M204" s="1"/>
      <c r="N204" s="1"/>
    </row>
    <row r="205" spans="1:14" x14ac:dyDescent="0.25">
      <c r="A205" s="1" t="s">
        <v>211</v>
      </c>
      <c r="B205" s="1" t="s">
        <v>9</v>
      </c>
      <c r="C205" s="2">
        <v>0.4123263888888889</v>
      </c>
      <c r="D205">
        <v>1</v>
      </c>
      <c r="E205">
        <f>VALUE(RIGHT(LEFT(punkt_szczepień__13[[#This Row],[PESEL]],4),2))</f>
        <v>3</v>
      </c>
      <c r="F205" s="11">
        <f>MOD(punkt_szczepień__13[[#This Row],[liczba miesiac]],20)</f>
        <v>3</v>
      </c>
      <c r="G205" s="11">
        <f>VLOOKUP(punkt_szczepień__13[[#This Row],[liczba miesiac]]-punkt_szczepień__13[[#This Row],[miesiac]],$O$3:$P$7,2,0)+VALUE(LEFT(punkt_szczepień__13[[#This Row],[PESEL]],2))</f>
        <v>1934</v>
      </c>
      <c r="H205" s="11">
        <f>VALUE(RIGHT(LEFT(punkt_szczepień__13[[#This Row],[PESEL]],6),2))</f>
        <v>24</v>
      </c>
      <c r="I205" s="3">
        <f>DATE(punkt_szczepień__13[[#This Row],[rok]],punkt_szczepień__13[[#This Row],[miesiac]],punkt_szczepień__13[[#This Row],[dzień]])</f>
        <v>12502</v>
      </c>
      <c r="J205" s="1" t="str">
        <f>punkt_szczepień__13[[#This Row],[PESEL]]</f>
        <v>34032429818</v>
      </c>
      <c r="K205" s="1">
        <f>VALUE(MID(punkt_szczepień__13[[#This Row],[PESEL]],10,1))</f>
        <v>1</v>
      </c>
      <c r="L205" s="11" t="str">
        <f>IF(MOD(punkt_szczepień__13[[#This Row],[liczba płeć]],2)=0,"K","M")</f>
        <v>M</v>
      </c>
      <c r="M205" s="1"/>
      <c r="N205" s="1"/>
    </row>
    <row r="206" spans="1:14" x14ac:dyDescent="0.25">
      <c r="A206" s="1" t="s">
        <v>212</v>
      </c>
      <c r="B206" s="1" t="s">
        <v>9</v>
      </c>
      <c r="C206" s="2">
        <v>0.41261574074074076</v>
      </c>
      <c r="D206">
        <v>1</v>
      </c>
      <c r="E206">
        <f>VALUE(RIGHT(LEFT(punkt_szczepień__13[[#This Row],[PESEL]],4),2))</f>
        <v>2</v>
      </c>
      <c r="F206" s="11">
        <f>MOD(punkt_szczepień__13[[#This Row],[liczba miesiac]],20)</f>
        <v>2</v>
      </c>
      <c r="G206" s="11">
        <f>VLOOKUP(punkt_szczepień__13[[#This Row],[liczba miesiac]]-punkt_szczepień__13[[#This Row],[miesiac]],$O$3:$P$7,2,0)+VALUE(LEFT(punkt_szczepień__13[[#This Row],[PESEL]],2))</f>
        <v>1942</v>
      </c>
      <c r="H206" s="11">
        <f>VALUE(RIGHT(LEFT(punkt_szczepień__13[[#This Row],[PESEL]],6),2))</f>
        <v>7</v>
      </c>
      <c r="I206" s="3">
        <f>DATE(punkt_szczepień__13[[#This Row],[rok]],punkt_szczepień__13[[#This Row],[miesiac]],punkt_szczepień__13[[#This Row],[dzień]])</f>
        <v>15379</v>
      </c>
      <c r="J206" s="1" t="str">
        <f>punkt_szczepień__13[[#This Row],[PESEL]]</f>
        <v>42020779674</v>
      </c>
      <c r="K206" s="1">
        <f>VALUE(MID(punkt_szczepień__13[[#This Row],[PESEL]],10,1))</f>
        <v>7</v>
      </c>
      <c r="L206" s="11" t="str">
        <f>IF(MOD(punkt_szczepień__13[[#This Row],[liczba płeć]],2)=0,"K","M")</f>
        <v>M</v>
      </c>
      <c r="M206" s="1"/>
      <c r="N206" s="1"/>
    </row>
    <row r="207" spans="1:14" x14ac:dyDescent="0.25">
      <c r="A207" s="1" t="s">
        <v>213</v>
      </c>
      <c r="B207" s="1" t="s">
        <v>7</v>
      </c>
      <c r="C207" s="2">
        <v>0.41290509259259262</v>
      </c>
      <c r="D207">
        <v>1</v>
      </c>
      <c r="E207">
        <f>VALUE(RIGHT(LEFT(punkt_szczepień__13[[#This Row],[PESEL]],4),2))</f>
        <v>6</v>
      </c>
      <c r="F207" s="11">
        <f>MOD(punkt_szczepień__13[[#This Row],[liczba miesiac]],20)</f>
        <v>6</v>
      </c>
      <c r="G207" s="11">
        <f>VLOOKUP(punkt_szczepień__13[[#This Row],[liczba miesiac]]-punkt_szczepień__13[[#This Row],[miesiac]],$O$3:$P$7,2,0)+VALUE(LEFT(punkt_szczepień__13[[#This Row],[PESEL]],2))</f>
        <v>1954</v>
      </c>
      <c r="H207" s="11">
        <f>VALUE(RIGHT(LEFT(punkt_szczepień__13[[#This Row],[PESEL]],6),2))</f>
        <v>12</v>
      </c>
      <c r="I207" s="3">
        <f>DATE(punkt_szczepień__13[[#This Row],[rok]],punkt_szczepień__13[[#This Row],[miesiac]],punkt_szczepień__13[[#This Row],[dzień]])</f>
        <v>19887</v>
      </c>
      <c r="J207" s="1" t="str">
        <f>punkt_szczepień__13[[#This Row],[PESEL]]</f>
        <v>54061265142</v>
      </c>
      <c r="K207" s="1">
        <f>VALUE(MID(punkt_szczepień__13[[#This Row],[PESEL]],10,1))</f>
        <v>4</v>
      </c>
      <c r="L207" s="11" t="str">
        <f>IF(MOD(punkt_szczepień__13[[#This Row],[liczba płeć]],2)=0,"K","M")</f>
        <v>K</v>
      </c>
      <c r="M207" s="1"/>
      <c r="N207" s="1"/>
    </row>
    <row r="208" spans="1:14" x14ac:dyDescent="0.25">
      <c r="A208" s="1" t="s">
        <v>214</v>
      </c>
      <c r="B208" s="1" t="s">
        <v>5</v>
      </c>
      <c r="C208" s="2">
        <v>0.41319444444444442</v>
      </c>
      <c r="D208">
        <v>1</v>
      </c>
      <c r="E208">
        <f>VALUE(RIGHT(LEFT(punkt_szczepień__13[[#This Row],[PESEL]],4),2))</f>
        <v>9</v>
      </c>
      <c r="F208" s="11">
        <f>MOD(punkt_szczepień__13[[#This Row],[liczba miesiac]],20)</f>
        <v>9</v>
      </c>
      <c r="G208" s="11">
        <f>VLOOKUP(punkt_szczepień__13[[#This Row],[liczba miesiac]]-punkt_szczepień__13[[#This Row],[miesiac]],$O$3:$P$7,2,0)+VALUE(LEFT(punkt_szczepień__13[[#This Row],[PESEL]],2))</f>
        <v>1944</v>
      </c>
      <c r="H208" s="11">
        <f>VALUE(RIGHT(LEFT(punkt_szczepień__13[[#This Row],[PESEL]],6),2))</f>
        <v>22</v>
      </c>
      <c r="I208" s="3">
        <f>DATE(punkt_szczepień__13[[#This Row],[rok]],punkt_szczepień__13[[#This Row],[miesiac]],punkt_szczepień__13[[#This Row],[dzień]])</f>
        <v>16337</v>
      </c>
      <c r="J208" s="1" t="str">
        <f>punkt_szczepień__13[[#This Row],[PESEL]]</f>
        <v>44092266689</v>
      </c>
      <c r="K208" s="1">
        <f>VALUE(MID(punkt_szczepień__13[[#This Row],[PESEL]],10,1))</f>
        <v>8</v>
      </c>
      <c r="L208" s="11" t="str">
        <f>IF(MOD(punkt_szczepień__13[[#This Row],[liczba płeć]],2)=0,"K","M")</f>
        <v>K</v>
      </c>
      <c r="M208" s="1"/>
      <c r="N208" s="1"/>
    </row>
    <row r="209" spans="1:14" x14ac:dyDescent="0.25">
      <c r="A209" s="1" t="s">
        <v>215</v>
      </c>
      <c r="B209" s="1" t="s">
        <v>9</v>
      </c>
      <c r="C209" s="2">
        <v>0.41377314814814814</v>
      </c>
      <c r="D209">
        <v>2</v>
      </c>
      <c r="E209">
        <f>VALUE(RIGHT(LEFT(punkt_szczepień__13[[#This Row],[PESEL]],4),2))</f>
        <v>1</v>
      </c>
      <c r="F209" s="11">
        <f>MOD(punkt_szczepień__13[[#This Row],[liczba miesiac]],20)</f>
        <v>1</v>
      </c>
      <c r="G209" s="11">
        <f>VLOOKUP(punkt_szczepień__13[[#This Row],[liczba miesiac]]-punkt_szczepień__13[[#This Row],[miesiac]],$O$3:$P$7,2,0)+VALUE(LEFT(punkt_szczepień__13[[#This Row],[PESEL]],2))</f>
        <v>1935</v>
      </c>
      <c r="H209" s="11">
        <f>VALUE(RIGHT(LEFT(punkt_szczepień__13[[#This Row],[PESEL]],6),2))</f>
        <v>9</v>
      </c>
      <c r="I209" s="3">
        <f>DATE(punkt_szczepień__13[[#This Row],[rok]],punkt_szczepień__13[[#This Row],[miesiac]],punkt_szczepień__13[[#This Row],[dzień]])</f>
        <v>12793</v>
      </c>
      <c r="J209" s="1" t="str">
        <f>punkt_szczepień__13[[#This Row],[PESEL]]</f>
        <v>35010956137</v>
      </c>
      <c r="K209" s="1">
        <f>VALUE(MID(punkt_szczepień__13[[#This Row],[PESEL]],10,1))</f>
        <v>3</v>
      </c>
      <c r="L209" s="11" t="str">
        <f>IF(MOD(punkt_szczepień__13[[#This Row],[liczba płeć]],2)=0,"K","M")</f>
        <v>M</v>
      </c>
      <c r="M209" s="1"/>
      <c r="N209" s="1"/>
    </row>
    <row r="210" spans="1:14" x14ac:dyDescent="0.25">
      <c r="A210" s="1" t="s">
        <v>216</v>
      </c>
      <c r="B210" s="1" t="s">
        <v>27</v>
      </c>
      <c r="C210" s="2">
        <v>0.4140625</v>
      </c>
      <c r="D210">
        <v>1</v>
      </c>
      <c r="E210">
        <f>VALUE(RIGHT(LEFT(punkt_szczepień__13[[#This Row],[PESEL]],4),2))</f>
        <v>12</v>
      </c>
      <c r="F210" s="11">
        <f>MOD(punkt_szczepień__13[[#This Row],[liczba miesiac]],20)</f>
        <v>12</v>
      </c>
      <c r="G210" s="11">
        <f>VLOOKUP(punkt_szczepień__13[[#This Row],[liczba miesiac]]-punkt_szczepień__13[[#This Row],[miesiac]],$O$3:$P$7,2,0)+VALUE(LEFT(punkt_szczepień__13[[#This Row],[PESEL]],2))</f>
        <v>1977</v>
      </c>
      <c r="H210" s="11">
        <f>VALUE(RIGHT(LEFT(punkt_szczepień__13[[#This Row],[PESEL]],6),2))</f>
        <v>6</v>
      </c>
      <c r="I210" s="3">
        <f>DATE(punkt_szczepień__13[[#This Row],[rok]],punkt_szczepień__13[[#This Row],[miesiac]],punkt_szczepień__13[[#This Row],[dzień]])</f>
        <v>28465</v>
      </c>
      <c r="J210" s="1" t="str">
        <f>punkt_szczepień__13[[#This Row],[PESEL]]</f>
        <v>77120652211</v>
      </c>
      <c r="K210" s="1">
        <f>VALUE(MID(punkt_szczepień__13[[#This Row],[PESEL]],10,1))</f>
        <v>1</v>
      </c>
      <c r="L210" s="11" t="str">
        <f>IF(MOD(punkt_szczepień__13[[#This Row],[liczba płeć]],2)=0,"K","M")</f>
        <v>M</v>
      </c>
      <c r="M210" s="1"/>
      <c r="N210" s="1"/>
    </row>
    <row r="211" spans="1:14" x14ac:dyDescent="0.25">
      <c r="A211" s="1" t="s">
        <v>217</v>
      </c>
      <c r="B211" s="1" t="s">
        <v>7</v>
      </c>
      <c r="C211" s="2">
        <v>0.41435185185185186</v>
      </c>
      <c r="D211">
        <v>1</v>
      </c>
      <c r="E211">
        <f>VALUE(RIGHT(LEFT(punkt_szczepień__13[[#This Row],[PESEL]],4),2))</f>
        <v>9</v>
      </c>
      <c r="F211" s="11">
        <f>MOD(punkt_szczepień__13[[#This Row],[liczba miesiac]],20)</f>
        <v>9</v>
      </c>
      <c r="G211" s="11">
        <f>VLOOKUP(punkt_szczepień__13[[#This Row],[liczba miesiac]]-punkt_szczepień__13[[#This Row],[miesiac]],$O$3:$P$7,2,0)+VALUE(LEFT(punkt_szczepień__13[[#This Row],[PESEL]],2))</f>
        <v>1931</v>
      </c>
      <c r="H211" s="11">
        <f>VALUE(RIGHT(LEFT(punkt_szczepień__13[[#This Row],[PESEL]],6),2))</f>
        <v>27</v>
      </c>
      <c r="I211" s="3">
        <f>DATE(punkt_szczepień__13[[#This Row],[rok]],punkt_szczepień__13[[#This Row],[miesiac]],punkt_szczepień__13[[#This Row],[dzień]])</f>
        <v>11593</v>
      </c>
      <c r="J211" s="1" t="str">
        <f>punkt_szczepień__13[[#This Row],[PESEL]]</f>
        <v>31092778122</v>
      </c>
      <c r="K211" s="1">
        <f>VALUE(MID(punkt_szczepień__13[[#This Row],[PESEL]],10,1))</f>
        <v>2</v>
      </c>
      <c r="L211" s="11" t="str">
        <f>IF(MOD(punkt_szczepień__13[[#This Row],[liczba płeć]],2)=0,"K","M")</f>
        <v>K</v>
      </c>
      <c r="M211" s="1"/>
      <c r="N211" s="1"/>
    </row>
    <row r="212" spans="1:14" x14ac:dyDescent="0.25">
      <c r="A212" s="1" t="s">
        <v>218</v>
      </c>
      <c r="B212" s="1" t="s">
        <v>9</v>
      </c>
      <c r="C212" s="2">
        <v>0.41493055555555558</v>
      </c>
      <c r="D212">
        <v>2</v>
      </c>
      <c r="E212">
        <f>VALUE(RIGHT(LEFT(punkt_szczepień__13[[#This Row],[PESEL]],4),2))</f>
        <v>3</v>
      </c>
      <c r="F212" s="11">
        <f>MOD(punkt_szczepień__13[[#This Row],[liczba miesiac]],20)</f>
        <v>3</v>
      </c>
      <c r="G212" s="11">
        <f>VLOOKUP(punkt_szczepień__13[[#This Row],[liczba miesiac]]-punkt_szczepień__13[[#This Row],[miesiac]],$O$3:$P$7,2,0)+VALUE(LEFT(punkt_szczepień__13[[#This Row],[PESEL]],2))</f>
        <v>1983</v>
      </c>
      <c r="H212" s="11">
        <f>VALUE(RIGHT(LEFT(punkt_szczepień__13[[#This Row],[PESEL]],6),2))</f>
        <v>17</v>
      </c>
      <c r="I212" s="3">
        <f>DATE(punkt_szczepień__13[[#This Row],[rok]],punkt_szczepień__13[[#This Row],[miesiac]],punkt_szczepień__13[[#This Row],[dzień]])</f>
        <v>30392</v>
      </c>
      <c r="J212" s="1" t="str">
        <f>punkt_szczepień__13[[#This Row],[PESEL]]</f>
        <v>83031792287</v>
      </c>
      <c r="K212" s="1">
        <f>VALUE(MID(punkt_szczepień__13[[#This Row],[PESEL]],10,1))</f>
        <v>8</v>
      </c>
      <c r="L212" s="11" t="str">
        <f>IF(MOD(punkt_szczepień__13[[#This Row],[liczba płeć]],2)=0,"K","M")</f>
        <v>K</v>
      </c>
      <c r="M212" s="1"/>
      <c r="N212" s="1"/>
    </row>
    <row r="213" spans="1:14" x14ac:dyDescent="0.25">
      <c r="A213" s="1" t="s">
        <v>219</v>
      </c>
      <c r="B213" s="1" t="s">
        <v>5</v>
      </c>
      <c r="C213" s="2">
        <v>0.41521990740740738</v>
      </c>
      <c r="D213">
        <v>1</v>
      </c>
      <c r="E213">
        <f>VALUE(RIGHT(LEFT(punkt_szczepień__13[[#This Row],[PESEL]],4),2))</f>
        <v>8</v>
      </c>
      <c r="F213" s="11">
        <f>MOD(punkt_szczepień__13[[#This Row],[liczba miesiac]],20)</f>
        <v>8</v>
      </c>
      <c r="G213" s="11">
        <f>VLOOKUP(punkt_szczepień__13[[#This Row],[liczba miesiac]]-punkt_szczepień__13[[#This Row],[miesiac]],$O$3:$P$7,2,0)+VALUE(LEFT(punkt_szczepień__13[[#This Row],[PESEL]],2))</f>
        <v>1970</v>
      </c>
      <c r="H213" s="11">
        <f>VALUE(RIGHT(LEFT(punkt_szczepień__13[[#This Row],[PESEL]],6),2))</f>
        <v>12</v>
      </c>
      <c r="I213" s="3">
        <f>DATE(punkt_szczepień__13[[#This Row],[rok]],punkt_szczepień__13[[#This Row],[miesiac]],punkt_szczepień__13[[#This Row],[dzień]])</f>
        <v>25792</v>
      </c>
      <c r="J213" s="1" t="str">
        <f>punkt_szczepień__13[[#This Row],[PESEL]]</f>
        <v>70081252384</v>
      </c>
      <c r="K213" s="1">
        <f>VALUE(MID(punkt_szczepień__13[[#This Row],[PESEL]],10,1))</f>
        <v>8</v>
      </c>
      <c r="L213" s="11" t="str">
        <f>IF(MOD(punkt_szczepień__13[[#This Row],[liczba płeć]],2)=0,"K","M")</f>
        <v>K</v>
      </c>
      <c r="M213" s="1"/>
      <c r="N213" s="1"/>
    </row>
    <row r="214" spans="1:14" x14ac:dyDescent="0.25">
      <c r="A214" s="1" t="s">
        <v>220</v>
      </c>
      <c r="B214" s="1" t="s">
        <v>9</v>
      </c>
      <c r="C214" s="2">
        <v>0.41550925925925924</v>
      </c>
      <c r="D214">
        <v>1</v>
      </c>
      <c r="E214">
        <f>VALUE(RIGHT(LEFT(punkt_szczepień__13[[#This Row],[PESEL]],4),2))</f>
        <v>12</v>
      </c>
      <c r="F214" s="11">
        <f>MOD(punkt_szczepień__13[[#This Row],[liczba miesiac]],20)</f>
        <v>12</v>
      </c>
      <c r="G214" s="11">
        <f>VLOOKUP(punkt_szczepień__13[[#This Row],[liczba miesiac]]-punkt_szczepień__13[[#This Row],[miesiac]],$O$3:$P$7,2,0)+VALUE(LEFT(punkt_szczepień__13[[#This Row],[PESEL]],2))</f>
        <v>1935</v>
      </c>
      <c r="H214" s="11">
        <f>VALUE(RIGHT(LEFT(punkt_szczepień__13[[#This Row],[PESEL]],6),2))</f>
        <v>7</v>
      </c>
      <c r="I214" s="3">
        <f>DATE(punkt_szczepień__13[[#This Row],[rok]],punkt_szczepień__13[[#This Row],[miesiac]],punkt_szczepień__13[[#This Row],[dzień]])</f>
        <v>13125</v>
      </c>
      <c r="J214" s="1" t="str">
        <f>punkt_szczepień__13[[#This Row],[PESEL]]</f>
        <v>35120744569</v>
      </c>
      <c r="K214" s="1">
        <f>VALUE(MID(punkt_szczepień__13[[#This Row],[PESEL]],10,1))</f>
        <v>6</v>
      </c>
      <c r="L214" s="11" t="str">
        <f>IF(MOD(punkt_szczepień__13[[#This Row],[liczba płeć]],2)=0,"K","M")</f>
        <v>K</v>
      </c>
      <c r="M214" s="1"/>
      <c r="N214" s="1"/>
    </row>
    <row r="215" spans="1:14" x14ac:dyDescent="0.25">
      <c r="A215" s="1" t="s">
        <v>221</v>
      </c>
      <c r="B215" s="1" t="s">
        <v>7</v>
      </c>
      <c r="C215" s="2">
        <v>0.4157986111111111</v>
      </c>
      <c r="D215">
        <v>1</v>
      </c>
      <c r="E215">
        <f>VALUE(RIGHT(LEFT(punkt_szczepień__13[[#This Row],[PESEL]],4),2))</f>
        <v>8</v>
      </c>
      <c r="F215" s="11">
        <f>MOD(punkt_szczepień__13[[#This Row],[liczba miesiac]],20)</f>
        <v>8</v>
      </c>
      <c r="G215" s="11">
        <f>VLOOKUP(punkt_szczepień__13[[#This Row],[liczba miesiac]]-punkt_szczepień__13[[#This Row],[miesiac]],$O$3:$P$7,2,0)+VALUE(LEFT(punkt_szczepień__13[[#This Row],[PESEL]],2))</f>
        <v>1958</v>
      </c>
      <c r="H215" s="11">
        <f>VALUE(RIGHT(LEFT(punkt_szczepień__13[[#This Row],[PESEL]],6),2))</f>
        <v>27</v>
      </c>
      <c r="I215" s="3">
        <f>DATE(punkt_szczepień__13[[#This Row],[rok]],punkt_szczepień__13[[#This Row],[miesiac]],punkt_szczepień__13[[#This Row],[dzień]])</f>
        <v>21424</v>
      </c>
      <c r="J215" s="1" t="str">
        <f>punkt_szczepień__13[[#This Row],[PESEL]]</f>
        <v>58082763724</v>
      </c>
      <c r="K215" s="1">
        <f>VALUE(MID(punkt_szczepień__13[[#This Row],[PESEL]],10,1))</f>
        <v>2</v>
      </c>
      <c r="L215" s="11" t="str">
        <f>IF(MOD(punkt_szczepień__13[[#This Row],[liczba płeć]],2)=0,"K","M")</f>
        <v>K</v>
      </c>
      <c r="M215" s="1"/>
      <c r="N215" s="1"/>
    </row>
    <row r="216" spans="1:14" x14ac:dyDescent="0.25">
      <c r="A216" s="1" t="s">
        <v>222</v>
      </c>
      <c r="B216" s="1" t="s">
        <v>9</v>
      </c>
      <c r="C216" s="2">
        <v>0.41608796296296297</v>
      </c>
      <c r="D216">
        <v>1</v>
      </c>
      <c r="E216">
        <f>VALUE(RIGHT(LEFT(punkt_szczepień__13[[#This Row],[PESEL]],4),2))</f>
        <v>4</v>
      </c>
      <c r="F216" s="11">
        <f>MOD(punkt_szczepień__13[[#This Row],[liczba miesiac]],20)</f>
        <v>4</v>
      </c>
      <c r="G216" s="11">
        <f>VLOOKUP(punkt_szczepień__13[[#This Row],[liczba miesiac]]-punkt_szczepień__13[[#This Row],[miesiac]],$O$3:$P$7,2,0)+VALUE(LEFT(punkt_szczepień__13[[#This Row],[PESEL]],2))</f>
        <v>1976</v>
      </c>
      <c r="H216" s="11">
        <f>VALUE(RIGHT(LEFT(punkt_szczepień__13[[#This Row],[PESEL]],6),2))</f>
        <v>21</v>
      </c>
      <c r="I216" s="3">
        <f>DATE(punkt_szczepień__13[[#This Row],[rok]],punkt_szczepień__13[[#This Row],[miesiac]],punkt_szczepień__13[[#This Row],[dzień]])</f>
        <v>27871</v>
      </c>
      <c r="J216" s="1" t="str">
        <f>punkt_szczepień__13[[#This Row],[PESEL]]</f>
        <v>76042197176</v>
      </c>
      <c r="K216" s="1">
        <f>VALUE(MID(punkt_szczepień__13[[#This Row],[PESEL]],10,1))</f>
        <v>7</v>
      </c>
      <c r="L216" s="11" t="str">
        <f>IF(MOD(punkt_szczepień__13[[#This Row],[liczba płeć]],2)=0,"K","M")</f>
        <v>M</v>
      </c>
      <c r="M216" s="1"/>
      <c r="N216" s="1"/>
    </row>
    <row r="217" spans="1:14" x14ac:dyDescent="0.25">
      <c r="A217" s="1" t="s">
        <v>223</v>
      </c>
      <c r="B217" s="1" t="s">
        <v>7</v>
      </c>
      <c r="C217" s="2">
        <v>0.41637731481481483</v>
      </c>
      <c r="D217">
        <v>1</v>
      </c>
      <c r="E217">
        <f>VALUE(RIGHT(LEFT(punkt_szczepień__13[[#This Row],[PESEL]],4),2))</f>
        <v>6</v>
      </c>
      <c r="F217" s="11">
        <f>MOD(punkt_szczepień__13[[#This Row],[liczba miesiac]],20)</f>
        <v>6</v>
      </c>
      <c r="G217" s="11">
        <f>VLOOKUP(punkt_szczepień__13[[#This Row],[liczba miesiac]]-punkt_szczepień__13[[#This Row],[miesiac]],$O$3:$P$7,2,0)+VALUE(LEFT(punkt_szczepień__13[[#This Row],[PESEL]],2))</f>
        <v>1995</v>
      </c>
      <c r="H217" s="11">
        <f>VALUE(RIGHT(LEFT(punkt_szczepień__13[[#This Row],[PESEL]],6),2))</f>
        <v>27</v>
      </c>
      <c r="I217" s="3">
        <f>DATE(punkt_szczepień__13[[#This Row],[rok]],punkt_szczepień__13[[#This Row],[miesiac]],punkt_szczepień__13[[#This Row],[dzień]])</f>
        <v>34877</v>
      </c>
      <c r="J217" s="1" t="str">
        <f>punkt_szczepień__13[[#This Row],[PESEL]]</f>
        <v>95062748474</v>
      </c>
      <c r="K217" s="1">
        <f>VALUE(MID(punkt_szczepień__13[[#This Row],[PESEL]],10,1))</f>
        <v>7</v>
      </c>
      <c r="L217" s="11" t="str">
        <f>IF(MOD(punkt_szczepień__13[[#This Row],[liczba płeć]],2)=0,"K","M")</f>
        <v>M</v>
      </c>
      <c r="M217" s="1"/>
      <c r="N217" s="1"/>
    </row>
    <row r="218" spans="1:14" x14ac:dyDescent="0.25">
      <c r="A218" s="1" t="s">
        <v>224</v>
      </c>
      <c r="B218" s="1" t="s">
        <v>7</v>
      </c>
      <c r="C218" s="2">
        <v>0.41666666666666669</v>
      </c>
      <c r="D218">
        <v>1</v>
      </c>
      <c r="E218">
        <f>VALUE(RIGHT(LEFT(punkt_szczepień__13[[#This Row],[PESEL]],4),2))</f>
        <v>12</v>
      </c>
      <c r="F218" s="11">
        <f>MOD(punkt_szczepień__13[[#This Row],[liczba miesiac]],20)</f>
        <v>12</v>
      </c>
      <c r="G218" s="11">
        <f>VLOOKUP(punkt_szczepień__13[[#This Row],[liczba miesiac]]-punkt_szczepień__13[[#This Row],[miesiac]],$O$3:$P$7,2,0)+VALUE(LEFT(punkt_szczepień__13[[#This Row],[PESEL]],2))</f>
        <v>1937</v>
      </c>
      <c r="H218" s="11">
        <f>VALUE(RIGHT(LEFT(punkt_szczepień__13[[#This Row],[PESEL]],6),2))</f>
        <v>15</v>
      </c>
      <c r="I218" s="3">
        <f>DATE(punkt_szczepień__13[[#This Row],[rok]],punkt_szczepień__13[[#This Row],[miesiac]],punkt_szczepień__13[[#This Row],[dzień]])</f>
        <v>13864</v>
      </c>
      <c r="J218" s="1" t="str">
        <f>punkt_szczepień__13[[#This Row],[PESEL]]</f>
        <v>37121545255</v>
      </c>
      <c r="K218" s="1">
        <f>VALUE(MID(punkt_szczepień__13[[#This Row],[PESEL]],10,1))</f>
        <v>5</v>
      </c>
      <c r="L218" s="11" t="str">
        <f>IF(MOD(punkt_szczepień__13[[#This Row],[liczba płeć]],2)=0,"K","M")</f>
        <v>M</v>
      </c>
      <c r="M218" s="1"/>
      <c r="N218" s="1"/>
    </row>
    <row r="219" spans="1:14" x14ac:dyDescent="0.25">
      <c r="A219" s="1" t="s">
        <v>225</v>
      </c>
      <c r="B219" s="1" t="s">
        <v>9</v>
      </c>
      <c r="C219" s="2">
        <v>0.41724537037037035</v>
      </c>
      <c r="D219">
        <v>2</v>
      </c>
      <c r="E219">
        <f>VALUE(RIGHT(LEFT(punkt_szczepień__13[[#This Row],[PESEL]],4),2))</f>
        <v>7</v>
      </c>
      <c r="F219" s="11">
        <f>MOD(punkt_szczepień__13[[#This Row],[liczba miesiac]],20)</f>
        <v>7</v>
      </c>
      <c r="G219" s="11">
        <f>VLOOKUP(punkt_szczepień__13[[#This Row],[liczba miesiac]]-punkt_szczepień__13[[#This Row],[miesiac]],$O$3:$P$7,2,0)+VALUE(LEFT(punkt_szczepień__13[[#This Row],[PESEL]],2))</f>
        <v>1939</v>
      </c>
      <c r="H219" s="11">
        <f>VALUE(RIGHT(LEFT(punkt_szczepień__13[[#This Row],[PESEL]],6),2))</f>
        <v>21</v>
      </c>
      <c r="I219" s="3">
        <f>DATE(punkt_szczepień__13[[#This Row],[rok]],punkt_szczepień__13[[#This Row],[miesiac]],punkt_szczepień__13[[#This Row],[dzień]])</f>
        <v>14447</v>
      </c>
      <c r="J219" s="1" t="str">
        <f>punkt_szczepień__13[[#This Row],[PESEL]]</f>
        <v>39072133424</v>
      </c>
      <c r="K219" s="1">
        <f>VALUE(MID(punkt_szczepień__13[[#This Row],[PESEL]],10,1))</f>
        <v>2</v>
      </c>
      <c r="L219" s="11" t="str">
        <f>IF(MOD(punkt_szczepień__13[[#This Row],[liczba płeć]],2)=0,"K","M")</f>
        <v>K</v>
      </c>
      <c r="M219" s="1"/>
      <c r="N219" s="1"/>
    </row>
    <row r="220" spans="1:14" x14ac:dyDescent="0.25">
      <c r="A220" s="1" t="s">
        <v>226</v>
      </c>
      <c r="B220" s="1" t="s">
        <v>9</v>
      </c>
      <c r="C220" s="2">
        <v>0.41782407407407407</v>
      </c>
      <c r="D220">
        <v>2</v>
      </c>
      <c r="E220">
        <f>VALUE(RIGHT(LEFT(punkt_szczepień__13[[#This Row],[PESEL]],4),2))</f>
        <v>3</v>
      </c>
      <c r="F220" s="11">
        <f>MOD(punkt_szczepień__13[[#This Row],[liczba miesiac]],20)</f>
        <v>3</v>
      </c>
      <c r="G220" s="11">
        <f>VLOOKUP(punkt_szczepień__13[[#This Row],[liczba miesiac]]-punkt_szczepień__13[[#This Row],[miesiac]],$O$3:$P$7,2,0)+VALUE(LEFT(punkt_szczepień__13[[#This Row],[PESEL]],2))</f>
        <v>1955</v>
      </c>
      <c r="H220" s="11">
        <f>VALUE(RIGHT(LEFT(punkt_szczepień__13[[#This Row],[PESEL]],6),2))</f>
        <v>13</v>
      </c>
      <c r="I220" s="3">
        <f>DATE(punkt_szczepień__13[[#This Row],[rok]],punkt_szczepień__13[[#This Row],[miesiac]],punkt_szczepień__13[[#This Row],[dzień]])</f>
        <v>20161</v>
      </c>
      <c r="J220" s="1" t="str">
        <f>punkt_szczepień__13[[#This Row],[PESEL]]</f>
        <v>55031313863</v>
      </c>
      <c r="K220" s="1">
        <f>VALUE(MID(punkt_szczepień__13[[#This Row],[PESEL]],10,1))</f>
        <v>6</v>
      </c>
      <c r="L220" s="11" t="str">
        <f>IF(MOD(punkt_szczepień__13[[#This Row],[liczba płeć]],2)=0,"K","M")</f>
        <v>K</v>
      </c>
      <c r="M220" s="1"/>
      <c r="N220" s="1"/>
    </row>
    <row r="221" spans="1:14" x14ac:dyDescent="0.25">
      <c r="A221" s="1" t="s">
        <v>227</v>
      </c>
      <c r="B221" s="1" t="s">
        <v>7</v>
      </c>
      <c r="C221" s="2">
        <v>0.41811342592592593</v>
      </c>
      <c r="D221">
        <v>1</v>
      </c>
      <c r="E221">
        <f>VALUE(RIGHT(LEFT(punkt_szczepień__13[[#This Row],[PESEL]],4),2))</f>
        <v>4</v>
      </c>
      <c r="F221" s="11">
        <f>MOD(punkt_szczepień__13[[#This Row],[liczba miesiac]],20)</f>
        <v>4</v>
      </c>
      <c r="G221" s="11">
        <f>VLOOKUP(punkt_szczepień__13[[#This Row],[liczba miesiac]]-punkt_szczepień__13[[#This Row],[miesiac]],$O$3:$P$7,2,0)+VALUE(LEFT(punkt_szczepień__13[[#This Row],[PESEL]],2))</f>
        <v>1929</v>
      </c>
      <c r="H221" s="11">
        <f>VALUE(RIGHT(LEFT(punkt_szczepień__13[[#This Row],[PESEL]],6),2))</f>
        <v>18</v>
      </c>
      <c r="I221" s="3">
        <f>DATE(punkt_szczepień__13[[#This Row],[rok]],punkt_szczepień__13[[#This Row],[miesiac]],punkt_szczepień__13[[#This Row],[dzień]])</f>
        <v>10701</v>
      </c>
      <c r="J221" s="1" t="str">
        <f>punkt_szczepień__13[[#This Row],[PESEL]]</f>
        <v>29041816146</v>
      </c>
      <c r="K221" s="1">
        <f>VALUE(MID(punkt_szczepień__13[[#This Row],[PESEL]],10,1))</f>
        <v>4</v>
      </c>
      <c r="L221" s="11" t="str">
        <f>IF(MOD(punkt_szczepień__13[[#This Row],[liczba płeć]],2)=0,"K","M")</f>
        <v>K</v>
      </c>
      <c r="M221" s="1"/>
      <c r="N221" s="1"/>
    </row>
    <row r="222" spans="1:14" x14ac:dyDescent="0.25">
      <c r="A222" s="1" t="s">
        <v>228</v>
      </c>
      <c r="B222" s="1" t="s">
        <v>7</v>
      </c>
      <c r="C222" s="2">
        <v>0.41840277777777779</v>
      </c>
      <c r="D222">
        <v>1</v>
      </c>
      <c r="E222">
        <f>VALUE(RIGHT(LEFT(punkt_szczepień__13[[#This Row],[PESEL]],4),2))</f>
        <v>4</v>
      </c>
      <c r="F222" s="11">
        <f>MOD(punkt_szczepień__13[[#This Row],[liczba miesiac]],20)</f>
        <v>4</v>
      </c>
      <c r="G222" s="11">
        <f>VLOOKUP(punkt_szczepień__13[[#This Row],[liczba miesiac]]-punkt_szczepień__13[[#This Row],[miesiac]],$O$3:$P$7,2,0)+VALUE(LEFT(punkt_szczepień__13[[#This Row],[PESEL]],2))</f>
        <v>1927</v>
      </c>
      <c r="H222" s="11">
        <f>VALUE(RIGHT(LEFT(punkt_szczepień__13[[#This Row],[PESEL]],6),2))</f>
        <v>9</v>
      </c>
      <c r="I222" s="3">
        <f>DATE(punkt_szczepień__13[[#This Row],[rok]],punkt_szczepień__13[[#This Row],[miesiac]],punkt_szczepień__13[[#This Row],[dzień]])</f>
        <v>9961</v>
      </c>
      <c r="J222" s="1" t="str">
        <f>punkt_szczepień__13[[#This Row],[PESEL]]</f>
        <v>27040982659</v>
      </c>
      <c r="K222" s="1">
        <f>VALUE(MID(punkt_szczepień__13[[#This Row],[PESEL]],10,1))</f>
        <v>5</v>
      </c>
      <c r="L222" s="11" t="str">
        <f>IF(MOD(punkt_szczepień__13[[#This Row],[liczba płeć]],2)=0,"K","M")</f>
        <v>M</v>
      </c>
      <c r="M222" s="1"/>
      <c r="N222" s="1"/>
    </row>
    <row r="223" spans="1:14" x14ac:dyDescent="0.25">
      <c r="A223" s="1" t="s">
        <v>229</v>
      </c>
      <c r="B223" s="1" t="s">
        <v>27</v>
      </c>
      <c r="C223" s="2">
        <v>0.41869212962962965</v>
      </c>
      <c r="D223">
        <v>1</v>
      </c>
      <c r="E223">
        <f>VALUE(RIGHT(LEFT(punkt_szczepień__13[[#This Row],[PESEL]],4),2))</f>
        <v>31</v>
      </c>
      <c r="F223" s="11">
        <f>MOD(punkt_szczepień__13[[#This Row],[liczba miesiac]],20)</f>
        <v>11</v>
      </c>
      <c r="G223" s="11">
        <f>VLOOKUP(punkt_szczepień__13[[#This Row],[liczba miesiac]]-punkt_szczepień__13[[#This Row],[miesiac]],$O$3:$P$7,2,0)+VALUE(LEFT(punkt_szczepień__13[[#This Row],[PESEL]],2))</f>
        <v>2002</v>
      </c>
      <c r="H223" s="11">
        <f>VALUE(RIGHT(LEFT(punkt_szczepień__13[[#This Row],[PESEL]],6),2))</f>
        <v>11</v>
      </c>
      <c r="I223" s="3">
        <f>DATE(punkt_szczepień__13[[#This Row],[rok]],punkt_szczepień__13[[#This Row],[miesiac]],punkt_szczepień__13[[#This Row],[dzień]])</f>
        <v>37571</v>
      </c>
      <c r="J223" s="1" t="str">
        <f>punkt_szczepień__13[[#This Row],[PESEL]]</f>
        <v>02311171927</v>
      </c>
      <c r="K223" s="1">
        <f>VALUE(MID(punkt_szczepień__13[[#This Row],[PESEL]],10,1))</f>
        <v>2</v>
      </c>
      <c r="L223" s="11" t="str">
        <f>IF(MOD(punkt_szczepień__13[[#This Row],[liczba płeć]],2)=0,"K","M")</f>
        <v>K</v>
      </c>
      <c r="M223" s="1"/>
      <c r="N223" s="1"/>
    </row>
    <row r="224" spans="1:14" x14ac:dyDescent="0.25">
      <c r="A224" s="1" t="s">
        <v>230</v>
      </c>
      <c r="B224" s="1" t="s">
        <v>7</v>
      </c>
      <c r="C224" s="2">
        <v>0.41898148148148145</v>
      </c>
      <c r="D224">
        <v>1</v>
      </c>
      <c r="E224">
        <f>VALUE(RIGHT(LEFT(punkt_szczepień__13[[#This Row],[PESEL]],4),2))</f>
        <v>24</v>
      </c>
      <c r="F224" s="11">
        <f>MOD(punkt_szczepień__13[[#This Row],[liczba miesiac]],20)</f>
        <v>4</v>
      </c>
      <c r="G224" s="11">
        <f>VLOOKUP(punkt_szczepień__13[[#This Row],[liczba miesiac]]-punkt_szczepień__13[[#This Row],[miesiac]],$O$3:$P$7,2,0)+VALUE(LEFT(punkt_szczepień__13[[#This Row],[PESEL]],2))</f>
        <v>2008</v>
      </c>
      <c r="H224" s="11">
        <f>VALUE(RIGHT(LEFT(punkt_szczepień__13[[#This Row],[PESEL]],6),2))</f>
        <v>15</v>
      </c>
      <c r="I224" s="3">
        <f>DATE(punkt_szczepień__13[[#This Row],[rok]],punkt_szczepień__13[[#This Row],[miesiac]],punkt_szczepień__13[[#This Row],[dzień]])</f>
        <v>39553</v>
      </c>
      <c r="J224" s="1" t="str">
        <f>punkt_szczepień__13[[#This Row],[PESEL]]</f>
        <v>08241598142</v>
      </c>
      <c r="K224" s="1">
        <f>VALUE(MID(punkt_szczepień__13[[#This Row],[PESEL]],10,1))</f>
        <v>4</v>
      </c>
      <c r="L224" s="11" t="str">
        <f>IF(MOD(punkt_szczepień__13[[#This Row],[liczba płeć]],2)=0,"K","M")</f>
        <v>K</v>
      </c>
      <c r="M224" s="1"/>
      <c r="N224" s="1"/>
    </row>
    <row r="225" spans="1:14" x14ac:dyDescent="0.25">
      <c r="A225" s="1" t="s">
        <v>231</v>
      </c>
      <c r="B225" s="1" t="s">
        <v>5</v>
      </c>
      <c r="C225" s="2">
        <v>0.41956018518518517</v>
      </c>
      <c r="D225">
        <v>2</v>
      </c>
      <c r="E225">
        <f>VALUE(RIGHT(LEFT(punkt_szczepień__13[[#This Row],[PESEL]],4),2))</f>
        <v>21</v>
      </c>
      <c r="F225" s="11">
        <f>MOD(punkt_szczepień__13[[#This Row],[liczba miesiac]],20)</f>
        <v>1</v>
      </c>
      <c r="G225" s="11">
        <f>VLOOKUP(punkt_szczepień__13[[#This Row],[liczba miesiac]]-punkt_szczepień__13[[#This Row],[miesiac]],$O$3:$P$7,2,0)+VALUE(LEFT(punkt_szczepień__13[[#This Row],[PESEL]],2))</f>
        <v>2001</v>
      </c>
      <c r="H225" s="11">
        <f>VALUE(RIGHT(LEFT(punkt_szczepień__13[[#This Row],[PESEL]],6),2))</f>
        <v>10</v>
      </c>
      <c r="I225" s="3">
        <f>DATE(punkt_szczepień__13[[#This Row],[rok]],punkt_szczepień__13[[#This Row],[miesiac]],punkt_szczepień__13[[#This Row],[dzień]])</f>
        <v>36901</v>
      </c>
      <c r="J225" s="1" t="str">
        <f>punkt_szczepień__13[[#This Row],[PESEL]]</f>
        <v>01211021239</v>
      </c>
      <c r="K225" s="1">
        <f>VALUE(MID(punkt_szczepień__13[[#This Row],[PESEL]],10,1))</f>
        <v>3</v>
      </c>
      <c r="L225" s="11" t="str">
        <f>IF(MOD(punkt_szczepień__13[[#This Row],[liczba płeć]],2)=0,"K","M")</f>
        <v>M</v>
      </c>
      <c r="M225" s="1"/>
      <c r="N225" s="1"/>
    </row>
    <row r="226" spans="1:14" x14ac:dyDescent="0.25">
      <c r="A226" s="1" t="s">
        <v>232</v>
      </c>
      <c r="B226" s="1" t="s">
        <v>9</v>
      </c>
      <c r="C226" s="2">
        <v>0.41984953703703703</v>
      </c>
      <c r="D226">
        <v>1</v>
      </c>
      <c r="E226">
        <f>VALUE(RIGHT(LEFT(punkt_szczepień__13[[#This Row],[PESEL]],4),2))</f>
        <v>7</v>
      </c>
      <c r="F226" s="11">
        <f>MOD(punkt_szczepień__13[[#This Row],[liczba miesiac]],20)</f>
        <v>7</v>
      </c>
      <c r="G226" s="11">
        <f>VLOOKUP(punkt_szczepień__13[[#This Row],[liczba miesiac]]-punkt_szczepień__13[[#This Row],[miesiac]],$O$3:$P$7,2,0)+VALUE(LEFT(punkt_szczepień__13[[#This Row],[PESEL]],2))</f>
        <v>1950</v>
      </c>
      <c r="H226" s="11">
        <f>VALUE(RIGHT(LEFT(punkt_szczepień__13[[#This Row],[PESEL]],6),2))</f>
        <v>7</v>
      </c>
      <c r="I226" s="3">
        <f>DATE(punkt_szczepień__13[[#This Row],[rok]],punkt_szczepień__13[[#This Row],[miesiac]],punkt_szczepień__13[[#This Row],[dzień]])</f>
        <v>18451</v>
      </c>
      <c r="J226" s="1" t="str">
        <f>punkt_szczepień__13[[#This Row],[PESEL]]</f>
        <v>50070768526</v>
      </c>
      <c r="K226" s="1">
        <f>VALUE(MID(punkt_szczepień__13[[#This Row],[PESEL]],10,1))</f>
        <v>2</v>
      </c>
      <c r="L226" s="11" t="str">
        <f>IF(MOD(punkt_szczepień__13[[#This Row],[liczba płeć]],2)=0,"K","M")</f>
        <v>K</v>
      </c>
      <c r="M226" s="1"/>
      <c r="N226" s="1"/>
    </row>
    <row r="227" spans="1:14" x14ac:dyDescent="0.25">
      <c r="A227" s="1" t="s">
        <v>233</v>
      </c>
      <c r="B227" s="1" t="s">
        <v>9</v>
      </c>
      <c r="C227" s="2">
        <v>0.42042824074074076</v>
      </c>
      <c r="D227">
        <v>2</v>
      </c>
      <c r="E227">
        <f>VALUE(RIGHT(LEFT(punkt_szczepień__13[[#This Row],[PESEL]],4),2))</f>
        <v>4</v>
      </c>
      <c r="F227" s="11">
        <f>MOD(punkt_szczepień__13[[#This Row],[liczba miesiac]],20)</f>
        <v>4</v>
      </c>
      <c r="G227" s="11">
        <f>VLOOKUP(punkt_szczepień__13[[#This Row],[liczba miesiac]]-punkt_szczepień__13[[#This Row],[miesiac]],$O$3:$P$7,2,0)+VALUE(LEFT(punkt_szczepień__13[[#This Row],[PESEL]],2))</f>
        <v>1968</v>
      </c>
      <c r="H227" s="11">
        <f>VALUE(RIGHT(LEFT(punkt_szczepień__13[[#This Row],[PESEL]],6),2))</f>
        <v>26</v>
      </c>
      <c r="I227" s="3">
        <f>DATE(punkt_szczepień__13[[#This Row],[rok]],punkt_szczepień__13[[#This Row],[miesiac]],punkt_szczepień__13[[#This Row],[dzień]])</f>
        <v>24954</v>
      </c>
      <c r="J227" s="1" t="str">
        <f>punkt_szczepień__13[[#This Row],[PESEL]]</f>
        <v>68042682819</v>
      </c>
      <c r="K227" s="1">
        <f>VALUE(MID(punkt_szczepień__13[[#This Row],[PESEL]],10,1))</f>
        <v>1</v>
      </c>
      <c r="L227" s="11" t="str">
        <f>IF(MOD(punkt_szczepień__13[[#This Row],[liczba płeć]],2)=0,"K","M")</f>
        <v>M</v>
      </c>
      <c r="M227" s="1"/>
      <c r="N227" s="1"/>
    </row>
    <row r="228" spans="1:14" x14ac:dyDescent="0.25">
      <c r="A228" s="1" t="s">
        <v>234</v>
      </c>
      <c r="B228" s="1" t="s">
        <v>9</v>
      </c>
      <c r="C228" s="2">
        <v>0.42100694444444442</v>
      </c>
      <c r="D228">
        <v>2</v>
      </c>
      <c r="E228">
        <f>VALUE(RIGHT(LEFT(punkt_szczepień__13[[#This Row],[PESEL]],4),2))</f>
        <v>12</v>
      </c>
      <c r="F228" s="11">
        <f>MOD(punkt_szczepień__13[[#This Row],[liczba miesiac]],20)</f>
        <v>12</v>
      </c>
      <c r="G228" s="11">
        <f>VLOOKUP(punkt_szczepień__13[[#This Row],[liczba miesiac]]-punkt_szczepień__13[[#This Row],[miesiac]],$O$3:$P$7,2,0)+VALUE(LEFT(punkt_szczepień__13[[#This Row],[PESEL]],2))</f>
        <v>1920</v>
      </c>
      <c r="H228" s="11">
        <f>VALUE(RIGHT(LEFT(punkt_szczepień__13[[#This Row],[PESEL]],6),2))</f>
        <v>28</v>
      </c>
      <c r="I228" s="3">
        <f>DATE(punkt_szczepień__13[[#This Row],[rok]],punkt_szczepień__13[[#This Row],[miesiac]],punkt_szczepień__13[[#This Row],[dzień]])</f>
        <v>7668</v>
      </c>
      <c r="J228" s="1" t="str">
        <f>punkt_szczepień__13[[#This Row],[PESEL]]</f>
        <v>20122893755</v>
      </c>
      <c r="K228" s="1">
        <f>VALUE(MID(punkt_szczepień__13[[#This Row],[PESEL]],10,1))</f>
        <v>5</v>
      </c>
      <c r="L228" s="11" t="str">
        <f>IF(MOD(punkt_szczepień__13[[#This Row],[liczba płeć]],2)=0,"K","M")</f>
        <v>M</v>
      </c>
      <c r="M228" s="1"/>
      <c r="N228" s="1"/>
    </row>
    <row r="229" spans="1:14" x14ac:dyDescent="0.25">
      <c r="A229" s="1" t="s">
        <v>235</v>
      </c>
      <c r="B229" s="1" t="s">
        <v>7</v>
      </c>
      <c r="C229" s="2">
        <v>0.42129629629629628</v>
      </c>
      <c r="D229">
        <v>1</v>
      </c>
      <c r="E229">
        <f>VALUE(RIGHT(LEFT(punkt_szczepień__13[[#This Row],[PESEL]],4),2))</f>
        <v>4</v>
      </c>
      <c r="F229" s="11">
        <f>MOD(punkt_szczepień__13[[#This Row],[liczba miesiac]],20)</f>
        <v>4</v>
      </c>
      <c r="G229" s="11">
        <f>VLOOKUP(punkt_szczepień__13[[#This Row],[liczba miesiac]]-punkt_szczepień__13[[#This Row],[miesiac]],$O$3:$P$7,2,0)+VALUE(LEFT(punkt_szczepień__13[[#This Row],[PESEL]],2))</f>
        <v>1959</v>
      </c>
      <c r="H229" s="11">
        <f>VALUE(RIGHT(LEFT(punkt_szczepień__13[[#This Row],[PESEL]],6),2))</f>
        <v>10</v>
      </c>
      <c r="I229" s="3">
        <f>DATE(punkt_szczepień__13[[#This Row],[rok]],punkt_szczepień__13[[#This Row],[miesiac]],punkt_szczepień__13[[#This Row],[dzień]])</f>
        <v>21650</v>
      </c>
      <c r="J229" s="1" t="str">
        <f>punkt_szczepień__13[[#This Row],[PESEL]]</f>
        <v>59041061932</v>
      </c>
      <c r="K229" s="1">
        <f>VALUE(MID(punkt_szczepień__13[[#This Row],[PESEL]],10,1))</f>
        <v>3</v>
      </c>
      <c r="L229" s="11" t="str">
        <f>IF(MOD(punkt_szczepień__13[[#This Row],[liczba płeć]],2)=0,"K","M")</f>
        <v>M</v>
      </c>
      <c r="M229" s="1"/>
      <c r="N229" s="1"/>
    </row>
    <row r="230" spans="1:14" x14ac:dyDescent="0.25">
      <c r="A230" s="1" t="s">
        <v>236</v>
      </c>
      <c r="B230" s="1" t="s">
        <v>5</v>
      </c>
      <c r="C230" s="2">
        <v>0.42158564814814814</v>
      </c>
      <c r="D230">
        <v>1</v>
      </c>
      <c r="E230">
        <f>VALUE(RIGHT(LEFT(punkt_szczepień__13[[#This Row],[PESEL]],4),2))</f>
        <v>23</v>
      </c>
      <c r="F230" s="11">
        <f>MOD(punkt_szczepień__13[[#This Row],[liczba miesiac]],20)</f>
        <v>3</v>
      </c>
      <c r="G230" s="11">
        <f>VLOOKUP(punkt_szczepień__13[[#This Row],[liczba miesiac]]-punkt_szczepień__13[[#This Row],[miesiac]],$O$3:$P$7,2,0)+VALUE(LEFT(punkt_szczepień__13[[#This Row],[PESEL]],2))</f>
        <v>2009</v>
      </c>
      <c r="H230" s="11">
        <f>VALUE(RIGHT(LEFT(punkt_szczepień__13[[#This Row],[PESEL]],6),2))</f>
        <v>22</v>
      </c>
      <c r="I230" s="3">
        <f>DATE(punkt_szczepień__13[[#This Row],[rok]],punkt_szczepień__13[[#This Row],[miesiac]],punkt_szczepień__13[[#This Row],[dzień]])</f>
        <v>39894</v>
      </c>
      <c r="J230" s="1" t="str">
        <f>punkt_szczepień__13[[#This Row],[PESEL]]</f>
        <v>09232261218</v>
      </c>
      <c r="K230" s="1">
        <f>VALUE(MID(punkt_szczepień__13[[#This Row],[PESEL]],10,1))</f>
        <v>1</v>
      </c>
      <c r="L230" s="11" t="str">
        <f>IF(MOD(punkt_szczepień__13[[#This Row],[liczba płeć]],2)=0,"K","M")</f>
        <v>M</v>
      </c>
      <c r="M230" s="1"/>
      <c r="N230" s="1"/>
    </row>
    <row r="231" spans="1:14" x14ac:dyDescent="0.25">
      <c r="A231" s="1" t="s">
        <v>237</v>
      </c>
      <c r="B231" s="1" t="s">
        <v>7</v>
      </c>
      <c r="C231" s="2">
        <v>0.421875</v>
      </c>
      <c r="D231">
        <v>1</v>
      </c>
      <c r="E231">
        <f>VALUE(RIGHT(LEFT(punkt_szczepień__13[[#This Row],[PESEL]],4),2))</f>
        <v>5</v>
      </c>
      <c r="F231" s="11">
        <f>MOD(punkt_szczepień__13[[#This Row],[liczba miesiac]],20)</f>
        <v>5</v>
      </c>
      <c r="G231" s="11">
        <f>VLOOKUP(punkt_szczepień__13[[#This Row],[liczba miesiac]]-punkt_szczepień__13[[#This Row],[miesiac]],$O$3:$P$7,2,0)+VALUE(LEFT(punkt_szczepień__13[[#This Row],[PESEL]],2))</f>
        <v>1949</v>
      </c>
      <c r="H231" s="11">
        <f>VALUE(RIGHT(LEFT(punkt_szczepień__13[[#This Row],[PESEL]],6),2))</f>
        <v>7</v>
      </c>
      <c r="I231" s="3">
        <f>DATE(punkt_szczepień__13[[#This Row],[rok]],punkt_szczepień__13[[#This Row],[miesiac]],punkt_szczepień__13[[#This Row],[dzień]])</f>
        <v>18025</v>
      </c>
      <c r="J231" s="1" t="str">
        <f>punkt_szczepień__13[[#This Row],[PESEL]]</f>
        <v>49050781718</v>
      </c>
      <c r="K231" s="1">
        <f>VALUE(MID(punkt_szczepień__13[[#This Row],[PESEL]],10,1))</f>
        <v>1</v>
      </c>
      <c r="L231" s="11" t="str">
        <f>IF(MOD(punkt_szczepień__13[[#This Row],[liczba płeć]],2)=0,"K","M")</f>
        <v>M</v>
      </c>
      <c r="M231" s="1"/>
      <c r="N231" s="1"/>
    </row>
    <row r="232" spans="1:14" x14ac:dyDescent="0.25">
      <c r="A232" s="1" t="s">
        <v>238</v>
      </c>
      <c r="B232" s="1" t="s">
        <v>9</v>
      </c>
      <c r="C232" s="2">
        <v>0.42216435185185186</v>
      </c>
      <c r="D232">
        <v>1</v>
      </c>
      <c r="E232">
        <f>VALUE(RIGHT(LEFT(punkt_szczepień__13[[#This Row],[PESEL]],4),2))</f>
        <v>12</v>
      </c>
      <c r="F232" s="11">
        <f>MOD(punkt_szczepień__13[[#This Row],[liczba miesiac]],20)</f>
        <v>12</v>
      </c>
      <c r="G232" s="11">
        <f>VLOOKUP(punkt_szczepień__13[[#This Row],[liczba miesiac]]-punkt_szczepień__13[[#This Row],[miesiac]],$O$3:$P$7,2,0)+VALUE(LEFT(punkt_szczepień__13[[#This Row],[PESEL]],2))</f>
        <v>1945</v>
      </c>
      <c r="H232" s="11">
        <f>VALUE(RIGHT(LEFT(punkt_szczepień__13[[#This Row],[PESEL]],6),2))</f>
        <v>19</v>
      </c>
      <c r="I232" s="3">
        <f>DATE(punkt_szczepień__13[[#This Row],[rok]],punkt_szczepień__13[[#This Row],[miesiac]],punkt_szczepień__13[[#This Row],[dzień]])</f>
        <v>16790</v>
      </c>
      <c r="J232" s="1" t="str">
        <f>punkt_szczepień__13[[#This Row],[PESEL]]</f>
        <v>45121949283</v>
      </c>
      <c r="K232" s="1">
        <f>VALUE(MID(punkt_szczepień__13[[#This Row],[PESEL]],10,1))</f>
        <v>8</v>
      </c>
      <c r="L232" s="11" t="str">
        <f>IF(MOD(punkt_szczepień__13[[#This Row],[liczba płeć]],2)=0,"K","M")</f>
        <v>K</v>
      </c>
      <c r="M232" s="1"/>
      <c r="N232" s="1"/>
    </row>
    <row r="233" spans="1:14" x14ac:dyDescent="0.25">
      <c r="A233" s="1" t="s">
        <v>239</v>
      </c>
      <c r="B233" s="1" t="s">
        <v>5</v>
      </c>
      <c r="C233" s="2">
        <v>0.42245370370370372</v>
      </c>
      <c r="D233">
        <v>1</v>
      </c>
      <c r="E233">
        <f>VALUE(RIGHT(LEFT(punkt_szczepień__13[[#This Row],[PESEL]],4),2))</f>
        <v>8</v>
      </c>
      <c r="F233" s="11">
        <f>MOD(punkt_szczepień__13[[#This Row],[liczba miesiac]],20)</f>
        <v>8</v>
      </c>
      <c r="G233" s="11">
        <f>VLOOKUP(punkt_szczepień__13[[#This Row],[liczba miesiac]]-punkt_szczepień__13[[#This Row],[miesiac]],$O$3:$P$7,2,0)+VALUE(LEFT(punkt_szczepień__13[[#This Row],[PESEL]],2))</f>
        <v>1931</v>
      </c>
      <c r="H233" s="11">
        <f>VALUE(RIGHT(LEFT(punkt_szczepień__13[[#This Row],[PESEL]],6),2))</f>
        <v>12</v>
      </c>
      <c r="I233" s="3">
        <f>DATE(punkt_szczepień__13[[#This Row],[rok]],punkt_szczepień__13[[#This Row],[miesiac]],punkt_szczepień__13[[#This Row],[dzień]])</f>
        <v>11547</v>
      </c>
      <c r="J233" s="1" t="str">
        <f>punkt_szczepień__13[[#This Row],[PESEL]]</f>
        <v>31081212321</v>
      </c>
      <c r="K233" s="1">
        <f>VALUE(MID(punkt_szczepień__13[[#This Row],[PESEL]],10,1))</f>
        <v>2</v>
      </c>
      <c r="L233" s="11" t="str">
        <f>IF(MOD(punkt_szczepień__13[[#This Row],[liczba płeć]],2)=0,"K","M")</f>
        <v>K</v>
      </c>
      <c r="M233" s="1"/>
      <c r="N233" s="1"/>
    </row>
    <row r="234" spans="1:14" x14ac:dyDescent="0.25">
      <c r="A234" s="1" t="s">
        <v>240</v>
      </c>
      <c r="B234" s="1" t="s">
        <v>9</v>
      </c>
      <c r="C234" s="2">
        <v>0.42303240740740738</v>
      </c>
      <c r="D234">
        <v>2</v>
      </c>
      <c r="E234">
        <f>VALUE(RIGHT(LEFT(punkt_szczepień__13[[#This Row],[PESEL]],4),2))</f>
        <v>9</v>
      </c>
      <c r="F234" s="11">
        <f>MOD(punkt_szczepień__13[[#This Row],[liczba miesiac]],20)</f>
        <v>9</v>
      </c>
      <c r="G234" s="11">
        <f>VLOOKUP(punkt_szczepień__13[[#This Row],[liczba miesiac]]-punkt_szczepień__13[[#This Row],[miesiac]],$O$3:$P$7,2,0)+VALUE(LEFT(punkt_szczepień__13[[#This Row],[PESEL]],2))</f>
        <v>1931</v>
      </c>
      <c r="H234" s="11">
        <f>VALUE(RIGHT(LEFT(punkt_szczepień__13[[#This Row],[PESEL]],6),2))</f>
        <v>8</v>
      </c>
      <c r="I234" s="3">
        <f>DATE(punkt_szczepień__13[[#This Row],[rok]],punkt_szczepień__13[[#This Row],[miesiac]],punkt_szczepień__13[[#This Row],[dzień]])</f>
        <v>11574</v>
      </c>
      <c r="J234" s="1" t="str">
        <f>punkt_szczepień__13[[#This Row],[PESEL]]</f>
        <v>31090849482</v>
      </c>
      <c r="K234" s="1">
        <f>VALUE(MID(punkt_szczepień__13[[#This Row],[PESEL]],10,1))</f>
        <v>8</v>
      </c>
      <c r="L234" s="11" t="str">
        <f>IF(MOD(punkt_szczepień__13[[#This Row],[liczba płeć]],2)=0,"K","M")</f>
        <v>K</v>
      </c>
      <c r="M234" s="1"/>
      <c r="N234" s="1"/>
    </row>
    <row r="235" spans="1:14" x14ac:dyDescent="0.25">
      <c r="A235" s="1" t="s">
        <v>241</v>
      </c>
      <c r="B235" s="1" t="s">
        <v>5</v>
      </c>
      <c r="C235" s="2">
        <v>0.4236111111111111</v>
      </c>
      <c r="D235">
        <v>2</v>
      </c>
      <c r="E235">
        <f>VALUE(RIGHT(LEFT(punkt_szczepień__13[[#This Row],[PESEL]],4),2))</f>
        <v>12</v>
      </c>
      <c r="F235" s="11">
        <f>MOD(punkt_szczepień__13[[#This Row],[liczba miesiac]],20)</f>
        <v>12</v>
      </c>
      <c r="G235" s="11">
        <f>VLOOKUP(punkt_szczepień__13[[#This Row],[liczba miesiac]]-punkt_szczepień__13[[#This Row],[miesiac]],$O$3:$P$7,2,0)+VALUE(LEFT(punkt_szczepień__13[[#This Row],[PESEL]],2))</f>
        <v>1968</v>
      </c>
      <c r="H235" s="11">
        <f>VALUE(RIGHT(LEFT(punkt_szczepień__13[[#This Row],[PESEL]],6),2))</f>
        <v>25</v>
      </c>
      <c r="I235" s="3">
        <f>DATE(punkt_szczepień__13[[#This Row],[rok]],punkt_szczepień__13[[#This Row],[miesiac]],punkt_szczepień__13[[#This Row],[dzień]])</f>
        <v>25197</v>
      </c>
      <c r="J235" s="1" t="str">
        <f>punkt_szczepień__13[[#This Row],[PESEL]]</f>
        <v>68122558162</v>
      </c>
      <c r="K235" s="1">
        <f>VALUE(MID(punkt_szczepień__13[[#This Row],[PESEL]],10,1))</f>
        <v>6</v>
      </c>
      <c r="L235" s="11" t="str">
        <f>IF(MOD(punkt_szczepień__13[[#This Row],[liczba płeć]],2)=0,"K","M")</f>
        <v>K</v>
      </c>
      <c r="M235" s="1"/>
      <c r="N235" s="1"/>
    </row>
    <row r="236" spans="1:14" x14ac:dyDescent="0.25">
      <c r="A236" s="1" t="s">
        <v>242</v>
      </c>
      <c r="B236" s="1" t="s">
        <v>7</v>
      </c>
      <c r="C236" s="2">
        <v>0.42390046296296297</v>
      </c>
      <c r="D236">
        <v>1</v>
      </c>
      <c r="E236">
        <f>VALUE(RIGHT(LEFT(punkt_szczepień__13[[#This Row],[PESEL]],4),2))</f>
        <v>9</v>
      </c>
      <c r="F236" s="11">
        <f>MOD(punkt_szczepień__13[[#This Row],[liczba miesiac]],20)</f>
        <v>9</v>
      </c>
      <c r="G236" s="11">
        <f>VLOOKUP(punkt_szczepień__13[[#This Row],[liczba miesiac]]-punkt_szczepień__13[[#This Row],[miesiac]],$O$3:$P$7,2,0)+VALUE(LEFT(punkt_szczepień__13[[#This Row],[PESEL]],2))</f>
        <v>1929</v>
      </c>
      <c r="H236" s="11">
        <f>VALUE(RIGHT(LEFT(punkt_szczepień__13[[#This Row],[PESEL]],6),2))</f>
        <v>9</v>
      </c>
      <c r="I236" s="3">
        <f>DATE(punkt_szczepień__13[[#This Row],[rok]],punkt_szczepień__13[[#This Row],[miesiac]],punkt_szczepień__13[[#This Row],[dzień]])</f>
        <v>10845</v>
      </c>
      <c r="J236" s="1" t="str">
        <f>punkt_szczepień__13[[#This Row],[PESEL]]</f>
        <v>29090938284</v>
      </c>
      <c r="K236" s="1">
        <f>VALUE(MID(punkt_szczepień__13[[#This Row],[PESEL]],10,1))</f>
        <v>8</v>
      </c>
      <c r="L236" s="11" t="str">
        <f>IF(MOD(punkt_szczepień__13[[#This Row],[liczba płeć]],2)=0,"K","M")</f>
        <v>K</v>
      </c>
      <c r="M236" s="1"/>
      <c r="N236" s="1"/>
    </row>
    <row r="237" spans="1:14" x14ac:dyDescent="0.25">
      <c r="A237" s="1" t="s">
        <v>243</v>
      </c>
      <c r="B237" s="1" t="s">
        <v>27</v>
      </c>
      <c r="C237" s="2">
        <v>0.42418981481481483</v>
      </c>
      <c r="D237">
        <v>1</v>
      </c>
      <c r="E237">
        <f>VALUE(RIGHT(LEFT(punkt_szczepień__13[[#This Row],[PESEL]],4),2))</f>
        <v>7</v>
      </c>
      <c r="F237" s="11">
        <f>MOD(punkt_szczepień__13[[#This Row],[liczba miesiac]],20)</f>
        <v>7</v>
      </c>
      <c r="G237" s="11">
        <f>VLOOKUP(punkt_szczepień__13[[#This Row],[liczba miesiac]]-punkt_szczepień__13[[#This Row],[miesiac]],$O$3:$P$7,2,0)+VALUE(LEFT(punkt_szczepień__13[[#This Row],[PESEL]],2))</f>
        <v>1945</v>
      </c>
      <c r="H237" s="11">
        <f>VALUE(RIGHT(LEFT(punkt_szczepień__13[[#This Row],[PESEL]],6),2))</f>
        <v>22</v>
      </c>
      <c r="I237" s="3">
        <f>DATE(punkt_szczepień__13[[#This Row],[rok]],punkt_szczepień__13[[#This Row],[miesiac]],punkt_szczepień__13[[#This Row],[dzień]])</f>
        <v>16640</v>
      </c>
      <c r="J237" s="1" t="str">
        <f>punkt_szczepień__13[[#This Row],[PESEL]]</f>
        <v>45072239756</v>
      </c>
      <c r="K237" s="1">
        <f>VALUE(MID(punkt_szczepień__13[[#This Row],[PESEL]],10,1))</f>
        <v>5</v>
      </c>
      <c r="L237" s="11" t="str">
        <f>IF(MOD(punkt_szczepień__13[[#This Row],[liczba płeć]],2)=0,"K","M")</f>
        <v>M</v>
      </c>
      <c r="M237" s="1"/>
      <c r="N237" s="1"/>
    </row>
    <row r="238" spans="1:14" x14ac:dyDescent="0.25">
      <c r="A238" s="1" t="s">
        <v>244</v>
      </c>
      <c r="B238" s="1" t="s">
        <v>7</v>
      </c>
      <c r="C238" s="2">
        <v>0.42447916666666669</v>
      </c>
      <c r="D238">
        <v>1</v>
      </c>
      <c r="E238">
        <f>VALUE(RIGHT(LEFT(punkt_szczepień__13[[#This Row],[PESEL]],4),2))</f>
        <v>11</v>
      </c>
      <c r="F238" s="11">
        <f>MOD(punkt_szczepień__13[[#This Row],[liczba miesiac]],20)</f>
        <v>11</v>
      </c>
      <c r="G238" s="11">
        <f>VLOOKUP(punkt_szczepień__13[[#This Row],[liczba miesiac]]-punkt_szczepień__13[[#This Row],[miesiac]],$O$3:$P$7,2,0)+VALUE(LEFT(punkt_szczepień__13[[#This Row],[PESEL]],2))</f>
        <v>1923</v>
      </c>
      <c r="H238" s="11">
        <f>VALUE(RIGHT(LEFT(punkt_szczepień__13[[#This Row],[PESEL]],6),2))</f>
        <v>12</v>
      </c>
      <c r="I238" s="3">
        <f>DATE(punkt_szczepień__13[[#This Row],[rok]],punkt_szczepień__13[[#This Row],[miesiac]],punkt_szczepień__13[[#This Row],[dzień]])</f>
        <v>8717</v>
      </c>
      <c r="J238" s="1" t="str">
        <f>punkt_szczepień__13[[#This Row],[PESEL]]</f>
        <v>23111276218</v>
      </c>
      <c r="K238" s="1">
        <f>VALUE(MID(punkt_szczepień__13[[#This Row],[PESEL]],10,1))</f>
        <v>1</v>
      </c>
      <c r="L238" s="11" t="str">
        <f>IF(MOD(punkt_szczepień__13[[#This Row],[liczba płeć]],2)=0,"K","M")</f>
        <v>M</v>
      </c>
      <c r="M238" s="1"/>
      <c r="N238" s="1"/>
    </row>
    <row r="239" spans="1:14" x14ac:dyDescent="0.25">
      <c r="A239" s="1" t="s">
        <v>245</v>
      </c>
      <c r="B239" s="1" t="s">
        <v>5</v>
      </c>
      <c r="C239" s="2">
        <v>0.42476851851851855</v>
      </c>
      <c r="D239">
        <v>1</v>
      </c>
      <c r="E239">
        <f>VALUE(RIGHT(LEFT(punkt_szczepień__13[[#This Row],[PESEL]],4),2))</f>
        <v>9</v>
      </c>
      <c r="F239" s="11">
        <f>MOD(punkt_szczepień__13[[#This Row],[liczba miesiac]],20)</f>
        <v>9</v>
      </c>
      <c r="G239" s="11">
        <f>VLOOKUP(punkt_szczepień__13[[#This Row],[liczba miesiac]]-punkt_szczepień__13[[#This Row],[miesiac]],$O$3:$P$7,2,0)+VALUE(LEFT(punkt_szczepień__13[[#This Row],[PESEL]],2))</f>
        <v>1920</v>
      </c>
      <c r="H239" s="11">
        <f>VALUE(RIGHT(LEFT(punkt_szczepień__13[[#This Row],[PESEL]],6),2))</f>
        <v>9</v>
      </c>
      <c r="I239" s="3">
        <f>DATE(punkt_szczepień__13[[#This Row],[rok]],punkt_szczepień__13[[#This Row],[miesiac]],punkt_szczepień__13[[#This Row],[dzień]])</f>
        <v>7558</v>
      </c>
      <c r="J239" s="1" t="str">
        <f>punkt_szczepień__13[[#This Row],[PESEL]]</f>
        <v>20090917161</v>
      </c>
      <c r="K239" s="1">
        <f>VALUE(MID(punkt_szczepień__13[[#This Row],[PESEL]],10,1))</f>
        <v>6</v>
      </c>
      <c r="L239" s="11" t="str">
        <f>IF(MOD(punkt_szczepień__13[[#This Row],[liczba płeć]],2)=0,"K","M")</f>
        <v>K</v>
      </c>
      <c r="M239" s="1"/>
      <c r="N239" s="1"/>
    </row>
    <row r="240" spans="1:14" x14ac:dyDescent="0.25">
      <c r="A240" s="1" t="s">
        <v>246</v>
      </c>
      <c r="B240" s="1" t="s">
        <v>5</v>
      </c>
      <c r="C240" s="2">
        <v>0.42505787037037035</v>
      </c>
      <c r="D240">
        <v>1</v>
      </c>
      <c r="E240">
        <f>VALUE(RIGHT(LEFT(punkt_szczepień__13[[#This Row],[PESEL]],4),2))</f>
        <v>7</v>
      </c>
      <c r="F240" s="11">
        <f>MOD(punkt_szczepień__13[[#This Row],[liczba miesiac]],20)</f>
        <v>7</v>
      </c>
      <c r="G240" s="11">
        <f>VLOOKUP(punkt_szczepień__13[[#This Row],[liczba miesiac]]-punkt_szczepień__13[[#This Row],[miesiac]],$O$3:$P$7,2,0)+VALUE(LEFT(punkt_szczepień__13[[#This Row],[PESEL]],2))</f>
        <v>1959</v>
      </c>
      <c r="H240" s="11">
        <f>VALUE(RIGHT(LEFT(punkt_szczepień__13[[#This Row],[PESEL]],6),2))</f>
        <v>11</v>
      </c>
      <c r="I240" s="3">
        <f>DATE(punkt_szczepień__13[[#This Row],[rok]],punkt_szczepień__13[[#This Row],[miesiac]],punkt_szczepień__13[[#This Row],[dzień]])</f>
        <v>21742</v>
      </c>
      <c r="J240" s="1" t="str">
        <f>punkt_szczepień__13[[#This Row],[PESEL]]</f>
        <v>59071125491</v>
      </c>
      <c r="K240" s="1">
        <f>VALUE(MID(punkt_szczepień__13[[#This Row],[PESEL]],10,1))</f>
        <v>9</v>
      </c>
      <c r="L240" s="11" t="str">
        <f>IF(MOD(punkt_szczepień__13[[#This Row],[liczba płeć]],2)=0,"K","M")</f>
        <v>M</v>
      </c>
      <c r="M240" s="1"/>
      <c r="N240" s="1"/>
    </row>
    <row r="241" spans="1:14" x14ac:dyDescent="0.25">
      <c r="A241" s="1" t="s">
        <v>247</v>
      </c>
      <c r="B241" s="1" t="s">
        <v>5</v>
      </c>
      <c r="C241" s="2">
        <v>0.42563657407407407</v>
      </c>
      <c r="D241">
        <v>2</v>
      </c>
      <c r="E241">
        <f>VALUE(RIGHT(LEFT(punkt_szczepień__13[[#This Row],[PESEL]],4),2))</f>
        <v>1</v>
      </c>
      <c r="F241" s="11">
        <f>MOD(punkt_szczepień__13[[#This Row],[liczba miesiac]],20)</f>
        <v>1</v>
      </c>
      <c r="G241" s="11">
        <f>VLOOKUP(punkt_szczepień__13[[#This Row],[liczba miesiac]]-punkt_szczepień__13[[#This Row],[miesiac]],$O$3:$P$7,2,0)+VALUE(LEFT(punkt_szczepień__13[[#This Row],[PESEL]],2))</f>
        <v>1959</v>
      </c>
      <c r="H241" s="11">
        <f>VALUE(RIGHT(LEFT(punkt_szczepień__13[[#This Row],[PESEL]],6),2))</f>
        <v>31</v>
      </c>
      <c r="I241" s="3">
        <f>DATE(punkt_szczepień__13[[#This Row],[rok]],punkt_szczepień__13[[#This Row],[miesiac]],punkt_szczepień__13[[#This Row],[dzień]])</f>
        <v>21581</v>
      </c>
      <c r="J241" s="1" t="str">
        <f>punkt_szczepień__13[[#This Row],[PESEL]]</f>
        <v>59013185354</v>
      </c>
      <c r="K241" s="1">
        <f>VALUE(MID(punkt_szczepień__13[[#This Row],[PESEL]],10,1))</f>
        <v>5</v>
      </c>
      <c r="L241" s="11" t="str">
        <f>IF(MOD(punkt_szczepień__13[[#This Row],[liczba płeć]],2)=0,"K","M")</f>
        <v>M</v>
      </c>
      <c r="M241" s="1"/>
      <c r="N241" s="1"/>
    </row>
    <row r="242" spans="1:14" x14ac:dyDescent="0.25">
      <c r="A242" s="1" t="s">
        <v>248</v>
      </c>
      <c r="B242" s="1" t="s">
        <v>7</v>
      </c>
      <c r="C242" s="2">
        <v>0.42592592592592593</v>
      </c>
      <c r="D242">
        <v>1</v>
      </c>
      <c r="E242">
        <f>VALUE(RIGHT(LEFT(punkt_szczepień__13[[#This Row],[PESEL]],4),2))</f>
        <v>9</v>
      </c>
      <c r="F242" s="11">
        <f>MOD(punkt_szczepień__13[[#This Row],[liczba miesiac]],20)</f>
        <v>9</v>
      </c>
      <c r="G242" s="11">
        <f>VLOOKUP(punkt_szczepień__13[[#This Row],[liczba miesiac]]-punkt_szczepień__13[[#This Row],[miesiac]],$O$3:$P$7,2,0)+VALUE(LEFT(punkt_szczepień__13[[#This Row],[PESEL]],2))</f>
        <v>1979</v>
      </c>
      <c r="H242" s="11">
        <f>VALUE(RIGHT(LEFT(punkt_szczepień__13[[#This Row],[PESEL]],6),2))</f>
        <v>9</v>
      </c>
      <c r="I242" s="3">
        <f>DATE(punkt_szczepień__13[[#This Row],[rok]],punkt_szczepień__13[[#This Row],[miesiac]],punkt_szczepień__13[[#This Row],[dzień]])</f>
        <v>29107</v>
      </c>
      <c r="J242" s="1" t="str">
        <f>punkt_szczepień__13[[#This Row],[PESEL]]</f>
        <v>79090951196</v>
      </c>
      <c r="K242" s="1">
        <f>VALUE(MID(punkt_szczepień__13[[#This Row],[PESEL]],10,1))</f>
        <v>9</v>
      </c>
      <c r="L242" s="11" t="str">
        <f>IF(MOD(punkt_szczepień__13[[#This Row],[liczba płeć]],2)=0,"K","M")</f>
        <v>M</v>
      </c>
      <c r="M242" s="1"/>
      <c r="N242" s="1"/>
    </row>
    <row r="243" spans="1:14" x14ac:dyDescent="0.25">
      <c r="A243" s="1" t="s">
        <v>249</v>
      </c>
      <c r="B243" s="1" t="s">
        <v>7</v>
      </c>
      <c r="C243" s="2">
        <v>0.42621527777777779</v>
      </c>
      <c r="D243">
        <v>1</v>
      </c>
      <c r="E243">
        <f>VALUE(RIGHT(LEFT(punkt_szczepień__13[[#This Row],[PESEL]],4),2))</f>
        <v>5</v>
      </c>
      <c r="F243" s="11">
        <f>MOD(punkt_szczepień__13[[#This Row],[liczba miesiac]],20)</f>
        <v>5</v>
      </c>
      <c r="G243" s="11">
        <f>VLOOKUP(punkt_szczepień__13[[#This Row],[liczba miesiac]]-punkt_szczepień__13[[#This Row],[miesiac]],$O$3:$P$7,2,0)+VALUE(LEFT(punkt_szczepień__13[[#This Row],[PESEL]],2))</f>
        <v>1932</v>
      </c>
      <c r="H243" s="11">
        <f>VALUE(RIGHT(LEFT(punkt_szczepień__13[[#This Row],[PESEL]],6),2))</f>
        <v>12</v>
      </c>
      <c r="I243" s="3">
        <f>DATE(punkt_szczepień__13[[#This Row],[rok]],punkt_szczepień__13[[#This Row],[miesiac]],punkt_szczepień__13[[#This Row],[dzień]])</f>
        <v>11821</v>
      </c>
      <c r="J243" s="1" t="str">
        <f>punkt_szczepień__13[[#This Row],[PESEL]]</f>
        <v>32051245259</v>
      </c>
      <c r="K243" s="1">
        <f>VALUE(MID(punkt_szczepień__13[[#This Row],[PESEL]],10,1))</f>
        <v>5</v>
      </c>
      <c r="L243" s="11" t="str">
        <f>IF(MOD(punkt_szczepień__13[[#This Row],[liczba płeć]],2)=0,"K","M")</f>
        <v>M</v>
      </c>
      <c r="M243" s="1"/>
      <c r="N243" s="1"/>
    </row>
    <row r="244" spans="1:14" x14ac:dyDescent="0.25">
      <c r="A244" s="1" t="s">
        <v>250</v>
      </c>
      <c r="B244" s="1" t="s">
        <v>7</v>
      </c>
      <c r="C244" s="2">
        <v>0.42650462962962965</v>
      </c>
      <c r="D244">
        <v>1</v>
      </c>
      <c r="E244">
        <f>VALUE(RIGHT(LEFT(punkt_szczepień__13[[#This Row],[PESEL]],4),2))</f>
        <v>11</v>
      </c>
      <c r="F244" s="11">
        <f>MOD(punkt_szczepień__13[[#This Row],[liczba miesiac]],20)</f>
        <v>11</v>
      </c>
      <c r="G244" s="11">
        <f>VLOOKUP(punkt_szczepień__13[[#This Row],[liczba miesiac]]-punkt_szczepień__13[[#This Row],[miesiac]],$O$3:$P$7,2,0)+VALUE(LEFT(punkt_szczepień__13[[#This Row],[PESEL]],2))</f>
        <v>1952</v>
      </c>
      <c r="H244" s="11">
        <f>VALUE(RIGHT(LEFT(punkt_szczepień__13[[#This Row],[PESEL]],6),2))</f>
        <v>9</v>
      </c>
      <c r="I244" s="3">
        <f>DATE(punkt_szczepień__13[[#This Row],[rok]],punkt_szczepień__13[[#This Row],[miesiac]],punkt_szczepień__13[[#This Row],[dzień]])</f>
        <v>19307</v>
      </c>
      <c r="J244" s="1" t="str">
        <f>punkt_szczepień__13[[#This Row],[PESEL]]</f>
        <v>52110915493</v>
      </c>
      <c r="K244" s="1">
        <f>VALUE(MID(punkt_szczepień__13[[#This Row],[PESEL]],10,1))</f>
        <v>9</v>
      </c>
      <c r="L244" s="11" t="str">
        <f>IF(MOD(punkt_szczepień__13[[#This Row],[liczba płeć]],2)=0,"K","M")</f>
        <v>M</v>
      </c>
      <c r="M244" s="1"/>
      <c r="N244" s="1"/>
    </row>
    <row r="245" spans="1:14" x14ac:dyDescent="0.25">
      <c r="A245" s="1" t="s">
        <v>251</v>
      </c>
      <c r="B245" s="1" t="s">
        <v>7</v>
      </c>
      <c r="C245" s="2">
        <v>0.42679398148148145</v>
      </c>
      <c r="D245">
        <v>1</v>
      </c>
      <c r="E245">
        <f>VALUE(RIGHT(LEFT(punkt_szczepień__13[[#This Row],[PESEL]],4),2))</f>
        <v>7</v>
      </c>
      <c r="F245" s="11">
        <f>MOD(punkt_szczepień__13[[#This Row],[liczba miesiac]],20)</f>
        <v>7</v>
      </c>
      <c r="G245" s="11">
        <f>VLOOKUP(punkt_szczepień__13[[#This Row],[liczba miesiac]]-punkt_szczepień__13[[#This Row],[miesiac]],$O$3:$P$7,2,0)+VALUE(LEFT(punkt_szczepień__13[[#This Row],[PESEL]],2))</f>
        <v>1963</v>
      </c>
      <c r="H245" s="11">
        <f>VALUE(RIGHT(LEFT(punkt_szczepień__13[[#This Row],[PESEL]],6),2))</f>
        <v>15</v>
      </c>
      <c r="I245" s="3">
        <f>DATE(punkt_szczepień__13[[#This Row],[rok]],punkt_szczepień__13[[#This Row],[miesiac]],punkt_szczepień__13[[#This Row],[dzień]])</f>
        <v>23207</v>
      </c>
      <c r="J245" s="1" t="str">
        <f>punkt_szczepień__13[[#This Row],[PESEL]]</f>
        <v>63071519565</v>
      </c>
      <c r="K245" s="1">
        <f>VALUE(MID(punkt_szczepień__13[[#This Row],[PESEL]],10,1))</f>
        <v>6</v>
      </c>
      <c r="L245" s="11" t="str">
        <f>IF(MOD(punkt_szczepień__13[[#This Row],[liczba płeć]],2)=0,"K","M")</f>
        <v>K</v>
      </c>
      <c r="M245" s="1"/>
      <c r="N245" s="1"/>
    </row>
    <row r="246" spans="1:14" x14ac:dyDescent="0.25">
      <c r="A246" s="1" t="s">
        <v>252</v>
      </c>
      <c r="B246" s="1" t="s">
        <v>5</v>
      </c>
      <c r="C246" s="2">
        <v>0.42737268518518517</v>
      </c>
      <c r="D246">
        <v>2</v>
      </c>
      <c r="E246">
        <f>VALUE(RIGHT(LEFT(punkt_szczepień__13[[#This Row],[PESEL]],4),2))</f>
        <v>3</v>
      </c>
      <c r="F246" s="11">
        <f>MOD(punkt_szczepień__13[[#This Row],[liczba miesiac]],20)</f>
        <v>3</v>
      </c>
      <c r="G246" s="11">
        <f>VLOOKUP(punkt_szczepień__13[[#This Row],[liczba miesiac]]-punkt_szczepień__13[[#This Row],[miesiac]],$O$3:$P$7,2,0)+VALUE(LEFT(punkt_szczepień__13[[#This Row],[PESEL]],2))</f>
        <v>1931</v>
      </c>
      <c r="H246" s="11">
        <f>VALUE(RIGHT(LEFT(punkt_szczepień__13[[#This Row],[PESEL]],6),2))</f>
        <v>25</v>
      </c>
      <c r="I246" s="3">
        <f>DATE(punkt_szczepień__13[[#This Row],[rok]],punkt_szczepień__13[[#This Row],[miesiac]],punkt_szczepień__13[[#This Row],[dzień]])</f>
        <v>11407</v>
      </c>
      <c r="J246" s="1" t="str">
        <f>punkt_szczepień__13[[#This Row],[PESEL]]</f>
        <v>31032574678</v>
      </c>
      <c r="K246" s="1">
        <f>VALUE(MID(punkt_szczepień__13[[#This Row],[PESEL]],10,1))</f>
        <v>7</v>
      </c>
      <c r="L246" s="11" t="str">
        <f>IF(MOD(punkt_szczepień__13[[#This Row],[liczba płeć]],2)=0,"K","M")</f>
        <v>M</v>
      </c>
      <c r="M246" s="1"/>
      <c r="N246" s="1"/>
    </row>
    <row r="247" spans="1:14" x14ac:dyDescent="0.25">
      <c r="A247" s="1" t="s">
        <v>253</v>
      </c>
      <c r="B247" s="1" t="s">
        <v>5</v>
      </c>
      <c r="C247" s="2">
        <v>0.42766203703703703</v>
      </c>
      <c r="D247">
        <v>1</v>
      </c>
      <c r="E247">
        <f>VALUE(RIGHT(LEFT(punkt_szczepień__13[[#This Row],[PESEL]],4),2))</f>
        <v>12</v>
      </c>
      <c r="F247" s="11">
        <f>MOD(punkt_szczepień__13[[#This Row],[liczba miesiac]],20)</f>
        <v>12</v>
      </c>
      <c r="G247" s="11">
        <f>VLOOKUP(punkt_szczepień__13[[#This Row],[liczba miesiac]]-punkt_szczepień__13[[#This Row],[miesiac]],$O$3:$P$7,2,0)+VALUE(LEFT(punkt_szczepień__13[[#This Row],[PESEL]],2))</f>
        <v>1929</v>
      </c>
      <c r="H247" s="11">
        <f>VALUE(RIGHT(LEFT(punkt_szczepień__13[[#This Row],[PESEL]],6),2))</f>
        <v>4</v>
      </c>
      <c r="I247" s="3">
        <f>DATE(punkt_szczepień__13[[#This Row],[rok]],punkt_szczepień__13[[#This Row],[miesiac]],punkt_szczepień__13[[#This Row],[dzień]])</f>
        <v>10931</v>
      </c>
      <c r="J247" s="1" t="str">
        <f>punkt_szczepień__13[[#This Row],[PESEL]]</f>
        <v>29120451253</v>
      </c>
      <c r="K247" s="1">
        <f>VALUE(MID(punkt_szczepień__13[[#This Row],[PESEL]],10,1))</f>
        <v>5</v>
      </c>
      <c r="L247" s="11" t="str">
        <f>IF(MOD(punkt_szczepień__13[[#This Row],[liczba płeć]],2)=0,"K","M")</f>
        <v>M</v>
      </c>
      <c r="M247" s="1"/>
      <c r="N247" s="1"/>
    </row>
    <row r="248" spans="1:14" x14ac:dyDescent="0.25">
      <c r="A248" s="1" t="s">
        <v>254</v>
      </c>
      <c r="B248" s="1" t="s">
        <v>9</v>
      </c>
      <c r="C248" s="2">
        <v>0.42824074074074076</v>
      </c>
      <c r="D248">
        <v>2</v>
      </c>
      <c r="E248">
        <f>VALUE(RIGHT(LEFT(punkt_szczepień__13[[#This Row],[PESEL]],4),2))</f>
        <v>12</v>
      </c>
      <c r="F248" s="11">
        <f>MOD(punkt_szczepień__13[[#This Row],[liczba miesiac]],20)</f>
        <v>12</v>
      </c>
      <c r="G248" s="11">
        <f>VLOOKUP(punkt_szczepień__13[[#This Row],[liczba miesiac]]-punkt_szczepień__13[[#This Row],[miesiac]],$O$3:$P$7,2,0)+VALUE(LEFT(punkt_szczepień__13[[#This Row],[PESEL]],2))</f>
        <v>1986</v>
      </c>
      <c r="H248" s="11">
        <f>VALUE(RIGHT(LEFT(punkt_szczepień__13[[#This Row],[PESEL]],6),2))</f>
        <v>17</v>
      </c>
      <c r="I248" s="3">
        <f>DATE(punkt_szczepień__13[[#This Row],[rok]],punkt_szczepień__13[[#This Row],[miesiac]],punkt_szczepień__13[[#This Row],[dzień]])</f>
        <v>31763</v>
      </c>
      <c r="J248" s="1" t="str">
        <f>punkt_szczepień__13[[#This Row],[PESEL]]</f>
        <v>86121779571</v>
      </c>
      <c r="K248" s="1">
        <f>VALUE(MID(punkt_szczepień__13[[#This Row],[PESEL]],10,1))</f>
        <v>7</v>
      </c>
      <c r="L248" s="11" t="str">
        <f>IF(MOD(punkt_szczepień__13[[#This Row],[liczba płeć]],2)=0,"K","M")</f>
        <v>M</v>
      </c>
      <c r="M248" s="1"/>
      <c r="N248" s="1"/>
    </row>
    <row r="249" spans="1:14" x14ac:dyDescent="0.25">
      <c r="A249" s="1" t="s">
        <v>255</v>
      </c>
      <c r="B249" s="1" t="s">
        <v>7</v>
      </c>
      <c r="C249" s="2">
        <v>0.42853009259259262</v>
      </c>
      <c r="D249">
        <v>1</v>
      </c>
      <c r="E249">
        <f>VALUE(RIGHT(LEFT(punkt_szczepień__13[[#This Row],[PESEL]],4),2))</f>
        <v>11</v>
      </c>
      <c r="F249" s="11">
        <f>MOD(punkt_szczepień__13[[#This Row],[liczba miesiac]],20)</f>
        <v>11</v>
      </c>
      <c r="G249" s="11">
        <f>VLOOKUP(punkt_szczepień__13[[#This Row],[liczba miesiac]]-punkt_szczepień__13[[#This Row],[miesiac]],$O$3:$P$7,2,0)+VALUE(LEFT(punkt_szczepień__13[[#This Row],[PESEL]],2))</f>
        <v>1966</v>
      </c>
      <c r="H249" s="11">
        <f>VALUE(RIGHT(LEFT(punkt_szczepień__13[[#This Row],[PESEL]],6),2))</f>
        <v>25</v>
      </c>
      <c r="I249" s="3">
        <f>DATE(punkt_szczepień__13[[#This Row],[rok]],punkt_szczepień__13[[#This Row],[miesiac]],punkt_szczepień__13[[#This Row],[dzień]])</f>
        <v>24436</v>
      </c>
      <c r="J249" s="1" t="str">
        <f>punkt_szczepień__13[[#This Row],[PESEL]]</f>
        <v>66112536848</v>
      </c>
      <c r="K249" s="1">
        <f>VALUE(MID(punkt_szczepień__13[[#This Row],[PESEL]],10,1))</f>
        <v>4</v>
      </c>
      <c r="L249" s="11" t="str">
        <f>IF(MOD(punkt_szczepień__13[[#This Row],[liczba płeć]],2)=0,"K","M")</f>
        <v>K</v>
      </c>
      <c r="M249" s="1"/>
      <c r="N249" s="1"/>
    </row>
    <row r="250" spans="1:14" x14ac:dyDescent="0.25">
      <c r="A250" s="1" t="s">
        <v>256</v>
      </c>
      <c r="B250" s="1" t="s">
        <v>5</v>
      </c>
      <c r="C250" s="2">
        <v>0.42910879629629628</v>
      </c>
      <c r="D250">
        <v>2</v>
      </c>
      <c r="E250">
        <f>VALUE(RIGHT(LEFT(punkt_szczepień__13[[#This Row],[PESEL]],4),2))</f>
        <v>9</v>
      </c>
      <c r="F250" s="11">
        <f>MOD(punkt_szczepień__13[[#This Row],[liczba miesiac]],20)</f>
        <v>9</v>
      </c>
      <c r="G250" s="11">
        <f>VLOOKUP(punkt_szczepień__13[[#This Row],[liczba miesiac]]-punkt_szczepień__13[[#This Row],[miesiac]],$O$3:$P$7,2,0)+VALUE(LEFT(punkt_szczepień__13[[#This Row],[PESEL]],2))</f>
        <v>1960</v>
      </c>
      <c r="H250" s="11">
        <f>VALUE(RIGHT(LEFT(punkt_szczepień__13[[#This Row],[PESEL]],6),2))</f>
        <v>21</v>
      </c>
      <c r="I250" s="3">
        <f>DATE(punkt_szczepień__13[[#This Row],[rok]],punkt_szczepień__13[[#This Row],[miesiac]],punkt_szczepień__13[[#This Row],[dzień]])</f>
        <v>22180</v>
      </c>
      <c r="J250" s="1" t="str">
        <f>punkt_szczepień__13[[#This Row],[PESEL]]</f>
        <v>60092125757</v>
      </c>
      <c r="K250" s="1">
        <f>VALUE(MID(punkt_szczepień__13[[#This Row],[PESEL]],10,1))</f>
        <v>5</v>
      </c>
      <c r="L250" s="11" t="str">
        <f>IF(MOD(punkt_szczepień__13[[#This Row],[liczba płeć]],2)=0,"K","M")</f>
        <v>M</v>
      </c>
      <c r="M250" s="1"/>
      <c r="N250" s="1"/>
    </row>
    <row r="251" spans="1:14" x14ac:dyDescent="0.25">
      <c r="A251" s="1" t="s">
        <v>257</v>
      </c>
      <c r="B251" s="1" t="s">
        <v>27</v>
      </c>
      <c r="C251" s="2">
        <v>0.42939814814814814</v>
      </c>
      <c r="D251">
        <v>1</v>
      </c>
      <c r="E251">
        <f>VALUE(RIGHT(LEFT(punkt_szczepień__13[[#This Row],[PESEL]],4),2))</f>
        <v>21</v>
      </c>
      <c r="F251" s="11">
        <f>MOD(punkt_szczepień__13[[#This Row],[liczba miesiac]],20)</f>
        <v>1</v>
      </c>
      <c r="G251" s="11">
        <f>VLOOKUP(punkt_szczepień__13[[#This Row],[liczba miesiac]]-punkt_szczepień__13[[#This Row],[miesiac]],$O$3:$P$7,2,0)+VALUE(LEFT(punkt_szczepień__13[[#This Row],[PESEL]],2))</f>
        <v>2003</v>
      </c>
      <c r="H251" s="11">
        <f>VALUE(RIGHT(LEFT(punkt_szczepień__13[[#This Row],[PESEL]],6),2))</f>
        <v>24</v>
      </c>
      <c r="I251" s="3">
        <f>DATE(punkt_szczepień__13[[#This Row],[rok]],punkt_szczepień__13[[#This Row],[miesiac]],punkt_szczepień__13[[#This Row],[dzień]])</f>
        <v>37645</v>
      </c>
      <c r="J251" s="1" t="str">
        <f>punkt_szczepień__13[[#This Row],[PESEL]]</f>
        <v>03212425357</v>
      </c>
      <c r="K251" s="1">
        <f>VALUE(MID(punkt_szczepień__13[[#This Row],[PESEL]],10,1))</f>
        <v>5</v>
      </c>
      <c r="L251" s="11" t="str">
        <f>IF(MOD(punkt_szczepień__13[[#This Row],[liczba płeć]],2)=0,"K","M")</f>
        <v>M</v>
      </c>
      <c r="M251" s="1"/>
      <c r="N251" s="1"/>
    </row>
    <row r="252" spans="1:14" x14ac:dyDescent="0.25">
      <c r="A252" s="1" t="s">
        <v>258</v>
      </c>
      <c r="B252" s="1" t="s">
        <v>27</v>
      </c>
      <c r="C252" s="2">
        <v>0.4296875</v>
      </c>
      <c r="D252">
        <v>1</v>
      </c>
      <c r="E252">
        <f>VALUE(RIGHT(LEFT(punkt_szczepień__13[[#This Row],[PESEL]],4),2))</f>
        <v>3</v>
      </c>
      <c r="F252" s="11">
        <f>MOD(punkt_szczepień__13[[#This Row],[liczba miesiac]],20)</f>
        <v>3</v>
      </c>
      <c r="G252" s="11">
        <f>VLOOKUP(punkt_szczepień__13[[#This Row],[liczba miesiac]]-punkt_szczepień__13[[#This Row],[miesiac]],$O$3:$P$7,2,0)+VALUE(LEFT(punkt_szczepień__13[[#This Row],[PESEL]],2))</f>
        <v>1936</v>
      </c>
      <c r="H252" s="11">
        <f>VALUE(RIGHT(LEFT(punkt_szczepień__13[[#This Row],[PESEL]],6),2))</f>
        <v>20</v>
      </c>
      <c r="I252" s="3">
        <f>DATE(punkt_szczepień__13[[#This Row],[rok]],punkt_szczepień__13[[#This Row],[miesiac]],punkt_szczepień__13[[#This Row],[dzień]])</f>
        <v>13229</v>
      </c>
      <c r="J252" s="1" t="str">
        <f>punkt_szczepień__13[[#This Row],[PESEL]]</f>
        <v>36032085238</v>
      </c>
      <c r="K252" s="1">
        <f>VALUE(MID(punkt_szczepień__13[[#This Row],[PESEL]],10,1))</f>
        <v>3</v>
      </c>
      <c r="L252" s="11" t="str">
        <f>IF(MOD(punkt_szczepień__13[[#This Row],[liczba płeć]],2)=0,"K","M")</f>
        <v>M</v>
      </c>
      <c r="M252" s="1"/>
      <c r="N252" s="1"/>
    </row>
    <row r="253" spans="1:14" x14ac:dyDescent="0.25">
      <c r="A253" s="1" t="s">
        <v>259</v>
      </c>
      <c r="B253" s="1" t="s">
        <v>27</v>
      </c>
      <c r="C253" s="2">
        <v>0.42997685185185186</v>
      </c>
      <c r="D253">
        <v>1</v>
      </c>
      <c r="E253">
        <f>VALUE(RIGHT(LEFT(punkt_szczepień__13[[#This Row],[PESEL]],4),2))</f>
        <v>11</v>
      </c>
      <c r="F253" s="11">
        <f>MOD(punkt_szczepień__13[[#This Row],[liczba miesiac]],20)</f>
        <v>11</v>
      </c>
      <c r="G253" s="11">
        <f>VLOOKUP(punkt_szczepień__13[[#This Row],[liczba miesiac]]-punkt_szczepień__13[[#This Row],[miesiac]],$O$3:$P$7,2,0)+VALUE(LEFT(punkt_szczepień__13[[#This Row],[PESEL]],2))</f>
        <v>1935</v>
      </c>
      <c r="H253" s="11">
        <f>VALUE(RIGHT(LEFT(punkt_szczepień__13[[#This Row],[PESEL]],6),2))</f>
        <v>4</v>
      </c>
      <c r="I253" s="3">
        <f>DATE(punkt_szczepień__13[[#This Row],[rok]],punkt_szczepień__13[[#This Row],[miesiac]],punkt_szczepień__13[[#This Row],[dzień]])</f>
        <v>13092</v>
      </c>
      <c r="J253" s="1" t="str">
        <f>punkt_szczepień__13[[#This Row],[PESEL]]</f>
        <v>35110487159</v>
      </c>
      <c r="K253" s="1">
        <f>VALUE(MID(punkt_szczepień__13[[#This Row],[PESEL]],10,1))</f>
        <v>5</v>
      </c>
      <c r="L253" s="11" t="str">
        <f>IF(MOD(punkt_szczepień__13[[#This Row],[liczba płeć]],2)=0,"K","M")</f>
        <v>M</v>
      </c>
      <c r="M253" s="1"/>
      <c r="N253" s="1"/>
    </row>
    <row r="254" spans="1:14" x14ac:dyDescent="0.25">
      <c r="A254" s="1" t="s">
        <v>260</v>
      </c>
      <c r="B254" s="1" t="s">
        <v>7</v>
      </c>
      <c r="C254" s="2">
        <v>0.43026620370370372</v>
      </c>
      <c r="D254">
        <v>1</v>
      </c>
      <c r="E254">
        <f>VALUE(RIGHT(LEFT(punkt_szczepień__13[[#This Row],[PESEL]],4),2))</f>
        <v>8</v>
      </c>
      <c r="F254" s="11">
        <f>MOD(punkt_szczepień__13[[#This Row],[liczba miesiac]],20)</f>
        <v>8</v>
      </c>
      <c r="G254" s="11">
        <f>VLOOKUP(punkt_szczepień__13[[#This Row],[liczba miesiac]]-punkt_szczepień__13[[#This Row],[miesiac]],$O$3:$P$7,2,0)+VALUE(LEFT(punkt_szczepień__13[[#This Row],[PESEL]],2))</f>
        <v>1987</v>
      </c>
      <c r="H254" s="11">
        <f>VALUE(RIGHT(LEFT(punkt_szczepień__13[[#This Row],[PESEL]],6),2))</f>
        <v>11</v>
      </c>
      <c r="I254" s="3">
        <f>DATE(punkt_szczepień__13[[#This Row],[rok]],punkt_szczepień__13[[#This Row],[miesiac]],punkt_szczepień__13[[#This Row],[dzień]])</f>
        <v>32000</v>
      </c>
      <c r="J254" s="1" t="str">
        <f>punkt_szczepień__13[[#This Row],[PESEL]]</f>
        <v>87081197986</v>
      </c>
      <c r="K254" s="1">
        <f>VALUE(MID(punkt_szczepień__13[[#This Row],[PESEL]],10,1))</f>
        <v>8</v>
      </c>
      <c r="L254" s="11" t="str">
        <f>IF(MOD(punkt_szczepień__13[[#This Row],[liczba płeć]],2)=0,"K","M")</f>
        <v>K</v>
      </c>
      <c r="M254" s="1"/>
      <c r="N254" s="1"/>
    </row>
    <row r="255" spans="1:14" x14ac:dyDescent="0.25">
      <c r="A255" s="1" t="s">
        <v>261</v>
      </c>
      <c r="B255" s="1" t="s">
        <v>9</v>
      </c>
      <c r="C255" s="2">
        <v>0.43055555555555558</v>
      </c>
      <c r="D255">
        <v>1</v>
      </c>
      <c r="E255">
        <f>VALUE(RIGHT(LEFT(punkt_szczepień__13[[#This Row],[PESEL]],4),2))</f>
        <v>26</v>
      </c>
      <c r="F255" s="11">
        <f>MOD(punkt_szczepień__13[[#This Row],[liczba miesiac]],20)</f>
        <v>6</v>
      </c>
      <c r="G255" s="11">
        <f>VLOOKUP(punkt_szczepień__13[[#This Row],[liczba miesiac]]-punkt_szczepień__13[[#This Row],[miesiac]],$O$3:$P$7,2,0)+VALUE(LEFT(punkt_szczepień__13[[#This Row],[PESEL]],2))</f>
        <v>2002</v>
      </c>
      <c r="H255" s="11">
        <f>VALUE(RIGHT(LEFT(punkt_szczepień__13[[#This Row],[PESEL]],6),2))</f>
        <v>16</v>
      </c>
      <c r="I255" s="3">
        <f>DATE(punkt_szczepień__13[[#This Row],[rok]],punkt_szczepień__13[[#This Row],[miesiac]],punkt_szczepień__13[[#This Row],[dzień]])</f>
        <v>37423</v>
      </c>
      <c r="J255" s="1" t="str">
        <f>punkt_szczepień__13[[#This Row],[PESEL]]</f>
        <v>02261657214</v>
      </c>
      <c r="K255" s="1">
        <f>VALUE(MID(punkt_szczepień__13[[#This Row],[PESEL]],10,1))</f>
        <v>1</v>
      </c>
      <c r="L255" s="11" t="str">
        <f>IF(MOD(punkt_szczepień__13[[#This Row],[liczba płeć]],2)=0,"K","M")</f>
        <v>M</v>
      </c>
      <c r="M255" s="1"/>
      <c r="N255" s="1"/>
    </row>
    <row r="256" spans="1:14" x14ac:dyDescent="0.25">
      <c r="A256" s="1" t="s">
        <v>262</v>
      </c>
      <c r="B256" s="1" t="s">
        <v>5</v>
      </c>
      <c r="C256" s="2">
        <v>0.43113425925925924</v>
      </c>
      <c r="D256">
        <v>2</v>
      </c>
      <c r="E256">
        <f>VALUE(RIGHT(LEFT(punkt_szczepień__13[[#This Row],[PESEL]],4),2))</f>
        <v>7</v>
      </c>
      <c r="F256" s="11">
        <f>MOD(punkt_szczepień__13[[#This Row],[liczba miesiac]],20)</f>
        <v>7</v>
      </c>
      <c r="G256" s="11">
        <f>VLOOKUP(punkt_szczepień__13[[#This Row],[liczba miesiac]]-punkt_szczepień__13[[#This Row],[miesiac]],$O$3:$P$7,2,0)+VALUE(LEFT(punkt_szczepień__13[[#This Row],[PESEL]],2))</f>
        <v>1943</v>
      </c>
      <c r="H256" s="11">
        <f>VALUE(RIGHT(LEFT(punkt_szczepień__13[[#This Row],[PESEL]],6),2))</f>
        <v>18</v>
      </c>
      <c r="I256" s="3">
        <f>DATE(punkt_szczepień__13[[#This Row],[rok]],punkt_szczepień__13[[#This Row],[miesiac]],punkt_szczepień__13[[#This Row],[dzień]])</f>
        <v>15905</v>
      </c>
      <c r="J256" s="1" t="str">
        <f>punkt_szczepień__13[[#This Row],[PESEL]]</f>
        <v>43071866744</v>
      </c>
      <c r="K256" s="1">
        <f>VALUE(MID(punkt_szczepień__13[[#This Row],[PESEL]],10,1))</f>
        <v>4</v>
      </c>
      <c r="L256" s="11" t="str">
        <f>IF(MOD(punkt_szczepień__13[[#This Row],[liczba płeć]],2)=0,"K","M")</f>
        <v>K</v>
      </c>
      <c r="M256" s="1"/>
      <c r="N256" s="1"/>
    </row>
    <row r="257" spans="1:14" x14ac:dyDescent="0.25">
      <c r="A257" s="1" t="s">
        <v>263</v>
      </c>
      <c r="B257" s="1" t="s">
        <v>7</v>
      </c>
      <c r="C257" s="2">
        <v>0.4314236111111111</v>
      </c>
      <c r="D257">
        <v>1</v>
      </c>
      <c r="E257">
        <f>VALUE(RIGHT(LEFT(punkt_szczepień__13[[#This Row],[PESEL]],4),2))</f>
        <v>3</v>
      </c>
      <c r="F257" s="11">
        <f>MOD(punkt_szczepień__13[[#This Row],[liczba miesiac]],20)</f>
        <v>3</v>
      </c>
      <c r="G257" s="11">
        <f>VLOOKUP(punkt_szczepień__13[[#This Row],[liczba miesiac]]-punkt_szczepień__13[[#This Row],[miesiac]],$O$3:$P$7,2,0)+VALUE(LEFT(punkt_szczepień__13[[#This Row],[PESEL]],2))</f>
        <v>1989</v>
      </c>
      <c r="H257" s="11">
        <f>VALUE(RIGHT(LEFT(punkt_szczepień__13[[#This Row],[PESEL]],6),2))</f>
        <v>6</v>
      </c>
      <c r="I257" s="3">
        <f>DATE(punkt_szczepień__13[[#This Row],[rok]],punkt_szczepień__13[[#This Row],[miesiac]],punkt_szczepień__13[[#This Row],[dzień]])</f>
        <v>32573</v>
      </c>
      <c r="J257" s="1" t="str">
        <f>punkt_szczepień__13[[#This Row],[PESEL]]</f>
        <v>89030688767</v>
      </c>
      <c r="K257" s="1">
        <f>VALUE(MID(punkt_szczepień__13[[#This Row],[PESEL]],10,1))</f>
        <v>6</v>
      </c>
      <c r="L257" s="11" t="str">
        <f>IF(MOD(punkt_szczepień__13[[#This Row],[liczba płeć]],2)=0,"K","M")</f>
        <v>K</v>
      </c>
      <c r="M257" s="1"/>
      <c r="N257" s="1"/>
    </row>
    <row r="258" spans="1:14" x14ac:dyDescent="0.25">
      <c r="A258" s="1" t="s">
        <v>264</v>
      </c>
      <c r="B258" s="1" t="s">
        <v>5</v>
      </c>
      <c r="C258" s="2">
        <v>0.43200231481481483</v>
      </c>
      <c r="D258">
        <v>2</v>
      </c>
      <c r="E258">
        <f>VALUE(RIGHT(LEFT(punkt_szczepień__13[[#This Row],[PESEL]],4),2))</f>
        <v>1</v>
      </c>
      <c r="F258" s="11">
        <f>MOD(punkt_szczepień__13[[#This Row],[liczba miesiac]],20)</f>
        <v>1</v>
      </c>
      <c r="G258" s="11">
        <f>VLOOKUP(punkt_szczepień__13[[#This Row],[liczba miesiac]]-punkt_szczepień__13[[#This Row],[miesiac]],$O$3:$P$7,2,0)+VALUE(LEFT(punkt_szczepień__13[[#This Row],[PESEL]],2))</f>
        <v>1991</v>
      </c>
      <c r="H258" s="11">
        <f>VALUE(RIGHT(LEFT(punkt_szczepień__13[[#This Row],[PESEL]],6),2))</f>
        <v>2</v>
      </c>
      <c r="I258" s="3">
        <f>DATE(punkt_szczepień__13[[#This Row],[rok]],punkt_szczepień__13[[#This Row],[miesiac]],punkt_szczepień__13[[#This Row],[dzień]])</f>
        <v>33240</v>
      </c>
      <c r="J258" s="1" t="str">
        <f>punkt_szczepień__13[[#This Row],[PESEL]]</f>
        <v>91010272679</v>
      </c>
      <c r="K258" s="1">
        <f>VALUE(MID(punkt_szczepień__13[[#This Row],[PESEL]],10,1))</f>
        <v>7</v>
      </c>
      <c r="L258" s="11" t="str">
        <f>IF(MOD(punkt_szczepień__13[[#This Row],[liczba płeć]],2)=0,"K","M")</f>
        <v>M</v>
      </c>
      <c r="M258" s="1"/>
      <c r="N258" s="1"/>
    </row>
    <row r="259" spans="1:14" x14ac:dyDescent="0.25">
      <c r="A259" s="1" t="s">
        <v>265</v>
      </c>
      <c r="B259" s="1" t="s">
        <v>7</v>
      </c>
      <c r="C259" s="2">
        <v>0.43229166666666669</v>
      </c>
      <c r="D259">
        <v>1</v>
      </c>
      <c r="E259">
        <f>VALUE(RIGHT(LEFT(punkt_szczepień__13[[#This Row],[PESEL]],4),2))</f>
        <v>3</v>
      </c>
      <c r="F259" s="11">
        <f>MOD(punkt_szczepień__13[[#This Row],[liczba miesiac]],20)</f>
        <v>3</v>
      </c>
      <c r="G259" s="11">
        <f>VLOOKUP(punkt_szczepień__13[[#This Row],[liczba miesiac]]-punkt_szczepień__13[[#This Row],[miesiac]],$O$3:$P$7,2,0)+VALUE(LEFT(punkt_szczepień__13[[#This Row],[PESEL]],2))</f>
        <v>1999</v>
      </c>
      <c r="H259" s="11">
        <f>VALUE(RIGHT(LEFT(punkt_szczepień__13[[#This Row],[PESEL]],6),2))</f>
        <v>25</v>
      </c>
      <c r="I259" s="3">
        <f>DATE(punkt_szczepień__13[[#This Row],[rok]],punkt_szczepień__13[[#This Row],[miesiac]],punkt_szczepień__13[[#This Row],[dzień]])</f>
        <v>36244</v>
      </c>
      <c r="J259" s="1" t="str">
        <f>punkt_szczepień__13[[#This Row],[PESEL]]</f>
        <v>99032535899</v>
      </c>
      <c r="K259" s="1">
        <f>VALUE(MID(punkt_szczepień__13[[#This Row],[PESEL]],10,1))</f>
        <v>9</v>
      </c>
      <c r="L259" s="11" t="str">
        <f>IF(MOD(punkt_szczepień__13[[#This Row],[liczba płeć]],2)=0,"K","M")</f>
        <v>M</v>
      </c>
      <c r="M259" s="1"/>
      <c r="N259" s="1"/>
    </row>
    <row r="260" spans="1:14" x14ac:dyDescent="0.25">
      <c r="A260" s="1" t="s">
        <v>266</v>
      </c>
      <c r="B260" s="1" t="s">
        <v>5</v>
      </c>
      <c r="C260" s="2">
        <v>0.43287037037037035</v>
      </c>
      <c r="D260">
        <v>2</v>
      </c>
      <c r="E260">
        <f>VALUE(RIGHT(LEFT(punkt_szczepień__13[[#This Row],[PESEL]],4),2))</f>
        <v>10</v>
      </c>
      <c r="F260" s="11">
        <f>MOD(punkt_szczepień__13[[#This Row],[liczba miesiac]],20)</f>
        <v>10</v>
      </c>
      <c r="G260" s="11">
        <f>VLOOKUP(punkt_szczepień__13[[#This Row],[liczba miesiac]]-punkt_szczepień__13[[#This Row],[miesiac]],$O$3:$P$7,2,0)+VALUE(LEFT(punkt_szczepień__13[[#This Row],[PESEL]],2))</f>
        <v>1955</v>
      </c>
      <c r="H260" s="11">
        <f>VALUE(RIGHT(LEFT(punkt_szczepień__13[[#This Row],[PESEL]],6),2))</f>
        <v>13</v>
      </c>
      <c r="I260" s="3">
        <f>DATE(punkt_szczepień__13[[#This Row],[rok]],punkt_szczepień__13[[#This Row],[miesiac]],punkt_szczepień__13[[#This Row],[dzień]])</f>
        <v>20375</v>
      </c>
      <c r="J260" s="1" t="str">
        <f>punkt_szczepień__13[[#This Row],[PESEL]]</f>
        <v>55101396662</v>
      </c>
      <c r="K260" s="1">
        <f>VALUE(MID(punkt_szczepień__13[[#This Row],[PESEL]],10,1))</f>
        <v>6</v>
      </c>
      <c r="L260" s="11" t="str">
        <f>IF(MOD(punkt_szczepień__13[[#This Row],[liczba płeć]],2)=0,"K","M")</f>
        <v>K</v>
      </c>
      <c r="M260" s="1"/>
      <c r="N260" s="1"/>
    </row>
    <row r="261" spans="1:14" x14ac:dyDescent="0.25">
      <c r="A261" s="1" t="s">
        <v>267</v>
      </c>
      <c r="B261" s="1" t="s">
        <v>5</v>
      </c>
      <c r="C261" s="2">
        <v>0.43344907407407407</v>
      </c>
      <c r="D261">
        <v>2</v>
      </c>
      <c r="E261">
        <f>VALUE(RIGHT(LEFT(punkt_szczepień__13[[#This Row],[PESEL]],4),2))</f>
        <v>12</v>
      </c>
      <c r="F261" s="11">
        <f>MOD(punkt_szczepień__13[[#This Row],[liczba miesiac]],20)</f>
        <v>12</v>
      </c>
      <c r="G261" s="11">
        <f>VLOOKUP(punkt_szczepień__13[[#This Row],[liczba miesiac]]-punkt_szczepień__13[[#This Row],[miesiac]],$O$3:$P$7,2,0)+VALUE(LEFT(punkt_szczepień__13[[#This Row],[PESEL]],2))</f>
        <v>1962</v>
      </c>
      <c r="H261" s="11">
        <f>VALUE(RIGHT(LEFT(punkt_szczepień__13[[#This Row],[PESEL]],6),2))</f>
        <v>10</v>
      </c>
      <c r="I261" s="3">
        <f>DATE(punkt_szczepień__13[[#This Row],[rok]],punkt_szczepień__13[[#This Row],[miesiac]],punkt_szczepień__13[[#This Row],[dzień]])</f>
        <v>22990</v>
      </c>
      <c r="J261" s="1" t="str">
        <f>punkt_szczepień__13[[#This Row],[PESEL]]</f>
        <v>62121072494</v>
      </c>
      <c r="K261" s="1">
        <f>VALUE(MID(punkt_szczepień__13[[#This Row],[PESEL]],10,1))</f>
        <v>9</v>
      </c>
      <c r="L261" s="11" t="str">
        <f>IF(MOD(punkt_szczepień__13[[#This Row],[liczba płeć]],2)=0,"K","M")</f>
        <v>M</v>
      </c>
      <c r="M261" s="1"/>
      <c r="N261" s="1"/>
    </row>
    <row r="262" spans="1:14" x14ac:dyDescent="0.25">
      <c r="A262" s="1" t="s">
        <v>268</v>
      </c>
      <c r="B262" s="1" t="s">
        <v>5</v>
      </c>
      <c r="C262" s="2">
        <v>0.43373842592592593</v>
      </c>
      <c r="D262">
        <v>1</v>
      </c>
      <c r="E262">
        <f>VALUE(RIGHT(LEFT(punkt_szczepień__13[[#This Row],[PESEL]],4),2))</f>
        <v>1</v>
      </c>
      <c r="F262" s="11">
        <f>MOD(punkt_szczepień__13[[#This Row],[liczba miesiac]],20)</f>
        <v>1</v>
      </c>
      <c r="G262" s="11">
        <f>VLOOKUP(punkt_szczepień__13[[#This Row],[liczba miesiac]]-punkt_szczepień__13[[#This Row],[miesiac]],$O$3:$P$7,2,0)+VALUE(LEFT(punkt_szczepień__13[[#This Row],[PESEL]],2))</f>
        <v>1982</v>
      </c>
      <c r="H262" s="11">
        <f>VALUE(RIGHT(LEFT(punkt_szczepień__13[[#This Row],[PESEL]],6),2))</f>
        <v>31</v>
      </c>
      <c r="I262" s="3">
        <f>DATE(punkt_szczepień__13[[#This Row],[rok]],punkt_szczepień__13[[#This Row],[miesiac]],punkt_szczepień__13[[#This Row],[dzień]])</f>
        <v>29982</v>
      </c>
      <c r="J262" s="1" t="str">
        <f>punkt_szczepień__13[[#This Row],[PESEL]]</f>
        <v>82013188393</v>
      </c>
      <c r="K262" s="1">
        <f>VALUE(MID(punkt_szczepień__13[[#This Row],[PESEL]],10,1))</f>
        <v>9</v>
      </c>
      <c r="L262" s="11" t="str">
        <f>IF(MOD(punkt_szczepień__13[[#This Row],[liczba płeć]],2)=0,"K","M")</f>
        <v>M</v>
      </c>
      <c r="M262" s="1"/>
      <c r="N262" s="1"/>
    </row>
    <row r="263" spans="1:14" x14ac:dyDescent="0.25">
      <c r="A263" s="1" t="s">
        <v>269</v>
      </c>
      <c r="B263" s="1" t="s">
        <v>9</v>
      </c>
      <c r="C263" s="2">
        <v>0.43402777777777779</v>
      </c>
      <c r="D263">
        <v>1</v>
      </c>
      <c r="E263">
        <f>VALUE(RIGHT(LEFT(punkt_szczepień__13[[#This Row],[PESEL]],4),2))</f>
        <v>7</v>
      </c>
      <c r="F263" s="11">
        <f>MOD(punkt_szczepień__13[[#This Row],[liczba miesiac]],20)</f>
        <v>7</v>
      </c>
      <c r="G263" s="11">
        <f>VLOOKUP(punkt_szczepień__13[[#This Row],[liczba miesiac]]-punkt_szczepień__13[[#This Row],[miesiac]],$O$3:$P$7,2,0)+VALUE(LEFT(punkt_szczepień__13[[#This Row],[PESEL]],2))</f>
        <v>1938</v>
      </c>
      <c r="H263" s="11">
        <f>VALUE(RIGHT(LEFT(punkt_szczepień__13[[#This Row],[PESEL]],6),2))</f>
        <v>13</v>
      </c>
      <c r="I263" s="3">
        <f>DATE(punkt_szczepień__13[[#This Row],[rok]],punkt_szczepień__13[[#This Row],[miesiac]],punkt_szczepień__13[[#This Row],[dzień]])</f>
        <v>14074</v>
      </c>
      <c r="J263" s="1" t="str">
        <f>punkt_szczepień__13[[#This Row],[PESEL]]</f>
        <v>38071351228</v>
      </c>
      <c r="K263" s="1">
        <f>VALUE(MID(punkt_szczepień__13[[#This Row],[PESEL]],10,1))</f>
        <v>2</v>
      </c>
      <c r="L263" s="11" t="str">
        <f>IF(MOD(punkt_szczepień__13[[#This Row],[liczba płeć]],2)=0,"K","M")</f>
        <v>K</v>
      </c>
      <c r="M263" s="1"/>
      <c r="N263" s="1"/>
    </row>
    <row r="264" spans="1:14" x14ac:dyDescent="0.25">
      <c r="A264" s="1" t="s">
        <v>270</v>
      </c>
      <c r="B264" s="1" t="s">
        <v>27</v>
      </c>
      <c r="C264" s="2">
        <v>0.43460648148148145</v>
      </c>
      <c r="D264">
        <v>2</v>
      </c>
      <c r="E264">
        <f>VALUE(RIGHT(LEFT(punkt_szczepień__13[[#This Row],[PESEL]],4),2))</f>
        <v>5</v>
      </c>
      <c r="F264" s="11">
        <f>MOD(punkt_szczepień__13[[#This Row],[liczba miesiac]],20)</f>
        <v>5</v>
      </c>
      <c r="G264" s="11">
        <f>VLOOKUP(punkt_szczepień__13[[#This Row],[liczba miesiac]]-punkt_szczepień__13[[#This Row],[miesiac]],$O$3:$P$7,2,0)+VALUE(LEFT(punkt_szczepień__13[[#This Row],[PESEL]],2))</f>
        <v>1941</v>
      </c>
      <c r="H264" s="11">
        <f>VALUE(RIGHT(LEFT(punkt_szczepień__13[[#This Row],[PESEL]],6),2))</f>
        <v>4</v>
      </c>
      <c r="I264" s="3">
        <f>DATE(punkt_szczepień__13[[#This Row],[rok]],punkt_szczepień__13[[#This Row],[miesiac]],punkt_szczepień__13[[#This Row],[dzień]])</f>
        <v>15100</v>
      </c>
      <c r="J264" s="1" t="str">
        <f>punkt_szczepień__13[[#This Row],[PESEL]]</f>
        <v>41050489849</v>
      </c>
      <c r="K264" s="1">
        <f>VALUE(MID(punkt_szczepień__13[[#This Row],[PESEL]],10,1))</f>
        <v>4</v>
      </c>
      <c r="L264" s="11" t="str">
        <f>IF(MOD(punkt_szczepień__13[[#This Row],[liczba płeć]],2)=0,"K","M")</f>
        <v>K</v>
      </c>
      <c r="M264" s="1"/>
      <c r="N264" s="1"/>
    </row>
    <row r="265" spans="1:14" x14ac:dyDescent="0.25">
      <c r="A265" s="1" t="s">
        <v>271</v>
      </c>
      <c r="B265" s="1" t="s">
        <v>7</v>
      </c>
      <c r="C265" s="2">
        <v>0.43489583333333331</v>
      </c>
      <c r="D265">
        <v>1</v>
      </c>
      <c r="E265">
        <f>VALUE(RIGHT(LEFT(punkt_szczepień__13[[#This Row],[PESEL]],4),2))</f>
        <v>1</v>
      </c>
      <c r="F265" s="11">
        <f>MOD(punkt_szczepień__13[[#This Row],[liczba miesiac]],20)</f>
        <v>1</v>
      </c>
      <c r="G265" s="11">
        <f>VLOOKUP(punkt_szczepień__13[[#This Row],[liczba miesiac]]-punkt_szczepień__13[[#This Row],[miesiac]],$O$3:$P$7,2,0)+VALUE(LEFT(punkt_szczepień__13[[#This Row],[PESEL]],2))</f>
        <v>1926</v>
      </c>
      <c r="H265" s="11">
        <f>VALUE(RIGHT(LEFT(punkt_szczepień__13[[#This Row],[PESEL]],6),2))</f>
        <v>28</v>
      </c>
      <c r="I265" s="3">
        <f>DATE(punkt_szczepień__13[[#This Row],[rok]],punkt_szczepień__13[[#This Row],[miesiac]],punkt_szczepień__13[[#This Row],[dzień]])</f>
        <v>9525</v>
      </c>
      <c r="J265" s="1" t="str">
        <f>punkt_szczepień__13[[#This Row],[PESEL]]</f>
        <v>26012882827</v>
      </c>
      <c r="K265" s="1">
        <f>VALUE(MID(punkt_szczepień__13[[#This Row],[PESEL]],10,1))</f>
        <v>2</v>
      </c>
      <c r="L265" s="11" t="str">
        <f>IF(MOD(punkt_szczepień__13[[#This Row],[liczba płeć]],2)=0,"K","M")</f>
        <v>K</v>
      </c>
      <c r="M265" s="1"/>
      <c r="N265" s="1"/>
    </row>
    <row r="266" spans="1:14" x14ac:dyDescent="0.25">
      <c r="A266" s="1" t="s">
        <v>272</v>
      </c>
      <c r="B266" s="1" t="s">
        <v>5</v>
      </c>
      <c r="C266" s="2">
        <v>0.43518518518518517</v>
      </c>
      <c r="D266">
        <v>1</v>
      </c>
      <c r="E266">
        <f>VALUE(RIGHT(LEFT(punkt_szczepień__13[[#This Row],[PESEL]],4),2))</f>
        <v>11</v>
      </c>
      <c r="F266" s="11">
        <f>MOD(punkt_szczepień__13[[#This Row],[liczba miesiac]],20)</f>
        <v>11</v>
      </c>
      <c r="G266" s="11">
        <f>VLOOKUP(punkt_szczepień__13[[#This Row],[liczba miesiac]]-punkt_szczepień__13[[#This Row],[miesiac]],$O$3:$P$7,2,0)+VALUE(LEFT(punkt_szczepień__13[[#This Row],[PESEL]],2))</f>
        <v>1933</v>
      </c>
      <c r="H266" s="11">
        <f>VALUE(RIGHT(LEFT(punkt_szczepień__13[[#This Row],[PESEL]],6),2))</f>
        <v>24</v>
      </c>
      <c r="I266" s="3">
        <f>DATE(punkt_szczepień__13[[#This Row],[rok]],punkt_szczepień__13[[#This Row],[miesiac]],punkt_szczepień__13[[#This Row],[dzień]])</f>
        <v>12382</v>
      </c>
      <c r="J266" s="1" t="str">
        <f>punkt_szczepień__13[[#This Row],[PESEL]]</f>
        <v>33112424381</v>
      </c>
      <c r="K266" s="1">
        <f>VALUE(MID(punkt_szczepień__13[[#This Row],[PESEL]],10,1))</f>
        <v>8</v>
      </c>
      <c r="L266" s="11" t="str">
        <f>IF(MOD(punkt_szczepień__13[[#This Row],[liczba płeć]],2)=0,"K","M")</f>
        <v>K</v>
      </c>
      <c r="M266" s="1"/>
      <c r="N266" s="1"/>
    </row>
    <row r="267" spans="1:14" x14ac:dyDescent="0.25">
      <c r="A267" s="1" t="s">
        <v>273</v>
      </c>
      <c r="B267" s="1" t="s">
        <v>9</v>
      </c>
      <c r="C267" s="2">
        <v>0.43547453703703703</v>
      </c>
      <c r="D267">
        <v>1</v>
      </c>
      <c r="E267">
        <f>VALUE(RIGHT(LEFT(punkt_szczepień__13[[#This Row],[PESEL]],4),2))</f>
        <v>3</v>
      </c>
      <c r="F267" s="11">
        <f>MOD(punkt_szczepień__13[[#This Row],[liczba miesiac]],20)</f>
        <v>3</v>
      </c>
      <c r="G267" s="11">
        <f>VLOOKUP(punkt_szczepień__13[[#This Row],[liczba miesiac]]-punkt_szczepień__13[[#This Row],[miesiac]],$O$3:$P$7,2,0)+VALUE(LEFT(punkt_szczepień__13[[#This Row],[PESEL]],2))</f>
        <v>1968</v>
      </c>
      <c r="H267" s="11">
        <f>VALUE(RIGHT(LEFT(punkt_szczepień__13[[#This Row],[PESEL]],6),2))</f>
        <v>5</v>
      </c>
      <c r="I267" s="3">
        <f>DATE(punkt_szczepień__13[[#This Row],[rok]],punkt_szczepień__13[[#This Row],[miesiac]],punkt_szczepień__13[[#This Row],[dzień]])</f>
        <v>24902</v>
      </c>
      <c r="J267" s="1" t="str">
        <f>punkt_szczepień__13[[#This Row],[PESEL]]</f>
        <v>68030575448</v>
      </c>
      <c r="K267" s="1">
        <f>VALUE(MID(punkt_szczepień__13[[#This Row],[PESEL]],10,1))</f>
        <v>4</v>
      </c>
      <c r="L267" s="11" t="str">
        <f>IF(MOD(punkt_szczepień__13[[#This Row],[liczba płeć]],2)=0,"K","M")</f>
        <v>K</v>
      </c>
      <c r="M267" s="1"/>
      <c r="N267" s="1"/>
    </row>
    <row r="268" spans="1:14" x14ac:dyDescent="0.25">
      <c r="A268" s="1" t="s">
        <v>274</v>
      </c>
      <c r="B268" s="1" t="s">
        <v>5</v>
      </c>
      <c r="C268" s="2">
        <v>0.43605324074074076</v>
      </c>
      <c r="D268">
        <v>2</v>
      </c>
      <c r="E268">
        <f>VALUE(RIGHT(LEFT(punkt_szczepień__13[[#This Row],[PESEL]],4),2))</f>
        <v>7</v>
      </c>
      <c r="F268" s="11">
        <f>MOD(punkt_szczepień__13[[#This Row],[liczba miesiac]],20)</f>
        <v>7</v>
      </c>
      <c r="G268" s="11">
        <f>VLOOKUP(punkt_szczepień__13[[#This Row],[liczba miesiac]]-punkt_szczepień__13[[#This Row],[miesiac]],$O$3:$P$7,2,0)+VALUE(LEFT(punkt_szczepień__13[[#This Row],[PESEL]],2))</f>
        <v>1932</v>
      </c>
      <c r="H268" s="11">
        <f>VALUE(RIGHT(LEFT(punkt_szczepień__13[[#This Row],[PESEL]],6),2))</f>
        <v>10</v>
      </c>
      <c r="I268" s="3">
        <f>DATE(punkt_szczepień__13[[#This Row],[rok]],punkt_szczepień__13[[#This Row],[miesiac]],punkt_szczepień__13[[#This Row],[dzień]])</f>
        <v>11880</v>
      </c>
      <c r="J268" s="1" t="str">
        <f>punkt_szczepień__13[[#This Row],[PESEL]]</f>
        <v>32071042599</v>
      </c>
      <c r="K268" s="1">
        <f>VALUE(MID(punkt_szczepień__13[[#This Row],[PESEL]],10,1))</f>
        <v>9</v>
      </c>
      <c r="L268" s="11" t="str">
        <f>IF(MOD(punkt_szczepień__13[[#This Row],[liczba płeć]],2)=0,"K","M")</f>
        <v>M</v>
      </c>
      <c r="M268" s="1"/>
      <c r="N268" s="1"/>
    </row>
    <row r="269" spans="1:14" x14ac:dyDescent="0.25">
      <c r="A269" s="1" t="s">
        <v>275</v>
      </c>
      <c r="B269" s="1" t="s">
        <v>9</v>
      </c>
      <c r="C269" s="2">
        <v>0.43634259259259262</v>
      </c>
      <c r="D269">
        <v>1</v>
      </c>
      <c r="E269">
        <f>VALUE(RIGHT(LEFT(punkt_szczepień__13[[#This Row],[PESEL]],4),2))</f>
        <v>7</v>
      </c>
      <c r="F269" s="11">
        <f>MOD(punkt_szczepień__13[[#This Row],[liczba miesiac]],20)</f>
        <v>7</v>
      </c>
      <c r="G269" s="11">
        <f>VLOOKUP(punkt_szczepień__13[[#This Row],[liczba miesiac]]-punkt_szczepień__13[[#This Row],[miesiac]],$O$3:$P$7,2,0)+VALUE(LEFT(punkt_szczepień__13[[#This Row],[PESEL]],2))</f>
        <v>1945</v>
      </c>
      <c r="H269" s="11">
        <f>VALUE(RIGHT(LEFT(punkt_szczepień__13[[#This Row],[PESEL]],6),2))</f>
        <v>20</v>
      </c>
      <c r="I269" s="3">
        <f>DATE(punkt_szczepień__13[[#This Row],[rok]],punkt_szczepień__13[[#This Row],[miesiac]],punkt_szczepień__13[[#This Row],[dzień]])</f>
        <v>16638</v>
      </c>
      <c r="J269" s="1" t="str">
        <f>punkt_szczepień__13[[#This Row],[PESEL]]</f>
        <v>45072016319</v>
      </c>
      <c r="K269" s="1">
        <f>VALUE(MID(punkt_szczepień__13[[#This Row],[PESEL]],10,1))</f>
        <v>1</v>
      </c>
      <c r="L269" s="11" t="str">
        <f>IF(MOD(punkt_szczepień__13[[#This Row],[liczba płeć]],2)=0,"K","M")</f>
        <v>M</v>
      </c>
      <c r="M269" s="1"/>
      <c r="N269" s="1"/>
    </row>
    <row r="270" spans="1:14" x14ac:dyDescent="0.25">
      <c r="A270" s="1" t="s">
        <v>276</v>
      </c>
      <c r="B270" s="1" t="s">
        <v>5</v>
      </c>
      <c r="C270" s="2">
        <v>0.43692129629629628</v>
      </c>
      <c r="D270">
        <v>2</v>
      </c>
      <c r="E270">
        <f>VALUE(RIGHT(LEFT(punkt_szczepień__13[[#This Row],[PESEL]],4),2))</f>
        <v>10</v>
      </c>
      <c r="F270" s="11">
        <f>MOD(punkt_szczepień__13[[#This Row],[liczba miesiac]],20)</f>
        <v>10</v>
      </c>
      <c r="G270" s="11">
        <f>VLOOKUP(punkt_szczepień__13[[#This Row],[liczba miesiac]]-punkt_szczepień__13[[#This Row],[miesiac]],$O$3:$P$7,2,0)+VALUE(LEFT(punkt_szczepień__13[[#This Row],[PESEL]],2))</f>
        <v>1937</v>
      </c>
      <c r="H270" s="11">
        <f>VALUE(RIGHT(LEFT(punkt_szczepień__13[[#This Row],[PESEL]],6),2))</f>
        <v>5</v>
      </c>
      <c r="I270" s="3">
        <f>DATE(punkt_szczepień__13[[#This Row],[rok]],punkt_szczepień__13[[#This Row],[miesiac]],punkt_szczepień__13[[#This Row],[dzień]])</f>
        <v>13793</v>
      </c>
      <c r="J270" s="1" t="str">
        <f>punkt_szczepień__13[[#This Row],[PESEL]]</f>
        <v>37100557389</v>
      </c>
      <c r="K270" s="1">
        <f>VALUE(MID(punkt_szczepień__13[[#This Row],[PESEL]],10,1))</f>
        <v>8</v>
      </c>
      <c r="L270" s="11" t="str">
        <f>IF(MOD(punkt_szczepień__13[[#This Row],[liczba płeć]],2)=0,"K","M")</f>
        <v>K</v>
      </c>
      <c r="M270" s="1"/>
      <c r="N270" s="1"/>
    </row>
    <row r="271" spans="1:14" x14ac:dyDescent="0.25">
      <c r="A271" s="1" t="s">
        <v>277</v>
      </c>
      <c r="B271" s="1" t="s">
        <v>5</v>
      </c>
      <c r="C271" s="2">
        <v>0.4375</v>
      </c>
      <c r="D271">
        <v>2</v>
      </c>
      <c r="E271">
        <f>VALUE(RIGHT(LEFT(punkt_szczepień__13[[#This Row],[PESEL]],4),2))</f>
        <v>2</v>
      </c>
      <c r="F271" s="11">
        <f>MOD(punkt_szczepień__13[[#This Row],[liczba miesiac]],20)</f>
        <v>2</v>
      </c>
      <c r="G271" s="11">
        <f>VLOOKUP(punkt_szczepień__13[[#This Row],[liczba miesiac]]-punkt_szczepień__13[[#This Row],[miesiac]],$O$3:$P$7,2,0)+VALUE(LEFT(punkt_szczepień__13[[#This Row],[PESEL]],2))</f>
        <v>1987</v>
      </c>
      <c r="H271" s="11">
        <f>VALUE(RIGHT(LEFT(punkt_szczepień__13[[#This Row],[PESEL]],6),2))</f>
        <v>28</v>
      </c>
      <c r="I271" s="3">
        <f>DATE(punkt_szczepień__13[[#This Row],[rok]],punkt_szczepień__13[[#This Row],[miesiac]],punkt_szczepień__13[[#This Row],[dzień]])</f>
        <v>31836</v>
      </c>
      <c r="J271" s="1" t="str">
        <f>punkt_szczepień__13[[#This Row],[PESEL]]</f>
        <v>87022876479</v>
      </c>
      <c r="K271" s="1">
        <f>VALUE(MID(punkt_szczepień__13[[#This Row],[PESEL]],10,1))</f>
        <v>7</v>
      </c>
      <c r="L271" s="11" t="str">
        <f>IF(MOD(punkt_szczepień__13[[#This Row],[liczba płeć]],2)=0,"K","M")</f>
        <v>M</v>
      </c>
      <c r="M271" s="1"/>
      <c r="N271" s="1"/>
    </row>
    <row r="272" spans="1:14" x14ac:dyDescent="0.25">
      <c r="A272" s="1" t="s">
        <v>278</v>
      </c>
      <c r="B272" s="1" t="s">
        <v>7</v>
      </c>
      <c r="C272" s="2">
        <v>0.43778935185185186</v>
      </c>
      <c r="D272">
        <v>1</v>
      </c>
      <c r="E272">
        <f>VALUE(RIGHT(LEFT(punkt_szczepień__13[[#This Row],[PESEL]],4),2))</f>
        <v>4</v>
      </c>
      <c r="F272" s="11">
        <f>MOD(punkt_szczepień__13[[#This Row],[liczba miesiac]],20)</f>
        <v>4</v>
      </c>
      <c r="G272" s="11">
        <f>VLOOKUP(punkt_szczepień__13[[#This Row],[liczba miesiac]]-punkt_szczepień__13[[#This Row],[miesiac]],$O$3:$P$7,2,0)+VALUE(LEFT(punkt_szczepień__13[[#This Row],[PESEL]],2))</f>
        <v>1982</v>
      </c>
      <c r="H272" s="11">
        <f>VALUE(RIGHT(LEFT(punkt_szczepień__13[[#This Row],[PESEL]],6),2))</f>
        <v>5</v>
      </c>
      <c r="I272" s="3">
        <f>DATE(punkt_szczepień__13[[#This Row],[rok]],punkt_szczepień__13[[#This Row],[miesiac]],punkt_szczepień__13[[#This Row],[dzień]])</f>
        <v>30046</v>
      </c>
      <c r="J272" s="1" t="str">
        <f>punkt_szczepień__13[[#This Row],[PESEL]]</f>
        <v>82040551834</v>
      </c>
      <c r="K272" s="1">
        <f>VALUE(MID(punkt_szczepień__13[[#This Row],[PESEL]],10,1))</f>
        <v>3</v>
      </c>
      <c r="L272" s="11" t="str">
        <f>IF(MOD(punkt_szczepień__13[[#This Row],[liczba płeć]],2)=0,"K","M")</f>
        <v>M</v>
      </c>
      <c r="M272" s="1"/>
      <c r="N272" s="1"/>
    </row>
    <row r="273" spans="1:14" x14ac:dyDescent="0.25">
      <c r="A273" s="1" t="s">
        <v>279</v>
      </c>
      <c r="B273" s="1" t="s">
        <v>5</v>
      </c>
      <c r="C273" s="2">
        <v>0.43836805555555558</v>
      </c>
      <c r="D273">
        <v>2</v>
      </c>
      <c r="E273">
        <f>VALUE(RIGHT(LEFT(punkt_szczepień__13[[#This Row],[PESEL]],4),2))</f>
        <v>3</v>
      </c>
      <c r="F273" s="11">
        <f>MOD(punkt_szczepień__13[[#This Row],[liczba miesiac]],20)</f>
        <v>3</v>
      </c>
      <c r="G273" s="11">
        <f>VLOOKUP(punkt_szczepień__13[[#This Row],[liczba miesiac]]-punkt_szczepień__13[[#This Row],[miesiac]],$O$3:$P$7,2,0)+VALUE(LEFT(punkt_szczepień__13[[#This Row],[PESEL]],2))</f>
        <v>1984</v>
      </c>
      <c r="H273" s="11">
        <f>VALUE(RIGHT(LEFT(punkt_szczepień__13[[#This Row],[PESEL]],6),2))</f>
        <v>23</v>
      </c>
      <c r="I273" s="3">
        <f>DATE(punkt_szczepień__13[[#This Row],[rok]],punkt_szczepień__13[[#This Row],[miesiac]],punkt_szczepień__13[[#This Row],[dzień]])</f>
        <v>30764</v>
      </c>
      <c r="J273" s="1" t="str">
        <f>punkt_szczepień__13[[#This Row],[PESEL]]</f>
        <v>84032393453</v>
      </c>
      <c r="K273" s="1">
        <f>VALUE(MID(punkt_szczepień__13[[#This Row],[PESEL]],10,1))</f>
        <v>5</v>
      </c>
      <c r="L273" s="11" t="str">
        <f>IF(MOD(punkt_szczepień__13[[#This Row],[liczba płeć]],2)=0,"K","M")</f>
        <v>M</v>
      </c>
      <c r="M273" s="1"/>
      <c r="N273" s="1"/>
    </row>
    <row r="274" spans="1:14" x14ac:dyDescent="0.25">
      <c r="A274" s="1" t="s">
        <v>280</v>
      </c>
      <c r="B274" s="1" t="s">
        <v>5</v>
      </c>
      <c r="C274" s="2">
        <v>0.43865740740740738</v>
      </c>
      <c r="D274">
        <v>1</v>
      </c>
      <c r="E274">
        <f>VALUE(RIGHT(LEFT(punkt_szczepień__13[[#This Row],[PESEL]],4),2))</f>
        <v>12</v>
      </c>
      <c r="F274" s="11">
        <f>MOD(punkt_szczepień__13[[#This Row],[liczba miesiac]],20)</f>
        <v>12</v>
      </c>
      <c r="G274" s="11">
        <f>VLOOKUP(punkt_szczepień__13[[#This Row],[liczba miesiac]]-punkt_szczepień__13[[#This Row],[miesiac]],$O$3:$P$7,2,0)+VALUE(LEFT(punkt_szczepień__13[[#This Row],[PESEL]],2))</f>
        <v>1976</v>
      </c>
      <c r="H274" s="11">
        <f>VALUE(RIGHT(LEFT(punkt_szczepień__13[[#This Row],[PESEL]],6),2))</f>
        <v>11</v>
      </c>
      <c r="I274" s="3">
        <f>DATE(punkt_szczepień__13[[#This Row],[rok]],punkt_szczepień__13[[#This Row],[miesiac]],punkt_szczepień__13[[#This Row],[dzień]])</f>
        <v>28105</v>
      </c>
      <c r="J274" s="1" t="str">
        <f>punkt_szczepień__13[[#This Row],[PESEL]]</f>
        <v>76121116166</v>
      </c>
      <c r="K274" s="1">
        <f>VALUE(MID(punkt_szczepień__13[[#This Row],[PESEL]],10,1))</f>
        <v>6</v>
      </c>
      <c r="L274" s="11" t="str">
        <f>IF(MOD(punkt_szczepień__13[[#This Row],[liczba płeć]],2)=0,"K","M")</f>
        <v>K</v>
      </c>
      <c r="M274" s="1"/>
      <c r="N274" s="1"/>
    </row>
    <row r="275" spans="1:14" x14ac:dyDescent="0.25">
      <c r="A275" s="1" t="s">
        <v>281</v>
      </c>
      <c r="B275" s="1" t="s">
        <v>9</v>
      </c>
      <c r="C275" s="2">
        <v>0.43894675925925924</v>
      </c>
      <c r="D275">
        <v>1</v>
      </c>
      <c r="E275">
        <f>VALUE(RIGHT(LEFT(punkt_szczepień__13[[#This Row],[PESEL]],4),2))</f>
        <v>10</v>
      </c>
      <c r="F275" s="11">
        <f>MOD(punkt_szczepień__13[[#This Row],[liczba miesiac]],20)</f>
        <v>10</v>
      </c>
      <c r="G275" s="11">
        <f>VLOOKUP(punkt_szczepień__13[[#This Row],[liczba miesiac]]-punkt_szczepień__13[[#This Row],[miesiac]],$O$3:$P$7,2,0)+VALUE(LEFT(punkt_szczepień__13[[#This Row],[PESEL]],2))</f>
        <v>1986</v>
      </c>
      <c r="H275" s="11">
        <f>VALUE(RIGHT(LEFT(punkt_szczepień__13[[#This Row],[PESEL]],6),2))</f>
        <v>4</v>
      </c>
      <c r="I275" s="3">
        <f>DATE(punkt_szczepień__13[[#This Row],[rok]],punkt_szczepień__13[[#This Row],[miesiac]],punkt_szczepień__13[[#This Row],[dzień]])</f>
        <v>31689</v>
      </c>
      <c r="J275" s="1" t="str">
        <f>punkt_szczepień__13[[#This Row],[PESEL]]</f>
        <v>86100435894</v>
      </c>
      <c r="K275" s="1">
        <f>VALUE(MID(punkt_szczepień__13[[#This Row],[PESEL]],10,1))</f>
        <v>9</v>
      </c>
      <c r="L275" s="11" t="str">
        <f>IF(MOD(punkt_szczepień__13[[#This Row],[liczba płeć]],2)=0,"K","M")</f>
        <v>M</v>
      </c>
      <c r="M275" s="1"/>
      <c r="N275" s="1"/>
    </row>
    <row r="276" spans="1:14" x14ac:dyDescent="0.25">
      <c r="A276" s="1" t="s">
        <v>282</v>
      </c>
      <c r="B276" s="1" t="s">
        <v>27</v>
      </c>
      <c r="C276" s="2">
        <v>0.4392361111111111</v>
      </c>
      <c r="D276">
        <v>1</v>
      </c>
      <c r="E276">
        <f>VALUE(RIGHT(LEFT(punkt_szczepień__13[[#This Row],[PESEL]],4),2))</f>
        <v>12</v>
      </c>
      <c r="F276" s="11">
        <f>MOD(punkt_szczepień__13[[#This Row],[liczba miesiac]],20)</f>
        <v>12</v>
      </c>
      <c r="G276" s="11">
        <f>VLOOKUP(punkt_szczepień__13[[#This Row],[liczba miesiac]]-punkt_szczepień__13[[#This Row],[miesiac]],$O$3:$P$7,2,0)+VALUE(LEFT(punkt_szczepień__13[[#This Row],[PESEL]],2))</f>
        <v>1942</v>
      </c>
      <c r="H276" s="11">
        <f>VALUE(RIGHT(LEFT(punkt_szczepień__13[[#This Row],[PESEL]],6),2))</f>
        <v>12</v>
      </c>
      <c r="I276" s="3">
        <f>DATE(punkt_szczepień__13[[#This Row],[rok]],punkt_szczepień__13[[#This Row],[miesiac]],punkt_szczepień__13[[#This Row],[dzień]])</f>
        <v>15687</v>
      </c>
      <c r="J276" s="1" t="str">
        <f>punkt_szczepień__13[[#This Row],[PESEL]]</f>
        <v>42121286459</v>
      </c>
      <c r="K276" s="1">
        <f>VALUE(MID(punkt_szczepień__13[[#This Row],[PESEL]],10,1))</f>
        <v>5</v>
      </c>
      <c r="L276" s="11" t="str">
        <f>IF(MOD(punkt_szczepień__13[[#This Row],[liczba płeć]],2)=0,"K","M")</f>
        <v>M</v>
      </c>
      <c r="M276" s="1"/>
      <c r="N276" s="1"/>
    </row>
    <row r="277" spans="1:14" x14ac:dyDescent="0.25">
      <c r="A277" s="1" t="s">
        <v>283</v>
      </c>
      <c r="B277" s="1" t="s">
        <v>7</v>
      </c>
      <c r="C277" s="2">
        <v>0.43952546296296297</v>
      </c>
      <c r="D277">
        <v>1</v>
      </c>
      <c r="E277">
        <f>VALUE(RIGHT(LEFT(punkt_szczepień__13[[#This Row],[PESEL]],4),2))</f>
        <v>21</v>
      </c>
      <c r="F277" s="11">
        <f>MOD(punkt_szczepień__13[[#This Row],[liczba miesiac]],20)</f>
        <v>1</v>
      </c>
      <c r="G277" s="11">
        <f>VLOOKUP(punkt_szczepień__13[[#This Row],[liczba miesiac]]-punkt_szczepień__13[[#This Row],[miesiac]],$O$3:$P$7,2,0)+VALUE(LEFT(punkt_szczepień__13[[#This Row],[PESEL]],2))</f>
        <v>2000</v>
      </c>
      <c r="H277" s="11">
        <f>VALUE(RIGHT(LEFT(punkt_szczepień__13[[#This Row],[PESEL]],6),2))</f>
        <v>10</v>
      </c>
      <c r="I277" s="3">
        <f>DATE(punkt_szczepień__13[[#This Row],[rok]],punkt_szczepień__13[[#This Row],[miesiac]],punkt_szczepień__13[[#This Row],[dzień]])</f>
        <v>36535</v>
      </c>
      <c r="J277" s="1" t="str">
        <f>punkt_szczepień__13[[#This Row],[PESEL]]</f>
        <v>00211068217</v>
      </c>
      <c r="K277" s="1">
        <f>VALUE(MID(punkt_szczepień__13[[#This Row],[PESEL]],10,1))</f>
        <v>1</v>
      </c>
      <c r="L277" s="11" t="str">
        <f>IF(MOD(punkt_szczepień__13[[#This Row],[liczba płeć]],2)=0,"K","M")</f>
        <v>M</v>
      </c>
      <c r="M277" s="1"/>
      <c r="N277" s="1"/>
    </row>
    <row r="278" spans="1:14" x14ac:dyDescent="0.25">
      <c r="A278" s="1" t="s">
        <v>284</v>
      </c>
      <c r="B278" s="1" t="s">
        <v>9</v>
      </c>
      <c r="C278" s="2">
        <v>0.43981481481481483</v>
      </c>
      <c r="D278">
        <v>1</v>
      </c>
      <c r="E278">
        <f>VALUE(RIGHT(LEFT(punkt_szczepień__13[[#This Row],[PESEL]],4),2))</f>
        <v>10</v>
      </c>
      <c r="F278" s="11">
        <f>MOD(punkt_szczepień__13[[#This Row],[liczba miesiac]],20)</f>
        <v>10</v>
      </c>
      <c r="G278" s="11">
        <f>VLOOKUP(punkt_szczepień__13[[#This Row],[liczba miesiac]]-punkt_szczepień__13[[#This Row],[miesiac]],$O$3:$P$7,2,0)+VALUE(LEFT(punkt_szczepień__13[[#This Row],[PESEL]],2))</f>
        <v>1937</v>
      </c>
      <c r="H278" s="11">
        <f>VALUE(RIGHT(LEFT(punkt_szczepień__13[[#This Row],[PESEL]],6),2))</f>
        <v>13</v>
      </c>
      <c r="I278" s="3">
        <f>DATE(punkt_szczepień__13[[#This Row],[rok]],punkt_szczepień__13[[#This Row],[miesiac]],punkt_szczepień__13[[#This Row],[dzień]])</f>
        <v>13801</v>
      </c>
      <c r="J278" s="1" t="str">
        <f>punkt_szczepień__13[[#This Row],[PESEL]]</f>
        <v>37101335553</v>
      </c>
      <c r="K278" s="1">
        <f>VALUE(MID(punkt_szczepień__13[[#This Row],[PESEL]],10,1))</f>
        <v>5</v>
      </c>
      <c r="L278" s="11" t="str">
        <f>IF(MOD(punkt_szczepień__13[[#This Row],[liczba płeć]],2)=0,"K","M")</f>
        <v>M</v>
      </c>
      <c r="M278" s="1"/>
      <c r="N278" s="1"/>
    </row>
    <row r="279" spans="1:14" x14ac:dyDescent="0.25">
      <c r="A279" s="1" t="s">
        <v>285</v>
      </c>
      <c r="B279" s="1" t="s">
        <v>5</v>
      </c>
      <c r="C279" s="2">
        <v>0.44010416666666669</v>
      </c>
      <c r="D279">
        <v>1</v>
      </c>
      <c r="E279">
        <f>VALUE(RIGHT(LEFT(punkt_szczepień__13[[#This Row],[PESEL]],4),2))</f>
        <v>10</v>
      </c>
      <c r="F279" s="11">
        <f>MOD(punkt_szczepień__13[[#This Row],[liczba miesiac]],20)</f>
        <v>10</v>
      </c>
      <c r="G279" s="11">
        <f>VLOOKUP(punkt_szczepień__13[[#This Row],[liczba miesiac]]-punkt_szczepień__13[[#This Row],[miesiac]],$O$3:$P$7,2,0)+VALUE(LEFT(punkt_szczepień__13[[#This Row],[PESEL]],2))</f>
        <v>1993</v>
      </c>
      <c r="H279" s="11">
        <f>VALUE(RIGHT(LEFT(punkt_szczepień__13[[#This Row],[PESEL]],6),2))</f>
        <v>14</v>
      </c>
      <c r="I279" s="3">
        <f>DATE(punkt_szczepień__13[[#This Row],[rok]],punkt_szczepień__13[[#This Row],[miesiac]],punkt_szczepień__13[[#This Row],[dzień]])</f>
        <v>34256</v>
      </c>
      <c r="J279" s="1" t="str">
        <f>punkt_szczepień__13[[#This Row],[PESEL]]</f>
        <v>93101437282</v>
      </c>
      <c r="K279" s="1">
        <f>VALUE(MID(punkt_szczepień__13[[#This Row],[PESEL]],10,1))</f>
        <v>8</v>
      </c>
      <c r="L279" s="11" t="str">
        <f>IF(MOD(punkt_szczepień__13[[#This Row],[liczba płeć]],2)=0,"K","M")</f>
        <v>K</v>
      </c>
      <c r="M279" s="1"/>
      <c r="N279" s="1"/>
    </row>
    <row r="280" spans="1:14" x14ac:dyDescent="0.25">
      <c r="A280" s="1" t="s">
        <v>286</v>
      </c>
      <c r="B280" s="1" t="s">
        <v>7</v>
      </c>
      <c r="C280" s="2">
        <v>0.44039351851851855</v>
      </c>
      <c r="D280">
        <v>1</v>
      </c>
      <c r="E280">
        <f>VALUE(RIGHT(LEFT(punkt_szczepień__13[[#This Row],[PESEL]],4),2))</f>
        <v>9</v>
      </c>
      <c r="F280" s="11">
        <f>MOD(punkt_szczepień__13[[#This Row],[liczba miesiac]],20)</f>
        <v>9</v>
      </c>
      <c r="G280" s="11">
        <f>VLOOKUP(punkt_szczepień__13[[#This Row],[liczba miesiac]]-punkt_szczepień__13[[#This Row],[miesiac]],$O$3:$P$7,2,0)+VALUE(LEFT(punkt_szczepień__13[[#This Row],[PESEL]],2))</f>
        <v>1984</v>
      </c>
      <c r="H280" s="11">
        <f>VALUE(RIGHT(LEFT(punkt_szczepień__13[[#This Row],[PESEL]],6),2))</f>
        <v>24</v>
      </c>
      <c r="I280" s="3">
        <f>DATE(punkt_szczepień__13[[#This Row],[rok]],punkt_szczepień__13[[#This Row],[miesiac]],punkt_szczepień__13[[#This Row],[dzień]])</f>
        <v>30949</v>
      </c>
      <c r="J280" s="1" t="str">
        <f>punkt_szczepień__13[[#This Row],[PESEL]]</f>
        <v>84092469248</v>
      </c>
      <c r="K280" s="1">
        <f>VALUE(MID(punkt_szczepień__13[[#This Row],[PESEL]],10,1))</f>
        <v>4</v>
      </c>
      <c r="L280" s="11" t="str">
        <f>IF(MOD(punkt_szczepień__13[[#This Row],[liczba płeć]],2)=0,"K","M")</f>
        <v>K</v>
      </c>
      <c r="M280" s="1"/>
      <c r="N280" s="1"/>
    </row>
    <row r="281" spans="1:14" x14ac:dyDescent="0.25">
      <c r="A281" s="1" t="s">
        <v>287</v>
      </c>
      <c r="B281" s="1" t="s">
        <v>5</v>
      </c>
      <c r="C281" s="2">
        <v>0.44068287037037035</v>
      </c>
      <c r="D281">
        <v>1</v>
      </c>
      <c r="E281">
        <f>VALUE(RIGHT(LEFT(punkt_szczepień__13[[#This Row],[PESEL]],4),2))</f>
        <v>12</v>
      </c>
      <c r="F281" s="11">
        <f>MOD(punkt_szczepień__13[[#This Row],[liczba miesiac]],20)</f>
        <v>12</v>
      </c>
      <c r="G281" s="11">
        <f>VLOOKUP(punkt_szczepień__13[[#This Row],[liczba miesiac]]-punkt_szczepień__13[[#This Row],[miesiac]],$O$3:$P$7,2,0)+VALUE(LEFT(punkt_szczepień__13[[#This Row],[PESEL]],2))</f>
        <v>1966</v>
      </c>
      <c r="H281" s="11">
        <f>VALUE(RIGHT(LEFT(punkt_szczepień__13[[#This Row],[PESEL]],6),2))</f>
        <v>29</v>
      </c>
      <c r="I281" s="3">
        <f>DATE(punkt_szczepień__13[[#This Row],[rok]],punkt_szczepień__13[[#This Row],[miesiac]],punkt_szczepień__13[[#This Row],[dzień]])</f>
        <v>24470</v>
      </c>
      <c r="J281" s="1" t="str">
        <f>punkt_szczepień__13[[#This Row],[PESEL]]</f>
        <v>66122925348</v>
      </c>
      <c r="K281" s="1">
        <f>VALUE(MID(punkt_szczepień__13[[#This Row],[PESEL]],10,1))</f>
        <v>4</v>
      </c>
      <c r="L281" s="11" t="str">
        <f>IF(MOD(punkt_szczepień__13[[#This Row],[liczba płeć]],2)=0,"K","M")</f>
        <v>K</v>
      </c>
      <c r="M281" s="1"/>
      <c r="N281" s="1"/>
    </row>
    <row r="282" spans="1:14" x14ac:dyDescent="0.25">
      <c r="A282" s="1" t="s">
        <v>288</v>
      </c>
      <c r="B282" s="1" t="s">
        <v>7</v>
      </c>
      <c r="C282" s="2">
        <v>0.44097222222222221</v>
      </c>
      <c r="D282">
        <v>1</v>
      </c>
      <c r="E282">
        <f>VALUE(RIGHT(LEFT(punkt_szczepień__13[[#This Row],[PESEL]],4),2))</f>
        <v>8</v>
      </c>
      <c r="F282" s="11">
        <f>MOD(punkt_szczepień__13[[#This Row],[liczba miesiac]],20)</f>
        <v>8</v>
      </c>
      <c r="G282" s="11">
        <f>VLOOKUP(punkt_szczepień__13[[#This Row],[liczba miesiac]]-punkt_szczepień__13[[#This Row],[miesiac]],$O$3:$P$7,2,0)+VALUE(LEFT(punkt_szczepień__13[[#This Row],[PESEL]],2))</f>
        <v>1946</v>
      </c>
      <c r="H282" s="11">
        <f>VALUE(RIGHT(LEFT(punkt_szczepień__13[[#This Row],[PESEL]],6),2))</f>
        <v>22</v>
      </c>
      <c r="I282" s="3">
        <f>DATE(punkt_szczepień__13[[#This Row],[rok]],punkt_szczepień__13[[#This Row],[miesiac]],punkt_szczepień__13[[#This Row],[dzień]])</f>
        <v>17036</v>
      </c>
      <c r="J282" s="1" t="str">
        <f>punkt_szczepień__13[[#This Row],[PESEL]]</f>
        <v>46082271864</v>
      </c>
      <c r="K282" s="1">
        <f>VALUE(MID(punkt_szczepień__13[[#This Row],[PESEL]],10,1))</f>
        <v>6</v>
      </c>
      <c r="L282" s="11" t="str">
        <f>IF(MOD(punkt_szczepień__13[[#This Row],[liczba płeć]],2)=0,"K","M")</f>
        <v>K</v>
      </c>
      <c r="M282" s="1"/>
      <c r="N282" s="1"/>
    </row>
    <row r="283" spans="1:14" x14ac:dyDescent="0.25">
      <c r="A283" s="1" t="s">
        <v>289</v>
      </c>
      <c r="B283" s="1" t="s">
        <v>5</v>
      </c>
      <c r="C283" s="2">
        <v>0.44155092592592593</v>
      </c>
      <c r="D283">
        <v>2</v>
      </c>
      <c r="E283">
        <f>VALUE(RIGHT(LEFT(punkt_szczepień__13[[#This Row],[PESEL]],4),2))</f>
        <v>5</v>
      </c>
      <c r="F283" s="11">
        <f>MOD(punkt_szczepień__13[[#This Row],[liczba miesiac]],20)</f>
        <v>5</v>
      </c>
      <c r="G283" s="11">
        <f>VLOOKUP(punkt_szczepień__13[[#This Row],[liczba miesiac]]-punkt_szczepień__13[[#This Row],[miesiac]],$O$3:$P$7,2,0)+VALUE(LEFT(punkt_szczepień__13[[#This Row],[PESEL]],2))</f>
        <v>1949</v>
      </c>
      <c r="H283" s="11">
        <f>VALUE(RIGHT(LEFT(punkt_szczepień__13[[#This Row],[PESEL]],6),2))</f>
        <v>4</v>
      </c>
      <c r="I283" s="3">
        <f>DATE(punkt_szczepień__13[[#This Row],[rok]],punkt_szczepień__13[[#This Row],[miesiac]],punkt_szczepień__13[[#This Row],[dzień]])</f>
        <v>18022</v>
      </c>
      <c r="J283" s="1" t="str">
        <f>punkt_szczepień__13[[#This Row],[PESEL]]</f>
        <v>49050437329</v>
      </c>
      <c r="K283" s="1">
        <f>VALUE(MID(punkt_szczepień__13[[#This Row],[PESEL]],10,1))</f>
        <v>2</v>
      </c>
      <c r="L283" s="11" t="str">
        <f>IF(MOD(punkt_szczepień__13[[#This Row],[liczba płeć]],2)=0,"K","M")</f>
        <v>K</v>
      </c>
      <c r="M283" s="1"/>
      <c r="N283" s="1"/>
    </row>
    <row r="284" spans="1:14" x14ac:dyDescent="0.25">
      <c r="A284" s="1" t="s">
        <v>290</v>
      </c>
      <c r="B284" s="1" t="s">
        <v>7</v>
      </c>
      <c r="C284" s="2">
        <v>0.44184027777777779</v>
      </c>
      <c r="D284">
        <v>1</v>
      </c>
      <c r="E284">
        <f>VALUE(RIGHT(LEFT(punkt_szczepień__13[[#This Row],[PESEL]],4),2))</f>
        <v>12</v>
      </c>
      <c r="F284" s="11">
        <f>MOD(punkt_szczepień__13[[#This Row],[liczba miesiac]],20)</f>
        <v>12</v>
      </c>
      <c r="G284" s="11">
        <f>VLOOKUP(punkt_szczepień__13[[#This Row],[liczba miesiac]]-punkt_szczepień__13[[#This Row],[miesiac]],$O$3:$P$7,2,0)+VALUE(LEFT(punkt_szczepień__13[[#This Row],[PESEL]],2))</f>
        <v>1939</v>
      </c>
      <c r="H284" s="11">
        <f>VALUE(RIGHT(LEFT(punkt_szczepień__13[[#This Row],[PESEL]],6),2))</f>
        <v>13</v>
      </c>
      <c r="I284" s="3">
        <f>DATE(punkt_szczepień__13[[#This Row],[rok]],punkt_szczepień__13[[#This Row],[miesiac]],punkt_szczepień__13[[#This Row],[dzień]])</f>
        <v>14592</v>
      </c>
      <c r="J284" s="1" t="str">
        <f>punkt_szczepień__13[[#This Row],[PESEL]]</f>
        <v>39121348999</v>
      </c>
      <c r="K284" s="1">
        <f>VALUE(MID(punkt_szczepień__13[[#This Row],[PESEL]],10,1))</f>
        <v>9</v>
      </c>
      <c r="L284" s="11" t="str">
        <f>IF(MOD(punkt_szczepień__13[[#This Row],[liczba płeć]],2)=0,"K","M")</f>
        <v>M</v>
      </c>
      <c r="M284" s="1"/>
      <c r="N284" s="1"/>
    </row>
    <row r="285" spans="1:14" x14ac:dyDescent="0.25">
      <c r="A285" s="1" t="s">
        <v>291</v>
      </c>
      <c r="B285" s="1" t="s">
        <v>27</v>
      </c>
      <c r="C285" s="2">
        <v>0.44241898148148145</v>
      </c>
      <c r="D285">
        <v>2</v>
      </c>
      <c r="E285">
        <f>VALUE(RIGHT(LEFT(punkt_szczepień__13[[#This Row],[PESEL]],4),2))</f>
        <v>5</v>
      </c>
      <c r="F285" s="11">
        <f>MOD(punkt_szczepień__13[[#This Row],[liczba miesiac]],20)</f>
        <v>5</v>
      </c>
      <c r="G285" s="11">
        <f>VLOOKUP(punkt_szczepień__13[[#This Row],[liczba miesiac]]-punkt_szczepień__13[[#This Row],[miesiac]],$O$3:$P$7,2,0)+VALUE(LEFT(punkt_szczepień__13[[#This Row],[PESEL]],2))</f>
        <v>1982</v>
      </c>
      <c r="H285" s="11">
        <f>VALUE(RIGHT(LEFT(punkt_szczepień__13[[#This Row],[PESEL]],6),2))</f>
        <v>5</v>
      </c>
      <c r="I285" s="3">
        <f>DATE(punkt_szczepień__13[[#This Row],[rok]],punkt_szczepień__13[[#This Row],[miesiac]],punkt_szczepień__13[[#This Row],[dzień]])</f>
        <v>30076</v>
      </c>
      <c r="J285" s="1" t="str">
        <f>punkt_szczepień__13[[#This Row],[PESEL]]</f>
        <v>82050531273</v>
      </c>
      <c r="K285" s="1">
        <f>VALUE(MID(punkt_szczepień__13[[#This Row],[PESEL]],10,1))</f>
        <v>7</v>
      </c>
      <c r="L285" s="11" t="str">
        <f>IF(MOD(punkt_szczepień__13[[#This Row],[liczba płeć]],2)=0,"K","M")</f>
        <v>M</v>
      </c>
      <c r="M285" s="1"/>
      <c r="N285" s="1"/>
    </row>
    <row r="286" spans="1:14" x14ac:dyDescent="0.25">
      <c r="A286" s="1" t="s">
        <v>292</v>
      </c>
      <c r="B286" s="1" t="s">
        <v>27</v>
      </c>
      <c r="C286" s="2">
        <v>0.44299768518518517</v>
      </c>
      <c r="D286">
        <v>2</v>
      </c>
      <c r="E286">
        <f>VALUE(RIGHT(LEFT(punkt_szczepień__13[[#This Row],[PESEL]],4),2))</f>
        <v>7</v>
      </c>
      <c r="F286" s="11">
        <f>MOD(punkt_szczepień__13[[#This Row],[liczba miesiac]],20)</f>
        <v>7</v>
      </c>
      <c r="G286" s="11">
        <f>VLOOKUP(punkt_szczepień__13[[#This Row],[liczba miesiac]]-punkt_szczepień__13[[#This Row],[miesiac]],$O$3:$P$7,2,0)+VALUE(LEFT(punkt_szczepień__13[[#This Row],[PESEL]],2))</f>
        <v>1925</v>
      </c>
      <c r="H286" s="11">
        <f>VALUE(RIGHT(LEFT(punkt_szczepień__13[[#This Row],[PESEL]],6),2))</f>
        <v>17</v>
      </c>
      <c r="I286" s="3">
        <f>DATE(punkt_szczepień__13[[#This Row],[rok]],punkt_szczepień__13[[#This Row],[miesiac]],punkt_szczepień__13[[#This Row],[dzień]])</f>
        <v>9330</v>
      </c>
      <c r="J286" s="1" t="str">
        <f>punkt_szczepień__13[[#This Row],[PESEL]]</f>
        <v>25071775264</v>
      </c>
      <c r="K286" s="1">
        <f>VALUE(MID(punkt_szczepień__13[[#This Row],[PESEL]],10,1))</f>
        <v>6</v>
      </c>
      <c r="L286" s="11" t="str">
        <f>IF(MOD(punkt_szczepień__13[[#This Row],[liczba płeć]],2)=0,"K","M")</f>
        <v>K</v>
      </c>
      <c r="M286" s="1"/>
      <c r="N286" s="1"/>
    </row>
    <row r="287" spans="1:14" x14ac:dyDescent="0.25">
      <c r="A287" s="1" t="s">
        <v>293</v>
      </c>
      <c r="B287" s="1" t="s">
        <v>7</v>
      </c>
      <c r="C287" s="2">
        <v>0.44328703703703703</v>
      </c>
      <c r="D287">
        <v>1</v>
      </c>
      <c r="E287">
        <f>VALUE(RIGHT(LEFT(punkt_szczepień__13[[#This Row],[PESEL]],4),2))</f>
        <v>5</v>
      </c>
      <c r="F287" s="11">
        <f>MOD(punkt_szczepień__13[[#This Row],[liczba miesiac]],20)</f>
        <v>5</v>
      </c>
      <c r="G287" s="11">
        <f>VLOOKUP(punkt_szczepień__13[[#This Row],[liczba miesiac]]-punkt_szczepień__13[[#This Row],[miesiac]],$O$3:$P$7,2,0)+VALUE(LEFT(punkt_szczepień__13[[#This Row],[PESEL]],2))</f>
        <v>1931</v>
      </c>
      <c r="H287" s="11">
        <f>VALUE(RIGHT(LEFT(punkt_szczepień__13[[#This Row],[PESEL]],6),2))</f>
        <v>15</v>
      </c>
      <c r="I287" s="3">
        <f>DATE(punkt_szczepień__13[[#This Row],[rok]],punkt_szczepień__13[[#This Row],[miesiac]],punkt_szczepień__13[[#This Row],[dzień]])</f>
        <v>11458</v>
      </c>
      <c r="J287" s="1" t="str">
        <f>punkt_szczepień__13[[#This Row],[PESEL]]</f>
        <v>31051584261</v>
      </c>
      <c r="K287" s="1">
        <f>VALUE(MID(punkt_szczepień__13[[#This Row],[PESEL]],10,1))</f>
        <v>6</v>
      </c>
      <c r="L287" s="11" t="str">
        <f>IF(MOD(punkt_szczepień__13[[#This Row],[liczba płeć]],2)=0,"K","M")</f>
        <v>K</v>
      </c>
      <c r="M287" s="1"/>
      <c r="N287" s="1"/>
    </row>
    <row r="288" spans="1:14" x14ac:dyDescent="0.25">
      <c r="A288" s="1" t="s">
        <v>294</v>
      </c>
      <c r="B288" s="1" t="s">
        <v>7</v>
      </c>
      <c r="C288" s="2">
        <v>0.4435763888888889</v>
      </c>
      <c r="D288">
        <v>1</v>
      </c>
      <c r="E288">
        <f>VALUE(RIGHT(LEFT(punkt_szczepień__13[[#This Row],[PESEL]],4),2))</f>
        <v>3</v>
      </c>
      <c r="F288" s="11">
        <f>MOD(punkt_szczepień__13[[#This Row],[liczba miesiac]],20)</f>
        <v>3</v>
      </c>
      <c r="G288" s="11">
        <f>VLOOKUP(punkt_szczepień__13[[#This Row],[liczba miesiac]]-punkt_szczepień__13[[#This Row],[miesiac]],$O$3:$P$7,2,0)+VALUE(LEFT(punkt_szczepień__13[[#This Row],[PESEL]],2))</f>
        <v>1963</v>
      </c>
      <c r="H288" s="11">
        <f>VALUE(RIGHT(LEFT(punkt_szczepień__13[[#This Row],[PESEL]],6),2))</f>
        <v>29</v>
      </c>
      <c r="I288" s="3">
        <f>DATE(punkt_szczepień__13[[#This Row],[rok]],punkt_szczepień__13[[#This Row],[miesiac]],punkt_szczepień__13[[#This Row],[dzień]])</f>
        <v>23099</v>
      </c>
      <c r="J288" s="1" t="str">
        <f>punkt_szczepień__13[[#This Row],[PESEL]]</f>
        <v>63032962313</v>
      </c>
      <c r="K288" s="1">
        <f>VALUE(MID(punkt_szczepień__13[[#This Row],[PESEL]],10,1))</f>
        <v>1</v>
      </c>
      <c r="L288" s="11" t="str">
        <f>IF(MOD(punkt_szczepień__13[[#This Row],[liczba płeć]],2)=0,"K","M")</f>
        <v>M</v>
      </c>
      <c r="M288" s="1"/>
      <c r="N288" s="1"/>
    </row>
    <row r="289" spans="1:14" x14ac:dyDescent="0.25">
      <c r="A289" s="1" t="s">
        <v>295</v>
      </c>
      <c r="B289" s="1" t="s">
        <v>9</v>
      </c>
      <c r="C289" s="2">
        <v>0.44386574074074076</v>
      </c>
      <c r="D289">
        <v>1</v>
      </c>
      <c r="E289">
        <f>VALUE(RIGHT(LEFT(punkt_szczepień__13[[#This Row],[PESEL]],4),2))</f>
        <v>2</v>
      </c>
      <c r="F289" s="11">
        <f>MOD(punkt_szczepień__13[[#This Row],[liczba miesiac]],20)</f>
        <v>2</v>
      </c>
      <c r="G289" s="11">
        <f>VLOOKUP(punkt_szczepień__13[[#This Row],[liczba miesiac]]-punkt_szczepień__13[[#This Row],[miesiac]],$O$3:$P$7,2,0)+VALUE(LEFT(punkt_szczepień__13[[#This Row],[PESEL]],2))</f>
        <v>1963</v>
      </c>
      <c r="H289" s="11">
        <f>VALUE(RIGHT(LEFT(punkt_szczepień__13[[#This Row],[PESEL]],6),2))</f>
        <v>4</v>
      </c>
      <c r="I289" s="3">
        <f>DATE(punkt_szczepień__13[[#This Row],[rok]],punkt_szczepień__13[[#This Row],[miesiac]],punkt_szczepień__13[[#This Row],[dzień]])</f>
        <v>23046</v>
      </c>
      <c r="J289" s="1" t="str">
        <f>punkt_szczepień__13[[#This Row],[PESEL]]</f>
        <v>63020471144</v>
      </c>
      <c r="K289" s="1">
        <f>VALUE(MID(punkt_szczepień__13[[#This Row],[PESEL]],10,1))</f>
        <v>4</v>
      </c>
      <c r="L289" s="11" t="str">
        <f>IF(MOD(punkt_szczepień__13[[#This Row],[liczba płeć]],2)=0,"K","M")</f>
        <v>K</v>
      </c>
      <c r="M289" s="1"/>
      <c r="N289" s="1"/>
    </row>
    <row r="290" spans="1:14" x14ac:dyDescent="0.25">
      <c r="A290" s="1" t="s">
        <v>296</v>
      </c>
      <c r="B290" s="1" t="s">
        <v>5</v>
      </c>
      <c r="C290" s="2">
        <v>0.44444444444444442</v>
      </c>
      <c r="D290">
        <v>2</v>
      </c>
      <c r="E290">
        <f>VALUE(RIGHT(LEFT(punkt_szczepień__13[[#This Row],[PESEL]],4),2))</f>
        <v>4</v>
      </c>
      <c r="F290" s="11">
        <f>MOD(punkt_szczepień__13[[#This Row],[liczba miesiac]],20)</f>
        <v>4</v>
      </c>
      <c r="G290" s="11">
        <f>VLOOKUP(punkt_szczepień__13[[#This Row],[liczba miesiac]]-punkt_szczepień__13[[#This Row],[miesiac]],$O$3:$P$7,2,0)+VALUE(LEFT(punkt_szczepień__13[[#This Row],[PESEL]],2))</f>
        <v>1979</v>
      </c>
      <c r="H290" s="11">
        <f>VALUE(RIGHT(LEFT(punkt_szczepień__13[[#This Row],[PESEL]],6),2))</f>
        <v>30</v>
      </c>
      <c r="I290" s="3">
        <f>DATE(punkt_szczepień__13[[#This Row],[rok]],punkt_szczepień__13[[#This Row],[miesiac]],punkt_szczepień__13[[#This Row],[dzień]])</f>
        <v>28975</v>
      </c>
      <c r="J290" s="1" t="str">
        <f>punkt_szczepień__13[[#This Row],[PESEL]]</f>
        <v>79043088122</v>
      </c>
      <c r="K290" s="1">
        <f>VALUE(MID(punkt_szczepień__13[[#This Row],[PESEL]],10,1))</f>
        <v>2</v>
      </c>
      <c r="L290" s="11" t="str">
        <f>IF(MOD(punkt_szczepień__13[[#This Row],[liczba płeć]],2)=0,"K","M")</f>
        <v>K</v>
      </c>
      <c r="M290" s="1"/>
      <c r="N290" s="1"/>
    </row>
    <row r="291" spans="1:14" x14ac:dyDescent="0.25">
      <c r="A291" s="1" t="s">
        <v>297</v>
      </c>
      <c r="B291" s="1" t="s">
        <v>5</v>
      </c>
      <c r="C291" s="2">
        <v>0.44502314814814814</v>
      </c>
      <c r="D291">
        <v>2</v>
      </c>
      <c r="E291">
        <f>VALUE(RIGHT(LEFT(punkt_szczepień__13[[#This Row],[PESEL]],4),2))</f>
        <v>12</v>
      </c>
      <c r="F291" s="11">
        <f>MOD(punkt_szczepień__13[[#This Row],[liczba miesiac]],20)</f>
        <v>12</v>
      </c>
      <c r="G291" s="11">
        <f>VLOOKUP(punkt_szczepień__13[[#This Row],[liczba miesiac]]-punkt_szczepień__13[[#This Row],[miesiac]],$O$3:$P$7,2,0)+VALUE(LEFT(punkt_szczepień__13[[#This Row],[PESEL]],2))</f>
        <v>1958</v>
      </c>
      <c r="H291" s="11">
        <f>VALUE(RIGHT(LEFT(punkt_szczepień__13[[#This Row],[PESEL]],6),2))</f>
        <v>26</v>
      </c>
      <c r="I291" s="3">
        <f>DATE(punkt_szczepień__13[[#This Row],[rok]],punkt_szczepień__13[[#This Row],[miesiac]],punkt_szczepień__13[[#This Row],[dzień]])</f>
        <v>21545</v>
      </c>
      <c r="J291" s="1" t="str">
        <f>punkt_szczepień__13[[#This Row],[PESEL]]</f>
        <v>58122678814</v>
      </c>
      <c r="K291" s="1">
        <f>VALUE(MID(punkt_szczepień__13[[#This Row],[PESEL]],10,1))</f>
        <v>1</v>
      </c>
      <c r="L291" s="11" t="str">
        <f>IF(MOD(punkt_szczepień__13[[#This Row],[liczba płeć]],2)=0,"K","M")</f>
        <v>M</v>
      </c>
      <c r="M291" s="1"/>
      <c r="N291" s="1"/>
    </row>
    <row r="292" spans="1:14" x14ac:dyDescent="0.25">
      <c r="A292" s="1" t="s">
        <v>298</v>
      </c>
      <c r="B292" s="1" t="s">
        <v>5</v>
      </c>
      <c r="C292" s="2">
        <v>0.4453125</v>
      </c>
      <c r="D292">
        <v>1</v>
      </c>
      <c r="E292">
        <f>VALUE(RIGHT(LEFT(punkt_szczepień__13[[#This Row],[PESEL]],4),2))</f>
        <v>3</v>
      </c>
      <c r="F292" s="11">
        <f>MOD(punkt_szczepień__13[[#This Row],[liczba miesiac]],20)</f>
        <v>3</v>
      </c>
      <c r="G292" s="11">
        <f>VLOOKUP(punkt_szczepień__13[[#This Row],[liczba miesiac]]-punkt_szczepień__13[[#This Row],[miesiac]],$O$3:$P$7,2,0)+VALUE(LEFT(punkt_szczepień__13[[#This Row],[PESEL]],2))</f>
        <v>1941</v>
      </c>
      <c r="H292" s="11">
        <f>VALUE(RIGHT(LEFT(punkt_szczepień__13[[#This Row],[PESEL]],6),2))</f>
        <v>3</v>
      </c>
      <c r="I292" s="3">
        <f>DATE(punkt_szczepień__13[[#This Row],[rok]],punkt_szczepień__13[[#This Row],[miesiac]],punkt_szczepień__13[[#This Row],[dzień]])</f>
        <v>15038</v>
      </c>
      <c r="J292" s="1" t="str">
        <f>punkt_szczepień__13[[#This Row],[PESEL]]</f>
        <v>41030348687</v>
      </c>
      <c r="K292" s="1">
        <f>VALUE(MID(punkt_szczepień__13[[#This Row],[PESEL]],10,1))</f>
        <v>8</v>
      </c>
      <c r="L292" s="11" t="str">
        <f>IF(MOD(punkt_szczepień__13[[#This Row],[liczba płeć]],2)=0,"K","M")</f>
        <v>K</v>
      </c>
      <c r="M292" s="1"/>
      <c r="N292" s="1"/>
    </row>
    <row r="293" spans="1:14" x14ac:dyDescent="0.25">
      <c r="A293" s="1" t="s">
        <v>299</v>
      </c>
      <c r="B293" s="1" t="s">
        <v>7</v>
      </c>
      <c r="C293" s="2">
        <v>0.44560185185185186</v>
      </c>
      <c r="D293">
        <v>1</v>
      </c>
      <c r="E293">
        <f>VALUE(RIGHT(LEFT(punkt_szczepień__13[[#This Row],[PESEL]],4),2))</f>
        <v>8</v>
      </c>
      <c r="F293" s="11">
        <f>MOD(punkt_szczepień__13[[#This Row],[liczba miesiac]],20)</f>
        <v>8</v>
      </c>
      <c r="G293" s="11">
        <f>VLOOKUP(punkt_szczepień__13[[#This Row],[liczba miesiac]]-punkt_szczepień__13[[#This Row],[miesiac]],$O$3:$P$7,2,0)+VALUE(LEFT(punkt_szczepień__13[[#This Row],[PESEL]],2))</f>
        <v>1997</v>
      </c>
      <c r="H293" s="11">
        <f>VALUE(RIGHT(LEFT(punkt_szczepień__13[[#This Row],[PESEL]],6),2))</f>
        <v>3</v>
      </c>
      <c r="I293" s="3">
        <f>DATE(punkt_szczepień__13[[#This Row],[rok]],punkt_szczepień__13[[#This Row],[miesiac]],punkt_szczepień__13[[#This Row],[dzień]])</f>
        <v>35645</v>
      </c>
      <c r="J293" s="1" t="str">
        <f>punkt_szczepień__13[[#This Row],[PESEL]]</f>
        <v>97080315144</v>
      </c>
      <c r="K293" s="1">
        <f>VALUE(MID(punkt_szczepień__13[[#This Row],[PESEL]],10,1))</f>
        <v>4</v>
      </c>
      <c r="L293" s="11" t="str">
        <f>IF(MOD(punkt_szczepień__13[[#This Row],[liczba płeć]],2)=0,"K","M")</f>
        <v>K</v>
      </c>
      <c r="M293" s="1"/>
      <c r="N293" s="1"/>
    </row>
    <row r="294" spans="1:14" x14ac:dyDescent="0.25">
      <c r="A294" s="1" t="s">
        <v>300</v>
      </c>
      <c r="B294" s="1" t="s">
        <v>5</v>
      </c>
      <c r="C294" s="2">
        <v>0.44589120370370372</v>
      </c>
      <c r="D294">
        <v>1</v>
      </c>
      <c r="E294">
        <f>VALUE(RIGHT(LEFT(punkt_szczepień__13[[#This Row],[PESEL]],4),2))</f>
        <v>1</v>
      </c>
      <c r="F294" s="11">
        <f>MOD(punkt_szczepień__13[[#This Row],[liczba miesiac]],20)</f>
        <v>1</v>
      </c>
      <c r="G294" s="11">
        <f>VLOOKUP(punkt_szczepień__13[[#This Row],[liczba miesiac]]-punkt_szczepień__13[[#This Row],[miesiac]],$O$3:$P$7,2,0)+VALUE(LEFT(punkt_szczepień__13[[#This Row],[PESEL]],2))</f>
        <v>1983</v>
      </c>
      <c r="H294" s="11">
        <f>VALUE(RIGHT(LEFT(punkt_szczepień__13[[#This Row],[PESEL]],6),2))</f>
        <v>13</v>
      </c>
      <c r="I294" s="3">
        <f>DATE(punkt_szczepień__13[[#This Row],[rok]],punkt_szczepień__13[[#This Row],[miesiac]],punkt_szczepień__13[[#This Row],[dzień]])</f>
        <v>30329</v>
      </c>
      <c r="J294" s="1" t="str">
        <f>punkt_szczepień__13[[#This Row],[PESEL]]</f>
        <v>83011332388</v>
      </c>
      <c r="K294" s="1">
        <f>VALUE(MID(punkt_szczepień__13[[#This Row],[PESEL]],10,1))</f>
        <v>8</v>
      </c>
      <c r="L294" s="11" t="str">
        <f>IF(MOD(punkt_szczepień__13[[#This Row],[liczba płeć]],2)=0,"K","M")</f>
        <v>K</v>
      </c>
      <c r="M294" s="1"/>
      <c r="N294" s="1"/>
    </row>
    <row r="295" spans="1:14" x14ac:dyDescent="0.25">
      <c r="A295" s="1" t="s">
        <v>301</v>
      </c>
      <c r="B295" s="1" t="s">
        <v>5</v>
      </c>
      <c r="C295" s="2">
        <v>0.44618055555555558</v>
      </c>
      <c r="D295">
        <v>1</v>
      </c>
      <c r="E295">
        <f>VALUE(RIGHT(LEFT(punkt_szczepień__13[[#This Row],[PESEL]],4),2))</f>
        <v>6</v>
      </c>
      <c r="F295" s="11">
        <f>MOD(punkt_szczepień__13[[#This Row],[liczba miesiac]],20)</f>
        <v>6</v>
      </c>
      <c r="G295" s="11">
        <f>VLOOKUP(punkt_szczepień__13[[#This Row],[liczba miesiac]]-punkt_szczepień__13[[#This Row],[miesiac]],$O$3:$P$7,2,0)+VALUE(LEFT(punkt_szczepień__13[[#This Row],[PESEL]],2))</f>
        <v>1984</v>
      </c>
      <c r="H295" s="11">
        <f>VALUE(RIGHT(LEFT(punkt_szczepień__13[[#This Row],[PESEL]],6),2))</f>
        <v>10</v>
      </c>
      <c r="I295" s="3">
        <f>DATE(punkt_szczepień__13[[#This Row],[rok]],punkt_szczepień__13[[#This Row],[miesiac]],punkt_szczepień__13[[#This Row],[dzień]])</f>
        <v>30843</v>
      </c>
      <c r="J295" s="1" t="str">
        <f>punkt_szczepień__13[[#This Row],[PESEL]]</f>
        <v>84061088793</v>
      </c>
      <c r="K295" s="1">
        <f>VALUE(MID(punkt_szczepień__13[[#This Row],[PESEL]],10,1))</f>
        <v>9</v>
      </c>
      <c r="L295" s="11" t="str">
        <f>IF(MOD(punkt_szczepień__13[[#This Row],[liczba płeć]],2)=0,"K","M")</f>
        <v>M</v>
      </c>
      <c r="M295" s="1"/>
      <c r="N295" s="1"/>
    </row>
    <row r="296" spans="1:14" x14ac:dyDescent="0.25">
      <c r="A296" s="1" t="s">
        <v>302</v>
      </c>
      <c r="B296" s="1" t="s">
        <v>7</v>
      </c>
      <c r="C296" s="2">
        <v>0.44646990740740738</v>
      </c>
      <c r="D296">
        <v>1</v>
      </c>
      <c r="E296">
        <f>VALUE(RIGHT(LEFT(punkt_szczepień__13[[#This Row],[PESEL]],4),2))</f>
        <v>3</v>
      </c>
      <c r="F296" s="11">
        <f>MOD(punkt_szczepień__13[[#This Row],[liczba miesiac]],20)</f>
        <v>3</v>
      </c>
      <c r="G296" s="11">
        <f>VLOOKUP(punkt_szczepień__13[[#This Row],[liczba miesiac]]-punkt_szczepień__13[[#This Row],[miesiac]],$O$3:$P$7,2,0)+VALUE(LEFT(punkt_szczepień__13[[#This Row],[PESEL]],2))</f>
        <v>1931</v>
      </c>
      <c r="H296" s="11">
        <f>VALUE(RIGHT(LEFT(punkt_szczepień__13[[#This Row],[PESEL]],6),2))</f>
        <v>29</v>
      </c>
      <c r="I296" s="3">
        <f>DATE(punkt_szczepień__13[[#This Row],[rok]],punkt_szczepień__13[[#This Row],[miesiac]],punkt_szczepień__13[[#This Row],[dzień]])</f>
        <v>11411</v>
      </c>
      <c r="J296" s="1" t="str">
        <f>punkt_szczepień__13[[#This Row],[PESEL]]</f>
        <v>31032966828</v>
      </c>
      <c r="K296" s="1">
        <f>VALUE(MID(punkt_szczepień__13[[#This Row],[PESEL]],10,1))</f>
        <v>2</v>
      </c>
      <c r="L296" s="11" t="str">
        <f>IF(MOD(punkt_szczepień__13[[#This Row],[liczba płeć]],2)=0,"K","M")</f>
        <v>K</v>
      </c>
      <c r="M296" s="1"/>
      <c r="N296" s="1"/>
    </row>
    <row r="297" spans="1:14" x14ac:dyDescent="0.25">
      <c r="A297" s="1" t="s">
        <v>303</v>
      </c>
      <c r="B297" s="1" t="s">
        <v>5</v>
      </c>
      <c r="C297" s="2">
        <v>0.44675925925925924</v>
      </c>
      <c r="D297">
        <v>1</v>
      </c>
      <c r="E297">
        <f>VALUE(RIGHT(LEFT(punkt_szczepień__13[[#This Row],[PESEL]],4),2))</f>
        <v>6</v>
      </c>
      <c r="F297" s="11">
        <f>MOD(punkt_szczepień__13[[#This Row],[liczba miesiac]],20)</f>
        <v>6</v>
      </c>
      <c r="G297" s="11">
        <f>VLOOKUP(punkt_szczepień__13[[#This Row],[liczba miesiac]]-punkt_szczepień__13[[#This Row],[miesiac]],$O$3:$P$7,2,0)+VALUE(LEFT(punkt_szczepień__13[[#This Row],[PESEL]],2))</f>
        <v>1959</v>
      </c>
      <c r="H297" s="11">
        <f>VALUE(RIGHT(LEFT(punkt_szczepień__13[[#This Row],[PESEL]],6),2))</f>
        <v>28</v>
      </c>
      <c r="I297" s="3">
        <f>DATE(punkt_szczepień__13[[#This Row],[rok]],punkt_szczepień__13[[#This Row],[miesiac]],punkt_szczepień__13[[#This Row],[dzień]])</f>
        <v>21729</v>
      </c>
      <c r="J297" s="1" t="str">
        <f>punkt_szczepień__13[[#This Row],[PESEL]]</f>
        <v>59062851844</v>
      </c>
      <c r="K297" s="1">
        <f>VALUE(MID(punkt_szczepień__13[[#This Row],[PESEL]],10,1))</f>
        <v>4</v>
      </c>
      <c r="L297" s="11" t="str">
        <f>IF(MOD(punkt_szczepień__13[[#This Row],[liczba płeć]],2)=0,"K","M")</f>
        <v>K</v>
      </c>
      <c r="M297" s="1"/>
      <c r="N297" s="1"/>
    </row>
    <row r="298" spans="1:14" x14ac:dyDescent="0.25">
      <c r="A298" s="1" t="s">
        <v>304</v>
      </c>
      <c r="B298" s="1" t="s">
        <v>27</v>
      </c>
      <c r="C298" s="2">
        <v>0.44733796296296297</v>
      </c>
      <c r="D298">
        <v>2</v>
      </c>
      <c r="E298">
        <f>VALUE(RIGHT(LEFT(punkt_szczepień__13[[#This Row],[PESEL]],4),2))</f>
        <v>2</v>
      </c>
      <c r="F298" s="11">
        <f>MOD(punkt_szczepień__13[[#This Row],[liczba miesiac]],20)</f>
        <v>2</v>
      </c>
      <c r="G298" s="11">
        <f>VLOOKUP(punkt_szczepień__13[[#This Row],[liczba miesiac]]-punkt_szczepień__13[[#This Row],[miesiac]],$O$3:$P$7,2,0)+VALUE(LEFT(punkt_szczepień__13[[#This Row],[PESEL]],2))</f>
        <v>1998</v>
      </c>
      <c r="H298" s="11">
        <f>VALUE(RIGHT(LEFT(punkt_szczepień__13[[#This Row],[PESEL]],6),2))</f>
        <v>21</v>
      </c>
      <c r="I298" s="3">
        <f>DATE(punkt_szczepień__13[[#This Row],[rok]],punkt_szczepień__13[[#This Row],[miesiac]],punkt_szczepień__13[[#This Row],[dzień]])</f>
        <v>35847</v>
      </c>
      <c r="J298" s="1" t="str">
        <f>punkt_szczepień__13[[#This Row],[PESEL]]</f>
        <v>98022138285</v>
      </c>
      <c r="K298" s="1">
        <f>VALUE(MID(punkt_szczepień__13[[#This Row],[PESEL]],10,1))</f>
        <v>8</v>
      </c>
      <c r="L298" s="11" t="str">
        <f>IF(MOD(punkt_szczepień__13[[#This Row],[liczba płeć]],2)=0,"K","M")</f>
        <v>K</v>
      </c>
      <c r="M298" s="1"/>
      <c r="N298" s="1"/>
    </row>
    <row r="299" spans="1:14" x14ac:dyDescent="0.25">
      <c r="A299" s="1" t="s">
        <v>305</v>
      </c>
      <c r="B299" s="1" t="s">
        <v>7</v>
      </c>
      <c r="C299" s="2">
        <v>0.44762731481481483</v>
      </c>
      <c r="D299">
        <v>1</v>
      </c>
      <c r="E299">
        <f>VALUE(RIGHT(LEFT(punkt_szczepień__13[[#This Row],[PESEL]],4),2))</f>
        <v>7</v>
      </c>
      <c r="F299" s="11">
        <f>MOD(punkt_szczepień__13[[#This Row],[liczba miesiac]],20)</f>
        <v>7</v>
      </c>
      <c r="G299" s="11">
        <f>VLOOKUP(punkt_szczepień__13[[#This Row],[liczba miesiac]]-punkt_szczepień__13[[#This Row],[miesiac]],$O$3:$P$7,2,0)+VALUE(LEFT(punkt_szczepień__13[[#This Row],[PESEL]],2))</f>
        <v>1933</v>
      </c>
      <c r="H299" s="11">
        <f>VALUE(RIGHT(LEFT(punkt_szczepień__13[[#This Row],[PESEL]],6),2))</f>
        <v>17</v>
      </c>
      <c r="I299" s="3">
        <f>DATE(punkt_szczepień__13[[#This Row],[rok]],punkt_szczepień__13[[#This Row],[miesiac]],punkt_szczepień__13[[#This Row],[dzień]])</f>
        <v>12252</v>
      </c>
      <c r="J299" s="1" t="str">
        <f>punkt_szczepień__13[[#This Row],[PESEL]]</f>
        <v>33071781183</v>
      </c>
      <c r="K299" s="1">
        <f>VALUE(MID(punkt_szczepień__13[[#This Row],[PESEL]],10,1))</f>
        <v>8</v>
      </c>
      <c r="L299" s="11" t="str">
        <f>IF(MOD(punkt_szczepień__13[[#This Row],[liczba płeć]],2)=0,"K","M")</f>
        <v>K</v>
      </c>
      <c r="M299" s="1"/>
      <c r="N299" s="1"/>
    </row>
    <row r="300" spans="1:14" x14ac:dyDescent="0.25">
      <c r="A300" s="1" t="s">
        <v>306</v>
      </c>
      <c r="B300" s="1" t="s">
        <v>7</v>
      </c>
      <c r="C300" s="2">
        <v>0.44791666666666669</v>
      </c>
      <c r="D300">
        <v>1</v>
      </c>
      <c r="E300">
        <f>VALUE(RIGHT(LEFT(punkt_szczepień__13[[#This Row],[PESEL]],4),2))</f>
        <v>11</v>
      </c>
      <c r="F300" s="11">
        <f>MOD(punkt_szczepień__13[[#This Row],[liczba miesiac]],20)</f>
        <v>11</v>
      </c>
      <c r="G300" s="11">
        <f>VLOOKUP(punkt_szczepień__13[[#This Row],[liczba miesiac]]-punkt_szczepień__13[[#This Row],[miesiac]],$O$3:$P$7,2,0)+VALUE(LEFT(punkt_szczepień__13[[#This Row],[PESEL]],2))</f>
        <v>1973</v>
      </c>
      <c r="H300" s="11">
        <f>VALUE(RIGHT(LEFT(punkt_szczepień__13[[#This Row],[PESEL]],6),2))</f>
        <v>23</v>
      </c>
      <c r="I300" s="3">
        <f>DATE(punkt_szczepień__13[[#This Row],[rok]],punkt_szczepień__13[[#This Row],[miesiac]],punkt_szczepień__13[[#This Row],[dzień]])</f>
        <v>26991</v>
      </c>
      <c r="J300" s="1" t="str">
        <f>punkt_szczepień__13[[#This Row],[PESEL]]</f>
        <v>73112338424</v>
      </c>
      <c r="K300" s="1">
        <f>VALUE(MID(punkt_szczepień__13[[#This Row],[PESEL]],10,1))</f>
        <v>2</v>
      </c>
      <c r="L300" s="11" t="str">
        <f>IF(MOD(punkt_szczepień__13[[#This Row],[liczba płeć]],2)=0,"K","M")</f>
        <v>K</v>
      </c>
      <c r="M300" s="1"/>
      <c r="N300" s="1"/>
    </row>
    <row r="301" spans="1:14" x14ac:dyDescent="0.25">
      <c r="A301" s="1" t="s">
        <v>307</v>
      </c>
      <c r="B301" s="1" t="s">
        <v>27</v>
      </c>
      <c r="C301" s="2">
        <v>0.44820601851851855</v>
      </c>
      <c r="D301">
        <v>1</v>
      </c>
      <c r="E301">
        <f>VALUE(RIGHT(LEFT(punkt_szczepień__13[[#This Row],[PESEL]],4),2))</f>
        <v>4</v>
      </c>
      <c r="F301" s="11">
        <f>MOD(punkt_szczepień__13[[#This Row],[liczba miesiac]],20)</f>
        <v>4</v>
      </c>
      <c r="G301" s="11">
        <f>VLOOKUP(punkt_szczepień__13[[#This Row],[liczba miesiac]]-punkt_szczepień__13[[#This Row],[miesiac]],$O$3:$P$7,2,0)+VALUE(LEFT(punkt_szczepień__13[[#This Row],[PESEL]],2))</f>
        <v>1973</v>
      </c>
      <c r="H301" s="11">
        <f>VALUE(RIGHT(LEFT(punkt_szczepień__13[[#This Row],[PESEL]],6),2))</f>
        <v>30</v>
      </c>
      <c r="I301" s="3">
        <f>DATE(punkt_szczepień__13[[#This Row],[rok]],punkt_szczepień__13[[#This Row],[miesiac]],punkt_szczepień__13[[#This Row],[dzień]])</f>
        <v>26784</v>
      </c>
      <c r="J301" s="1" t="str">
        <f>punkt_szczepień__13[[#This Row],[PESEL]]</f>
        <v>73043098635</v>
      </c>
      <c r="K301" s="1">
        <f>VALUE(MID(punkt_szczepień__13[[#This Row],[PESEL]],10,1))</f>
        <v>3</v>
      </c>
      <c r="L301" s="11" t="str">
        <f>IF(MOD(punkt_szczepień__13[[#This Row],[liczba płeć]],2)=0,"K","M")</f>
        <v>M</v>
      </c>
      <c r="M301" s="1"/>
      <c r="N301" s="1"/>
    </row>
    <row r="302" spans="1:14" x14ac:dyDescent="0.25">
      <c r="A302" s="1" t="s">
        <v>308</v>
      </c>
      <c r="B302" s="1" t="s">
        <v>7</v>
      </c>
      <c r="C302" s="2">
        <v>0.44849537037037035</v>
      </c>
      <c r="D302">
        <v>1</v>
      </c>
      <c r="E302">
        <f>VALUE(RIGHT(LEFT(punkt_szczepień__13[[#This Row],[PESEL]],4),2))</f>
        <v>12</v>
      </c>
      <c r="F302" s="11">
        <f>MOD(punkt_szczepień__13[[#This Row],[liczba miesiac]],20)</f>
        <v>12</v>
      </c>
      <c r="G302" s="11">
        <f>VLOOKUP(punkt_szczepień__13[[#This Row],[liczba miesiac]]-punkt_szczepień__13[[#This Row],[miesiac]],$O$3:$P$7,2,0)+VALUE(LEFT(punkt_szczepień__13[[#This Row],[PESEL]],2))</f>
        <v>1963</v>
      </c>
      <c r="H302" s="11">
        <f>VALUE(RIGHT(LEFT(punkt_szczepień__13[[#This Row],[PESEL]],6),2))</f>
        <v>1</v>
      </c>
      <c r="I302" s="3">
        <f>DATE(punkt_szczepień__13[[#This Row],[rok]],punkt_szczepień__13[[#This Row],[miesiac]],punkt_szczepień__13[[#This Row],[dzień]])</f>
        <v>23346</v>
      </c>
      <c r="J302" s="1" t="str">
        <f>punkt_szczepień__13[[#This Row],[PESEL]]</f>
        <v>63120197421</v>
      </c>
      <c r="K302" s="1">
        <f>VALUE(MID(punkt_szczepień__13[[#This Row],[PESEL]],10,1))</f>
        <v>2</v>
      </c>
      <c r="L302" s="11" t="str">
        <f>IF(MOD(punkt_szczepień__13[[#This Row],[liczba płeć]],2)=0,"K","M")</f>
        <v>K</v>
      </c>
      <c r="M302" s="1"/>
      <c r="N302" s="1"/>
    </row>
    <row r="303" spans="1:14" x14ac:dyDescent="0.25">
      <c r="A303" s="1" t="s">
        <v>309</v>
      </c>
      <c r="B303" s="1" t="s">
        <v>27</v>
      </c>
      <c r="C303" s="2">
        <v>0.44907407407407407</v>
      </c>
      <c r="D303">
        <v>2</v>
      </c>
      <c r="E303">
        <f>VALUE(RIGHT(LEFT(punkt_szczepień__13[[#This Row],[PESEL]],4),2))</f>
        <v>10</v>
      </c>
      <c r="F303" s="11">
        <f>MOD(punkt_szczepień__13[[#This Row],[liczba miesiac]],20)</f>
        <v>10</v>
      </c>
      <c r="G303" s="11">
        <f>VLOOKUP(punkt_szczepień__13[[#This Row],[liczba miesiac]]-punkt_szczepień__13[[#This Row],[miesiac]],$O$3:$P$7,2,0)+VALUE(LEFT(punkt_szczepień__13[[#This Row],[PESEL]],2))</f>
        <v>1925</v>
      </c>
      <c r="H303" s="11">
        <f>VALUE(RIGHT(LEFT(punkt_szczepień__13[[#This Row],[PESEL]],6),2))</f>
        <v>22</v>
      </c>
      <c r="I303" s="3">
        <f>DATE(punkt_szczepień__13[[#This Row],[rok]],punkt_szczepień__13[[#This Row],[miesiac]],punkt_szczepień__13[[#This Row],[dzień]])</f>
        <v>9427</v>
      </c>
      <c r="J303" s="1" t="str">
        <f>punkt_szczepień__13[[#This Row],[PESEL]]</f>
        <v>25102265353</v>
      </c>
      <c r="K303" s="1">
        <f>VALUE(MID(punkt_szczepień__13[[#This Row],[PESEL]],10,1))</f>
        <v>5</v>
      </c>
      <c r="L303" s="11" t="str">
        <f>IF(MOD(punkt_szczepień__13[[#This Row],[liczba płeć]],2)=0,"K","M")</f>
        <v>M</v>
      </c>
      <c r="M303" s="1"/>
      <c r="N303" s="1"/>
    </row>
    <row r="304" spans="1:14" x14ac:dyDescent="0.25">
      <c r="A304" s="1" t="s">
        <v>310</v>
      </c>
      <c r="B304" s="1" t="s">
        <v>7</v>
      </c>
      <c r="C304" s="2">
        <v>0.44936342592592593</v>
      </c>
      <c r="D304">
        <v>1</v>
      </c>
      <c r="E304">
        <f>VALUE(RIGHT(LEFT(punkt_szczepień__13[[#This Row],[PESEL]],4),2))</f>
        <v>29</v>
      </c>
      <c r="F304" s="11">
        <f>MOD(punkt_szczepień__13[[#This Row],[liczba miesiac]],20)</f>
        <v>9</v>
      </c>
      <c r="G304" s="11">
        <f>VLOOKUP(punkt_szczepień__13[[#This Row],[liczba miesiac]]-punkt_szczepień__13[[#This Row],[miesiac]],$O$3:$P$7,2,0)+VALUE(LEFT(punkt_szczepień__13[[#This Row],[PESEL]],2))</f>
        <v>2003</v>
      </c>
      <c r="H304" s="11">
        <f>VALUE(RIGHT(LEFT(punkt_szczepień__13[[#This Row],[PESEL]],6),2))</f>
        <v>14</v>
      </c>
      <c r="I304" s="3">
        <f>DATE(punkt_szczepień__13[[#This Row],[rok]],punkt_szczepień__13[[#This Row],[miesiac]],punkt_szczepień__13[[#This Row],[dzień]])</f>
        <v>37878</v>
      </c>
      <c r="J304" s="1" t="str">
        <f>punkt_szczepień__13[[#This Row],[PESEL]]</f>
        <v>03291445574</v>
      </c>
      <c r="K304" s="1">
        <f>VALUE(MID(punkt_szczepień__13[[#This Row],[PESEL]],10,1))</f>
        <v>7</v>
      </c>
      <c r="L304" s="11" t="str">
        <f>IF(MOD(punkt_szczepień__13[[#This Row],[liczba płeć]],2)=0,"K","M")</f>
        <v>M</v>
      </c>
      <c r="M304" s="1"/>
      <c r="N304" s="1"/>
    </row>
    <row r="305" spans="1:14" x14ac:dyDescent="0.25">
      <c r="A305" s="1" t="s">
        <v>311</v>
      </c>
      <c r="B305" s="1" t="s">
        <v>9</v>
      </c>
      <c r="C305" s="2">
        <v>0.44965277777777779</v>
      </c>
      <c r="D305">
        <v>1</v>
      </c>
      <c r="E305">
        <f>VALUE(RIGHT(LEFT(punkt_szczepień__13[[#This Row],[PESEL]],4),2))</f>
        <v>22</v>
      </c>
      <c r="F305" s="11">
        <f>MOD(punkt_szczepień__13[[#This Row],[liczba miesiac]],20)</f>
        <v>2</v>
      </c>
      <c r="G305" s="11">
        <f>VLOOKUP(punkt_szczepień__13[[#This Row],[liczba miesiac]]-punkt_szczepień__13[[#This Row],[miesiac]],$O$3:$P$7,2,0)+VALUE(LEFT(punkt_szczepień__13[[#This Row],[PESEL]],2))</f>
        <v>2001</v>
      </c>
      <c r="H305" s="11">
        <f>VALUE(RIGHT(LEFT(punkt_szczepień__13[[#This Row],[PESEL]],6),2))</f>
        <v>6</v>
      </c>
      <c r="I305" s="3">
        <f>DATE(punkt_szczepień__13[[#This Row],[rok]],punkt_szczepień__13[[#This Row],[miesiac]],punkt_szczepień__13[[#This Row],[dzień]])</f>
        <v>36928</v>
      </c>
      <c r="J305" s="1" t="str">
        <f>punkt_szczepień__13[[#This Row],[PESEL]]</f>
        <v>01220679359</v>
      </c>
      <c r="K305" s="1">
        <f>VALUE(MID(punkt_szczepień__13[[#This Row],[PESEL]],10,1))</f>
        <v>5</v>
      </c>
      <c r="L305" s="11" t="str">
        <f>IF(MOD(punkt_szczepień__13[[#This Row],[liczba płeć]],2)=0,"K","M")</f>
        <v>M</v>
      </c>
      <c r="M305" s="1"/>
      <c r="N305" s="1"/>
    </row>
    <row r="306" spans="1:14" x14ac:dyDescent="0.25">
      <c r="A306" s="1" t="s">
        <v>312</v>
      </c>
      <c r="B306" s="1" t="s">
        <v>7</v>
      </c>
      <c r="C306" s="2">
        <v>0.44994212962962965</v>
      </c>
      <c r="D306">
        <v>1</v>
      </c>
      <c r="E306">
        <f>VALUE(RIGHT(LEFT(punkt_szczepień__13[[#This Row],[PESEL]],4),2))</f>
        <v>5</v>
      </c>
      <c r="F306" s="11">
        <f>MOD(punkt_szczepień__13[[#This Row],[liczba miesiac]],20)</f>
        <v>5</v>
      </c>
      <c r="G306" s="11">
        <f>VLOOKUP(punkt_szczepień__13[[#This Row],[liczba miesiac]]-punkt_szczepień__13[[#This Row],[miesiac]],$O$3:$P$7,2,0)+VALUE(LEFT(punkt_szczepień__13[[#This Row],[PESEL]],2))</f>
        <v>1940</v>
      </c>
      <c r="H306" s="11">
        <f>VALUE(RIGHT(LEFT(punkt_szczepień__13[[#This Row],[PESEL]],6),2))</f>
        <v>4</v>
      </c>
      <c r="I306" s="3">
        <f>DATE(punkt_szczepień__13[[#This Row],[rok]],punkt_szczepień__13[[#This Row],[miesiac]],punkt_szczepień__13[[#This Row],[dzień]])</f>
        <v>14735</v>
      </c>
      <c r="J306" s="1" t="str">
        <f>punkt_szczepień__13[[#This Row],[PESEL]]</f>
        <v>40050435676</v>
      </c>
      <c r="K306" s="1">
        <f>VALUE(MID(punkt_szczepień__13[[#This Row],[PESEL]],10,1))</f>
        <v>7</v>
      </c>
      <c r="L306" s="11" t="str">
        <f>IF(MOD(punkt_szczepień__13[[#This Row],[liczba płeć]],2)=0,"K","M")</f>
        <v>M</v>
      </c>
      <c r="M306" s="1"/>
      <c r="N306" s="1"/>
    </row>
    <row r="307" spans="1:14" x14ac:dyDescent="0.25">
      <c r="A307" s="1" t="s">
        <v>313</v>
      </c>
      <c r="B307" s="1" t="s">
        <v>7</v>
      </c>
      <c r="C307" s="2">
        <v>0.45023148148148145</v>
      </c>
      <c r="D307">
        <v>1</v>
      </c>
      <c r="E307">
        <f>VALUE(RIGHT(LEFT(punkt_szczepień__13[[#This Row],[PESEL]],4),2))</f>
        <v>9</v>
      </c>
      <c r="F307" s="11">
        <f>MOD(punkt_szczepień__13[[#This Row],[liczba miesiac]],20)</f>
        <v>9</v>
      </c>
      <c r="G307" s="11">
        <f>VLOOKUP(punkt_szczepień__13[[#This Row],[liczba miesiac]]-punkt_szczepień__13[[#This Row],[miesiac]],$O$3:$P$7,2,0)+VALUE(LEFT(punkt_szczepień__13[[#This Row],[PESEL]],2))</f>
        <v>1926</v>
      </c>
      <c r="H307" s="11">
        <f>VALUE(RIGHT(LEFT(punkt_szczepień__13[[#This Row],[PESEL]],6),2))</f>
        <v>4</v>
      </c>
      <c r="I307" s="3">
        <f>DATE(punkt_szczepień__13[[#This Row],[rok]],punkt_szczepień__13[[#This Row],[miesiac]],punkt_szczepień__13[[#This Row],[dzień]])</f>
        <v>9744</v>
      </c>
      <c r="J307" s="1" t="str">
        <f>punkt_szczepień__13[[#This Row],[PESEL]]</f>
        <v>26090492884</v>
      </c>
      <c r="K307" s="1">
        <f>VALUE(MID(punkt_szczepień__13[[#This Row],[PESEL]],10,1))</f>
        <v>8</v>
      </c>
      <c r="L307" s="11" t="str">
        <f>IF(MOD(punkt_szczepień__13[[#This Row],[liczba płeć]],2)=0,"K","M")</f>
        <v>K</v>
      </c>
      <c r="M307" s="1"/>
      <c r="N307" s="1"/>
    </row>
    <row r="308" spans="1:14" x14ac:dyDescent="0.25">
      <c r="A308" s="1" t="s">
        <v>314</v>
      </c>
      <c r="B308" s="1" t="s">
        <v>9</v>
      </c>
      <c r="C308" s="2">
        <v>0.45052083333333331</v>
      </c>
      <c r="D308">
        <v>1</v>
      </c>
      <c r="E308">
        <f>VALUE(RIGHT(LEFT(punkt_szczepień__13[[#This Row],[PESEL]],4),2))</f>
        <v>1</v>
      </c>
      <c r="F308" s="11">
        <f>MOD(punkt_szczepień__13[[#This Row],[liczba miesiac]],20)</f>
        <v>1</v>
      </c>
      <c r="G308" s="11">
        <f>VLOOKUP(punkt_szczepień__13[[#This Row],[liczba miesiac]]-punkt_szczepień__13[[#This Row],[miesiac]],$O$3:$P$7,2,0)+VALUE(LEFT(punkt_szczepień__13[[#This Row],[PESEL]],2))</f>
        <v>1995</v>
      </c>
      <c r="H308" s="11">
        <f>VALUE(RIGHT(LEFT(punkt_szczepień__13[[#This Row],[PESEL]],6),2))</f>
        <v>23</v>
      </c>
      <c r="I308" s="3">
        <f>DATE(punkt_szczepień__13[[#This Row],[rok]],punkt_szczepień__13[[#This Row],[miesiac]],punkt_szczepień__13[[#This Row],[dzień]])</f>
        <v>34722</v>
      </c>
      <c r="J308" s="1" t="str">
        <f>punkt_szczepień__13[[#This Row],[PESEL]]</f>
        <v>95012392586</v>
      </c>
      <c r="K308" s="1">
        <f>VALUE(MID(punkt_szczepień__13[[#This Row],[PESEL]],10,1))</f>
        <v>8</v>
      </c>
      <c r="L308" s="11" t="str">
        <f>IF(MOD(punkt_szczepień__13[[#This Row],[liczba płeć]],2)=0,"K","M")</f>
        <v>K</v>
      </c>
      <c r="M308" s="1"/>
      <c r="N308" s="1"/>
    </row>
    <row r="309" spans="1:14" x14ac:dyDescent="0.25">
      <c r="A309" s="1" t="s">
        <v>315</v>
      </c>
      <c r="B309" s="1" t="s">
        <v>7</v>
      </c>
      <c r="C309" s="2">
        <v>0.45081018518518517</v>
      </c>
      <c r="D309">
        <v>1</v>
      </c>
      <c r="E309">
        <f>VALUE(RIGHT(LEFT(punkt_szczepień__13[[#This Row],[PESEL]],4),2))</f>
        <v>4</v>
      </c>
      <c r="F309" s="11">
        <f>MOD(punkt_szczepień__13[[#This Row],[liczba miesiac]],20)</f>
        <v>4</v>
      </c>
      <c r="G309" s="11">
        <f>VLOOKUP(punkt_szczepień__13[[#This Row],[liczba miesiac]]-punkt_szczepień__13[[#This Row],[miesiac]],$O$3:$P$7,2,0)+VALUE(LEFT(punkt_szczepień__13[[#This Row],[PESEL]],2))</f>
        <v>1973</v>
      </c>
      <c r="H309" s="11">
        <f>VALUE(RIGHT(LEFT(punkt_szczepień__13[[#This Row],[PESEL]],6),2))</f>
        <v>7</v>
      </c>
      <c r="I309" s="3">
        <f>DATE(punkt_szczepień__13[[#This Row],[rok]],punkt_szczepień__13[[#This Row],[miesiac]],punkt_szczepień__13[[#This Row],[dzień]])</f>
        <v>26761</v>
      </c>
      <c r="J309" s="1" t="str">
        <f>punkt_szczepień__13[[#This Row],[PESEL]]</f>
        <v>73040792617</v>
      </c>
      <c r="K309" s="1">
        <f>VALUE(MID(punkt_szczepień__13[[#This Row],[PESEL]],10,1))</f>
        <v>1</v>
      </c>
      <c r="L309" s="11" t="str">
        <f>IF(MOD(punkt_szczepień__13[[#This Row],[liczba płeć]],2)=0,"K","M")</f>
        <v>M</v>
      </c>
      <c r="M309" s="1"/>
      <c r="N309" s="1"/>
    </row>
    <row r="310" spans="1:14" x14ac:dyDescent="0.25">
      <c r="A310" s="1" t="s">
        <v>316</v>
      </c>
      <c r="B310" s="1" t="s">
        <v>5</v>
      </c>
      <c r="C310" s="2">
        <v>0.4513888888888889</v>
      </c>
      <c r="D310">
        <v>2</v>
      </c>
      <c r="E310">
        <f>VALUE(RIGHT(LEFT(punkt_szczepień__13[[#This Row],[PESEL]],4),2))</f>
        <v>26</v>
      </c>
      <c r="F310" s="11">
        <f>MOD(punkt_szczepień__13[[#This Row],[liczba miesiac]],20)</f>
        <v>6</v>
      </c>
      <c r="G310" s="11">
        <f>VLOOKUP(punkt_szczepień__13[[#This Row],[liczba miesiac]]-punkt_szczepień__13[[#This Row],[miesiac]],$O$3:$P$7,2,0)+VALUE(LEFT(punkt_szczepień__13[[#This Row],[PESEL]],2))</f>
        <v>2002</v>
      </c>
      <c r="H310" s="11">
        <f>VALUE(RIGHT(LEFT(punkt_szczepień__13[[#This Row],[PESEL]],6),2))</f>
        <v>5</v>
      </c>
      <c r="I310" s="3">
        <f>DATE(punkt_szczepień__13[[#This Row],[rok]],punkt_szczepień__13[[#This Row],[miesiac]],punkt_szczepień__13[[#This Row],[dzień]])</f>
        <v>37412</v>
      </c>
      <c r="J310" s="1" t="str">
        <f>punkt_szczepień__13[[#This Row],[PESEL]]</f>
        <v>02260568212</v>
      </c>
      <c r="K310" s="1">
        <f>VALUE(MID(punkt_szczepień__13[[#This Row],[PESEL]],10,1))</f>
        <v>1</v>
      </c>
      <c r="L310" s="11" t="str">
        <f>IF(MOD(punkt_szczepień__13[[#This Row],[liczba płeć]],2)=0,"K","M")</f>
        <v>M</v>
      </c>
      <c r="M310" s="1"/>
      <c r="N310" s="1"/>
    </row>
    <row r="311" spans="1:14" x14ac:dyDescent="0.25">
      <c r="A311" s="1" t="s">
        <v>317</v>
      </c>
      <c r="B311" s="1" t="s">
        <v>7</v>
      </c>
      <c r="C311" s="2">
        <v>0.45167824074074076</v>
      </c>
      <c r="D311">
        <v>1</v>
      </c>
      <c r="E311">
        <f>VALUE(RIGHT(LEFT(punkt_szczepień__13[[#This Row],[PESEL]],4),2))</f>
        <v>9</v>
      </c>
      <c r="F311" s="11">
        <f>MOD(punkt_szczepień__13[[#This Row],[liczba miesiac]],20)</f>
        <v>9</v>
      </c>
      <c r="G311" s="11">
        <f>VLOOKUP(punkt_szczepień__13[[#This Row],[liczba miesiac]]-punkt_szczepień__13[[#This Row],[miesiac]],$O$3:$P$7,2,0)+VALUE(LEFT(punkt_szczepień__13[[#This Row],[PESEL]],2))</f>
        <v>1939</v>
      </c>
      <c r="H311" s="11">
        <f>VALUE(RIGHT(LEFT(punkt_szczepień__13[[#This Row],[PESEL]],6),2))</f>
        <v>3</v>
      </c>
      <c r="I311" s="3">
        <f>DATE(punkt_szczepień__13[[#This Row],[rok]],punkt_szczepień__13[[#This Row],[miesiac]],punkt_szczepień__13[[#This Row],[dzień]])</f>
        <v>14491</v>
      </c>
      <c r="J311" s="1" t="str">
        <f>punkt_szczepień__13[[#This Row],[PESEL]]</f>
        <v>39090352748</v>
      </c>
      <c r="K311" s="1">
        <f>VALUE(MID(punkt_szczepień__13[[#This Row],[PESEL]],10,1))</f>
        <v>4</v>
      </c>
      <c r="L311" s="11" t="str">
        <f>IF(MOD(punkt_szczepień__13[[#This Row],[liczba płeć]],2)=0,"K","M")</f>
        <v>K</v>
      </c>
      <c r="M311" s="1"/>
      <c r="N311" s="1"/>
    </row>
    <row r="312" spans="1:14" x14ac:dyDescent="0.25">
      <c r="A312" s="1" t="s">
        <v>318</v>
      </c>
      <c r="B312" s="1" t="s">
        <v>7</v>
      </c>
      <c r="C312" s="2">
        <v>0.45196759259259262</v>
      </c>
      <c r="D312">
        <v>1</v>
      </c>
      <c r="E312">
        <f>VALUE(RIGHT(LEFT(punkt_szczepień__13[[#This Row],[PESEL]],4),2))</f>
        <v>1</v>
      </c>
      <c r="F312" s="11">
        <f>MOD(punkt_szczepień__13[[#This Row],[liczba miesiac]],20)</f>
        <v>1</v>
      </c>
      <c r="G312" s="11">
        <f>VLOOKUP(punkt_szczepień__13[[#This Row],[liczba miesiac]]-punkt_szczepień__13[[#This Row],[miesiac]],$O$3:$P$7,2,0)+VALUE(LEFT(punkt_szczepień__13[[#This Row],[PESEL]],2))</f>
        <v>1971</v>
      </c>
      <c r="H312" s="11">
        <f>VALUE(RIGHT(LEFT(punkt_szczepień__13[[#This Row],[PESEL]],6),2))</f>
        <v>12</v>
      </c>
      <c r="I312" s="3">
        <f>DATE(punkt_szczepień__13[[#This Row],[rok]],punkt_szczepień__13[[#This Row],[miesiac]],punkt_szczepień__13[[#This Row],[dzień]])</f>
        <v>25945</v>
      </c>
      <c r="J312" s="1" t="str">
        <f>punkt_szczepień__13[[#This Row],[PESEL]]</f>
        <v>71011284668</v>
      </c>
      <c r="K312" s="1">
        <f>VALUE(MID(punkt_szczepień__13[[#This Row],[PESEL]],10,1))</f>
        <v>6</v>
      </c>
      <c r="L312" s="11" t="str">
        <f>IF(MOD(punkt_szczepień__13[[#This Row],[liczba płeć]],2)=0,"K","M")</f>
        <v>K</v>
      </c>
      <c r="M312" s="1"/>
      <c r="N312" s="1"/>
    </row>
    <row r="313" spans="1:14" x14ac:dyDescent="0.25">
      <c r="A313" s="1" t="s">
        <v>319</v>
      </c>
      <c r="B313" s="1" t="s">
        <v>5</v>
      </c>
      <c r="C313" s="2">
        <v>0.45254629629629628</v>
      </c>
      <c r="D313">
        <v>2</v>
      </c>
      <c r="E313">
        <f>VALUE(RIGHT(LEFT(punkt_szczepień__13[[#This Row],[PESEL]],4),2))</f>
        <v>25</v>
      </c>
      <c r="F313" s="11">
        <f>MOD(punkt_szczepień__13[[#This Row],[liczba miesiac]],20)</f>
        <v>5</v>
      </c>
      <c r="G313" s="11">
        <f>VLOOKUP(punkt_szczepień__13[[#This Row],[liczba miesiac]]-punkt_szczepień__13[[#This Row],[miesiac]],$O$3:$P$7,2,0)+VALUE(LEFT(punkt_szczepień__13[[#This Row],[PESEL]],2))</f>
        <v>2000</v>
      </c>
      <c r="H313" s="11">
        <f>VALUE(RIGHT(LEFT(punkt_szczepień__13[[#This Row],[PESEL]],6),2))</f>
        <v>13</v>
      </c>
      <c r="I313" s="3">
        <f>DATE(punkt_szczepień__13[[#This Row],[rok]],punkt_szczepień__13[[#This Row],[miesiac]],punkt_szczepień__13[[#This Row],[dzień]])</f>
        <v>36659</v>
      </c>
      <c r="J313" s="1" t="str">
        <f>punkt_szczepień__13[[#This Row],[PESEL]]</f>
        <v>00251358325</v>
      </c>
      <c r="K313" s="1">
        <f>VALUE(MID(punkt_szczepień__13[[#This Row],[PESEL]],10,1))</f>
        <v>2</v>
      </c>
      <c r="L313" s="11" t="str">
        <f>IF(MOD(punkt_szczepień__13[[#This Row],[liczba płeć]],2)=0,"K","M")</f>
        <v>K</v>
      </c>
      <c r="M313" s="1"/>
      <c r="N313" s="1"/>
    </row>
    <row r="314" spans="1:14" x14ac:dyDescent="0.25">
      <c r="A314" s="1" t="s">
        <v>320</v>
      </c>
      <c r="B314" s="1" t="s">
        <v>27</v>
      </c>
      <c r="C314" s="2">
        <v>0.45283564814814814</v>
      </c>
      <c r="D314">
        <v>1</v>
      </c>
      <c r="E314">
        <f>VALUE(RIGHT(LEFT(punkt_szczepień__13[[#This Row],[PESEL]],4),2))</f>
        <v>1</v>
      </c>
      <c r="F314" s="11">
        <f>MOD(punkt_szczepień__13[[#This Row],[liczba miesiac]],20)</f>
        <v>1</v>
      </c>
      <c r="G314" s="11">
        <f>VLOOKUP(punkt_szczepień__13[[#This Row],[liczba miesiac]]-punkt_szczepień__13[[#This Row],[miesiac]],$O$3:$P$7,2,0)+VALUE(LEFT(punkt_szczepień__13[[#This Row],[PESEL]],2))</f>
        <v>1921</v>
      </c>
      <c r="H314" s="11">
        <f>VALUE(RIGHT(LEFT(punkt_szczepień__13[[#This Row],[PESEL]],6),2))</f>
        <v>26</v>
      </c>
      <c r="I314" s="3">
        <f>DATE(punkt_szczepień__13[[#This Row],[rok]],punkt_szczepień__13[[#This Row],[miesiac]],punkt_szczepień__13[[#This Row],[dzień]])</f>
        <v>7697</v>
      </c>
      <c r="J314" s="1" t="str">
        <f>punkt_szczepień__13[[#This Row],[PESEL]]</f>
        <v>21012655389</v>
      </c>
      <c r="K314" s="1">
        <f>VALUE(MID(punkt_szczepień__13[[#This Row],[PESEL]],10,1))</f>
        <v>8</v>
      </c>
      <c r="L314" s="11" t="str">
        <f>IF(MOD(punkt_szczepień__13[[#This Row],[liczba płeć]],2)=0,"K","M")</f>
        <v>K</v>
      </c>
      <c r="M314" s="1"/>
      <c r="N314" s="1"/>
    </row>
    <row r="315" spans="1:14" x14ac:dyDescent="0.25">
      <c r="A315" s="1" t="s">
        <v>321</v>
      </c>
      <c r="B315" s="1" t="s">
        <v>7</v>
      </c>
      <c r="C315" s="2">
        <v>0.453125</v>
      </c>
      <c r="D315">
        <v>1</v>
      </c>
      <c r="E315">
        <f>VALUE(RIGHT(LEFT(punkt_szczepień__13[[#This Row],[PESEL]],4),2))</f>
        <v>5</v>
      </c>
      <c r="F315" s="11">
        <f>MOD(punkt_szczepień__13[[#This Row],[liczba miesiac]],20)</f>
        <v>5</v>
      </c>
      <c r="G315" s="11">
        <f>VLOOKUP(punkt_szczepień__13[[#This Row],[liczba miesiac]]-punkt_szczepień__13[[#This Row],[miesiac]],$O$3:$P$7,2,0)+VALUE(LEFT(punkt_szczepień__13[[#This Row],[PESEL]],2))</f>
        <v>1956</v>
      </c>
      <c r="H315" s="11">
        <f>VALUE(RIGHT(LEFT(punkt_szczepień__13[[#This Row],[PESEL]],6),2))</f>
        <v>8</v>
      </c>
      <c r="I315" s="3">
        <f>DATE(punkt_szczepień__13[[#This Row],[rok]],punkt_szczepień__13[[#This Row],[miesiac]],punkt_szczepień__13[[#This Row],[dzień]])</f>
        <v>20583</v>
      </c>
      <c r="J315" s="1" t="str">
        <f>punkt_szczepień__13[[#This Row],[PESEL]]</f>
        <v>56050856955</v>
      </c>
      <c r="K315" s="1">
        <f>VALUE(MID(punkt_szczepień__13[[#This Row],[PESEL]],10,1))</f>
        <v>5</v>
      </c>
      <c r="L315" s="11" t="str">
        <f>IF(MOD(punkt_szczepień__13[[#This Row],[liczba płeć]],2)=0,"K","M")</f>
        <v>M</v>
      </c>
      <c r="M315" s="1"/>
      <c r="N315" s="1"/>
    </row>
    <row r="316" spans="1:14" x14ac:dyDescent="0.25">
      <c r="A316" s="1" t="s">
        <v>322</v>
      </c>
      <c r="B316" s="1" t="s">
        <v>27</v>
      </c>
      <c r="C316" s="2">
        <v>0.45370370370370372</v>
      </c>
      <c r="D316">
        <v>2</v>
      </c>
      <c r="E316">
        <f>VALUE(RIGHT(LEFT(punkt_szczepień__13[[#This Row],[PESEL]],4),2))</f>
        <v>10</v>
      </c>
      <c r="F316" s="11">
        <f>MOD(punkt_szczepień__13[[#This Row],[liczba miesiac]],20)</f>
        <v>10</v>
      </c>
      <c r="G316" s="11">
        <f>VLOOKUP(punkt_szczepień__13[[#This Row],[liczba miesiac]]-punkt_szczepień__13[[#This Row],[miesiac]],$O$3:$P$7,2,0)+VALUE(LEFT(punkt_szczepień__13[[#This Row],[PESEL]],2))</f>
        <v>1954</v>
      </c>
      <c r="H316" s="11">
        <f>VALUE(RIGHT(LEFT(punkt_szczepień__13[[#This Row],[PESEL]],6),2))</f>
        <v>2</v>
      </c>
      <c r="I316" s="3">
        <f>DATE(punkt_szczepień__13[[#This Row],[rok]],punkt_szczepień__13[[#This Row],[miesiac]],punkt_szczepień__13[[#This Row],[dzień]])</f>
        <v>19999</v>
      </c>
      <c r="J316" s="1" t="str">
        <f>punkt_szczepień__13[[#This Row],[PESEL]]</f>
        <v>54100245953</v>
      </c>
      <c r="K316" s="1">
        <f>VALUE(MID(punkt_szczepień__13[[#This Row],[PESEL]],10,1))</f>
        <v>5</v>
      </c>
      <c r="L316" s="11" t="str">
        <f>IF(MOD(punkt_szczepień__13[[#This Row],[liczba płeć]],2)=0,"K","M")</f>
        <v>M</v>
      </c>
      <c r="M316" s="1"/>
      <c r="N316" s="1"/>
    </row>
    <row r="317" spans="1:14" x14ac:dyDescent="0.25">
      <c r="A317" s="1" t="s">
        <v>323</v>
      </c>
      <c r="B317" s="1" t="s">
        <v>27</v>
      </c>
      <c r="C317" s="2">
        <v>0.45428240740740738</v>
      </c>
      <c r="D317">
        <v>2</v>
      </c>
      <c r="E317">
        <f>VALUE(RIGHT(LEFT(punkt_szczepień__13[[#This Row],[PESEL]],4),2))</f>
        <v>11</v>
      </c>
      <c r="F317" s="11">
        <f>MOD(punkt_szczepień__13[[#This Row],[liczba miesiac]],20)</f>
        <v>11</v>
      </c>
      <c r="G317" s="11">
        <f>VLOOKUP(punkt_szczepień__13[[#This Row],[liczba miesiac]]-punkt_szczepień__13[[#This Row],[miesiac]],$O$3:$P$7,2,0)+VALUE(LEFT(punkt_szczepień__13[[#This Row],[PESEL]],2))</f>
        <v>1984</v>
      </c>
      <c r="H317" s="11">
        <f>VALUE(RIGHT(LEFT(punkt_szczepień__13[[#This Row],[PESEL]],6),2))</f>
        <v>20</v>
      </c>
      <c r="I317" s="3">
        <f>DATE(punkt_szczepień__13[[#This Row],[rok]],punkt_szczepień__13[[#This Row],[miesiac]],punkt_szczepień__13[[#This Row],[dzień]])</f>
        <v>31006</v>
      </c>
      <c r="J317" s="1" t="str">
        <f>punkt_szczepień__13[[#This Row],[PESEL]]</f>
        <v>84112018447</v>
      </c>
      <c r="K317" s="1">
        <f>VALUE(MID(punkt_szczepień__13[[#This Row],[PESEL]],10,1))</f>
        <v>4</v>
      </c>
      <c r="L317" s="11" t="str">
        <f>IF(MOD(punkt_szczepień__13[[#This Row],[liczba płeć]],2)=0,"K","M")</f>
        <v>K</v>
      </c>
      <c r="M317" s="1"/>
      <c r="N317" s="1"/>
    </row>
    <row r="318" spans="1:14" x14ac:dyDescent="0.25">
      <c r="A318" s="1" t="s">
        <v>324</v>
      </c>
      <c r="B318" s="1" t="s">
        <v>7</v>
      </c>
      <c r="C318" s="2">
        <v>0.45457175925925924</v>
      </c>
      <c r="D318">
        <v>1</v>
      </c>
      <c r="E318">
        <f>VALUE(RIGHT(LEFT(punkt_szczepień__13[[#This Row],[PESEL]],4),2))</f>
        <v>10</v>
      </c>
      <c r="F318" s="11">
        <f>MOD(punkt_szczepień__13[[#This Row],[liczba miesiac]],20)</f>
        <v>10</v>
      </c>
      <c r="G318" s="11">
        <f>VLOOKUP(punkt_szczepień__13[[#This Row],[liczba miesiac]]-punkt_szczepień__13[[#This Row],[miesiac]],$O$3:$P$7,2,0)+VALUE(LEFT(punkt_szczepień__13[[#This Row],[PESEL]],2))</f>
        <v>1972</v>
      </c>
      <c r="H318" s="11">
        <f>VALUE(RIGHT(LEFT(punkt_szczepień__13[[#This Row],[PESEL]],6),2))</f>
        <v>10</v>
      </c>
      <c r="I318" s="3">
        <f>DATE(punkt_szczepień__13[[#This Row],[rok]],punkt_szczepień__13[[#This Row],[miesiac]],punkt_szczepień__13[[#This Row],[dzień]])</f>
        <v>26582</v>
      </c>
      <c r="J318" s="1" t="str">
        <f>punkt_szczepień__13[[#This Row],[PESEL]]</f>
        <v>72101068197</v>
      </c>
      <c r="K318" s="1">
        <f>VALUE(MID(punkt_szczepień__13[[#This Row],[PESEL]],10,1))</f>
        <v>9</v>
      </c>
      <c r="L318" s="11" t="str">
        <f>IF(MOD(punkt_szczepień__13[[#This Row],[liczba płeć]],2)=0,"K","M")</f>
        <v>M</v>
      </c>
      <c r="M318" s="1"/>
      <c r="N318" s="1"/>
    </row>
    <row r="319" spans="1:14" x14ac:dyDescent="0.25">
      <c r="A319" s="1" t="s">
        <v>325</v>
      </c>
      <c r="B319" s="1" t="s">
        <v>7</v>
      </c>
      <c r="C319" s="2">
        <v>0.4548611111111111</v>
      </c>
      <c r="D319">
        <v>1</v>
      </c>
      <c r="E319">
        <f>VALUE(RIGHT(LEFT(punkt_szczepień__13[[#This Row],[PESEL]],4),2))</f>
        <v>31</v>
      </c>
      <c r="F319" s="11">
        <f>MOD(punkt_szczepień__13[[#This Row],[liczba miesiac]],20)</f>
        <v>11</v>
      </c>
      <c r="G319" s="11">
        <f>VLOOKUP(punkt_szczepień__13[[#This Row],[liczba miesiac]]-punkt_szczepień__13[[#This Row],[miesiac]],$O$3:$P$7,2,0)+VALUE(LEFT(punkt_szczepień__13[[#This Row],[PESEL]],2))</f>
        <v>2000</v>
      </c>
      <c r="H319" s="11">
        <f>VALUE(RIGHT(LEFT(punkt_szczepień__13[[#This Row],[PESEL]],6),2))</f>
        <v>13</v>
      </c>
      <c r="I319" s="3">
        <f>DATE(punkt_szczepień__13[[#This Row],[rok]],punkt_szczepień__13[[#This Row],[miesiac]],punkt_szczepień__13[[#This Row],[dzień]])</f>
        <v>36843</v>
      </c>
      <c r="J319" s="1" t="str">
        <f>punkt_szczepień__13[[#This Row],[PESEL]]</f>
        <v>00311313587</v>
      </c>
      <c r="K319" s="1">
        <f>VALUE(MID(punkt_szczepień__13[[#This Row],[PESEL]],10,1))</f>
        <v>8</v>
      </c>
      <c r="L319" s="11" t="str">
        <f>IF(MOD(punkt_szczepień__13[[#This Row],[liczba płeć]],2)=0,"K","M")</f>
        <v>K</v>
      </c>
      <c r="M319" s="1"/>
      <c r="N319" s="1"/>
    </row>
    <row r="320" spans="1:14" x14ac:dyDescent="0.25">
      <c r="A320" s="1" t="s">
        <v>326</v>
      </c>
      <c r="B320" s="1" t="s">
        <v>7</v>
      </c>
      <c r="C320" s="2">
        <v>0.45515046296296297</v>
      </c>
      <c r="D320">
        <v>1</v>
      </c>
      <c r="E320">
        <f>VALUE(RIGHT(LEFT(punkt_szczepień__13[[#This Row],[PESEL]],4),2))</f>
        <v>4</v>
      </c>
      <c r="F320" s="11">
        <f>MOD(punkt_szczepień__13[[#This Row],[liczba miesiac]],20)</f>
        <v>4</v>
      </c>
      <c r="G320" s="11">
        <f>VLOOKUP(punkt_szczepień__13[[#This Row],[liczba miesiac]]-punkt_szczepień__13[[#This Row],[miesiac]],$O$3:$P$7,2,0)+VALUE(LEFT(punkt_szczepień__13[[#This Row],[PESEL]],2))</f>
        <v>1955</v>
      </c>
      <c r="H320" s="11">
        <f>VALUE(RIGHT(LEFT(punkt_szczepień__13[[#This Row],[PESEL]],6),2))</f>
        <v>10</v>
      </c>
      <c r="I320" s="3">
        <f>DATE(punkt_szczepień__13[[#This Row],[rok]],punkt_szczepień__13[[#This Row],[miesiac]],punkt_szczepień__13[[#This Row],[dzień]])</f>
        <v>20189</v>
      </c>
      <c r="J320" s="1" t="str">
        <f>punkt_szczepień__13[[#This Row],[PESEL]]</f>
        <v>55041048188</v>
      </c>
      <c r="K320" s="1">
        <f>VALUE(MID(punkt_szczepień__13[[#This Row],[PESEL]],10,1))</f>
        <v>8</v>
      </c>
      <c r="L320" s="11" t="str">
        <f>IF(MOD(punkt_szczepień__13[[#This Row],[liczba płeć]],2)=0,"K","M")</f>
        <v>K</v>
      </c>
      <c r="M320" s="1"/>
      <c r="N320" s="1"/>
    </row>
    <row r="321" spans="1:14" x14ac:dyDescent="0.25">
      <c r="A321" s="1" t="s">
        <v>327</v>
      </c>
      <c r="B321" s="1" t="s">
        <v>9</v>
      </c>
      <c r="C321" s="2">
        <v>0.45572916666666669</v>
      </c>
      <c r="D321">
        <v>2</v>
      </c>
      <c r="E321">
        <f>VALUE(RIGHT(LEFT(punkt_szczepień__13[[#This Row],[PESEL]],4),2))</f>
        <v>10</v>
      </c>
      <c r="F321" s="11">
        <f>MOD(punkt_szczepień__13[[#This Row],[liczba miesiac]],20)</f>
        <v>10</v>
      </c>
      <c r="G321" s="11">
        <f>VLOOKUP(punkt_szczepień__13[[#This Row],[liczba miesiac]]-punkt_szczepień__13[[#This Row],[miesiac]],$O$3:$P$7,2,0)+VALUE(LEFT(punkt_szczepień__13[[#This Row],[PESEL]],2))</f>
        <v>1980</v>
      </c>
      <c r="H321" s="11">
        <f>VALUE(RIGHT(LEFT(punkt_szczepień__13[[#This Row],[PESEL]],6),2))</f>
        <v>13</v>
      </c>
      <c r="I321" s="3">
        <f>DATE(punkt_szczepień__13[[#This Row],[rok]],punkt_szczepień__13[[#This Row],[miesiac]],punkt_szczepień__13[[#This Row],[dzień]])</f>
        <v>29507</v>
      </c>
      <c r="J321" s="1" t="str">
        <f>punkt_szczepień__13[[#This Row],[PESEL]]</f>
        <v>80101362548</v>
      </c>
      <c r="K321" s="1">
        <f>VALUE(MID(punkt_szczepień__13[[#This Row],[PESEL]],10,1))</f>
        <v>4</v>
      </c>
      <c r="L321" s="11" t="str">
        <f>IF(MOD(punkt_szczepień__13[[#This Row],[liczba płeć]],2)=0,"K","M")</f>
        <v>K</v>
      </c>
      <c r="M321" s="1"/>
      <c r="N321" s="1"/>
    </row>
    <row r="322" spans="1:14" x14ac:dyDescent="0.25">
      <c r="A322" s="1" t="s">
        <v>328</v>
      </c>
      <c r="B322" s="1" t="s">
        <v>9</v>
      </c>
      <c r="C322" s="2">
        <v>0.45630787037037035</v>
      </c>
      <c r="D322">
        <v>2</v>
      </c>
      <c r="E322">
        <f>VALUE(RIGHT(LEFT(punkt_szczepień__13[[#This Row],[PESEL]],4),2))</f>
        <v>26</v>
      </c>
      <c r="F322" s="11">
        <f>MOD(punkt_szczepień__13[[#This Row],[liczba miesiac]],20)</f>
        <v>6</v>
      </c>
      <c r="G322" s="11">
        <f>VLOOKUP(punkt_szczepień__13[[#This Row],[liczba miesiac]]-punkt_szczepień__13[[#This Row],[miesiac]],$O$3:$P$7,2,0)+VALUE(LEFT(punkt_szczepień__13[[#This Row],[PESEL]],2))</f>
        <v>2000</v>
      </c>
      <c r="H322" s="11">
        <f>VALUE(RIGHT(LEFT(punkt_szczepień__13[[#This Row],[PESEL]],6),2))</f>
        <v>7</v>
      </c>
      <c r="I322" s="3">
        <f>DATE(punkt_szczepień__13[[#This Row],[rok]],punkt_szczepień__13[[#This Row],[miesiac]],punkt_szczepień__13[[#This Row],[dzień]])</f>
        <v>36684</v>
      </c>
      <c r="J322" s="1" t="str">
        <f>punkt_szczepień__13[[#This Row],[PESEL]]</f>
        <v>00260733249</v>
      </c>
      <c r="K322" s="1">
        <f>VALUE(MID(punkt_szczepień__13[[#This Row],[PESEL]],10,1))</f>
        <v>4</v>
      </c>
      <c r="L322" s="11" t="str">
        <f>IF(MOD(punkt_szczepień__13[[#This Row],[liczba płeć]],2)=0,"K","M")</f>
        <v>K</v>
      </c>
      <c r="M322" s="1"/>
      <c r="N322" s="1"/>
    </row>
    <row r="323" spans="1:14" x14ac:dyDescent="0.25">
      <c r="A323" s="1" t="s">
        <v>329</v>
      </c>
      <c r="B323" s="1" t="s">
        <v>5</v>
      </c>
      <c r="C323" s="2">
        <v>0.45688657407407407</v>
      </c>
      <c r="D323">
        <v>2</v>
      </c>
      <c r="E323">
        <f>VALUE(RIGHT(LEFT(punkt_szczepień__13[[#This Row],[PESEL]],4),2))</f>
        <v>9</v>
      </c>
      <c r="F323" s="11">
        <f>MOD(punkt_szczepień__13[[#This Row],[liczba miesiac]],20)</f>
        <v>9</v>
      </c>
      <c r="G323" s="11">
        <f>VLOOKUP(punkt_szczepień__13[[#This Row],[liczba miesiac]]-punkt_szczepień__13[[#This Row],[miesiac]],$O$3:$P$7,2,0)+VALUE(LEFT(punkt_szczepień__13[[#This Row],[PESEL]],2))</f>
        <v>1928</v>
      </c>
      <c r="H323" s="11">
        <f>VALUE(RIGHT(LEFT(punkt_szczepień__13[[#This Row],[PESEL]],6),2))</f>
        <v>28</v>
      </c>
      <c r="I323" s="3">
        <f>DATE(punkt_szczepień__13[[#This Row],[rok]],punkt_szczepień__13[[#This Row],[miesiac]],punkt_szczepień__13[[#This Row],[dzień]])</f>
        <v>10499</v>
      </c>
      <c r="J323" s="1" t="str">
        <f>punkt_szczepień__13[[#This Row],[PESEL]]</f>
        <v>28092893533</v>
      </c>
      <c r="K323" s="1">
        <f>VALUE(MID(punkt_szczepień__13[[#This Row],[PESEL]],10,1))</f>
        <v>3</v>
      </c>
      <c r="L323" s="11" t="str">
        <f>IF(MOD(punkt_szczepień__13[[#This Row],[liczba płeć]],2)=0,"K","M")</f>
        <v>M</v>
      </c>
      <c r="M323" s="1"/>
      <c r="N323" s="1"/>
    </row>
    <row r="324" spans="1:14" x14ac:dyDescent="0.25">
      <c r="A324" s="1" t="s">
        <v>330</v>
      </c>
      <c r="B324" s="1" t="s">
        <v>7</v>
      </c>
      <c r="C324" s="2">
        <v>0.45717592592592593</v>
      </c>
      <c r="D324">
        <v>1</v>
      </c>
      <c r="E324">
        <f>VALUE(RIGHT(LEFT(punkt_szczepień__13[[#This Row],[PESEL]],4),2))</f>
        <v>1</v>
      </c>
      <c r="F324" s="11">
        <f>MOD(punkt_szczepień__13[[#This Row],[liczba miesiac]],20)</f>
        <v>1</v>
      </c>
      <c r="G324" s="11">
        <f>VLOOKUP(punkt_szczepień__13[[#This Row],[liczba miesiac]]-punkt_szczepień__13[[#This Row],[miesiac]],$O$3:$P$7,2,0)+VALUE(LEFT(punkt_szczepień__13[[#This Row],[PESEL]],2))</f>
        <v>1960</v>
      </c>
      <c r="H324" s="11">
        <f>VALUE(RIGHT(LEFT(punkt_szczepień__13[[#This Row],[PESEL]],6),2))</f>
        <v>8</v>
      </c>
      <c r="I324" s="3">
        <f>DATE(punkt_szczepień__13[[#This Row],[rok]],punkt_szczepień__13[[#This Row],[miesiac]],punkt_szczepień__13[[#This Row],[dzień]])</f>
        <v>21923</v>
      </c>
      <c r="J324" s="1" t="str">
        <f>punkt_szczepień__13[[#This Row],[PESEL]]</f>
        <v>60010859593</v>
      </c>
      <c r="K324" s="1">
        <f>VALUE(MID(punkt_szczepień__13[[#This Row],[PESEL]],10,1))</f>
        <v>9</v>
      </c>
      <c r="L324" s="11" t="str">
        <f>IF(MOD(punkt_szczepień__13[[#This Row],[liczba płeć]],2)=0,"K","M")</f>
        <v>M</v>
      </c>
      <c r="M324" s="1"/>
      <c r="N324" s="1"/>
    </row>
    <row r="325" spans="1:14" x14ac:dyDescent="0.25">
      <c r="A325" s="1" t="s">
        <v>331</v>
      </c>
      <c r="B325" s="1" t="s">
        <v>9</v>
      </c>
      <c r="C325" s="2">
        <v>0.45775462962962965</v>
      </c>
      <c r="D325">
        <v>2</v>
      </c>
      <c r="E325">
        <f>VALUE(RIGHT(LEFT(punkt_szczepień__13[[#This Row],[PESEL]],4),2))</f>
        <v>11</v>
      </c>
      <c r="F325" s="11">
        <f>MOD(punkt_szczepień__13[[#This Row],[liczba miesiac]],20)</f>
        <v>11</v>
      </c>
      <c r="G325" s="11">
        <f>VLOOKUP(punkt_szczepień__13[[#This Row],[liczba miesiac]]-punkt_szczepień__13[[#This Row],[miesiac]],$O$3:$P$7,2,0)+VALUE(LEFT(punkt_szczepień__13[[#This Row],[PESEL]],2))</f>
        <v>1941</v>
      </c>
      <c r="H325" s="11">
        <f>VALUE(RIGHT(LEFT(punkt_szczepień__13[[#This Row],[PESEL]],6),2))</f>
        <v>15</v>
      </c>
      <c r="I325" s="3">
        <f>DATE(punkt_szczepień__13[[#This Row],[rok]],punkt_szczepień__13[[#This Row],[miesiac]],punkt_szczepień__13[[#This Row],[dzień]])</f>
        <v>15295</v>
      </c>
      <c r="J325" s="1" t="str">
        <f>punkt_szczepień__13[[#This Row],[PESEL]]</f>
        <v>41111587989</v>
      </c>
      <c r="K325" s="1">
        <f>VALUE(MID(punkt_szczepień__13[[#This Row],[PESEL]],10,1))</f>
        <v>8</v>
      </c>
      <c r="L325" s="11" t="str">
        <f>IF(MOD(punkt_szczepień__13[[#This Row],[liczba płeć]],2)=0,"K","M")</f>
        <v>K</v>
      </c>
      <c r="M325" s="1"/>
      <c r="N325" s="1"/>
    </row>
    <row r="326" spans="1:14" x14ac:dyDescent="0.25">
      <c r="A326" s="1" t="s">
        <v>332</v>
      </c>
      <c r="B326" s="1" t="s">
        <v>9</v>
      </c>
      <c r="C326" s="2">
        <v>0.45804398148148145</v>
      </c>
      <c r="D326">
        <v>1</v>
      </c>
      <c r="E326">
        <f>VALUE(RIGHT(LEFT(punkt_szczepień__13[[#This Row],[PESEL]],4),2))</f>
        <v>2</v>
      </c>
      <c r="F326" s="11">
        <f>MOD(punkt_szczepień__13[[#This Row],[liczba miesiac]],20)</f>
        <v>2</v>
      </c>
      <c r="G326" s="11">
        <f>VLOOKUP(punkt_szczepień__13[[#This Row],[liczba miesiac]]-punkt_szczepień__13[[#This Row],[miesiac]],$O$3:$P$7,2,0)+VALUE(LEFT(punkt_szczepień__13[[#This Row],[PESEL]],2))</f>
        <v>1939</v>
      </c>
      <c r="H326" s="11">
        <f>VALUE(RIGHT(LEFT(punkt_szczepień__13[[#This Row],[PESEL]],6),2))</f>
        <v>18</v>
      </c>
      <c r="I326" s="3">
        <f>DATE(punkt_szczepień__13[[#This Row],[rok]],punkt_szczepień__13[[#This Row],[miesiac]],punkt_szczepień__13[[#This Row],[dzień]])</f>
        <v>14294</v>
      </c>
      <c r="J326" s="1" t="str">
        <f>punkt_szczepień__13[[#This Row],[PESEL]]</f>
        <v>39021872574</v>
      </c>
      <c r="K326" s="1">
        <f>VALUE(MID(punkt_szczepień__13[[#This Row],[PESEL]],10,1))</f>
        <v>7</v>
      </c>
      <c r="L326" s="11" t="str">
        <f>IF(MOD(punkt_szczepień__13[[#This Row],[liczba płeć]],2)=0,"K","M")</f>
        <v>M</v>
      </c>
      <c r="M326" s="1"/>
      <c r="N326" s="1"/>
    </row>
    <row r="327" spans="1:14" x14ac:dyDescent="0.25">
      <c r="A327" s="1" t="s">
        <v>333</v>
      </c>
      <c r="B327" s="1" t="s">
        <v>7</v>
      </c>
      <c r="C327" s="2">
        <v>0.45833333333333331</v>
      </c>
      <c r="D327">
        <v>1</v>
      </c>
      <c r="E327">
        <f>VALUE(RIGHT(LEFT(punkt_szczepień__13[[#This Row],[PESEL]],4),2))</f>
        <v>2</v>
      </c>
      <c r="F327" s="11">
        <f>MOD(punkt_szczepień__13[[#This Row],[liczba miesiac]],20)</f>
        <v>2</v>
      </c>
      <c r="G327" s="11">
        <f>VLOOKUP(punkt_szczepień__13[[#This Row],[liczba miesiac]]-punkt_szczepień__13[[#This Row],[miesiac]],$O$3:$P$7,2,0)+VALUE(LEFT(punkt_szczepień__13[[#This Row],[PESEL]],2))</f>
        <v>1971</v>
      </c>
      <c r="H327" s="11">
        <f>VALUE(RIGHT(LEFT(punkt_szczepień__13[[#This Row],[PESEL]],6),2))</f>
        <v>27</v>
      </c>
      <c r="I327" s="3">
        <f>DATE(punkt_szczepień__13[[#This Row],[rok]],punkt_szczepień__13[[#This Row],[miesiac]],punkt_szczepień__13[[#This Row],[dzień]])</f>
        <v>25991</v>
      </c>
      <c r="J327" s="1" t="str">
        <f>punkt_szczepień__13[[#This Row],[PESEL]]</f>
        <v>71022752822</v>
      </c>
      <c r="K327" s="1">
        <f>VALUE(MID(punkt_szczepień__13[[#This Row],[PESEL]],10,1))</f>
        <v>2</v>
      </c>
      <c r="L327" s="11" t="str">
        <f>IF(MOD(punkt_szczepień__13[[#This Row],[liczba płeć]],2)=0,"K","M")</f>
        <v>K</v>
      </c>
      <c r="M327" s="1"/>
      <c r="N327" s="1"/>
    </row>
    <row r="328" spans="1:14" x14ac:dyDescent="0.25">
      <c r="A328" s="1" t="s">
        <v>334</v>
      </c>
      <c r="B328" s="1" t="s">
        <v>9</v>
      </c>
      <c r="C328" s="2">
        <v>0.45891203703703703</v>
      </c>
      <c r="D328">
        <v>2</v>
      </c>
      <c r="E328">
        <f>VALUE(RIGHT(LEFT(punkt_szczepień__13[[#This Row],[PESEL]],4),2))</f>
        <v>3</v>
      </c>
      <c r="F328" s="11">
        <f>MOD(punkt_szczepień__13[[#This Row],[liczba miesiac]],20)</f>
        <v>3</v>
      </c>
      <c r="G328" s="11">
        <f>VLOOKUP(punkt_szczepień__13[[#This Row],[liczba miesiac]]-punkt_szczepień__13[[#This Row],[miesiac]],$O$3:$P$7,2,0)+VALUE(LEFT(punkt_szczepień__13[[#This Row],[PESEL]],2))</f>
        <v>1987</v>
      </c>
      <c r="H328" s="11">
        <f>VALUE(RIGHT(LEFT(punkt_szczepień__13[[#This Row],[PESEL]],6),2))</f>
        <v>21</v>
      </c>
      <c r="I328" s="3">
        <f>DATE(punkt_szczepień__13[[#This Row],[rok]],punkt_szczepień__13[[#This Row],[miesiac]],punkt_szczepień__13[[#This Row],[dzień]])</f>
        <v>31857</v>
      </c>
      <c r="J328" s="1" t="str">
        <f>punkt_szczepień__13[[#This Row],[PESEL]]</f>
        <v>87032191885</v>
      </c>
      <c r="K328" s="1">
        <f>VALUE(MID(punkt_szczepień__13[[#This Row],[PESEL]],10,1))</f>
        <v>8</v>
      </c>
      <c r="L328" s="11" t="str">
        <f>IF(MOD(punkt_szczepień__13[[#This Row],[liczba płeć]],2)=0,"K","M")</f>
        <v>K</v>
      </c>
      <c r="M328" s="1"/>
      <c r="N328" s="1"/>
    </row>
    <row r="329" spans="1:14" x14ac:dyDescent="0.25">
      <c r="A329" s="1" t="s">
        <v>335</v>
      </c>
      <c r="B329" s="1" t="s">
        <v>5</v>
      </c>
      <c r="C329" s="2">
        <v>0.4592013888888889</v>
      </c>
      <c r="D329">
        <v>1</v>
      </c>
      <c r="E329">
        <f>VALUE(RIGHT(LEFT(punkt_szczepień__13[[#This Row],[PESEL]],4),2))</f>
        <v>21</v>
      </c>
      <c r="F329" s="11">
        <f>MOD(punkt_szczepień__13[[#This Row],[liczba miesiac]],20)</f>
        <v>1</v>
      </c>
      <c r="G329" s="11">
        <f>VLOOKUP(punkt_szczepień__13[[#This Row],[liczba miesiac]]-punkt_szczepień__13[[#This Row],[miesiac]],$O$3:$P$7,2,0)+VALUE(LEFT(punkt_szczepień__13[[#This Row],[PESEL]],2))</f>
        <v>2003</v>
      </c>
      <c r="H329" s="11">
        <f>VALUE(RIGHT(LEFT(punkt_szczepień__13[[#This Row],[PESEL]],6),2))</f>
        <v>7</v>
      </c>
      <c r="I329" s="3">
        <f>DATE(punkt_szczepień__13[[#This Row],[rok]],punkt_szczepień__13[[#This Row],[miesiac]],punkt_szczepień__13[[#This Row],[dzień]])</f>
        <v>37628</v>
      </c>
      <c r="J329" s="1" t="str">
        <f>punkt_szczepień__13[[#This Row],[PESEL]]</f>
        <v>03210738523</v>
      </c>
      <c r="K329" s="1">
        <f>VALUE(MID(punkt_szczepień__13[[#This Row],[PESEL]],10,1))</f>
        <v>2</v>
      </c>
      <c r="L329" s="11" t="str">
        <f>IF(MOD(punkt_szczepień__13[[#This Row],[liczba płeć]],2)=0,"K","M")</f>
        <v>K</v>
      </c>
      <c r="M329" s="1"/>
      <c r="N329" s="1"/>
    </row>
    <row r="330" spans="1:14" x14ac:dyDescent="0.25">
      <c r="A330" s="1" t="s">
        <v>336</v>
      </c>
      <c r="B330" s="1" t="s">
        <v>7</v>
      </c>
      <c r="C330" s="2">
        <v>0.45949074074074076</v>
      </c>
      <c r="D330">
        <v>1</v>
      </c>
      <c r="E330">
        <f>VALUE(RIGHT(LEFT(punkt_szczepień__13[[#This Row],[PESEL]],4),2))</f>
        <v>8</v>
      </c>
      <c r="F330" s="11">
        <f>MOD(punkt_szczepień__13[[#This Row],[liczba miesiac]],20)</f>
        <v>8</v>
      </c>
      <c r="G330" s="11">
        <f>VLOOKUP(punkt_szczepień__13[[#This Row],[liczba miesiac]]-punkt_szczepień__13[[#This Row],[miesiac]],$O$3:$P$7,2,0)+VALUE(LEFT(punkt_szczepień__13[[#This Row],[PESEL]],2))</f>
        <v>1960</v>
      </c>
      <c r="H330" s="11">
        <f>VALUE(RIGHT(LEFT(punkt_szczepień__13[[#This Row],[PESEL]],6),2))</f>
        <v>15</v>
      </c>
      <c r="I330" s="3">
        <f>DATE(punkt_szczepień__13[[#This Row],[rok]],punkt_szczepień__13[[#This Row],[miesiac]],punkt_szczepień__13[[#This Row],[dzień]])</f>
        <v>22143</v>
      </c>
      <c r="J330" s="1" t="str">
        <f>punkt_szczepień__13[[#This Row],[PESEL]]</f>
        <v>60081536575</v>
      </c>
      <c r="K330" s="1">
        <f>VALUE(MID(punkt_szczepień__13[[#This Row],[PESEL]],10,1))</f>
        <v>7</v>
      </c>
      <c r="L330" s="11" t="str">
        <f>IF(MOD(punkt_szczepień__13[[#This Row],[liczba płeć]],2)=0,"K","M")</f>
        <v>M</v>
      </c>
      <c r="M330" s="1"/>
      <c r="N330" s="1"/>
    </row>
    <row r="331" spans="1:14" x14ac:dyDescent="0.25">
      <c r="A331" s="1" t="s">
        <v>337</v>
      </c>
      <c r="B331" s="1" t="s">
        <v>5</v>
      </c>
      <c r="C331" s="2">
        <v>0.46006944444444442</v>
      </c>
      <c r="D331">
        <v>2</v>
      </c>
      <c r="E331">
        <f>VALUE(RIGHT(LEFT(punkt_szczepień__13[[#This Row],[PESEL]],4),2))</f>
        <v>12</v>
      </c>
      <c r="F331" s="11">
        <f>MOD(punkt_szczepień__13[[#This Row],[liczba miesiac]],20)</f>
        <v>12</v>
      </c>
      <c r="G331" s="11">
        <f>VLOOKUP(punkt_szczepień__13[[#This Row],[liczba miesiac]]-punkt_szczepień__13[[#This Row],[miesiac]],$O$3:$P$7,2,0)+VALUE(LEFT(punkt_szczepień__13[[#This Row],[PESEL]],2))</f>
        <v>1971</v>
      </c>
      <c r="H331" s="11">
        <f>VALUE(RIGHT(LEFT(punkt_szczepień__13[[#This Row],[PESEL]],6),2))</f>
        <v>20</v>
      </c>
      <c r="I331" s="3">
        <f>DATE(punkt_szczepień__13[[#This Row],[rok]],punkt_szczepień__13[[#This Row],[miesiac]],punkt_szczepień__13[[#This Row],[dzień]])</f>
        <v>26287</v>
      </c>
      <c r="J331" s="1" t="str">
        <f>punkt_szczepień__13[[#This Row],[PESEL]]</f>
        <v>71122032516</v>
      </c>
      <c r="K331" s="1">
        <f>VALUE(MID(punkt_szczepień__13[[#This Row],[PESEL]],10,1))</f>
        <v>1</v>
      </c>
      <c r="L331" s="11" t="str">
        <f>IF(MOD(punkt_szczepień__13[[#This Row],[liczba płeć]],2)=0,"K","M")</f>
        <v>M</v>
      </c>
      <c r="M331" s="1"/>
      <c r="N331" s="1"/>
    </row>
    <row r="332" spans="1:14" x14ac:dyDescent="0.25">
      <c r="A332" s="1" t="s">
        <v>338</v>
      </c>
      <c r="B332" s="1" t="s">
        <v>9</v>
      </c>
      <c r="C332" s="2">
        <v>0.46064814814814814</v>
      </c>
      <c r="D332">
        <v>2</v>
      </c>
      <c r="E332">
        <f>VALUE(RIGHT(LEFT(punkt_szczepień__13[[#This Row],[PESEL]],4),2))</f>
        <v>26</v>
      </c>
      <c r="F332" s="11">
        <f>MOD(punkt_szczepień__13[[#This Row],[liczba miesiac]],20)</f>
        <v>6</v>
      </c>
      <c r="G332" s="11">
        <f>VLOOKUP(punkt_szczepień__13[[#This Row],[liczba miesiac]]-punkt_szczepień__13[[#This Row],[miesiac]],$O$3:$P$7,2,0)+VALUE(LEFT(punkt_szczepień__13[[#This Row],[PESEL]],2))</f>
        <v>2000</v>
      </c>
      <c r="H332" s="11">
        <f>VALUE(RIGHT(LEFT(punkt_szczepień__13[[#This Row],[PESEL]],6),2))</f>
        <v>1</v>
      </c>
      <c r="I332" s="3">
        <f>DATE(punkt_szczepień__13[[#This Row],[rok]],punkt_szczepień__13[[#This Row],[miesiac]],punkt_szczepień__13[[#This Row],[dzień]])</f>
        <v>36678</v>
      </c>
      <c r="J332" s="1" t="str">
        <f>punkt_szczepień__13[[#This Row],[PESEL]]</f>
        <v>00260186788</v>
      </c>
      <c r="K332" s="1">
        <f>VALUE(MID(punkt_szczepień__13[[#This Row],[PESEL]],10,1))</f>
        <v>8</v>
      </c>
      <c r="L332" s="11" t="str">
        <f>IF(MOD(punkt_szczepień__13[[#This Row],[liczba płeć]],2)=0,"K","M")</f>
        <v>K</v>
      </c>
      <c r="M332" s="1"/>
      <c r="N332" s="1"/>
    </row>
    <row r="333" spans="1:14" x14ac:dyDescent="0.25">
      <c r="A333" s="1" t="s">
        <v>339</v>
      </c>
      <c r="B333" s="1" t="s">
        <v>27</v>
      </c>
      <c r="C333" s="2">
        <v>0.46122685185185186</v>
      </c>
      <c r="D333">
        <v>2</v>
      </c>
      <c r="E333">
        <f>VALUE(RIGHT(LEFT(punkt_szczepień__13[[#This Row],[PESEL]],4),2))</f>
        <v>9</v>
      </c>
      <c r="F333" s="11">
        <f>MOD(punkt_szczepień__13[[#This Row],[liczba miesiac]],20)</f>
        <v>9</v>
      </c>
      <c r="G333" s="11">
        <f>VLOOKUP(punkt_szczepień__13[[#This Row],[liczba miesiac]]-punkt_szczepień__13[[#This Row],[miesiac]],$O$3:$P$7,2,0)+VALUE(LEFT(punkt_szczepień__13[[#This Row],[PESEL]],2))</f>
        <v>1960</v>
      </c>
      <c r="H333" s="11">
        <f>VALUE(RIGHT(LEFT(punkt_szczepień__13[[#This Row],[PESEL]],6),2))</f>
        <v>11</v>
      </c>
      <c r="I333" s="3">
        <f>DATE(punkt_szczepień__13[[#This Row],[rok]],punkt_szczepień__13[[#This Row],[miesiac]],punkt_szczepień__13[[#This Row],[dzień]])</f>
        <v>22170</v>
      </c>
      <c r="J333" s="1" t="str">
        <f>punkt_szczepień__13[[#This Row],[PESEL]]</f>
        <v>60091118475</v>
      </c>
      <c r="K333" s="1">
        <f>VALUE(MID(punkt_szczepień__13[[#This Row],[PESEL]],10,1))</f>
        <v>7</v>
      </c>
      <c r="L333" s="11" t="str">
        <f>IF(MOD(punkt_szczepień__13[[#This Row],[liczba płeć]],2)=0,"K","M")</f>
        <v>M</v>
      </c>
      <c r="M333" s="1"/>
      <c r="N333" s="1"/>
    </row>
    <row r="334" spans="1:14" x14ac:dyDescent="0.25">
      <c r="A334" s="1" t="s">
        <v>340</v>
      </c>
      <c r="B334" s="1" t="s">
        <v>7</v>
      </c>
      <c r="C334" s="2">
        <v>0.46151620370370372</v>
      </c>
      <c r="D334">
        <v>1</v>
      </c>
      <c r="E334">
        <f>VALUE(RIGHT(LEFT(punkt_szczepień__13[[#This Row],[PESEL]],4),2))</f>
        <v>6</v>
      </c>
      <c r="F334" s="11">
        <f>MOD(punkt_szczepień__13[[#This Row],[liczba miesiac]],20)</f>
        <v>6</v>
      </c>
      <c r="G334" s="11">
        <f>VLOOKUP(punkt_szczepień__13[[#This Row],[liczba miesiac]]-punkt_szczepień__13[[#This Row],[miesiac]],$O$3:$P$7,2,0)+VALUE(LEFT(punkt_szczepień__13[[#This Row],[PESEL]],2))</f>
        <v>1975</v>
      </c>
      <c r="H334" s="11">
        <f>VALUE(RIGHT(LEFT(punkt_szczepień__13[[#This Row],[PESEL]],6),2))</f>
        <v>11</v>
      </c>
      <c r="I334" s="3">
        <f>DATE(punkt_szczepień__13[[#This Row],[rok]],punkt_szczepień__13[[#This Row],[miesiac]],punkt_szczepień__13[[#This Row],[dzień]])</f>
        <v>27556</v>
      </c>
      <c r="J334" s="1" t="str">
        <f>punkt_szczepień__13[[#This Row],[PESEL]]</f>
        <v>75061174364</v>
      </c>
      <c r="K334" s="1">
        <f>VALUE(MID(punkt_szczepień__13[[#This Row],[PESEL]],10,1))</f>
        <v>6</v>
      </c>
      <c r="L334" s="11" t="str">
        <f>IF(MOD(punkt_szczepień__13[[#This Row],[liczba płeć]],2)=0,"K","M")</f>
        <v>K</v>
      </c>
      <c r="M334" s="1"/>
      <c r="N334" s="1"/>
    </row>
    <row r="335" spans="1:14" x14ac:dyDescent="0.25">
      <c r="A335" s="1" t="s">
        <v>341</v>
      </c>
      <c r="B335" s="1" t="s">
        <v>7</v>
      </c>
      <c r="C335" s="2">
        <v>0.46180555555555558</v>
      </c>
      <c r="D335">
        <v>1</v>
      </c>
      <c r="E335">
        <f>VALUE(RIGHT(LEFT(punkt_szczepień__13[[#This Row],[PESEL]],4),2))</f>
        <v>2</v>
      </c>
      <c r="F335" s="11">
        <f>MOD(punkt_szczepień__13[[#This Row],[liczba miesiac]],20)</f>
        <v>2</v>
      </c>
      <c r="G335" s="11">
        <f>VLOOKUP(punkt_szczepień__13[[#This Row],[liczba miesiac]]-punkt_szczepień__13[[#This Row],[miesiac]],$O$3:$P$7,2,0)+VALUE(LEFT(punkt_szczepień__13[[#This Row],[PESEL]],2))</f>
        <v>1969</v>
      </c>
      <c r="H335" s="11">
        <f>VALUE(RIGHT(LEFT(punkt_szczepień__13[[#This Row],[PESEL]],6),2))</f>
        <v>4</v>
      </c>
      <c r="I335" s="3">
        <f>DATE(punkt_szczepień__13[[#This Row],[rok]],punkt_szczepień__13[[#This Row],[miesiac]],punkt_szczepień__13[[#This Row],[dzień]])</f>
        <v>25238</v>
      </c>
      <c r="J335" s="1" t="str">
        <f>punkt_szczepień__13[[#This Row],[PESEL]]</f>
        <v>69020422395</v>
      </c>
      <c r="K335" s="1">
        <f>VALUE(MID(punkt_szczepień__13[[#This Row],[PESEL]],10,1))</f>
        <v>9</v>
      </c>
      <c r="L335" s="11" t="str">
        <f>IF(MOD(punkt_szczepień__13[[#This Row],[liczba płeć]],2)=0,"K","M")</f>
        <v>M</v>
      </c>
      <c r="M335" s="1"/>
      <c r="N335" s="1"/>
    </row>
    <row r="336" spans="1:14" x14ac:dyDescent="0.25">
      <c r="A336" s="1" t="s">
        <v>342</v>
      </c>
      <c r="B336" s="1" t="s">
        <v>7</v>
      </c>
      <c r="C336" s="2">
        <v>0.46209490740740738</v>
      </c>
      <c r="D336">
        <v>1</v>
      </c>
      <c r="E336">
        <f>VALUE(RIGHT(LEFT(punkt_szczepień__13[[#This Row],[PESEL]],4),2))</f>
        <v>3</v>
      </c>
      <c r="F336" s="11">
        <f>MOD(punkt_szczepień__13[[#This Row],[liczba miesiac]],20)</f>
        <v>3</v>
      </c>
      <c r="G336" s="11">
        <f>VLOOKUP(punkt_szczepień__13[[#This Row],[liczba miesiac]]-punkt_szczepień__13[[#This Row],[miesiac]],$O$3:$P$7,2,0)+VALUE(LEFT(punkt_szczepień__13[[#This Row],[PESEL]],2))</f>
        <v>1983</v>
      </c>
      <c r="H336" s="11">
        <f>VALUE(RIGHT(LEFT(punkt_szczepień__13[[#This Row],[PESEL]],6),2))</f>
        <v>3</v>
      </c>
      <c r="I336" s="3">
        <f>DATE(punkt_szczepień__13[[#This Row],[rok]],punkt_szczepień__13[[#This Row],[miesiac]],punkt_szczepień__13[[#This Row],[dzień]])</f>
        <v>30378</v>
      </c>
      <c r="J336" s="1" t="str">
        <f>punkt_szczepień__13[[#This Row],[PESEL]]</f>
        <v>83030382645</v>
      </c>
      <c r="K336" s="1">
        <f>VALUE(MID(punkt_szczepień__13[[#This Row],[PESEL]],10,1))</f>
        <v>4</v>
      </c>
      <c r="L336" s="11" t="str">
        <f>IF(MOD(punkt_szczepień__13[[#This Row],[liczba płeć]],2)=0,"K","M")</f>
        <v>K</v>
      </c>
      <c r="M336" s="1"/>
      <c r="N336" s="1"/>
    </row>
    <row r="337" spans="1:14" x14ac:dyDescent="0.25">
      <c r="A337" s="1" t="s">
        <v>343</v>
      </c>
      <c r="B337" s="1" t="s">
        <v>5</v>
      </c>
      <c r="C337" s="2">
        <v>0.4626736111111111</v>
      </c>
      <c r="D337">
        <v>2</v>
      </c>
      <c r="E337">
        <f>VALUE(RIGHT(LEFT(punkt_szczepień__13[[#This Row],[PESEL]],4),2))</f>
        <v>8</v>
      </c>
      <c r="F337" s="11">
        <f>MOD(punkt_szczepień__13[[#This Row],[liczba miesiac]],20)</f>
        <v>8</v>
      </c>
      <c r="G337" s="11">
        <f>VLOOKUP(punkt_szczepień__13[[#This Row],[liczba miesiac]]-punkt_szczepień__13[[#This Row],[miesiac]],$O$3:$P$7,2,0)+VALUE(LEFT(punkt_szczepień__13[[#This Row],[PESEL]],2))</f>
        <v>1939</v>
      </c>
      <c r="H337" s="11">
        <f>VALUE(RIGHT(LEFT(punkt_szczepień__13[[#This Row],[PESEL]],6),2))</f>
        <v>14</v>
      </c>
      <c r="I337" s="3">
        <f>DATE(punkt_szczepień__13[[#This Row],[rok]],punkt_szczepień__13[[#This Row],[miesiac]],punkt_szczepień__13[[#This Row],[dzień]])</f>
        <v>14471</v>
      </c>
      <c r="J337" s="1" t="str">
        <f>punkt_szczepień__13[[#This Row],[PESEL]]</f>
        <v>39081461356</v>
      </c>
      <c r="K337" s="1">
        <f>VALUE(MID(punkt_szczepień__13[[#This Row],[PESEL]],10,1))</f>
        <v>5</v>
      </c>
      <c r="L337" s="11" t="str">
        <f>IF(MOD(punkt_szczepień__13[[#This Row],[liczba płeć]],2)=0,"K","M")</f>
        <v>M</v>
      </c>
      <c r="M337" s="1"/>
      <c r="N337" s="1"/>
    </row>
    <row r="338" spans="1:14" x14ac:dyDescent="0.25">
      <c r="A338" s="1" t="s">
        <v>344</v>
      </c>
      <c r="B338" s="1" t="s">
        <v>5</v>
      </c>
      <c r="C338" s="2">
        <v>0.46325231481481483</v>
      </c>
      <c r="D338">
        <v>2</v>
      </c>
      <c r="E338">
        <f>VALUE(RIGHT(LEFT(punkt_szczepień__13[[#This Row],[PESEL]],4),2))</f>
        <v>21</v>
      </c>
      <c r="F338" s="11">
        <f>MOD(punkt_szczepień__13[[#This Row],[liczba miesiac]],20)</f>
        <v>1</v>
      </c>
      <c r="G338" s="11">
        <f>VLOOKUP(punkt_szczepień__13[[#This Row],[liczba miesiac]]-punkt_szczepień__13[[#This Row],[miesiac]],$O$3:$P$7,2,0)+VALUE(LEFT(punkt_szczepień__13[[#This Row],[PESEL]],2))</f>
        <v>2000</v>
      </c>
      <c r="H338" s="11">
        <f>VALUE(RIGHT(LEFT(punkt_szczepień__13[[#This Row],[PESEL]],6),2))</f>
        <v>3</v>
      </c>
      <c r="I338" s="3">
        <f>DATE(punkt_szczepień__13[[#This Row],[rok]],punkt_szczepień__13[[#This Row],[miesiac]],punkt_szczepień__13[[#This Row],[dzień]])</f>
        <v>36528</v>
      </c>
      <c r="J338" s="1" t="str">
        <f>punkt_szczepień__13[[#This Row],[PESEL]]</f>
        <v>00210374584</v>
      </c>
      <c r="K338" s="1">
        <f>VALUE(MID(punkt_szczepień__13[[#This Row],[PESEL]],10,1))</f>
        <v>8</v>
      </c>
      <c r="L338" s="11" t="str">
        <f>IF(MOD(punkt_szczepień__13[[#This Row],[liczba płeć]],2)=0,"K","M")</f>
        <v>K</v>
      </c>
      <c r="M338" s="1"/>
      <c r="N338" s="1"/>
    </row>
    <row r="339" spans="1:14" x14ac:dyDescent="0.25">
      <c r="A339" s="1" t="s">
        <v>345</v>
      </c>
      <c r="B339" s="1" t="s">
        <v>7</v>
      </c>
      <c r="C339" s="2">
        <v>0.46354166666666669</v>
      </c>
      <c r="D339">
        <v>1</v>
      </c>
      <c r="E339">
        <f>VALUE(RIGHT(LEFT(punkt_szczepień__13[[#This Row],[PESEL]],4),2))</f>
        <v>6</v>
      </c>
      <c r="F339" s="11">
        <f>MOD(punkt_szczepień__13[[#This Row],[liczba miesiac]],20)</f>
        <v>6</v>
      </c>
      <c r="G339" s="11">
        <f>VLOOKUP(punkt_szczepień__13[[#This Row],[liczba miesiac]]-punkt_szczepień__13[[#This Row],[miesiac]],$O$3:$P$7,2,0)+VALUE(LEFT(punkt_szczepień__13[[#This Row],[PESEL]],2))</f>
        <v>1928</v>
      </c>
      <c r="H339" s="11">
        <f>VALUE(RIGHT(LEFT(punkt_szczepień__13[[#This Row],[PESEL]],6),2))</f>
        <v>5</v>
      </c>
      <c r="I339" s="3">
        <f>DATE(punkt_szczepień__13[[#This Row],[rok]],punkt_szczepień__13[[#This Row],[miesiac]],punkt_szczepień__13[[#This Row],[dzień]])</f>
        <v>10384</v>
      </c>
      <c r="J339" s="1" t="str">
        <f>punkt_szczepień__13[[#This Row],[PESEL]]</f>
        <v>28060532327</v>
      </c>
      <c r="K339" s="1">
        <f>VALUE(MID(punkt_szczepień__13[[#This Row],[PESEL]],10,1))</f>
        <v>2</v>
      </c>
      <c r="L339" s="11" t="str">
        <f>IF(MOD(punkt_szczepień__13[[#This Row],[liczba płeć]],2)=0,"K","M")</f>
        <v>K</v>
      </c>
      <c r="M339" s="1"/>
      <c r="N339" s="1"/>
    </row>
    <row r="340" spans="1:14" x14ac:dyDescent="0.25">
      <c r="A340" s="1" t="s">
        <v>346</v>
      </c>
      <c r="B340" s="1" t="s">
        <v>7</v>
      </c>
      <c r="C340" s="2">
        <v>0.46383101851851855</v>
      </c>
      <c r="D340">
        <v>1</v>
      </c>
      <c r="E340">
        <f>VALUE(RIGHT(LEFT(punkt_szczepień__13[[#This Row],[PESEL]],4),2))</f>
        <v>2</v>
      </c>
      <c r="F340" s="11">
        <f>MOD(punkt_szczepień__13[[#This Row],[liczba miesiac]],20)</f>
        <v>2</v>
      </c>
      <c r="G340" s="11">
        <f>VLOOKUP(punkt_szczepień__13[[#This Row],[liczba miesiac]]-punkt_szczepień__13[[#This Row],[miesiac]],$O$3:$P$7,2,0)+VALUE(LEFT(punkt_szczepień__13[[#This Row],[PESEL]],2))</f>
        <v>1968</v>
      </c>
      <c r="H340" s="11">
        <f>VALUE(RIGHT(LEFT(punkt_szczepień__13[[#This Row],[PESEL]],6),2))</f>
        <v>9</v>
      </c>
      <c r="I340" s="3">
        <f>DATE(punkt_szczepień__13[[#This Row],[rok]],punkt_szczepień__13[[#This Row],[miesiac]],punkt_szczepień__13[[#This Row],[dzień]])</f>
        <v>24877</v>
      </c>
      <c r="J340" s="1" t="str">
        <f>punkt_szczepień__13[[#This Row],[PESEL]]</f>
        <v>68020927398</v>
      </c>
      <c r="K340" s="1">
        <f>VALUE(MID(punkt_szczepień__13[[#This Row],[PESEL]],10,1))</f>
        <v>9</v>
      </c>
      <c r="L340" s="11" t="str">
        <f>IF(MOD(punkt_szczepień__13[[#This Row],[liczba płeć]],2)=0,"K","M")</f>
        <v>M</v>
      </c>
      <c r="M340" s="1"/>
      <c r="N340" s="1"/>
    </row>
    <row r="341" spans="1:14" x14ac:dyDescent="0.25">
      <c r="A341" s="1" t="s">
        <v>347</v>
      </c>
      <c r="B341" s="1" t="s">
        <v>27</v>
      </c>
      <c r="C341" s="2">
        <v>0.46412037037037035</v>
      </c>
      <c r="D341">
        <v>1</v>
      </c>
      <c r="E341">
        <f>VALUE(RIGHT(LEFT(punkt_szczepień__13[[#This Row],[PESEL]],4),2))</f>
        <v>7</v>
      </c>
      <c r="F341" s="11">
        <f>MOD(punkt_szczepień__13[[#This Row],[liczba miesiac]],20)</f>
        <v>7</v>
      </c>
      <c r="G341" s="11">
        <f>VLOOKUP(punkt_szczepień__13[[#This Row],[liczba miesiac]]-punkt_szczepień__13[[#This Row],[miesiac]],$O$3:$P$7,2,0)+VALUE(LEFT(punkt_szczepień__13[[#This Row],[PESEL]],2))</f>
        <v>1964</v>
      </c>
      <c r="H341" s="11">
        <f>VALUE(RIGHT(LEFT(punkt_szczepień__13[[#This Row],[PESEL]],6),2))</f>
        <v>12</v>
      </c>
      <c r="I341" s="3">
        <f>DATE(punkt_szczepień__13[[#This Row],[rok]],punkt_szczepień__13[[#This Row],[miesiac]],punkt_szczepień__13[[#This Row],[dzień]])</f>
        <v>23570</v>
      </c>
      <c r="J341" s="1" t="str">
        <f>punkt_szczepień__13[[#This Row],[PESEL]]</f>
        <v>64071283528</v>
      </c>
      <c r="K341" s="1">
        <f>VALUE(MID(punkt_szczepień__13[[#This Row],[PESEL]],10,1))</f>
        <v>2</v>
      </c>
      <c r="L341" s="11" t="str">
        <f>IF(MOD(punkt_szczepień__13[[#This Row],[liczba płeć]],2)=0,"K","M")</f>
        <v>K</v>
      </c>
      <c r="M341" s="1"/>
      <c r="N341" s="1"/>
    </row>
    <row r="342" spans="1:14" x14ac:dyDescent="0.25">
      <c r="A342" s="1" t="s">
        <v>348</v>
      </c>
      <c r="B342" s="1" t="s">
        <v>27</v>
      </c>
      <c r="C342" s="2">
        <v>0.46440972222222221</v>
      </c>
      <c r="D342">
        <v>1</v>
      </c>
      <c r="E342">
        <f>VALUE(RIGHT(LEFT(punkt_szczepień__13[[#This Row],[PESEL]],4),2))</f>
        <v>5</v>
      </c>
      <c r="F342" s="11">
        <f>MOD(punkt_szczepień__13[[#This Row],[liczba miesiac]],20)</f>
        <v>5</v>
      </c>
      <c r="G342" s="11">
        <f>VLOOKUP(punkt_szczepień__13[[#This Row],[liczba miesiac]]-punkt_szczepień__13[[#This Row],[miesiac]],$O$3:$P$7,2,0)+VALUE(LEFT(punkt_szczepień__13[[#This Row],[PESEL]],2))</f>
        <v>1922</v>
      </c>
      <c r="H342" s="11">
        <f>VALUE(RIGHT(LEFT(punkt_szczepień__13[[#This Row],[PESEL]],6),2))</f>
        <v>20</v>
      </c>
      <c r="I342" s="3">
        <f>DATE(punkt_szczepień__13[[#This Row],[rok]],punkt_szczepień__13[[#This Row],[miesiac]],punkt_szczepień__13[[#This Row],[dzień]])</f>
        <v>8176</v>
      </c>
      <c r="J342" s="1" t="str">
        <f>punkt_szczepień__13[[#This Row],[PESEL]]</f>
        <v>22052057724</v>
      </c>
      <c r="K342" s="1">
        <f>VALUE(MID(punkt_szczepień__13[[#This Row],[PESEL]],10,1))</f>
        <v>2</v>
      </c>
      <c r="L342" s="11" t="str">
        <f>IF(MOD(punkt_szczepień__13[[#This Row],[liczba płeć]],2)=0,"K","M")</f>
        <v>K</v>
      </c>
      <c r="M342" s="1"/>
      <c r="N342" s="1"/>
    </row>
    <row r="343" spans="1:14" x14ac:dyDescent="0.25">
      <c r="A343" s="1" t="s">
        <v>349</v>
      </c>
      <c r="B343" s="1" t="s">
        <v>7</v>
      </c>
      <c r="C343" s="2">
        <v>0.46469907407407407</v>
      </c>
      <c r="D343">
        <v>1</v>
      </c>
      <c r="E343">
        <f>VALUE(RIGHT(LEFT(punkt_szczepień__13[[#This Row],[PESEL]],4),2))</f>
        <v>2</v>
      </c>
      <c r="F343" s="11">
        <f>MOD(punkt_szczepień__13[[#This Row],[liczba miesiac]],20)</f>
        <v>2</v>
      </c>
      <c r="G343" s="11">
        <f>VLOOKUP(punkt_szczepień__13[[#This Row],[liczba miesiac]]-punkt_szczepień__13[[#This Row],[miesiac]],$O$3:$P$7,2,0)+VALUE(LEFT(punkt_szczepień__13[[#This Row],[PESEL]],2))</f>
        <v>1997</v>
      </c>
      <c r="H343" s="11">
        <f>VALUE(RIGHT(LEFT(punkt_szczepień__13[[#This Row],[PESEL]],6),2))</f>
        <v>28</v>
      </c>
      <c r="I343" s="3">
        <f>DATE(punkt_szczepień__13[[#This Row],[rok]],punkt_szczepień__13[[#This Row],[miesiac]],punkt_szczepień__13[[#This Row],[dzień]])</f>
        <v>35489</v>
      </c>
      <c r="J343" s="1" t="str">
        <f>punkt_szczepień__13[[#This Row],[PESEL]]</f>
        <v>97022899972</v>
      </c>
      <c r="K343" s="1">
        <f>VALUE(MID(punkt_szczepień__13[[#This Row],[PESEL]],10,1))</f>
        <v>7</v>
      </c>
      <c r="L343" s="11" t="str">
        <f>IF(MOD(punkt_szczepień__13[[#This Row],[liczba płeć]],2)=0,"K","M")</f>
        <v>M</v>
      </c>
      <c r="M343" s="1"/>
      <c r="N343" s="1"/>
    </row>
    <row r="344" spans="1:14" x14ac:dyDescent="0.25">
      <c r="A344" s="1" t="s">
        <v>350</v>
      </c>
      <c r="B344" s="1" t="s">
        <v>7</v>
      </c>
      <c r="C344" s="2">
        <v>0.46498842592592593</v>
      </c>
      <c r="D344">
        <v>1</v>
      </c>
      <c r="E344">
        <f>VALUE(RIGHT(LEFT(punkt_szczepień__13[[#This Row],[PESEL]],4),2))</f>
        <v>7</v>
      </c>
      <c r="F344" s="11">
        <f>MOD(punkt_szczepień__13[[#This Row],[liczba miesiac]],20)</f>
        <v>7</v>
      </c>
      <c r="G344" s="11">
        <f>VLOOKUP(punkt_szczepień__13[[#This Row],[liczba miesiac]]-punkt_szczepień__13[[#This Row],[miesiac]],$O$3:$P$7,2,0)+VALUE(LEFT(punkt_szczepień__13[[#This Row],[PESEL]],2))</f>
        <v>1951</v>
      </c>
      <c r="H344" s="11">
        <f>VALUE(RIGHT(LEFT(punkt_szczepień__13[[#This Row],[PESEL]],6),2))</f>
        <v>11</v>
      </c>
      <c r="I344" s="3">
        <f>DATE(punkt_szczepień__13[[#This Row],[rok]],punkt_szczepień__13[[#This Row],[miesiac]],punkt_szczepień__13[[#This Row],[dzień]])</f>
        <v>18820</v>
      </c>
      <c r="J344" s="1" t="str">
        <f>punkt_szczepień__13[[#This Row],[PESEL]]</f>
        <v>51071171359</v>
      </c>
      <c r="K344" s="1">
        <f>VALUE(MID(punkt_szczepień__13[[#This Row],[PESEL]],10,1))</f>
        <v>5</v>
      </c>
      <c r="L344" s="11" t="str">
        <f>IF(MOD(punkt_szczepień__13[[#This Row],[liczba płeć]],2)=0,"K","M")</f>
        <v>M</v>
      </c>
      <c r="M344" s="1"/>
      <c r="N344" s="1"/>
    </row>
    <row r="345" spans="1:14" x14ac:dyDescent="0.25">
      <c r="A345" s="1" t="s">
        <v>351</v>
      </c>
      <c r="B345" s="1" t="s">
        <v>5</v>
      </c>
      <c r="C345" s="2">
        <v>0.46527777777777779</v>
      </c>
      <c r="D345">
        <v>1</v>
      </c>
      <c r="E345">
        <f>VALUE(RIGHT(LEFT(punkt_szczepień__13[[#This Row],[PESEL]],4),2))</f>
        <v>7</v>
      </c>
      <c r="F345" s="11">
        <f>MOD(punkt_szczepień__13[[#This Row],[liczba miesiac]],20)</f>
        <v>7</v>
      </c>
      <c r="G345" s="11">
        <f>VLOOKUP(punkt_szczepień__13[[#This Row],[liczba miesiac]]-punkt_szczepień__13[[#This Row],[miesiac]],$O$3:$P$7,2,0)+VALUE(LEFT(punkt_szczepień__13[[#This Row],[PESEL]],2))</f>
        <v>1988</v>
      </c>
      <c r="H345" s="11">
        <f>VALUE(RIGHT(LEFT(punkt_szczepień__13[[#This Row],[PESEL]],6),2))</f>
        <v>27</v>
      </c>
      <c r="I345" s="3">
        <f>DATE(punkt_szczepień__13[[#This Row],[rok]],punkt_szczepień__13[[#This Row],[miesiac]],punkt_szczepień__13[[#This Row],[dzień]])</f>
        <v>32351</v>
      </c>
      <c r="J345" s="1" t="str">
        <f>punkt_szczepień__13[[#This Row],[PESEL]]</f>
        <v>88072775381</v>
      </c>
      <c r="K345" s="1">
        <f>VALUE(MID(punkt_szczepień__13[[#This Row],[PESEL]],10,1))</f>
        <v>8</v>
      </c>
      <c r="L345" s="11" t="str">
        <f>IF(MOD(punkt_szczepień__13[[#This Row],[liczba płeć]],2)=0,"K","M")</f>
        <v>K</v>
      </c>
      <c r="M345" s="1"/>
      <c r="N345" s="1"/>
    </row>
    <row r="346" spans="1:14" x14ac:dyDescent="0.25">
      <c r="A346" s="1" t="s">
        <v>352</v>
      </c>
      <c r="B346" s="1" t="s">
        <v>5</v>
      </c>
      <c r="C346" s="2">
        <v>0.46556712962962965</v>
      </c>
      <c r="D346">
        <v>1</v>
      </c>
      <c r="E346">
        <f>VALUE(RIGHT(LEFT(punkt_szczepień__13[[#This Row],[PESEL]],4),2))</f>
        <v>10</v>
      </c>
      <c r="F346" s="11">
        <f>MOD(punkt_szczepień__13[[#This Row],[liczba miesiac]],20)</f>
        <v>10</v>
      </c>
      <c r="G346" s="11">
        <f>VLOOKUP(punkt_szczepień__13[[#This Row],[liczba miesiac]]-punkt_szczepień__13[[#This Row],[miesiac]],$O$3:$P$7,2,0)+VALUE(LEFT(punkt_szczepień__13[[#This Row],[PESEL]],2))</f>
        <v>1929</v>
      </c>
      <c r="H346" s="11">
        <f>VALUE(RIGHT(LEFT(punkt_szczepień__13[[#This Row],[PESEL]],6),2))</f>
        <v>13</v>
      </c>
      <c r="I346" s="3">
        <f>DATE(punkt_szczepień__13[[#This Row],[rok]],punkt_szczepień__13[[#This Row],[miesiac]],punkt_szczepień__13[[#This Row],[dzień]])</f>
        <v>10879</v>
      </c>
      <c r="J346" s="1" t="str">
        <f>punkt_szczepień__13[[#This Row],[PESEL]]</f>
        <v>29101387319</v>
      </c>
      <c r="K346" s="1">
        <f>VALUE(MID(punkt_szczepień__13[[#This Row],[PESEL]],10,1))</f>
        <v>1</v>
      </c>
      <c r="L346" s="11" t="str">
        <f>IF(MOD(punkt_szczepień__13[[#This Row],[liczba płeć]],2)=0,"K","M")</f>
        <v>M</v>
      </c>
      <c r="M346" s="1"/>
      <c r="N346" s="1"/>
    </row>
    <row r="347" spans="1:14" x14ac:dyDescent="0.25">
      <c r="A347" s="1" t="s">
        <v>353</v>
      </c>
      <c r="B347" s="1" t="s">
        <v>5</v>
      </c>
      <c r="C347" s="2">
        <v>0.46614583333333331</v>
      </c>
      <c r="D347">
        <v>2</v>
      </c>
      <c r="E347">
        <f>VALUE(RIGHT(LEFT(punkt_szczepień__13[[#This Row],[PESEL]],4),2))</f>
        <v>10</v>
      </c>
      <c r="F347" s="11">
        <f>MOD(punkt_szczepień__13[[#This Row],[liczba miesiac]],20)</f>
        <v>10</v>
      </c>
      <c r="G347" s="11">
        <f>VLOOKUP(punkt_szczepień__13[[#This Row],[liczba miesiac]]-punkt_szczepień__13[[#This Row],[miesiac]],$O$3:$P$7,2,0)+VALUE(LEFT(punkt_szczepień__13[[#This Row],[PESEL]],2))</f>
        <v>1932</v>
      </c>
      <c r="H347" s="11">
        <f>VALUE(RIGHT(LEFT(punkt_szczepień__13[[#This Row],[PESEL]],6),2))</f>
        <v>23</v>
      </c>
      <c r="I347" s="3">
        <f>DATE(punkt_szczepień__13[[#This Row],[rok]],punkt_szczepień__13[[#This Row],[miesiac]],punkt_szczepień__13[[#This Row],[dzień]])</f>
        <v>11985</v>
      </c>
      <c r="J347" s="1" t="str">
        <f>punkt_szczepień__13[[#This Row],[PESEL]]</f>
        <v>32102381695</v>
      </c>
      <c r="K347" s="1">
        <f>VALUE(MID(punkt_szczepień__13[[#This Row],[PESEL]],10,1))</f>
        <v>9</v>
      </c>
      <c r="L347" s="11" t="str">
        <f>IF(MOD(punkt_szczepień__13[[#This Row],[liczba płeć]],2)=0,"K","M")</f>
        <v>M</v>
      </c>
      <c r="M347" s="1"/>
      <c r="N347" s="1"/>
    </row>
    <row r="348" spans="1:14" x14ac:dyDescent="0.25">
      <c r="A348" s="1" t="s">
        <v>354</v>
      </c>
      <c r="B348" s="1" t="s">
        <v>5</v>
      </c>
      <c r="C348" s="2">
        <v>0.46672453703703703</v>
      </c>
      <c r="D348">
        <v>2</v>
      </c>
      <c r="E348">
        <f>VALUE(RIGHT(LEFT(punkt_szczepień__13[[#This Row],[PESEL]],4),2))</f>
        <v>1</v>
      </c>
      <c r="F348" s="11">
        <f>MOD(punkt_szczepień__13[[#This Row],[liczba miesiac]],20)</f>
        <v>1</v>
      </c>
      <c r="G348" s="11">
        <f>VLOOKUP(punkt_szczepień__13[[#This Row],[liczba miesiac]]-punkt_szczepień__13[[#This Row],[miesiac]],$O$3:$P$7,2,0)+VALUE(LEFT(punkt_szczepień__13[[#This Row],[PESEL]],2))</f>
        <v>1927</v>
      </c>
      <c r="H348" s="11">
        <f>VALUE(RIGHT(LEFT(punkt_szczepień__13[[#This Row],[PESEL]],6),2))</f>
        <v>14</v>
      </c>
      <c r="I348" s="3">
        <f>DATE(punkt_szczepień__13[[#This Row],[rok]],punkt_szczepień__13[[#This Row],[miesiac]],punkt_szczepień__13[[#This Row],[dzień]])</f>
        <v>9876</v>
      </c>
      <c r="J348" s="1" t="str">
        <f>punkt_szczepień__13[[#This Row],[PESEL]]</f>
        <v>27011448364</v>
      </c>
      <c r="K348" s="1">
        <f>VALUE(MID(punkt_szczepień__13[[#This Row],[PESEL]],10,1))</f>
        <v>6</v>
      </c>
      <c r="L348" s="11" t="str">
        <f>IF(MOD(punkt_szczepień__13[[#This Row],[liczba płeć]],2)=0,"K","M")</f>
        <v>K</v>
      </c>
      <c r="M348" s="1"/>
      <c r="N348" s="1"/>
    </row>
    <row r="349" spans="1:14" x14ac:dyDescent="0.25">
      <c r="A349" s="1" t="s">
        <v>355</v>
      </c>
      <c r="B349" s="1" t="s">
        <v>7</v>
      </c>
      <c r="C349" s="2">
        <v>0.4670138888888889</v>
      </c>
      <c r="D349">
        <v>1</v>
      </c>
      <c r="E349">
        <f>VALUE(RIGHT(LEFT(punkt_szczepień__13[[#This Row],[PESEL]],4),2))</f>
        <v>12</v>
      </c>
      <c r="F349" s="11">
        <f>MOD(punkt_szczepień__13[[#This Row],[liczba miesiac]],20)</f>
        <v>12</v>
      </c>
      <c r="G349" s="11">
        <f>VLOOKUP(punkt_szczepień__13[[#This Row],[liczba miesiac]]-punkt_szczepień__13[[#This Row],[miesiac]],$O$3:$P$7,2,0)+VALUE(LEFT(punkt_szczepień__13[[#This Row],[PESEL]],2))</f>
        <v>1972</v>
      </c>
      <c r="H349" s="11">
        <f>VALUE(RIGHT(LEFT(punkt_szczepień__13[[#This Row],[PESEL]],6),2))</f>
        <v>4</v>
      </c>
      <c r="I349" s="3">
        <f>DATE(punkt_szczepień__13[[#This Row],[rok]],punkt_szczepień__13[[#This Row],[miesiac]],punkt_szczepień__13[[#This Row],[dzień]])</f>
        <v>26637</v>
      </c>
      <c r="J349" s="1" t="str">
        <f>punkt_szczepień__13[[#This Row],[PESEL]]</f>
        <v>72120475358</v>
      </c>
      <c r="K349" s="1">
        <f>VALUE(MID(punkt_szczepień__13[[#This Row],[PESEL]],10,1))</f>
        <v>5</v>
      </c>
      <c r="L349" s="11" t="str">
        <f>IF(MOD(punkt_szczepień__13[[#This Row],[liczba płeć]],2)=0,"K","M")</f>
        <v>M</v>
      </c>
      <c r="M349" s="1"/>
      <c r="N349" s="1"/>
    </row>
    <row r="350" spans="1:14" x14ac:dyDescent="0.25">
      <c r="A350" s="1" t="s">
        <v>356</v>
      </c>
      <c r="B350" s="1" t="s">
        <v>5</v>
      </c>
      <c r="C350" s="2">
        <v>0.46759259259259262</v>
      </c>
      <c r="D350">
        <v>2</v>
      </c>
      <c r="E350">
        <f>VALUE(RIGHT(LEFT(punkt_szczepień__13[[#This Row],[PESEL]],4),2))</f>
        <v>9</v>
      </c>
      <c r="F350" s="11">
        <f>MOD(punkt_szczepień__13[[#This Row],[liczba miesiac]],20)</f>
        <v>9</v>
      </c>
      <c r="G350" s="11">
        <f>VLOOKUP(punkt_szczepień__13[[#This Row],[liczba miesiac]]-punkt_szczepień__13[[#This Row],[miesiac]],$O$3:$P$7,2,0)+VALUE(LEFT(punkt_szczepień__13[[#This Row],[PESEL]],2))</f>
        <v>1941</v>
      </c>
      <c r="H350" s="11">
        <f>VALUE(RIGHT(LEFT(punkt_szczepień__13[[#This Row],[PESEL]],6),2))</f>
        <v>3</v>
      </c>
      <c r="I350" s="3">
        <f>DATE(punkt_szczepień__13[[#This Row],[rok]],punkt_szczepień__13[[#This Row],[miesiac]],punkt_szczepień__13[[#This Row],[dzień]])</f>
        <v>15222</v>
      </c>
      <c r="J350" s="1" t="str">
        <f>punkt_szczepień__13[[#This Row],[PESEL]]</f>
        <v>41090356844</v>
      </c>
      <c r="K350" s="1">
        <f>VALUE(MID(punkt_szczepień__13[[#This Row],[PESEL]],10,1))</f>
        <v>4</v>
      </c>
      <c r="L350" s="11" t="str">
        <f>IF(MOD(punkt_szczepień__13[[#This Row],[liczba płeć]],2)=0,"K","M")</f>
        <v>K</v>
      </c>
      <c r="M350" s="1"/>
      <c r="N350" s="1"/>
    </row>
    <row r="351" spans="1:14" x14ac:dyDescent="0.25">
      <c r="A351" s="1" t="s">
        <v>357</v>
      </c>
      <c r="B351" s="1" t="s">
        <v>9</v>
      </c>
      <c r="C351" s="2">
        <v>0.46788194444444442</v>
      </c>
      <c r="D351">
        <v>1</v>
      </c>
      <c r="E351">
        <f>VALUE(RIGHT(LEFT(punkt_szczepień__13[[#This Row],[PESEL]],4),2))</f>
        <v>12</v>
      </c>
      <c r="F351" s="11">
        <f>MOD(punkt_szczepień__13[[#This Row],[liczba miesiac]],20)</f>
        <v>12</v>
      </c>
      <c r="G351" s="11">
        <f>VLOOKUP(punkt_szczepień__13[[#This Row],[liczba miesiac]]-punkt_szczepień__13[[#This Row],[miesiac]],$O$3:$P$7,2,0)+VALUE(LEFT(punkt_szczepień__13[[#This Row],[PESEL]],2))</f>
        <v>1933</v>
      </c>
      <c r="H351" s="11">
        <f>VALUE(RIGHT(LEFT(punkt_szczepień__13[[#This Row],[PESEL]],6),2))</f>
        <v>7</v>
      </c>
      <c r="I351" s="3">
        <f>DATE(punkt_szczepień__13[[#This Row],[rok]],punkt_szczepień__13[[#This Row],[miesiac]],punkt_szczepień__13[[#This Row],[dzień]])</f>
        <v>12395</v>
      </c>
      <c r="J351" s="1" t="str">
        <f>punkt_szczepień__13[[#This Row],[PESEL]]</f>
        <v>33120771547</v>
      </c>
      <c r="K351" s="1">
        <f>VALUE(MID(punkt_szczepień__13[[#This Row],[PESEL]],10,1))</f>
        <v>4</v>
      </c>
      <c r="L351" s="11" t="str">
        <f>IF(MOD(punkt_szczepień__13[[#This Row],[liczba płeć]],2)=0,"K","M")</f>
        <v>K</v>
      </c>
      <c r="M351" s="1"/>
      <c r="N351" s="1"/>
    </row>
    <row r="352" spans="1:14" x14ac:dyDescent="0.25">
      <c r="A352" s="1" t="s">
        <v>358</v>
      </c>
      <c r="B352" s="1" t="s">
        <v>9</v>
      </c>
      <c r="C352" s="2">
        <v>0.46817129629629628</v>
      </c>
      <c r="D352">
        <v>1</v>
      </c>
      <c r="E352">
        <f>VALUE(RIGHT(LEFT(punkt_szczepień__13[[#This Row],[PESEL]],4),2))</f>
        <v>3</v>
      </c>
      <c r="F352" s="11">
        <f>MOD(punkt_szczepień__13[[#This Row],[liczba miesiac]],20)</f>
        <v>3</v>
      </c>
      <c r="G352" s="11">
        <f>VLOOKUP(punkt_szczepień__13[[#This Row],[liczba miesiac]]-punkt_szczepień__13[[#This Row],[miesiac]],$O$3:$P$7,2,0)+VALUE(LEFT(punkt_szczepień__13[[#This Row],[PESEL]],2))</f>
        <v>1977</v>
      </c>
      <c r="H352" s="11">
        <f>VALUE(RIGHT(LEFT(punkt_szczepień__13[[#This Row],[PESEL]],6),2))</f>
        <v>14</v>
      </c>
      <c r="I352" s="3">
        <f>DATE(punkt_szczepień__13[[#This Row],[rok]],punkt_szczepień__13[[#This Row],[miesiac]],punkt_szczepień__13[[#This Row],[dzień]])</f>
        <v>28198</v>
      </c>
      <c r="J352" s="1" t="str">
        <f>punkt_szczepień__13[[#This Row],[PESEL]]</f>
        <v>77031493347</v>
      </c>
      <c r="K352" s="1">
        <f>VALUE(MID(punkt_szczepień__13[[#This Row],[PESEL]],10,1))</f>
        <v>4</v>
      </c>
      <c r="L352" s="11" t="str">
        <f>IF(MOD(punkt_szczepień__13[[#This Row],[liczba płeć]],2)=0,"K","M")</f>
        <v>K</v>
      </c>
      <c r="M352" s="1"/>
      <c r="N352" s="1"/>
    </row>
    <row r="353" spans="1:14" x14ac:dyDescent="0.25">
      <c r="A353" s="1" t="s">
        <v>359</v>
      </c>
      <c r="B353" s="1" t="s">
        <v>7</v>
      </c>
      <c r="C353" s="2">
        <v>0.46846064814814814</v>
      </c>
      <c r="D353">
        <v>1</v>
      </c>
      <c r="E353">
        <f>VALUE(RIGHT(LEFT(punkt_szczepień__13[[#This Row],[PESEL]],4),2))</f>
        <v>2</v>
      </c>
      <c r="F353" s="11">
        <f>MOD(punkt_szczepień__13[[#This Row],[liczba miesiac]],20)</f>
        <v>2</v>
      </c>
      <c r="G353" s="11">
        <f>VLOOKUP(punkt_szczepień__13[[#This Row],[liczba miesiac]]-punkt_szczepień__13[[#This Row],[miesiac]],$O$3:$P$7,2,0)+VALUE(LEFT(punkt_szczepień__13[[#This Row],[PESEL]],2))</f>
        <v>1981</v>
      </c>
      <c r="H353" s="11">
        <f>VALUE(RIGHT(LEFT(punkt_szczepień__13[[#This Row],[PESEL]],6),2))</f>
        <v>28</v>
      </c>
      <c r="I353" s="3">
        <f>DATE(punkt_szczepień__13[[#This Row],[rok]],punkt_szczepień__13[[#This Row],[miesiac]],punkt_szczepień__13[[#This Row],[dzień]])</f>
        <v>29645</v>
      </c>
      <c r="J353" s="1" t="str">
        <f>punkt_szczepień__13[[#This Row],[PESEL]]</f>
        <v>81022858718</v>
      </c>
      <c r="K353" s="1">
        <f>VALUE(MID(punkt_szczepień__13[[#This Row],[PESEL]],10,1))</f>
        <v>1</v>
      </c>
      <c r="L353" s="11" t="str">
        <f>IF(MOD(punkt_szczepień__13[[#This Row],[liczba płeć]],2)=0,"K","M")</f>
        <v>M</v>
      </c>
      <c r="M353" s="1"/>
      <c r="N353" s="1"/>
    </row>
    <row r="354" spans="1:14" x14ac:dyDescent="0.25">
      <c r="A354" s="1" t="s">
        <v>360</v>
      </c>
      <c r="B354" s="1" t="s">
        <v>9</v>
      </c>
      <c r="C354" s="2">
        <v>0.46903935185185186</v>
      </c>
      <c r="D354">
        <v>2</v>
      </c>
      <c r="E354">
        <f>VALUE(RIGHT(LEFT(punkt_szczepień__13[[#This Row],[PESEL]],4),2))</f>
        <v>2</v>
      </c>
      <c r="F354" s="11">
        <f>MOD(punkt_szczepień__13[[#This Row],[liczba miesiac]],20)</f>
        <v>2</v>
      </c>
      <c r="G354" s="11">
        <f>VLOOKUP(punkt_szczepień__13[[#This Row],[liczba miesiac]]-punkt_szczepień__13[[#This Row],[miesiac]],$O$3:$P$7,2,0)+VALUE(LEFT(punkt_szczepień__13[[#This Row],[PESEL]],2))</f>
        <v>1959</v>
      </c>
      <c r="H354" s="11">
        <f>VALUE(RIGHT(LEFT(punkt_szczepień__13[[#This Row],[PESEL]],6),2))</f>
        <v>14</v>
      </c>
      <c r="I354" s="3">
        <f>DATE(punkt_szczepień__13[[#This Row],[rok]],punkt_szczepień__13[[#This Row],[miesiac]],punkt_szczepień__13[[#This Row],[dzień]])</f>
        <v>21595</v>
      </c>
      <c r="J354" s="1" t="str">
        <f>punkt_szczepień__13[[#This Row],[PESEL]]</f>
        <v>59021483349</v>
      </c>
      <c r="K354" s="1">
        <f>VALUE(MID(punkt_szczepień__13[[#This Row],[PESEL]],10,1))</f>
        <v>4</v>
      </c>
      <c r="L354" s="11" t="str">
        <f>IF(MOD(punkt_szczepień__13[[#This Row],[liczba płeć]],2)=0,"K","M")</f>
        <v>K</v>
      </c>
      <c r="M354" s="1"/>
      <c r="N354" s="1"/>
    </row>
    <row r="355" spans="1:14" x14ac:dyDescent="0.25">
      <c r="A355" s="1" t="s">
        <v>361</v>
      </c>
      <c r="B355" s="1" t="s">
        <v>27</v>
      </c>
      <c r="C355" s="2">
        <v>0.46961805555555558</v>
      </c>
      <c r="D355">
        <v>2</v>
      </c>
      <c r="E355">
        <f>VALUE(RIGHT(LEFT(punkt_szczepień__13[[#This Row],[PESEL]],4),2))</f>
        <v>7</v>
      </c>
      <c r="F355" s="11">
        <f>MOD(punkt_szczepień__13[[#This Row],[liczba miesiac]],20)</f>
        <v>7</v>
      </c>
      <c r="G355" s="11">
        <f>VLOOKUP(punkt_szczepień__13[[#This Row],[liczba miesiac]]-punkt_szczepień__13[[#This Row],[miesiac]],$O$3:$P$7,2,0)+VALUE(LEFT(punkt_szczepień__13[[#This Row],[PESEL]],2))</f>
        <v>1964</v>
      </c>
      <c r="H355" s="11">
        <f>VALUE(RIGHT(LEFT(punkt_szczepień__13[[#This Row],[PESEL]],6),2))</f>
        <v>16</v>
      </c>
      <c r="I355" s="3">
        <f>DATE(punkt_szczepień__13[[#This Row],[rok]],punkt_szczepień__13[[#This Row],[miesiac]],punkt_szczepień__13[[#This Row],[dzień]])</f>
        <v>23574</v>
      </c>
      <c r="J355" s="1" t="str">
        <f>punkt_szczepień__13[[#This Row],[PESEL]]</f>
        <v>64071661153</v>
      </c>
      <c r="K355" s="1">
        <f>VALUE(MID(punkt_szczepień__13[[#This Row],[PESEL]],10,1))</f>
        <v>5</v>
      </c>
      <c r="L355" s="11" t="str">
        <f>IF(MOD(punkt_szczepień__13[[#This Row],[liczba płeć]],2)=0,"K","M")</f>
        <v>M</v>
      </c>
      <c r="M355" s="1"/>
      <c r="N355" s="1"/>
    </row>
    <row r="356" spans="1:14" x14ac:dyDescent="0.25">
      <c r="A356" s="1" t="s">
        <v>362</v>
      </c>
      <c r="B356" s="1" t="s">
        <v>27</v>
      </c>
      <c r="C356" s="2">
        <v>0.47019675925925924</v>
      </c>
      <c r="D356">
        <v>2</v>
      </c>
      <c r="E356">
        <f>VALUE(RIGHT(LEFT(punkt_szczepień__13[[#This Row],[PESEL]],4),2))</f>
        <v>5</v>
      </c>
      <c r="F356" s="11">
        <f>MOD(punkt_szczepień__13[[#This Row],[liczba miesiac]],20)</f>
        <v>5</v>
      </c>
      <c r="G356" s="11">
        <f>VLOOKUP(punkt_szczepień__13[[#This Row],[liczba miesiac]]-punkt_szczepień__13[[#This Row],[miesiac]],$O$3:$P$7,2,0)+VALUE(LEFT(punkt_szczepień__13[[#This Row],[PESEL]],2))</f>
        <v>1993</v>
      </c>
      <c r="H356" s="11">
        <f>VALUE(RIGHT(LEFT(punkt_szczepień__13[[#This Row],[PESEL]],6),2))</f>
        <v>13</v>
      </c>
      <c r="I356" s="3">
        <f>DATE(punkt_szczepień__13[[#This Row],[rok]],punkt_szczepień__13[[#This Row],[miesiac]],punkt_szczepień__13[[#This Row],[dzień]])</f>
        <v>34102</v>
      </c>
      <c r="J356" s="1" t="str">
        <f>punkt_szczepień__13[[#This Row],[PESEL]]</f>
        <v>93051387442</v>
      </c>
      <c r="K356" s="1">
        <f>VALUE(MID(punkt_szczepień__13[[#This Row],[PESEL]],10,1))</f>
        <v>4</v>
      </c>
      <c r="L356" s="11" t="str">
        <f>IF(MOD(punkt_szczepień__13[[#This Row],[liczba płeć]],2)=0,"K","M")</f>
        <v>K</v>
      </c>
      <c r="M356" s="1"/>
      <c r="N356" s="1"/>
    </row>
    <row r="357" spans="1:14" x14ac:dyDescent="0.25">
      <c r="A357" s="1" t="s">
        <v>363</v>
      </c>
      <c r="B357" s="1" t="s">
        <v>7</v>
      </c>
      <c r="C357" s="2">
        <v>0.4704861111111111</v>
      </c>
      <c r="D357">
        <v>1</v>
      </c>
      <c r="E357">
        <f>VALUE(RIGHT(LEFT(punkt_szczepień__13[[#This Row],[PESEL]],4),2))</f>
        <v>8</v>
      </c>
      <c r="F357" s="11">
        <f>MOD(punkt_szczepień__13[[#This Row],[liczba miesiac]],20)</f>
        <v>8</v>
      </c>
      <c r="G357" s="11">
        <f>VLOOKUP(punkt_szczepień__13[[#This Row],[liczba miesiac]]-punkt_szczepień__13[[#This Row],[miesiac]],$O$3:$P$7,2,0)+VALUE(LEFT(punkt_szczepień__13[[#This Row],[PESEL]],2))</f>
        <v>1942</v>
      </c>
      <c r="H357" s="11">
        <f>VALUE(RIGHT(LEFT(punkt_szczepień__13[[#This Row],[PESEL]],6),2))</f>
        <v>5</v>
      </c>
      <c r="I357" s="3">
        <f>DATE(punkt_szczepień__13[[#This Row],[rok]],punkt_szczepień__13[[#This Row],[miesiac]],punkt_szczepień__13[[#This Row],[dzień]])</f>
        <v>15558</v>
      </c>
      <c r="J357" s="1" t="str">
        <f>punkt_szczepień__13[[#This Row],[PESEL]]</f>
        <v>42080534747</v>
      </c>
      <c r="K357" s="1">
        <f>VALUE(MID(punkt_szczepień__13[[#This Row],[PESEL]],10,1))</f>
        <v>4</v>
      </c>
      <c r="L357" s="11" t="str">
        <f>IF(MOD(punkt_szczepień__13[[#This Row],[liczba płeć]],2)=0,"K","M")</f>
        <v>K</v>
      </c>
      <c r="M357" s="1"/>
      <c r="N357" s="1"/>
    </row>
    <row r="358" spans="1:14" x14ac:dyDescent="0.25">
      <c r="A358" s="1" t="s">
        <v>364</v>
      </c>
      <c r="B358" s="1" t="s">
        <v>9</v>
      </c>
      <c r="C358" s="2">
        <v>0.47077546296296297</v>
      </c>
      <c r="D358">
        <v>1</v>
      </c>
      <c r="E358">
        <f>VALUE(RIGHT(LEFT(punkt_szczepień__13[[#This Row],[PESEL]],4),2))</f>
        <v>9</v>
      </c>
      <c r="F358" s="11">
        <f>MOD(punkt_szczepień__13[[#This Row],[liczba miesiac]],20)</f>
        <v>9</v>
      </c>
      <c r="G358" s="11">
        <f>VLOOKUP(punkt_szczepień__13[[#This Row],[liczba miesiac]]-punkt_szczepień__13[[#This Row],[miesiac]],$O$3:$P$7,2,0)+VALUE(LEFT(punkt_szczepień__13[[#This Row],[PESEL]],2))</f>
        <v>1983</v>
      </c>
      <c r="H358" s="11">
        <f>VALUE(RIGHT(LEFT(punkt_szczepień__13[[#This Row],[PESEL]],6),2))</f>
        <v>25</v>
      </c>
      <c r="I358" s="3">
        <f>DATE(punkt_szczepień__13[[#This Row],[rok]],punkt_szczepień__13[[#This Row],[miesiac]],punkt_szczepień__13[[#This Row],[dzień]])</f>
        <v>30584</v>
      </c>
      <c r="J358" s="1" t="str">
        <f>punkt_szczepień__13[[#This Row],[PESEL]]</f>
        <v>83092587754</v>
      </c>
      <c r="K358" s="1">
        <f>VALUE(MID(punkt_szczepień__13[[#This Row],[PESEL]],10,1))</f>
        <v>5</v>
      </c>
      <c r="L358" s="11" t="str">
        <f>IF(MOD(punkt_szczepień__13[[#This Row],[liczba płeć]],2)=0,"K","M")</f>
        <v>M</v>
      </c>
      <c r="M358" s="1"/>
      <c r="N358" s="1"/>
    </row>
    <row r="359" spans="1:14" x14ac:dyDescent="0.25">
      <c r="A359" s="1" t="s">
        <v>365</v>
      </c>
      <c r="B359" s="1" t="s">
        <v>27</v>
      </c>
      <c r="C359" s="2">
        <v>0.47135416666666669</v>
      </c>
      <c r="D359">
        <v>2</v>
      </c>
      <c r="E359">
        <f>VALUE(RIGHT(LEFT(punkt_szczepień__13[[#This Row],[PESEL]],4),2))</f>
        <v>26</v>
      </c>
      <c r="F359" s="11">
        <f>MOD(punkt_szczepień__13[[#This Row],[liczba miesiac]],20)</f>
        <v>6</v>
      </c>
      <c r="G359" s="11">
        <f>VLOOKUP(punkt_szczepień__13[[#This Row],[liczba miesiac]]-punkt_szczepień__13[[#This Row],[miesiac]],$O$3:$P$7,2,0)+VALUE(LEFT(punkt_szczepień__13[[#This Row],[PESEL]],2))</f>
        <v>2005</v>
      </c>
      <c r="H359" s="11">
        <f>VALUE(RIGHT(LEFT(punkt_szczepień__13[[#This Row],[PESEL]],6),2))</f>
        <v>25</v>
      </c>
      <c r="I359" s="3">
        <f>DATE(punkt_szczepień__13[[#This Row],[rok]],punkt_szczepień__13[[#This Row],[miesiac]],punkt_szczepień__13[[#This Row],[dzień]])</f>
        <v>38528</v>
      </c>
      <c r="J359" s="1" t="str">
        <f>punkt_szczepień__13[[#This Row],[PESEL]]</f>
        <v>05262581579</v>
      </c>
      <c r="K359" s="1">
        <f>VALUE(MID(punkt_szczepień__13[[#This Row],[PESEL]],10,1))</f>
        <v>7</v>
      </c>
      <c r="L359" s="11" t="str">
        <f>IF(MOD(punkt_szczepień__13[[#This Row],[liczba płeć]],2)=0,"K","M")</f>
        <v>M</v>
      </c>
      <c r="M359" s="1"/>
      <c r="N359" s="1"/>
    </row>
    <row r="360" spans="1:14" x14ac:dyDescent="0.25">
      <c r="A360" s="1" t="s">
        <v>366</v>
      </c>
      <c r="B360" s="1" t="s">
        <v>27</v>
      </c>
      <c r="C360" s="2">
        <v>0.47193287037037035</v>
      </c>
      <c r="D360">
        <v>2</v>
      </c>
      <c r="E360">
        <f>VALUE(RIGHT(LEFT(punkt_szczepień__13[[#This Row],[PESEL]],4),2))</f>
        <v>10</v>
      </c>
      <c r="F360" s="11">
        <f>MOD(punkt_szczepień__13[[#This Row],[liczba miesiac]],20)</f>
        <v>10</v>
      </c>
      <c r="G360" s="11">
        <f>VLOOKUP(punkt_szczepień__13[[#This Row],[liczba miesiac]]-punkt_szczepień__13[[#This Row],[miesiac]],$O$3:$P$7,2,0)+VALUE(LEFT(punkt_szczepień__13[[#This Row],[PESEL]],2))</f>
        <v>1923</v>
      </c>
      <c r="H360" s="11">
        <f>VALUE(RIGHT(LEFT(punkt_szczepień__13[[#This Row],[PESEL]],6),2))</f>
        <v>17</v>
      </c>
      <c r="I360" s="3">
        <f>DATE(punkt_szczepień__13[[#This Row],[rok]],punkt_szczepień__13[[#This Row],[miesiac]],punkt_szczepień__13[[#This Row],[dzień]])</f>
        <v>8691</v>
      </c>
      <c r="J360" s="1" t="str">
        <f>punkt_szczepień__13[[#This Row],[PESEL]]</f>
        <v>23101725346</v>
      </c>
      <c r="K360" s="1">
        <f>VALUE(MID(punkt_szczepień__13[[#This Row],[PESEL]],10,1))</f>
        <v>4</v>
      </c>
      <c r="L360" s="11" t="str">
        <f>IF(MOD(punkt_szczepień__13[[#This Row],[liczba płeć]],2)=0,"K","M")</f>
        <v>K</v>
      </c>
      <c r="M360" s="1"/>
      <c r="N360" s="1"/>
    </row>
    <row r="361" spans="1:14" x14ac:dyDescent="0.25">
      <c r="A361" s="1" t="s">
        <v>367</v>
      </c>
      <c r="B361" s="1" t="s">
        <v>7</v>
      </c>
      <c r="C361" s="2">
        <v>0.47222222222222221</v>
      </c>
      <c r="D361">
        <v>1</v>
      </c>
      <c r="E361">
        <f>VALUE(RIGHT(LEFT(punkt_szczepień__13[[#This Row],[PESEL]],4),2))</f>
        <v>21</v>
      </c>
      <c r="F361" s="11">
        <f>MOD(punkt_szczepień__13[[#This Row],[liczba miesiac]],20)</f>
        <v>1</v>
      </c>
      <c r="G361" s="11">
        <f>VLOOKUP(punkt_szczepień__13[[#This Row],[liczba miesiac]]-punkt_szczepień__13[[#This Row],[miesiac]],$O$3:$P$7,2,0)+VALUE(LEFT(punkt_szczepień__13[[#This Row],[PESEL]],2))</f>
        <v>2008</v>
      </c>
      <c r="H361" s="11">
        <f>VALUE(RIGHT(LEFT(punkt_szczepień__13[[#This Row],[PESEL]],6),2))</f>
        <v>24</v>
      </c>
      <c r="I361" s="3">
        <f>DATE(punkt_szczepień__13[[#This Row],[rok]],punkt_szczepień__13[[#This Row],[miesiac]],punkt_szczepień__13[[#This Row],[dzień]])</f>
        <v>39471</v>
      </c>
      <c r="J361" s="1" t="str">
        <f>punkt_szczepień__13[[#This Row],[PESEL]]</f>
        <v>08212447312</v>
      </c>
      <c r="K361" s="1">
        <f>VALUE(MID(punkt_szczepień__13[[#This Row],[PESEL]],10,1))</f>
        <v>1</v>
      </c>
      <c r="L361" s="11" t="str">
        <f>IF(MOD(punkt_szczepień__13[[#This Row],[liczba płeć]],2)=0,"K","M")</f>
        <v>M</v>
      </c>
      <c r="M361" s="1"/>
      <c r="N361" s="1"/>
    </row>
    <row r="362" spans="1:14" x14ac:dyDescent="0.25">
      <c r="A362" s="1" t="s">
        <v>368</v>
      </c>
      <c r="B362" s="1" t="s">
        <v>5</v>
      </c>
      <c r="C362" s="2">
        <v>0.47280092592592593</v>
      </c>
      <c r="D362">
        <v>2</v>
      </c>
      <c r="E362">
        <f>VALUE(RIGHT(LEFT(punkt_szczepień__13[[#This Row],[PESEL]],4),2))</f>
        <v>26</v>
      </c>
      <c r="F362" s="11">
        <f>MOD(punkt_szczepień__13[[#This Row],[liczba miesiac]],20)</f>
        <v>6</v>
      </c>
      <c r="G362" s="11">
        <f>VLOOKUP(punkt_szczepień__13[[#This Row],[liczba miesiac]]-punkt_szczepień__13[[#This Row],[miesiac]],$O$3:$P$7,2,0)+VALUE(LEFT(punkt_szczepień__13[[#This Row],[PESEL]],2))</f>
        <v>2001</v>
      </c>
      <c r="H362" s="11">
        <f>VALUE(RIGHT(LEFT(punkt_szczepień__13[[#This Row],[PESEL]],6),2))</f>
        <v>28</v>
      </c>
      <c r="I362" s="3">
        <f>DATE(punkt_szczepień__13[[#This Row],[rok]],punkt_szczepień__13[[#This Row],[miesiac]],punkt_szczepień__13[[#This Row],[dzień]])</f>
        <v>37070</v>
      </c>
      <c r="J362" s="1" t="str">
        <f>punkt_szczepień__13[[#This Row],[PESEL]]</f>
        <v>01262885453</v>
      </c>
      <c r="K362" s="1">
        <f>VALUE(MID(punkt_szczepień__13[[#This Row],[PESEL]],10,1))</f>
        <v>5</v>
      </c>
      <c r="L362" s="11" t="str">
        <f>IF(MOD(punkt_szczepień__13[[#This Row],[liczba płeć]],2)=0,"K","M")</f>
        <v>M</v>
      </c>
      <c r="M362" s="1"/>
      <c r="N362" s="1"/>
    </row>
    <row r="363" spans="1:14" x14ac:dyDescent="0.25">
      <c r="A363" s="1" t="s">
        <v>369</v>
      </c>
      <c r="B363" s="1" t="s">
        <v>7</v>
      </c>
      <c r="C363" s="2">
        <v>0.47309027777777779</v>
      </c>
      <c r="D363">
        <v>1</v>
      </c>
      <c r="E363">
        <f>VALUE(RIGHT(LEFT(punkt_szczepień__13[[#This Row],[PESEL]],4),2))</f>
        <v>6</v>
      </c>
      <c r="F363" s="11">
        <f>MOD(punkt_szczepień__13[[#This Row],[liczba miesiac]],20)</f>
        <v>6</v>
      </c>
      <c r="G363" s="11">
        <f>VLOOKUP(punkt_szczepień__13[[#This Row],[liczba miesiac]]-punkt_szczepień__13[[#This Row],[miesiac]],$O$3:$P$7,2,0)+VALUE(LEFT(punkt_szczepień__13[[#This Row],[PESEL]],2))</f>
        <v>1978</v>
      </c>
      <c r="H363" s="11">
        <f>VALUE(RIGHT(LEFT(punkt_szczepień__13[[#This Row],[PESEL]],6),2))</f>
        <v>30</v>
      </c>
      <c r="I363" s="3">
        <f>DATE(punkt_szczepień__13[[#This Row],[rok]],punkt_szczepień__13[[#This Row],[miesiac]],punkt_szczepień__13[[#This Row],[dzień]])</f>
        <v>28671</v>
      </c>
      <c r="J363" s="1" t="str">
        <f>punkt_szczepień__13[[#This Row],[PESEL]]</f>
        <v>78063029274</v>
      </c>
      <c r="K363" s="1">
        <f>VALUE(MID(punkt_szczepień__13[[#This Row],[PESEL]],10,1))</f>
        <v>7</v>
      </c>
      <c r="L363" s="11" t="str">
        <f>IF(MOD(punkt_szczepień__13[[#This Row],[liczba płeć]],2)=0,"K","M")</f>
        <v>M</v>
      </c>
      <c r="M363" s="1"/>
      <c r="N363" s="1"/>
    </row>
    <row r="364" spans="1:14" x14ac:dyDescent="0.25">
      <c r="A364" s="1" t="s">
        <v>370</v>
      </c>
      <c r="B364" s="1" t="s">
        <v>9</v>
      </c>
      <c r="C364" s="2">
        <v>0.47337962962962965</v>
      </c>
      <c r="D364">
        <v>1</v>
      </c>
      <c r="E364">
        <f>VALUE(RIGHT(LEFT(punkt_szczepień__13[[#This Row],[PESEL]],4),2))</f>
        <v>2</v>
      </c>
      <c r="F364" s="11">
        <f>MOD(punkt_szczepień__13[[#This Row],[liczba miesiac]],20)</f>
        <v>2</v>
      </c>
      <c r="G364" s="11">
        <f>VLOOKUP(punkt_szczepień__13[[#This Row],[liczba miesiac]]-punkt_szczepień__13[[#This Row],[miesiac]],$O$3:$P$7,2,0)+VALUE(LEFT(punkt_szczepień__13[[#This Row],[PESEL]],2))</f>
        <v>1984</v>
      </c>
      <c r="H364" s="11">
        <f>VALUE(RIGHT(LEFT(punkt_szczepień__13[[#This Row],[PESEL]],6),2))</f>
        <v>9</v>
      </c>
      <c r="I364" s="3">
        <f>DATE(punkt_szczepień__13[[#This Row],[rok]],punkt_szczepień__13[[#This Row],[miesiac]],punkt_szczepień__13[[#This Row],[dzień]])</f>
        <v>30721</v>
      </c>
      <c r="J364" s="1" t="str">
        <f>punkt_szczepień__13[[#This Row],[PESEL]]</f>
        <v>84020958541</v>
      </c>
      <c r="K364" s="1">
        <f>VALUE(MID(punkt_szczepień__13[[#This Row],[PESEL]],10,1))</f>
        <v>4</v>
      </c>
      <c r="L364" s="11" t="str">
        <f>IF(MOD(punkt_szczepień__13[[#This Row],[liczba płeć]],2)=0,"K","M")</f>
        <v>K</v>
      </c>
      <c r="M364" s="1"/>
      <c r="N364" s="1"/>
    </row>
    <row r="365" spans="1:14" x14ac:dyDescent="0.25">
      <c r="A365" s="1" t="s">
        <v>371</v>
      </c>
      <c r="B365" s="1" t="s">
        <v>9</v>
      </c>
      <c r="C365" s="2">
        <v>0.47395833333333331</v>
      </c>
      <c r="D365">
        <v>2</v>
      </c>
      <c r="E365">
        <f>VALUE(RIGHT(LEFT(punkt_szczepień__13[[#This Row],[PESEL]],4),2))</f>
        <v>5</v>
      </c>
      <c r="F365" s="11">
        <f>MOD(punkt_szczepień__13[[#This Row],[liczba miesiac]],20)</f>
        <v>5</v>
      </c>
      <c r="G365" s="11">
        <f>VLOOKUP(punkt_szczepień__13[[#This Row],[liczba miesiac]]-punkt_szczepień__13[[#This Row],[miesiac]],$O$3:$P$7,2,0)+VALUE(LEFT(punkt_szczepień__13[[#This Row],[PESEL]],2))</f>
        <v>1943</v>
      </c>
      <c r="H365" s="11">
        <f>VALUE(RIGHT(LEFT(punkt_szczepień__13[[#This Row],[PESEL]],6),2))</f>
        <v>16</v>
      </c>
      <c r="I365" s="3">
        <f>DATE(punkt_szczepień__13[[#This Row],[rok]],punkt_szczepień__13[[#This Row],[miesiac]],punkt_szczepień__13[[#This Row],[dzień]])</f>
        <v>15842</v>
      </c>
      <c r="J365" s="1" t="str">
        <f>punkt_szczepień__13[[#This Row],[PESEL]]</f>
        <v>43051688715</v>
      </c>
      <c r="K365" s="1">
        <f>VALUE(MID(punkt_szczepień__13[[#This Row],[PESEL]],10,1))</f>
        <v>1</v>
      </c>
      <c r="L365" s="11" t="str">
        <f>IF(MOD(punkt_szczepień__13[[#This Row],[liczba płeć]],2)=0,"K","M")</f>
        <v>M</v>
      </c>
      <c r="M365" s="1"/>
      <c r="N365" s="1"/>
    </row>
    <row r="366" spans="1:14" x14ac:dyDescent="0.25">
      <c r="A366" s="1" t="s">
        <v>372</v>
      </c>
      <c r="B366" s="1" t="s">
        <v>5</v>
      </c>
      <c r="C366" s="2">
        <v>0.47424768518518517</v>
      </c>
      <c r="D366">
        <v>1</v>
      </c>
      <c r="E366">
        <f>VALUE(RIGHT(LEFT(punkt_szczepień__13[[#This Row],[PESEL]],4),2))</f>
        <v>2</v>
      </c>
      <c r="F366" s="11">
        <f>MOD(punkt_szczepień__13[[#This Row],[liczba miesiac]],20)</f>
        <v>2</v>
      </c>
      <c r="G366" s="11">
        <f>VLOOKUP(punkt_szczepień__13[[#This Row],[liczba miesiac]]-punkt_szczepień__13[[#This Row],[miesiac]],$O$3:$P$7,2,0)+VALUE(LEFT(punkt_szczepień__13[[#This Row],[PESEL]],2))</f>
        <v>1923</v>
      </c>
      <c r="H366" s="11">
        <f>VALUE(RIGHT(LEFT(punkt_szczepień__13[[#This Row],[PESEL]],6),2))</f>
        <v>17</v>
      </c>
      <c r="I366" s="3">
        <f>DATE(punkt_szczepień__13[[#This Row],[rok]],punkt_szczepień__13[[#This Row],[miesiac]],punkt_szczepień__13[[#This Row],[dzień]])</f>
        <v>8449</v>
      </c>
      <c r="J366" s="1" t="str">
        <f>punkt_szczepień__13[[#This Row],[PESEL]]</f>
        <v>23021741866</v>
      </c>
      <c r="K366" s="1">
        <f>VALUE(MID(punkt_szczepień__13[[#This Row],[PESEL]],10,1))</f>
        <v>6</v>
      </c>
      <c r="L366" s="11" t="str">
        <f>IF(MOD(punkt_szczepień__13[[#This Row],[liczba płeć]],2)=0,"K","M")</f>
        <v>K</v>
      </c>
      <c r="M366" s="1"/>
      <c r="N366" s="1"/>
    </row>
    <row r="367" spans="1:14" x14ac:dyDescent="0.25">
      <c r="A367" s="1" t="s">
        <v>373</v>
      </c>
      <c r="B367" s="1" t="s">
        <v>7</v>
      </c>
      <c r="C367" s="2">
        <v>0.47453703703703703</v>
      </c>
      <c r="D367">
        <v>1</v>
      </c>
      <c r="E367">
        <f>VALUE(RIGHT(LEFT(punkt_szczepień__13[[#This Row],[PESEL]],4),2))</f>
        <v>5</v>
      </c>
      <c r="F367" s="11">
        <f>MOD(punkt_szczepień__13[[#This Row],[liczba miesiac]],20)</f>
        <v>5</v>
      </c>
      <c r="G367" s="11">
        <f>VLOOKUP(punkt_szczepień__13[[#This Row],[liczba miesiac]]-punkt_szczepień__13[[#This Row],[miesiac]],$O$3:$P$7,2,0)+VALUE(LEFT(punkt_szczepień__13[[#This Row],[PESEL]],2))</f>
        <v>1993</v>
      </c>
      <c r="H367" s="11">
        <f>VALUE(RIGHT(LEFT(punkt_szczepień__13[[#This Row],[PESEL]],6),2))</f>
        <v>21</v>
      </c>
      <c r="I367" s="3">
        <f>DATE(punkt_szczepień__13[[#This Row],[rok]],punkt_szczepień__13[[#This Row],[miesiac]],punkt_szczepień__13[[#This Row],[dzień]])</f>
        <v>34110</v>
      </c>
      <c r="J367" s="1" t="str">
        <f>punkt_szczepień__13[[#This Row],[PESEL]]</f>
        <v>93052137947</v>
      </c>
      <c r="K367" s="1">
        <f>VALUE(MID(punkt_szczepień__13[[#This Row],[PESEL]],10,1))</f>
        <v>4</v>
      </c>
      <c r="L367" s="11" t="str">
        <f>IF(MOD(punkt_szczepień__13[[#This Row],[liczba płeć]],2)=0,"K","M")</f>
        <v>K</v>
      </c>
      <c r="M367" s="1"/>
      <c r="N367" s="1"/>
    </row>
    <row r="368" spans="1:14" x14ac:dyDescent="0.25">
      <c r="A368" s="1" t="s">
        <v>374</v>
      </c>
      <c r="B368" s="1" t="s">
        <v>27</v>
      </c>
      <c r="C368" s="2">
        <v>0.47511574074074076</v>
      </c>
      <c r="D368">
        <v>2</v>
      </c>
      <c r="E368">
        <f>VALUE(RIGHT(LEFT(punkt_szczepień__13[[#This Row],[PESEL]],4),2))</f>
        <v>3</v>
      </c>
      <c r="F368" s="11">
        <f>MOD(punkt_szczepień__13[[#This Row],[liczba miesiac]],20)</f>
        <v>3</v>
      </c>
      <c r="G368" s="11">
        <f>VLOOKUP(punkt_szczepień__13[[#This Row],[liczba miesiac]]-punkt_szczepień__13[[#This Row],[miesiac]],$O$3:$P$7,2,0)+VALUE(LEFT(punkt_szczepień__13[[#This Row],[PESEL]],2))</f>
        <v>1932</v>
      </c>
      <c r="H368" s="11">
        <f>VALUE(RIGHT(LEFT(punkt_szczepień__13[[#This Row],[PESEL]],6),2))</f>
        <v>29</v>
      </c>
      <c r="I368" s="3">
        <f>DATE(punkt_szczepień__13[[#This Row],[rok]],punkt_szczepień__13[[#This Row],[miesiac]],punkt_szczepień__13[[#This Row],[dzień]])</f>
        <v>11777</v>
      </c>
      <c r="J368" s="1" t="str">
        <f>punkt_szczepień__13[[#This Row],[PESEL]]</f>
        <v>32032919984</v>
      </c>
      <c r="K368" s="1">
        <f>VALUE(MID(punkt_szczepień__13[[#This Row],[PESEL]],10,1))</f>
        <v>8</v>
      </c>
      <c r="L368" s="11" t="str">
        <f>IF(MOD(punkt_szczepień__13[[#This Row],[liczba płeć]],2)=0,"K","M")</f>
        <v>K</v>
      </c>
      <c r="M368" s="1"/>
      <c r="N368" s="1"/>
    </row>
    <row r="369" spans="1:14" x14ac:dyDescent="0.25">
      <c r="A369" s="1" t="s">
        <v>375</v>
      </c>
      <c r="B369" s="1" t="s">
        <v>7</v>
      </c>
      <c r="C369" s="2">
        <v>0.47540509259259262</v>
      </c>
      <c r="D369">
        <v>1</v>
      </c>
      <c r="E369">
        <f>VALUE(RIGHT(LEFT(punkt_szczepień__13[[#This Row],[PESEL]],4),2))</f>
        <v>4</v>
      </c>
      <c r="F369" s="11">
        <f>MOD(punkt_szczepień__13[[#This Row],[liczba miesiac]],20)</f>
        <v>4</v>
      </c>
      <c r="G369" s="11">
        <f>VLOOKUP(punkt_szczepień__13[[#This Row],[liczba miesiac]]-punkt_szczepień__13[[#This Row],[miesiac]],$O$3:$P$7,2,0)+VALUE(LEFT(punkt_szczepień__13[[#This Row],[PESEL]],2))</f>
        <v>1937</v>
      </c>
      <c r="H369" s="11">
        <f>VALUE(RIGHT(LEFT(punkt_szczepień__13[[#This Row],[PESEL]],6),2))</f>
        <v>28</v>
      </c>
      <c r="I369" s="3">
        <f>DATE(punkt_szczepień__13[[#This Row],[rok]],punkt_szczepień__13[[#This Row],[miesiac]],punkt_szczepień__13[[#This Row],[dzień]])</f>
        <v>13633</v>
      </c>
      <c r="J369" s="1" t="str">
        <f>punkt_szczepień__13[[#This Row],[PESEL]]</f>
        <v>37042813178</v>
      </c>
      <c r="K369" s="1">
        <f>VALUE(MID(punkt_szczepień__13[[#This Row],[PESEL]],10,1))</f>
        <v>7</v>
      </c>
      <c r="L369" s="11" t="str">
        <f>IF(MOD(punkt_szczepień__13[[#This Row],[liczba płeć]],2)=0,"K","M")</f>
        <v>M</v>
      </c>
      <c r="M369" s="1"/>
      <c r="N369" s="1"/>
    </row>
    <row r="370" spans="1:14" x14ac:dyDescent="0.25">
      <c r="A370" s="1" t="s">
        <v>376</v>
      </c>
      <c r="B370" s="1" t="s">
        <v>9</v>
      </c>
      <c r="C370" s="2">
        <v>0.47569444444444442</v>
      </c>
      <c r="D370">
        <v>1</v>
      </c>
      <c r="E370">
        <f>VALUE(RIGHT(LEFT(punkt_szczepień__13[[#This Row],[PESEL]],4),2))</f>
        <v>2</v>
      </c>
      <c r="F370" s="11">
        <f>MOD(punkt_szczepień__13[[#This Row],[liczba miesiac]],20)</f>
        <v>2</v>
      </c>
      <c r="G370" s="11">
        <f>VLOOKUP(punkt_szczepień__13[[#This Row],[liczba miesiac]]-punkt_szczepień__13[[#This Row],[miesiac]],$O$3:$P$7,2,0)+VALUE(LEFT(punkt_szczepień__13[[#This Row],[PESEL]],2))</f>
        <v>1932</v>
      </c>
      <c r="H370" s="11">
        <f>VALUE(RIGHT(LEFT(punkt_szczepień__13[[#This Row],[PESEL]],6),2))</f>
        <v>22</v>
      </c>
      <c r="I370" s="3">
        <f>DATE(punkt_szczepień__13[[#This Row],[rok]],punkt_szczepień__13[[#This Row],[miesiac]],punkt_szczepień__13[[#This Row],[dzień]])</f>
        <v>11741</v>
      </c>
      <c r="J370" s="1" t="str">
        <f>punkt_szczepień__13[[#This Row],[PESEL]]</f>
        <v>32022294723</v>
      </c>
      <c r="K370" s="1">
        <f>VALUE(MID(punkt_szczepień__13[[#This Row],[PESEL]],10,1))</f>
        <v>2</v>
      </c>
      <c r="L370" s="11" t="str">
        <f>IF(MOD(punkt_szczepień__13[[#This Row],[liczba płeć]],2)=0,"K","M")</f>
        <v>K</v>
      </c>
      <c r="M370" s="1"/>
      <c r="N370" s="1"/>
    </row>
    <row r="371" spans="1:14" x14ac:dyDescent="0.25">
      <c r="A371" s="1" t="s">
        <v>377</v>
      </c>
      <c r="B371" s="1" t="s">
        <v>7</v>
      </c>
      <c r="C371" s="2">
        <v>0.47598379629629628</v>
      </c>
      <c r="D371">
        <v>1</v>
      </c>
      <c r="E371">
        <f>VALUE(RIGHT(LEFT(punkt_szczepień__13[[#This Row],[PESEL]],4),2))</f>
        <v>7</v>
      </c>
      <c r="F371" s="11">
        <f>MOD(punkt_szczepień__13[[#This Row],[liczba miesiac]],20)</f>
        <v>7</v>
      </c>
      <c r="G371" s="11">
        <f>VLOOKUP(punkt_szczepień__13[[#This Row],[liczba miesiac]]-punkt_szczepień__13[[#This Row],[miesiac]],$O$3:$P$7,2,0)+VALUE(LEFT(punkt_szczepień__13[[#This Row],[PESEL]],2))</f>
        <v>1983</v>
      </c>
      <c r="H371" s="11">
        <f>VALUE(RIGHT(LEFT(punkt_szczepień__13[[#This Row],[PESEL]],6),2))</f>
        <v>14</v>
      </c>
      <c r="I371" s="3">
        <f>DATE(punkt_szczepień__13[[#This Row],[rok]],punkt_szczepień__13[[#This Row],[miesiac]],punkt_szczepień__13[[#This Row],[dzień]])</f>
        <v>30511</v>
      </c>
      <c r="J371" s="1" t="str">
        <f>punkt_szczepień__13[[#This Row],[PESEL]]</f>
        <v>83071485952</v>
      </c>
      <c r="K371" s="1">
        <f>VALUE(MID(punkt_szczepień__13[[#This Row],[PESEL]],10,1))</f>
        <v>5</v>
      </c>
      <c r="L371" s="11" t="str">
        <f>IF(MOD(punkt_szczepień__13[[#This Row],[liczba płeć]],2)=0,"K","M")</f>
        <v>M</v>
      </c>
      <c r="M371" s="1"/>
      <c r="N371" s="1"/>
    </row>
    <row r="372" spans="1:14" x14ac:dyDescent="0.25">
      <c r="A372" s="1" t="s">
        <v>378</v>
      </c>
      <c r="B372" s="1" t="s">
        <v>7</v>
      </c>
      <c r="C372" s="2">
        <v>0.47627314814814814</v>
      </c>
      <c r="D372">
        <v>1</v>
      </c>
      <c r="E372">
        <f>VALUE(RIGHT(LEFT(punkt_szczepień__13[[#This Row],[PESEL]],4),2))</f>
        <v>9</v>
      </c>
      <c r="F372" s="11">
        <f>MOD(punkt_szczepień__13[[#This Row],[liczba miesiac]],20)</f>
        <v>9</v>
      </c>
      <c r="G372" s="11">
        <f>VLOOKUP(punkt_szczepień__13[[#This Row],[liczba miesiac]]-punkt_szczepień__13[[#This Row],[miesiac]],$O$3:$P$7,2,0)+VALUE(LEFT(punkt_szczepień__13[[#This Row],[PESEL]],2))</f>
        <v>1936</v>
      </c>
      <c r="H372" s="11">
        <f>VALUE(RIGHT(LEFT(punkt_szczepień__13[[#This Row],[PESEL]],6),2))</f>
        <v>23</v>
      </c>
      <c r="I372" s="3">
        <f>DATE(punkt_szczepień__13[[#This Row],[rok]],punkt_szczepień__13[[#This Row],[miesiac]],punkt_szczepień__13[[#This Row],[dzień]])</f>
        <v>13416</v>
      </c>
      <c r="J372" s="1" t="str">
        <f>punkt_szczepień__13[[#This Row],[PESEL]]</f>
        <v>36092347815</v>
      </c>
      <c r="K372" s="1">
        <f>VALUE(MID(punkt_szczepień__13[[#This Row],[PESEL]],10,1))</f>
        <v>1</v>
      </c>
      <c r="L372" s="11" t="str">
        <f>IF(MOD(punkt_szczepień__13[[#This Row],[liczba płeć]],2)=0,"K","M")</f>
        <v>M</v>
      </c>
      <c r="M372" s="1"/>
      <c r="N372" s="1"/>
    </row>
    <row r="373" spans="1:14" x14ac:dyDescent="0.25">
      <c r="A373" s="1" t="s">
        <v>379</v>
      </c>
      <c r="B373" s="1" t="s">
        <v>5</v>
      </c>
      <c r="C373" s="2">
        <v>0.47685185185185186</v>
      </c>
      <c r="D373">
        <v>2</v>
      </c>
      <c r="E373">
        <f>VALUE(RIGHT(LEFT(punkt_szczepień__13[[#This Row],[PESEL]],4),2))</f>
        <v>1</v>
      </c>
      <c r="F373" s="11">
        <f>MOD(punkt_szczepień__13[[#This Row],[liczba miesiac]],20)</f>
        <v>1</v>
      </c>
      <c r="G373" s="11">
        <f>VLOOKUP(punkt_szczepień__13[[#This Row],[liczba miesiac]]-punkt_szczepień__13[[#This Row],[miesiac]],$O$3:$P$7,2,0)+VALUE(LEFT(punkt_szczepień__13[[#This Row],[PESEL]],2))</f>
        <v>1932</v>
      </c>
      <c r="H373" s="11">
        <f>VALUE(RIGHT(LEFT(punkt_szczepień__13[[#This Row],[PESEL]],6),2))</f>
        <v>18</v>
      </c>
      <c r="I373" s="3">
        <f>DATE(punkt_szczepień__13[[#This Row],[rok]],punkt_szczepień__13[[#This Row],[miesiac]],punkt_szczepień__13[[#This Row],[dzień]])</f>
        <v>11706</v>
      </c>
      <c r="J373" s="1" t="str">
        <f>punkt_szczepień__13[[#This Row],[PESEL]]</f>
        <v>32011873759</v>
      </c>
      <c r="K373" s="1">
        <f>VALUE(MID(punkt_szczepień__13[[#This Row],[PESEL]],10,1))</f>
        <v>5</v>
      </c>
      <c r="L373" s="11" t="str">
        <f>IF(MOD(punkt_szczepień__13[[#This Row],[liczba płeć]],2)=0,"K","M")</f>
        <v>M</v>
      </c>
      <c r="M373" s="1"/>
      <c r="N373" s="1"/>
    </row>
    <row r="374" spans="1:14" x14ac:dyDescent="0.25">
      <c r="A374" s="1" t="s">
        <v>380</v>
      </c>
      <c r="B374" s="1" t="s">
        <v>9</v>
      </c>
      <c r="C374" s="2">
        <v>0.47743055555555558</v>
      </c>
      <c r="D374">
        <v>2</v>
      </c>
      <c r="E374">
        <f>VALUE(RIGHT(LEFT(punkt_szczepień__13[[#This Row],[PESEL]],4),2))</f>
        <v>5</v>
      </c>
      <c r="F374" s="11">
        <f>MOD(punkt_szczepień__13[[#This Row],[liczba miesiac]],20)</f>
        <v>5</v>
      </c>
      <c r="G374" s="11">
        <f>VLOOKUP(punkt_szczepień__13[[#This Row],[liczba miesiac]]-punkt_szczepień__13[[#This Row],[miesiac]],$O$3:$P$7,2,0)+VALUE(LEFT(punkt_szczepień__13[[#This Row],[PESEL]],2))</f>
        <v>1962</v>
      </c>
      <c r="H374" s="11">
        <f>VALUE(RIGHT(LEFT(punkt_szczepień__13[[#This Row],[PESEL]],6),2))</f>
        <v>7</v>
      </c>
      <c r="I374" s="3">
        <f>DATE(punkt_szczepień__13[[#This Row],[rok]],punkt_szczepień__13[[#This Row],[miesiac]],punkt_szczepień__13[[#This Row],[dzień]])</f>
        <v>22773</v>
      </c>
      <c r="J374" s="1" t="str">
        <f>punkt_szczepień__13[[#This Row],[PESEL]]</f>
        <v>62050797655</v>
      </c>
      <c r="K374" s="1">
        <f>VALUE(MID(punkt_szczepień__13[[#This Row],[PESEL]],10,1))</f>
        <v>5</v>
      </c>
      <c r="L374" s="11" t="str">
        <f>IF(MOD(punkt_szczepień__13[[#This Row],[liczba płeć]],2)=0,"K","M")</f>
        <v>M</v>
      </c>
      <c r="M374" s="1"/>
      <c r="N374" s="1"/>
    </row>
    <row r="375" spans="1:14" x14ac:dyDescent="0.25">
      <c r="A375" s="1" t="s">
        <v>381</v>
      </c>
      <c r="B375" s="1" t="s">
        <v>9</v>
      </c>
      <c r="C375" s="2">
        <v>0.47771990740740738</v>
      </c>
      <c r="D375">
        <v>1</v>
      </c>
      <c r="E375">
        <f>VALUE(RIGHT(LEFT(punkt_szczepień__13[[#This Row],[PESEL]],4),2))</f>
        <v>7</v>
      </c>
      <c r="F375" s="11">
        <f>MOD(punkt_szczepień__13[[#This Row],[liczba miesiac]],20)</f>
        <v>7</v>
      </c>
      <c r="G375" s="11">
        <f>VLOOKUP(punkt_szczepień__13[[#This Row],[liczba miesiac]]-punkt_szczepień__13[[#This Row],[miesiac]],$O$3:$P$7,2,0)+VALUE(LEFT(punkt_szczepień__13[[#This Row],[PESEL]],2))</f>
        <v>1926</v>
      </c>
      <c r="H375" s="11">
        <f>VALUE(RIGHT(LEFT(punkt_szczepień__13[[#This Row],[PESEL]],6),2))</f>
        <v>10</v>
      </c>
      <c r="I375" s="3">
        <f>DATE(punkt_szczepień__13[[#This Row],[rok]],punkt_szczepień__13[[#This Row],[miesiac]],punkt_szczepień__13[[#This Row],[dzień]])</f>
        <v>9688</v>
      </c>
      <c r="J375" s="1" t="str">
        <f>punkt_szczepień__13[[#This Row],[PESEL]]</f>
        <v>26071012872</v>
      </c>
      <c r="K375" s="1">
        <f>VALUE(MID(punkt_szczepień__13[[#This Row],[PESEL]],10,1))</f>
        <v>7</v>
      </c>
      <c r="L375" s="11" t="str">
        <f>IF(MOD(punkt_szczepień__13[[#This Row],[liczba płeć]],2)=0,"K","M")</f>
        <v>M</v>
      </c>
      <c r="M375" s="1"/>
      <c r="N375" s="1"/>
    </row>
    <row r="376" spans="1:14" x14ac:dyDescent="0.25">
      <c r="A376" s="1" t="s">
        <v>382</v>
      </c>
      <c r="B376" s="1" t="s">
        <v>9</v>
      </c>
      <c r="C376" s="2">
        <v>0.4782986111111111</v>
      </c>
      <c r="D376">
        <v>2</v>
      </c>
      <c r="E376">
        <f>VALUE(RIGHT(LEFT(punkt_szczepień__13[[#This Row],[PESEL]],4),2))</f>
        <v>3</v>
      </c>
      <c r="F376" s="11">
        <f>MOD(punkt_szczepień__13[[#This Row],[liczba miesiac]],20)</f>
        <v>3</v>
      </c>
      <c r="G376" s="11">
        <f>VLOOKUP(punkt_szczepień__13[[#This Row],[liczba miesiac]]-punkt_szczepień__13[[#This Row],[miesiac]],$O$3:$P$7,2,0)+VALUE(LEFT(punkt_szczepień__13[[#This Row],[PESEL]],2))</f>
        <v>1932</v>
      </c>
      <c r="H376" s="11">
        <f>VALUE(RIGHT(LEFT(punkt_szczepień__13[[#This Row],[PESEL]],6),2))</f>
        <v>13</v>
      </c>
      <c r="I376" s="3">
        <f>DATE(punkt_szczepień__13[[#This Row],[rok]],punkt_szczepień__13[[#This Row],[miesiac]],punkt_szczepień__13[[#This Row],[dzień]])</f>
        <v>11761</v>
      </c>
      <c r="J376" s="1" t="str">
        <f>punkt_szczepień__13[[#This Row],[PESEL]]</f>
        <v>32031342886</v>
      </c>
      <c r="K376" s="1">
        <f>VALUE(MID(punkt_szczepień__13[[#This Row],[PESEL]],10,1))</f>
        <v>8</v>
      </c>
      <c r="L376" s="11" t="str">
        <f>IF(MOD(punkt_szczepień__13[[#This Row],[liczba płeć]],2)=0,"K","M")</f>
        <v>K</v>
      </c>
      <c r="M376" s="1"/>
      <c r="N376" s="1"/>
    </row>
    <row r="377" spans="1:14" x14ac:dyDescent="0.25">
      <c r="A377" s="1" t="s">
        <v>383</v>
      </c>
      <c r="B377" s="1" t="s">
        <v>5</v>
      </c>
      <c r="C377" s="2">
        <v>0.47887731481481483</v>
      </c>
      <c r="D377">
        <v>2</v>
      </c>
      <c r="E377">
        <f>VALUE(RIGHT(LEFT(punkt_szczepień__13[[#This Row],[PESEL]],4),2))</f>
        <v>8</v>
      </c>
      <c r="F377" s="11">
        <f>MOD(punkt_szczepień__13[[#This Row],[liczba miesiac]],20)</f>
        <v>8</v>
      </c>
      <c r="G377" s="11">
        <f>VLOOKUP(punkt_szczepień__13[[#This Row],[liczba miesiac]]-punkt_szczepień__13[[#This Row],[miesiac]],$O$3:$P$7,2,0)+VALUE(LEFT(punkt_szczepień__13[[#This Row],[PESEL]],2))</f>
        <v>1994</v>
      </c>
      <c r="H377" s="11">
        <f>VALUE(RIGHT(LEFT(punkt_szczepień__13[[#This Row],[PESEL]],6),2))</f>
        <v>13</v>
      </c>
      <c r="I377" s="3">
        <f>DATE(punkt_szczepień__13[[#This Row],[rok]],punkt_szczepień__13[[#This Row],[miesiac]],punkt_szczepień__13[[#This Row],[dzień]])</f>
        <v>34559</v>
      </c>
      <c r="J377" s="1" t="str">
        <f>punkt_szczepień__13[[#This Row],[PESEL]]</f>
        <v>94081388276</v>
      </c>
      <c r="K377" s="1">
        <f>VALUE(MID(punkt_szczepień__13[[#This Row],[PESEL]],10,1))</f>
        <v>7</v>
      </c>
      <c r="L377" s="11" t="str">
        <f>IF(MOD(punkt_szczepień__13[[#This Row],[liczba płeć]],2)=0,"K","M")</f>
        <v>M</v>
      </c>
      <c r="M377" s="1"/>
      <c r="N377" s="1"/>
    </row>
    <row r="378" spans="1:14" x14ac:dyDescent="0.25">
      <c r="A378" s="1" t="s">
        <v>384</v>
      </c>
      <c r="B378" s="1" t="s">
        <v>9</v>
      </c>
      <c r="C378" s="2">
        <v>0.47916666666666669</v>
      </c>
      <c r="D378">
        <v>1</v>
      </c>
      <c r="E378">
        <f>VALUE(RIGHT(LEFT(punkt_szczepień__13[[#This Row],[PESEL]],4),2))</f>
        <v>4</v>
      </c>
      <c r="F378" s="11">
        <f>MOD(punkt_szczepień__13[[#This Row],[liczba miesiac]],20)</f>
        <v>4</v>
      </c>
      <c r="G378" s="11">
        <f>VLOOKUP(punkt_szczepień__13[[#This Row],[liczba miesiac]]-punkt_szczepień__13[[#This Row],[miesiac]],$O$3:$P$7,2,0)+VALUE(LEFT(punkt_szczepień__13[[#This Row],[PESEL]],2))</f>
        <v>1958</v>
      </c>
      <c r="H378" s="11">
        <f>VALUE(RIGHT(LEFT(punkt_szczepień__13[[#This Row],[PESEL]],6),2))</f>
        <v>27</v>
      </c>
      <c r="I378" s="3">
        <f>DATE(punkt_szczepień__13[[#This Row],[rok]],punkt_szczepień__13[[#This Row],[miesiac]],punkt_szczepień__13[[#This Row],[dzień]])</f>
        <v>21302</v>
      </c>
      <c r="J378" s="1" t="str">
        <f>punkt_szczepień__13[[#This Row],[PESEL]]</f>
        <v>58042747827</v>
      </c>
      <c r="K378" s="1">
        <f>VALUE(MID(punkt_szczepień__13[[#This Row],[PESEL]],10,1))</f>
        <v>2</v>
      </c>
      <c r="L378" s="11" t="str">
        <f>IF(MOD(punkt_szczepień__13[[#This Row],[liczba płeć]],2)=0,"K","M")</f>
        <v>K</v>
      </c>
      <c r="M378" s="1"/>
      <c r="N378" s="1"/>
    </row>
    <row r="379" spans="1:14" x14ac:dyDescent="0.25">
      <c r="A379" s="1" t="s">
        <v>385</v>
      </c>
      <c r="B379" s="1" t="s">
        <v>27</v>
      </c>
      <c r="C379" s="2">
        <v>0.47974537037037035</v>
      </c>
      <c r="D379">
        <v>2</v>
      </c>
      <c r="E379">
        <f>VALUE(RIGHT(LEFT(punkt_szczepień__13[[#This Row],[PESEL]],4),2))</f>
        <v>3</v>
      </c>
      <c r="F379" s="11">
        <f>MOD(punkt_szczepień__13[[#This Row],[liczba miesiac]],20)</f>
        <v>3</v>
      </c>
      <c r="G379" s="11">
        <f>VLOOKUP(punkt_szczepień__13[[#This Row],[liczba miesiac]]-punkt_szczepień__13[[#This Row],[miesiac]],$O$3:$P$7,2,0)+VALUE(LEFT(punkt_szczepień__13[[#This Row],[PESEL]],2))</f>
        <v>1991</v>
      </c>
      <c r="H379" s="11">
        <f>VALUE(RIGHT(LEFT(punkt_szczepień__13[[#This Row],[PESEL]],6),2))</f>
        <v>4</v>
      </c>
      <c r="I379" s="3">
        <f>DATE(punkt_szczepień__13[[#This Row],[rok]],punkt_szczepień__13[[#This Row],[miesiac]],punkt_szczepień__13[[#This Row],[dzień]])</f>
        <v>33301</v>
      </c>
      <c r="J379" s="1" t="str">
        <f>punkt_szczepień__13[[#This Row],[PESEL]]</f>
        <v>91030424825</v>
      </c>
      <c r="K379" s="1">
        <f>VALUE(MID(punkt_szczepień__13[[#This Row],[PESEL]],10,1))</f>
        <v>2</v>
      </c>
      <c r="L379" s="11" t="str">
        <f>IF(MOD(punkt_szczepień__13[[#This Row],[liczba płeć]],2)=0,"K","M")</f>
        <v>K</v>
      </c>
      <c r="M379" s="1"/>
      <c r="N379" s="1"/>
    </row>
    <row r="380" spans="1:14" x14ac:dyDescent="0.25">
      <c r="A380" s="1" t="s">
        <v>386</v>
      </c>
      <c r="B380" s="1" t="s">
        <v>7</v>
      </c>
      <c r="C380" s="2">
        <v>0.48003472222222221</v>
      </c>
      <c r="D380">
        <v>1</v>
      </c>
      <c r="E380">
        <f>VALUE(RIGHT(LEFT(punkt_szczepień__13[[#This Row],[PESEL]],4),2))</f>
        <v>10</v>
      </c>
      <c r="F380" s="11">
        <f>MOD(punkt_szczepień__13[[#This Row],[liczba miesiac]],20)</f>
        <v>10</v>
      </c>
      <c r="G380" s="11">
        <f>VLOOKUP(punkt_szczepień__13[[#This Row],[liczba miesiac]]-punkt_szczepień__13[[#This Row],[miesiac]],$O$3:$P$7,2,0)+VALUE(LEFT(punkt_szczepień__13[[#This Row],[PESEL]],2))</f>
        <v>1994</v>
      </c>
      <c r="H380" s="11">
        <f>VALUE(RIGHT(LEFT(punkt_szczepień__13[[#This Row],[PESEL]],6),2))</f>
        <v>12</v>
      </c>
      <c r="I380" s="3">
        <f>DATE(punkt_szczepień__13[[#This Row],[rok]],punkt_szczepień__13[[#This Row],[miesiac]],punkt_szczepień__13[[#This Row],[dzień]])</f>
        <v>34619</v>
      </c>
      <c r="J380" s="1" t="str">
        <f>punkt_szczepień__13[[#This Row],[PESEL]]</f>
        <v>94101225839</v>
      </c>
      <c r="K380" s="1">
        <f>VALUE(MID(punkt_szczepień__13[[#This Row],[PESEL]],10,1))</f>
        <v>3</v>
      </c>
      <c r="L380" s="11" t="str">
        <f>IF(MOD(punkt_szczepień__13[[#This Row],[liczba płeć]],2)=0,"K","M")</f>
        <v>M</v>
      </c>
      <c r="M380" s="1"/>
      <c r="N380" s="1"/>
    </row>
    <row r="381" spans="1:14" x14ac:dyDescent="0.25">
      <c r="A381" s="1" t="s">
        <v>387</v>
      </c>
      <c r="B381" s="1" t="s">
        <v>5</v>
      </c>
      <c r="C381" s="2">
        <v>0.48032407407407407</v>
      </c>
      <c r="D381">
        <v>1</v>
      </c>
      <c r="E381">
        <f>VALUE(RIGHT(LEFT(punkt_szczepień__13[[#This Row],[PESEL]],4),2))</f>
        <v>6</v>
      </c>
      <c r="F381" s="11">
        <f>MOD(punkt_szczepień__13[[#This Row],[liczba miesiac]],20)</f>
        <v>6</v>
      </c>
      <c r="G381" s="11">
        <f>VLOOKUP(punkt_szczepień__13[[#This Row],[liczba miesiac]]-punkt_szczepień__13[[#This Row],[miesiac]],$O$3:$P$7,2,0)+VALUE(LEFT(punkt_szczepień__13[[#This Row],[PESEL]],2))</f>
        <v>1927</v>
      </c>
      <c r="H381" s="11">
        <f>VALUE(RIGHT(LEFT(punkt_szczepień__13[[#This Row],[PESEL]],6),2))</f>
        <v>15</v>
      </c>
      <c r="I381" s="3">
        <f>DATE(punkt_szczepień__13[[#This Row],[rok]],punkt_szczepień__13[[#This Row],[miesiac]],punkt_szczepień__13[[#This Row],[dzień]])</f>
        <v>10028</v>
      </c>
      <c r="J381" s="1" t="str">
        <f>punkt_szczepień__13[[#This Row],[PESEL]]</f>
        <v>27061576592</v>
      </c>
      <c r="K381" s="1">
        <f>VALUE(MID(punkt_szczepień__13[[#This Row],[PESEL]],10,1))</f>
        <v>9</v>
      </c>
      <c r="L381" s="11" t="str">
        <f>IF(MOD(punkt_szczepień__13[[#This Row],[liczba płeć]],2)=0,"K","M")</f>
        <v>M</v>
      </c>
      <c r="M381" s="1"/>
      <c r="N381" s="1"/>
    </row>
    <row r="382" spans="1:14" x14ac:dyDescent="0.25">
      <c r="A382" s="1" t="s">
        <v>388</v>
      </c>
      <c r="B382" s="1" t="s">
        <v>27</v>
      </c>
      <c r="C382" s="2">
        <v>0.48090277777777779</v>
      </c>
      <c r="D382">
        <v>2</v>
      </c>
      <c r="E382">
        <f>VALUE(RIGHT(LEFT(punkt_szczepień__13[[#This Row],[PESEL]],4),2))</f>
        <v>8</v>
      </c>
      <c r="F382" s="11">
        <f>MOD(punkt_szczepień__13[[#This Row],[liczba miesiac]],20)</f>
        <v>8</v>
      </c>
      <c r="G382" s="11">
        <f>VLOOKUP(punkt_szczepień__13[[#This Row],[liczba miesiac]]-punkt_szczepień__13[[#This Row],[miesiac]],$O$3:$P$7,2,0)+VALUE(LEFT(punkt_szczepień__13[[#This Row],[PESEL]],2))</f>
        <v>1969</v>
      </c>
      <c r="H382" s="11">
        <f>VALUE(RIGHT(LEFT(punkt_szczepień__13[[#This Row],[PESEL]],6),2))</f>
        <v>22</v>
      </c>
      <c r="I382" s="3">
        <f>DATE(punkt_szczepień__13[[#This Row],[rok]],punkt_szczepień__13[[#This Row],[miesiac]],punkt_szczepień__13[[#This Row],[dzień]])</f>
        <v>25437</v>
      </c>
      <c r="J382" s="1" t="str">
        <f>punkt_szczepień__13[[#This Row],[PESEL]]</f>
        <v>69082256695</v>
      </c>
      <c r="K382" s="1">
        <f>VALUE(MID(punkt_szczepień__13[[#This Row],[PESEL]],10,1))</f>
        <v>9</v>
      </c>
      <c r="L382" s="11" t="str">
        <f>IF(MOD(punkt_szczepień__13[[#This Row],[liczba płeć]],2)=0,"K","M")</f>
        <v>M</v>
      </c>
      <c r="M382" s="1"/>
      <c r="N382" s="1"/>
    </row>
    <row r="383" spans="1:14" x14ac:dyDescent="0.25">
      <c r="A383" s="1" t="s">
        <v>389</v>
      </c>
      <c r="B383" s="1" t="s">
        <v>7</v>
      </c>
      <c r="C383" s="2">
        <v>0.48119212962962965</v>
      </c>
      <c r="D383">
        <v>1</v>
      </c>
      <c r="E383">
        <f>VALUE(RIGHT(LEFT(punkt_szczepień__13[[#This Row],[PESEL]],4),2))</f>
        <v>9</v>
      </c>
      <c r="F383" s="11">
        <f>MOD(punkt_szczepień__13[[#This Row],[liczba miesiac]],20)</f>
        <v>9</v>
      </c>
      <c r="G383" s="11">
        <f>VLOOKUP(punkt_szczepień__13[[#This Row],[liczba miesiac]]-punkt_szczepień__13[[#This Row],[miesiac]],$O$3:$P$7,2,0)+VALUE(LEFT(punkt_szczepień__13[[#This Row],[PESEL]],2))</f>
        <v>1924</v>
      </c>
      <c r="H383" s="11">
        <f>VALUE(RIGHT(LEFT(punkt_szczepień__13[[#This Row],[PESEL]],6),2))</f>
        <v>15</v>
      </c>
      <c r="I383" s="3">
        <f>DATE(punkt_szczepień__13[[#This Row],[rok]],punkt_szczepień__13[[#This Row],[miesiac]],punkt_szczepień__13[[#This Row],[dzień]])</f>
        <v>9025</v>
      </c>
      <c r="J383" s="1" t="str">
        <f>punkt_szczepień__13[[#This Row],[PESEL]]</f>
        <v>24091544555</v>
      </c>
      <c r="K383" s="1">
        <f>VALUE(MID(punkt_szczepień__13[[#This Row],[PESEL]],10,1))</f>
        <v>5</v>
      </c>
      <c r="L383" s="11" t="str">
        <f>IF(MOD(punkt_szczepień__13[[#This Row],[liczba płeć]],2)=0,"K","M")</f>
        <v>M</v>
      </c>
      <c r="M383" s="1"/>
      <c r="N383" s="1"/>
    </row>
    <row r="384" spans="1:14" x14ac:dyDescent="0.25">
      <c r="A384" s="1" t="s">
        <v>390</v>
      </c>
      <c r="B384" s="1" t="s">
        <v>5</v>
      </c>
      <c r="C384" s="2">
        <v>0.48177083333333331</v>
      </c>
      <c r="D384">
        <v>2</v>
      </c>
      <c r="E384">
        <f>VALUE(RIGHT(LEFT(punkt_szczepień__13[[#This Row],[PESEL]],4),2))</f>
        <v>8</v>
      </c>
      <c r="F384" s="11">
        <f>MOD(punkt_szczepień__13[[#This Row],[liczba miesiac]],20)</f>
        <v>8</v>
      </c>
      <c r="G384" s="11">
        <f>VLOOKUP(punkt_szczepień__13[[#This Row],[liczba miesiac]]-punkt_szczepień__13[[#This Row],[miesiac]],$O$3:$P$7,2,0)+VALUE(LEFT(punkt_szczepień__13[[#This Row],[PESEL]],2))</f>
        <v>1932</v>
      </c>
      <c r="H384" s="11">
        <f>VALUE(RIGHT(LEFT(punkt_szczepień__13[[#This Row],[PESEL]],6),2))</f>
        <v>6</v>
      </c>
      <c r="I384" s="3">
        <f>DATE(punkt_szczepień__13[[#This Row],[rok]],punkt_szczepień__13[[#This Row],[miesiac]],punkt_szczepień__13[[#This Row],[dzień]])</f>
        <v>11907</v>
      </c>
      <c r="J384" s="1" t="str">
        <f>punkt_szczepień__13[[#This Row],[PESEL]]</f>
        <v>32080613144</v>
      </c>
      <c r="K384" s="1">
        <f>VALUE(MID(punkt_szczepień__13[[#This Row],[PESEL]],10,1))</f>
        <v>4</v>
      </c>
      <c r="L384" s="11" t="str">
        <f>IF(MOD(punkt_szczepień__13[[#This Row],[liczba płeć]],2)=0,"K","M")</f>
        <v>K</v>
      </c>
      <c r="M384" s="1"/>
      <c r="N384" s="1"/>
    </row>
    <row r="385" spans="1:14" x14ac:dyDescent="0.25">
      <c r="A385" s="1" t="s">
        <v>391</v>
      </c>
      <c r="B385" s="1" t="s">
        <v>7</v>
      </c>
      <c r="C385" s="2">
        <v>0.48206018518518517</v>
      </c>
      <c r="D385">
        <v>1</v>
      </c>
      <c r="E385">
        <f>VALUE(RIGHT(LEFT(punkt_szczepień__13[[#This Row],[PESEL]],4),2))</f>
        <v>10</v>
      </c>
      <c r="F385" s="11">
        <f>MOD(punkt_szczepień__13[[#This Row],[liczba miesiac]],20)</f>
        <v>10</v>
      </c>
      <c r="G385" s="11">
        <f>VLOOKUP(punkt_szczepień__13[[#This Row],[liczba miesiac]]-punkt_szczepień__13[[#This Row],[miesiac]],$O$3:$P$7,2,0)+VALUE(LEFT(punkt_szczepień__13[[#This Row],[PESEL]],2))</f>
        <v>1952</v>
      </c>
      <c r="H385" s="11">
        <f>VALUE(RIGHT(LEFT(punkt_szczepień__13[[#This Row],[PESEL]],6),2))</f>
        <v>11</v>
      </c>
      <c r="I385" s="3">
        <f>DATE(punkt_szczepień__13[[#This Row],[rok]],punkt_szczepień__13[[#This Row],[miesiac]],punkt_szczepień__13[[#This Row],[dzień]])</f>
        <v>19278</v>
      </c>
      <c r="J385" s="1" t="str">
        <f>punkt_szczepień__13[[#This Row],[PESEL]]</f>
        <v>52101126932</v>
      </c>
      <c r="K385" s="1">
        <f>VALUE(MID(punkt_szczepień__13[[#This Row],[PESEL]],10,1))</f>
        <v>3</v>
      </c>
      <c r="L385" s="11" t="str">
        <f>IF(MOD(punkt_szczepień__13[[#This Row],[liczba płeć]],2)=0,"K","M")</f>
        <v>M</v>
      </c>
      <c r="M385" s="1"/>
      <c r="N385" s="1"/>
    </row>
    <row r="386" spans="1:14" x14ac:dyDescent="0.25">
      <c r="A386" s="1" t="s">
        <v>392</v>
      </c>
      <c r="B386" s="1" t="s">
        <v>5</v>
      </c>
      <c r="C386" s="2">
        <v>0.4826388888888889</v>
      </c>
      <c r="D386">
        <v>2</v>
      </c>
      <c r="E386">
        <f>VALUE(RIGHT(LEFT(punkt_szczepień__13[[#This Row],[PESEL]],4),2))</f>
        <v>3</v>
      </c>
      <c r="F386" s="11">
        <f>MOD(punkt_szczepień__13[[#This Row],[liczba miesiac]],20)</f>
        <v>3</v>
      </c>
      <c r="G386" s="11">
        <f>VLOOKUP(punkt_szczepień__13[[#This Row],[liczba miesiac]]-punkt_szczepień__13[[#This Row],[miesiac]],$O$3:$P$7,2,0)+VALUE(LEFT(punkt_szczepień__13[[#This Row],[PESEL]],2))</f>
        <v>1960</v>
      </c>
      <c r="H386" s="11">
        <f>VALUE(RIGHT(LEFT(punkt_szczepień__13[[#This Row],[PESEL]],6),2))</f>
        <v>2</v>
      </c>
      <c r="I386" s="3">
        <f>DATE(punkt_szczepień__13[[#This Row],[rok]],punkt_szczepień__13[[#This Row],[miesiac]],punkt_szczepień__13[[#This Row],[dzień]])</f>
        <v>21977</v>
      </c>
      <c r="J386" s="1" t="str">
        <f>punkt_szczepień__13[[#This Row],[PESEL]]</f>
        <v>60030287422</v>
      </c>
      <c r="K386" s="1">
        <f>VALUE(MID(punkt_szczepień__13[[#This Row],[PESEL]],10,1))</f>
        <v>2</v>
      </c>
      <c r="L386" s="11" t="str">
        <f>IF(MOD(punkt_szczepień__13[[#This Row],[liczba płeć]],2)=0,"K","M")</f>
        <v>K</v>
      </c>
      <c r="M386" s="1"/>
      <c r="N386" s="1"/>
    </row>
    <row r="387" spans="1:14" x14ac:dyDescent="0.25">
      <c r="A387" s="1" t="s">
        <v>393</v>
      </c>
      <c r="B387" s="1" t="s">
        <v>5</v>
      </c>
      <c r="C387" s="2">
        <v>0.48321759259259262</v>
      </c>
      <c r="D387">
        <v>2</v>
      </c>
      <c r="E387">
        <f>VALUE(RIGHT(LEFT(punkt_szczepień__13[[#This Row],[PESEL]],4),2))</f>
        <v>29</v>
      </c>
      <c r="F387" s="11">
        <f>MOD(punkt_szczepień__13[[#This Row],[liczba miesiac]],20)</f>
        <v>9</v>
      </c>
      <c r="G387" s="11">
        <f>VLOOKUP(punkt_szczepień__13[[#This Row],[liczba miesiac]]-punkt_szczepień__13[[#This Row],[miesiac]],$O$3:$P$7,2,0)+VALUE(LEFT(punkt_szczepień__13[[#This Row],[PESEL]],2))</f>
        <v>2001</v>
      </c>
      <c r="H387" s="11">
        <f>VALUE(RIGHT(LEFT(punkt_szczepień__13[[#This Row],[PESEL]],6),2))</f>
        <v>4</v>
      </c>
      <c r="I387" s="3">
        <f>DATE(punkt_szczepień__13[[#This Row],[rok]],punkt_szczepień__13[[#This Row],[miesiac]],punkt_szczepień__13[[#This Row],[dzień]])</f>
        <v>37138</v>
      </c>
      <c r="J387" s="1" t="str">
        <f>punkt_szczepień__13[[#This Row],[PESEL]]</f>
        <v>01290493581</v>
      </c>
      <c r="K387" s="1">
        <f>VALUE(MID(punkt_szczepień__13[[#This Row],[PESEL]],10,1))</f>
        <v>8</v>
      </c>
      <c r="L387" s="11" t="str">
        <f>IF(MOD(punkt_szczepień__13[[#This Row],[liczba płeć]],2)=0,"K","M")</f>
        <v>K</v>
      </c>
      <c r="M387" s="1"/>
      <c r="N387" s="1"/>
    </row>
    <row r="388" spans="1:14" x14ac:dyDescent="0.25">
      <c r="A388" s="1" t="s">
        <v>394</v>
      </c>
      <c r="B388" s="1" t="s">
        <v>7</v>
      </c>
      <c r="C388" s="2">
        <v>0.48350694444444442</v>
      </c>
      <c r="D388">
        <v>1</v>
      </c>
      <c r="E388">
        <f>VALUE(RIGHT(LEFT(punkt_szczepień__13[[#This Row],[PESEL]],4),2))</f>
        <v>9</v>
      </c>
      <c r="F388" s="11">
        <f>MOD(punkt_szczepień__13[[#This Row],[liczba miesiac]],20)</f>
        <v>9</v>
      </c>
      <c r="G388" s="11">
        <f>VLOOKUP(punkt_szczepień__13[[#This Row],[liczba miesiac]]-punkt_szczepień__13[[#This Row],[miesiac]],$O$3:$P$7,2,0)+VALUE(LEFT(punkt_szczepień__13[[#This Row],[PESEL]],2))</f>
        <v>1971</v>
      </c>
      <c r="H388" s="11">
        <f>VALUE(RIGHT(LEFT(punkt_szczepień__13[[#This Row],[PESEL]],6),2))</f>
        <v>21</v>
      </c>
      <c r="I388" s="3">
        <f>DATE(punkt_szczepień__13[[#This Row],[rok]],punkt_szczepień__13[[#This Row],[miesiac]],punkt_szczepień__13[[#This Row],[dzień]])</f>
        <v>26197</v>
      </c>
      <c r="J388" s="1" t="str">
        <f>punkt_szczepień__13[[#This Row],[PESEL]]</f>
        <v>71092135527</v>
      </c>
      <c r="K388" s="1">
        <f>VALUE(MID(punkt_szczepień__13[[#This Row],[PESEL]],10,1))</f>
        <v>2</v>
      </c>
      <c r="L388" s="11" t="str">
        <f>IF(MOD(punkt_szczepień__13[[#This Row],[liczba płeć]],2)=0,"K","M")</f>
        <v>K</v>
      </c>
      <c r="M388" s="1"/>
      <c r="N388" s="1"/>
    </row>
    <row r="389" spans="1:14" x14ac:dyDescent="0.25">
      <c r="A389" s="1" t="s">
        <v>395</v>
      </c>
      <c r="B389" s="1" t="s">
        <v>5</v>
      </c>
      <c r="C389" s="2">
        <v>0.48379629629629628</v>
      </c>
      <c r="D389">
        <v>1</v>
      </c>
      <c r="E389">
        <f>VALUE(RIGHT(LEFT(punkt_szczepień__13[[#This Row],[PESEL]],4),2))</f>
        <v>1</v>
      </c>
      <c r="F389" s="11">
        <f>MOD(punkt_szczepień__13[[#This Row],[liczba miesiac]],20)</f>
        <v>1</v>
      </c>
      <c r="G389" s="11">
        <f>VLOOKUP(punkt_szczepień__13[[#This Row],[liczba miesiac]]-punkt_szczepień__13[[#This Row],[miesiac]],$O$3:$P$7,2,0)+VALUE(LEFT(punkt_szczepień__13[[#This Row],[PESEL]],2))</f>
        <v>1972</v>
      </c>
      <c r="H389" s="11">
        <f>VALUE(RIGHT(LEFT(punkt_szczepień__13[[#This Row],[PESEL]],6),2))</f>
        <v>11</v>
      </c>
      <c r="I389" s="3">
        <f>DATE(punkt_szczepień__13[[#This Row],[rok]],punkt_szczepień__13[[#This Row],[miesiac]],punkt_szczepień__13[[#This Row],[dzień]])</f>
        <v>26309</v>
      </c>
      <c r="J389" s="1" t="str">
        <f>punkt_szczepień__13[[#This Row],[PESEL]]</f>
        <v>72011163265</v>
      </c>
      <c r="K389" s="1">
        <f>VALUE(MID(punkt_szczepień__13[[#This Row],[PESEL]],10,1))</f>
        <v>6</v>
      </c>
      <c r="L389" s="11" t="str">
        <f>IF(MOD(punkt_szczepień__13[[#This Row],[liczba płeć]],2)=0,"K","M")</f>
        <v>K</v>
      </c>
      <c r="M389" s="1"/>
      <c r="N389" s="1"/>
    </row>
    <row r="390" spans="1:14" x14ac:dyDescent="0.25">
      <c r="A390" s="1" t="s">
        <v>396</v>
      </c>
      <c r="B390" s="1" t="s">
        <v>5</v>
      </c>
      <c r="C390" s="2">
        <v>0.48408564814814814</v>
      </c>
      <c r="D390">
        <v>1</v>
      </c>
      <c r="E390">
        <f>VALUE(RIGHT(LEFT(punkt_szczepień__13[[#This Row],[PESEL]],4),2))</f>
        <v>2</v>
      </c>
      <c r="F390" s="11">
        <f>MOD(punkt_szczepień__13[[#This Row],[liczba miesiac]],20)</f>
        <v>2</v>
      </c>
      <c r="G390" s="11">
        <f>VLOOKUP(punkt_szczepień__13[[#This Row],[liczba miesiac]]-punkt_szczepień__13[[#This Row],[miesiac]],$O$3:$P$7,2,0)+VALUE(LEFT(punkt_szczepień__13[[#This Row],[PESEL]],2))</f>
        <v>1956</v>
      </c>
      <c r="H390" s="11">
        <f>VALUE(RIGHT(LEFT(punkt_szczepień__13[[#This Row],[PESEL]],6),2))</f>
        <v>25</v>
      </c>
      <c r="I390" s="3">
        <f>DATE(punkt_szczepień__13[[#This Row],[rok]],punkt_szczepień__13[[#This Row],[miesiac]],punkt_szczepień__13[[#This Row],[dzień]])</f>
        <v>20510</v>
      </c>
      <c r="J390" s="1" t="str">
        <f>punkt_szczepień__13[[#This Row],[PESEL]]</f>
        <v>56022547346</v>
      </c>
      <c r="K390" s="1">
        <f>VALUE(MID(punkt_szczepień__13[[#This Row],[PESEL]],10,1))</f>
        <v>4</v>
      </c>
      <c r="L390" s="11" t="str">
        <f>IF(MOD(punkt_szczepień__13[[#This Row],[liczba płeć]],2)=0,"K","M")</f>
        <v>K</v>
      </c>
      <c r="M390" s="1"/>
      <c r="N390" s="1"/>
    </row>
    <row r="391" spans="1:14" x14ac:dyDescent="0.25">
      <c r="A391" s="1" t="s">
        <v>397</v>
      </c>
      <c r="B391" s="1" t="s">
        <v>7</v>
      </c>
      <c r="C391" s="2">
        <v>0.484375</v>
      </c>
      <c r="D391">
        <v>1</v>
      </c>
      <c r="E391">
        <f>VALUE(RIGHT(LEFT(punkt_szczepień__13[[#This Row],[PESEL]],4),2))</f>
        <v>12</v>
      </c>
      <c r="F391" s="11">
        <f>MOD(punkt_szczepień__13[[#This Row],[liczba miesiac]],20)</f>
        <v>12</v>
      </c>
      <c r="G391" s="11">
        <f>VLOOKUP(punkt_szczepień__13[[#This Row],[liczba miesiac]]-punkt_szczepień__13[[#This Row],[miesiac]],$O$3:$P$7,2,0)+VALUE(LEFT(punkt_szczepień__13[[#This Row],[PESEL]],2))</f>
        <v>1978</v>
      </c>
      <c r="H391" s="11">
        <f>VALUE(RIGHT(LEFT(punkt_szczepień__13[[#This Row],[PESEL]],6),2))</f>
        <v>17</v>
      </c>
      <c r="I391" s="3">
        <f>DATE(punkt_szczepień__13[[#This Row],[rok]],punkt_szczepień__13[[#This Row],[miesiac]],punkt_szczepień__13[[#This Row],[dzień]])</f>
        <v>28841</v>
      </c>
      <c r="J391" s="1" t="str">
        <f>punkt_szczepień__13[[#This Row],[PESEL]]</f>
        <v>78121792643</v>
      </c>
      <c r="K391" s="1">
        <f>VALUE(MID(punkt_szczepień__13[[#This Row],[PESEL]],10,1))</f>
        <v>4</v>
      </c>
      <c r="L391" s="11" t="str">
        <f>IF(MOD(punkt_szczepień__13[[#This Row],[liczba płeć]],2)=0,"K","M")</f>
        <v>K</v>
      </c>
      <c r="M391" s="1"/>
      <c r="N391" s="1"/>
    </row>
    <row r="392" spans="1:14" x14ac:dyDescent="0.25">
      <c r="A392" s="1" t="s">
        <v>398</v>
      </c>
      <c r="B392" s="1" t="s">
        <v>7</v>
      </c>
      <c r="C392" s="2">
        <v>0.48466435185185186</v>
      </c>
      <c r="D392">
        <v>1</v>
      </c>
      <c r="E392">
        <f>VALUE(RIGHT(LEFT(punkt_szczepień__13[[#This Row],[PESEL]],4),2))</f>
        <v>10</v>
      </c>
      <c r="F392" s="11">
        <f>MOD(punkt_szczepień__13[[#This Row],[liczba miesiac]],20)</f>
        <v>10</v>
      </c>
      <c r="G392" s="11">
        <f>VLOOKUP(punkt_szczepień__13[[#This Row],[liczba miesiac]]-punkt_szczepień__13[[#This Row],[miesiac]],$O$3:$P$7,2,0)+VALUE(LEFT(punkt_szczepień__13[[#This Row],[PESEL]],2))</f>
        <v>1961</v>
      </c>
      <c r="H392" s="11">
        <f>VALUE(RIGHT(LEFT(punkt_szczepień__13[[#This Row],[PESEL]],6),2))</f>
        <v>3</v>
      </c>
      <c r="I392" s="3">
        <f>DATE(punkt_szczepień__13[[#This Row],[rok]],punkt_szczepień__13[[#This Row],[miesiac]],punkt_szczepień__13[[#This Row],[dzień]])</f>
        <v>22557</v>
      </c>
      <c r="J392" s="1" t="str">
        <f>punkt_szczepień__13[[#This Row],[PESEL]]</f>
        <v>61100364182</v>
      </c>
      <c r="K392" s="1">
        <f>VALUE(MID(punkt_szczepień__13[[#This Row],[PESEL]],10,1))</f>
        <v>8</v>
      </c>
      <c r="L392" s="11" t="str">
        <f>IF(MOD(punkt_szczepień__13[[#This Row],[liczba płeć]],2)=0,"K","M")</f>
        <v>K</v>
      </c>
      <c r="M392" s="1"/>
      <c r="N392" s="1"/>
    </row>
    <row r="393" spans="1:14" x14ac:dyDescent="0.25">
      <c r="A393" s="1" t="s">
        <v>399</v>
      </c>
      <c r="B393" s="1" t="s">
        <v>9</v>
      </c>
      <c r="C393" s="2">
        <v>0.48524305555555558</v>
      </c>
      <c r="D393">
        <v>2</v>
      </c>
      <c r="E393">
        <f>VALUE(RIGHT(LEFT(punkt_szczepień__13[[#This Row],[PESEL]],4),2))</f>
        <v>3</v>
      </c>
      <c r="F393" s="11">
        <f>MOD(punkt_szczepień__13[[#This Row],[liczba miesiac]],20)</f>
        <v>3</v>
      </c>
      <c r="G393" s="11">
        <f>VLOOKUP(punkt_szczepień__13[[#This Row],[liczba miesiac]]-punkt_szczepień__13[[#This Row],[miesiac]],$O$3:$P$7,2,0)+VALUE(LEFT(punkt_szczepień__13[[#This Row],[PESEL]],2))</f>
        <v>1961</v>
      </c>
      <c r="H393" s="11">
        <f>VALUE(RIGHT(LEFT(punkt_szczepień__13[[#This Row],[PESEL]],6),2))</f>
        <v>18</v>
      </c>
      <c r="I393" s="3">
        <f>DATE(punkt_szczepień__13[[#This Row],[rok]],punkt_szczepień__13[[#This Row],[miesiac]],punkt_szczepień__13[[#This Row],[dzień]])</f>
        <v>22358</v>
      </c>
      <c r="J393" s="1" t="str">
        <f>punkt_szczepień__13[[#This Row],[PESEL]]</f>
        <v>61031888674</v>
      </c>
      <c r="K393" s="1">
        <f>VALUE(MID(punkt_szczepień__13[[#This Row],[PESEL]],10,1))</f>
        <v>7</v>
      </c>
      <c r="L393" s="11" t="str">
        <f>IF(MOD(punkt_szczepień__13[[#This Row],[liczba płeć]],2)=0,"K","M")</f>
        <v>M</v>
      </c>
      <c r="M393" s="1"/>
      <c r="N393" s="1"/>
    </row>
    <row r="394" spans="1:14" x14ac:dyDescent="0.25">
      <c r="A394" s="1" t="s">
        <v>400</v>
      </c>
      <c r="B394" s="1" t="s">
        <v>5</v>
      </c>
      <c r="C394" s="2">
        <v>0.48553240740740738</v>
      </c>
      <c r="D394">
        <v>1</v>
      </c>
      <c r="E394">
        <f>VALUE(RIGHT(LEFT(punkt_szczepień__13[[#This Row],[PESEL]],4),2))</f>
        <v>7</v>
      </c>
      <c r="F394" s="11">
        <f>MOD(punkt_szczepień__13[[#This Row],[liczba miesiac]],20)</f>
        <v>7</v>
      </c>
      <c r="G394" s="11">
        <f>VLOOKUP(punkt_szczepień__13[[#This Row],[liczba miesiac]]-punkt_szczepień__13[[#This Row],[miesiac]],$O$3:$P$7,2,0)+VALUE(LEFT(punkt_szczepień__13[[#This Row],[PESEL]],2))</f>
        <v>1936</v>
      </c>
      <c r="H394" s="11">
        <f>VALUE(RIGHT(LEFT(punkt_szczepień__13[[#This Row],[PESEL]],6),2))</f>
        <v>3</v>
      </c>
      <c r="I394" s="3">
        <f>DATE(punkt_szczepień__13[[#This Row],[rok]],punkt_szczepień__13[[#This Row],[miesiac]],punkt_szczepień__13[[#This Row],[dzień]])</f>
        <v>13334</v>
      </c>
      <c r="J394" s="1" t="str">
        <f>punkt_szczepień__13[[#This Row],[PESEL]]</f>
        <v>36070317939</v>
      </c>
      <c r="K394" s="1">
        <f>VALUE(MID(punkt_szczepień__13[[#This Row],[PESEL]],10,1))</f>
        <v>3</v>
      </c>
      <c r="L394" s="11" t="str">
        <f>IF(MOD(punkt_szczepień__13[[#This Row],[liczba płeć]],2)=0,"K","M")</f>
        <v>M</v>
      </c>
      <c r="M394" s="1"/>
      <c r="N394" s="1"/>
    </row>
    <row r="395" spans="1:14" x14ac:dyDescent="0.25">
      <c r="A395" s="1" t="s">
        <v>401</v>
      </c>
      <c r="B395" s="1" t="s">
        <v>5</v>
      </c>
      <c r="C395" s="2">
        <v>0.48582175925925924</v>
      </c>
      <c r="D395">
        <v>1</v>
      </c>
      <c r="E395">
        <f>VALUE(RIGHT(LEFT(punkt_szczepień__13[[#This Row],[PESEL]],4),2))</f>
        <v>11</v>
      </c>
      <c r="F395" s="11">
        <f>MOD(punkt_szczepień__13[[#This Row],[liczba miesiac]],20)</f>
        <v>11</v>
      </c>
      <c r="G395" s="11">
        <f>VLOOKUP(punkt_szczepień__13[[#This Row],[liczba miesiac]]-punkt_szczepień__13[[#This Row],[miesiac]],$O$3:$P$7,2,0)+VALUE(LEFT(punkt_szczepień__13[[#This Row],[PESEL]],2))</f>
        <v>1966</v>
      </c>
      <c r="H395" s="11">
        <f>VALUE(RIGHT(LEFT(punkt_szczepień__13[[#This Row],[PESEL]],6),2))</f>
        <v>5</v>
      </c>
      <c r="I395" s="3">
        <f>DATE(punkt_szczepień__13[[#This Row],[rok]],punkt_szczepień__13[[#This Row],[miesiac]],punkt_szczepień__13[[#This Row],[dzień]])</f>
        <v>24416</v>
      </c>
      <c r="J395" s="1" t="str">
        <f>punkt_szczepień__13[[#This Row],[PESEL]]</f>
        <v>66110573429</v>
      </c>
      <c r="K395" s="1">
        <f>VALUE(MID(punkt_szczepień__13[[#This Row],[PESEL]],10,1))</f>
        <v>2</v>
      </c>
      <c r="L395" s="11" t="str">
        <f>IF(MOD(punkt_szczepień__13[[#This Row],[liczba płeć]],2)=0,"K","M")</f>
        <v>K</v>
      </c>
      <c r="M395" s="1"/>
      <c r="N395" s="1"/>
    </row>
    <row r="396" spans="1:14" x14ac:dyDescent="0.25">
      <c r="A396" s="1" t="s">
        <v>402</v>
      </c>
      <c r="B396" s="1" t="s">
        <v>7</v>
      </c>
      <c r="C396" s="2">
        <v>0.4861111111111111</v>
      </c>
      <c r="D396">
        <v>1</v>
      </c>
      <c r="E396">
        <f>VALUE(RIGHT(LEFT(punkt_szczepień__13[[#This Row],[PESEL]],4),2))</f>
        <v>7</v>
      </c>
      <c r="F396" s="11">
        <f>MOD(punkt_szczepień__13[[#This Row],[liczba miesiac]],20)</f>
        <v>7</v>
      </c>
      <c r="G396" s="11">
        <f>VLOOKUP(punkt_szczepień__13[[#This Row],[liczba miesiac]]-punkt_szczepień__13[[#This Row],[miesiac]],$O$3:$P$7,2,0)+VALUE(LEFT(punkt_szczepień__13[[#This Row],[PESEL]],2))</f>
        <v>1997</v>
      </c>
      <c r="H396" s="11">
        <f>VALUE(RIGHT(LEFT(punkt_szczepień__13[[#This Row],[PESEL]],6),2))</f>
        <v>10</v>
      </c>
      <c r="I396" s="3">
        <f>DATE(punkt_szczepień__13[[#This Row],[rok]],punkt_szczepień__13[[#This Row],[miesiac]],punkt_szczepień__13[[#This Row],[dzień]])</f>
        <v>35621</v>
      </c>
      <c r="J396" s="1" t="str">
        <f>punkt_szczepień__13[[#This Row],[PESEL]]</f>
        <v>97071094113</v>
      </c>
      <c r="K396" s="1">
        <f>VALUE(MID(punkt_szczepień__13[[#This Row],[PESEL]],10,1))</f>
        <v>1</v>
      </c>
      <c r="L396" s="11" t="str">
        <f>IF(MOD(punkt_szczepień__13[[#This Row],[liczba płeć]],2)=0,"K","M")</f>
        <v>M</v>
      </c>
      <c r="M396" s="1"/>
      <c r="N396" s="1"/>
    </row>
    <row r="397" spans="1:14" x14ac:dyDescent="0.25">
      <c r="A397" s="1" t="s">
        <v>403</v>
      </c>
      <c r="B397" s="1" t="s">
        <v>9</v>
      </c>
      <c r="C397" s="2">
        <v>0.48668981481481483</v>
      </c>
      <c r="D397">
        <v>2</v>
      </c>
      <c r="E397">
        <f>VALUE(RIGHT(LEFT(punkt_szczepień__13[[#This Row],[PESEL]],4),2))</f>
        <v>8</v>
      </c>
      <c r="F397" s="11">
        <f>MOD(punkt_szczepień__13[[#This Row],[liczba miesiac]],20)</f>
        <v>8</v>
      </c>
      <c r="G397" s="11">
        <f>VLOOKUP(punkt_szczepień__13[[#This Row],[liczba miesiac]]-punkt_szczepień__13[[#This Row],[miesiac]],$O$3:$P$7,2,0)+VALUE(LEFT(punkt_szczepień__13[[#This Row],[PESEL]],2))</f>
        <v>1982</v>
      </c>
      <c r="H397" s="11">
        <f>VALUE(RIGHT(LEFT(punkt_szczepień__13[[#This Row],[PESEL]],6),2))</f>
        <v>8</v>
      </c>
      <c r="I397" s="3">
        <f>DATE(punkt_szczepień__13[[#This Row],[rok]],punkt_szczepień__13[[#This Row],[miesiac]],punkt_szczepień__13[[#This Row],[dzień]])</f>
        <v>30171</v>
      </c>
      <c r="J397" s="1" t="str">
        <f>punkt_szczepień__13[[#This Row],[PESEL]]</f>
        <v>82080826231</v>
      </c>
      <c r="K397" s="1">
        <f>VALUE(MID(punkt_szczepień__13[[#This Row],[PESEL]],10,1))</f>
        <v>3</v>
      </c>
      <c r="L397" s="11" t="str">
        <f>IF(MOD(punkt_szczepień__13[[#This Row],[liczba płeć]],2)=0,"K","M")</f>
        <v>M</v>
      </c>
      <c r="M397" s="1"/>
      <c r="N397" s="1"/>
    </row>
    <row r="398" spans="1:14" x14ac:dyDescent="0.25">
      <c r="A398" s="1" t="s">
        <v>404</v>
      </c>
      <c r="B398" s="1" t="s">
        <v>9</v>
      </c>
      <c r="C398" s="2">
        <v>0.48697916666666669</v>
      </c>
      <c r="D398">
        <v>1</v>
      </c>
      <c r="E398">
        <f>VALUE(RIGHT(LEFT(punkt_szczepień__13[[#This Row],[PESEL]],4),2))</f>
        <v>3</v>
      </c>
      <c r="F398" s="11">
        <f>MOD(punkt_szczepień__13[[#This Row],[liczba miesiac]],20)</f>
        <v>3</v>
      </c>
      <c r="G398" s="11">
        <f>VLOOKUP(punkt_szczepień__13[[#This Row],[liczba miesiac]]-punkt_szczepień__13[[#This Row],[miesiac]],$O$3:$P$7,2,0)+VALUE(LEFT(punkt_szczepień__13[[#This Row],[PESEL]],2))</f>
        <v>1925</v>
      </c>
      <c r="H398" s="11">
        <f>VALUE(RIGHT(LEFT(punkt_szczepień__13[[#This Row],[PESEL]],6),2))</f>
        <v>27</v>
      </c>
      <c r="I398" s="3">
        <f>DATE(punkt_szczepień__13[[#This Row],[rok]],punkt_szczepień__13[[#This Row],[miesiac]],punkt_szczepień__13[[#This Row],[dzień]])</f>
        <v>9218</v>
      </c>
      <c r="J398" s="1" t="str">
        <f>punkt_szczepień__13[[#This Row],[PESEL]]</f>
        <v>25032732974</v>
      </c>
      <c r="K398" s="1">
        <f>VALUE(MID(punkt_szczepień__13[[#This Row],[PESEL]],10,1))</f>
        <v>7</v>
      </c>
      <c r="L398" s="11" t="str">
        <f>IF(MOD(punkt_szczepień__13[[#This Row],[liczba płeć]],2)=0,"K","M")</f>
        <v>M</v>
      </c>
      <c r="M398" s="1"/>
      <c r="N398" s="1"/>
    </row>
    <row r="399" spans="1:14" x14ac:dyDescent="0.25">
      <c r="A399" s="1" t="s">
        <v>405</v>
      </c>
      <c r="B399" s="1" t="s">
        <v>9</v>
      </c>
      <c r="C399" s="2">
        <v>0.48726851851851855</v>
      </c>
      <c r="D399">
        <v>1</v>
      </c>
      <c r="E399">
        <f>VALUE(RIGHT(LEFT(punkt_szczepień__13[[#This Row],[PESEL]],4),2))</f>
        <v>2</v>
      </c>
      <c r="F399" s="11">
        <f>MOD(punkt_szczepień__13[[#This Row],[liczba miesiac]],20)</f>
        <v>2</v>
      </c>
      <c r="G399" s="11">
        <f>VLOOKUP(punkt_szczepień__13[[#This Row],[liczba miesiac]]-punkt_szczepień__13[[#This Row],[miesiac]],$O$3:$P$7,2,0)+VALUE(LEFT(punkt_szczepień__13[[#This Row],[PESEL]],2))</f>
        <v>1957</v>
      </c>
      <c r="H399" s="11">
        <f>VALUE(RIGHT(LEFT(punkt_szczepień__13[[#This Row],[PESEL]],6),2))</f>
        <v>8</v>
      </c>
      <c r="I399" s="3">
        <f>DATE(punkt_szczepień__13[[#This Row],[rok]],punkt_szczepień__13[[#This Row],[miesiac]],punkt_szczepień__13[[#This Row],[dzień]])</f>
        <v>20859</v>
      </c>
      <c r="J399" s="1" t="str">
        <f>punkt_szczepień__13[[#This Row],[PESEL]]</f>
        <v>57020814955</v>
      </c>
      <c r="K399" s="1">
        <f>VALUE(MID(punkt_szczepień__13[[#This Row],[PESEL]],10,1))</f>
        <v>5</v>
      </c>
      <c r="L399" s="11" t="str">
        <f>IF(MOD(punkt_szczepień__13[[#This Row],[liczba płeć]],2)=0,"K","M")</f>
        <v>M</v>
      </c>
      <c r="M399" s="1"/>
      <c r="N399" s="1"/>
    </row>
    <row r="400" spans="1:14" x14ac:dyDescent="0.25">
      <c r="A400" s="1" t="s">
        <v>406</v>
      </c>
      <c r="B400" s="1" t="s">
        <v>5</v>
      </c>
      <c r="C400" s="2">
        <v>0.48784722222222221</v>
      </c>
      <c r="D400">
        <v>2</v>
      </c>
      <c r="E400">
        <f>VALUE(RIGHT(LEFT(punkt_szczepień__13[[#This Row],[PESEL]],4),2))</f>
        <v>10</v>
      </c>
      <c r="F400" s="11">
        <f>MOD(punkt_szczepień__13[[#This Row],[liczba miesiac]],20)</f>
        <v>10</v>
      </c>
      <c r="G400" s="11">
        <f>VLOOKUP(punkt_szczepień__13[[#This Row],[liczba miesiac]]-punkt_szczepień__13[[#This Row],[miesiac]],$O$3:$P$7,2,0)+VALUE(LEFT(punkt_szczepień__13[[#This Row],[PESEL]],2))</f>
        <v>1942</v>
      </c>
      <c r="H400" s="11">
        <f>VALUE(RIGHT(LEFT(punkt_szczepień__13[[#This Row],[PESEL]],6),2))</f>
        <v>13</v>
      </c>
      <c r="I400" s="3">
        <f>DATE(punkt_szczepień__13[[#This Row],[rok]],punkt_szczepień__13[[#This Row],[miesiac]],punkt_szczepień__13[[#This Row],[dzień]])</f>
        <v>15627</v>
      </c>
      <c r="J400" s="1" t="str">
        <f>punkt_szczepień__13[[#This Row],[PESEL]]</f>
        <v>42101332691</v>
      </c>
      <c r="K400" s="1">
        <f>VALUE(MID(punkt_szczepień__13[[#This Row],[PESEL]],10,1))</f>
        <v>9</v>
      </c>
      <c r="L400" s="11" t="str">
        <f>IF(MOD(punkt_szczepień__13[[#This Row],[liczba płeć]],2)=0,"K","M")</f>
        <v>M</v>
      </c>
      <c r="M400" s="1"/>
      <c r="N400" s="1"/>
    </row>
    <row r="401" spans="1:14" x14ac:dyDescent="0.25">
      <c r="A401" s="1" t="s">
        <v>407</v>
      </c>
      <c r="B401" s="1" t="s">
        <v>5</v>
      </c>
      <c r="C401" s="2">
        <v>0.48813657407407407</v>
      </c>
      <c r="D401">
        <v>1</v>
      </c>
      <c r="E401">
        <f>VALUE(RIGHT(LEFT(punkt_szczepień__13[[#This Row],[PESEL]],4),2))</f>
        <v>6</v>
      </c>
      <c r="F401" s="11">
        <f>MOD(punkt_szczepień__13[[#This Row],[liczba miesiac]],20)</f>
        <v>6</v>
      </c>
      <c r="G401" s="11">
        <f>VLOOKUP(punkt_szczepień__13[[#This Row],[liczba miesiac]]-punkt_szczepień__13[[#This Row],[miesiac]],$O$3:$P$7,2,0)+VALUE(LEFT(punkt_szczepień__13[[#This Row],[PESEL]],2))</f>
        <v>1956</v>
      </c>
      <c r="H401" s="11">
        <f>VALUE(RIGHT(LEFT(punkt_szczepień__13[[#This Row],[PESEL]],6),2))</f>
        <v>20</v>
      </c>
      <c r="I401" s="3">
        <f>DATE(punkt_szczepień__13[[#This Row],[rok]],punkt_szczepień__13[[#This Row],[miesiac]],punkt_szczepień__13[[#This Row],[dzień]])</f>
        <v>20626</v>
      </c>
      <c r="J401" s="1" t="str">
        <f>punkt_szczepień__13[[#This Row],[PESEL]]</f>
        <v>56062075915</v>
      </c>
      <c r="K401" s="1">
        <f>VALUE(MID(punkt_szczepień__13[[#This Row],[PESEL]],10,1))</f>
        <v>1</v>
      </c>
      <c r="L401" s="11" t="str">
        <f>IF(MOD(punkt_szczepień__13[[#This Row],[liczba płeć]],2)=0,"K","M")</f>
        <v>M</v>
      </c>
      <c r="M401" s="1"/>
      <c r="N401" s="1"/>
    </row>
    <row r="402" spans="1:14" x14ac:dyDescent="0.25">
      <c r="A402" s="1" t="s">
        <v>408</v>
      </c>
      <c r="B402" s="1" t="s">
        <v>7</v>
      </c>
      <c r="C402" s="2">
        <v>0.48842592592592593</v>
      </c>
      <c r="D402">
        <v>1</v>
      </c>
      <c r="E402">
        <f>VALUE(RIGHT(LEFT(punkt_szczepień__13[[#This Row],[PESEL]],4),2))</f>
        <v>11</v>
      </c>
      <c r="F402" s="11">
        <f>MOD(punkt_szczepień__13[[#This Row],[liczba miesiac]],20)</f>
        <v>11</v>
      </c>
      <c r="G402" s="11">
        <f>VLOOKUP(punkt_szczepień__13[[#This Row],[liczba miesiac]]-punkt_szczepień__13[[#This Row],[miesiac]],$O$3:$P$7,2,0)+VALUE(LEFT(punkt_szczepień__13[[#This Row],[PESEL]],2))</f>
        <v>1995</v>
      </c>
      <c r="H402" s="11">
        <f>VALUE(RIGHT(LEFT(punkt_szczepień__13[[#This Row],[PESEL]],6),2))</f>
        <v>28</v>
      </c>
      <c r="I402" s="3">
        <f>DATE(punkt_szczepień__13[[#This Row],[rok]],punkt_szczepień__13[[#This Row],[miesiac]],punkt_szczepień__13[[#This Row],[dzień]])</f>
        <v>35031</v>
      </c>
      <c r="J402" s="1" t="str">
        <f>punkt_szczepień__13[[#This Row],[PESEL]]</f>
        <v>95112846514</v>
      </c>
      <c r="K402" s="1">
        <f>VALUE(MID(punkt_szczepień__13[[#This Row],[PESEL]],10,1))</f>
        <v>1</v>
      </c>
      <c r="L402" s="11" t="str">
        <f>IF(MOD(punkt_szczepień__13[[#This Row],[liczba płeć]],2)=0,"K","M")</f>
        <v>M</v>
      </c>
      <c r="M402" s="1"/>
      <c r="N402" s="1"/>
    </row>
    <row r="403" spans="1:14" x14ac:dyDescent="0.25">
      <c r="A403" s="1" t="s">
        <v>409</v>
      </c>
      <c r="B403" s="1" t="s">
        <v>7</v>
      </c>
      <c r="C403" s="2">
        <v>0.48871527777777779</v>
      </c>
      <c r="D403">
        <v>1</v>
      </c>
      <c r="E403">
        <f>VALUE(RIGHT(LEFT(punkt_szczepień__13[[#This Row],[PESEL]],4),2))</f>
        <v>6</v>
      </c>
      <c r="F403" s="11">
        <f>MOD(punkt_szczepień__13[[#This Row],[liczba miesiac]],20)</f>
        <v>6</v>
      </c>
      <c r="G403" s="11">
        <f>VLOOKUP(punkt_szczepień__13[[#This Row],[liczba miesiac]]-punkt_szczepień__13[[#This Row],[miesiac]],$O$3:$P$7,2,0)+VALUE(LEFT(punkt_szczepień__13[[#This Row],[PESEL]],2))</f>
        <v>1934</v>
      </c>
      <c r="H403" s="11">
        <f>VALUE(RIGHT(LEFT(punkt_szczepień__13[[#This Row],[PESEL]],6),2))</f>
        <v>13</v>
      </c>
      <c r="I403" s="3">
        <f>DATE(punkt_szczepień__13[[#This Row],[rok]],punkt_szczepień__13[[#This Row],[miesiac]],punkt_szczepień__13[[#This Row],[dzień]])</f>
        <v>12583</v>
      </c>
      <c r="J403" s="1" t="str">
        <f>punkt_szczepień__13[[#This Row],[PESEL]]</f>
        <v>34061334585</v>
      </c>
      <c r="K403" s="1">
        <f>VALUE(MID(punkt_szczepień__13[[#This Row],[PESEL]],10,1))</f>
        <v>8</v>
      </c>
      <c r="L403" s="11" t="str">
        <f>IF(MOD(punkt_szczepień__13[[#This Row],[liczba płeć]],2)=0,"K","M")</f>
        <v>K</v>
      </c>
      <c r="M403" s="1"/>
      <c r="N403" s="1"/>
    </row>
    <row r="404" spans="1:14" x14ac:dyDescent="0.25">
      <c r="A404" s="1" t="s">
        <v>410</v>
      </c>
      <c r="B404" s="1" t="s">
        <v>5</v>
      </c>
      <c r="C404" s="2">
        <v>0.48929398148148145</v>
      </c>
      <c r="D404">
        <v>2</v>
      </c>
      <c r="E404">
        <f>VALUE(RIGHT(LEFT(punkt_szczepień__13[[#This Row],[PESEL]],4),2))</f>
        <v>2</v>
      </c>
      <c r="F404" s="11">
        <f>MOD(punkt_szczepień__13[[#This Row],[liczba miesiac]],20)</f>
        <v>2</v>
      </c>
      <c r="G404" s="11">
        <f>VLOOKUP(punkt_szczepień__13[[#This Row],[liczba miesiac]]-punkt_szczepień__13[[#This Row],[miesiac]],$O$3:$P$7,2,0)+VALUE(LEFT(punkt_szczepień__13[[#This Row],[PESEL]],2))</f>
        <v>1954</v>
      </c>
      <c r="H404" s="11">
        <f>VALUE(RIGHT(LEFT(punkt_szczepień__13[[#This Row],[PESEL]],6),2))</f>
        <v>26</v>
      </c>
      <c r="I404" s="3">
        <f>DATE(punkt_szczepień__13[[#This Row],[rok]],punkt_szczepień__13[[#This Row],[miesiac]],punkt_szczepień__13[[#This Row],[dzień]])</f>
        <v>19781</v>
      </c>
      <c r="J404" s="1" t="str">
        <f>punkt_szczepień__13[[#This Row],[PESEL]]</f>
        <v>54022648838</v>
      </c>
      <c r="K404" s="1">
        <f>VALUE(MID(punkt_szczepień__13[[#This Row],[PESEL]],10,1))</f>
        <v>3</v>
      </c>
      <c r="L404" s="11" t="str">
        <f>IF(MOD(punkt_szczepień__13[[#This Row],[liczba płeć]],2)=0,"K","M")</f>
        <v>M</v>
      </c>
      <c r="M404" s="1"/>
      <c r="N404" s="1"/>
    </row>
    <row r="405" spans="1:14" x14ac:dyDescent="0.25">
      <c r="A405" s="1" t="s">
        <v>411</v>
      </c>
      <c r="B405" s="1" t="s">
        <v>7</v>
      </c>
      <c r="C405" s="2">
        <v>0.48958333333333331</v>
      </c>
      <c r="D405">
        <v>1</v>
      </c>
      <c r="E405">
        <f>VALUE(RIGHT(LEFT(punkt_szczepień__13[[#This Row],[PESEL]],4),2))</f>
        <v>11</v>
      </c>
      <c r="F405" s="11">
        <f>MOD(punkt_szczepień__13[[#This Row],[liczba miesiac]],20)</f>
        <v>11</v>
      </c>
      <c r="G405" s="11">
        <f>VLOOKUP(punkt_szczepień__13[[#This Row],[liczba miesiac]]-punkt_szczepień__13[[#This Row],[miesiac]],$O$3:$P$7,2,0)+VALUE(LEFT(punkt_szczepień__13[[#This Row],[PESEL]],2))</f>
        <v>1984</v>
      </c>
      <c r="H405" s="11">
        <f>VALUE(RIGHT(LEFT(punkt_szczepień__13[[#This Row],[PESEL]],6),2))</f>
        <v>2</v>
      </c>
      <c r="I405" s="3">
        <f>DATE(punkt_szczepień__13[[#This Row],[rok]],punkt_szczepień__13[[#This Row],[miesiac]],punkt_szczepień__13[[#This Row],[dzień]])</f>
        <v>30988</v>
      </c>
      <c r="J405" s="1" t="str">
        <f>punkt_szczepień__13[[#This Row],[PESEL]]</f>
        <v>84110223373</v>
      </c>
      <c r="K405" s="1">
        <f>VALUE(MID(punkt_szczepień__13[[#This Row],[PESEL]],10,1))</f>
        <v>7</v>
      </c>
      <c r="L405" s="11" t="str">
        <f>IF(MOD(punkt_szczepień__13[[#This Row],[liczba płeć]],2)=0,"K","M")</f>
        <v>M</v>
      </c>
      <c r="M405" s="1"/>
      <c r="N405" s="1"/>
    </row>
    <row r="406" spans="1:14" x14ac:dyDescent="0.25">
      <c r="A406" s="1" t="s">
        <v>412</v>
      </c>
      <c r="B406" s="1" t="s">
        <v>5</v>
      </c>
      <c r="C406" s="2">
        <v>0.48987268518518517</v>
      </c>
      <c r="D406">
        <v>1</v>
      </c>
      <c r="E406">
        <f>VALUE(RIGHT(LEFT(punkt_szczepień__13[[#This Row],[PESEL]],4),2))</f>
        <v>4</v>
      </c>
      <c r="F406" s="11">
        <f>MOD(punkt_szczepień__13[[#This Row],[liczba miesiac]],20)</f>
        <v>4</v>
      </c>
      <c r="G406" s="11">
        <f>VLOOKUP(punkt_szczepień__13[[#This Row],[liczba miesiac]]-punkt_szczepień__13[[#This Row],[miesiac]],$O$3:$P$7,2,0)+VALUE(LEFT(punkt_szczepień__13[[#This Row],[PESEL]],2))</f>
        <v>1952</v>
      </c>
      <c r="H406" s="11">
        <f>VALUE(RIGHT(LEFT(punkt_szczepień__13[[#This Row],[PESEL]],6),2))</f>
        <v>18</v>
      </c>
      <c r="I406" s="3">
        <f>DATE(punkt_szczepień__13[[#This Row],[rok]],punkt_szczepień__13[[#This Row],[miesiac]],punkt_szczepień__13[[#This Row],[dzień]])</f>
        <v>19102</v>
      </c>
      <c r="J406" s="1" t="str">
        <f>punkt_szczepień__13[[#This Row],[PESEL]]</f>
        <v>52041838456</v>
      </c>
      <c r="K406" s="1">
        <f>VALUE(MID(punkt_szczepień__13[[#This Row],[PESEL]],10,1))</f>
        <v>5</v>
      </c>
      <c r="L406" s="11" t="str">
        <f>IF(MOD(punkt_szczepień__13[[#This Row],[liczba płeć]],2)=0,"K","M")</f>
        <v>M</v>
      </c>
      <c r="M406" s="1"/>
      <c r="N406" s="1"/>
    </row>
    <row r="407" spans="1:14" x14ac:dyDescent="0.25">
      <c r="A407" s="1" t="s">
        <v>413</v>
      </c>
      <c r="B407" s="1" t="s">
        <v>7</v>
      </c>
      <c r="C407" s="2">
        <v>0.49016203703703703</v>
      </c>
      <c r="D407">
        <v>1</v>
      </c>
      <c r="E407">
        <f>VALUE(RIGHT(LEFT(punkt_szczepień__13[[#This Row],[PESEL]],4),2))</f>
        <v>3</v>
      </c>
      <c r="F407" s="11">
        <f>MOD(punkt_szczepień__13[[#This Row],[liczba miesiac]],20)</f>
        <v>3</v>
      </c>
      <c r="G407" s="11">
        <f>VLOOKUP(punkt_szczepień__13[[#This Row],[liczba miesiac]]-punkt_szczepień__13[[#This Row],[miesiac]],$O$3:$P$7,2,0)+VALUE(LEFT(punkt_szczepień__13[[#This Row],[PESEL]],2))</f>
        <v>1984</v>
      </c>
      <c r="H407" s="11">
        <f>VALUE(RIGHT(LEFT(punkt_szczepień__13[[#This Row],[PESEL]],6),2))</f>
        <v>13</v>
      </c>
      <c r="I407" s="3">
        <f>DATE(punkt_szczepień__13[[#This Row],[rok]],punkt_szczepień__13[[#This Row],[miesiac]],punkt_szczepień__13[[#This Row],[dzień]])</f>
        <v>30754</v>
      </c>
      <c r="J407" s="1" t="str">
        <f>punkt_szczepień__13[[#This Row],[PESEL]]</f>
        <v>84031322513</v>
      </c>
      <c r="K407" s="1">
        <f>VALUE(MID(punkt_szczepień__13[[#This Row],[PESEL]],10,1))</f>
        <v>1</v>
      </c>
      <c r="L407" s="11" t="str">
        <f>IF(MOD(punkt_szczepień__13[[#This Row],[liczba płeć]],2)=0,"K","M")</f>
        <v>M</v>
      </c>
      <c r="M407" s="1"/>
      <c r="N407" s="1"/>
    </row>
    <row r="408" spans="1:14" x14ac:dyDescent="0.25">
      <c r="A408" s="1" t="s">
        <v>414</v>
      </c>
      <c r="B408" s="1" t="s">
        <v>9</v>
      </c>
      <c r="C408" s="2">
        <v>0.4904513888888889</v>
      </c>
      <c r="D408">
        <v>1</v>
      </c>
      <c r="E408">
        <f>VALUE(RIGHT(LEFT(punkt_szczepień__13[[#This Row],[PESEL]],4),2))</f>
        <v>3</v>
      </c>
      <c r="F408" s="11">
        <f>MOD(punkt_szczepień__13[[#This Row],[liczba miesiac]],20)</f>
        <v>3</v>
      </c>
      <c r="G408" s="11">
        <f>VLOOKUP(punkt_szczepień__13[[#This Row],[liczba miesiac]]-punkt_szczepień__13[[#This Row],[miesiac]],$O$3:$P$7,2,0)+VALUE(LEFT(punkt_szczepień__13[[#This Row],[PESEL]],2))</f>
        <v>1932</v>
      </c>
      <c r="H408" s="11">
        <f>VALUE(RIGHT(LEFT(punkt_szczepień__13[[#This Row],[PESEL]],6),2))</f>
        <v>21</v>
      </c>
      <c r="I408" s="3">
        <f>DATE(punkt_szczepień__13[[#This Row],[rok]],punkt_szczepień__13[[#This Row],[miesiac]],punkt_szczepień__13[[#This Row],[dzień]])</f>
        <v>11769</v>
      </c>
      <c r="J408" s="1" t="str">
        <f>punkt_szczepień__13[[#This Row],[PESEL]]</f>
        <v>32032162719</v>
      </c>
      <c r="K408" s="1">
        <f>VALUE(MID(punkt_szczepień__13[[#This Row],[PESEL]],10,1))</f>
        <v>1</v>
      </c>
      <c r="L408" s="11" t="str">
        <f>IF(MOD(punkt_szczepień__13[[#This Row],[liczba płeć]],2)=0,"K","M")</f>
        <v>M</v>
      </c>
      <c r="M408" s="1"/>
      <c r="N408" s="1"/>
    </row>
    <row r="409" spans="1:14" x14ac:dyDescent="0.25">
      <c r="A409" s="1" t="s">
        <v>415</v>
      </c>
      <c r="B409" s="1" t="s">
        <v>5</v>
      </c>
      <c r="C409" s="2">
        <v>0.49074074074074076</v>
      </c>
      <c r="D409">
        <v>1</v>
      </c>
      <c r="E409">
        <f>VALUE(RIGHT(LEFT(punkt_szczepień__13[[#This Row],[PESEL]],4),2))</f>
        <v>7</v>
      </c>
      <c r="F409" s="11">
        <f>MOD(punkt_szczepień__13[[#This Row],[liczba miesiac]],20)</f>
        <v>7</v>
      </c>
      <c r="G409" s="11">
        <f>VLOOKUP(punkt_szczepień__13[[#This Row],[liczba miesiac]]-punkt_szczepień__13[[#This Row],[miesiac]],$O$3:$P$7,2,0)+VALUE(LEFT(punkt_szczepień__13[[#This Row],[PESEL]],2))</f>
        <v>1997</v>
      </c>
      <c r="H409" s="11">
        <f>VALUE(RIGHT(LEFT(punkt_szczepień__13[[#This Row],[PESEL]],6),2))</f>
        <v>13</v>
      </c>
      <c r="I409" s="3">
        <f>DATE(punkt_szczepień__13[[#This Row],[rok]],punkt_szczepień__13[[#This Row],[miesiac]],punkt_szczepień__13[[#This Row],[dzień]])</f>
        <v>35624</v>
      </c>
      <c r="J409" s="1" t="str">
        <f>punkt_szczepień__13[[#This Row],[PESEL]]</f>
        <v>97071355946</v>
      </c>
      <c r="K409" s="1">
        <f>VALUE(MID(punkt_szczepień__13[[#This Row],[PESEL]],10,1))</f>
        <v>4</v>
      </c>
      <c r="L409" s="11" t="str">
        <f>IF(MOD(punkt_szczepień__13[[#This Row],[liczba płeć]],2)=0,"K","M")</f>
        <v>K</v>
      </c>
      <c r="M409" s="1"/>
      <c r="N409" s="1"/>
    </row>
    <row r="410" spans="1:14" x14ac:dyDescent="0.25">
      <c r="A410" s="1" t="s">
        <v>416</v>
      </c>
      <c r="B410" s="1" t="s">
        <v>9</v>
      </c>
      <c r="C410" s="2">
        <v>0.49131944444444442</v>
      </c>
      <c r="D410">
        <v>2</v>
      </c>
      <c r="E410">
        <f>VALUE(RIGHT(LEFT(punkt_szczepień__13[[#This Row],[PESEL]],4),2))</f>
        <v>3</v>
      </c>
      <c r="F410" s="11">
        <f>MOD(punkt_szczepień__13[[#This Row],[liczba miesiac]],20)</f>
        <v>3</v>
      </c>
      <c r="G410" s="11">
        <f>VLOOKUP(punkt_szczepień__13[[#This Row],[liczba miesiac]]-punkt_szczepień__13[[#This Row],[miesiac]],$O$3:$P$7,2,0)+VALUE(LEFT(punkt_szczepień__13[[#This Row],[PESEL]],2))</f>
        <v>1968</v>
      </c>
      <c r="H410" s="11">
        <f>VALUE(RIGHT(LEFT(punkt_szczepień__13[[#This Row],[PESEL]],6),2))</f>
        <v>12</v>
      </c>
      <c r="I410" s="3">
        <f>DATE(punkt_szczepień__13[[#This Row],[rok]],punkt_szczepień__13[[#This Row],[miesiac]],punkt_szczepień__13[[#This Row],[dzień]])</f>
        <v>24909</v>
      </c>
      <c r="J410" s="1" t="str">
        <f>punkt_szczepień__13[[#This Row],[PESEL]]</f>
        <v>68031278319</v>
      </c>
      <c r="K410" s="1">
        <f>VALUE(MID(punkt_szczepień__13[[#This Row],[PESEL]],10,1))</f>
        <v>1</v>
      </c>
      <c r="L410" s="11" t="str">
        <f>IF(MOD(punkt_szczepień__13[[#This Row],[liczba płeć]],2)=0,"K","M")</f>
        <v>M</v>
      </c>
      <c r="M410" s="1"/>
      <c r="N410" s="1"/>
    </row>
    <row r="411" spans="1:14" x14ac:dyDescent="0.25">
      <c r="A411" s="1" t="s">
        <v>417</v>
      </c>
      <c r="B411" s="1" t="s">
        <v>9</v>
      </c>
      <c r="C411" s="2">
        <v>0.49160879629629628</v>
      </c>
      <c r="D411">
        <v>1</v>
      </c>
      <c r="E411">
        <f>VALUE(RIGHT(LEFT(punkt_szczepień__13[[#This Row],[PESEL]],4),2))</f>
        <v>9</v>
      </c>
      <c r="F411" s="11">
        <f>MOD(punkt_szczepień__13[[#This Row],[liczba miesiac]],20)</f>
        <v>9</v>
      </c>
      <c r="G411" s="11">
        <f>VLOOKUP(punkt_szczepień__13[[#This Row],[liczba miesiac]]-punkt_szczepień__13[[#This Row],[miesiac]],$O$3:$P$7,2,0)+VALUE(LEFT(punkt_szczepień__13[[#This Row],[PESEL]],2))</f>
        <v>1974</v>
      </c>
      <c r="H411" s="11">
        <f>VALUE(RIGHT(LEFT(punkt_szczepień__13[[#This Row],[PESEL]],6),2))</f>
        <v>13</v>
      </c>
      <c r="I411" s="3">
        <f>DATE(punkt_szczepień__13[[#This Row],[rok]],punkt_szczepień__13[[#This Row],[miesiac]],punkt_szczepień__13[[#This Row],[dzień]])</f>
        <v>27285</v>
      </c>
      <c r="J411" s="1" t="str">
        <f>punkt_szczepień__13[[#This Row],[PESEL]]</f>
        <v>74091385948</v>
      </c>
      <c r="K411" s="1">
        <f>VALUE(MID(punkt_szczepień__13[[#This Row],[PESEL]],10,1))</f>
        <v>4</v>
      </c>
      <c r="L411" s="11" t="str">
        <f>IF(MOD(punkt_szczepień__13[[#This Row],[liczba płeć]],2)=0,"K","M")</f>
        <v>K</v>
      </c>
      <c r="M411" s="1"/>
      <c r="N411" s="1"/>
    </row>
    <row r="412" spans="1:14" x14ac:dyDescent="0.25">
      <c r="A412" s="1" t="s">
        <v>418</v>
      </c>
      <c r="B412" s="1" t="s">
        <v>7</v>
      </c>
      <c r="C412" s="2">
        <v>0.49189814814814814</v>
      </c>
      <c r="D412">
        <v>1</v>
      </c>
      <c r="E412">
        <f>VALUE(RIGHT(LEFT(punkt_szczepień__13[[#This Row],[PESEL]],4),2))</f>
        <v>3</v>
      </c>
      <c r="F412" s="11">
        <f>MOD(punkt_szczepień__13[[#This Row],[liczba miesiac]],20)</f>
        <v>3</v>
      </c>
      <c r="G412" s="11">
        <f>VLOOKUP(punkt_szczepień__13[[#This Row],[liczba miesiac]]-punkt_szczepień__13[[#This Row],[miesiac]],$O$3:$P$7,2,0)+VALUE(LEFT(punkt_szczepień__13[[#This Row],[PESEL]],2))</f>
        <v>1998</v>
      </c>
      <c r="H412" s="11">
        <f>VALUE(RIGHT(LEFT(punkt_szczepień__13[[#This Row],[PESEL]],6),2))</f>
        <v>18</v>
      </c>
      <c r="I412" s="3">
        <f>DATE(punkt_szczepień__13[[#This Row],[rok]],punkt_szczepień__13[[#This Row],[miesiac]],punkt_szczepień__13[[#This Row],[dzień]])</f>
        <v>35872</v>
      </c>
      <c r="J412" s="1" t="str">
        <f>punkt_szczepień__13[[#This Row],[PESEL]]</f>
        <v>98031871755</v>
      </c>
      <c r="K412" s="1">
        <f>VALUE(MID(punkt_szczepień__13[[#This Row],[PESEL]],10,1))</f>
        <v>5</v>
      </c>
      <c r="L412" s="11" t="str">
        <f>IF(MOD(punkt_szczepień__13[[#This Row],[liczba płeć]],2)=0,"K","M")</f>
        <v>M</v>
      </c>
      <c r="M412" s="1"/>
      <c r="N412" s="1"/>
    </row>
    <row r="413" spans="1:14" x14ac:dyDescent="0.25">
      <c r="A413" s="1" t="s">
        <v>419</v>
      </c>
      <c r="B413" s="1" t="s">
        <v>7</v>
      </c>
      <c r="C413" s="2">
        <v>0.4921875</v>
      </c>
      <c r="D413">
        <v>1</v>
      </c>
      <c r="E413">
        <f>VALUE(RIGHT(LEFT(punkt_szczepień__13[[#This Row],[PESEL]],4),2))</f>
        <v>3</v>
      </c>
      <c r="F413" s="11">
        <f>MOD(punkt_szczepień__13[[#This Row],[liczba miesiac]],20)</f>
        <v>3</v>
      </c>
      <c r="G413" s="11">
        <f>VLOOKUP(punkt_szczepień__13[[#This Row],[liczba miesiac]]-punkt_szczepień__13[[#This Row],[miesiac]],$O$3:$P$7,2,0)+VALUE(LEFT(punkt_szczepień__13[[#This Row],[PESEL]],2))</f>
        <v>1920</v>
      </c>
      <c r="H413" s="11">
        <f>VALUE(RIGHT(LEFT(punkt_szczepień__13[[#This Row],[PESEL]],6),2))</f>
        <v>31</v>
      </c>
      <c r="I413" s="3">
        <f>DATE(punkt_szczepień__13[[#This Row],[rok]],punkt_szczepień__13[[#This Row],[miesiac]],punkt_szczepień__13[[#This Row],[dzień]])</f>
        <v>7396</v>
      </c>
      <c r="J413" s="1" t="str">
        <f>punkt_szczepień__13[[#This Row],[PESEL]]</f>
        <v>20033117319</v>
      </c>
      <c r="K413" s="1">
        <f>VALUE(MID(punkt_szczepień__13[[#This Row],[PESEL]],10,1))</f>
        <v>1</v>
      </c>
      <c r="L413" s="11" t="str">
        <f>IF(MOD(punkt_szczepień__13[[#This Row],[liczba płeć]],2)=0,"K","M")</f>
        <v>M</v>
      </c>
      <c r="M413" s="1"/>
      <c r="N413" s="1"/>
    </row>
    <row r="414" spans="1:14" x14ac:dyDescent="0.25">
      <c r="A414" s="1" t="s">
        <v>420</v>
      </c>
      <c r="B414" s="1" t="s">
        <v>9</v>
      </c>
      <c r="C414" s="2">
        <v>0.49276620370370372</v>
      </c>
      <c r="D414">
        <v>2</v>
      </c>
      <c r="E414">
        <f>VALUE(RIGHT(LEFT(punkt_szczepień__13[[#This Row],[PESEL]],4),2))</f>
        <v>6</v>
      </c>
      <c r="F414" s="11">
        <f>MOD(punkt_szczepień__13[[#This Row],[liczba miesiac]],20)</f>
        <v>6</v>
      </c>
      <c r="G414" s="11">
        <f>VLOOKUP(punkt_szczepień__13[[#This Row],[liczba miesiac]]-punkt_szczepień__13[[#This Row],[miesiac]],$O$3:$P$7,2,0)+VALUE(LEFT(punkt_szczepień__13[[#This Row],[PESEL]],2))</f>
        <v>1961</v>
      </c>
      <c r="H414" s="11">
        <f>VALUE(RIGHT(LEFT(punkt_szczepień__13[[#This Row],[PESEL]],6),2))</f>
        <v>17</v>
      </c>
      <c r="I414" s="3">
        <f>DATE(punkt_szczepień__13[[#This Row],[rok]],punkt_szczepień__13[[#This Row],[miesiac]],punkt_szczepień__13[[#This Row],[dzień]])</f>
        <v>22449</v>
      </c>
      <c r="J414" s="1" t="str">
        <f>punkt_szczepień__13[[#This Row],[PESEL]]</f>
        <v>61061737391</v>
      </c>
      <c r="K414" s="1">
        <f>VALUE(MID(punkt_szczepień__13[[#This Row],[PESEL]],10,1))</f>
        <v>9</v>
      </c>
      <c r="L414" s="11" t="str">
        <f>IF(MOD(punkt_szczepień__13[[#This Row],[liczba płeć]],2)=0,"K","M")</f>
        <v>M</v>
      </c>
      <c r="M414" s="1"/>
      <c r="N414" s="1"/>
    </row>
    <row r="415" spans="1:14" x14ac:dyDescent="0.25">
      <c r="A415" s="1" t="s">
        <v>421</v>
      </c>
      <c r="B415" s="1" t="s">
        <v>9</v>
      </c>
      <c r="C415" s="2">
        <v>0.49305555555555558</v>
      </c>
      <c r="D415">
        <v>1</v>
      </c>
      <c r="E415">
        <f>VALUE(RIGHT(LEFT(punkt_szczepień__13[[#This Row],[PESEL]],4),2))</f>
        <v>5</v>
      </c>
      <c r="F415" s="11">
        <f>MOD(punkt_szczepień__13[[#This Row],[liczba miesiac]],20)</f>
        <v>5</v>
      </c>
      <c r="G415" s="11">
        <f>VLOOKUP(punkt_szczepień__13[[#This Row],[liczba miesiac]]-punkt_szczepień__13[[#This Row],[miesiac]],$O$3:$P$7,2,0)+VALUE(LEFT(punkt_szczepień__13[[#This Row],[PESEL]],2))</f>
        <v>1941</v>
      </c>
      <c r="H415" s="11">
        <f>VALUE(RIGHT(LEFT(punkt_szczepień__13[[#This Row],[PESEL]],6),2))</f>
        <v>21</v>
      </c>
      <c r="I415" s="3">
        <f>DATE(punkt_szczepień__13[[#This Row],[rok]],punkt_szczepień__13[[#This Row],[miesiac]],punkt_szczepień__13[[#This Row],[dzień]])</f>
        <v>15117</v>
      </c>
      <c r="J415" s="1" t="str">
        <f>punkt_szczepień__13[[#This Row],[PESEL]]</f>
        <v>41052166915</v>
      </c>
      <c r="K415" s="1">
        <f>VALUE(MID(punkt_szczepień__13[[#This Row],[PESEL]],10,1))</f>
        <v>1</v>
      </c>
      <c r="L415" s="11" t="str">
        <f>IF(MOD(punkt_szczepień__13[[#This Row],[liczba płeć]],2)=0,"K","M")</f>
        <v>M</v>
      </c>
      <c r="M415" s="1"/>
      <c r="N415" s="1"/>
    </row>
    <row r="416" spans="1:14" x14ac:dyDescent="0.25">
      <c r="A416" s="1" t="s">
        <v>422</v>
      </c>
      <c r="B416" s="1" t="s">
        <v>9</v>
      </c>
      <c r="C416" s="2">
        <v>0.49363425925925924</v>
      </c>
      <c r="D416">
        <v>2</v>
      </c>
      <c r="E416">
        <f>VALUE(RIGHT(LEFT(punkt_szczepień__13[[#This Row],[PESEL]],4),2))</f>
        <v>12</v>
      </c>
      <c r="F416" s="11">
        <f>MOD(punkt_szczepień__13[[#This Row],[liczba miesiac]],20)</f>
        <v>12</v>
      </c>
      <c r="G416" s="11">
        <f>VLOOKUP(punkt_szczepień__13[[#This Row],[liczba miesiac]]-punkt_szczepień__13[[#This Row],[miesiac]],$O$3:$P$7,2,0)+VALUE(LEFT(punkt_szczepień__13[[#This Row],[PESEL]],2))</f>
        <v>1930</v>
      </c>
      <c r="H416" s="11">
        <f>VALUE(RIGHT(LEFT(punkt_szczepień__13[[#This Row],[PESEL]],6),2))</f>
        <v>6</v>
      </c>
      <c r="I416" s="3">
        <f>DATE(punkt_szczepień__13[[#This Row],[rok]],punkt_szczepień__13[[#This Row],[miesiac]],punkt_szczepień__13[[#This Row],[dzień]])</f>
        <v>11298</v>
      </c>
      <c r="J416" s="1" t="str">
        <f>punkt_szczepień__13[[#This Row],[PESEL]]</f>
        <v>30120672731</v>
      </c>
      <c r="K416" s="1">
        <f>VALUE(MID(punkt_szczepień__13[[#This Row],[PESEL]],10,1))</f>
        <v>3</v>
      </c>
      <c r="L416" s="11" t="str">
        <f>IF(MOD(punkt_szczepień__13[[#This Row],[liczba płeć]],2)=0,"K","M")</f>
        <v>M</v>
      </c>
      <c r="M416" s="1"/>
      <c r="N416" s="1"/>
    </row>
    <row r="417" spans="1:14" x14ac:dyDescent="0.25">
      <c r="A417" s="1" t="s">
        <v>423</v>
      </c>
      <c r="B417" s="1" t="s">
        <v>5</v>
      </c>
      <c r="C417" s="2">
        <v>0.49421296296296297</v>
      </c>
      <c r="D417">
        <v>2</v>
      </c>
      <c r="E417">
        <f>VALUE(RIGHT(LEFT(punkt_szczepień__13[[#This Row],[PESEL]],4),2))</f>
        <v>3</v>
      </c>
      <c r="F417" s="11">
        <f>MOD(punkt_szczepień__13[[#This Row],[liczba miesiac]],20)</f>
        <v>3</v>
      </c>
      <c r="G417" s="11">
        <f>VLOOKUP(punkt_szczepień__13[[#This Row],[liczba miesiac]]-punkt_szczepień__13[[#This Row],[miesiac]],$O$3:$P$7,2,0)+VALUE(LEFT(punkt_szczepień__13[[#This Row],[PESEL]],2))</f>
        <v>1937</v>
      </c>
      <c r="H417" s="11">
        <f>VALUE(RIGHT(LEFT(punkt_szczepień__13[[#This Row],[PESEL]],6),2))</f>
        <v>7</v>
      </c>
      <c r="I417" s="3">
        <f>DATE(punkt_szczepień__13[[#This Row],[rok]],punkt_szczepień__13[[#This Row],[miesiac]],punkt_szczepień__13[[#This Row],[dzień]])</f>
        <v>13581</v>
      </c>
      <c r="J417" s="1" t="str">
        <f>punkt_szczepień__13[[#This Row],[PESEL]]</f>
        <v>37030758148</v>
      </c>
      <c r="K417" s="1">
        <f>VALUE(MID(punkt_szczepień__13[[#This Row],[PESEL]],10,1))</f>
        <v>4</v>
      </c>
      <c r="L417" s="11" t="str">
        <f>IF(MOD(punkt_szczepień__13[[#This Row],[liczba płeć]],2)=0,"K","M")</f>
        <v>K</v>
      </c>
      <c r="M417" s="1"/>
      <c r="N417" s="1"/>
    </row>
    <row r="418" spans="1:14" x14ac:dyDescent="0.25">
      <c r="A418" s="1" t="s">
        <v>424</v>
      </c>
      <c r="B418" s="1" t="s">
        <v>7</v>
      </c>
      <c r="C418" s="2">
        <v>0.49450231481481483</v>
      </c>
      <c r="D418">
        <v>1</v>
      </c>
      <c r="E418">
        <f>VALUE(RIGHT(LEFT(punkt_szczepień__13[[#This Row],[PESEL]],4),2))</f>
        <v>12</v>
      </c>
      <c r="F418" s="11">
        <f>MOD(punkt_szczepień__13[[#This Row],[liczba miesiac]],20)</f>
        <v>12</v>
      </c>
      <c r="G418" s="11">
        <f>VLOOKUP(punkt_szczepień__13[[#This Row],[liczba miesiac]]-punkt_szczepień__13[[#This Row],[miesiac]],$O$3:$P$7,2,0)+VALUE(LEFT(punkt_szczepień__13[[#This Row],[PESEL]],2))</f>
        <v>1973</v>
      </c>
      <c r="H418" s="11">
        <f>VALUE(RIGHT(LEFT(punkt_szczepień__13[[#This Row],[PESEL]],6),2))</f>
        <v>9</v>
      </c>
      <c r="I418" s="3">
        <f>DATE(punkt_szczepień__13[[#This Row],[rok]],punkt_szczepień__13[[#This Row],[miesiac]],punkt_szczepień__13[[#This Row],[dzień]])</f>
        <v>27007</v>
      </c>
      <c r="J418" s="1" t="str">
        <f>punkt_szczepień__13[[#This Row],[PESEL]]</f>
        <v>73120916124</v>
      </c>
      <c r="K418" s="1">
        <f>VALUE(MID(punkt_szczepień__13[[#This Row],[PESEL]],10,1))</f>
        <v>2</v>
      </c>
      <c r="L418" s="11" t="str">
        <f>IF(MOD(punkt_szczepień__13[[#This Row],[liczba płeć]],2)=0,"K","M")</f>
        <v>K</v>
      </c>
      <c r="M418" s="1"/>
      <c r="N418" s="1"/>
    </row>
    <row r="419" spans="1:14" x14ac:dyDescent="0.25">
      <c r="A419" s="1" t="s">
        <v>425</v>
      </c>
      <c r="B419" s="1" t="s">
        <v>5</v>
      </c>
      <c r="C419" s="2">
        <v>0.49479166666666669</v>
      </c>
      <c r="D419">
        <v>1</v>
      </c>
      <c r="E419">
        <f>VALUE(RIGHT(LEFT(punkt_szczepień__13[[#This Row],[PESEL]],4),2))</f>
        <v>5</v>
      </c>
      <c r="F419" s="11">
        <f>MOD(punkt_szczepień__13[[#This Row],[liczba miesiac]],20)</f>
        <v>5</v>
      </c>
      <c r="G419" s="11">
        <f>VLOOKUP(punkt_szczepień__13[[#This Row],[liczba miesiac]]-punkt_szczepień__13[[#This Row],[miesiac]],$O$3:$P$7,2,0)+VALUE(LEFT(punkt_szczepień__13[[#This Row],[PESEL]],2))</f>
        <v>1997</v>
      </c>
      <c r="H419" s="11">
        <f>VALUE(RIGHT(LEFT(punkt_szczepień__13[[#This Row],[PESEL]],6),2))</f>
        <v>7</v>
      </c>
      <c r="I419" s="3">
        <f>DATE(punkt_szczepień__13[[#This Row],[rok]],punkt_szczepień__13[[#This Row],[miesiac]],punkt_szczepień__13[[#This Row],[dzień]])</f>
        <v>35557</v>
      </c>
      <c r="J419" s="1" t="str">
        <f>punkt_szczepień__13[[#This Row],[PESEL]]</f>
        <v>97050796267</v>
      </c>
      <c r="K419" s="1">
        <f>VALUE(MID(punkt_szczepień__13[[#This Row],[PESEL]],10,1))</f>
        <v>6</v>
      </c>
      <c r="L419" s="11" t="str">
        <f>IF(MOD(punkt_szczepień__13[[#This Row],[liczba płeć]],2)=0,"K","M")</f>
        <v>K</v>
      </c>
      <c r="M419" s="1"/>
      <c r="N419" s="1"/>
    </row>
    <row r="420" spans="1:14" x14ac:dyDescent="0.25">
      <c r="A420" s="1" t="s">
        <v>426</v>
      </c>
      <c r="B420" s="1" t="s">
        <v>27</v>
      </c>
      <c r="C420" s="2">
        <v>0.49537037037037035</v>
      </c>
      <c r="D420">
        <v>2</v>
      </c>
      <c r="E420">
        <f>VALUE(RIGHT(LEFT(punkt_szczepień__13[[#This Row],[PESEL]],4),2))</f>
        <v>31</v>
      </c>
      <c r="F420" s="11">
        <f>MOD(punkt_szczepień__13[[#This Row],[liczba miesiac]],20)</f>
        <v>11</v>
      </c>
      <c r="G420" s="11">
        <f>VLOOKUP(punkt_szczepień__13[[#This Row],[liczba miesiac]]-punkt_szczepień__13[[#This Row],[miesiac]],$O$3:$P$7,2,0)+VALUE(LEFT(punkt_szczepień__13[[#This Row],[PESEL]],2))</f>
        <v>2002</v>
      </c>
      <c r="H420" s="11">
        <f>VALUE(RIGHT(LEFT(punkt_szczepień__13[[#This Row],[PESEL]],6),2))</f>
        <v>9</v>
      </c>
      <c r="I420" s="3">
        <f>DATE(punkt_szczepień__13[[#This Row],[rok]],punkt_szczepień__13[[#This Row],[miesiac]],punkt_szczepień__13[[#This Row],[dzień]])</f>
        <v>37569</v>
      </c>
      <c r="J420" s="1" t="str">
        <f>punkt_szczepień__13[[#This Row],[PESEL]]</f>
        <v>02310988788</v>
      </c>
      <c r="K420" s="1">
        <f>VALUE(MID(punkt_szczepień__13[[#This Row],[PESEL]],10,1))</f>
        <v>8</v>
      </c>
      <c r="L420" s="11" t="str">
        <f>IF(MOD(punkt_szczepień__13[[#This Row],[liczba płeć]],2)=0,"K","M")</f>
        <v>K</v>
      </c>
      <c r="M420" s="1"/>
      <c r="N420" s="1"/>
    </row>
    <row r="421" spans="1:14" x14ac:dyDescent="0.25">
      <c r="A421" s="1" t="s">
        <v>427</v>
      </c>
      <c r="B421" s="1" t="s">
        <v>7</v>
      </c>
      <c r="C421" s="2">
        <v>0.49565972222222221</v>
      </c>
      <c r="D421">
        <v>1</v>
      </c>
      <c r="E421">
        <f>VALUE(RIGHT(LEFT(punkt_szczepień__13[[#This Row],[PESEL]],4),2))</f>
        <v>7</v>
      </c>
      <c r="F421" s="11">
        <f>MOD(punkt_szczepień__13[[#This Row],[liczba miesiac]],20)</f>
        <v>7</v>
      </c>
      <c r="G421" s="11">
        <f>VLOOKUP(punkt_szczepień__13[[#This Row],[liczba miesiac]]-punkt_szczepień__13[[#This Row],[miesiac]],$O$3:$P$7,2,0)+VALUE(LEFT(punkt_szczepień__13[[#This Row],[PESEL]],2))</f>
        <v>1960</v>
      </c>
      <c r="H421" s="11">
        <f>VALUE(RIGHT(LEFT(punkt_szczepień__13[[#This Row],[PESEL]],6),2))</f>
        <v>25</v>
      </c>
      <c r="I421" s="3">
        <f>DATE(punkt_szczepień__13[[#This Row],[rok]],punkt_szczepień__13[[#This Row],[miesiac]],punkt_szczepień__13[[#This Row],[dzień]])</f>
        <v>22122</v>
      </c>
      <c r="J421" s="1" t="str">
        <f>punkt_szczepień__13[[#This Row],[PESEL]]</f>
        <v>60072586165</v>
      </c>
      <c r="K421" s="1">
        <f>VALUE(MID(punkt_szczepień__13[[#This Row],[PESEL]],10,1))</f>
        <v>6</v>
      </c>
      <c r="L421" s="11" t="str">
        <f>IF(MOD(punkt_szczepień__13[[#This Row],[liczba płeć]],2)=0,"K","M")</f>
        <v>K</v>
      </c>
      <c r="M421" s="1"/>
      <c r="N421" s="1"/>
    </row>
    <row r="422" spans="1:14" x14ac:dyDescent="0.25">
      <c r="A422" s="1" t="s">
        <v>428</v>
      </c>
      <c r="B422" s="1" t="s">
        <v>5</v>
      </c>
      <c r="C422" s="2">
        <v>0.49623842592592593</v>
      </c>
      <c r="D422">
        <v>2</v>
      </c>
      <c r="E422">
        <f>VALUE(RIGHT(LEFT(punkt_szczepień__13[[#This Row],[PESEL]],4),2))</f>
        <v>8</v>
      </c>
      <c r="F422" s="11">
        <f>MOD(punkt_szczepień__13[[#This Row],[liczba miesiac]],20)</f>
        <v>8</v>
      </c>
      <c r="G422" s="11">
        <f>VLOOKUP(punkt_szczepień__13[[#This Row],[liczba miesiac]]-punkt_szczepień__13[[#This Row],[miesiac]],$O$3:$P$7,2,0)+VALUE(LEFT(punkt_szczepień__13[[#This Row],[PESEL]],2))</f>
        <v>1920</v>
      </c>
      <c r="H422" s="11">
        <f>VALUE(RIGHT(LEFT(punkt_szczepień__13[[#This Row],[PESEL]],6),2))</f>
        <v>30</v>
      </c>
      <c r="I422" s="3">
        <f>DATE(punkt_szczepień__13[[#This Row],[rok]],punkt_szczepień__13[[#This Row],[miesiac]],punkt_szczepień__13[[#This Row],[dzień]])</f>
        <v>7548</v>
      </c>
      <c r="J422" s="1" t="str">
        <f>punkt_szczepień__13[[#This Row],[PESEL]]</f>
        <v>20083041532</v>
      </c>
      <c r="K422" s="1">
        <f>VALUE(MID(punkt_szczepień__13[[#This Row],[PESEL]],10,1))</f>
        <v>3</v>
      </c>
      <c r="L422" s="11" t="str">
        <f>IF(MOD(punkt_szczepień__13[[#This Row],[liczba płeć]],2)=0,"K","M")</f>
        <v>M</v>
      </c>
      <c r="M422" s="1"/>
      <c r="N422" s="1"/>
    </row>
    <row r="423" spans="1:14" x14ac:dyDescent="0.25">
      <c r="A423" s="1" t="s">
        <v>429</v>
      </c>
      <c r="B423" s="1" t="s">
        <v>7</v>
      </c>
      <c r="C423" s="2">
        <v>0.49652777777777779</v>
      </c>
      <c r="D423">
        <v>1</v>
      </c>
      <c r="E423">
        <f>VALUE(RIGHT(LEFT(punkt_szczepień__13[[#This Row],[PESEL]],4),2))</f>
        <v>2</v>
      </c>
      <c r="F423" s="11">
        <f>MOD(punkt_szczepień__13[[#This Row],[liczba miesiac]],20)</f>
        <v>2</v>
      </c>
      <c r="G423" s="11">
        <f>VLOOKUP(punkt_szczepień__13[[#This Row],[liczba miesiac]]-punkt_szczepień__13[[#This Row],[miesiac]],$O$3:$P$7,2,0)+VALUE(LEFT(punkt_szczepień__13[[#This Row],[PESEL]],2))</f>
        <v>1981</v>
      </c>
      <c r="H423" s="11">
        <f>VALUE(RIGHT(LEFT(punkt_szczepień__13[[#This Row],[PESEL]],6),2))</f>
        <v>3</v>
      </c>
      <c r="I423" s="3">
        <f>DATE(punkt_szczepień__13[[#This Row],[rok]],punkt_szczepień__13[[#This Row],[miesiac]],punkt_szczepień__13[[#This Row],[dzień]])</f>
        <v>29620</v>
      </c>
      <c r="J423" s="1" t="str">
        <f>punkt_szczepień__13[[#This Row],[PESEL]]</f>
        <v>81020398779</v>
      </c>
      <c r="K423" s="1">
        <f>VALUE(MID(punkt_szczepień__13[[#This Row],[PESEL]],10,1))</f>
        <v>7</v>
      </c>
      <c r="L423" s="11" t="str">
        <f>IF(MOD(punkt_szczepień__13[[#This Row],[liczba płeć]],2)=0,"K","M")</f>
        <v>M</v>
      </c>
      <c r="M423" s="1"/>
      <c r="N423" s="1"/>
    </row>
    <row r="424" spans="1:14" x14ac:dyDescent="0.25">
      <c r="A424" s="1" t="s">
        <v>430</v>
      </c>
      <c r="B424" s="1" t="s">
        <v>9</v>
      </c>
      <c r="C424" s="2">
        <v>0.49681712962962965</v>
      </c>
      <c r="D424">
        <v>1</v>
      </c>
      <c r="E424">
        <f>VALUE(RIGHT(LEFT(punkt_szczepień__13[[#This Row],[PESEL]],4),2))</f>
        <v>3</v>
      </c>
      <c r="F424" s="11">
        <f>MOD(punkt_szczepień__13[[#This Row],[liczba miesiac]],20)</f>
        <v>3</v>
      </c>
      <c r="G424" s="11">
        <f>VLOOKUP(punkt_szczepień__13[[#This Row],[liczba miesiac]]-punkt_szczepień__13[[#This Row],[miesiac]],$O$3:$P$7,2,0)+VALUE(LEFT(punkt_szczepień__13[[#This Row],[PESEL]],2))</f>
        <v>1968</v>
      </c>
      <c r="H424" s="11">
        <f>VALUE(RIGHT(LEFT(punkt_szczepień__13[[#This Row],[PESEL]],6),2))</f>
        <v>11</v>
      </c>
      <c r="I424" s="3">
        <f>DATE(punkt_szczepień__13[[#This Row],[rok]],punkt_szczepień__13[[#This Row],[miesiac]],punkt_szczepień__13[[#This Row],[dzień]])</f>
        <v>24908</v>
      </c>
      <c r="J424" s="1" t="str">
        <f>punkt_szczepień__13[[#This Row],[PESEL]]</f>
        <v>68031128232</v>
      </c>
      <c r="K424" s="1">
        <f>VALUE(MID(punkt_szczepień__13[[#This Row],[PESEL]],10,1))</f>
        <v>3</v>
      </c>
      <c r="L424" s="11" t="str">
        <f>IF(MOD(punkt_szczepień__13[[#This Row],[liczba płeć]],2)=0,"K","M")</f>
        <v>M</v>
      </c>
      <c r="M424" s="1"/>
      <c r="N424" s="1"/>
    </row>
    <row r="425" spans="1:14" x14ac:dyDescent="0.25">
      <c r="A425" s="1" t="s">
        <v>431</v>
      </c>
      <c r="B425" s="1" t="s">
        <v>7</v>
      </c>
      <c r="C425" s="2">
        <v>0.49710648148148145</v>
      </c>
      <c r="D425">
        <v>1</v>
      </c>
      <c r="E425">
        <f>VALUE(RIGHT(LEFT(punkt_szczepień__13[[#This Row],[PESEL]],4),2))</f>
        <v>1</v>
      </c>
      <c r="F425" s="11">
        <f>MOD(punkt_szczepień__13[[#This Row],[liczba miesiac]],20)</f>
        <v>1</v>
      </c>
      <c r="G425" s="11">
        <f>VLOOKUP(punkt_szczepień__13[[#This Row],[liczba miesiac]]-punkt_szczepień__13[[#This Row],[miesiac]],$O$3:$P$7,2,0)+VALUE(LEFT(punkt_szczepień__13[[#This Row],[PESEL]],2))</f>
        <v>1926</v>
      </c>
      <c r="H425" s="11">
        <f>VALUE(RIGHT(LEFT(punkt_szczepień__13[[#This Row],[PESEL]],6),2))</f>
        <v>9</v>
      </c>
      <c r="I425" s="3">
        <f>DATE(punkt_szczepień__13[[#This Row],[rok]],punkt_szczepień__13[[#This Row],[miesiac]],punkt_szczepień__13[[#This Row],[dzień]])</f>
        <v>9506</v>
      </c>
      <c r="J425" s="1" t="str">
        <f>punkt_szczepień__13[[#This Row],[PESEL]]</f>
        <v>26010923799</v>
      </c>
      <c r="K425" s="1">
        <f>VALUE(MID(punkt_szczepień__13[[#This Row],[PESEL]],10,1))</f>
        <v>9</v>
      </c>
      <c r="L425" s="11" t="str">
        <f>IF(MOD(punkt_szczepień__13[[#This Row],[liczba płeć]],2)=0,"K","M")</f>
        <v>M</v>
      </c>
      <c r="M425" s="1"/>
      <c r="N425" s="1"/>
    </row>
    <row r="426" spans="1:14" x14ac:dyDescent="0.25">
      <c r="A426" s="1" t="s">
        <v>432</v>
      </c>
      <c r="B426" s="1" t="s">
        <v>7</v>
      </c>
      <c r="C426" s="2">
        <v>0.49739583333333331</v>
      </c>
      <c r="D426">
        <v>1</v>
      </c>
      <c r="E426">
        <f>VALUE(RIGHT(LEFT(punkt_szczepień__13[[#This Row],[PESEL]],4),2))</f>
        <v>10</v>
      </c>
      <c r="F426" s="11">
        <f>MOD(punkt_szczepień__13[[#This Row],[liczba miesiac]],20)</f>
        <v>10</v>
      </c>
      <c r="G426" s="11">
        <f>VLOOKUP(punkt_szczepień__13[[#This Row],[liczba miesiac]]-punkt_szczepień__13[[#This Row],[miesiac]],$O$3:$P$7,2,0)+VALUE(LEFT(punkt_szczepień__13[[#This Row],[PESEL]],2))</f>
        <v>1939</v>
      </c>
      <c r="H426" s="11">
        <f>VALUE(RIGHT(LEFT(punkt_szczepień__13[[#This Row],[PESEL]],6),2))</f>
        <v>4</v>
      </c>
      <c r="I426" s="3">
        <f>DATE(punkt_szczepień__13[[#This Row],[rok]],punkt_szczepień__13[[#This Row],[miesiac]],punkt_szczepień__13[[#This Row],[dzień]])</f>
        <v>14522</v>
      </c>
      <c r="J426" s="1" t="str">
        <f>punkt_szczepień__13[[#This Row],[PESEL]]</f>
        <v>39100436174</v>
      </c>
      <c r="K426" s="1">
        <f>VALUE(MID(punkt_szczepień__13[[#This Row],[PESEL]],10,1))</f>
        <v>7</v>
      </c>
      <c r="L426" s="11" t="str">
        <f>IF(MOD(punkt_szczepień__13[[#This Row],[liczba płeć]],2)=0,"K","M")</f>
        <v>M</v>
      </c>
      <c r="M426" s="1"/>
      <c r="N426" s="1"/>
    </row>
    <row r="427" spans="1:14" x14ac:dyDescent="0.25">
      <c r="A427" s="1" t="s">
        <v>433</v>
      </c>
      <c r="B427" s="1" t="s">
        <v>9</v>
      </c>
      <c r="C427" s="2">
        <v>0.49768518518518517</v>
      </c>
      <c r="D427">
        <v>1</v>
      </c>
      <c r="E427">
        <f>VALUE(RIGHT(LEFT(punkt_szczepień__13[[#This Row],[PESEL]],4),2))</f>
        <v>10</v>
      </c>
      <c r="F427" s="11">
        <f>MOD(punkt_szczepień__13[[#This Row],[liczba miesiac]],20)</f>
        <v>10</v>
      </c>
      <c r="G427" s="11">
        <f>VLOOKUP(punkt_szczepień__13[[#This Row],[liczba miesiac]]-punkt_szczepień__13[[#This Row],[miesiac]],$O$3:$P$7,2,0)+VALUE(LEFT(punkt_szczepień__13[[#This Row],[PESEL]],2))</f>
        <v>1935</v>
      </c>
      <c r="H427" s="11">
        <f>VALUE(RIGHT(LEFT(punkt_szczepień__13[[#This Row],[PESEL]],6),2))</f>
        <v>1</v>
      </c>
      <c r="I427" s="3">
        <f>DATE(punkt_szczepień__13[[#This Row],[rok]],punkt_szczepień__13[[#This Row],[miesiac]],punkt_szczepień__13[[#This Row],[dzień]])</f>
        <v>13058</v>
      </c>
      <c r="J427" s="1" t="str">
        <f>punkt_szczepień__13[[#This Row],[PESEL]]</f>
        <v>35100161414</v>
      </c>
      <c r="K427" s="1">
        <f>VALUE(MID(punkt_szczepień__13[[#This Row],[PESEL]],10,1))</f>
        <v>1</v>
      </c>
      <c r="L427" s="11" t="str">
        <f>IF(MOD(punkt_szczepień__13[[#This Row],[liczba płeć]],2)=0,"K","M")</f>
        <v>M</v>
      </c>
      <c r="M427" s="1"/>
      <c r="N427" s="1"/>
    </row>
    <row r="428" spans="1:14" x14ac:dyDescent="0.25">
      <c r="A428" s="1" t="s">
        <v>434</v>
      </c>
      <c r="B428" s="1" t="s">
        <v>7</v>
      </c>
      <c r="C428" s="2">
        <v>0.49797453703703703</v>
      </c>
      <c r="D428">
        <v>1</v>
      </c>
      <c r="E428">
        <f>VALUE(RIGHT(LEFT(punkt_szczepień__13[[#This Row],[PESEL]],4),2))</f>
        <v>31</v>
      </c>
      <c r="F428" s="11">
        <f>MOD(punkt_szczepień__13[[#This Row],[liczba miesiac]],20)</f>
        <v>11</v>
      </c>
      <c r="G428" s="11">
        <f>VLOOKUP(punkt_szczepień__13[[#This Row],[liczba miesiac]]-punkt_szczepień__13[[#This Row],[miesiac]],$O$3:$P$7,2,0)+VALUE(LEFT(punkt_szczepień__13[[#This Row],[PESEL]],2))</f>
        <v>2000</v>
      </c>
      <c r="H428" s="11">
        <f>VALUE(RIGHT(LEFT(punkt_szczepień__13[[#This Row],[PESEL]],6),2))</f>
        <v>30</v>
      </c>
      <c r="I428" s="3">
        <f>DATE(punkt_szczepień__13[[#This Row],[rok]],punkt_szczepień__13[[#This Row],[miesiac]],punkt_szczepień__13[[#This Row],[dzień]])</f>
        <v>36860</v>
      </c>
      <c r="J428" s="1" t="str">
        <f>punkt_szczepień__13[[#This Row],[PESEL]]</f>
        <v>00313097537</v>
      </c>
      <c r="K428" s="1">
        <f>VALUE(MID(punkt_szczepień__13[[#This Row],[PESEL]],10,1))</f>
        <v>3</v>
      </c>
      <c r="L428" s="11" t="str">
        <f>IF(MOD(punkt_szczepień__13[[#This Row],[liczba płeć]],2)=0,"K","M")</f>
        <v>M</v>
      </c>
      <c r="M428" s="1"/>
      <c r="N428" s="1"/>
    </row>
    <row r="429" spans="1:14" x14ac:dyDescent="0.25">
      <c r="A429" s="1" t="s">
        <v>435</v>
      </c>
      <c r="B429" s="1" t="s">
        <v>5</v>
      </c>
      <c r="C429" s="2">
        <v>0.4982638888888889</v>
      </c>
      <c r="D429">
        <v>1</v>
      </c>
      <c r="E429">
        <f>VALUE(RIGHT(LEFT(punkt_szczepień__13[[#This Row],[PESEL]],4),2))</f>
        <v>2</v>
      </c>
      <c r="F429" s="11">
        <f>MOD(punkt_szczepień__13[[#This Row],[liczba miesiac]],20)</f>
        <v>2</v>
      </c>
      <c r="G429" s="11">
        <f>VLOOKUP(punkt_szczepień__13[[#This Row],[liczba miesiac]]-punkt_szczepień__13[[#This Row],[miesiac]],$O$3:$P$7,2,0)+VALUE(LEFT(punkt_szczepień__13[[#This Row],[PESEL]],2))</f>
        <v>1923</v>
      </c>
      <c r="H429" s="11">
        <f>VALUE(RIGHT(LEFT(punkt_szczepień__13[[#This Row],[PESEL]],6),2))</f>
        <v>1</v>
      </c>
      <c r="I429" s="3">
        <f>DATE(punkt_szczepień__13[[#This Row],[rok]],punkt_szczepień__13[[#This Row],[miesiac]],punkt_szczepień__13[[#This Row],[dzień]])</f>
        <v>8433</v>
      </c>
      <c r="J429" s="1" t="str">
        <f>punkt_szczepień__13[[#This Row],[PESEL]]</f>
        <v>23020138968</v>
      </c>
      <c r="K429" s="1">
        <f>VALUE(MID(punkt_szczepień__13[[#This Row],[PESEL]],10,1))</f>
        <v>6</v>
      </c>
      <c r="L429" s="11" t="str">
        <f>IF(MOD(punkt_szczepień__13[[#This Row],[liczba płeć]],2)=0,"K","M")</f>
        <v>K</v>
      </c>
      <c r="M429" s="1"/>
      <c r="N429" s="1"/>
    </row>
    <row r="430" spans="1:14" x14ac:dyDescent="0.25">
      <c r="A430" s="1" t="s">
        <v>436</v>
      </c>
      <c r="B430" s="1" t="s">
        <v>7</v>
      </c>
      <c r="C430" s="2">
        <v>0.49855324074074076</v>
      </c>
      <c r="D430">
        <v>1</v>
      </c>
      <c r="E430">
        <f>VALUE(RIGHT(LEFT(punkt_szczepień__13[[#This Row],[PESEL]],4),2))</f>
        <v>2</v>
      </c>
      <c r="F430" s="11">
        <f>MOD(punkt_szczepień__13[[#This Row],[liczba miesiac]],20)</f>
        <v>2</v>
      </c>
      <c r="G430" s="11">
        <f>VLOOKUP(punkt_szczepień__13[[#This Row],[liczba miesiac]]-punkt_szczepień__13[[#This Row],[miesiac]],$O$3:$P$7,2,0)+VALUE(LEFT(punkt_szczepień__13[[#This Row],[PESEL]],2))</f>
        <v>1953</v>
      </c>
      <c r="H430" s="11">
        <f>VALUE(RIGHT(LEFT(punkt_szczepień__13[[#This Row],[PESEL]],6),2))</f>
        <v>6</v>
      </c>
      <c r="I430" s="3">
        <f>DATE(punkt_szczepień__13[[#This Row],[rok]],punkt_szczepień__13[[#This Row],[miesiac]],punkt_szczepień__13[[#This Row],[dzień]])</f>
        <v>19396</v>
      </c>
      <c r="J430" s="1" t="str">
        <f>punkt_szczepień__13[[#This Row],[PESEL]]</f>
        <v>53020684558</v>
      </c>
      <c r="K430" s="1">
        <f>VALUE(MID(punkt_szczepień__13[[#This Row],[PESEL]],10,1))</f>
        <v>5</v>
      </c>
      <c r="L430" s="11" t="str">
        <f>IF(MOD(punkt_szczepień__13[[#This Row],[liczba płeć]],2)=0,"K","M")</f>
        <v>M</v>
      </c>
      <c r="M430" s="1"/>
      <c r="N430" s="1"/>
    </row>
    <row r="431" spans="1:14" x14ac:dyDescent="0.25">
      <c r="A431" s="1" t="s">
        <v>437</v>
      </c>
      <c r="B431" s="1" t="s">
        <v>7</v>
      </c>
      <c r="C431" s="2">
        <v>0.49884259259259262</v>
      </c>
      <c r="D431">
        <v>1</v>
      </c>
      <c r="E431">
        <f>VALUE(RIGHT(LEFT(punkt_szczepień__13[[#This Row],[PESEL]],4),2))</f>
        <v>30</v>
      </c>
      <c r="F431" s="11">
        <f>MOD(punkt_szczepień__13[[#This Row],[liczba miesiac]],20)</f>
        <v>10</v>
      </c>
      <c r="G431" s="11">
        <f>VLOOKUP(punkt_szczepień__13[[#This Row],[liczba miesiac]]-punkt_szczepień__13[[#This Row],[miesiac]],$O$3:$P$7,2,0)+VALUE(LEFT(punkt_szczepień__13[[#This Row],[PESEL]],2))</f>
        <v>2000</v>
      </c>
      <c r="H431" s="11">
        <f>VALUE(RIGHT(LEFT(punkt_szczepień__13[[#This Row],[PESEL]],6),2))</f>
        <v>21</v>
      </c>
      <c r="I431" s="3">
        <f>DATE(punkt_szczepień__13[[#This Row],[rok]],punkt_szczepień__13[[#This Row],[miesiac]],punkt_szczepień__13[[#This Row],[dzień]])</f>
        <v>36820</v>
      </c>
      <c r="J431" s="1" t="str">
        <f>punkt_szczepień__13[[#This Row],[PESEL]]</f>
        <v>00302153828</v>
      </c>
      <c r="K431" s="1">
        <f>VALUE(MID(punkt_szczepień__13[[#This Row],[PESEL]],10,1))</f>
        <v>2</v>
      </c>
      <c r="L431" s="11" t="str">
        <f>IF(MOD(punkt_szczepień__13[[#This Row],[liczba płeć]],2)=0,"K","M")</f>
        <v>K</v>
      </c>
      <c r="M431" s="1"/>
      <c r="N431" s="1"/>
    </row>
    <row r="432" spans="1:14" x14ac:dyDescent="0.25">
      <c r="A432" s="1" t="s">
        <v>438</v>
      </c>
      <c r="B432" s="1" t="s">
        <v>9</v>
      </c>
      <c r="C432" s="2">
        <v>0.49942129629629628</v>
      </c>
      <c r="D432">
        <v>2</v>
      </c>
      <c r="E432">
        <f>VALUE(RIGHT(LEFT(punkt_szczepień__13[[#This Row],[PESEL]],4),2))</f>
        <v>5</v>
      </c>
      <c r="F432" s="11">
        <f>MOD(punkt_szczepień__13[[#This Row],[liczba miesiac]],20)</f>
        <v>5</v>
      </c>
      <c r="G432" s="11">
        <f>VLOOKUP(punkt_szczepień__13[[#This Row],[liczba miesiac]]-punkt_szczepień__13[[#This Row],[miesiac]],$O$3:$P$7,2,0)+VALUE(LEFT(punkt_szczepień__13[[#This Row],[PESEL]],2))</f>
        <v>1973</v>
      </c>
      <c r="H432" s="11">
        <f>VALUE(RIGHT(LEFT(punkt_szczepień__13[[#This Row],[PESEL]],6),2))</f>
        <v>5</v>
      </c>
      <c r="I432" s="3">
        <f>DATE(punkt_szczepień__13[[#This Row],[rok]],punkt_szczepień__13[[#This Row],[miesiac]],punkt_szczepień__13[[#This Row],[dzień]])</f>
        <v>26789</v>
      </c>
      <c r="J432" s="1" t="str">
        <f>punkt_szczepień__13[[#This Row],[PESEL]]</f>
        <v>73050542985</v>
      </c>
      <c r="K432" s="1">
        <f>VALUE(MID(punkt_szczepień__13[[#This Row],[PESEL]],10,1))</f>
        <v>8</v>
      </c>
      <c r="L432" s="11" t="str">
        <f>IF(MOD(punkt_szczepień__13[[#This Row],[liczba płeć]],2)=0,"K","M")</f>
        <v>K</v>
      </c>
      <c r="M432" s="1"/>
      <c r="N432" s="1"/>
    </row>
    <row r="433" spans="1:14" x14ac:dyDescent="0.25">
      <c r="A433" s="1" t="s">
        <v>439</v>
      </c>
      <c r="B433" s="1" t="s">
        <v>7</v>
      </c>
      <c r="C433" s="2">
        <v>0.49971064814814814</v>
      </c>
      <c r="D433">
        <v>1</v>
      </c>
      <c r="E433">
        <f>VALUE(RIGHT(LEFT(punkt_szczepień__13[[#This Row],[PESEL]],4),2))</f>
        <v>8</v>
      </c>
      <c r="F433" s="11">
        <f>MOD(punkt_szczepień__13[[#This Row],[liczba miesiac]],20)</f>
        <v>8</v>
      </c>
      <c r="G433" s="11">
        <f>VLOOKUP(punkt_szczepień__13[[#This Row],[liczba miesiac]]-punkt_szczepień__13[[#This Row],[miesiac]],$O$3:$P$7,2,0)+VALUE(LEFT(punkt_szczepień__13[[#This Row],[PESEL]],2))</f>
        <v>1993</v>
      </c>
      <c r="H433" s="11">
        <f>VALUE(RIGHT(LEFT(punkt_szczepień__13[[#This Row],[PESEL]],6),2))</f>
        <v>3</v>
      </c>
      <c r="I433" s="3">
        <f>DATE(punkt_szczepień__13[[#This Row],[rok]],punkt_szczepień__13[[#This Row],[miesiac]],punkt_szczepień__13[[#This Row],[dzień]])</f>
        <v>34184</v>
      </c>
      <c r="J433" s="1" t="str">
        <f>punkt_szczepień__13[[#This Row],[PESEL]]</f>
        <v>93080389561</v>
      </c>
      <c r="K433" s="1">
        <f>VALUE(MID(punkt_szczepień__13[[#This Row],[PESEL]],10,1))</f>
        <v>6</v>
      </c>
      <c r="L433" s="11" t="str">
        <f>IF(MOD(punkt_szczepień__13[[#This Row],[liczba płeć]],2)=0,"K","M")</f>
        <v>K</v>
      </c>
      <c r="M433" s="1"/>
      <c r="N433" s="1"/>
    </row>
    <row r="434" spans="1:14" x14ac:dyDescent="0.25">
      <c r="A434" s="1" t="s">
        <v>440</v>
      </c>
      <c r="B434" s="1" t="s">
        <v>9</v>
      </c>
      <c r="C434" s="2">
        <v>0.50028935185185186</v>
      </c>
      <c r="D434">
        <v>2</v>
      </c>
      <c r="E434">
        <f>VALUE(RIGHT(LEFT(punkt_szczepień__13[[#This Row],[PESEL]],4),2))</f>
        <v>11</v>
      </c>
      <c r="F434" s="11">
        <f>MOD(punkt_szczepień__13[[#This Row],[liczba miesiac]],20)</f>
        <v>11</v>
      </c>
      <c r="G434" s="11">
        <f>VLOOKUP(punkt_szczepień__13[[#This Row],[liczba miesiac]]-punkt_szczepień__13[[#This Row],[miesiac]],$O$3:$P$7,2,0)+VALUE(LEFT(punkt_szczepień__13[[#This Row],[PESEL]],2))</f>
        <v>1958</v>
      </c>
      <c r="H434" s="11">
        <f>VALUE(RIGHT(LEFT(punkt_szczepień__13[[#This Row],[PESEL]],6),2))</f>
        <v>7</v>
      </c>
      <c r="I434" s="3">
        <f>DATE(punkt_szczepień__13[[#This Row],[rok]],punkt_szczepień__13[[#This Row],[miesiac]],punkt_szczepień__13[[#This Row],[dzień]])</f>
        <v>21496</v>
      </c>
      <c r="J434" s="1" t="str">
        <f>punkt_szczepień__13[[#This Row],[PESEL]]</f>
        <v>58110789311</v>
      </c>
      <c r="K434" s="1">
        <f>VALUE(MID(punkt_szczepień__13[[#This Row],[PESEL]],10,1))</f>
        <v>1</v>
      </c>
      <c r="L434" s="11" t="str">
        <f>IF(MOD(punkt_szczepień__13[[#This Row],[liczba płeć]],2)=0,"K","M")</f>
        <v>M</v>
      </c>
      <c r="M434" s="1"/>
      <c r="N434" s="1"/>
    </row>
    <row r="435" spans="1:14" x14ac:dyDescent="0.25">
      <c r="A435" s="1" t="s">
        <v>441</v>
      </c>
      <c r="B435" s="1" t="s">
        <v>5</v>
      </c>
      <c r="C435" s="2">
        <v>0.50057870370370372</v>
      </c>
      <c r="D435">
        <v>1</v>
      </c>
      <c r="E435">
        <f>VALUE(RIGHT(LEFT(punkt_szczepień__13[[#This Row],[PESEL]],4),2))</f>
        <v>8</v>
      </c>
      <c r="F435" s="11">
        <f>MOD(punkt_szczepień__13[[#This Row],[liczba miesiac]],20)</f>
        <v>8</v>
      </c>
      <c r="G435" s="11">
        <f>VLOOKUP(punkt_szczepień__13[[#This Row],[liczba miesiac]]-punkt_szczepień__13[[#This Row],[miesiac]],$O$3:$P$7,2,0)+VALUE(LEFT(punkt_szczepień__13[[#This Row],[PESEL]],2))</f>
        <v>1953</v>
      </c>
      <c r="H435" s="11">
        <f>VALUE(RIGHT(LEFT(punkt_szczepień__13[[#This Row],[PESEL]],6),2))</f>
        <v>30</v>
      </c>
      <c r="I435" s="3">
        <f>DATE(punkt_szczepień__13[[#This Row],[rok]],punkt_szczepień__13[[#This Row],[miesiac]],punkt_szczepień__13[[#This Row],[dzień]])</f>
        <v>19601</v>
      </c>
      <c r="J435" s="1" t="str">
        <f>punkt_szczepień__13[[#This Row],[PESEL]]</f>
        <v>53083029181</v>
      </c>
      <c r="K435" s="1">
        <f>VALUE(MID(punkt_szczepień__13[[#This Row],[PESEL]],10,1))</f>
        <v>8</v>
      </c>
      <c r="L435" s="11" t="str">
        <f>IF(MOD(punkt_szczepień__13[[#This Row],[liczba płeć]],2)=0,"K","M")</f>
        <v>K</v>
      </c>
      <c r="M435" s="1"/>
      <c r="N435" s="1"/>
    </row>
    <row r="436" spans="1:14" x14ac:dyDescent="0.25">
      <c r="A436" s="1" t="s">
        <v>442</v>
      </c>
      <c r="B436" s="1" t="s">
        <v>7</v>
      </c>
      <c r="C436" s="2">
        <v>0.50086805555555558</v>
      </c>
      <c r="D436">
        <v>1</v>
      </c>
      <c r="E436">
        <f>VALUE(RIGHT(LEFT(punkt_szczepień__13[[#This Row],[PESEL]],4),2))</f>
        <v>6</v>
      </c>
      <c r="F436" s="11">
        <f>MOD(punkt_szczepień__13[[#This Row],[liczba miesiac]],20)</f>
        <v>6</v>
      </c>
      <c r="G436" s="11">
        <f>VLOOKUP(punkt_szczepień__13[[#This Row],[liczba miesiac]]-punkt_szczepień__13[[#This Row],[miesiac]],$O$3:$P$7,2,0)+VALUE(LEFT(punkt_szczepień__13[[#This Row],[PESEL]],2))</f>
        <v>1947</v>
      </c>
      <c r="H436" s="11">
        <f>VALUE(RIGHT(LEFT(punkt_szczepień__13[[#This Row],[PESEL]],6),2))</f>
        <v>5</v>
      </c>
      <c r="I436" s="3">
        <f>DATE(punkt_szczepień__13[[#This Row],[rok]],punkt_szczepień__13[[#This Row],[miesiac]],punkt_szczepień__13[[#This Row],[dzień]])</f>
        <v>17323</v>
      </c>
      <c r="J436" s="1" t="str">
        <f>punkt_szczepień__13[[#This Row],[PESEL]]</f>
        <v>47060575491</v>
      </c>
      <c r="K436" s="1">
        <f>VALUE(MID(punkt_szczepień__13[[#This Row],[PESEL]],10,1))</f>
        <v>9</v>
      </c>
      <c r="L436" s="11" t="str">
        <f>IF(MOD(punkt_szczepień__13[[#This Row],[liczba płeć]],2)=0,"K","M")</f>
        <v>M</v>
      </c>
      <c r="M436" s="1"/>
      <c r="N436" s="1"/>
    </row>
    <row r="437" spans="1:14" x14ac:dyDescent="0.25">
      <c r="A437" s="1" t="s">
        <v>443</v>
      </c>
      <c r="B437" s="1" t="s">
        <v>5</v>
      </c>
      <c r="C437" s="2">
        <v>0.50115740740740744</v>
      </c>
      <c r="D437">
        <v>1</v>
      </c>
      <c r="E437">
        <f>VALUE(RIGHT(LEFT(punkt_szczepień__13[[#This Row],[PESEL]],4),2))</f>
        <v>3</v>
      </c>
      <c r="F437" s="11">
        <f>MOD(punkt_szczepień__13[[#This Row],[liczba miesiac]],20)</f>
        <v>3</v>
      </c>
      <c r="G437" s="11">
        <f>VLOOKUP(punkt_szczepień__13[[#This Row],[liczba miesiac]]-punkt_szczepień__13[[#This Row],[miesiac]],$O$3:$P$7,2,0)+VALUE(LEFT(punkt_szczepień__13[[#This Row],[PESEL]],2))</f>
        <v>1981</v>
      </c>
      <c r="H437" s="11">
        <f>VALUE(RIGHT(LEFT(punkt_szczepień__13[[#This Row],[PESEL]],6),2))</f>
        <v>7</v>
      </c>
      <c r="I437" s="3">
        <f>DATE(punkt_szczepień__13[[#This Row],[rok]],punkt_szczepień__13[[#This Row],[miesiac]],punkt_szczepień__13[[#This Row],[dzień]])</f>
        <v>29652</v>
      </c>
      <c r="J437" s="1" t="str">
        <f>punkt_szczepień__13[[#This Row],[PESEL]]</f>
        <v>81030767242</v>
      </c>
      <c r="K437" s="1">
        <f>VALUE(MID(punkt_szczepień__13[[#This Row],[PESEL]],10,1))</f>
        <v>4</v>
      </c>
      <c r="L437" s="11" t="str">
        <f>IF(MOD(punkt_szczepień__13[[#This Row],[liczba płeć]],2)=0,"K","M")</f>
        <v>K</v>
      </c>
      <c r="M437" s="1"/>
      <c r="N437" s="1"/>
    </row>
    <row r="438" spans="1:14" x14ac:dyDescent="0.25">
      <c r="A438" s="1" t="s">
        <v>444</v>
      </c>
      <c r="B438" s="1" t="s">
        <v>9</v>
      </c>
      <c r="C438" s="2">
        <v>0.5014467592592593</v>
      </c>
      <c r="D438">
        <v>1</v>
      </c>
      <c r="E438">
        <f>VALUE(RIGHT(LEFT(punkt_szczepień__13[[#This Row],[PESEL]],4),2))</f>
        <v>2</v>
      </c>
      <c r="F438" s="11">
        <f>MOD(punkt_szczepień__13[[#This Row],[liczba miesiac]],20)</f>
        <v>2</v>
      </c>
      <c r="G438" s="11">
        <f>VLOOKUP(punkt_szczepień__13[[#This Row],[liczba miesiac]]-punkt_szczepień__13[[#This Row],[miesiac]],$O$3:$P$7,2,0)+VALUE(LEFT(punkt_szczepień__13[[#This Row],[PESEL]],2))</f>
        <v>1923</v>
      </c>
      <c r="H438" s="11">
        <f>VALUE(RIGHT(LEFT(punkt_szczepień__13[[#This Row],[PESEL]],6),2))</f>
        <v>13</v>
      </c>
      <c r="I438" s="3">
        <f>DATE(punkt_szczepień__13[[#This Row],[rok]],punkt_szczepień__13[[#This Row],[miesiac]],punkt_szczepień__13[[#This Row],[dzień]])</f>
        <v>8445</v>
      </c>
      <c r="J438" s="1" t="str">
        <f>punkt_szczepień__13[[#This Row],[PESEL]]</f>
        <v>23021398945</v>
      </c>
      <c r="K438" s="1">
        <f>VALUE(MID(punkt_szczepień__13[[#This Row],[PESEL]],10,1))</f>
        <v>4</v>
      </c>
      <c r="L438" s="11" t="str">
        <f>IF(MOD(punkt_szczepień__13[[#This Row],[liczba płeć]],2)=0,"K","M")</f>
        <v>K</v>
      </c>
      <c r="M438" s="1"/>
      <c r="N438" s="1"/>
    </row>
    <row r="439" spans="1:14" x14ac:dyDescent="0.25">
      <c r="A439" s="1" t="s">
        <v>445</v>
      </c>
      <c r="B439" s="1" t="s">
        <v>27</v>
      </c>
      <c r="C439" s="2">
        <v>0.50173611111111116</v>
      </c>
      <c r="D439">
        <v>1</v>
      </c>
      <c r="E439">
        <f>VALUE(RIGHT(LEFT(punkt_szczepień__13[[#This Row],[PESEL]],4),2))</f>
        <v>6</v>
      </c>
      <c r="F439" s="11">
        <f>MOD(punkt_szczepień__13[[#This Row],[liczba miesiac]],20)</f>
        <v>6</v>
      </c>
      <c r="G439" s="11">
        <f>VLOOKUP(punkt_szczepień__13[[#This Row],[liczba miesiac]]-punkt_szczepień__13[[#This Row],[miesiac]],$O$3:$P$7,2,0)+VALUE(LEFT(punkt_szczepień__13[[#This Row],[PESEL]],2))</f>
        <v>1963</v>
      </c>
      <c r="H439" s="11">
        <f>VALUE(RIGHT(LEFT(punkt_szczepień__13[[#This Row],[PESEL]],6),2))</f>
        <v>25</v>
      </c>
      <c r="I439" s="3">
        <f>DATE(punkt_szczepień__13[[#This Row],[rok]],punkt_szczepień__13[[#This Row],[miesiac]],punkt_szczepień__13[[#This Row],[dzień]])</f>
        <v>23187</v>
      </c>
      <c r="J439" s="1" t="str">
        <f>punkt_szczepień__13[[#This Row],[PESEL]]</f>
        <v>63062527298</v>
      </c>
      <c r="K439" s="1">
        <f>VALUE(MID(punkt_szczepień__13[[#This Row],[PESEL]],10,1))</f>
        <v>9</v>
      </c>
      <c r="L439" s="11" t="str">
        <f>IF(MOD(punkt_szczepień__13[[#This Row],[liczba płeć]],2)=0,"K","M")</f>
        <v>M</v>
      </c>
      <c r="M439" s="1"/>
      <c r="N439" s="1"/>
    </row>
    <row r="440" spans="1:14" x14ac:dyDescent="0.25">
      <c r="A440" s="1" t="s">
        <v>446</v>
      </c>
      <c r="B440" s="1" t="s">
        <v>7</v>
      </c>
      <c r="C440" s="2">
        <v>0.50202546296296291</v>
      </c>
      <c r="D440">
        <v>1</v>
      </c>
      <c r="E440">
        <f>VALUE(RIGHT(LEFT(punkt_szczepień__13[[#This Row],[PESEL]],4),2))</f>
        <v>3</v>
      </c>
      <c r="F440" s="11">
        <f>MOD(punkt_szczepień__13[[#This Row],[liczba miesiac]],20)</f>
        <v>3</v>
      </c>
      <c r="G440" s="11">
        <f>VLOOKUP(punkt_szczepień__13[[#This Row],[liczba miesiac]]-punkt_szczepień__13[[#This Row],[miesiac]],$O$3:$P$7,2,0)+VALUE(LEFT(punkt_szczepień__13[[#This Row],[PESEL]],2))</f>
        <v>1986</v>
      </c>
      <c r="H440" s="11">
        <f>VALUE(RIGHT(LEFT(punkt_szczepień__13[[#This Row],[PESEL]],6),2))</f>
        <v>18</v>
      </c>
      <c r="I440" s="3">
        <f>DATE(punkt_szczepień__13[[#This Row],[rok]],punkt_szczepień__13[[#This Row],[miesiac]],punkt_szczepień__13[[#This Row],[dzień]])</f>
        <v>31489</v>
      </c>
      <c r="J440" s="1" t="str">
        <f>punkt_szczepień__13[[#This Row],[PESEL]]</f>
        <v>86031882961</v>
      </c>
      <c r="K440" s="1">
        <f>VALUE(MID(punkt_szczepień__13[[#This Row],[PESEL]],10,1))</f>
        <v>6</v>
      </c>
      <c r="L440" s="11" t="str">
        <f>IF(MOD(punkt_szczepień__13[[#This Row],[liczba płeć]],2)=0,"K","M")</f>
        <v>K</v>
      </c>
      <c r="M440" s="1"/>
      <c r="N440" s="1"/>
    </row>
    <row r="441" spans="1:14" x14ac:dyDescent="0.25">
      <c r="A441" s="1" t="s">
        <v>447</v>
      </c>
      <c r="B441" s="1" t="s">
        <v>9</v>
      </c>
      <c r="C441" s="2">
        <v>0.50260416666666663</v>
      </c>
      <c r="D441">
        <v>2</v>
      </c>
      <c r="E441">
        <f>VALUE(RIGHT(LEFT(punkt_szczepień__13[[#This Row],[PESEL]],4),2))</f>
        <v>9</v>
      </c>
      <c r="F441" s="11">
        <f>MOD(punkt_szczepień__13[[#This Row],[liczba miesiac]],20)</f>
        <v>9</v>
      </c>
      <c r="G441" s="11">
        <f>VLOOKUP(punkt_szczepień__13[[#This Row],[liczba miesiac]]-punkt_szczepień__13[[#This Row],[miesiac]],$O$3:$P$7,2,0)+VALUE(LEFT(punkt_szczepień__13[[#This Row],[PESEL]],2))</f>
        <v>1999</v>
      </c>
      <c r="H441" s="11">
        <f>VALUE(RIGHT(LEFT(punkt_szczepień__13[[#This Row],[PESEL]],6),2))</f>
        <v>12</v>
      </c>
      <c r="I441" s="3">
        <f>DATE(punkt_szczepień__13[[#This Row],[rok]],punkt_szczepień__13[[#This Row],[miesiac]],punkt_szczepień__13[[#This Row],[dzień]])</f>
        <v>36415</v>
      </c>
      <c r="J441" s="1" t="str">
        <f>punkt_szczepień__13[[#This Row],[PESEL]]</f>
        <v>99091228246</v>
      </c>
      <c r="K441" s="1">
        <f>VALUE(MID(punkt_szczepień__13[[#This Row],[PESEL]],10,1))</f>
        <v>4</v>
      </c>
      <c r="L441" s="11" t="str">
        <f>IF(MOD(punkt_szczepień__13[[#This Row],[liczba płeć]],2)=0,"K","M")</f>
        <v>K</v>
      </c>
      <c r="M441" s="1"/>
      <c r="N441" s="1"/>
    </row>
    <row r="442" spans="1:14" x14ac:dyDescent="0.25">
      <c r="A442" s="1" t="s">
        <v>448</v>
      </c>
      <c r="B442" s="1" t="s">
        <v>7</v>
      </c>
      <c r="C442" s="2">
        <v>0.50289351851851849</v>
      </c>
      <c r="D442">
        <v>1</v>
      </c>
      <c r="E442">
        <f>VALUE(RIGHT(LEFT(punkt_szczepień__13[[#This Row],[PESEL]],4),2))</f>
        <v>24</v>
      </c>
      <c r="F442" s="11">
        <f>MOD(punkt_szczepień__13[[#This Row],[liczba miesiac]],20)</f>
        <v>4</v>
      </c>
      <c r="G442" s="11">
        <f>VLOOKUP(punkt_szczepień__13[[#This Row],[liczba miesiac]]-punkt_szczepień__13[[#This Row],[miesiac]],$O$3:$P$7,2,0)+VALUE(LEFT(punkt_szczepień__13[[#This Row],[PESEL]],2))</f>
        <v>2005</v>
      </c>
      <c r="H442" s="11">
        <f>VALUE(RIGHT(LEFT(punkt_szczepień__13[[#This Row],[PESEL]],6),2))</f>
        <v>6</v>
      </c>
      <c r="I442" s="3">
        <f>DATE(punkt_szczepień__13[[#This Row],[rok]],punkt_szczepień__13[[#This Row],[miesiac]],punkt_szczepień__13[[#This Row],[dzień]])</f>
        <v>38448</v>
      </c>
      <c r="J442" s="1" t="str">
        <f>punkt_szczepień__13[[#This Row],[PESEL]]</f>
        <v>05240635872</v>
      </c>
      <c r="K442" s="1">
        <f>VALUE(MID(punkt_szczepień__13[[#This Row],[PESEL]],10,1))</f>
        <v>7</v>
      </c>
      <c r="L442" s="11" t="str">
        <f>IF(MOD(punkt_szczepień__13[[#This Row],[liczba płeć]],2)=0,"K","M")</f>
        <v>M</v>
      </c>
      <c r="M442" s="1"/>
      <c r="N442" s="1"/>
    </row>
    <row r="443" spans="1:14" x14ac:dyDescent="0.25">
      <c r="A443" s="1" t="s">
        <v>449</v>
      </c>
      <c r="B443" s="1" t="s">
        <v>5</v>
      </c>
      <c r="C443" s="2">
        <v>0.50347222222222221</v>
      </c>
      <c r="D443">
        <v>2</v>
      </c>
      <c r="E443">
        <f>VALUE(RIGHT(LEFT(punkt_szczepień__13[[#This Row],[PESEL]],4),2))</f>
        <v>5</v>
      </c>
      <c r="F443" s="11">
        <f>MOD(punkt_szczepień__13[[#This Row],[liczba miesiac]],20)</f>
        <v>5</v>
      </c>
      <c r="G443" s="11">
        <f>VLOOKUP(punkt_szczepień__13[[#This Row],[liczba miesiac]]-punkt_szczepień__13[[#This Row],[miesiac]],$O$3:$P$7,2,0)+VALUE(LEFT(punkt_szczepień__13[[#This Row],[PESEL]],2))</f>
        <v>1971</v>
      </c>
      <c r="H443" s="11">
        <f>VALUE(RIGHT(LEFT(punkt_szczepień__13[[#This Row],[PESEL]],6),2))</f>
        <v>10</v>
      </c>
      <c r="I443" s="3">
        <f>DATE(punkt_szczepień__13[[#This Row],[rok]],punkt_szczepień__13[[#This Row],[miesiac]],punkt_szczepień__13[[#This Row],[dzień]])</f>
        <v>26063</v>
      </c>
      <c r="J443" s="1" t="str">
        <f>punkt_szczepień__13[[#This Row],[PESEL]]</f>
        <v>71051041144</v>
      </c>
      <c r="K443" s="1">
        <f>VALUE(MID(punkt_szczepień__13[[#This Row],[PESEL]],10,1))</f>
        <v>4</v>
      </c>
      <c r="L443" s="11" t="str">
        <f>IF(MOD(punkt_szczepień__13[[#This Row],[liczba płeć]],2)=0,"K","M")</f>
        <v>K</v>
      </c>
      <c r="M443" s="1"/>
      <c r="N443" s="1"/>
    </row>
    <row r="444" spans="1:14" x14ac:dyDescent="0.25">
      <c r="A444" s="1" t="s">
        <v>450</v>
      </c>
      <c r="B444" s="1" t="s">
        <v>7</v>
      </c>
      <c r="C444" s="2">
        <v>0.50376157407407407</v>
      </c>
      <c r="D444">
        <v>1</v>
      </c>
      <c r="E444">
        <f>VALUE(RIGHT(LEFT(punkt_szczepień__13[[#This Row],[PESEL]],4),2))</f>
        <v>3</v>
      </c>
      <c r="F444" s="11">
        <f>MOD(punkt_szczepień__13[[#This Row],[liczba miesiac]],20)</f>
        <v>3</v>
      </c>
      <c r="G444" s="11">
        <f>VLOOKUP(punkt_szczepień__13[[#This Row],[liczba miesiac]]-punkt_szczepień__13[[#This Row],[miesiac]],$O$3:$P$7,2,0)+VALUE(LEFT(punkt_szczepień__13[[#This Row],[PESEL]],2))</f>
        <v>1970</v>
      </c>
      <c r="H444" s="11">
        <f>VALUE(RIGHT(LEFT(punkt_szczepień__13[[#This Row],[PESEL]],6),2))</f>
        <v>2</v>
      </c>
      <c r="I444" s="3">
        <f>DATE(punkt_szczepień__13[[#This Row],[rok]],punkt_szczepień__13[[#This Row],[miesiac]],punkt_szczepień__13[[#This Row],[dzień]])</f>
        <v>25629</v>
      </c>
      <c r="J444" s="1" t="str">
        <f>punkt_szczepień__13[[#This Row],[PESEL]]</f>
        <v>70030269571</v>
      </c>
      <c r="K444" s="1">
        <f>VALUE(MID(punkt_szczepień__13[[#This Row],[PESEL]],10,1))</f>
        <v>7</v>
      </c>
      <c r="L444" s="11" t="str">
        <f>IF(MOD(punkt_szczepień__13[[#This Row],[liczba płeć]],2)=0,"K","M")</f>
        <v>M</v>
      </c>
      <c r="M444" s="1"/>
      <c r="N444" s="1"/>
    </row>
    <row r="445" spans="1:14" x14ac:dyDescent="0.25">
      <c r="A445" s="1" t="s">
        <v>451</v>
      </c>
      <c r="B445" s="1" t="s">
        <v>9</v>
      </c>
      <c r="C445" s="2">
        <v>0.50405092592592593</v>
      </c>
      <c r="D445">
        <v>1</v>
      </c>
      <c r="E445">
        <f>VALUE(RIGHT(LEFT(punkt_szczepień__13[[#This Row],[PESEL]],4),2))</f>
        <v>1</v>
      </c>
      <c r="F445" s="11">
        <f>MOD(punkt_szczepień__13[[#This Row],[liczba miesiac]],20)</f>
        <v>1</v>
      </c>
      <c r="G445" s="11">
        <f>VLOOKUP(punkt_szczepień__13[[#This Row],[liczba miesiac]]-punkt_szczepień__13[[#This Row],[miesiac]],$O$3:$P$7,2,0)+VALUE(LEFT(punkt_szczepień__13[[#This Row],[PESEL]],2))</f>
        <v>1983</v>
      </c>
      <c r="H445" s="11">
        <f>VALUE(RIGHT(LEFT(punkt_szczepień__13[[#This Row],[PESEL]],6),2))</f>
        <v>13</v>
      </c>
      <c r="I445" s="3">
        <f>DATE(punkt_szczepień__13[[#This Row],[rok]],punkt_szczepień__13[[#This Row],[miesiac]],punkt_szczepień__13[[#This Row],[dzień]])</f>
        <v>30329</v>
      </c>
      <c r="J445" s="1" t="str">
        <f>punkt_szczepień__13[[#This Row],[PESEL]]</f>
        <v>83011367542</v>
      </c>
      <c r="K445" s="1">
        <f>VALUE(MID(punkt_szczepień__13[[#This Row],[PESEL]],10,1))</f>
        <v>4</v>
      </c>
      <c r="L445" s="11" t="str">
        <f>IF(MOD(punkt_szczepień__13[[#This Row],[liczba płeć]],2)=0,"K","M")</f>
        <v>K</v>
      </c>
      <c r="M445" s="1"/>
      <c r="N445" s="1"/>
    </row>
    <row r="446" spans="1:14" x14ac:dyDescent="0.25">
      <c r="A446" s="1" t="s">
        <v>452</v>
      </c>
      <c r="B446" s="1" t="s">
        <v>27</v>
      </c>
      <c r="C446" s="2">
        <v>0.50434027777777779</v>
      </c>
      <c r="D446">
        <v>1</v>
      </c>
      <c r="E446">
        <f>VALUE(RIGHT(LEFT(punkt_szczepień__13[[#This Row],[PESEL]],4),2))</f>
        <v>9</v>
      </c>
      <c r="F446" s="11">
        <f>MOD(punkt_szczepień__13[[#This Row],[liczba miesiac]],20)</f>
        <v>9</v>
      </c>
      <c r="G446" s="11">
        <f>VLOOKUP(punkt_szczepień__13[[#This Row],[liczba miesiac]]-punkt_szczepień__13[[#This Row],[miesiac]],$O$3:$P$7,2,0)+VALUE(LEFT(punkt_szczepień__13[[#This Row],[PESEL]],2))</f>
        <v>1987</v>
      </c>
      <c r="H446" s="11">
        <f>VALUE(RIGHT(LEFT(punkt_szczepień__13[[#This Row],[PESEL]],6),2))</f>
        <v>8</v>
      </c>
      <c r="I446" s="3">
        <f>DATE(punkt_szczepień__13[[#This Row],[rok]],punkt_szczepień__13[[#This Row],[miesiac]],punkt_szczepień__13[[#This Row],[dzień]])</f>
        <v>32028</v>
      </c>
      <c r="J446" s="1" t="str">
        <f>punkt_szczepień__13[[#This Row],[PESEL]]</f>
        <v>87090814478</v>
      </c>
      <c r="K446" s="1">
        <f>VALUE(MID(punkt_szczepień__13[[#This Row],[PESEL]],10,1))</f>
        <v>7</v>
      </c>
      <c r="L446" s="11" t="str">
        <f>IF(MOD(punkt_szczepień__13[[#This Row],[liczba płeć]],2)=0,"K","M")</f>
        <v>M</v>
      </c>
      <c r="M446" s="1"/>
      <c r="N446" s="1"/>
    </row>
    <row r="447" spans="1:14" x14ac:dyDescent="0.25">
      <c r="A447" s="1" t="s">
        <v>453</v>
      </c>
      <c r="B447" s="1" t="s">
        <v>7</v>
      </c>
      <c r="C447" s="2">
        <v>0.50462962962962965</v>
      </c>
      <c r="D447">
        <v>1</v>
      </c>
      <c r="E447">
        <f>VALUE(RIGHT(LEFT(punkt_szczepień__13[[#This Row],[PESEL]],4),2))</f>
        <v>7</v>
      </c>
      <c r="F447" s="11">
        <f>MOD(punkt_szczepień__13[[#This Row],[liczba miesiac]],20)</f>
        <v>7</v>
      </c>
      <c r="G447" s="11">
        <f>VLOOKUP(punkt_szczepień__13[[#This Row],[liczba miesiac]]-punkt_szczepień__13[[#This Row],[miesiac]],$O$3:$P$7,2,0)+VALUE(LEFT(punkt_szczepień__13[[#This Row],[PESEL]],2))</f>
        <v>1954</v>
      </c>
      <c r="H447" s="11">
        <f>VALUE(RIGHT(LEFT(punkt_szczepień__13[[#This Row],[PESEL]],6),2))</f>
        <v>26</v>
      </c>
      <c r="I447" s="3">
        <f>DATE(punkt_szczepień__13[[#This Row],[rok]],punkt_szczepień__13[[#This Row],[miesiac]],punkt_szczepień__13[[#This Row],[dzień]])</f>
        <v>19931</v>
      </c>
      <c r="J447" s="1" t="str">
        <f>punkt_szczepień__13[[#This Row],[PESEL]]</f>
        <v>54072686543</v>
      </c>
      <c r="K447" s="1">
        <f>VALUE(MID(punkt_szczepień__13[[#This Row],[PESEL]],10,1))</f>
        <v>4</v>
      </c>
      <c r="L447" s="11" t="str">
        <f>IF(MOD(punkt_szczepień__13[[#This Row],[liczba płeć]],2)=0,"K","M")</f>
        <v>K</v>
      </c>
      <c r="M447" s="1"/>
      <c r="N447" s="1"/>
    </row>
    <row r="448" spans="1:14" x14ac:dyDescent="0.25">
      <c r="A448" s="1" t="s">
        <v>454</v>
      </c>
      <c r="B448" s="1" t="s">
        <v>7</v>
      </c>
      <c r="C448" s="2">
        <v>0.50491898148148151</v>
      </c>
      <c r="D448">
        <v>1</v>
      </c>
      <c r="E448">
        <f>VALUE(RIGHT(LEFT(punkt_szczepień__13[[#This Row],[PESEL]],4),2))</f>
        <v>11</v>
      </c>
      <c r="F448" s="11">
        <f>MOD(punkt_szczepień__13[[#This Row],[liczba miesiac]],20)</f>
        <v>11</v>
      </c>
      <c r="G448" s="11">
        <f>VLOOKUP(punkt_szczepień__13[[#This Row],[liczba miesiac]]-punkt_szczepień__13[[#This Row],[miesiac]],$O$3:$P$7,2,0)+VALUE(LEFT(punkt_szczepień__13[[#This Row],[PESEL]],2))</f>
        <v>1970</v>
      </c>
      <c r="H448" s="11">
        <f>VALUE(RIGHT(LEFT(punkt_szczepień__13[[#This Row],[PESEL]],6),2))</f>
        <v>1</v>
      </c>
      <c r="I448" s="3">
        <f>DATE(punkt_szczepień__13[[#This Row],[rok]],punkt_szczepień__13[[#This Row],[miesiac]],punkt_szczepień__13[[#This Row],[dzień]])</f>
        <v>25873</v>
      </c>
      <c r="J448" s="1" t="str">
        <f>punkt_szczepień__13[[#This Row],[PESEL]]</f>
        <v>70110136542</v>
      </c>
      <c r="K448" s="1">
        <f>VALUE(MID(punkt_szczepień__13[[#This Row],[PESEL]],10,1))</f>
        <v>4</v>
      </c>
      <c r="L448" s="11" t="str">
        <f>IF(MOD(punkt_szczepień__13[[#This Row],[liczba płeć]],2)=0,"K","M")</f>
        <v>K</v>
      </c>
      <c r="M448" s="1"/>
      <c r="N448" s="1"/>
    </row>
    <row r="449" spans="1:14" x14ac:dyDescent="0.25">
      <c r="A449" s="1" t="s">
        <v>455</v>
      </c>
      <c r="B449" s="1" t="s">
        <v>9</v>
      </c>
      <c r="C449" s="2">
        <v>0.50549768518518523</v>
      </c>
      <c r="D449">
        <v>2</v>
      </c>
      <c r="E449">
        <f>VALUE(RIGHT(LEFT(punkt_szczepień__13[[#This Row],[PESEL]],4),2))</f>
        <v>10</v>
      </c>
      <c r="F449" s="11">
        <f>MOD(punkt_szczepień__13[[#This Row],[liczba miesiac]],20)</f>
        <v>10</v>
      </c>
      <c r="G449" s="11">
        <f>VLOOKUP(punkt_szczepień__13[[#This Row],[liczba miesiac]]-punkt_szczepień__13[[#This Row],[miesiac]],$O$3:$P$7,2,0)+VALUE(LEFT(punkt_szczepień__13[[#This Row],[PESEL]],2))</f>
        <v>1997</v>
      </c>
      <c r="H449" s="11">
        <f>VALUE(RIGHT(LEFT(punkt_szczepień__13[[#This Row],[PESEL]],6),2))</f>
        <v>1</v>
      </c>
      <c r="I449" s="3">
        <f>DATE(punkt_szczepień__13[[#This Row],[rok]],punkt_szczepień__13[[#This Row],[miesiac]],punkt_szczepień__13[[#This Row],[dzień]])</f>
        <v>35704</v>
      </c>
      <c r="J449" s="1" t="str">
        <f>punkt_szczepień__13[[#This Row],[PESEL]]</f>
        <v>97100169892</v>
      </c>
      <c r="K449" s="1">
        <f>VALUE(MID(punkt_szczepień__13[[#This Row],[PESEL]],10,1))</f>
        <v>9</v>
      </c>
      <c r="L449" s="11" t="str">
        <f>IF(MOD(punkt_szczepień__13[[#This Row],[liczba płeć]],2)=0,"K","M")</f>
        <v>M</v>
      </c>
      <c r="M449" s="1"/>
      <c r="N449" s="1"/>
    </row>
    <row r="450" spans="1:14" x14ac:dyDescent="0.25">
      <c r="A450" s="1" t="s">
        <v>456</v>
      </c>
      <c r="B450" s="1" t="s">
        <v>9</v>
      </c>
      <c r="C450" s="2">
        <v>0.50607638888888884</v>
      </c>
      <c r="D450">
        <v>2</v>
      </c>
      <c r="E450">
        <f>VALUE(RIGHT(LEFT(punkt_szczepień__13[[#This Row],[PESEL]],4),2))</f>
        <v>3</v>
      </c>
      <c r="F450" s="11">
        <f>MOD(punkt_szczepień__13[[#This Row],[liczba miesiac]],20)</f>
        <v>3</v>
      </c>
      <c r="G450" s="11">
        <f>VLOOKUP(punkt_szczepień__13[[#This Row],[liczba miesiac]]-punkt_szczepień__13[[#This Row],[miesiac]],$O$3:$P$7,2,0)+VALUE(LEFT(punkt_szczepień__13[[#This Row],[PESEL]],2))</f>
        <v>1965</v>
      </c>
      <c r="H450" s="11">
        <f>VALUE(RIGHT(LEFT(punkt_szczepień__13[[#This Row],[PESEL]],6),2))</f>
        <v>18</v>
      </c>
      <c r="I450" s="3">
        <f>DATE(punkt_szczepień__13[[#This Row],[rok]],punkt_szczepień__13[[#This Row],[miesiac]],punkt_szczepień__13[[#This Row],[dzień]])</f>
        <v>23819</v>
      </c>
      <c r="J450" s="1" t="str">
        <f>punkt_szczepień__13[[#This Row],[PESEL]]</f>
        <v>65031884531</v>
      </c>
      <c r="K450" s="1">
        <f>VALUE(MID(punkt_szczepień__13[[#This Row],[PESEL]],10,1))</f>
        <v>3</v>
      </c>
      <c r="L450" s="11" t="str">
        <f>IF(MOD(punkt_szczepień__13[[#This Row],[liczba płeć]],2)=0,"K","M")</f>
        <v>M</v>
      </c>
      <c r="M450" s="1"/>
      <c r="N450" s="1"/>
    </row>
    <row r="451" spans="1:14" x14ac:dyDescent="0.25">
      <c r="A451" s="1" t="s">
        <v>457</v>
      </c>
      <c r="B451" s="1" t="s">
        <v>5</v>
      </c>
      <c r="C451" s="2">
        <v>0.5063657407407407</v>
      </c>
      <c r="D451">
        <v>1</v>
      </c>
      <c r="E451">
        <f>VALUE(RIGHT(LEFT(punkt_szczepień__13[[#This Row],[PESEL]],4),2))</f>
        <v>12</v>
      </c>
      <c r="F451" s="11">
        <f>MOD(punkt_szczepień__13[[#This Row],[liczba miesiac]],20)</f>
        <v>12</v>
      </c>
      <c r="G451" s="11">
        <f>VLOOKUP(punkt_szczepień__13[[#This Row],[liczba miesiac]]-punkt_szczepień__13[[#This Row],[miesiac]],$O$3:$P$7,2,0)+VALUE(LEFT(punkt_szczepień__13[[#This Row],[PESEL]],2))</f>
        <v>1973</v>
      </c>
      <c r="H451" s="11">
        <f>VALUE(RIGHT(LEFT(punkt_szczepień__13[[#This Row],[PESEL]],6),2))</f>
        <v>29</v>
      </c>
      <c r="I451" s="3">
        <f>DATE(punkt_szczepień__13[[#This Row],[rok]],punkt_szczepień__13[[#This Row],[miesiac]],punkt_szczepień__13[[#This Row],[dzień]])</f>
        <v>27027</v>
      </c>
      <c r="J451" s="1" t="str">
        <f>punkt_szczepień__13[[#This Row],[PESEL]]</f>
        <v>73122951518</v>
      </c>
      <c r="K451" s="1">
        <f>VALUE(MID(punkt_szczepień__13[[#This Row],[PESEL]],10,1))</f>
        <v>1</v>
      </c>
      <c r="L451" s="11" t="str">
        <f>IF(MOD(punkt_szczepień__13[[#This Row],[liczba płeć]],2)=0,"K","M")</f>
        <v>M</v>
      </c>
      <c r="M451" s="1"/>
      <c r="N451" s="1"/>
    </row>
    <row r="452" spans="1:14" x14ac:dyDescent="0.25">
      <c r="A452" s="1" t="s">
        <v>458</v>
      </c>
      <c r="B452" s="1" t="s">
        <v>7</v>
      </c>
      <c r="C452" s="2">
        <v>0.50665509259259256</v>
      </c>
      <c r="D452">
        <v>1</v>
      </c>
      <c r="E452">
        <f>VALUE(RIGHT(LEFT(punkt_szczepień__13[[#This Row],[PESEL]],4),2))</f>
        <v>11</v>
      </c>
      <c r="F452" s="11">
        <f>MOD(punkt_szczepień__13[[#This Row],[liczba miesiac]],20)</f>
        <v>11</v>
      </c>
      <c r="G452" s="11">
        <f>VLOOKUP(punkt_szczepień__13[[#This Row],[liczba miesiac]]-punkt_szczepień__13[[#This Row],[miesiac]],$O$3:$P$7,2,0)+VALUE(LEFT(punkt_szczepień__13[[#This Row],[PESEL]],2))</f>
        <v>1955</v>
      </c>
      <c r="H452" s="11">
        <f>VALUE(RIGHT(LEFT(punkt_szczepień__13[[#This Row],[PESEL]],6),2))</f>
        <v>18</v>
      </c>
      <c r="I452" s="3">
        <f>DATE(punkt_szczepień__13[[#This Row],[rok]],punkt_szczepień__13[[#This Row],[miesiac]],punkt_szczepień__13[[#This Row],[dzień]])</f>
        <v>20411</v>
      </c>
      <c r="J452" s="1" t="str">
        <f>punkt_szczepień__13[[#This Row],[PESEL]]</f>
        <v>55111826315</v>
      </c>
      <c r="K452" s="1">
        <f>VALUE(MID(punkt_szczepień__13[[#This Row],[PESEL]],10,1))</f>
        <v>1</v>
      </c>
      <c r="L452" s="11" t="str">
        <f>IF(MOD(punkt_szczepień__13[[#This Row],[liczba płeć]],2)=0,"K","M")</f>
        <v>M</v>
      </c>
      <c r="M452" s="1"/>
      <c r="N452" s="1"/>
    </row>
    <row r="453" spans="1:14" x14ac:dyDescent="0.25">
      <c r="A453" s="1" t="s">
        <v>459</v>
      </c>
      <c r="B453" s="1" t="s">
        <v>7</v>
      </c>
      <c r="C453" s="2">
        <v>0.50694444444444442</v>
      </c>
      <c r="D453">
        <v>1</v>
      </c>
      <c r="E453">
        <f>VALUE(RIGHT(LEFT(punkt_szczepień__13[[#This Row],[PESEL]],4),2))</f>
        <v>4</v>
      </c>
      <c r="F453" s="11">
        <f>MOD(punkt_szczepień__13[[#This Row],[liczba miesiac]],20)</f>
        <v>4</v>
      </c>
      <c r="G453" s="11">
        <f>VLOOKUP(punkt_szczepień__13[[#This Row],[liczba miesiac]]-punkt_szczepień__13[[#This Row],[miesiac]],$O$3:$P$7,2,0)+VALUE(LEFT(punkt_szczepień__13[[#This Row],[PESEL]],2))</f>
        <v>1932</v>
      </c>
      <c r="H453" s="11">
        <f>VALUE(RIGHT(LEFT(punkt_szczepień__13[[#This Row],[PESEL]],6),2))</f>
        <v>12</v>
      </c>
      <c r="I453" s="3">
        <f>DATE(punkt_szczepień__13[[#This Row],[rok]],punkt_szczepień__13[[#This Row],[miesiac]],punkt_szczepień__13[[#This Row],[dzień]])</f>
        <v>11791</v>
      </c>
      <c r="J453" s="1" t="str">
        <f>punkt_szczepień__13[[#This Row],[PESEL]]</f>
        <v>32041285373</v>
      </c>
      <c r="K453" s="1">
        <f>VALUE(MID(punkt_szczepień__13[[#This Row],[PESEL]],10,1))</f>
        <v>7</v>
      </c>
      <c r="L453" s="11" t="str">
        <f>IF(MOD(punkt_szczepień__13[[#This Row],[liczba płeć]],2)=0,"K","M")</f>
        <v>M</v>
      </c>
      <c r="M453" s="1"/>
      <c r="N453" s="1"/>
    </row>
    <row r="454" spans="1:14" x14ac:dyDescent="0.25">
      <c r="A454" s="1" t="s">
        <v>460</v>
      </c>
      <c r="B454" s="1" t="s">
        <v>9</v>
      </c>
      <c r="C454" s="2">
        <v>0.50752314814814814</v>
      </c>
      <c r="D454">
        <v>2</v>
      </c>
      <c r="E454">
        <f>VALUE(RIGHT(LEFT(punkt_szczepień__13[[#This Row],[PESEL]],4),2))</f>
        <v>11</v>
      </c>
      <c r="F454" s="11">
        <f>MOD(punkt_szczepień__13[[#This Row],[liczba miesiac]],20)</f>
        <v>11</v>
      </c>
      <c r="G454" s="11">
        <f>VLOOKUP(punkt_szczepień__13[[#This Row],[liczba miesiac]]-punkt_szczepień__13[[#This Row],[miesiac]],$O$3:$P$7,2,0)+VALUE(LEFT(punkt_szczepień__13[[#This Row],[PESEL]],2))</f>
        <v>1942</v>
      </c>
      <c r="H454" s="11">
        <f>VALUE(RIGHT(LEFT(punkt_szczepień__13[[#This Row],[PESEL]],6),2))</f>
        <v>28</v>
      </c>
      <c r="I454" s="3">
        <f>DATE(punkt_szczepień__13[[#This Row],[rok]],punkt_szczepień__13[[#This Row],[miesiac]],punkt_szczepień__13[[#This Row],[dzień]])</f>
        <v>15673</v>
      </c>
      <c r="J454" s="1" t="str">
        <f>punkt_szczepień__13[[#This Row],[PESEL]]</f>
        <v>42112851493</v>
      </c>
      <c r="K454" s="1">
        <f>VALUE(MID(punkt_szczepień__13[[#This Row],[PESEL]],10,1))</f>
        <v>9</v>
      </c>
      <c r="L454" s="11" t="str">
        <f>IF(MOD(punkt_szczepień__13[[#This Row],[liczba płeć]],2)=0,"K","M")</f>
        <v>M</v>
      </c>
      <c r="M454" s="1"/>
      <c r="N454" s="1"/>
    </row>
    <row r="455" spans="1:14" x14ac:dyDescent="0.25">
      <c r="A455" s="1" t="s">
        <v>461</v>
      </c>
      <c r="B455" s="1" t="s">
        <v>5</v>
      </c>
      <c r="C455" s="2">
        <v>0.50810185185185186</v>
      </c>
      <c r="D455">
        <v>2</v>
      </c>
      <c r="E455">
        <f>VALUE(RIGHT(LEFT(punkt_szczepień__13[[#This Row],[PESEL]],4),2))</f>
        <v>26</v>
      </c>
      <c r="F455" s="11">
        <f>MOD(punkt_szczepień__13[[#This Row],[liczba miesiac]],20)</f>
        <v>6</v>
      </c>
      <c r="G455" s="11">
        <f>VLOOKUP(punkt_szczepień__13[[#This Row],[liczba miesiac]]-punkt_szczepień__13[[#This Row],[miesiac]],$O$3:$P$7,2,0)+VALUE(LEFT(punkt_szczepień__13[[#This Row],[PESEL]],2))</f>
        <v>2005</v>
      </c>
      <c r="H455" s="11">
        <f>VALUE(RIGHT(LEFT(punkt_szczepień__13[[#This Row],[PESEL]],6),2))</f>
        <v>17</v>
      </c>
      <c r="I455" s="3">
        <f>DATE(punkt_szczepień__13[[#This Row],[rok]],punkt_szczepień__13[[#This Row],[miesiac]],punkt_szczepień__13[[#This Row],[dzień]])</f>
        <v>38520</v>
      </c>
      <c r="J455" s="1" t="str">
        <f>punkt_szczepień__13[[#This Row],[PESEL]]</f>
        <v>05261773597</v>
      </c>
      <c r="K455" s="1">
        <f>VALUE(MID(punkt_szczepień__13[[#This Row],[PESEL]],10,1))</f>
        <v>9</v>
      </c>
      <c r="L455" s="11" t="str">
        <f>IF(MOD(punkt_szczepień__13[[#This Row],[liczba płeć]],2)=0,"K","M")</f>
        <v>M</v>
      </c>
      <c r="M455" s="1"/>
      <c r="N455" s="1"/>
    </row>
    <row r="456" spans="1:14" x14ac:dyDescent="0.25">
      <c r="A456" s="1" t="s">
        <v>462</v>
      </c>
      <c r="B456" s="1" t="s">
        <v>9</v>
      </c>
      <c r="C456" s="2">
        <v>0.50868055555555558</v>
      </c>
      <c r="D456">
        <v>2</v>
      </c>
      <c r="E456">
        <f>VALUE(RIGHT(LEFT(punkt_szczepień__13[[#This Row],[PESEL]],4),2))</f>
        <v>8</v>
      </c>
      <c r="F456" s="11">
        <f>MOD(punkt_szczepień__13[[#This Row],[liczba miesiac]],20)</f>
        <v>8</v>
      </c>
      <c r="G456" s="11">
        <f>VLOOKUP(punkt_szczepień__13[[#This Row],[liczba miesiac]]-punkt_szczepień__13[[#This Row],[miesiac]],$O$3:$P$7,2,0)+VALUE(LEFT(punkt_szczepień__13[[#This Row],[PESEL]],2))</f>
        <v>1969</v>
      </c>
      <c r="H456" s="11">
        <f>VALUE(RIGHT(LEFT(punkt_szczepień__13[[#This Row],[PESEL]],6),2))</f>
        <v>14</v>
      </c>
      <c r="I456" s="3">
        <f>DATE(punkt_szczepień__13[[#This Row],[rok]],punkt_szczepień__13[[#This Row],[miesiac]],punkt_szczepień__13[[#This Row],[dzień]])</f>
        <v>25429</v>
      </c>
      <c r="J456" s="1" t="str">
        <f>punkt_szczepień__13[[#This Row],[PESEL]]</f>
        <v>69081435648</v>
      </c>
      <c r="K456" s="1">
        <f>VALUE(MID(punkt_szczepień__13[[#This Row],[PESEL]],10,1))</f>
        <v>4</v>
      </c>
      <c r="L456" s="11" t="str">
        <f>IF(MOD(punkt_szczepień__13[[#This Row],[liczba płeć]],2)=0,"K","M")</f>
        <v>K</v>
      </c>
      <c r="M456" s="1"/>
      <c r="N456" s="1"/>
    </row>
    <row r="457" spans="1:14" x14ac:dyDescent="0.25">
      <c r="A457" s="1" t="s">
        <v>463</v>
      </c>
      <c r="B457" s="1" t="s">
        <v>5</v>
      </c>
      <c r="C457" s="2">
        <v>0.5092592592592593</v>
      </c>
      <c r="D457">
        <v>2</v>
      </c>
      <c r="E457">
        <f>VALUE(RIGHT(LEFT(punkt_szczepień__13[[#This Row],[PESEL]],4),2))</f>
        <v>28</v>
      </c>
      <c r="F457" s="11">
        <f>MOD(punkt_szczepień__13[[#This Row],[liczba miesiac]],20)</f>
        <v>8</v>
      </c>
      <c r="G457" s="11">
        <f>VLOOKUP(punkt_szczepień__13[[#This Row],[liczba miesiac]]-punkt_szczepień__13[[#This Row],[miesiac]],$O$3:$P$7,2,0)+VALUE(LEFT(punkt_szczepień__13[[#This Row],[PESEL]],2))</f>
        <v>2002</v>
      </c>
      <c r="H457" s="11">
        <f>VALUE(RIGHT(LEFT(punkt_szczepień__13[[#This Row],[PESEL]],6),2))</f>
        <v>6</v>
      </c>
      <c r="I457" s="3">
        <f>DATE(punkt_szczepień__13[[#This Row],[rok]],punkt_szczepień__13[[#This Row],[miesiac]],punkt_szczepień__13[[#This Row],[dzień]])</f>
        <v>37474</v>
      </c>
      <c r="J457" s="1" t="str">
        <f>punkt_szczepień__13[[#This Row],[PESEL]]</f>
        <v>02280662345</v>
      </c>
      <c r="K457" s="1">
        <f>VALUE(MID(punkt_szczepień__13[[#This Row],[PESEL]],10,1))</f>
        <v>4</v>
      </c>
      <c r="L457" s="11" t="str">
        <f>IF(MOD(punkt_szczepień__13[[#This Row],[liczba płeć]],2)=0,"K","M")</f>
        <v>K</v>
      </c>
      <c r="M457" s="1"/>
      <c r="N457" s="1"/>
    </row>
    <row r="458" spans="1:14" x14ac:dyDescent="0.25">
      <c r="A458" s="1" t="s">
        <v>464</v>
      </c>
      <c r="B458" s="1" t="s">
        <v>7</v>
      </c>
      <c r="C458" s="2">
        <v>0.50954861111111116</v>
      </c>
      <c r="D458">
        <v>1</v>
      </c>
      <c r="E458">
        <f>VALUE(RIGHT(LEFT(punkt_szczepień__13[[#This Row],[PESEL]],4),2))</f>
        <v>2</v>
      </c>
      <c r="F458" s="11">
        <f>MOD(punkt_szczepień__13[[#This Row],[liczba miesiac]],20)</f>
        <v>2</v>
      </c>
      <c r="G458" s="11">
        <f>VLOOKUP(punkt_szczepień__13[[#This Row],[liczba miesiac]]-punkt_szczepień__13[[#This Row],[miesiac]],$O$3:$P$7,2,0)+VALUE(LEFT(punkt_szczepień__13[[#This Row],[PESEL]],2))</f>
        <v>1984</v>
      </c>
      <c r="H458" s="11">
        <f>VALUE(RIGHT(LEFT(punkt_szczepień__13[[#This Row],[PESEL]],6),2))</f>
        <v>26</v>
      </c>
      <c r="I458" s="3">
        <f>DATE(punkt_szczepień__13[[#This Row],[rok]],punkt_szczepień__13[[#This Row],[miesiac]],punkt_szczepień__13[[#This Row],[dzień]])</f>
        <v>30738</v>
      </c>
      <c r="J458" s="1" t="str">
        <f>punkt_szczepień__13[[#This Row],[PESEL]]</f>
        <v>84022657936</v>
      </c>
      <c r="K458" s="1">
        <f>VALUE(MID(punkt_szczepień__13[[#This Row],[PESEL]],10,1))</f>
        <v>3</v>
      </c>
      <c r="L458" s="11" t="str">
        <f>IF(MOD(punkt_szczepień__13[[#This Row],[liczba płeć]],2)=0,"K","M")</f>
        <v>M</v>
      </c>
      <c r="M458" s="1"/>
      <c r="N458" s="1"/>
    </row>
    <row r="459" spans="1:14" x14ac:dyDescent="0.25">
      <c r="A459" s="1" t="s">
        <v>465</v>
      </c>
      <c r="B459" s="1" t="s">
        <v>5</v>
      </c>
      <c r="C459" s="2">
        <v>0.51012731481481477</v>
      </c>
      <c r="D459">
        <v>2</v>
      </c>
      <c r="E459">
        <f>VALUE(RIGHT(LEFT(punkt_szczepień__13[[#This Row],[PESEL]],4),2))</f>
        <v>10</v>
      </c>
      <c r="F459" s="11">
        <f>MOD(punkt_szczepień__13[[#This Row],[liczba miesiac]],20)</f>
        <v>10</v>
      </c>
      <c r="G459" s="11">
        <f>VLOOKUP(punkt_szczepień__13[[#This Row],[liczba miesiac]]-punkt_szczepień__13[[#This Row],[miesiac]],$O$3:$P$7,2,0)+VALUE(LEFT(punkt_szczepień__13[[#This Row],[PESEL]],2))</f>
        <v>1948</v>
      </c>
      <c r="H459" s="11">
        <f>VALUE(RIGHT(LEFT(punkt_szczepień__13[[#This Row],[PESEL]],6),2))</f>
        <v>17</v>
      </c>
      <c r="I459" s="3">
        <f>DATE(punkt_szczepień__13[[#This Row],[rok]],punkt_szczepień__13[[#This Row],[miesiac]],punkt_szczepień__13[[#This Row],[dzień]])</f>
        <v>17823</v>
      </c>
      <c r="J459" s="1" t="str">
        <f>punkt_szczepień__13[[#This Row],[PESEL]]</f>
        <v>48101719555</v>
      </c>
      <c r="K459" s="1">
        <f>VALUE(MID(punkt_szczepień__13[[#This Row],[PESEL]],10,1))</f>
        <v>5</v>
      </c>
      <c r="L459" s="11" t="str">
        <f>IF(MOD(punkt_szczepień__13[[#This Row],[liczba płeć]],2)=0,"K","M")</f>
        <v>M</v>
      </c>
      <c r="M459" s="1"/>
      <c r="N459" s="1"/>
    </row>
    <row r="460" spans="1:14" x14ac:dyDescent="0.25">
      <c r="A460" s="1" t="s">
        <v>466</v>
      </c>
      <c r="B460" s="1" t="s">
        <v>7</v>
      </c>
      <c r="C460" s="2">
        <v>0.51041666666666663</v>
      </c>
      <c r="D460">
        <v>1</v>
      </c>
      <c r="E460">
        <f>VALUE(RIGHT(LEFT(punkt_szczepień__13[[#This Row],[PESEL]],4),2))</f>
        <v>21</v>
      </c>
      <c r="F460" s="11">
        <f>MOD(punkt_szczepień__13[[#This Row],[liczba miesiac]],20)</f>
        <v>1</v>
      </c>
      <c r="G460" s="11">
        <f>VLOOKUP(punkt_szczepień__13[[#This Row],[liczba miesiac]]-punkt_szczepień__13[[#This Row],[miesiac]],$O$3:$P$7,2,0)+VALUE(LEFT(punkt_szczepień__13[[#This Row],[PESEL]],2))</f>
        <v>2002</v>
      </c>
      <c r="H460" s="11">
        <f>VALUE(RIGHT(LEFT(punkt_szczepień__13[[#This Row],[PESEL]],6),2))</f>
        <v>30</v>
      </c>
      <c r="I460" s="3">
        <f>DATE(punkt_szczepień__13[[#This Row],[rok]],punkt_szczepień__13[[#This Row],[miesiac]],punkt_szczepień__13[[#This Row],[dzień]])</f>
        <v>37286</v>
      </c>
      <c r="J460" s="1" t="str">
        <f>punkt_szczepień__13[[#This Row],[PESEL]]</f>
        <v>02213087139</v>
      </c>
      <c r="K460" s="1">
        <f>VALUE(MID(punkt_szczepień__13[[#This Row],[PESEL]],10,1))</f>
        <v>3</v>
      </c>
      <c r="L460" s="11" t="str">
        <f>IF(MOD(punkt_szczepień__13[[#This Row],[liczba płeć]],2)=0,"K","M")</f>
        <v>M</v>
      </c>
      <c r="M460" s="1"/>
      <c r="N460" s="1"/>
    </row>
    <row r="461" spans="1:14" x14ac:dyDescent="0.25">
      <c r="A461" s="1" t="s">
        <v>467</v>
      </c>
      <c r="B461" s="1" t="s">
        <v>7</v>
      </c>
      <c r="C461" s="2">
        <v>0.51070601851851849</v>
      </c>
      <c r="D461">
        <v>1</v>
      </c>
      <c r="E461">
        <f>VALUE(RIGHT(LEFT(punkt_szczepień__13[[#This Row],[PESEL]],4),2))</f>
        <v>2</v>
      </c>
      <c r="F461" s="11">
        <f>MOD(punkt_szczepień__13[[#This Row],[liczba miesiac]],20)</f>
        <v>2</v>
      </c>
      <c r="G461" s="11">
        <f>VLOOKUP(punkt_szczepień__13[[#This Row],[liczba miesiac]]-punkt_szczepień__13[[#This Row],[miesiac]],$O$3:$P$7,2,0)+VALUE(LEFT(punkt_szczepień__13[[#This Row],[PESEL]],2))</f>
        <v>1940</v>
      </c>
      <c r="H461" s="11">
        <f>VALUE(RIGHT(LEFT(punkt_szczepień__13[[#This Row],[PESEL]],6),2))</f>
        <v>22</v>
      </c>
      <c r="I461" s="3">
        <f>DATE(punkt_szczepień__13[[#This Row],[rok]],punkt_szczepień__13[[#This Row],[miesiac]],punkt_szczepień__13[[#This Row],[dzień]])</f>
        <v>14663</v>
      </c>
      <c r="J461" s="1" t="str">
        <f>punkt_szczepień__13[[#This Row],[PESEL]]</f>
        <v>40022232773</v>
      </c>
      <c r="K461" s="1">
        <f>VALUE(MID(punkt_szczepień__13[[#This Row],[PESEL]],10,1))</f>
        <v>7</v>
      </c>
      <c r="L461" s="11" t="str">
        <f>IF(MOD(punkt_szczepień__13[[#This Row],[liczba płeć]],2)=0,"K","M")</f>
        <v>M</v>
      </c>
      <c r="M461" s="1"/>
      <c r="N461" s="1"/>
    </row>
    <row r="462" spans="1:14" x14ac:dyDescent="0.25">
      <c r="A462" s="1" t="s">
        <v>468</v>
      </c>
      <c r="B462" s="1" t="s">
        <v>5</v>
      </c>
      <c r="C462" s="2">
        <v>0.51099537037037035</v>
      </c>
      <c r="D462">
        <v>1</v>
      </c>
      <c r="E462">
        <f>VALUE(RIGHT(LEFT(punkt_szczepień__13[[#This Row],[PESEL]],4),2))</f>
        <v>8</v>
      </c>
      <c r="F462" s="11">
        <f>MOD(punkt_szczepień__13[[#This Row],[liczba miesiac]],20)</f>
        <v>8</v>
      </c>
      <c r="G462" s="11">
        <f>VLOOKUP(punkt_szczepień__13[[#This Row],[liczba miesiac]]-punkt_szczepień__13[[#This Row],[miesiac]],$O$3:$P$7,2,0)+VALUE(LEFT(punkt_szczepień__13[[#This Row],[PESEL]],2))</f>
        <v>1948</v>
      </c>
      <c r="H462" s="11">
        <f>VALUE(RIGHT(LEFT(punkt_szczepień__13[[#This Row],[PESEL]],6),2))</f>
        <v>19</v>
      </c>
      <c r="I462" s="3">
        <f>DATE(punkt_szczepień__13[[#This Row],[rok]],punkt_szczepień__13[[#This Row],[miesiac]],punkt_szczepień__13[[#This Row],[dzień]])</f>
        <v>17764</v>
      </c>
      <c r="J462" s="1" t="str">
        <f>punkt_szczepień__13[[#This Row],[PESEL]]</f>
        <v>48081955217</v>
      </c>
      <c r="K462" s="1">
        <f>VALUE(MID(punkt_szczepień__13[[#This Row],[PESEL]],10,1))</f>
        <v>1</v>
      </c>
      <c r="L462" s="11" t="str">
        <f>IF(MOD(punkt_szczepień__13[[#This Row],[liczba płeć]],2)=0,"K","M")</f>
        <v>M</v>
      </c>
      <c r="M462" s="1"/>
      <c r="N462" s="1"/>
    </row>
    <row r="463" spans="1:14" x14ac:dyDescent="0.25">
      <c r="A463" s="1" t="s">
        <v>469</v>
      </c>
      <c r="B463" s="1" t="s">
        <v>5</v>
      </c>
      <c r="C463" s="2">
        <v>0.51128472222222221</v>
      </c>
      <c r="D463">
        <v>1</v>
      </c>
      <c r="E463">
        <f>VALUE(RIGHT(LEFT(punkt_szczepień__13[[#This Row],[PESEL]],4),2))</f>
        <v>12</v>
      </c>
      <c r="F463" s="11">
        <f>MOD(punkt_szczepień__13[[#This Row],[liczba miesiac]],20)</f>
        <v>12</v>
      </c>
      <c r="G463" s="11">
        <f>VLOOKUP(punkt_szczepień__13[[#This Row],[liczba miesiac]]-punkt_szczepień__13[[#This Row],[miesiac]],$O$3:$P$7,2,0)+VALUE(LEFT(punkt_szczepień__13[[#This Row],[PESEL]],2))</f>
        <v>1950</v>
      </c>
      <c r="H463" s="11">
        <f>VALUE(RIGHT(LEFT(punkt_szczepień__13[[#This Row],[PESEL]],6),2))</f>
        <v>15</v>
      </c>
      <c r="I463" s="3">
        <f>DATE(punkt_szczepień__13[[#This Row],[rok]],punkt_szczepień__13[[#This Row],[miesiac]],punkt_szczepień__13[[#This Row],[dzień]])</f>
        <v>18612</v>
      </c>
      <c r="J463" s="1" t="str">
        <f>punkt_szczepień__13[[#This Row],[PESEL]]</f>
        <v>50121547348</v>
      </c>
      <c r="K463" s="1">
        <f>VALUE(MID(punkt_szczepień__13[[#This Row],[PESEL]],10,1))</f>
        <v>4</v>
      </c>
      <c r="L463" s="11" t="str">
        <f>IF(MOD(punkt_szczepień__13[[#This Row],[liczba płeć]],2)=0,"K","M")</f>
        <v>K</v>
      </c>
      <c r="M463" s="1"/>
      <c r="N463" s="1"/>
    </row>
    <row r="464" spans="1:14" x14ac:dyDescent="0.25">
      <c r="A464" s="1" t="s">
        <v>470</v>
      </c>
      <c r="B464" s="1" t="s">
        <v>7</v>
      </c>
      <c r="C464" s="2">
        <v>0.51157407407407407</v>
      </c>
      <c r="D464">
        <v>1</v>
      </c>
      <c r="E464">
        <f>VALUE(RIGHT(LEFT(punkt_szczepień__13[[#This Row],[PESEL]],4),2))</f>
        <v>3</v>
      </c>
      <c r="F464" s="11">
        <f>MOD(punkt_szczepień__13[[#This Row],[liczba miesiac]],20)</f>
        <v>3</v>
      </c>
      <c r="G464" s="11">
        <f>VLOOKUP(punkt_szczepień__13[[#This Row],[liczba miesiac]]-punkt_szczepień__13[[#This Row],[miesiac]],$O$3:$P$7,2,0)+VALUE(LEFT(punkt_szczepień__13[[#This Row],[PESEL]],2))</f>
        <v>1943</v>
      </c>
      <c r="H464" s="11">
        <f>VALUE(RIGHT(LEFT(punkt_szczepień__13[[#This Row],[PESEL]],6),2))</f>
        <v>10</v>
      </c>
      <c r="I464" s="3">
        <f>DATE(punkt_szczepień__13[[#This Row],[rok]],punkt_szczepień__13[[#This Row],[miesiac]],punkt_szczepień__13[[#This Row],[dzień]])</f>
        <v>15775</v>
      </c>
      <c r="J464" s="1" t="str">
        <f>punkt_szczepień__13[[#This Row],[PESEL]]</f>
        <v>43031032635</v>
      </c>
      <c r="K464" s="1">
        <f>VALUE(MID(punkt_szczepień__13[[#This Row],[PESEL]],10,1))</f>
        <v>3</v>
      </c>
      <c r="L464" s="11" t="str">
        <f>IF(MOD(punkt_szczepień__13[[#This Row],[liczba płeć]],2)=0,"K","M")</f>
        <v>M</v>
      </c>
      <c r="M464" s="1"/>
      <c r="N464" s="1"/>
    </row>
    <row r="465" spans="1:14" x14ac:dyDescent="0.25">
      <c r="A465" s="1" t="s">
        <v>471</v>
      </c>
      <c r="B465" s="1" t="s">
        <v>5</v>
      </c>
      <c r="C465" s="2">
        <v>0.51186342592592593</v>
      </c>
      <c r="D465">
        <v>1</v>
      </c>
      <c r="E465">
        <f>VALUE(RIGHT(LEFT(punkt_szczepień__13[[#This Row],[PESEL]],4),2))</f>
        <v>25</v>
      </c>
      <c r="F465" s="11">
        <f>MOD(punkt_szczepień__13[[#This Row],[liczba miesiac]],20)</f>
        <v>5</v>
      </c>
      <c r="G465" s="11">
        <f>VLOOKUP(punkt_szczepień__13[[#This Row],[liczba miesiac]]-punkt_szczepień__13[[#This Row],[miesiac]],$O$3:$P$7,2,0)+VALUE(LEFT(punkt_szczepień__13[[#This Row],[PESEL]],2))</f>
        <v>2003</v>
      </c>
      <c r="H465" s="11">
        <f>VALUE(RIGHT(LEFT(punkt_szczepień__13[[#This Row],[PESEL]],6),2))</f>
        <v>11</v>
      </c>
      <c r="I465" s="3">
        <f>DATE(punkt_szczepień__13[[#This Row],[rok]],punkt_szczepień__13[[#This Row],[miesiac]],punkt_szczepień__13[[#This Row],[dzień]])</f>
        <v>37752</v>
      </c>
      <c r="J465" s="1" t="str">
        <f>punkt_szczepień__13[[#This Row],[PESEL]]</f>
        <v>03251128637</v>
      </c>
      <c r="K465" s="1">
        <f>VALUE(MID(punkt_szczepień__13[[#This Row],[PESEL]],10,1))</f>
        <v>3</v>
      </c>
      <c r="L465" s="11" t="str">
        <f>IF(MOD(punkt_szczepień__13[[#This Row],[liczba płeć]],2)=0,"K","M")</f>
        <v>M</v>
      </c>
      <c r="M465" s="1"/>
      <c r="N465" s="1"/>
    </row>
    <row r="466" spans="1:14" x14ac:dyDescent="0.25">
      <c r="A466" s="1" t="s">
        <v>472</v>
      </c>
      <c r="B466" s="1" t="s">
        <v>7</v>
      </c>
      <c r="C466" s="2">
        <v>0.51215277777777779</v>
      </c>
      <c r="D466">
        <v>1</v>
      </c>
      <c r="E466">
        <f>VALUE(RIGHT(LEFT(punkt_szczepień__13[[#This Row],[PESEL]],4),2))</f>
        <v>6</v>
      </c>
      <c r="F466" s="11">
        <f>MOD(punkt_szczepień__13[[#This Row],[liczba miesiac]],20)</f>
        <v>6</v>
      </c>
      <c r="G466" s="11">
        <f>VLOOKUP(punkt_szczepień__13[[#This Row],[liczba miesiac]]-punkt_szczepień__13[[#This Row],[miesiac]],$O$3:$P$7,2,0)+VALUE(LEFT(punkt_szczepień__13[[#This Row],[PESEL]],2))</f>
        <v>1980</v>
      </c>
      <c r="H466" s="11">
        <f>VALUE(RIGHT(LEFT(punkt_szczepień__13[[#This Row],[PESEL]],6),2))</f>
        <v>23</v>
      </c>
      <c r="I466" s="3">
        <f>DATE(punkt_szczepień__13[[#This Row],[rok]],punkt_szczepień__13[[#This Row],[miesiac]],punkt_szczepień__13[[#This Row],[dzień]])</f>
        <v>29395</v>
      </c>
      <c r="J466" s="1" t="str">
        <f>punkt_szczepień__13[[#This Row],[PESEL]]</f>
        <v>80062354785</v>
      </c>
      <c r="K466" s="1">
        <f>VALUE(MID(punkt_szczepień__13[[#This Row],[PESEL]],10,1))</f>
        <v>8</v>
      </c>
      <c r="L466" s="11" t="str">
        <f>IF(MOD(punkt_szczepień__13[[#This Row],[liczba płeć]],2)=0,"K","M")</f>
        <v>K</v>
      </c>
      <c r="M466" s="1"/>
      <c r="N466" s="1"/>
    </row>
    <row r="467" spans="1:14" x14ac:dyDescent="0.25">
      <c r="A467" s="1" t="s">
        <v>473</v>
      </c>
      <c r="B467" s="1" t="s">
        <v>5</v>
      </c>
      <c r="C467" s="2">
        <v>0.51273148148148151</v>
      </c>
      <c r="D467">
        <v>2</v>
      </c>
      <c r="E467">
        <f>VALUE(RIGHT(LEFT(punkt_szczepień__13[[#This Row],[PESEL]],4),2))</f>
        <v>31</v>
      </c>
      <c r="F467" s="11">
        <f>MOD(punkt_szczepień__13[[#This Row],[liczba miesiac]],20)</f>
        <v>11</v>
      </c>
      <c r="G467" s="11">
        <f>VLOOKUP(punkt_szczepień__13[[#This Row],[liczba miesiac]]-punkt_szczepień__13[[#This Row],[miesiac]],$O$3:$P$7,2,0)+VALUE(LEFT(punkt_szczepień__13[[#This Row],[PESEL]],2))</f>
        <v>2002</v>
      </c>
      <c r="H467" s="11">
        <f>VALUE(RIGHT(LEFT(punkt_szczepień__13[[#This Row],[PESEL]],6),2))</f>
        <v>15</v>
      </c>
      <c r="I467" s="3">
        <f>DATE(punkt_szczepień__13[[#This Row],[rok]],punkt_szczepień__13[[#This Row],[miesiac]],punkt_szczepień__13[[#This Row],[dzień]])</f>
        <v>37575</v>
      </c>
      <c r="J467" s="1" t="str">
        <f>punkt_szczepień__13[[#This Row],[PESEL]]</f>
        <v>02311545784</v>
      </c>
      <c r="K467" s="1">
        <f>VALUE(MID(punkt_szczepień__13[[#This Row],[PESEL]],10,1))</f>
        <v>8</v>
      </c>
      <c r="L467" s="11" t="str">
        <f>IF(MOD(punkt_szczepień__13[[#This Row],[liczba płeć]],2)=0,"K","M")</f>
        <v>K</v>
      </c>
      <c r="M467" s="1"/>
      <c r="N467" s="1"/>
    </row>
    <row r="468" spans="1:14" x14ac:dyDescent="0.25">
      <c r="A468" s="1" t="s">
        <v>474</v>
      </c>
      <c r="B468" s="1" t="s">
        <v>7</v>
      </c>
      <c r="C468" s="2">
        <v>0.51302083333333337</v>
      </c>
      <c r="D468">
        <v>1</v>
      </c>
      <c r="E468">
        <f>VALUE(RIGHT(LEFT(punkt_szczepień__13[[#This Row],[PESEL]],4),2))</f>
        <v>11</v>
      </c>
      <c r="F468" s="11">
        <f>MOD(punkt_szczepień__13[[#This Row],[liczba miesiac]],20)</f>
        <v>11</v>
      </c>
      <c r="G468" s="11">
        <f>VLOOKUP(punkt_szczepień__13[[#This Row],[liczba miesiac]]-punkt_szczepień__13[[#This Row],[miesiac]],$O$3:$P$7,2,0)+VALUE(LEFT(punkt_szczepień__13[[#This Row],[PESEL]],2))</f>
        <v>1925</v>
      </c>
      <c r="H468" s="11">
        <f>VALUE(RIGHT(LEFT(punkt_szczepień__13[[#This Row],[PESEL]],6),2))</f>
        <v>13</v>
      </c>
      <c r="I468" s="3">
        <f>DATE(punkt_szczepień__13[[#This Row],[rok]],punkt_szczepień__13[[#This Row],[miesiac]],punkt_szczepień__13[[#This Row],[dzień]])</f>
        <v>9449</v>
      </c>
      <c r="J468" s="1" t="str">
        <f>punkt_szczepień__13[[#This Row],[PESEL]]</f>
        <v>25111396468</v>
      </c>
      <c r="K468" s="1">
        <f>VALUE(MID(punkt_szczepień__13[[#This Row],[PESEL]],10,1))</f>
        <v>6</v>
      </c>
      <c r="L468" s="11" t="str">
        <f>IF(MOD(punkt_szczepień__13[[#This Row],[liczba płeć]],2)=0,"K","M")</f>
        <v>K</v>
      </c>
      <c r="M468" s="1"/>
      <c r="N468" s="1"/>
    </row>
    <row r="469" spans="1:14" x14ac:dyDescent="0.25">
      <c r="A469" s="1" t="s">
        <v>475</v>
      </c>
      <c r="B469" s="1" t="s">
        <v>7</v>
      </c>
      <c r="C469" s="2">
        <v>0.51331018518518523</v>
      </c>
      <c r="D469">
        <v>1</v>
      </c>
      <c r="E469">
        <f>VALUE(RIGHT(LEFT(punkt_szczepień__13[[#This Row],[PESEL]],4),2))</f>
        <v>4</v>
      </c>
      <c r="F469" s="11">
        <f>MOD(punkt_szczepień__13[[#This Row],[liczba miesiac]],20)</f>
        <v>4</v>
      </c>
      <c r="G469" s="11">
        <f>VLOOKUP(punkt_szczepień__13[[#This Row],[liczba miesiac]]-punkt_szczepień__13[[#This Row],[miesiac]],$O$3:$P$7,2,0)+VALUE(LEFT(punkt_szczepień__13[[#This Row],[PESEL]],2))</f>
        <v>1933</v>
      </c>
      <c r="H469" s="11">
        <f>VALUE(RIGHT(LEFT(punkt_szczepień__13[[#This Row],[PESEL]],6),2))</f>
        <v>28</v>
      </c>
      <c r="I469" s="3">
        <f>DATE(punkt_szczepień__13[[#This Row],[rok]],punkt_szczepień__13[[#This Row],[miesiac]],punkt_szczepień__13[[#This Row],[dzień]])</f>
        <v>12172</v>
      </c>
      <c r="J469" s="1" t="str">
        <f>punkt_szczepień__13[[#This Row],[PESEL]]</f>
        <v>33042842215</v>
      </c>
      <c r="K469" s="1">
        <f>VALUE(MID(punkt_szczepień__13[[#This Row],[PESEL]],10,1))</f>
        <v>1</v>
      </c>
      <c r="L469" s="11" t="str">
        <f>IF(MOD(punkt_szczepień__13[[#This Row],[liczba płeć]],2)=0,"K","M")</f>
        <v>M</v>
      </c>
      <c r="M469" s="1"/>
      <c r="N469" s="1"/>
    </row>
    <row r="470" spans="1:14" x14ac:dyDescent="0.25">
      <c r="A470" s="1" t="s">
        <v>476</v>
      </c>
      <c r="B470" s="1" t="s">
        <v>7</v>
      </c>
      <c r="C470" s="2">
        <v>0.51359953703703709</v>
      </c>
      <c r="D470">
        <v>1</v>
      </c>
      <c r="E470">
        <f>VALUE(RIGHT(LEFT(punkt_szczepień__13[[#This Row],[PESEL]],4),2))</f>
        <v>10</v>
      </c>
      <c r="F470" s="11">
        <f>MOD(punkt_szczepień__13[[#This Row],[liczba miesiac]],20)</f>
        <v>10</v>
      </c>
      <c r="G470" s="11">
        <f>VLOOKUP(punkt_szczepień__13[[#This Row],[liczba miesiac]]-punkt_szczepień__13[[#This Row],[miesiac]],$O$3:$P$7,2,0)+VALUE(LEFT(punkt_szczepień__13[[#This Row],[PESEL]],2))</f>
        <v>1928</v>
      </c>
      <c r="H470" s="11">
        <f>VALUE(RIGHT(LEFT(punkt_szczepień__13[[#This Row],[PESEL]],6),2))</f>
        <v>5</v>
      </c>
      <c r="I470" s="3">
        <f>DATE(punkt_szczepień__13[[#This Row],[rok]],punkt_szczepień__13[[#This Row],[miesiac]],punkt_szczepień__13[[#This Row],[dzień]])</f>
        <v>10506</v>
      </c>
      <c r="J470" s="1" t="str">
        <f>punkt_szczepień__13[[#This Row],[PESEL]]</f>
        <v>28100582374</v>
      </c>
      <c r="K470" s="1">
        <f>VALUE(MID(punkt_szczepień__13[[#This Row],[PESEL]],10,1))</f>
        <v>7</v>
      </c>
      <c r="L470" s="11" t="str">
        <f>IF(MOD(punkt_szczepień__13[[#This Row],[liczba płeć]],2)=0,"K","M")</f>
        <v>M</v>
      </c>
      <c r="M470" s="1"/>
      <c r="N470" s="1"/>
    </row>
    <row r="471" spans="1:14" x14ac:dyDescent="0.25">
      <c r="A471" s="1" t="s">
        <v>477</v>
      </c>
      <c r="B471" s="1" t="s">
        <v>7</v>
      </c>
      <c r="C471" s="2">
        <v>0.51388888888888884</v>
      </c>
      <c r="D471">
        <v>1</v>
      </c>
      <c r="E471">
        <f>VALUE(RIGHT(LEFT(punkt_szczepień__13[[#This Row],[PESEL]],4),2))</f>
        <v>7</v>
      </c>
      <c r="F471" s="11">
        <f>MOD(punkt_szczepień__13[[#This Row],[liczba miesiac]],20)</f>
        <v>7</v>
      </c>
      <c r="G471" s="11">
        <f>VLOOKUP(punkt_szczepień__13[[#This Row],[liczba miesiac]]-punkt_szczepień__13[[#This Row],[miesiac]],$O$3:$P$7,2,0)+VALUE(LEFT(punkt_szczepień__13[[#This Row],[PESEL]],2))</f>
        <v>1999</v>
      </c>
      <c r="H471" s="11">
        <f>VALUE(RIGHT(LEFT(punkt_szczepień__13[[#This Row],[PESEL]],6),2))</f>
        <v>28</v>
      </c>
      <c r="I471" s="3">
        <f>DATE(punkt_szczepień__13[[#This Row],[rok]],punkt_szczepień__13[[#This Row],[miesiac]],punkt_szczepień__13[[#This Row],[dzień]])</f>
        <v>36369</v>
      </c>
      <c r="J471" s="1" t="str">
        <f>punkt_szczepień__13[[#This Row],[PESEL]]</f>
        <v>99072844919</v>
      </c>
      <c r="K471" s="1">
        <f>VALUE(MID(punkt_szczepień__13[[#This Row],[PESEL]],10,1))</f>
        <v>1</v>
      </c>
      <c r="L471" s="11" t="str">
        <f>IF(MOD(punkt_szczepień__13[[#This Row],[liczba płeć]],2)=0,"K","M")</f>
        <v>M</v>
      </c>
      <c r="M471" s="1"/>
      <c r="N471" s="1"/>
    </row>
    <row r="472" spans="1:14" x14ac:dyDescent="0.25">
      <c r="A472" s="1" t="s">
        <v>478</v>
      </c>
      <c r="B472" s="1" t="s">
        <v>5</v>
      </c>
      <c r="C472" s="2">
        <v>0.51446759259259256</v>
      </c>
      <c r="D472">
        <v>2</v>
      </c>
      <c r="E472">
        <f>VALUE(RIGHT(LEFT(punkt_szczepień__13[[#This Row],[PESEL]],4),2))</f>
        <v>25</v>
      </c>
      <c r="F472" s="11">
        <f>MOD(punkt_szczepień__13[[#This Row],[liczba miesiac]],20)</f>
        <v>5</v>
      </c>
      <c r="G472" s="11">
        <f>VLOOKUP(punkt_szczepień__13[[#This Row],[liczba miesiac]]-punkt_szczepień__13[[#This Row],[miesiac]],$O$3:$P$7,2,0)+VALUE(LEFT(punkt_szczepień__13[[#This Row],[PESEL]],2))</f>
        <v>2001</v>
      </c>
      <c r="H472" s="11">
        <f>VALUE(RIGHT(LEFT(punkt_szczepień__13[[#This Row],[PESEL]],6),2))</f>
        <v>9</v>
      </c>
      <c r="I472" s="3">
        <f>DATE(punkt_szczepień__13[[#This Row],[rok]],punkt_szczepień__13[[#This Row],[miesiac]],punkt_szczepień__13[[#This Row],[dzień]])</f>
        <v>37020</v>
      </c>
      <c r="J472" s="1" t="str">
        <f>punkt_szczepień__13[[#This Row],[PESEL]]</f>
        <v>01250991368</v>
      </c>
      <c r="K472" s="1">
        <f>VALUE(MID(punkt_szczepień__13[[#This Row],[PESEL]],10,1))</f>
        <v>6</v>
      </c>
      <c r="L472" s="11" t="str">
        <f>IF(MOD(punkt_szczepień__13[[#This Row],[liczba płeć]],2)=0,"K","M")</f>
        <v>K</v>
      </c>
      <c r="M472" s="1"/>
      <c r="N472" s="1"/>
    </row>
    <row r="473" spans="1:14" x14ac:dyDescent="0.25">
      <c r="A473" s="1" t="s">
        <v>479</v>
      </c>
      <c r="B473" s="1" t="s">
        <v>9</v>
      </c>
      <c r="C473" s="2">
        <v>0.51475694444444442</v>
      </c>
      <c r="D473">
        <v>1</v>
      </c>
      <c r="E473">
        <f>VALUE(RIGHT(LEFT(punkt_szczepień__13[[#This Row],[PESEL]],4),2))</f>
        <v>3</v>
      </c>
      <c r="F473" s="11">
        <f>MOD(punkt_szczepień__13[[#This Row],[liczba miesiac]],20)</f>
        <v>3</v>
      </c>
      <c r="G473" s="11">
        <f>VLOOKUP(punkt_szczepień__13[[#This Row],[liczba miesiac]]-punkt_szczepień__13[[#This Row],[miesiac]],$O$3:$P$7,2,0)+VALUE(LEFT(punkt_szczepień__13[[#This Row],[PESEL]],2))</f>
        <v>1922</v>
      </c>
      <c r="H473" s="11">
        <f>VALUE(RIGHT(LEFT(punkt_szczepień__13[[#This Row],[PESEL]],6),2))</f>
        <v>20</v>
      </c>
      <c r="I473" s="3">
        <f>DATE(punkt_szczepień__13[[#This Row],[rok]],punkt_szczepień__13[[#This Row],[miesiac]],punkt_szczepień__13[[#This Row],[dzień]])</f>
        <v>8115</v>
      </c>
      <c r="J473" s="1" t="str">
        <f>punkt_szczepień__13[[#This Row],[PESEL]]</f>
        <v>22032032875</v>
      </c>
      <c r="K473" s="1">
        <f>VALUE(MID(punkt_szczepień__13[[#This Row],[PESEL]],10,1))</f>
        <v>7</v>
      </c>
      <c r="L473" s="11" t="str">
        <f>IF(MOD(punkt_szczepień__13[[#This Row],[liczba płeć]],2)=0,"K","M")</f>
        <v>M</v>
      </c>
      <c r="M473" s="1"/>
      <c r="N473" s="1"/>
    </row>
    <row r="474" spans="1:14" x14ac:dyDescent="0.25">
      <c r="A474" s="1" t="s">
        <v>480</v>
      </c>
      <c r="B474" s="1" t="s">
        <v>7</v>
      </c>
      <c r="C474" s="2">
        <v>0.51504629629629628</v>
      </c>
      <c r="D474">
        <v>1</v>
      </c>
      <c r="E474">
        <f>VALUE(RIGHT(LEFT(punkt_szczepień__13[[#This Row],[PESEL]],4),2))</f>
        <v>11</v>
      </c>
      <c r="F474" s="11">
        <f>MOD(punkt_szczepień__13[[#This Row],[liczba miesiac]],20)</f>
        <v>11</v>
      </c>
      <c r="G474" s="11">
        <f>VLOOKUP(punkt_szczepień__13[[#This Row],[liczba miesiac]]-punkt_szczepień__13[[#This Row],[miesiac]],$O$3:$P$7,2,0)+VALUE(LEFT(punkt_szczepień__13[[#This Row],[PESEL]],2))</f>
        <v>1981</v>
      </c>
      <c r="H474" s="11">
        <f>VALUE(RIGHT(LEFT(punkt_szczepień__13[[#This Row],[PESEL]],6),2))</f>
        <v>30</v>
      </c>
      <c r="I474" s="3">
        <f>DATE(punkt_szczepień__13[[#This Row],[rok]],punkt_szczepień__13[[#This Row],[miesiac]],punkt_szczepień__13[[#This Row],[dzień]])</f>
        <v>29920</v>
      </c>
      <c r="J474" s="1" t="str">
        <f>punkt_szczepień__13[[#This Row],[PESEL]]</f>
        <v>81113041454</v>
      </c>
      <c r="K474" s="1">
        <f>VALUE(MID(punkt_szczepień__13[[#This Row],[PESEL]],10,1))</f>
        <v>5</v>
      </c>
      <c r="L474" s="11" t="str">
        <f>IF(MOD(punkt_szczepień__13[[#This Row],[liczba płeć]],2)=0,"K","M")</f>
        <v>M</v>
      </c>
      <c r="M474" s="1"/>
      <c r="N474" s="1"/>
    </row>
    <row r="475" spans="1:14" x14ac:dyDescent="0.25">
      <c r="A475" s="1" t="s">
        <v>481</v>
      </c>
      <c r="B475" s="1" t="s">
        <v>9</v>
      </c>
      <c r="C475" s="2">
        <v>0.515625</v>
      </c>
      <c r="D475">
        <v>2</v>
      </c>
      <c r="E475">
        <f>VALUE(RIGHT(LEFT(punkt_szczepień__13[[#This Row],[PESEL]],4),2))</f>
        <v>31</v>
      </c>
      <c r="F475" s="11">
        <f>MOD(punkt_szczepień__13[[#This Row],[liczba miesiac]],20)</f>
        <v>11</v>
      </c>
      <c r="G475" s="11">
        <f>VLOOKUP(punkt_szczepień__13[[#This Row],[liczba miesiac]]-punkt_szczepień__13[[#This Row],[miesiac]],$O$3:$P$7,2,0)+VALUE(LEFT(punkt_szczepień__13[[#This Row],[PESEL]],2))</f>
        <v>2009</v>
      </c>
      <c r="H475" s="11">
        <f>VALUE(RIGHT(LEFT(punkt_szczepień__13[[#This Row],[PESEL]],6),2))</f>
        <v>10</v>
      </c>
      <c r="I475" s="3">
        <f>DATE(punkt_szczepień__13[[#This Row],[rok]],punkt_szczepień__13[[#This Row],[miesiac]],punkt_szczepień__13[[#This Row],[dzień]])</f>
        <v>40127</v>
      </c>
      <c r="J475" s="1" t="str">
        <f>punkt_szczepień__13[[#This Row],[PESEL]]</f>
        <v>09311045276</v>
      </c>
      <c r="K475" s="1">
        <f>VALUE(MID(punkt_szczepień__13[[#This Row],[PESEL]],10,1))</f>
        <v>7</v>
      </c>
      <c r="L475" s="11" t="str">
        <f>IF(MOD(punkt_szczepień__13[[#This Row],[liczba płeć]],2)=0,"K","M")</f>
        <v>M</v>
      </c>
      <c r="M475" s="1"/>
      <c r="N475" s="1"/>
    </row>
    <row r="476" spans="1:14" x14ac:dyDescent="0.25">
      <c r="A476" s="1" t="s">
        <v>482</v>
      </c>
      <c r="B476" s="1" t="s">
        <v>7</v>
      </c>
      <c r="C476" s="2">
        <v>0.51591435185185186</v>
      </c>
      <c r="D476">
        <v>1</v>
      </c>
      <c r="E476">
        <f>VALUE(RIGHT(LEFT(punkt_szczepień__13[[#This Row],[PESEL]],4),2))</f>
        <v>7</v>
      </c>
      <c r="F476" s="11">
        <f>MOD(punkt_szczepień__13[[#This Row],[liczba miesiac]],20)</f>
        <v>7</v>
      </c>
      <c r="G476" s="11">
        <f>VLOOKUP(punkt_szczepień__13[[#This Row],[liczba miesiac]]-punkt_szczepień__13[[#This Row],[miesiac]],$O$3:$P$7,2,0)+VALUE(LEFT(punkt_szczepień__13[[#This Row],[PESEL]],2))</f>
        <v>1939</v>
      </c>
      <c r="H476" s="11">
        <f>VALUE(RIGHT(LEFT(punkt_szczepień__13[[#This Row],[PESEL]],6),2))</f>
        <v>14</v>
      </c>
      <c r="I476" s="3">
        <f>DATE(punkt_szczepień__13[[#This Row],[rok]],punkt_szczepień__13[[#This Row],[miesiac]],punkt_szczepień__13[[#This Row],[dzień]])</f>
        <v>14440</v>
      </c>
      <c r="J476" s="1" t="str">
        <f>punkt_szczepień__13[[#This Row],[PESEL]]</f>
        <v>39071421292</v>
      </c>
      <c r="K476" s="1">
        <f>VALUE(MID(punkt_szczepień__13[[#This Row],[PESEL]],10,1))</f>
        <v>9</v>
      </c>
      <c r="L476" s="11" t="str">
        <f>IF(MOD(punkt_szczepień__13[[#This Row],[liczba płeć]],2)=0,"K","M")</f>
        <v>M</v>
      </c>
      <c r="M476" s="1"/>
      <c r="N476" s="1"/>
    </row>
    <row r="477" spans="1:14" x14ac:dyDescent="0.25">
      <c r="A477" s="1" t="s">
        <v>483</v>
      </c>
      <c r="B477" s="1" t="s">
        <v>7</v>
      </c>
      <c r="C477" s="2">
        <v>0.51620370370370372</v>
      </c>
      <c r="D477">
        <v>1</v>
      </c>
      <c r="E477">
        <f>VALUE(RIGHT(LEFT(punkt_szczepień__13[[#This Row],[PESEL]],4),2))</f>
        <v>8</v>
      </c>
      <c r="F477" s="11">
        <f>MOD(punkt_szczepień__13[[#This Row],[liczba miesiac]],20)</f>
        <v>8</v>
      </c>
      <c r="G477" s="11">
        <f>VLOOKUP(punkt_szczepień__13[[#This Row],[liczba miesiac]]-punkt_szczepień__13[[#This Row],[miesiac]],$O$3:$P$7,2,0)+VALUE(LEFT(punkt_szczepień__13[[#This Row],[PESEL]],2))</f>
        <v>1987</v>
      </c>
      <c r="H477" s="11">
        <f>VALUE(RIGHT(LEFT(punkt_szczepień__13[[#This Row],[PESEL]],6),2))</f>
        <v>20</v>
      </c>
      <c r="I477" s="3">
        <f>DATE(punkt_szczepień__13[[#This Row],[rok]],punkt_szczepień__13[[#This Row],[miesiac]],punkt_szczepień__13[[#This Row],[dzień]])</f>
        <v>32009</v>
      </c>
      <c r="J477" s="1" t="str">
        <f>punkt_szczepień__13[[#This Row],[PESEL]]</f>
        <v>87082031359</v>
      </c>
      <c r="K477" s="1">
        <f>VALUE(MID(punkt_szczepień__13[[#This Row],[PESEL]],10,1))</f>
        <v>5</v>
      </c>
      <c r="L477" s="11" t="str">
        <f>IF(MOD(punkt_szczepień__13[[#This Row],[liczba płeć]],2)=0,"K","M")</f>
        <v>M</v>
      </c>
      <c r="M477" s="1"/>
      <c r="N477" s="1"/>
    </row>
    <row r="478" spans="1:14" x14ac:dyDescent="0.25">
      <c r="A478" s="1" t="s">
        <v>484</v>
      </c>
      <c r="B478" s="1" t="s">
        <v>7</v>
      </c>
      <c r="C478" s="2">
        <v>0.51649305555555558</v>
      </c>
      <c r="D478">
        <v>1</v>
      </c>
      <c r="E478">
        <f>VALUE(RIGHT(LEFT(punkt_szczepień__13[[#This Row],[PESEL]],4),2))</f>
        <v>4</v>
      </c>
      <c r="F478" s="11">
        <f>MOD(punkt_szczepień__13[[#This Row],[liczba miesiac]],20)</f>
        <v>4</v>
      </c>
      <c r="G478" s="11">
        <f>VLOOKUP(punkt_szczepień__13[[#This Row],[liczba miesiac]]-punkt_szczepień__13[[#This Row],[miesiac]],$O$3:$P$7,2,0)+VALUE(LEFT(punkt_szczepień__13[[#This Row],[PESEL]],2))</f>
        <v>1993</v>
      </c>
      <c r="H478" s="11">
        <f>VALUE(RIGHT(LEFT(punkt_szczepień__13[[#This Row],[PESEL]],6),2))</f>
        <v>4</v>
      </c>
      <c r="I478" s="3">
        <f>DATE(punkt_szczepień__13[[#This Row],[rok]],punkt_szczepień__13[[#This Row],[miesiac]],punkt_szczepień__13[[#This Row],[dzień]])</f>
        <v>34063</v>
      </c>
      <c r="J478" s="1" t="str">
        <f>punkt_szczepień__13[[#This Row],[PESEL]]</f>
        <v>93040472816</v>
      </c>
      <c r="K478" s="1">
        <f>VALUE(MID(punkt_szczepień__13[[#This Row],[PESEL]],10,1))</f>
        <v>1</v>
      </c>
      <c r="L478" s="11" t="str">
        <f>IF(MOD(punkt_szczepień__13[[#This Row],[liczba płeć]],2)=0,"K","M")</f>
        <v>M</v>
      </c>
      <c r="M478" s="1"/>
      <c r="N478" s="1"/>
    </row>
    <row r="479" spans="1:14" x14ac:dyDescent="0.25">
      <c r="A479" s="1" t="s">
        <v>485</v>
      </c>
      <c r="B479" s="1" t="s">
        <v>5</v>
      </c>
      <c r="C479" s="2">
        <v>0.51678240740740744</v>
      </c>
      <c r="D479">
        <v>1</v>
      </c>
      <c r="E479">
        <f>VALUE(RIGHT(LEFT(punkt_szczepień__13[[#This Row],[PESEL]],4),2))</f>
        <v>10</v>
      </c>
      <c r="F479" s="11">
        <f>MOD(punkt_szczepień__13[[#This Row],[liczba miesiac]],20)</f>
        <v>10</v>
      </c>
      <c r="G479" s="11">
        <f>VLOOKUP(punkt_szczepień__13[[#This Row],[liczba miesiac]]-punkt_szczepień__13[[#This Row],[miesiac]],$O$3:$P$7,2,0)+VALUE(LEFT(punkt_szczepień__13[[#This Row],[PESEL]],2))</f>
        <v>1981</v>
      </c>
      <c r="H479" s="11">
        <f>VALUE(RIGHT(LEFT(punkt_szczepień__13[[#This Row],[PESEL]],6),2))</f>
        <v>4</v>
      </c>
      <c r="I479" s="3">
        <f>DATE(punkt_szczepień__13[[#This Row],[rok]],punkt_szczepień__13[[#This Row],[miesiac]],punkt_szczepień__13[[#This Row],[dzień]])</f>
        <v>29863</v>
      </c>
      <c r="J479" s="1" t="str">
        <f>punkt_szczepień__13[[#This Row],[PESEL]]</f>
        <v>81100414748</v>
      </c>
      <c r="K479" s="1">
        <f>VALUE(MID(punkt_szczepień__13[[#This Row],[PESEL]],10,1))</f>
        <v>4</v>
      </c>
      <c r="L479" s="11" t="str">
        <f>IF(MOD(punkt_szczepień__13[[#This Row],[liczba płeć]],2)=0,"K","M")</f>
        <v>K</v>
      </c>
      <c r="M479" s="1"/>
      <c r="N479" s="1"/>
    </row>
    <row r="480" spans="1:14" x14ac:dyDescent="0.25">
      <c r="A480" s="1" t="s">
        <v>486</v>
      </c>
      <c r="B480" s="1" t="s">
        <v>7</v>
      </c>
      <c r="C480" s="2">
        <v>0.5170717592592593</v>
      </c>
      <c r="D480">
        <v>1</v>
      </c>
      <c r="E480">
        <f>VALUE(RIGHT(LEFT(punkt_szczepień__13[[#This Row],[PESEL]],4),2))</f>
        <v>8</v>
      </c>
      <c r="F480" s="11">
        <f>MOD(punkt_szczepień__13[[#This Row],[liczba miesiac]],20)</f>
        <v>8</v>
      </c>
      <c r="G480" s="11">
        <f>VLOOKUP(punkt_szczepień__13[[#This Row],[liczba miesiac]]-punkt_szczepień__13[[#This Row],[miesiac]],$O$3:$P$7,2,0)+VALUE(LEFT(punkt_szczepień__13[[#This Row],[PESEL]],2))</f>
        <v>1938</v>
      </c>
      <c r="H480" s="11">
        <f>VALUE(RIGHT(LEFT(punkt_szczepień__13[[#This Row],[PESEL]],6),2))</f>
        <v>20</v>
      </c>
      <c r="I480" s="3">
        <f>DATE(punkt_szczepień__13[[#This Row],[rok]],punkt_szczepień__13[[#This Row],[miesiac]],punkt_szczepień__13[[#This Row],[dzień]])</f>
        <v>14112</v>
      </c>
      <c r="J480" s="1" t="str">
        <f>punkt_szczepień__13[[#This Row],[PESEL]]</f>
        <v>38082022588</v>
      </c>
      <c r="K480" s="1">
        <f>VALUE(MID(punkt_szczepień__13[[#This Row],[PESEL]],10,1))</f>
        <v>8</v>
      </c>
      <c r="L480" s="11" t="str">
        <f>IF(MOD(punkt_szczepień__13[[#This Row],[liczba płeć]],2)=0,"K","M")</f>
        <v>K</v>
      </c>
      <c r="M480" s="1"/>
      <c r="N480" s="1"/>
    </row>
    <row r="481" spans="1:14" x14ac:dyDescent="0.25">
      <c r="A481" s="1" t="s">
        <v>487</v>
      </c>
      <c r="B481" s="1" t="s">
        <v>7</v>
      </c>
      <c r="C481" s="2">
        <v>0.51736111111111116</v>
      </c>
      <c r="D481">
        <v>1</v>
      </c>
      <c r="E481">
        <f>VALUE(RIGHT(LEFT(punkt_szczepień__13[[#This Row],[PESEL]],4),2))</f>
        <v>26</v>
      </c>
      <c r="F481" s="11">
        <f>MOD(punkt_szczepień__13[[#This Row],[liczba miesiac]],20)</f>
        <v>6</v>
      </c>
      <c r="G481" s="11">
        <f>VLOOKUP(punkt_szczepień__13[[#This Row],[liczba miesiac]]-punkt_szczepień__13[[#This Row],[miesiac]],$O$3:$P$7,2,0)+VALUE(LEFT(punkt_szczepień__13[[#This Row],[PESEL]],2))</f>
        <v>2007</v>
      </c>
      <c r="H481" s="11">
        <f>VALUE(RIGHT(LEFT(punkt_szczepień__13[[#This Row],[PESEL]],6),2))</f>
        <v>12</v>
      </c>
      <c r="I481" s="3">
        <f>DATE(punkt_szczepień__13[[#This Row],[rok]],punkt_szczepień__13[[#This Row],[miesiac]],punkt_szczepień__13[[#This Row],[dzień]])</f>
        <v>39245</v>
      </c>
      <c r="J481" s="1" t="str">
        <f>punkt_szczepień__13[[#This Row],[PESEL]]</f>
        <v>07261292591</v>
      </c>
      <c r="K481" s="1">
        <f>VALUE(MID(punkt_szczepień__13[[#This Row],[PESEL]],10,1))</f>
        <v>9</v>
      </c>
      <c r="L481" s="11" t="str">
        <f>IF(MOD(punkt_szczepień__13[[#This Row],[liczba płeć]],2)=0,"K","M")</f>
        <v>M</v>
      </c>
      <c r="M481" s="1"/>
      <c r="N481" s="1"/>
    </row>
    <row r="482" spans="1:14" x14ac:dyDescent="0.25">
      <c r="A482" s="1" t="s">
        <v>488</v>
      </c>
      <c r="B482" s="1" t="s">
        <v>7</v>
      </c>
      <c r="C482" s="2">
        <v>0.51765046296296291</v>
      </c>
      <c r="D482">
        <v>1</v>
      </c>
      <c r="E482">
        <f>VALUE(RIGHT(LEFT(punkt_szczepień__13[[#This Row],[PESEL]],4),2))</f>
        <v>2</v>
      </c>
      <c r="F482" s="11">
        <f>MOD(punkt_szczepień__13[[#This Row],[liczba miesiac]],20)</f>
        <v>2</v>
      </c>
      <c r="G482" s="11">
        <f>VLOOKUP(punkt_szczepień__13[[#This Row],[liczba miesiac]]-punkt_szczepień__13[[#This Row],[miesiac]],$O$3:$P$7,2,0)+VALUE(LEFT(punkt_szczepień__13[[#This Row],[PESEL]],2))</f>
        <v>1946</v>
      </c>
      <c r="H482" s="11">
        <f>VALUE(RIGHT(LEFT(punkt_szczepień__13[[#This Row],[PESEL]],6),2))</f>
        <v>23</v>
      </c>
      <c r="I482" s="3">
        <f>DATE(punkt_szczepień__13[[#This Row],[rok]],punkt_szczepień__13[[#This Row],[miesiac]],punkt_szczepień__13[[#This Row],[dzień]])</f>
        <v>16856</v>
      </c>
      <c r="J482" s="1" t="str">
        <f>punkt_szczepień__13[[#This Row],[PESEL]]</f>
        <v>46022384991</v>
      </c>
      <c r="K482" s="1">
        <f>VALUE(MID(punkt_szczepień__13[[#This Row],[PESEL]],10,1))</f>
        <v>9</v>
      </c>
      <c r="L482" s="11" t="str">
        <f>IF(MOD(punkt_szczepień__13[[#This Row],[liczba płeć]],2)=0,"K","M")</f>
        <v>M</v>
      </c>
      <c r="M482" s="1"/>
      <c r="N482" s="1"/>
    </row>
    <row r="483" spans="1:14" x14ac:dyDescent="0.25">
      <c r="A483" s="1" t="s">
        <v>489</v>
      </c>
      <c r="B483" s="1" t="s">
        <v>7</v>
      </c>
      <c r="C483" s="2">
        <v>0.51793981481481477</v>
      </c>
      <c r="D483">
        <v>1</v>
      </c>
      <c r="E483">
        <f>VALUE(RIGHT(LEFT(punkt_szczepień__13[[#This Row],[PESEL]],4),2))</f>
        <v>2</v>
      </c>
      <c r="F483" s="11">
        <f>MOD(punkt_szczepień__13[[#This Row],[liczba miesiac]],20)</f>
        <v>2</v>
      </c>
      <c r="G483" s="11">
        <f>VLOOKUP(punkt_szczepień__13[[#This Row],[liczba miesiac]]-punkt_szczepień__13[[#This Row],[miesiac]],$O$3:$P$7,2,0)+VALUE(LEFT(punkt_szczepień__13[[#This Row],[PESEL]],2))</f>
        <v>1997</v>
      </c>
      <c r="H483" s="11">
        <f>VALUE(RIGHT(LEFT(punkt_szczepień__13[[#This Row],[PESEL]],6),2))</f>
        <v>3</v>
      </c>
      <c r="I483" s="3">
        <f>DATE(punkt_szczepień__13[[#This Row],[rok]],punkt_szczepień__13[[#This Row],[miesiac]],punkt_szczepień__13[[#This Row],[dzień]])</f>
        <v>35464</v>
      </c>
      <c r="J483" s="1" t="str">
        <f>punkt_szczepień__13[[#This Row],[PESEL]]</f>
        <v>97020325844</v>
      </c>
      <c r="K483" s="1">
        <f>VALUE(MID(punkt_szczepień__13[[#This Row],[PESEL]],10,1))</f>
        <v>4</v>
      </c>
      <c r="L483" s="11" t="str">
        <f>IF(MOD(punkt_szczepień__13[[#This Row],[liczba płeć]],2)=0,"K","M")</f>
        <v>K</v>
      </c>
      <c r="M483" s="1"/>
      <c r="N483" s="1"/>
    </row>
    <row r="484" spans="1:14" x14ac:dyDescent="0.25">
      <c r="A484" s="1" t="s">
        <v>490</v>
      </c>
      <c r="B484" s="1" t="s">
        <v>7</v>
      </c>
      <c r="C484" s="2">
        <v>0.51822916666666663</v>
      </c>
      <c r="D484">
        <v>1</v>
      </c>
      <c r="E484">
        <f>VALUE(RIGHT(LEFT(punkt_szczepień__13[[#This Row],[PESEL]],4),2))</f>
        <v>23</v>
      </c>
      <c r="F484" s="11">
        <f>MOD(punkt_szczepień__13[[#This Row],[liczba miesiac]],20)</f>
        <v>3</v>
      </c>
      <c r="G484" s="11">
        <f>VLOOKUP(punkt_szczepień__13[[#This Row],[liczba miesiac]]-punkt_szczepień__13[[#This Row],[miesiac]],$O$3:$P$7,2,0)+VALUE(LEFT(punkt_szczepień__13[[#This Row],[PESEL]],2))</f>
        <v>2008</v>
      </c>
      <c r="H484" s="11">
        <f>VALUE(RIGHT(LEFT(punkt_szczepień__13[[#This Row],[PESEL]],6),2))</f>
        <v>17</v>
      </c>
      <c r="I484" s="3">
        <f>DATE(punkt_szczepień__13[[#This Row],[rok]],punkt_szczepień__13[[#This Row],[miesiac]],punkt_szczepień__13[[#This Row],[dzień]])</f>
        <v>39524</v>
      </c>
      <c r="J484" s="1" t="str">
        <f>punkt_szczepień__13[[#This Row],[PESEL]]</f>
        <v>08231762539</v>
      </c>
      <c r="K484" s="1">
        <f>VALUE(MID(punkt_szczepień__13[[#This Row],[PESEL]],10,1))</f>
        <v>3</v>
      </c>
      <c r="L484" s="11" t="str">
        <f>IF(MOD(punkt_szczepień__13[[#This Row],[liczba płeć]],2)=0,"K","M")</f>
        <v>M</v>
      </c>
      <c r="M484" s="1"/>
      <c r="N484" s="1"/>
    </row>
    <row r="485" spans="1:14" x14ac:dyDescent="0.25">
      <c r="A485" s="1" t="s">
        <v>491</v>
      </c>
      <c r="B485" s="1" t="s">
        <v>9</v>
      </c>
      <c r="C485" s="2">
        <v>0.51880787037037035</v>
      </c>
      <c r="D485">
        <v>2</v>
      </c>
      <c r="E485">
        <f>VALUE(RIGHT(LEFT(punkt_szczepień__13[[#This Row],[PESEL]],4),2))</f>
        <v>8</v>
      </c>
      <c r="F485" s="11">
        <f>MOD(punkt_szczepień__13[[#This Row],[liczba miesiac]],20)</f>
        <v>8</v>
      </c>
      <c r="G485" s="11">
        <f>VLOOKUP(punkt_szczepień__13[[#This Row],[liczba miesiac]]-punkt_szczepień__13[[#This Row],[miesiac]],$O$3:$P$7,2,0)+VALUE(LEFT(punkt_szczepień__13[[#This Row],[PESEL]],2))</f>
        <v>1976</v>
      </c>
      <c r="H485" s="11">
        <f>VALUE(RIGHT(LEFT(punkt_szczepień__13[[#This Row],[PESEL]],6),2))</f>
        <v>11</v>
      </c>
      <c r="I485" s="3">
        <f>DATE(punkt_szczepień__13[[#This Row],[rok]],punkt_szczepień__13[[#This Row],[miesiac]],punkt_szczepień__13[[#This Row],[dzień]])</f>
        <v>27983</v>
      </c>
      <c r="J485" s="1" t="str">
        <f>punkt_szczepień__13[[#This Row],[PESEL]]</f>
        <v>76081141583</v>
      </c>
      <c r="K485" s="1">
        <f>VALUE(MID(punkt_szczepień__13[[#This Row],[PESEL]],10,1))</f>
        <v>8</v>
      </c>
      <c r="L485" s="11" t="str">
        <f>IF(MOD(punkt_szczepień__13[[#This Row],[liczba płeć]],2)=0,"K","M")</f>
        <v>K</v>
      </c>
      <c r="M485" s="1"/>
      <c r="N485" s="1"/>
    </row>
    <row r="486" spans="1:14" x14ac:dyDescent="0.25">
      <c r="A486" s="1" t="s">
        <v>492</v>
      </c>
      <c r="B486" s="1" t="s">
        <v>9</v>
      </c>
      <c r="C486" s="2">
        <v>0.51938657407407407</v>
      </c>
      <c r="D486">
        <v>2</v>
      </c>
      <c r="E486">
        <f>VALUE(RIGHT(LEFT(punkt_szczepień__13[[#This Row],[PESEL]],4),2))</f>
        <v>5</v>
      </c>
      <c r="F486" s="11">
        <f>MOD(punkt_szczepień__13[[#This Row],[liczba miesiac]],20)</f>
        <v>5</v>
      </c>
      <c r="G486" s="11">
        <f>VLOOKUP(punkt_szczepień__13[[#This Row],[liczba miesiac]]-punkt_szczepień__13[[#This Row],[miesiac]],$O$3:$P$7,2,0)+VALUE(LEFT(punkt_szczepień__13[[#This Row],[PESEL]],2))</f>
        <v>1993</v>
      </c>
      <c r="H486" s="11">
        <f>VALUE(RIGHT(LEFT(punkt_szczepień__13[[#This Row],[PESEL]],6),2))</f>
        <v>9</v>
      </c>
      <c r="I486" s="3">
        <f>DATE(punkt_szczepień__13[[#This Row],[rok]],punkt_szczepień__13[[#This Row],[miesiac]],punkt_szczepień__13[[#This Row],[dzień]])</f>
        <v>34098</v>
      </c>
      <c r="J486" s="1" t="str">
        <f>punkt_szczepień__13[[#This Row],[PESEL]]</f>
        <v>93050967531</v>
      </c>
      <c r="K486" s="1">
        <f>VALUE(MID(punkt_szczepień__13[[#This Row],[PESEL]],10,1))</f>
        <v>3</v>
      </c>
      <c r="L486" s="11" t="str">
        <f>IF(MOD(punkt_szczepień__13[[#This Row],[liczba płeć]],2)=0,"K","M")</f>
        <v>M</v>
      </c>
      <c r="M486" s="1"/>
      <c r="N486" s="1"/>
    </row>
    <row r="487" spans="1:14" x14ac:dyDescent="0.25">
      <c r="A487" s="1" t="s">
        <v>493</v>
      </c>
      <c r="B487" s="1" t="s">
        <v>9</v>
      </c>
      <c r="C487" s="2">
        <v>0.51996527777777779</v>
      </c>
      <c r="D487">
        <v>2</v>
      </c>
      <c r="E487">
        <f>VALUE(RIGHT(LEFT(punkt_szczepień__13[[#This Row],[PESEL]],4),2))</f>
        <v>6</v>
      </c>
      <c r="F487" s="11">
        <f>MOD(punkt_szczepień__13[[#This Row],[liczba miesiac]],20)</f>
        <v>6</v>
      </c>
      <c r="G487" s="11">
        <f>VLOOKUP(punkt_szczepień__13[[#This Row],[liczba miesiac]]-punkt_szczepień__13[[#This Row],[miesiac]],$O$3:$P$7,2,0)+VALUE(LEFT(punkt_szczepień__13[[#This Row],[PESEL]],2))</f>
        <v>1940</v>
      </c>
      <c r="H487" s="11">
        <f>VALUE(RIGHT(LEFT(punkt_szczepień__13[[#This Row],[PESEL]],6),2))</f>
        <v>1</v>
      </c>
      <c r="I487" s="3">
        <f>DATE(punkt_szczepień__13[[#This Row],[rok]],punkt_szczepień__13[[#This Row],[miesiac]],punkt_szczepień__13[[#This Row],[dzień]])</f>
        <v>14763</v>
      </c>
      <c r="J487" s="1" t="str">
        <f>punkt_szczepień__13[[#This Row],[PESEL]]</f>
        <v>40060177519</v>
      </c>
      <c r="K487" s="1">
        <f>VALUE(MID(punkt_szczepień__13[[#This Row],[PESEL]],10,1))</f>
        <v>1</v>
      </c>
      <c r="L487" s="11" t="str">
        <f>IF(MOD(punkt_szczepień__13[[#This Row],[liczba płeć]],2)=0,"K","M")</f>
        <v>M</v>
      </c>
      <c r="M487" s="1"/>
      <c r="N487" s="1"/>
    </row>
    <row r="488" spans="1:14" x14ac:dyDescent="0.25">
      <c r="A488" s="1" t="s">
        <v>494</v>
      </c>
      <c r="B488" s="1" t="s">
        <v>9</v>
      </c>
      <c r="C488" s="2">
        <v>0.52025462962962965</v>
      </c>
      <c r="D488">
        <v>1</v>
      </c>
      <c r="E488">
        <f>VALUE(RIGHT(LEFT(punkt_szczepień__13[[#This Row],[PESEL]],4),2))</f>
        <v>1</v>
      </c>
      <c r="F488" s="11">
        <f>MOD(punkt_szczepień__13[[#This Row],[liczba miesiac]],20)</f>
        <v>1</v>
      </c>
      <c r="G488" s="11">
        <f>VLOOKUP(punkt_szczepień__13[[#This Row],[liczba miesiac]]-punkt_szczepień__13[[#This Row],[miesiac]],$O$3:$P$7,2,0)+VALUE(LEFT(punkt_szczepień__13[[#This Row],[PESEL]],2))</f>
        <v>1955</v>
      </c>
      <c r="H488" s="11">
        <f>VALUE(RIGHT(LEFT(punkt_szczepień__13[[#This Row],[PESEL]],6),2))</f>
        <v>28</v>
      </c>
      <c r="I488" s="3">
        <f>DATE(punkt_szczepień__13[[#This Row],[rok]],punkt_szczepień__13[[#This Row],[miesiac]],punkt_szczepień__13[[#This Row],[dzień]])</f>
        <v>20117</v>
      </c>
      <c r="J488" s="1" t="str">
        <f>punkt_szczepień__13[[#This Row],[PESEL]]</f>
        <v>55012852385</v>
      </c>
      <c r="K488" s="1">
        <f>VALUE(MID(punkt_szczepień__13[[#This Row],[PESEL]],10,1))</f>
        <v>8</v>
      </c>
      <c r="L488" s="11" t="str">
        <f>IF(MOD(punkt_szczepień__13[[#This Row],[liczba płeć]],2)=0,"K","M")</f>
        <v>K</v>
      </c>
      <c r="M488" s="1"/>
      <c r="N488" s="1"/>
    </row>
    <row r="489" spans="1:14" x14ac:dyDescent="0.25">
      <c r="A489" s="1" t="s">
        <v>495</v>
      </c>
      <c r="B489" s="1" t="s">
        <v>5</v>
      </c>
      <c r="C489" s="2">
        <v>0.52054398148148151</v>
      </c>
      <c r="D489">
        <v>1</v>
      </c>
      <c r="E489">
        <f>VALUE(RIGHT(LEFT(punkt_szczepień__13[[#This Row],[PESEL]],4),2))</f>
        <v>1</v>
      </c>
      <c r="F489" s="11">
        <f>MOD(punkt_szczepień__13[[#This Row],[liczba miesiac]],20)</f>
        <v>1</v>
      </c>
      <c r="G489" s="11">
        <f>VLOOKUP(punkt_szczepień__13[[#This Row],[liczba miesiac]]-punkt_szczepień__13[[#This Row],[miesiac]],$O$3:$P$7,2,0)+VALUE(LEFT(punkt_szczepień__13[[#This Row],[PESEL]],2))</f>
        <v>1987</v>
      </c>
      <c r="H489" s="11">
        <f>VALUE(RIGHT(LEFT(punkt_szczepień__13[[#This Row],[PESEL]],6),2))</f>
        <v>14</v>
      </c>
      <c r="I489" s="3">
        <f>DATE(punkt_szczepień__13[[#This Row],[rok]],punkt_szczepień__13[[#This Row],[miesiac]],punkt_szczepień__13[[#This Row],[dzień]])</f>
        <v>31791</v>
      </c>
      <c r="J489" s="1" t="str">
        <f>punkt_szczepień__13[[#This Row],[PESEL]]</f>
        <v>87011431214</v>
      </c>
      <c r="K489" s="1">
        <f>VALUE(MID(punkt_szczepień__13[[#This Row],[PESEL]],10,1))</f>
        <v>1</v>
      </c>
      <c r="L489" s="11" t="str">
        <f>IF(MOD(punkt_szczepień__13[[#This Row],[liczba płeć]],2)=0,"K","M")</f>
        <v>M</v>
      </c>
      <c r="M489" s="1"/>
      <c r="N489" s="1"/>
    </row>
    <row r="490" spans="1:14" x14ac:dyDescent="0.25">
      <c r="A490" s="1" t="s">
        <v>496</v>
      </c>
      <c r="B490" s="1" t="s">
        <v>9</v>
      </c>
      <c r="C490" s="2">
        <v>0.52083333333333337</v>
      </c>
      <c r="D490">
        <v>1</v>
      </c>
      <c r="E490">
        <f>VALUE(RIGHT(LEFT(punkt_szczepień__13[[#This Row],[PESEL]],4),2))</f>
        <v>28</v>
      </c>
      <c r="F490" s="11">
        <f>MOD(punkt_szczepień__13[[#This Row],[liczba miesiac]],20)</f>
        <v>8</v>
      </c>
      <c r="G490" s="11">
        <f>VLOOKUP(punkt_szczepień__13[[#This Row],[liczba miesiac]]-punkt_szczepień__13[[#This Row],[miesiac]],$O$3:$P$7,2,0)+VALUE(LEFT(punkt_szczepień__13[[#This Row],[PESEL]],2))</f>
        <v>2005</v>
      </c>
      <c r="H490" s="11">
        <f>VALUE(RIGHT(LEFT(punkt_szczepień__13[[#This Row],[PESEL]],6),2))</f>
        <v>11</v>
      </c>
      <c r="I490" s="3">
        <f>DATE(punkt_szczepień__13[[#This Row],[rok]],punkt_szczepień__13[[#This Row],[miesiac]],punkt_szczepień__13[[#This Row],[dzień]])</f>
        <v>38575</v>
      </c>
      <c r="J490" s="1" t="str">
        <f>punkt_szczepień__13[[#This Row],[PESEL]]</f>
        <v>05281176583</v>
      </c>
      <c r="K490" s="1">
        <f>VALUE(MID(punkt_szczepień__13[[#This Row],[PESEL]],10,1))</f>
        <v>8</v>
      </c>
      <c r="L490" s="11" t="str">
        <f>IF(MOD(punkt_szczepień__13[[#This Row],[liczba płeć]],2)=0,"K","M")</f>
        <v>K</v>
      </c>
      <c r="M490" s="1"/>
      <c r="N490" s="1"/>
    </row>
    <row r="491" spans="1:14" x14ac:dyDescent="0.25">
      <c r="A491" s="1" t="s">
        <v>497</v>
      </c>
      <c r="B491" s="1" t="s">
        <v>9</v>
      </c>
      <c r="C491" s="2">
        <v>0.52141203703703709</v>
      </c>
      <c r="D491">
        <v>2</v>
      </c>
      <c r="E491">
        <f>VALUE(RIGHT(LEFT(punkt_szczepień__13[[#This Row],[PESEL]],4),2))</f>
        <v>12</v>
      </c>
      <c r="F491" s="11">
        <f>MOD(punkt_szczepień__13[[#This Row],[liczba miesiac]],20)</f>
        <v>12</v>
      </c>
      <c r="G491" s="11">
        <f>VLOOKUP(punkt_szczepień__13[[#This Row],[liczba miesiac]]-punkt_szczepień__13[[#This Row],[miesiac]],$O$3:$P$7,2,0)+VALUE(LEFT(punkt_szczepień__13[[#This Row],[PESEL]],2))</f>
        <v>1983</v>
      </c>
      <c r="H491" s="11">
        <f>VALUE(RIGHT(LEFT(punkt_szczepień__13[[#This Row],[PESEL]],6),2))</f>
        <v>20</v>
      </c>
      <c r="I491" s="3">
        <f>DATE(punkt_szczepień__13[[#This Row],[rok]],punkt_szczepień__13[[#This Row],[miesiac]],punkt_szczepień__13[[#This Row],[dzień]])</f>
        <v>30670</v>
      </c>
      <c r="J491" s="1" t="str">
        <f>punkt_szczepień__13[[#This Row],[PESEL]]</f>
        <v>83122017327</v>
      </c>
      <c r="K491" s="1">
        <f>VALUE(MID(punkt_szczepień__13[[#This Row],[PESEL]],10,1))</f>
        <v>2</v>
      </c>
      <c r="L491" s="11" t="str">
        <f>IF(MOD(punkt_szczepień__13[[#This Row],[liczba płeć]],2)=0,"K","M")</f>
        <v>K</v>
      </c>
      <c r="M491" s="1"/>
      <c r="N491" s="1"/>
    </row>
    <row r="492" spans="1:14" x14ac:dyDescent="0.25">
      <c r="A492" s="1" t="s">
        <v>498</v>
      </c>
      <c r="B492" s="1" t="s">
        <v>9</v>
      </c>
      <c r="C492" s="2">
        <v>0.52170138888888884</v>
      </c>
      <c r="D492">
        <v>1</v>
      </c>
      <c r="E492">
        <f>VALUE(RIGHT(LEFT(punkt_szczepień__13[[#This Row],[PESEL]],4),2))</f>
        <v>4</v>
      </c>
      <c r="F492" s="11">
        <f>MOD(punkt_szczepień__13[[#This Row],[liczba miesiac]],20)</f>
        <v>4</v>
      </c>
      <c r="G492" s="11">
        <f>VLOOKUP(punkt_szczepień__13[[#This Row],[liczba miesiac]]-punkt_szczepień__13[[#This Row],[miesiac]],$O$3:$P$7,2,0)+VALUE(LEFT(punkt_szczepień__13[[#This Row],[PESEL]],2))</f>
        <v>1945</v>
      </c>
      <c r="H492" s="11">
        <f>VALUE(RIGHT(LEFT(punkt_szczepień__13[[#This Row],[PESEL]],6),2))</f>
        <v>2</v>
      </c>
      <c r="I492" s="3">
        <f>DATE(punkt_szczepień__13[[#This Row],[rok]],punkt_szczepień__13[[#This Row],[miesiac]],punkt_szczepień__13[[#This Row],[dzień]])</f>
        <v>16529</v>
      </c>
      <c r="J492" s="1" t="str">
        <f>punkt_szczepień__13[[#This Row],[PESEL]]</f>
        <v>45040287376</v>
      </c>
      <c r="K492" s="1">
        <f>VALUE(MID(punkt_szczepień__13[[#This Row],[PESEL]],10,1))</f>
        <v>7</v>
      </c>
      <c r="L492" s="11" t="str">
        <f>IF(MOD(punkt_szczepień__13[[#This Row],[liczba płeć]],2)=0,"K","M")</f>
        <v>M</v>
      </c>
      <c r="M492" s="1"/>
      <c r="N492" s="1"/>
    </row>
    <row r="493" spans="1:14" x14ac:dyDescent="0.25">
      <c r="A493" s="1" t="s">
        <v>499</v>
      </c>
      <c r="B493" s="1" t="s">
        <v>5</v>
      </c>
      <c r="C493" s="2">
        <v>0.5219907407407407</v>
      </c>
      <c r="D493">
        <v>1</v>
      </c>
      <c r="E493">
        <f>VALUE(RIGHT(LEFT(punkt_szczepień__13[[#This Row],[PESEL]],4),2))</f>
        <v>3</v>
      </c>
      <c r="F493" s="11">
        <f>MOD(punkt_szczepień__13[[#This Row],[liczba miesiac]],20)</f>
        <v>3</v>
      </c>
      <c r="G493" s="11">
        <f>VLOOKUP(punkt_szczepień__13[[#This Row],[liczba miesiac]]-punkt_szczepień__13[[#This Row],[miesiac]],$O$3:$P$7,2,0)+VALUE(LEFT(punkt_szczepień__13[[#This Row],[PESEL]],2))</f>
        <v>1927</v>
      </c>
      <c r="H493" s="11">
        <f>VALUE(RIGHT(LEFT(punkt_szczepień__13[[#This Row],[PESEL]],6),2))</f>
        <v>25</v>
      </c>
      <c r="I493" s="3">
        <f>DATE(punkt_szczepień__13[[#This Row],[rok]],punkt_szczepień__13[[#This Row],[miesiac]],punkt_szczepień__13[[#This Row],[dzień]])</f>
        <v>9946</v>
      </c>
      <c r="J493" s="1" t="str">
        <f>punkt_szczepień__13[[#This Row],[PESEL]]</f>
        <v>27032555478</v>
      </c>
      <c r="K493" s="1">
        <f>VALUE(MID(punkt_szczepień__13[[#This Row],[PESEL]],10,1))</f>
        <v>7</v>
      </c>
      <c r="L493" s="11" t="str">
        <f>IF(MOD(punkt_szczepień__13[[#This Row],[liczba płeć]],2)=0,"K","M")</f>
        <v>M</v>
      </c>
      <c r="M493" s="1"/>
      <c r="N493" s="1"/>
    </row>
    <row r="494" spans="1:14" x14ac:dyDescent="0.25">
      <c r="A494" s="1" t="s">
        <v>500</v>
      </c>
      <c r="B494" s="1" t="s">
        <v>5</v>
      </c>
      <c r="C494" s="2">
        <v>0.52256944444444442</v>
      </c>
      <c r="D494">
        <v>2</v>
      </c>
      <c r="E494">
        <f>VALUE(RIGHT(LEFT(punkt_szczepień__13[[#This Row],[PESEL]],4),2))</f>
        <v>11</v>
      </c>
      <c r="F494" s="11">
        <f>MOD(punkt_szczepień__13[[#This Row],[liczba miesiac]],20)</f>
        <v>11</v>
      </c>
      <c r="G494" s="11">
        <f>VLOOKUP(punkt_szczepień__13[[#This Row],[liczba miesiac]]-punkt_szczepień__13[[#This Row],[miesiac]],$O$3:$P$7,2,0)+VALUE(LEFT(punkt_szczepień__13[[#This Row],[PESEL]],2))</f>
        <v>1988</v>
      </c>
      <c r="H494" s="11">
        <f>VALUE(RIGHT(LEFT(punkt_szczepień__13[[#This Row],[PESEL]],6),2))</f>
        <v>19</v>
      </c>
      <c r="I494" s="3">
        <f>DATE(punkt_szczepień__13[[#This Row],[rok]],punkt_szczepień__13[[#This Row],[miesiac]],punkt_szczepień__13[[#This Row],[dzień]])</f>
        <v>32466</v>
      </c>
      <c r="J494" s="1" t="str">
        <f>punkt_szczepień__13[[#This Row],[PESEL]]</f>
        <v>88111977491</v>
      </c>
      <c r="K494" s="1">
        <f>VALUE(MID(punkt_szczepień__13[[#This Row],[PESEL]],10,1))</f>
        <v>9</v>
      </c>
      <c r="L494" s="11" t="str">
        <f>IF(MOD(punkt_szczepień__13[[#This Row],[liczba płeć]],2)=0,"K","M")</f>
        <v>M</v>
      </c>
      <c r="M494" s="1"/>
      <c r="N494" s="1"/>
    </row>
    <row r="495" spans="1:14" x14ac:dyDescent="0.25">
      <c r="A495" s="1" t="s">
        <v>501</v>
      </c>
      <c r="B495" s="1" t="s">
        <v>7</v>
      </c>
      <c r="C495" s="2">
        <v>0.52285879629629628</v>
      </c>
      <c r="D495">
        <v>1</v>
      </c>
      <c r="E495">
        <f>VALUE(RIGHT(LEFT(punkt_szczepień__13[[#This Row],[PESEL]],4),2))</f>
        <v>24</v>
      </c>
      <c r="F495" s="11">
        <f>MOD(punkt_szczepień__13[[#This Row],[liczba miesiac]],20)</f>
        <v>4</v>
      </c>
      <c r="G495" s="11">
        <f>VLOOKUP(punkt_szczepień__13[[#This Row],[liczba miesiac]]-punkt_szczepień__13[[#This Row],[miesiac]],$O$3:$P$7,2,0)+VALUE(LEFT(punkt_szczepień__13[[#This Row],[PESEL]],2))</f>
        <v>2000</v>
      </c>
      <c r="H495" s="11">
        <f>VALUE(RIGHT(LEFT(punkt_szczepień__13[[#This Row],[PESEL]],6),2))</f>
        <v>16</v>
      </c>
      <c r="I495" s="3">
        <f>DATE(punkt_szczepień__13[[#This Row],[rok]],punkt_szczepień__13[[#This Row],[miesiac]],punkt_szczepień__13[[#This Row],[dzień]])</f>
        <v>36632</v>
      </c>
      <c r="J495" s="1" t="str">
        <f>punkt_szczepień__13[[#This Row],[PESEL]]</f>
        <v>00241645299</v>
      </c>
      <c r="K495" s="1">
        <f>VALUE(MID(punkt_szczepień__13[[#This Row],[PESEL]],10,1))</f>
        <v>9</v>
      </c>
      <c r="L495" s="11" t="str">
        <f>IF(MOD(punkt_szczepień__13[[#This Row],[liczba płeć]],2)=0,"K","M")</f>
        <v>M</v>
      </c>
      <c r="M495" s="1"/>
      <c r="N495" s="1"/>
    </row>
    <row r="496" spans="1:14" x14ac:dyDescent="0.25">
      <c r="A496" s="1" t="s">
        <v>502</v>
      </c>
      <c r="B496" s="1" t="s">
        <v>9</v>
      </c>
      <c r="C496" s="2">
        <v>0.5234375</v>
      </c>
      <c r="D496">
        <v>2</v>
      </c>
      <c r="E496">
        <f>VALUE(RIGHT(LEFT(punkt_szczepień__13[[#This Row],[PESEL]],4),2))</f>
        <v>1</v>
      </c>
      <c r="F496" s="11">
        <f>MOD(punkt_szczepień__13[[#This Row],[liczba miesiac]],20)</f>
        <v>1</v>
      </c>
      <c r="G496" s="11">
        <f>VLOOKUP(punkt_szczepień__13[[#This Row],[liczba miesiac]]-punkt_szczepień__13[[#This Row],[miesiac]],$O$3:$P$7,2,0)+VALUE(LEFT(punkt_szczepień__13[[#This Row],[PESEL]],2))</f>
        <v>1967</v>
      </c>
      <c r="H496" s="11">
        <f>VALUE(RIGHT(LEFT(punkt_szczepień__13[[#This Row],[PESEL]],6),2))</f>
        <v>8</v>
      </c>
      <c r="I496" s="3">
        <f>DATE(punkt_szczepień__13[[#This Row],[rok]],punkt_szczepień__13[[#This Row],[miesiac]],punkt_szczepień__13[[#This Row],[dzień]])</f>
        <v>24480</v>
      </c>
      <c r="J496" s="1" t="str">
        <f>punkt_szczepień__13[[#This Row],[PESEL]]</f>
        <v>67010894445</v>
      </c>
      <c r="K496" s="1">
        <f>VALUE(MID(punkt_szczepień__13[[#This Row],[PESEL]],10,1))</f>
        <v>4</v>
      </c>
      <c r="L496" s="11" t="str">
        <f>IF(MOD(punkt_szczepień__13[[#This Row],[liczba płeć]],2)=0,"K","M")</f>
        <v>K</v>
      </c>
      <c r="M496" s="1"/>
      <c r="N496" s="1"/>
    </row>
    <row r="497" spans="1:14" x14ac:dyDescent="0.25">
      <c r="A497" s="1" t="s">
        <v>503</v>
      </c>
      <c r="B497" s="1" t="s">
        <v>7</v>
      </c>
      <c r="C497" s="2">
        <v>0.52372685185185186</v>
      </c>
      <c r="D497">
        <v>1</v>
      </c>
      <c r="E497">
        <f>VALUE(RIGHT(LEFT(punkt_szczepień__13[[#This Row],[PESEL]],4),2))</f>
        <v>3</v>
      </c>
      <c r="F497" s="11">
        <f>MOD(punkt_szczepień__13[[#This Row],[liczba miesiac]],20)</f>
        <v>3</v>
      </c>
      <c r="G497" s="11">
        <f>VLOOKUP(punkt_szczepień__13[[#This Row],[liczba miesiac]]-punkt_szczepień__13[[#This Row],[miesiac]],$O$3:$P$7,2,0)+VALUE(LEFT(punkt_szczepień__13[[#This Row],[PESEL]],2))</f>
        <v>1996</v>
      </c>
      <c r="H497" s="11">
        <f>VALUE(RIGHT(LEFT(punkt_szczepień__13[[#This Row],[PESEL]],6),2))</f>
        <v>6</v>
      </c>
      <c r="I497" s="3">
        <f>DATE(punkt_szczepień__13[[#This Row],[rok]],punkt_szczepień__13[[#This Row],[miesiac]],punkt_szczepień__13[[#This Row],[dzień]])</f>
        <v>35130</v>
      </c>
      <c r="J497" s="1" t="str">
        <f>punkt_szczepień__13[[#This Row],[PESEL]]</f>
        <v>96030638982</v>
      </c>
      <c r="K497" s="1">
        <f>VALUE(MID(punkt_szczepień__13[[#This Row],[PESEL]],10,1))</f>
        <v>8</v>
      </c>
      <c r="L497" s="11" t="str">
        <f>IF(MOD(punkt_szczepień__13[[#This Row],[liczba płeć]],2)=0,"K","M")</f>
        <v>K</v>
      </c>
      <c r="M497" s="1"/>
      <c r="N497" s="1"/>
    </row>
    <row r="498" spans="1:14" x14ac:dyDescent="0.25">
      <c r="A498" s="1" t="s">
        <v>504</v>
      </c>
      <c r="B498" s="1" t="s">
        <v>9</v>
      </c>
      <c r="C498" s="2">
        <v>0.52401620370370372</v>
      </c>
      <c r="D498">
        <v>1</v>
      </c>
      <c r="E498">
        <f>VALUE(RIGHT(LEFT(punkt_szczepień__13[[#This Row],[PESEL]],4),2))</f>
        <v>6</v>
      </c>
      <c r="F498" s="11">
        <f>MOD(punkt_szczepień__13[[#This Row],[liczba miesiac]],20)</f>
        <v>6</v>
      </c>
      <c r="G498" s="11">
        <f>VLOOKUP(punkt_szczepień__13[[#This Row],[liczba miesiac]]-punkt_szczepień__13[[#This Row],[miesiac]],$O$3:$P$7,2,0)+VALUE(LEFT(punkt_szczepień__13[[#This Row],[PESEL]],2))</f>
        <v>1989</v>
      </c>
      <c r="H498" s="11">
        <f>VALUE(RIGHT(LEFT(punkt_szczepień__13[[#This Row],[PESEL]],6),2))</f>
        <v>25</v>
      </c>
      <c r="I498" s="3">
        <f>DATE(punkt_szczepień__13[[#This Row],[rok]],punkt_szczepień__13[[#This Row],[miesiac]],punkt_szczepień__13[[#This Row],[dzień]])</f>
        <v>32684</v>
      </c>
      <c r="J498" s="1" t="str">
        <f>punkt_szczepień__13[[#This Row],[PESEL]]</f>
        <v>89062565472</v>
      </c>
      <c r="K498" s="1">
        <f>VALUE(MID(punkt_szczepień__13[[#This Row],[PESEL]],10,1))</f>
        <v>7</v>
      </c>
      <c r="L498" s="11" t="str">
        <f>IF(MOD(punkt_szczepień__13[[#This Row],[liczba płeć]],2)=0,"K","M")</f>
        <v>M</v>
      </c>
      <c r="M498" s="1"/>
      <c r="N498" s="1"/>
    </row>
    <row r="499" spans="1:14" x14ac:dyDescent="0.25">
      <c r="A499" s="1" t="s">
        <v>505</v>
      </c>
      <c r="B499" s="1" t="s">
        <v>9</v>
      </c>
      <c r="C499" s="2">
        <v>0.52459490740740744</v>
      </c>
      <c r="D499">
        <v>2</v>
      </c>
      <c r="E499">
        <f>VALUE(RIGHT(LEFT(punkt_szczepień__13[[#This Row],[PESEL]],4),2))</f>
        <v>5</v>
      </c>
      <c r="F499" s="11">
        <f>MOD(punkt_szczepień__13[[#This Row],[liczba miesiac]],20)</f>
        <v>5</v>
      </c>
      <c r="G499" s="11">
        <f>VLOOKUP(punkt_szczepień__13[[#This Row],[liczba miesiac]]-punkt_szczepień__13[[#This Row],[miesiac]],$O$3:$P$7,2,0)+VALUE(LEFT(punkt_szczepień__13[[#This Row],[PESEL]],2))</f>
        <v>1946</v>
      </c>
      <c r="H499" s="11">
        <f>VALUE(RIGHT(LEFT(punkt_szczepień__13[[#This Row],[PESEL]],6),2))</f>
        <v>23</v>
      </c>
      <c r="I499" s="3">
        <f>DATE(punkt_szczepień__13[[#This Row],[rok]],punkt_szczepień__13[[#This Row],[miesiac]],punkt_szczepień__13[[#This Row],[dzień]])</f>
        <v>16945</v>
      </c>
      <c r="J499" s="1" t="str">
        <f>punkt_szczepień__13[[#This Row],[PESEL]]</f>
        <v>46052327173</v>
      </c>
      <c r="K499" s="1">
        <f>VALUE(MID(punkt_szczepień__13[[#This Row],[PESEL]],10,1))</f>
        <v>7</v>
      </c>
      <c r="L499" s="11" t="str">
        <f>IF(MOD(punkt_szczepień__13[[#This Row],[liczba płeć]],2)=0,"K","M")</f>
        <v>M</v>
      </c>
      <c r="M499" s="1"/>
      <c r="N499" s="1"/>
    </row>
    <row r="500" spans="1:14" x14ac:dyDescent="0.25">
      <c r="A500" s="1" t="s">
        <v>506</v>
      </c>
      <c r="B500" s="1" t="s">
        <v>7</v>
      </c>
      <c r="C500" s="2">
        <v>0.5248842592592593</v>
      </c>
      <c r="D500">
        <v>1</v>
      </c>
      <c r="E500">
        <f>VALUE(RIGHT(LEFT(punkt_szczepień__13[[#This Row],[PESEL]],4),2))</f>
        <v>11</v>
      </c>
      <c r="F500" s="11">
        <f>MOD(punkt_szczepień__13[[#This Row],[liczba miesiac]],20)</f>
        <v>11</v>
      </c>
      <c r="G500" s="11">
        <f>VLOOKUP(punkt_szczepień__13[[#This Row],[liczba miesiac]]-punkt_szczepień__13[[#This Row],[miesiac]],$O$3:$P$7,2,0)+VALUE(LEFT(punkt_szczepień__13[[#This Row],[PESEL]],2))</f>
        <v>1923</v>
      </c>
      <c r="H500" s="11">
        <f>VALUE(RIGHT(LEFT(punkt_szczepień__13[[#This Row],[PESEL]],6),2))</f>
        <v>18</v>
      </c>
      <c r="I500" s="3">
        <f>DATE(punkt_szczepień__13[[#This Row],[rok]],punkt_szczepień__13[[#This Row],[miesiac]],punkt_szczepień__13[[#This Row],[dzień]])</f>
        <v>8723</v>
      </c>
      <c r="J500" s="1" t="str">
        <f>punkt_szczepień__13[[#This Row],[PESEL]]</f>
        <v>23111828323</v>
      </c>
      <c r="K500" s="1">
        <f>VALUE(MID(punkt_szczepień__13[[#This Row],[PESEL]],10,1))</f>
        <v>2</v>
      </c>
      <c r="L500" s="11" t="str">
        <f>IF(MOD(punkt_szczepień__13[[#This Row],[liczba płeć]],2)=0,"K","M")</f>
        <v>K</v>
      </c>
      <c r="M500" s="1"/>
      <c r="N500" s="1"/>
    </row>
    <row r="501" spans="1:14" x14ac:dyDescent="0.25">
      <c r="A501" s="1" t="s">
        <v>507</v>
      </c>
      <c r="B501" s="1" t="s">
        <v>7</v>
      </c>
      <c r="C501" s="2">
        <v>0.52517361111111116</v>
      </c>
      <c r="D501">
        <v>1</v>
      </c>
      <c r="E501">
        <f>VALUE(RIGHT(LEFT(punkt_szczepień__13[[#This Row],[PESEL]],4),2))</f>
        <v>2</v>
      </c>
      <c r="F501" s="11">
        <f>MOD(punkt_szczepień__13[[#This Row],[liczba miesiac]],20)</f>
        <v>2</v>
      </c>
      <c r="G501" s="11">
        <f>VLOOKUP(punkt_szczepień__13[[#This Row],[liczba miesiac]]-punkt_szczepień__13[[#This Row],[miesiac]],$O$3:$P$7,2,0)+VALUE(LEFT(punkt_szczepień__13[[#This Row],[PESEL]],2))</f>
        <v>1930</v>
      </c>
      <c r="H501" s="11">
        <f>VALUE(RIGHT(LEFT(punkt_szczepień__13[[#This Row],[PESEL]],6),2))</f>
        <v>11</v>
      </c>
      <c r="I501" s="3">
        <f>DATE(punkt_szczepień__13[[#This Row],[rok]],punkt_szczepień__13[[#This Row],[miesiac]],punkt_szczepień__13[[#This Row],[dzień]])</f>
        <v>11000</v>
      </c>
      <c r="J501" s="1" t="str">
        <f>punkt_szczepień__13[[#This Row],[PESEL]]</f>
        <v>30021131852</v>
      </c>
      <c r="K501" s="1">
        <f>VALUE(MID(punkt_szczepień__13[[#This Row],[PESEL]],10,1))</f>
        <v>5</v>
      </c>
      <c r="L501" s="11" t="str">
        <f>IF(MOD(punkt_szczepień__13[[#This Row],[liczba płeć]],2)=0,"K","M")</f>
        <v>M</v>
      </c>
      <c r="M501" s="1"/>
      <c r="N501" s="1"/>
    </row>
    <row r="502" spans="1:14" x14ac:dyDescent="0.25">
      <c r="A502" s="1" t="s">
        <v>508</v>
      </c>
      <c r="B502" s="1" t="s">
        <v>27</v>
      </c>
      <c r="C502" s="2">
        <v>0.52575231481481477</v>
      </c>
      <c r="D502">
        <v>2</v>
      </c>
      <c r="E502">
        <f>VALUE(RIGHT(LEFT(punkt_szczepień__13[[#This Row],[PESEL]],4),2))</f>
        <v>3</v>
      </c>
      <c r="F502" s="11">
        <f>MOD(punkt_szczepień__13[[#This Row],[liczba miesiac]],20)</f>
        <v>3</v>
      </c>
      <c r="G502" s="11">
        <f>VLOOKUP(punkt_szczepień__13[[#This Row],[liczba miesiac]]-punkt_szczepień__13[[#This Row],[miesiac]],$O$3:$P$7,2,0)+VALUE(LEFT(punkt_szczepień__13[[#This Row],[PESEL]],2))</f>
        <v>1980</v>
      </c>
      <c r="H502" s="11">
        <f>VALUE(RIGHT(LEFT(punkt_szczepień__13[[#This Row],[PESEL]],6),2))</f>
        <v>19</v>
      </c>
      <c r="I502" s="3">
        <f>DATE(punkt_szczepień__13[[#This Row],[rok]],punkt_szczepień__13[[#This Row],[miesiac]],punkt_szczepień__13[[#This Row],[dzień]])</f>
        <v>29299</v>
      </c>
      <c r="J502" s="1" t="str">
        <f>punkt_szczepień__13[[#This Row],[PESEL]]</f>
        <v>80031916112</v>
      </c>
      <c r="K502" s="1">
        <f>VALUE(MID(punkt_szczepień__13[[#This Row],[PESEL]],10,1))</f>
        <v>1</v>
      </c>
      <c r="L502" s="11" t="str">
        <f>IF(MOD(punkt_szczepień__13[[#This Row],[liczba płeć]],2)=0,"K","M")</f>
        <v>M</v>
      </c>
      <c r="M502" s="1"/>
      <c r="N502" s="1"/>
    </row>
    <row r="503" spans="1:14" x14ac:dyDescent="0.25">
      <c r="A503" s="1" t="s">
        <v>509</v>
      </c>
      <c r="B503" s="1" t="s">
        <v>27</v>
      </c>
      <c r="C503" s="2">
        <v>0.52604166666666663</v>
      </c>
      <c r="D503">
        <v>1</v>
      </c>
      <c r="E503">
        <f>VALUE(RIGHT(LEFT(punkt_szczepień__13[[#This Row],[PESEL]],4),2))</f>
        <v>6</v>
      </c>
      <c r="F503" s="11">
        <f>MOD(punkt_szczepień__13[[#This Row],[liczba miesiac]],20)</f>
        <v>6</v>
      </c>
      <c r="G503" s="11">
        <f>VLOOKUP(punkt_szczepień__13[[#This Row],[liczba miesiac]]-punkt_szczepień__13[[#This Row],[miesiac]],$O$3:$P$7,2,0)+VALUE(LEFT(punkt_szczepień__13[[#This Row],[PESEL]],2))</f>
        <v>1978</v>
      </c>
      <c r="H503" s="11">
        <f>VALUE(RIGHT(LEFT(punkt_szczepień__13[[#This Row],[PESEL]],6),2))</f>
        <v>24</v>
      </c>
      <c r="I503" s="3">
        <f>DATE(punkt_szczepień__13[[#This Row],[rok]],punkt_szczepień__13[[#This Row],[miesiac]],punkt_szczepień__13[[#This Row],[dzień]])</f>
        <v>28665</v>
      </c>
      <c r="J503" s="1" t="str">
        <f>punkt_szczepień__13[[#This Row],[PESEL]]</f>
        <v>78062476848</v>
      </c>
      <c r="K503" s="1">
        <f>VALUE(MID(punkt_szczepień__13[[#This Row],[PESEL]],10,1))</f>
        <v>4</v>
      </c>
      <c r="L503" s="11" t="str">
        <f>IF(MOD(punkt_szczepień__13[[#This Row],[liczba płeć]],2)=0,"K","M")</f>
        <v>K</v>
      </c>
      <c r="M503" s="1"/>
      <c r="N503" s="1"/>
    </row>
    <row r="504" spans="1:14" x14ac:dyDescent="0.25">
      <c r="A504" s="1" t="s">
        <v>510</v>
      </c>
      <c r="B504" s="1" t="s">
        <v>27</v>
      </c>
      <c r="C504" s="2">
        <v>0.52633101851851849</v>
      </c>
      <c r="D504">
        <v>1</v>
      </c>
      <c r="E504">
        <f>VALUE(RIGHT(LEFT(punkt_szczepień__13[[#This Row],[PESEL]],4),2))</f>
        <v>7</v>
      </c>
      <c r="F504" s="11">
        <f>MOD(punkt_szczepień__13[[#This Row],[liczba miesiac]],20)</f>
        <v>7</v>
      </c>
      <c r="G504" s="11">
        <f>VLOOKUP(punkt_szczepień__13[[#This Row],[liczba miesiac]]-punkt_szczepień__13[[#This Row],[miesiac]],$O$3:$P$7,2,0)+VALUE(LEFT(punkt_szczepień__13[[#This Row],[PESEL]],2))</f>
        <v>1974</v>
      </c>
      <c r="H504" s="11">
        <f>VALUE(RIGHT(LEFT(punkt_szczepień__13[[#This Row],[PESEL]],6),2))</f>
        <v>2</v>
      </c>
      <c r="I504" s="3">
        <f>DATE(punkt_szczepień__13[[#This Row],[rok]],punkt_szczepień__13[[#This Row],[miesiac]],punkt_szczepień__13[[#This Row],[dzień]])</f>
        <v>27212</v>
      </c>
      <c r="J504" s="1" t="str">
        <f>punkt_szczepień__13[[#This Row],[PESEL]]</f>
        <v>74070224767</v>
      </c>
      <c r="K504" s="1">
        <f>VALUE(MID(punkt_szczepień__13[[#This Row],[PESEL]],10,1))</f>
        <v>6</v>
      </c>
      <c r="L504" s="11" t="str">
        <f>IF(MOD(punkt_szczepień__13[[#This Row],[liczba płeć]],2)=0,"K","M")</f>
        <v>K</v>
      </c>
      <c r="M504" s="1"/>
      <c r="N504" s="1"/>
    </row>
    <row r="505" spans="1:14" x14ac:dyDescent="0.25">
      <c r="A505" s="1" t="s">
        <v>511</v>
      </c>
      <c r="B505" s="1" t="s">
        <v>7</v>
      </c>
      <c r="C505" s="2">
        <v>0.52662037037037035</v>
      </c>
      <c r="D505">
        <v>1</v>
      </c>
      <c r="E505">
        <f>VALUE(RIGHT(LEFT(punkt_szczepień__13[[#This Row],[PESEL]],4),2))</f>
        <v>11</v>
      </c>
      <c r="F505" s="11">
        <f>MOD(punkt_szczepień__13[[#This Row],[liczba miesiac]],20)</f>
        <v>11</v>
      </c>
      <c r="G505" s="11">
        <f>VLOOKUP(punkt_szczepień__13[[#This Row],[liczba miesiac]]-punkt_szczepień__13[[#This Row],[miesiac]],$O$3:$P$7,2,0)+VALUE(LEFT(punkt_szczepień__13[[#This Row],[PESEL]],2))</f>
        <v>1935</v>
      </c>
      <c r="H505" s="11">
        <f>VALUE(RIGHT(LEFT(punkt_szczepień__13[[#This Row],[PESEL]],6),2))</f>
        <v>5</v>
      </c>
      <c r="I505" s="3">
        <f>DATE(punkt_szczepień__13[[#This Row],[rok]],punkt_szczepień__13[[#This Row],[miesiac]],punkt_szczepień__13[[#This Row],[dzień]])</f>
        <v>13093</v>
      </c>
      <c r="J505" s="1" t="str">
        <f>punkt_szczepień__13[[#This Row],[PESEL]]</f>
        <v>35110511647</v>
      </c>
      <c r="K505" s="1">
        <f>VALUE(MID(punkt_szczepień__13[[#This Row],[PESEL]],10,1))</f>
        <v>4</v>
      </c>
      <c r="L505" s="11" t="str">
        <f>IF(MOD(punkt_szczepień__13[[#This Row],[liczba płeć]],2)=0,"K","M")</f>
        <v>K</v>
      </c>
      <c r="M505" s="1"/>
      <c r="N505" s="1"/>
    </row>
    <row r="506" spans="1:14" x14ac:dyDescent="0.25">
      <c r="A506" s="1" t="s">
        <v>512</v>
      </c>
      <c r="B506" s="1" t="s">
        <v>9</v>
      </c>
      <c r="C506" s="2">
        <v>0.52690972222222221</v>
      </c>
      <c r="D506">
        <v>1</v>
      </c>
      <c r="E506">
        <f>VALUE(RIGHT(LEFT(punkt_szczepień__13[[#This Row],[PESEL]],4),2))</f>
        <v>12</v>
      </c>
      <c r="F506" s="11">
        <f>MOD(punkt_szczepień__13[[#This Row],[liczba miesiac]],20)</f>
        <v>12</v>
      </c>
      <c r="G506" s="11">
        <f>VLOOKUP(punkt_szczepień__13[[#This Row],[liczba miesiac]]-punkt_szczepień__13[[#This Row],[miesiac]],$O$3:$P$7,2,0)+VALUE(LEFT(punkt_szczepień__13[[#This Row],[PESEL]],2))</f>
        <v>1931</v>
      </c>
      <c r="H506" s="11">
        <f>VALUE(RIGHT(LEFT(punkt_szczepień__13[[#This Row],[PESEL]],6),2))</f>
        <v>15</v>
      </c>
      <c r="I506" s="3">
        <f>DATE(punkt_szczepień__13[[#This Row],[rok]],punkt_szczepień__13[[#This Row],[miesiac]],punkt_szczepień__13[[#This Row],[dzień]])</f>
        <v>11672</v>
      </c>
      <c r="J506" s="1" t="str">
        <f>punkt_szczepień__13[[#This Row],[PESEL]]</f>
        <v>31121533272</v>
      </c>
      <c r="K506" s="1">
        <f>VALUE(MID(punkt_szczepień__13[[#This Row],[PESEL]],10,1))</f>
        <v>7</v>
      </c>
      <c r="L506" s="11" t="str">
        <f>IF(MOD(punkt_szczepień__13[[#This Row],[liczba płeć]],2)=0,"K","M")</f>
        <v>M</v>
      </c>
      <c r="M506" s="1"/>
      <c r="N506" s="1"/>
    </row>
    <row r="507" spans="1:14" x14ac:dyDescent="0.25">
      <c r="A507" s="1" t="s">
        <v>513</v>
      </c>
      <c r="B507" s="1" t="s">
        <v>5</v>
      </c>
      <c r="C507" s="2">
        <v>0.52748842592592593</v>
      </c>
      <c r="D507">
        <v>2</v>
      </c>
      <c r="E507">
        <f>VALUE(RIGHT(LEFT(punkt_szczepień__13[[#This Row],[PESEL]],4),2))</f>
        <v>1</v>
      </c>
      <c r="F507" s="11">
        <f>MOD(punkt_szczepień__13[[#This Row],[liczba miesiac]],20)</f>
        <v>1</v>
      </c>
      <c r="G507" s="11">
        <f>VLOOKUP(punkt_szczepień__13[[#This Row],[liczba miesiac]]-punkt_szczepień__13[[#This Row],[miesiac]],$O$3:$P$7,2,0)+VALUE(LEFT(punkt_szczepień__13[[#This Row],[PESEL]],2))</f>
        <v>1979</v>
      </c>
      <c r="H507" s="11">
        <f>VALUE(RIGHT(LEFT(punkt_szczepień__13[[#This Row],[PESEL]],6),2))</f>
        <v>10</v>
      </c>
      <c r="I507" s="3">
        <f>DATE(punkt_szczepień__13[[#This Row],[rok]],punkt_szczepień__13[[#This Row],[miesiac]],punkt_szczepień__13[[#This Row],[dzień]])</f>
        <v>28865</v>
      </c>
      <c r="J507" s="1" t="str">
        <f>punkt_szczepień__13[[#This Row],[PESEL]]</f>
        <v>79011023319</v>
      </c>
      <c r="K507" s="1">
        <f>VALUE(MID(punkt_szczepień__13[[#This Row],[PESEL]],10,1))</f>
        <v>1</v>
      </c>
      <c r="L507" s="11" t="str">
        <f>IF(MOD(punkt_szczepień__13[[#This Row],[liczba płeć]],2)=0,"K","M")</f>
        <v>M</v>
      </c>
      <c r="M507" s="1"/>
      <c r="N507" s="1"/>
    </row>
    <row r="508" spans="1:14" x14ac:dyDescent="0.25">
      <c r="A508" s="1" t="s">
        <v>514</v>
      </c>
      <c r="B508" s="1" t="s">
        <v>7</v>
      </c>
      <c r="C508" s="2">
        <v>0.52777777777777779</v>
      </c>
      <c r="D508">
        <v>1</v>
      </c>
      <c r="E508">
        <f>VALUE(RIGHT(LEFT(punkt_szczepień__13[[#This Row],[PESEL]],4),2))</f>
        <v>7</v>
      </c>
      <c r="F508" s="11">
        <f>MOD(punkt_szczepień__13[[#This Row],[liczba miesiac]],20)</f>
        <v>7</v>
      </c>
      <c r="G508" s="11">
        <f>VLOOKUP(punkt_szczepień__13[[#This Row],[liczba miesiac]]-punkt_szczepień__13[[#This Row],[miesiac]],$O$3:$P$7,2,0)+VALUE(LEFT(punkt_szczepień__13[[#This Row],[PESEL]],2))</f>
        <v>1993</v>
      </c>
      <c r="H508" s="11">
        <f>VALUE(RIGHT(LEFT(punkt_szczepień__13[[#This Row],[PESEL]],6),2))</f>
        <v>13</v>
      </c>
      <c r="I508" s="3">
        <f>DATE(punkt_szczepień__13[[#This Row],[rok]],punkt_szczepień__13[[#This Row],[miesiac]],punkt_szczepień__13[[#This Row],[dzień]])</f>
        <v>34163</v>
      </c>
      <c r="J508" s="1" t="str">
        <f>punkt_szczepień__13[[#This Row],[PESEL]]</f>
        <v>93071365514</v>
      </c>
      <c r="K508" s="1">
        <f>VALUE(MID(punkt_szczepień__13[[#This Row],[PESEL]],10,1))</f>
        <v>1</v>
      </c>
      <c r="L508" s="11" t="str">
        <f>IF(MOD(punkt_szczepień__13[[#This Row],[liczba płeć]],2)=0,"K","M")</f>
        <v>M</v>
      </c>
      <c r="M508" s="1"/>
      <c r="N508" s="1"/>
    </row>
    <row r="509" spans="1:14" x14ac:dyDescent="0.25">
      <c r="A509" s="1" t="s">
        <v>515</v>
      </c>
      <c r="B509" s="1" t="s">
        <v>5</v>
      </c>
      <c r="C509" s="2">
        <v>0.52835648148148151</v>
      </c>
      <c r="D509">
        <v>2</v>
      </c>
      <c r="E509">
        <f>VALUE(RIGHT(LEFT(punkt_szczepień__13[[#This Row],[PESEL]],4),2))</f>
        <v>2</v>
      </c>
      <c r="F509" s="11">
        <f>MOD(punkt_szczepień__13[[#This Row],[liczba miesiac]],20)</f>
        <v>2</v>
      </c>
      <c r="G509" s="11">
        <f>VLOOKUP(punkt_szczepień__13[[#This Row],[liczba miesiac]]-punkt_szczepień__13[[#This Row],[miesiac]],$O$3:$P$7,2,0)+VALUE(LEFT(punkt_szczepień__13[[#This Row],[PESEL]],2))</f>
        <v>1920</v>
      </c>
      <c r="H509" s="11">
        <f>VALUE(RIGHT(LEFT(punkt_szczepień__13[[#This Row],[PESEL]],6),2))</f>
        <v>20</v>
      </c>
      <c r="I509" s="3">
        <f>DATE(punkt_szczepień__13[[#This Row],[rok]],punkt_szczepień__13[[#This Row],[miesiac]],punkt_szczepień__13[[#This Row],[dzień]])</f>
        <v>7356</v>
      </c>
      <c r="J509" s="1" t="str">
        <f>punkt_szczepień__13[[#This Row],[PESEL]]</f>
        <v>20022021197</v>
      </c>
      <c r="K509" s="1">
        <f>VALUE(MID(punkt_szczepień__13[[#This Row],[PESEL]],10,1))</f>
        <v>9</v>
      </c>
      <c r="L509" s="11" t="str">
        <f>IF(MOD(punkt_szczepień__13[[#This Row],[liczba płeć]],2)=0,"K","M")</f>
        <v>M</v>
      </c>
      <c r="M509" s="1"/>
      <c r="N509" s="1"/>
    </row>
    <row r="510" spans="1:14" x14ac:dyDescent="0.25">
      <c r="A510" s="1" t="s">
        <v>516</v>
      </c>
      <c r="B510" s="1" t="s">
        <v>9</v>
      </c>
      <c r="C510" s="2">
        <v>0.52864583333333337</v>
      </c>
      <c r="D510">
        <v>1</v>
      </c>
      <c r="E510">
        <f>VALUE(RIGHT(LEFT(punkt_szczepień__13[[#This Row],[PESEL]],4),2))</f>
        <v>1</v>
      </c>
      <c r="F510" s="11">
        <f>MOD(punkt_szczepień__13[[#This Row],[liczba miesiac]],20)</f>
        <v>1</v>
      </c>
      <c r="G510" s="11">
        <f>VLOOKUP(punkt_szczepień__13[[#This Row],[liczba miesiac]]-punkt_szczepień__13[[#This Row],[miesiac]],$O$3:$P$7,2,0)+VALUE(LEFT(punkt_szczepień__13[[#This Row],[PESEL]],2))</f>
        <v>1934</v>
      </c>
      <c r="H510" s="11">
        <f>VALUE(RIGHT(LEFT(punkt_szczepień__13[[#This Row],[PESEL]],6),2))</f>
        <v>5</v>
      </c>
      <c r="I510" s="3">
        <f>DATE(punkt_szczepień__13[[#This Row],[rok]],punkt_szczepień__13[[#This Row],[miesiac]],punkt_szczepień__13[[#This Row],[dzień]])</f>
        <v>12424</v>
      </c>
      <c r="J510" s="1" t="str">
        <f>punkt_szczepień__13[[#This Row],[PESEL]]</f>
        <v>34010514565</v>
      </c>
      <c r="K510" s="1">
        <f>VALUE(MID(punkt_szczepień__13[[#This Row],[PESEL]],10,1))</f>
        <v>6</v>
      </c>
      <c r="L510" s="11" t="str">
        <f>IF(MOD(punkt_szczepień__13[[#This Row],[liczba płeć]],2)=0,"K","M")</f>
        <v>K</v>
      </c>
      <c r="M510" s="1"/>
      <c r="N510" s="1"/>
    </row>
    <row r="511" spans="1:14" x14ac:dyDescent="0.25">
      <c r="A511" s="1" t="s">
        <v>517</v>
      </c>
      <c r="B511" s="1" t="s">
        <v>9</v>
      </c>
      <c r="C511" s="2">
        <v>0.52922453703703709</v>
      </c>
      <c r="D511">
        <v>2</v>
      </c>
      <c r="E511">
        <f>VALUE(RIGHT(LEFT(punkt_szczepień__13[[#This Row],[PESEL]],4),2))</f>
        <v>3</v>
      </c>
      <c r="F511" s="11">
        <f>MOD(punkt_szczepień__13[[#This Row],[liczba miesiac]],20)</f>
        <v>3</v>
      </c>
      <c r="G511" s="11">
        <f>VLOOKUP(punkt_szczepień__13[[#This Row],[liczba miesiac]]-punkt_szczepień__13[[#This Row],[miesiac]],$O$3:$P$7,2,0)+VALUE(LEFT(punkt_szczepień__13[[#This Row],[PESEL]],2))</f>
        <v>1987</v>
      </c>
      <c r="H511" s="11">
        <f>VALUE(RIGHT(LEFT(punkt_szczepień__13[[#This Row],[PESEL]],6),2))</f>
        <v>29</v>
      </c>
      <c r="I511" s="3">
        <f>DATE(punkt_szczepień__13[[#This Row],[rok]],punkt_szczepień__13[[#This Row],[miesiac]],punkt_szczepień__13[[#This Row],[dzień]])</f>
        <v>31865</v>
      </c>
      <c r="J511" s="1" t="str">
        <f>punkt_szczepień__13[[#This Row],[PESEL]]</f>
        <v>87032986685</v>
      </c>
      <c r="K511" s="1">
        <f>VALUE(MID(punkt_szczepień__13[[#This Row],[PESEL]],10,1))</f>
        <v>8</v>
      </c>
      <c r="L511" s="11" t="str">
        <f>IF(MOD(punkt_szczepień__13[[#This Row],[liczba płeć]],2)=0,"K","M")</f>
        <v>K</v>
      </c>
      <c r="M511" s="1"/>
      <c r="N511" s="1"/>
    </row>
    <row r="512" spans="1:14" x14ac:dyDescent="0.25">
      <c r="A512" s="1" t="s">
        <v>518</v>
      </c>
      <c r="B512" s="1" t="s">
        <v>27</v>
      </c>
      <c r="C512" s="2">
        <v>0.5298032407407407</v>
      </c>
      <c r="D512">
        <v>2</v>
      </c>
      <c r="E512">
        <f>VALUE(RIGHT(LEFT(punkt_szczepień__13[[#This Row],[PESEL]],4),2))</f>
        <v>11</v>
      </c>
      <c r="F512" s="11">
        <f>MOD(punkt_szczepień__13[[#This Row],[liczba miesiac]],20)</f>
        <v>11</v>
      </c>
      <c r="G512" s="11">
        <f>VLOOKUP(punkt_szczepień__13[[#This Row],[liczba miesiac]]-punkt_szczepień__13[[#This Row],[miesiac]],$O$3:$P$7,2,0)+VALUE(LEFT(punkt_szczepień__13[[#This Row],[PESEL]],2))</f>
        <v>1993</v>
      </c>
      <c r="H512" s="11">
        <f>VALUE(RIGHT(LEFT(punkt_szczepień__13[[#This Row],[PESEL]],6),2))</f>
        <v>19</v>
      </c>
      <c r="I512" s="3">
        <f>DATE(punkt_szczepień__13[[#This Row],[rok]],punkt_szczepień__13[[#This Row],[miesiac]],punkt_szczepień__13[[#This Row],[dzień]])</f>
        <v>34292</v>
      </c>
      <c r="J512" s="1" t="str">
        <f>punkt_szczepień__13[[#This Row],[PESEL]]</f>
        <v>93111938272</v>
      </c>
      <c r="K512" s="1">
        <f>VALUE(MID(punkt_szczepień__13[[#This Row],[PESEL]],10,1))</f>
        <v>7</v>
      </c>
      <c r="L512" s="11" t="str">
        <f>IF(MOD(punkt_szczepień__13[[#This Row],[liczba płeć]],2)=0,"K","M")</f>
        <v>M</v>
      </c>
      <c r="M512" s="1"/>
      <c r="N512" s="1"/>
    </row>
    <row r="513" spans="1:14" x14ac:dyDescent="0.25">
      <c r="A513" s="1" t="s">
        <v>519</v>
      </c>
      <c r="B513" s="1" t="s">
        <v>7</v>
      </c>
      <c r="C513" s="2">
        <v>0.53009259259259256</v>
      </c>
      <c r="D513">
        <v>1</v>
      </c>
      <c r="E513">
        <f>VALUE(RIGHT(LEFT(punkt_szczepień__13[[#This Row],[PESEL]],4),2))</f>
        <v>8</v>
      </c>
      <c r="F513" s="11">
        <f>MOD(punkt_szczepień__13[[#This Row],[liczba miesiac]],20)</f>
        <v>8</v>
      </c>
      <c r="G513" s="11">
        <f>VLOOKUP(punkt_szczepień__13[[#This Row],[liczba miesiac]]-punkt_szczepień__13[[#This Row],[miesiac]],$O$3:$P$7,2,0)+VALUE(LEFT(punkt_szczepień__13[[#This Row],[PESEL]],2))</f>
        <v>1932</v>
      </c>
      <c r="H513" s="11">
        <f>VALUE(RIGHT(LEFT(punkt_szczepień__13[[#This Row],[PESEL]],6),2))</f>
        <v>28</v>
      </c>
      <c r="I513" s="3">
        <f>DATE(punkt_szczepień__13[[#This Row],[rok]],punkt_szczepień__13[[#This Row],[miesiac]],punkt_szczepień__13[[#This Row],[dzień]])</f>
        <v>11929</v>
      </c>
      <c r="J513" s="1" t="str">
        <f>punkt_szczepień__13[[#This Row],[PESEL]]</f>
        <v>32082876734</v>
      </c>
      <c r="K513" s="1">
        <f>VALUE(MID(punkt_szczepień__13[[#This Row],[PESEL]],10,1))</f>
        <v>3</v>
      </c>
      <c r="L513" s="11" t="str">
        <f>IF(MOD(punkt_szczepień__13[[#This Row],[liczba płeć]],2)=0,"K","M")</f>
        <v>M</v>
      </c>
      <c r="M513" s="1"/>
      <c r="N513" s="1"/>
    </row>
    <row r="514" spans="1:14" x14ac:dyDescent="0.25">
      <c r="A514" s="1" t="s">
        <v>520</v>
      </c>
      <c r="B514" s="1" t="s">
        <v>9</v>
      </c>
      <c r="C514" s="2">
        <v>0.53038194444444442</v>
      </c>
      <c r="D514">
        <v>1</v>
      </c>
      <c r="E514">
        <f>VALUE(RIGHT(LEFT(punkt_szczepień__13[[#This Row],[PESEL]],4),2))</f>
        <v>11</v>
      </c>
      <c r="F514" s="11">
        <f>MOD(punkt_szczepień__13[[#This Row],[liczba miesiac]],20)</f>
        <v>11</v>
      </c>
      <c r="G514" s="11">
        <f>VLOOKUP(punkt_szczepień__13[[#This Row],[liczba miesiac]]-punkt_szczepień__13[[#This Row],[miesiac]],$O$3:$P$7,2,0)+VALUE(LEFT(punkt_szczepień__13[[#This Row],[PESEL]],2))</f>
        <v>1971</v>
      </c>
      <c r="H514" s="11">
        <f>VALUE(RIGHT(LEFT(punkt_szczepień__13[[#This Row],[PESEL]],6),2))</f>
        <v>21</v>
      </c>
      <c r="I514" s="3">
        <f>DATE(punkt_szczepień__13[[#This Row],[rok]],punkt_szczepień__13[[#This Row],[miesiac]],punkt_szczepień__13[[#This Row],[dzień]])</f>
        <v>26258</v>
      </c>
      <c r="J514" s="1" t="str">
        <f>punkt_szczepień__13[[#This Row],[PESEL]]</f>
        <v>71112186139</v>
      </c>
      <c r="K514" s="1">
        <f>VALUE(MID(punkt_szczepień__13[[#This Row],[PESEL]],10,1))</f>
        <v>3</v>
      </c>
      <c r="L514" s="11" t="str">
        <f>IF(MOD(punkt_szczepień__13[[#This Row],[liczba płeć]],2)=0,"K","M")</f>
        <v>M</v>
      </c>
      <c r="M514" s="1"/>
      <c r="N514" s="1"/>
    </row>
    <row r="515" spans="1:14" x14ac:dyDescent="0.25">
      <c r="A515" s="1" t="s">
        <v>521</v>
      </c>
      <c r="B515" s="1" t="s">
        <v>7</v>
      </c>
      <c r="C515" s="2">
        <v>0.53067129629629628</v>
      </c>
      <c r="D515">
        <v>1</v>
      </c>
      <c r="E515">
        <f>VALUE(RIGHT(LEFT(punkt_szczepień__13[[#This Row],[PESEL]],4),2))</f>
        <v>4</v>
      </c>
      <c r="F515" s="11">
        <f>MOD(punkt_szczepień__13[[#This Row],[liczba miesiac]],20)</f>
        <v>4</v>
      </c>
      <c r="G515" s="11">
        <f>VLOOKUP(punkt_szczepień__13[[#This Row],[liczba miesiac]]-punkt_szczepień__13[[#This Row],[miesiac]],$O$3:$P$7,2,0)+VALUE(LEFT(punkt_szczepień__13[[#This Row],[PESEL]],2))</f>
        <v>1951</v>
      </c>
      <c r="H515" s="11">
        <f>VALUE(RIGHT(LEFT(punkt_szczepień__13[[#This Row],[PESEL]],6),2))</f>
        <v>16</v>
      </c>
      <c r="I515" s="3">
        <f>DATE(punkt_szczepień__13[[#This Row],[rok]],punkt_szczepień__13[[#This Row],[miesiac]],punkt_szczepień__13[[#This Row],[dzień]])</f>
        <v>18734</v>
      </c>
      <c r="J515" s="1" t="str">
        <f>punkt_szczepień__13[[#This Row],[PESEL]]</f>
        <v>51041632947</v>
      </c>
      <c r="K515" s="1">
        <f>VALUE(MID(punkt_szczepień__13[[#This Row],[PESEL]],10,1))</f>
        <v>4</v>
      </c>
      <c r="L515" s="11" t="str">
        <f>IF(MOD(punkt_szczepień__13[[#This Row],[liczba płeć]],2)=0,"K","M")</f>
        <v>K</v>
      </c>
      <c r="M515" s="1"/>
      <c r="N515" s="1"/>
    </row>
    <row r="516" spans="1:14" x14ac:dyDescent="0.25">
      <c r="A516" s="1" t="s">
        <v>522</v>
      </c>
      <c r="B516" s="1" t="s">
        <v>5</v>
      </c>
      <c r="C516" s="2">
        <v>0.53125</v>
      </c>
      <c r="D516">
        <v>2</v>
      </c>
      <c r="E516">
        <f>VALUE(RIGHT(LEFT(punkt_szczepień__13[[#This Row],[PESEL]],4),2))</f>
        <v>4</v>
      </c>
      <c r="F516" s="11">
        <f>MOD(punkt_szczepień__13[[#This Row],[liczba miesiac]],20)</f>
        <v>4</v>
      </c>
      <c r="G516" s="11">
        <f>VLOOKUP(punkt_szczepień__13[[#This Row],[liczba miesiac]]-punkt_szczepień__13[[#This Row],[miesiac]],$O$3:$P$7,2,0)+VALUE(LEFT(punkt_szczepień__13[[#This Row],[PESEL]],2))</f>
        <v>1928</v>
      </c>
      <c r="H516" s="11">
        <f>VALUE(RIGHT(LEFT(punkt_szczepień__13[[#This Row],[PESEL]],6),2))</f>
        <v>24</v>
      </c>
      <c r="I516" s="3">
        <f>DATE(punkt_szczepień__13[[#This Row],[rok]],punkt_szczepień__13[[#This Row],[miesiac]],punkt_szczepień__13[[#This Row],[dzień]])</f>
        <v>10342</v>
      </c>
      <c r="J516" s="1" t="str">
        <f>punkt_szczepień__13[[#This Row],[PESEL]]</f>
        <v>28042413925</v>
      </c>
      <c r="K516" s="1">
        <f>VALUE(MID(punkt_szczepień__13[[#This Row],[PESEL]],10,1))</f>
        <v>2</v>
      </c>
      <c r="L516" s="11" t="str">
        <f>IF(MOD(punkt_szczepień__13[[#This Row],[liczba płeć]],2)=0,"K","M")</f>
        <v>K</v>
      </c>
      <c r="M516" s="1"/>
      <c r="N516" s="1"/>
    </row>
    <row r="517" spans="1:14" x14ac:dyDescent="0.25">
      <c r="A517" s="1" t="s">
        <v>523</v>
      </c>
      <c r="B517" s="1" t="s">
        <v>5</v>
      </c>
      <c r="C517" s="2">
        <v>0.53182870370370372</v>
      </c>
      <c r="D517">
        <v>2</v>
      </c>
      <c r="E517">
        <f>VALUE(RIGHT(LEFT(punkt_szczepień__13[[#This Row],[PESEL]],4),2))</f>
        <v>21</v>
      </c>
      <c r="F517" s="11">
        <f>MOD(punkt_szczepień__13[[#This Row],[liczba miesiac]],20)</f>
        <v>1</v>
      </c>
      <c r="G517" s="11">
        <f>VLOOKUP(punkt_szczepień__13[[#This Row],[liczba miesiac]]-punkt_szczepień__13[[#This Row],[miesiac]],$O$3:$P$7,2,0)+VALUE(LEFT(punkt_szczepień__13[[#This Row],[PESEL]],2))</f>
        <v>2008</v>
      </c>
      <c r="H517" s="11">
        <f>VALUE(RIGHT(LEFT(punkt_szczepień__13[[#This Row],[PESEL]],6),2))</f>
        <v>21</v>
      </c>
      <c r="I517" s="3">
        <f>DATE(punkt_szczepień__13[[#This Row],[rok]],punkt_szczepień__13[[#This Row],[miesiac]],punkt_szczepień__13[[#This Row],[dzień]])</f>
        <v>39468</v>
      </c>
      <c r="J517" s="1" t="str">
        <f>punkt_szczepień__13[[#This Row],[PESEL]]</f>
        <v>08212126581</v>
      </c>
      <c r="K517" s="1">
        <f>VALUE(MID(punkt_szczepień__13[[#This Row],[PESEL]],10,1))</f>
        <v>8</v>
      </c>
      <c r="L517" s="11" t="str">
        <f>IF(MOD(punkt_szczepień__13[[#This Row],[liczba płeć]],2)=0,"K","M")</f>
        <v>K</v>
      </c>
      <c r="M517" s="1"/>
      <c r="N517" s="1"/>
    </row>
    <row r="518" spans="1:14" x14ac:dyDescent="0.25">
      <c r="A518" s="1" t="s">
        <v>524</v>
      </c>
      <c r="B518" s="1" t="s">
        <v>9</v>
      </c>
      <c r="C518" s="2">
        <v>0.53240740740740744</v>
      </c>
      <c r="D518">
        <v>2</v>
      </c>
      <c r="E518">
        <f>VALUE(RIGHT(LEFT(punkt_szczepień__13[[#This Row],[PESEL]],4),2))</f>
        <v>6</v>
      </c>
      <c r="F518" s="11">
        <f>MOD(punkt_szczepień__13[[#This Row],[liczba miesiac]],20)</f>
        <v>6</v>
      </c>
      <c r="G518" s="11">
        <f>VLOOKUP(punkt_szczepień__13[[#This Row],[liczba miesiac]]-punkt_szczepień__13[[#This Row],[miesiac]],$O$3:$P$7,2,0)+VALUE(LEFT(punkt_szczepień__13[[#This Row],[PESEL]],2))</f>
        <v>1990</v>
      </c>
      <c r="H518" s="11">
        <f>VALUE(RIGHT(LEFT(punkt_szczepień__13[[#This Row],[PESEL]],6),2))</f>
        <v>19</v>
      </c>
      <c r="I518" s="3">
        <f>DATE(punkt_szczepień__13[[#This Row],[rok]],punkt_szczepień__13[[#This Row],[miesiac]],punkt_szczepień__13[[#This Row],[dzień]])</f>
        <v>33043</v>
      </c>
      <c r="J518" s="1" t="str">
        <f>punkt_szczepień__13[[#This Row],[PESEL]]</f>
        <v>90061971629</v>
      </c>
      <c r="K518" s="1">
        <f>VALUE(MID(punkt_szczepień__13[[#This Row],[PESEL]],10,1))</f>
        <v>2</v>
      </c>
      <c r="L518" s="11" t="str">
        <f>IF(MOD(punkt_szczepień__13[[#This Row],[liczba płeć]],2)=0,"K","M")</f>
        <v>K</v>
      </c>
      <c r="M518" s="1"/>
      <c r="N518" s="1"/>
    </row>
    <row r="519" spans="1:14" x14ac:dyDescent="0.25">
      <c r="A519" s="1" t="s">
        <v>525</v>
      </c>
      <c r="B519" s="1" t="s">
        <v>9</v>
      </c>
      <c r="C519" s="2">
        <v>0.5326967592592593</v>
      </c>
      <c r="D519">
        <v>1</v>
      </c>
      <c r="E519">
        <f>VALUE(RIGHT(LEFT(punkt_szczepień__13[[#This Row],[PESEL]],4),2))</f>
        <v>6</v>
      </c>
      <c r="F519" s="11">
        <f>MOD(punkt_szczepień__13[[#This Row],[liczba miesiac]],20)</f>
        <v>6</v>
      </c>
      <c r="G519" s="11">
        <f>VLOOKUP(punkt_szczepień__13[[#This Row],[liczba miesiac]]-punkt_szczepień__13[[#This Row],[miesiac]],$O$3:$P$7,2,0)+VALUE(LEFT(punkt_szczepień__13[[#This Row],[PESEL]],2))</f>
        <v>1922</v>
      </c>
      <c r="H519" s="11">
        <f>VALUE(RIGHT(LEFT(punkt_szczepień__13[[#This Row],[PESEL]],6),2))</f>
        <v>9</v>
      </c>
      <c r="I519" s="3">
        <f>DATE(punkt_szczepień__13[[#This Row],[rok]],punkt_szczepień__13[[#This Row],[miesiac]],punkt_szczepień__13[[#This Row],[dzień]])</f>
        <v>8196</v>
      </c>
      <c r="J519" s="1" t="str">
        <f>punkt_szczepień__13[[#This Row],[PESEL]]</f>
        <v>22060986926</v>
      </c>
      <c r="K519" s="1">
        <f>VALUE(MID(punkt_szczepień__13[[#This Row],[PESEL]],10,1))</f>
        <v>2</v>
      </c>
      <c r="L519" s="11" t="str">
        <f>IF(MOD(punkt_szczepień__13[[#This Row],[liczba płeć]],2)=0,"K","M")</f>
        <v>K</v>
      </c>
      <c r="M519" s="1"/>
      <c r="N519" s="1"/>
    </row>
    <row r="520" spans="1:14" x14ac:dyDescent="0.25">
      <c r="A520" s="1" t="s">
        <v>526</v>
      </c>
      <c r="B520" s="1" t="s">
        <v>9</v>
      </c>
      <c r="C520" s="2">
        <v>0.53327546296296291</v>
      </c>
      <c r="D520">
        <v>2</v>
      </c>
      <c r="E520">
        <f>VALUE(RIGHT(LEFT(punkt_szczepień__13[[#This Row],[PESEL]],4),2))</f>
        <v>7</v>
      </c>
      <c r="F520" s="11">
        <f>MOD(punkt_szczepień__13[[#This Row],[liczba miesiac]],20)</f>
        <v>7</v>
      </c>
      <c r="G520" s="11">
        <f>VLOOKUP(punkt_szczepień__13[[#This Row],[liczba miesiac]]-punkt_szczepień__13[[#This Row],[miesiac]],$O$3:$P$7,2,0)+VALUE(LEFT(punkt_szczepień__13[[#This Row],[PESEL]],2))</f>
        <v>1920</v>
      </c>
      <c r="H520" s="11">
        <f>VALUE(RIGHT(LEFT(punkt_szczepień__13[[#This Row],[PESEL]],6),2))</f>
        <v>12</v>
      </c>
      <c r="I520" s="3">
        <f>DATE(punkt_szczepień__13[[#This Row],[rok]],punkt_szczepień__13[[#This Row],[miesiac]],punkt_szczepień__13[[#This Row],[dzień]])</f>
        <v>7499</v>
      </c>
      <c r="J520" s="1" t="str">
        <f>punkt_szczepień__13[[#This Row],[PESEL]]</f>
        <v>20071266347</v>
      </c>
      <c r="K520" s="1">
        <f>VALUE(MID(punkt_szczepień__13[[#This Row],[PESEL]],10,1))</f>
        <v>4</v>
      </c>
      <c r="L520" s="11" t="str">
        <f>IF(MOD(punkt_szczepień__13[[#This Row],[liczba płeć]],2)=0,"K","M")</f>
        <v>K</v>
      </c>
      <c r="M520" s="1"/>
      <c r="N520" s="1"/>
    </row>
    <row r="521" spans="1:14" x14ac:dyDescent="0.25">
      <c r="A521" s="1" t="s">
        <v>527</v>
      </c>
      <c r="B521" s="1" t="s">
        <v>7</v>
      </c>
      <c r="C521" s="2">
        <v>0.53356481481481477</v>
      </c>
      <c r="D521">
        <v>1</v>
      </c>
      <c r="E521">
        <f>VALUE(RIGHT(LEFT(punkt_szczepień__13[[#This Row],[PESEL]],4),2))</f>
        <v>9</v>
      </c>
      <c r="F521" s="11">
        <f>MOD(punkt_szczepień__13[[#This Row],[liczba miesiac]],20)</f>
        <v>9</v>
      </c>
      <c r="G521" s="11">
        <f>VLOOKUP(punkt_szczepień__13[[#This Row],[liczba miesiac]]-punkt_szczepień__13[[#This Row],[miesiac]],$O$3:$P$7,2,0)+VALUE(LEFT(punkt_szczepień__13[[#This Row],[PESEL]],2))</f>
        <v>1993</v>
      </c>
      <c r="H521" s="11">
        <f>VALUE(RIGHT(LEFT(punkt_szczepień__13[[#This Row],[PESEL]],6),2))</f>
        <v>4</v>
      </c>
      <c r="I521" s="3">
        <f>DATE(punkt_szczepień__13[[#This Row],[rok]],punkt_szczepień__13[[#This Row],[miesiac]],punkt_szczepień__13[[#This Row],[dzień]])</f>
        <v>34216</v>
      </c>
      <c r="J521" s="1" t="str">
        <f>punkt_szczepień__13[[#This Row],[PESEL]]</f>
        <v>93090426797</v>
      </c>
      <c r="K521" s="1">
        <f>VALUE(MID(punkt_szczepień__13[[#This Row],[PESEL]],10,1))</f>
        <v>9</v>
      </c>
      <c r="L521" s="11" t="str">
        <f>IF(MOD(punkt_szczepień__13[[#This Row],[liczba płeć]],2)=0,"K","M")</f>
        <v>M</v>
      </c>
      <c r="M521" s="1"/>
      <c r="N521" s="1"/>
    </row>
    <row r="522" spans="1:14" x14ac:dyDescent="0.25">
      <c r="A522" s="1" t="s">
        <v>528</v>
      </c>
      <c r="B522" s="1" t="s">
        <v>9</v>
      </c>
      <c r="C522" s="2">
        <v>0.53385416666666663</v>
      </c>
      <c r="D522">
        <v>1</v>
      </c>
      <c r="E522">
        <f>VALUE(RIGHT(LEFT(punkt_szczepień__13[[#This Row],[PESEL]],4),2))</f>
        <v>8</v>
      </c>
      <c r="F522" s="11">
        <f>MOD(punkt_szczepień__13[[#This Row],[liczba miesiac]],20)</f>
        <v>8</v>
      </c>
      <c r="G522" s="11">
        <f>VLOOKUP(punkt_szczepień__13[[#This Row],[liczba miesiac]]-punkt_szczepień__13[[#This Row],[miesiac]],$O$3:$P$7,2,0)+VALUE(LEFT(punkt_szczepień__13[[#This Row],[PESEL]],2))</f>
        <v>1972</v>
      </c>
      <c r="H522" s="11">
        <f>VALUE(RIGHT(LEFT(punkt_szczepień__13[[#This Row],[PESEL]],6),2))</f>
        <v>6</v>
      </c>
      <c r="I522" s="3">
        <f>DATE(punkt_szczepień__13[[#This Row],[rok]],punkt_szczepień__13[[#This Row],[miesiac]],punkt_szczepień__13[[#This Row],[dzień]])</f>
        <v>26517</v>
      </c>
      <c r="J522" s="1" t="str">
        <f>punkt_szczepień__13[[#This Row],[PESEL]]</f>
        <v>72080678389</v>
      </c>
      <c r="K522" s="1">
        <f>VALUE(MID(punkt_szczepień__13[[#This Row],[PESEL]],10,1))</f>
        <v>8</v>
      </c>
      <c r="L522" s="11" t="str">
        <f>IF(MOD(punkt_szczepień__13[[#This Row],[liczba płeć]],2)=0,"K","M")</f>
        <v>K</v>
      </c>
      <c r="M522" s="1"/>
      <c r="N522" s="1"/>
    </row>
    <row r="523" spans="1:14" x14ac:dyDescent="0.25">
      <c r="A523" s="1" t="s">
        <v>529</v>
      </c>
      <c r="B523" s="1" t="s">
        <v>27</v>
      </c>
      <c r="C523" s="2">
        <v>0.53443287037037035</v>
      </c>
      <c r="D523">
        <v>2</v>
      </c>
      <c r="E523">
        <f>VALUE(RIGHT(LEFT(punkt_szczepień__13[[#This Row],[PESEL]],4),2))</f>
        <v>2</v>
      </c>
      <c r="F523" s="11">
        <f>MOD(punkt_szczepień__13[[#This Row],[liczba miesiac]],20)</f>
        <v>2</v>
      </c>
      <c r="G523" s="11">
        <f>VLOOKUP(punkt_szczepień__13[[#This Row],[liczba miesiac]]-punkt_szczepień__13[[#This Row],[miesiac]],$O$3:$P$7,2,0)+VALUE(LEFT(punkt_szczepień__13[[#This Row],[PESEL]],2))</f>
        <v>1954</v>
      </c>
      <c r="H523" s="11">
        <f>VALUE(RIGHT(LEFT(punkt_szczepień__13[[#This Row],[PESEL]],6),2))</f>
        <v>20</v>
      </c>
      <c r="I523" s="3">
        <f>DATE(punkt_szczepień__13[[#This Row],[rok]],punkt_szczepień__13[[#This Row],[miesiac]],punkt_szczepień__13[[#This Row],[dzień]])</f>
        <v>19775</v>
      </c>
      <c r="J523" s="1" t="str">
        <f>punkt_szczepień__13[[#This Row],[PESEL]]</f>
        <v>54022057258</v>
      </c>
      <c r="K523" s="1">
        <f>VALUE(MID(punkt_szczepień__13[[#This Row],[PESEL]],10,1))</f>
        <v>5</v>
      </c>
      <c r="L523" s="11" t="str">
        <f>IF(MOD(punkt_szczepień__13[[#This Row],[liczba płeć]],2)=0,"K","M")</f>
        <v>M</v>
      </c>
      <c r="M523" s="1"/>
      <c r="N523" s="1"/>
    </row>
    <row r="524" spans="1:14" x14ac:dyDescent="0.25">
      <c r="A524" s="1" t="s">
        <v>530</v>
      </c>
      <c r="B524" s="1" t="s">
        <v>7</v>
      </c>
      <c r="C524" s="2">
        <v>0.53472222222222221</v>
      </c>
      <c r="D524">
        <v>1</v>
      </c>
      <c r="E524">
        <f>VALUE(RIGHT(LEFT(punkt_szczepień__13[[#This Row],[PESEL]],4),2))</f>
        <v>8</v>
      </c>
      <c r="F524" s="11">
        <f>MOD(punkt_szczepień__13[[#This Row],[liczba miesiac]],20)</f>
        <v>8</v>
      </c>
      <c r="G524" s="11">
        <f>VLOOKUP(punkt_szczepień__13[[#This Row],[liczba miesiac]]-punkt_szczepień__13[[#This Row],[miesiac]],$O$3:$P$7,2,0)+VALUE(LEFT(punkt_szczepień__13[[#This Row],[PESEL]],2))</f>
        <v>1923</v>
      </c>
      <c r="H524" s="11">
        <f>VALUE(RIGHT(LEFT(punkt_szczepień__13[[#This Row],[PESEL]],6),2))</f>
        <v>13</v>
      </c>
      <c r="I524" s="3">
        <f>DATE(punkt_szczepień__13[[#This Row],[rok]],punkt_szczepień__13[[#This Row],[miesiac]],punkt_szczepień__13[[#This Row],[dzień]])</f>
        <v>8626</v>
      </c>
      <c r="J524" s="1" t="str">
        <f>punkt_szczepień__13[[#This Row],[PESEL]]</f>
        <v>23081349275</v>
      </c>
      <c r="K524" s="1">
        <f>VALUE(MID(punkt_szczepień__13[[#This Row],[PESEL]],10,1))</f>
        <v>7</v>
      </c>
      <c r="L524" s="11" t="str">
        <f>IF(MOD(punkt_szczepień__13[[#This Row],[liczba płeć]],2)=0,"K","M")</f>
        <v>M</v>
      </c>
      <c r="M524" s="1"/>
      <c r="N524" s="1"/>
    </row>
    <row r="525" spans="1:14" x14ac:dyDescent="0.25">
      <c r="A525" s="1" t="s">
        <v>531</v>
      </c>
      <c r="B525" s="1" t="s">
        <v>7</v>
      </c>
      <c r="C525" s="2">
        <v>0.53501157407407407</v>
      </c>
      <c r="D525">
        <v>1</v>
      </c>
      <c r="E525">
        <f>VALUE(RIGHT(LEFT(punkt_szczepień__13[[#This Row],[PESEL]],4),2))</f>
        <v>1</v>
      </c>
      <c r="F525" s="11">
        <f>MOD(punkt_szczepień__13[[#This Row],[liczba miesiac]],20)</f>
        <v>1</v>
      </c>
      <c r="G525" s="11">
        <f>VLOOKUP(punkt_szczepień__13[[#This Row],[liczba miesiac]]-punkt_szczepień__13[[#This Row],[miesiac]],$O$3:$P$7,2,0)+VALUE(LEFT(punkt_szczepień__13[[#This Row],[PESEL]],2))</f>
        <v>1952</v>
      </c>
      <c r="H525" s="11">
        <f>VALUE(RIGHT(LEFT(punkt_szczepień__13[[#This Row],[PESEL]],6),2))</f>
        <v>1</v>
      </c>
      <c r="I525" s="3">
        <f>DATE(punkt_szczepień__13[[#This Row],[rok]],punkt_szczepień__13[[#This Row],[miesiac]],punkt_szczepień__13[[#This Row],[dzień]])</f>
        <v>18994</v>
      </c>
      <c r="J525" s="1" t="str">
        <f>punkt_szczepień__13[[#This Row],[PESEL]]</f>
        <v>52010156343</v>
      </c>
      <c r="K525" s="1">
        <f>VALUE(MID(punkt_szczepień__13[[#This Row],[PESEL]],10,1))</f>
        <v>4</v>
      </c>
      <c r="L525" s="11" t="str">
        <f>IF(MOD(punkt_szczepień__13[[#This Row],[liczba płeć]],2)=0,"K","M")</f>
        <v>K</v>
      </c>
      <c r="M525" s="1"/>
      <c r="N525" s="1"/>
    </row>
    <row r="526" spans="1:14" x14ac:dyDescent="0.25">
      <c r="A526" s="1" t="s">
        <v>532</v>
      </c>
      <c r="B526" s="1" t="s">
        <v>9</v>
      </c>
      <c r="C526" s="2">
        <v>0.53530092592592593</v>
      </c>
      <c r="D526">
        <v>1</v>
      </c>
      <c r="E526">
        <f>VALUE(RIGHT(LEFT(punkt_szczepień__13[[#This Row],[PESEL]],4),2))</f>
        <v>9</v>
      </c>
      <c r="F526" s="11">
        <f>MOD(punkt_szczepień__13[[#This Row],[liczba miesiac]],20)</f>
        <v>9</v>
      </c>
      <c r="G526" s="11">
        <f>VLOOKUP(punkt_szczepień__13[[#This Row],[liczba miesiac]]-punkt_szczepień__13[[#This Row],[miesiac]],$O$3:$P$7,2,0)+VALUE(LEFT(punkt_szczepień__13[[#This Row],[PESEL]],2))</f>
        <v>1948</v>
      </c>
      <c r="H526" s="11">
        <f>VALUE(RIGHT(LEFT(punkt_szczepień__13[[#This Row],[PESEL]],6),2))</f>
        <v>21</v>
      </c>
      <c r="I526" s="3">
        <f>DATE(punkt_szczepień__13[[#This Row],[rok]],punkt_szczepień__13[[#This Row],[miesiac]],punkt_szczepień__13[[#This Row],[dzień]])</f>
        <v>17797</v>
      </c>
      <c r="J526" s="1" t="str">
        <f>punkt_szczepień__13[[#This Row],[PESEL]]</f>
        <v>48092133558</v>
      </c>
      <c r="K526" s="1">
        <f>VALUE(MID(punkt_szczepień__13[[#This Row],[PESEL]],10,1))</f>
        <v>5</v>
      </c>
      <c r="L526" s="11" t="str">
        <f>IF(MOD(punkt_szczepień__13[[#This Row],[liczba płeć]],2)=0,"K","M")</f>
        <v>M</v>
      </c>
      <c r="M526" s="1"/>
      <c r="N526" s="1"/>
    </row>
    <row r="527" spans="1:14" x14ac:dyDescent="0.25">
      <c r="A527" s="1" t="s">
        <v>533</v>
      </c>
      <c r="B527" s="1" t="s">
        <v>7</v>
      </c>
      <c r="C527" s="2">
        <v>0.53559027777777779</v>
      </c>
      <c r="D527">
        <v>1</v>
      </c>
      <c r="E527">
        <f>VALUE(RIGHT(LEFT(punkt_szczepień__13[[#This Row],[PESEL]],4),2))</f>
        <v>6</v>
      </c>
      <c r="F527" s="11">
        <f>MOD(punkt_szczepień__13[[#This Row],[liczba miesiac]],20)</f>
        <v>6</v>
      </c>
      <c r="G527" s="11">
        <f>VLOOKUP(punkt_szczepień__13[[#This Row],[liczba miesiac]]-punkt_szczepień__13[[#This Row],[miesiac]],$O$3:$P$7,2,0)+VALUE(LEFT(punkt_szczepień__13[[#This Row],[PESEL]],2))</f>
        <v>1952</v>
      </c>
      <c r="H527" s="11">
        <f>VALUE(RIGHT(LEFT(punkt_szczepień__13[[#This Row],[PESEL]],6),2))</f>
        <v>28</v>
      </c>
      <c r="I527" s="3">
        <f>DATE(punkt_szczepień__13[[#This Row],[rok]],punkt_szczepień__13[[#This Row],[miesiac]],punkt_szczepień__13[[#This Row],[dzień]])</f>
        <v>19173</v>
      </c>
      <c r="J527" s="1" t="str">
        <f>punkt_szczepień__13[[#This Row],[PESEL]]</f>
        <v>52062858569</v>
      </c>
      <c r="K527" s="1">
        <f>VALUE(MID(punkt_szczepień__13[[#This Row],[PESEL]],10,1))</f>
        <v>6</v>
      </c>
      <c r="L527" s="11" t="str">
        <f>IF(MOD(punkt_szczepień__13[[#This Row],[liczba płeć]],2)=0,"K","M")</f>
        <v>K</v>
      </c>
      <c r="M527" s="1"/>
      <c r="N527" s="1"/>
    </row>
    <row r="528" spans="1:14" x14ac:dyDescent="0.25">
      <c r="A528" s="1" t="s">
        <v>534</v>
      </c>
      <c r="B528" s="1" t="s">
        <v>5</v>
      </c>
      <c r="C528" s="2">
        <v>0.53587962962962965</v>
      </c>
      <c r="D528">
        <v>1</v>
      </c>
      <c r="E528">
        <f>VALUE(RIGHT(LEFT(punkt_szczepień__13[[#This Row],[PESEL]],4),2))</f>
        <v>6</v>
      </c>
      <c r="F528" s="11">
        <f>MOD(punkt_szczepień__13[[#This Row],[liczba miesiac]],20)</f>
        <v>6</v>
      </c>
      <c r="G528" s="11">
        <f>VLOOKUP(punkt_szczepień__13[[#This Row],[liczba miesiac]]-punkt_szczepień__13[[#This Row],[miesiac]],$O$3:$P$7,2,0)+VALUE(LEFT(punkt_szczepień__13[[#This Row],[PESEL]],2))</f>
        <v>1997</v>
      </c>
      <c r="H528" s="11">
        <f>VALUE(RIGHT(LEFT(punkt_szczepień__13[[#This Row],[PESEL]],6),2))</f>
        <v>8</v>
      </c>
      <c r="I528" s="3">
        <f>DATE(punkt_szczepień__13[[#This Row],[rok]],punkt_szczepień__13[[#This Row],[miesiac]],punkt_szczepień__13[[#This Row],[dzień]])</f>
        <v>35589</v>
      </c>
      <c r="J528" s="1" t="str">
        <f>punkt_szczepień__13[[#This Row],[PESEL]]</f>
        <v>97060877642</v>
      </c>
      <c r="K528" s="1">
        <f>VALUE(MID(punkt_szczepień__13[[#This Row],[PESEL]],10,1))</f>
        <v>4</v>
      </c>
      <c r="L528" s="11" t="str">
        <f>IF(MOD(punkt_szczepień__13[[#This Row],[liczba płeć]],2)=0,"K","M")</f>
        <v>K</v>
      </c>
      <c r="M528" s="1"/>
      <c r="N528" s="1"/>
    </row>
    <row r="529" spans="1:14" x14ac:dyDescent="0.25">
      <c r="A529" s="1" t="s">
        <v>535</v>
      </c>
      <c r="B529" s="1" t="s">
        <v>7</v>
      </c>
      <c r="C529" s="2">
        <v>0.53616898148148151</v>
      </c>
      <c r="D529">
        <v>1</v>
      </c>
      <c r="E529">
        <f>VALUE(RIGHT(LEFT(punkt_szczepień__13[[#This Row],[PESEL]],4),2))</f>
        <v>12</v>
      </c>
      <c r="F529" s="11">
        <f>MOD(punkt_szczepień__13[[#This Row],[liczba miesiac]],20)</f>
        <v>12</v>
      </c>
      <c r="G529" s="11">
        <f>VLOOKUP(punkt_szczepień__13[[#This Row],[liczba miesiac]]-punkt_szczepień__13[[#This Row],[miesiac]],$O$3:$P$7,2,0)+VALUE(LEFT(punkt_szczepień__13[[#This Row],[PESEL]],2))</f>
        <v>1996</v>
      </c>
      <c r="H529" s="11">
        <f>VALUE(RIGHT(LEFT(punkt_szczepień__13[[#This Row],[PESEL]],6),2))</f>
        <v>29</v>
      </c>
      <c r="I529" s="3">
        <f>DATE(punkt_szczepień__13[[#This Row],[rok]],punkt_szczepień__13[[#This Row],[miesiac]],punkt_szczepień__13[[#This Row],[dzień]])</f>
        <v>35428</v>
      </c>
      <c r="J529" s="1" t="str">
        <f>punkt_szczepień__13[[#This Row],[PESEL]]</f>
        <v>96122982869</v>
      </c>
      <c r="K529" s="1">
        <f>VALUE(MID(punkt_szczepień__13[[#This Row],[PESEL]],10,1))</f>
        <v>6</v>
      </c>
      <c r="L529" s="11" t="str">
        <f>IF(MOD(punkt_szczepień__13[[#This Row],[liczba płeć]],2)=0,"K","M")</f>
        <v>K</v>
      </c>
      <c r="M529" s="1"/>
      <c r="N529" s="1"/>
    </row>
    <row r="530" spans="1:14" x14ac:dyDescent="0.25">
      <c r="A530" s="1" t="s">
        <v>536</v>
      </c>
      <c r="B530" s="1" t="s">
        <v>9</v>
      </c>
      <c r="C530" s="2">
        <v>0.53674768518518523</v>
      </c>
      <c r="D530">
        <v>2</v>
      </c>
      <c r="E530">
        <f>VALUE(RIGHT(LEFT(punkt_szczepień__13[[#This Row],[PESEL]],4),2))</f>
        <v>9</v>
      </c>
      <c r="F530" s="11">
        <f>MOD(punkt_szczepień__13[[#This Row],[liczba miesiac]],20)</f>
        <v>9</v>
      </c>
      <c r="G530" s="11">
        <f>VLOOKUP(punkt_szczepień__13[[#This Row],[liczba miesiac]]-punkt_szczepień__13[[#This Row],[miesiac]],$O$3:$P$7,2,0)+VALUE(LEFT(punkt_szczepień__13[[#This Row],[PESEL]],2))</f>
        <v>1979</v>
      </c>
      <c r="H530" s="11">
        <f>VALUE(RIGHT(LEFT(punkt_szczepień__13[[#This Row],[PESEL]],6),2))</f>
        <v>11</v>
      </c>
      <c r="I530" s="3">
        <f>DATE(punkt_szczepień__13[[#This Row],[rok]],punkt_szczepień__13[[#This Row],[miesiac]],punkt_szczepień__13[[#This Row],[dzień]])</f>
        <v>29109</v>
      </c>
      <c r="J530" s="1" t="str">
        <f>punkt_szczepień__13[[#This Row],[PESEL]]</f>
        <v>79091155377</v>
      </c>
      <c r="K530" s="1">
        <f>VALUE(MID(punkt_szczepień__13[[#This Row],[PESEL]],10,1))</f>
        <v>7</v>
      </c>
      <c r="L530" s="11" t="str">
        <f>IF(MOD(punkt_szczepień__13[[#This Row],[liczba płeć]],2)=0,"K","M")</f>
        <v>M</v>
      </c>
      <c r="M530" s="1"/>
      <c r="N530" s="1"/>
    </row>
    <row r="531" spans="1:14" x14ac:dyDescent="0.25">
      <c r="A531" s="1" t="s">
        <v>537</v>
      </c>
      <c r="B531" s="1" t="s">
        <v>27</v>
      </c>
      <c r="C531" s="2">
        <v>0.53703703703703709</v>
      </c>
      <c r="D531">
        <v>1</v>
      </c>
      <c r="E531">
        <f>VALUE(RIGHT(LEFT(punkt_szczepień__13[[#This Row],[PESEL]],4),2))</f>
        <v>30</v>
      </c>
      <c r="F531" s="11">
        <f>MOD(punkt_szczepień__13[[#This Row],[liczba miesiac]],20)</f>
        <v>10</v>
      </c>
      <c r="G531" s="11">
        <f>VLOOKUP(punkt_szczepień__13[[#This Row],[liczba miesiac]]-punkt_szczepień__13[[#This Row],[miesiac]],$O$3:$P$7,2,0)+VALUE(LEFT(punkt_szczepień__13[[#This Row],[PESEL]],2))</f>
        <v>2002</v>
      </c>
      <c r="H531" s="11">
        <f>VALUE(RIGHT(LEFT(punkt_szczepień__13[[#This Row],[PESEL]],6),2))</f>
        <v>3</v>
      </c>
      <c r="I531" s="3">
        <f>DATE(punkt_szczepień__13[[#This Row],[rok]],punkt_szczepień__13[[#This Row],[miesiac]],punkt_szczepień__13[[#This Row],[dzień]])</f>
        <v>37532</v>
      </c>
      <c r="J531" s="1" t="str">
        <f>punkt_szczepień__13[[#This Row],[PESEL]]</f>
        <v>02300364525</v>
      </c>
      <c r="K531" s="1">
        <f>VALUE(MID(punkt_szczepień__13[[#This Row],[PESEL]],10,1))</f>
        <v>2</v>
      </c>
      <c r="L531" s="11" t="str">
        <f>IF(MOD(punkt_szczepień__13[[#This Row],[liczba płeć]],2)=0,"K","M")</f>
        <v>K</v>
      </c>
      <c r="M531" s="1"/>
      <c r="N531" s="1"/>
    </row>
    <row r="532" spans="1:14" x14ac:dyDescent="0.25">
      <c r="A532" s="1" t="s">
        <v>538</v>
      </c>
      <c r="B532" s="1" t="s">
        <v>27</v>
      </c>
      <c r="C532" s="2">
        <v>0.53732638888888884</v>
      </c>
      <c r="D532">
        <v>1</v>
      </c>
      <c r="E532">
        <f>VALUE(RIGHT(LEFT(punkt_szczepień__13[[#This Row],[PESEL]],4),2))</f>
        <v>29</v>
      </c>
      <c r="F532" s="11">
        <f>MOD(punkt_szczepień__13[[#This Row],[liczba miesiac]],20)</f>
        <v>9</v>
      </c>
      <c r="G532" s="11">
        <f>VLOOKUP(punkt_szczepień__13[[#This Row],[liczba miesiac]]-punkt_szczepień__13[[#This Row],[miesiac]],$O$3:$P$7,2,0)+VALUE(LEFT(punkt_szczepień__13[[#This Row],[PESEL]],2))</f>
        <v>2006</v>
      </c>
      <c r="H532" s="11">
        <f>VALUE(RIGHT(LEFT(punkt_szczepień__13[[#This Row],[PESEL]],6),2))</f>
        <v>5</v>
      </c>
      <c r="I532" s="3">
        <f>DATE(punkt_szczepień__13[[#This Row],[rok]],punkt_szczepień__13[[#This Row],[miesiac]],punkt_szczepień__13[[#This Row],[dzień]])</f>
        <v>38965</v>
      </c>
      <c r="J532" s="1" t="str">
        <f>punkt_szczepień__13[[#This Row],[PESEL]]</f>
        <v>06290512595</v>
      </c>
      <c r="K532" s="1">
        <f>VALUE(MID(punkt_szczepień__13[[#This Row],[PESEL]],10,1))</f>
        <v>9</v>
      </c>
      <c r="L532" s="11" t="str">
        <f>IF(MOD(punkt_szczepień__13[[#This Row],[liczba płeć]],2)=0,"K","M")</f>
        <v>M</v>
      </c>
      <c r="M532" s="1"/>
      <c r="N532" s="1"/>
    </row>
    <row r="533" spans="1:14" x14ac:dyDescent="0.25">
      <c r="A533" s="1" t="s">
        <v>539</v>
      </c>
      <c r="B533" s="1" t="s">
        <v>7</v>
      </c>
      <c r="C533" s="2">
        <v>0.5376157407407407</v>
      </c>
      <c r="D533">
        <v>1</v>
      </c>
      <c r="E533">
        <f>VALUE(RIGHT(LEFT(punkt_szczepień__13[[#This Row],[PESEL]],4),2))</f>
        <v>7</v>
      </c>
      <c r="F533" s="11">
        <f>MOD(punkt_szczepień__13[[#This Row],[liczba miesiac]],20)</f>
        <v>7</v>
      </c>
      <c r="G533" s="11">
        <f>VLOOKUP(punkt_szczepień__13[[#This Row],[liczba miesiac]]-punkt_szczepień__13[[#This Row],[miesiac]],$O$3:$P$7,2,0)+VALUE(LEFT(punkt_szczepień__13[[#This Row],[PESEL]],2))</f>
        <v>1943</v>
      </c>
      <c r="H533" s="11">
        <f>VALUE(RIGHT(LEFT(punkt_szczepień__13[[#This Row],[PESEL]],6),2))</f>
        <v>5</v>
      </c>
      <c r="I533" s="3">
        <f>DATE(punkt_szczepień__13[[#This Row],[rok]],punkt_szczepień__13[[#This Row],[miesiac]],punkt_szczepień__13[[#This Row],[dzień]])</f>
        <v>15892</v>
      </c>
      <c r="J533" s="1" t="str">
        <f>punkt_szczepień__13[[#This Row],[PESEL]]</f>
        <v>43070562795</v>
      </c>
      <c r="K533" s="1">
        <f>VALUE(MID(punkt_szczepień__13[[#This Row],[PESEL]],10,1))</f>
        <v>9</v>
      </c>
      <c r="L533" s="11" t="str">
        <f>IF(MOD(punkt_szczepień__13[[#This Row],[liczba płeć]],2)=0,"K","M")</f>
        <v>M</v>
      </c>
      <c r="M533" s="1"/>
      <c r="N533" s="1"/>
    </row>
    <row r="534" spans="1:14" x14ac:dyDescent="0.25">
      <c r="A534" s="1" t="s">
        <v>540</v>
      </c>
      <c r="B534" s="1" t="s">
        <v>9</v>
      </c>
      <c r="C534" s="2">
        <v>0.53790509259259256</v>
      </c>
      <c r="D534">
        <v>1</v>
      </c>
      <c r="E534">
        <f>VALUE(RIGHT(LEFT(punkt_szczepień__13[[#This Row],[PESEL]],4),2))</f>
        <v>28</v>
      </c>
      <c r="F534" s="11">
        <f>MOD(punkt_szczepień__13[[#This Row],[liczba miesiac]],20)</f>
        <v>8</v>
      </c>
      <c r="G534" s="11">
        <f>VLOOKUP(punkt_szczepień__13[[#This Row],[liczba miesiac]]-punkt_szczepień__13[[#This Row],[miesiac]],$O$3:$P$7,2,0)+VALUE(LEFT(punkt_szczepień__13[[#This Row],[PESEL]],2))</f>
        <v>2006</v>
      </c>
      <c r="H534" s="11">
        <f>VALUE(RIGHT(LEFT(punkt_szczepień__13[[#This Row],[PESEL]],6),2))</f>
        <v>15</v>
      </c>
      <c r="I534" s="3">
        <f>DATE(punkt_szczepień__13[[#This Row],[rok]],punkt_szczepień__13[[#This Row],[miesiac]],punkt_szczepień__13[[#This Row],[dzień]])</f>
        <v>38944</v>
      </c>
      <c r="J534" s="1" t="str">
        <f>punkt_szczepień__13[[#This Row],[PESEL]]</f>
        <v>06281534812</v>
      </c>
      <c r="K534" s="1">
        <f>VALUE(MID(punkt_szczepień__13[[#This Row],[PESEL]],10,1))</f>
        <v>1</v>
      </c>
      <c r="L534" s="11" t="str">
        <f>IF(MOD(punkt_szczepień__13[[#This Row],[liczba płeć]],2)=0,"K","M")</f>
        <v>M</v>
      </c>
      <c r="M534" s="1"/>
      <c r="N534" s="1"/>
    </row>
    <row r="535" spans="1:14" x14ac:dyDescent="0.25">
      <c r="A535" s="1" t="s">
        <v>541</v>
      </c>
      <c r="B535" s="1" t="s">
        <v>9</v>
      </c>
      <c r="C535" s="2">
        <v>0.53848379629629628</v>
      </c>
      <c r="D535">
        <v>2</v>
      </c>
      <c r="E535">
        <f>VALUE(RIGHT(LEFT(punkt_szczepień__13[[#This Row],[PESEL]],4),2))</f>
        <v>23</v>
      </c>
      <c r="F535" s="11">
        <f>MOD(punkt_szczepień__13[[#This Row],[liczba miesiac]],20)</f>
        <v>3</v>
      </c>
      <c r="G535" s="11">
        <f>VLOOKUP(punkt_szczepień__13[[#This Row],[liczba miesiac]]-punkt_szczepień__13[[#This Row],[miesiac]],$O$3:$P$7,2,0)+VALUE(LEFT(punkt_szczepień__13[[#This Row],[PESEL]],2))</f>
        <v>2006</v>
      </c>
      <c r="H535" s="11">
        <f>VALUE(RIGHT(LEFT(punkt_szczepień__13[[#This Row],[PESEL]],6),2))</f>
        <v>2</v>
      </c>
      <c r="I535" s="3">
        <f>DATE(punkt_szczepień__13[[#This Row],[rok]],punkt_szczepień__13[[#This Row],[miesiac]],punkt_szczepień__13[[#This Row],[dzień]])</f>
        <v>38778</v>
      </c>
      <c r="J535" s="1" t="str">
        <f>punkt_szczepień__13[[#This Row],[PESEL]]</f>
        <v>06230267871</v>
      </c>
      <c r="K535" s="1">
        <f>VALUE(MID(punkt_szczepień__13[[#This Row],[PESEL]],10,1))</f>
        <v>7</v>
      </c>
      <c r="L535" s="11" t="str">
        <f>IF(MOD(punkt_szczepień__13[[#This Row],[liczba płeć]],2)=0,"K","M")</f>
        <v>M</v>
      </c>
      <c r="M535" s="1"/>
      <c r="N535" s="1"/>
    </row>
    <row r="536" spans="1:14" x14ac:dyDescent="0.25">
      <c r="A536" s="1" t="s">
        <v>542</v>
      </c>
      <c r="B536" s="1" t="s">
        <v>7</v>
      </c>
      <c r="C536" s="2">
        <v>0.53877314814814814</v>
      </c>
      <c r="D536">
        <v>1</v>
      </c>
      <c r="E536">
        <f>VALUE(RIGHT(LEFT(punkt_szczepień__13[[#This Row],[PESEL]],4),2))</f>
        <v>2</v>
      </c>
      <c r="F536" s="11">
        <f>MOD(punkt_szczepień__13[[#This Row],[liczba miesiac]],20)</f>
        <v>2</v>
      </c>
      <c r="G536" s="11">
        <f>VLOOKUP(punkt_szczepień__13[[#This Row],[liczba miesiac]]-punkt_szczepień__13[[#This Row],[miesiac]],$O$3:$P$7,2,0)+VALUE(LEFT(punkt_szczepień__13[[#This Row],[PESEL]],2))</f>
        <v>1955</v>
      </c>
      <c r="H536" s="11">
        <f>VALUE(RIGHT(LEFT(punkt_szczepień__13[[#This Row],[PESEL]],6),2))</f>
        <v>11</v>
      </c>
      <c r="I536" s="3">
        <f>DATE(punkt_szczepień__13[[#This Row],[rok]],punkt_szczepień__13[[#This Row],[miesiac]],punkt_szczepień__13[[#This Row],[dzień]])</f>
        <v>20131</v>
      </c>
      <c r="J536" s="1" t="str">
        <f>punkt_szczepień__13[[#This Row],[PESEL]]</f>
        <v>55021173347</v>
      </c>
      <c r="K536" s="1">
        <f>VALUE(MID(punkt_szczepień__13[[#This Row],[PESEL]],10,1))</f>
        <v>4</v>
      </c>
      <c r="L536" s="11" t="str">
        <f>IF(MOD(punkt_szczepień__13[[#This Row],[liczba płeć]],2)=0,"K","M")</f>
        <v>K</v>
      </c>
      <c r="M536" s="1"/>
      <c r="N536" s="1"/>
    </row>
    <row r="537" spans="1:14" x14ac:dyDescent="0.25">
      <c r="A537" s="1" t="s">
        <v>543</v>
      </c>
      <c r="B537" s="1" t="s">
        <v>9</v>
      </c>
      <c r="C537" s="2">
        <v>0.53935185185185186</v>
      </c>
      <c r="D537">
        <v>2</v>
      </c>
      <c r="E537">
        <f>VALUE(RIGHT(LEFT(punkt_szczepień__13[[#This Row],[PESEL]],4),2))</f>
        <v>6</v>
      </c>
      <c r="F537" s="11">
        <f>MOD(punkt_szczepień__13[[#This Row],[liczba miesiac]],20)</f>
        <v>6</v>
      </c>
      <c r="G537" s="11">
        <f>VLOOKUP(punkt_szczepień__13[[#This Row],[liczba miesiac]]-punkt_szczepień__13[[#This Row],[miesiac]],$O$3:$P$7,2,0)+VALUE(LEFT(punkt_szczepień__13[[#This Row],[PESEL]],2))</f>
        <v>1944</v>
      </c>
      <c r="H537" s="11">
        <f>VALUE(RIGHT(LEFT(punkt_szczepień__13[[#This Row],[PESEL]],6),2))</f>
        <v>22</v>
      </c>
      <c r="I537" s="3">
        <f>DATE(punkt_szczepień__13[[#This Row],[rok]],punkt_szczepień__13[[#This Row],[miesiac]],punkt_szczepień__13[[#This Row],[dzień]])</f>
        <v>16245</v>
      </c>
      <c r="J537" s="1" t="str">
        <f>punkt_szczepień__13[[#This Row],[PESEL]]</f>
        <v>44062292353</v>
      </c>
      <c r="K537" s="1">
        <f>VALUE(MID(punkt_szczepień__13[[#This Row],[PESEL]],10,1))</f>
        <v>5</v>
      </c>
      <c r="L537" s="11" t="str">
        <f>IF(MOD(punkt_szczepień__13[[#This Row],[liczba płeć]],2)=0,"K","M")</f>
        <v>M</v>
      </c>
      <c r="M537" s="1"/>
      <c r="N537" s="1"/>
    </row>
    <row r="538" spans="1:14" x14ac:dyDescent="0.25">
      <c r="A538" s="1" t="s">
        <v>544</v>
      </c>
      <c r="B538" s="1" t="s">
        <v>7</v>
      </c>
      <c r="C538" s="2">
        <v>0.53964120370370372</v>
      </c>
      <c r="D538">
        <v>1</v>
      </c>
      <c r="E538">
        <f>VALUE(RIGHT(LEFT(punkt_szczepień__13[[#This Row],[PESEL]],4),2))</f>
        <v>8</v>
      </c>
      <c r="F538" s="11">
        <f>MOD(punkt_szczepień__13[[#This Row],[liczba miesiac]],20)</f>
        <v>8</v>
      </c>
      <c r="G538" s="11">
        <f>VLOOKUP(punkt_szczepień__13[[#This Row],[liczba miesiac]]-punkt_szczepień__13[[#This Row],[miesiac]],$O$3:$P$7,2,0)+VALUE(LEFT(punkt_szczepień__13[[#This Row],[PESEL]],2))</f>
        <v>1930</v>
      </c>
      <c r="H538" s="11">
        <f>VALUE(RIGHT(LEFT(punkt_szczepień__13[[#This Row],[PESEL]],6),2))</f>
        <v>3</v>
      </c>
      <c r="I538" s="3">
        <f>DATE(punkt_szczepień__13[[#This Row],[rok]],punkt_szczepień__13[[#This Row],[miesiac]],punkt_szczepień__13[[#This Row],[dzień]])</f>
        <v>11173</v>
      </c>
      <c r="J538" s="1" t="str">
        <f>punkt_szczepień__13[[#This Row],[PESEL]]</f>
        <v>30080361197</v>
      </c>
      <c r="K538" s="1">
        <f>VALUE(MID(punkt_szczepień__13[[#This Row],[PESEL]],10,1))</f>
        <v>9</v>
      </c>
      <c r="L538" s="11" t="str">
        <f>IF(MOD(punkt_szczepień__13[[#This Row],[liczba płeć]],2)=0,"K","M")</f>
        <v>M</v>
      </c>
      <c r="M538" s="1"/>
      <c r="N538" s="1"/>
    </row>
    <row r="539" spans="1:14" x14ac:dyDescent="0.25">
      <c r="A539" s="1" t="s">
        <v>545</v>
      </c>
      <c r="B539" s="1" t="s">
        <v>5</v>
      </c>
      <c r="C539" s="2">
        <v>0.54021990740740744</v>
      </c>
      <c r="D539">
        <v>2</v>
      </c>
      <c r="E539">
        <f>VALUE(RIGHT(LEFT(punkt_szczepień__13[[#This Row],[PESEL]],4),2))</f>
        <v>24</v>
      </c>
      <c r="F539" s="11">
        <f>MOD(punkt_szczepień__13[[#This Row],[liczba miesiac]],20)</f>
        <v>4</v>
      </c>
      <c r="G539" s="11">
        <f>VLOOKUP(punkt_szczepień__13[[#This Row],[liczba miesiac]]-punkt_szczepień__13[[#This Row],[miesiac]],$O$3:$P$7,2,0)+VALUE(LEFT(punkt_szczepień__13[[#This Row],[PESEL]],2))</f>
        <v>2003</v>
      </c>
      <c r="H539" s="11">
        <f>VALUE(RIGHT(LEFT(punkt_szczepień__13[[#This Row],[PESEL]],6),2))</f>
        <v>1</v>
      </c>
      <c r="I539" s="3">
        <f>DATE(punkt_szczepień__13[[#This Row],[rok]],punkt_szczepień__13[[#This Row],[miesiac]],punkt_szczepień__13[[#This Row],[dzień]])</f>
        <v>37712</v>
      </c>
      <c r="J539" s="1" t="str">
        <f>punkt_szczepień__13[[#This Row],[PESEL]]</f>
        <v>03240155763</v>
      </c>
      <c r="K539" s="1">
        <f>VALUE(MID(punkt_szczepień__13[[#This Row],[PESEL]],10,1))</f>
        <v>6</v>
      </c>
      <c r="L539" s="11" t="str">
        <f>IF(MOD(punkt_szczepień__13[[#This Row],[liczba płeć]],2)=0,"K","M")</f>
        <v>K</v>
      </c>
      <c r="M539" s="1"/>
      <c r="N539" s="1"/>
    </row>
    <row r="540" spans="1:14" x14ac:dyDescent="0.25">
      <c r="A540" s="1" t="s">
        <v>546</v>
      </c>
      <c r="B540" s="1" t="s">
        <v>9</v>
      </c>
      <c r="C540" s="2">
        <v>0.5405092592592593</v>
      </c>
      <c r="D540">
        <v>1</v>
      </c>
      <c r="E540">
        <f>VALUE(RIGHT(LEFT(punkt_szczepień__13[[#This Row],[PESEL]],4),2))</f>
        <v>24</v>
      </c>
      <c r="F540" s="11">
        <f>MOD(punkt_szczepień__13[[#This Row],[liczba miesiac]],20)</f>
        <v>4</v>
      </c>
      <c r="G540" s="11">
        <f>VLOOKUP(punkt_szczepień__13[[#This Row],[liczba miesiac]]-punkt_szczepień__13[[#This Row],[miesiac]],$O$3:$P$7,2,0)+VALUE(LEFT(punkt_szczepień__13[[#This Row],[PESEL]],2))</f>
        <v>2006</v>
      </c>
      <c r="H540" s="11">
        <f>VALUE(RIGHT(LEFT(punkt_szczepień__13[[#This Row],[PESEL]],6),2))</f>
        <v>11</v>
      </c>
      <c r="I540" s="3">
        <f>DATE(punkt_szczepień__13[[#This Row],[rok]],punkt_szczepień__13[[#This Row],[miesiac]],punkt_szczepień__13[[#This Row],[dzień]])</f>
        <v>38818</v>
      </c>
      <c r="J540" s="1" t="str">
        <f>punkt_szczepień__13[[#This Row],[PESEL]]</f>
        <v>06241139242</v>
      </c>
      <c r="K540" s="1">
        <f>VALUE(MID(punkt_szczepień__13[[#This Row],[PESEL]],10,1))</f>
        <v>4</v>
      </c>
      <c r="L540" s="11" t="str">
        <f>IF(MOD(punkt_szczepień__13[[#This Row],[liczba płeć]],2)=0,"K","M")</f>
        <v>K</v>
      </c>
      <c r="M540" s="1"/>
      <c r="N540" s="1"/>
    </row>
    <row r="541" spans="1:14" x14ac:dyDescent="0.25">
      <c r="A541" s="1" t="s">
        <v>547</v>
      </c>
      <c r="B541" s="1" t="s">
        <v>7</v>
      </c>
      <c r="C541" s="2">
        <v>0.54079861111111116</v>
      </c>
      <c r="D541">
        <v>1</v>
      </c>
      <c r="E541">
        <f>VALUE(RIGHT(LEFT(punkt_szczepień__13[[#This Row],[PESEL]],4),2))</f>
        <v>10</v>
      </c>
      <c r="F541" s="11">
        <f>MOD(punkt_szczepień__13[[#This Row],[liczba miesiac]],20)</f>
        <v>10</v>
      </c>
      <c r="G541" s="11">
        <f>VLOOKUP(punkt_szczepień__13[[#This Row],[liczba miesiac]]-punkt_szczepień__13[[#This Row],[miesiac]],$O$3:$P$7,2,0)+VALUE(LEFT(punkt_szczepień__13[[#This Row],[PESEL]],2))</f>
        <v>1944</v>
      </c>
      <c r="H541" s="11">
        <f>VALUE(RIGHT(LEFT(punkt_szczepień__13[[#This Row],[PESEL]],6),2))</f>
        <v>15</v>
      </c>
      <c r="I541" s="3">
        <f>DATE(punkt_szczepień__13[[#This Row],[rok]],punkt_szczepień__13[[#This Row],[miesiac]],punkt_szczepień__13[[#This Row],[dzień]])</f>
        <v>16360</v>
      </c>
      <c r="J541" s="1" t="str">
        <f>punkt_szczepień__13[[#This Row],[PESEL]]</f>
        <v>44101537939</v>
      </c>
      <c r="K541" s="1">
        <f>VALUE(MID(punkt_szczepień__13[[#This Row],[PESEL]],10,1))</f>
        <v>3</v>
      </c>
      <c r="L541" s="11" t="str">
        <f>IF(MOD(punkt_szczepień__13[[#This Row],[liczba płeć]],2)=0,"K","M")</f>
        <v>M</v>
      </c>
      <c r="M541" s="1"/>
      <c r="N541" s="1"/>
    </row>
    <row r="542" spans="1:14" x14ac:dyDescent="0.25">
      <c r="A542" s="1" t="s">
        <v>548</v>
      </c>
      <c r="B542" s="1" t="s">
        <v>5</v>
      </c>
      <c r="C542" s="2">
        <v>0.54108796296296291</v>
      </c>
      <c r="D542">
        <v>1</v>
      </c>
      <c r="E542">
        <f>VALUE(RIGHT(LEFT(punkt_szczepień__13[[#This Row],[PESEL]],4),2))</f>
        <v>10</v>
      </c>
      <c r="F542" s="11">
        <f>MOD(punkt_szczepień__13[[#This Row],[liczba miesiac]],20)</f>
        <v>10</v>
      </c>
      <c r="G542" s="11">
        <f>VLOOKUP(punkt_szczepień__13[[#This Row],[liczba miesiac]]-punkt_szczepień__13[[#This Row],[miesiac]],$O$3:$P$7,2,0)+VALUE(LEFT(punkt_szczepień__13[[#This Row],[PESEL]],2))</f>
        <v>1947</v>
      </c>
      <c r="H542" s="11">
        <f>VALUE(RIGHT(LEFT(punkt_szczepień__13[[#This Row],[PESEL]],6),2))</f>
        <v>24</v>
      </c>
      <c r="I542" s="3">
        <f>DATE(punkt_szczepień__13[[#This Row],[rok]],punkt_szczepień__13[[#This Row],[miesiac]],punkt_szczepień__13[[#This Row],[dzień]])</f>
        <v>17464</v>
      </c>
      <c r="J542" s="1" t="str">
        <f>punkt_szczepień__13[[#This Row],[PESEL]]</f>
        <v>47102474269</v>
      </c>
      <c r="K542" s="1">
        <f>VALUE(MID(punkt_szczepień__13[[#This Row],[PESEL]],10,1))</f>
        <v>6</v>
      </c>
      <c r="L542" s="11" t="str">
        <f>IF(MOD(punkt_szczepień__13[[#This Row],[liczba płeć]],2)=0,"K","M")</f>
        <v>K</v>
      </c>
      <c r="M542" s="1"/>
      <c r="N542" s="1"/>
    </row>
    <row r="543" spans="1:14" x14ac:dyDescent="0.25">
      <c r="A543" s="1" t="s">
        <v>549</v>
      </c>
      <c r="B543" s="1" t="s">
        <v>7</v>
      </c>
      <c r="C543" s="2">
        <v>0.54137731481481477</v>
      </c>
      <c r="D543">
        <v>1</v>
      </c>
      <c r="E543">
        <f>VALUE(RIGHT(LEFT(punkt_szczepień__13[[#This Row],[PESEL]],4),2))</f>
        <v>28</v>
      </c>
      <c r="F543" s="11">
        <f>MOD(punkt_szczepień__13[[#This Row],[liczba miesiac]],20)</f>
        <v>8</v>
      </c>
      <c r="G543" s="11">
        <f>VLOOKUP(punkt_szczepień__13[[#This Row],[liczba miesiac]]-punkt_szczepień__13[[#This Row],[miesiac]],$O$3:$P$7,2,0)+VALUE(LEFT(punkt_szczepień__13[[#This Row],[PESEL]],2))</f>
        <v>2006</v>
      </c>
      <c r="H543" s="11">
        <f>VALUE(RIGHT(LEFT(punkt_szczepień__13[[#This Row],[PESEL]],6),2))</f>
        <v>16</v>
      </c>
      <c r="I543" s="3">
        <f>DATE(punkt_szczepień__13[[#This Row],[rok]],punkt_szczepień__13[[#This Row],[miesiac]],punkt_szczepień__13[[#This Row],[dzień]])</f>
        <v>38945</v>
      </c>
      <c r="J543" s="1" t="str">
        <f>punkt_szczepień__13[[#This Row],[PESEL]]</f>
        <v>06281643996</v>
      </c>
      <c r="K543" s="1">
        <f>VALUE(MID(punkt_szczepień__13[[#This Row],[PESEL]],10,1))</f>
        <v>9</v>
      </c>
      <c r="L543" s="11" t="str">
        <f>IF(MOD(punkt_szczepień__13[[#This Row],[liczba płeć]],2)=0,"K","M")</f>
        <v>M</v>
      </c>
      <c r="M543" s="1"/>
      <c r="N543" s="1"/>
    </row>
    <row r="544" spans="1:14" x14ac:dyDescent="0.25">
      <c r="A544" s="1" t="s">
        <v>550</v>
      </c>
      <c r="B544" s="1" t="s">
        <v>9</v>
      </c>
      <c r="C544" s="2">
        <v>0.54166666666666663</v>
      </c>
      <c r="D544">
        <v>1</v>
      </c>
      <c r="E544">
        <f>VALUE(RIGHT(LEFT(punkt_szczepień__13[[#This Row],[PESEL]],4),2))</f>
        <v>11</v>
      </c>
      <c r="F544" s="11">
        <f>MOD(punkt_szczepień__13[[#This Row],[liczba miesiac]],20)</f>
        <v>11</v>
      </c>
      <c r="G544" s="11">
        <f>VLOOKUP(punkt_szczepień__13[[#This Row],[liczba miesiac]]-punkt_szczepień__13[[#This Row],[miesiac]],$O$3:$P$7,2,0)+VALUE(LEFT(punkt_szczepień__13[[#This Row],[PESEL]],2))</f>
        <v>1954</v>
      </c>
      <c r="H544" s="11">
        <f>VALUE(RIGHT(LEFT(punkt_szczepień__13[[#This Row],[PESEL]],6),2))</f>
        <v>8</v>
      </c>
      <c r="I544" s="3">
        <f>DATE(punkt_szczepień__13[[#This Row],[rok]],punkt_szczepień__13[[#This Row],[miesiac]],punkt_szczepień__13[[#This Row],[dzień]])</f>
        <v>20036</v>
      </c>
      <c r="J544" s="1" t="str">
        <f>punkt_szczepień__13[[#This Row],[PESEL]]</f>
        <v>54110819487</v>
      </c>
      <c r="K544" s="1">
        <f>VALUE(MID(punkt_szczepień__13[[#This Row],[PESEL]],10,1))</f>
        <v>8</v>
      </c>
      <c r="L544" s="11" t="str">
        <f>IF(MOD(punkt_szczepień__13[[#This Row],[liczba płeć]],2)=0,"K","M")</f>
        <v>K</v>
      </c>
      <c r="M544" s="1"/>
      <c r="N544" s="1"/>
    </row>
    <row r="545" spans="1:14" x14ac:dyDescent="0.25">
      <c r="A545" s="1" t="s">
        <v>551</v>
      </c>
      <c r="B545" s="1" t="s">
        <v>27</v>
      </c>
      <c r="C545" s="2">
        <v>0.54224537037037035</v>
      </c>
      <c r="D545">
        <v>2</v>
      </c>
      <c r="E545">
        <f>VALUE(RIGHT(LEFT(punkt_szczepień__13[[#This Row],[PESEL]],4),2))</f>
        <v>4</v>
      </c>
      <c r="F545" s="11">
        <f>MOD(punkt_szczepień__13[[#This Row],[liczba miesiac]],20)</f>
        <v>4</v>
      </c>
      <c r="G545" s="11">
        <f>VLOOKUP(punkt_szczepień__13[[#This Row],[liczba miesiac]]-punkt_szczepień__13[[#This Row],[miesiac]],$O$3:$P$7,2,0)+VALUE(LEFT(punkt_szczepień__13[[#This Row],[PESEL]],2))</f>
        <v>1974</v>
      </c>
      <c r="H545" s="11">
        <f>VALUE(RIGHT(LEFT(punkt_szczepień__13[[#This Row],[PESEL]],6),2))</f>
        <v>6</v>
      </c>
      <c r="I545" s="3">
        <f>DATE(punkt_szczepień__13[[#This Row],[rok]],punkt_szczepień__13[[#This Row],[miesiac]],punkt_szczepień__13[[#This Row],[dzień]])</f>
        <v>27125</v>
      </c>
      <c r="J545" s="1" t="str">
        <f>punkt_szczepień__13[[#This Row],[PESEL]]</f>
        <v>74040628254</v>
      </c>
      <c r="K545" s="1">
        <f>VALUE(MID(punkt_szczepień__13[[#This Row],[PESEL]],10,1))</f>
        <v>5</v>
      </c>
      <c r="L545" s="11" t="str">
        <f>IF(MOD(punkt_szczepień__13[[#This Row],[liczba płeć]],2)=0,"K","M")</f>
        <v>M</v>
      </c>
      <c r="M545" s="1"/>
      <c r="N545" s="1"/>
    </row>
    <row r="546" spans="1:14" x14ac:dyDescent="0.25">
      <c r="A546" s="1" t="s">
        <v>552</v>
      </c>
      <c r="B546" s="1" t="s">
        <v>7</v>
      </c>
      <c r="C546" s="2">
        <v>0.54253472222222221</v>
      </c>
      <c r="D546">
        <v>1</v>
      </c>
      <c r="E546">
        <f>VALUE(RIGHT(LEFT(punkt_szczepień__13[[#This Row],[PESEL]],4),2))</f>
        <v>8</v>
      </c>
      <c r="F546" s="11">
        <f>MOD(punkt_szczepień__13[[#This Row],[liczba miesiac]],20)</f>
        <v>8</v>
      </c>
      <c r="G546" s="11">
        <f>VLOOKUP(punkt_szczepień__13[[#This Row],[liczba miesiac]]-punkt_szczepień__13[[#This Row],[miesiac]],$O$3:$P$7,2,0)+VALUE(LEFT(punkt_szczepień__13[[#This Row],[PESEL]],2))</f>
        <v>1987</v>
      </c>
      <c r="H546" s="11">
        <f>VALUE(RIGHT(LEFT(punkt_szczepień__13[[#This Row],[PESEL]],6),2))</f>
        <v>7</v>
      </c>
      <c r="I546" s="3">
        <f>DATE(punkt_szczepień__13[[#This Row],[rok]],punkt_szczepień__13[[#This Row],[miesiac]],punkt_szczepień__13[[#This Row],[dzień]])</f>
        <v>31996</v>
      </c>
      <c r="J546" s="1" t="str">
        <f>punkt_szczepień__13[[#This Row],[PESEL]]</f>
        <v>87080722396</v>
      </c>
      <c r="K546" s="1">
        <f>VALUE(MID(punkt_szczepień__13[[#This Row],[PESEL]],10,1))</f>
        <v>9</v>
      </c>
      <c r="L546" s="11" t="str">
        <f>IF(MOD(punkt_szczepień__13[[#This Row],[liczba płeć]],2)=0,"K","M")</f>
        <v>M</v>
      </c>
      <c r="M546" s="1"/>
      <c r="N546" s="1"/>
    </row>
    <row r="547" spans="1:14" x14ac:dyDescent="0.25">
      <c r="A547" s="1" t="s">
        <v>553</v>
      </c>
      <c r="B547" s="1" t="s">
        <v>7</v>
      </c>
      <c r="C547" s="2">
        <v>0.54282407407407407</v>
      </c>
      <c r="D547">
        <v>1</v>
      </c>
      <c r="E547">
        <f>VALUE(RIGHT(LEFT(punkt_szczepień__13[[#This Row],[PESEL]],4),2))</f>
        <v>9</v>
      </c>
      <c r="F547" s="11">
        <f>MOD(punkt_szczepień__13[[#This Row],[liczba miesiac]],20)</f>
        <v>9</v>
      </c>
      <c r="G547" s="11">
        <f>VLOOKUP(punkt_szczepień__13[[#This Row],[liczba miesiac]]-punkt_szczepień__13[[#This Row],[miesiac]],$O$3:$P$7,2,0)+VALUE(LEFT(punkt_szczepień__13[[#This Row],[PESEL]],2))</f>
        <v>1931</v>
      </c>
      <c r="H547" s="11">
        <f>VALUE(RIGHT(LEFT(punkt_szczepień__13[[#This Row],[PESEL]],6),2))</f>
        <v>5</v>
      </c>
      <c r="I547" s="3">
        <f>DATE(punkt_szczepień__13[[#This Row],[rok]],punkt_szczepień__13[[#This Row],[miesiac]],punkt_szczepień__13[[#This Row],[dzień]])</f>
        <v>11571</v>
      </c>
      <c r="J547" s="1" t="str">
        <f>punkt_szczepień__13[[#This Row],[PESEL]]</f>
        <v>31090559989</v>
      </c>
      <c r="K547" s="1">
        <f>VALUE(MID(punkt_szczepień__13[[#This Row],[PESEL]],10,1))</f>
        <v>8</v>
      </c>
      <c r="L547" s="11" t="str">
        <f>IF(MOD(punkt_szczepień__13[[#This Row],[liczba płeć]],2)=0,"K","M")</f>
        <v>K</v>
      </c>
      <c r="M547" s="1"/>
      <c r="N547" s="1"/>
    </row>
    <row r="548" spans="1:14" x14ac:dyDescent="0.25">
      <c r="A548" s="1" t="s">
        <v>554</v>
      </c>
      <c r="B548" s="1" t="s">
        <v>5</v>
      </c>
      <c r="C548" s="2">
        <v>0.54340277777777779</v>
      </c>
      <c r="D548">
        <v>2</v>
      </c>
      <c r="E548">
        <f>VALUE(RIGHT(LEFT(punkt_szczepień__13[[#This Row],[PESEL]],4),2))</f>
        <v>2</v>
      </c>
      <c r="F548" s="11">
        <f>MOD(punkt_szczepień__13[[#This Row],[liczba miesiac]],20)</f>
        <v>2</v>
      </c>
      <c r="G548" s="11">
        <f>VLOOKUP(punkt_szczepień__13[[#This Row],[liczba miesiac]]-punkt_szczepień__13[[#This Row],[miesiac]],$O$3:$P$7,2,0)+VALUE(LEFT(punkt_szczepień__13[[#This Row],[PESEL]],2))</f>
        <v>1946</v>
      </c>
      <c r="H548" s="11">
        <f>VALUE(RIGHT(LEFT(punkt_szczepień__13[[#This Row],[PESEL]],6),2))</f>
        <v>26</v>
      </c>
      <c r="I548" s="3">
        <f>DATE(punkt_szczepień__13[[#This Row],[rok]],punkt_szczepień__13[[#This Row],[miesiac]],punkt_szczepień__13[[#This Row],[dzień]])</f>
        <v>16859</v>
      </c>
      <c r="J548" s="1" t="str">
        <f>punkt_szczepień__13[[#This Row],[PESEL]]</f>
        <v>46022655284</v>
      </c>
      <c r="K548" s="1">
        <f>VALUE(MID(punkt_szczepień__13[[#This Row],[PESEL]],10,1))</f>
        <v>8</v>
      </c>
      <c r="L548" s="11" t="str">
        <f>IF(MOD(punkt_szczepień__13[[#This Row],[liczba płeć]],2)=0,"K","M")</f>
        <v>K</v>
      </c>
      <c r="M548" s="1"/>
      <c r="N548" s="1"/>
    </row>
    <row r="549" spans="1:14" x14ac:dyDescent="0.25">
      <c r="A549" s="1" t="s">
        <v>555</v>
      </c>
      <c r="B549" s="1" t="s">
        <v>9</v>
      </c>
      <c r="C549" s="2">
        <v>0.54398148148148151</v>
      </c>
      <c r="D549">
        <v>2</v>
      </c>
      <c r="E549">
        <f>VALUE(RIGHT(LEFT(punkt_szczepień__13[[#This Row],[PESEL]],4),2))</f>
        <v>1</v>
      </c>
      <c r="F549" s="11">
        <f>MOD(punkt_szczepień__13[[#This Row],[liczba miesiac]],20)</f>
        <v>1</v>
      </c>
      <c r="G549" s="11">
        <f>VLOOKUP(punkt_szczepień__13[[#This Row],[liczba miesiac]]-punkt_szczepień__13[[#This Row],[miesiac]],$O$3:$P$7,2,0)+VALUE(LEFT(punkt_szczepień__13[[#This Row],[PESEL]],2))</f>
        <v>1958</v>
      </c>
      <c r="H549" s="11">
        <f>VALUE(RIGHT(LEFT(punkt_szczepień__13[[#This Row],[PESEL]],6),2))</f>
        <v>27</v>
      </c>
      <c r="I549" s="3">
        <f>DATE(punkt_szczepień__13[[#This Row],[rok]],punkt_szczepień__13[[#This Row],[miesiac]],punkt_szczepień__13[[#This Row],[dzień]])</f>
        <v>21212</v>
      </c>
      <c r="J549" s="1" t="str">
        <f>punkt_szczepień__13[[#This Row],[PESEL]]</f>
        <v>58012774837</v>
      </c>
      <c r="K549" s="1">
        <f>VALUE(MID(punkt_szczepień__13[[#This Row],[PESEL]],10,1))</f>
        <v>3</v>
      </c>
      <c r="L549" s="11" t="str">
        <f>IF(MOD(punkt_szczepień__13[[#This Row],[liczba płeć]],2)=0,"K","M")</f>
        <v>M</v>
      </c>
      <c r="M549" s="1"/>
      <c r="N549" s="1"/>
    </row>
    <row r="550" spans="1:14" x14ac:dyDescent="0.25">
      <c r="A550" s="1" t="s">
        <v>556</v>
      </c>
      <c r="B550" s="1" t="s">
        <v>9</v>
      </c>
      <c r="C550" s="2">
        <v>0.54427083333333337</v>
      </c>
      <c r="D550">
        <v>1</v>
      </c>
      <c r="E550">
        <f>VALUE(RIGHT(LEFT(punkt_szczepień__13[[#This Row],[PESEL]],4),2))</f>
        <v>11</v>
      </c>
      <c r="F550" s="11">
        <f>MOD(punkt_szczepień__13[[#This Row],[liczba miesiac]],20)</f>
        <v>11</v>
      </c>
      <c r="G550" s="11">
        <f>VLOOKUP(punkt_szczepień__13[[#This Row],[liczba miesiac]]-punkt_szczepień__13[[#This Row],[miesiac]],$O$3:$P$7,2,0)+VALUE(LEFT(punkt_szczepień__13[[#This Row],[PESEL]],2))</f>
        <v>1945</v>
      </c>
      <c r="H550" s="11">
        <f>VALUE(RIGHT(LEFT(punkt_szczepień__13[[#This Row],[PESEL]],6),2))</f>
        <v>23</v>
      </c>
      <c r="I550" s="3">
        <f>DATE(punkt_szczepień__13[[#This Row],[rok]],punkt_szczepień__13[[#This Row],[miesiac]],punkt_szczepień__13[[#This Row],[dzień]])</f>
        <v>16764</v>
      </c>
      <c r="J550" s="1" t="str">
        <f>punkt_szczepień__13[[#This Row],[PESEL]]</f>
        <v>45112319471</v>
      </c>
      <c r="K550" s="1">
        <f>VALUE(MID(punkt_szczepień__13[[#This Row],[PESEL]],10,1))</f>
        <v>7</v>
      </c>
      <c r="L550" s="11" t="str">
        <f>IF(MOD(punkt_szczepień__13[[#This Row],[liczba płeć]],2)=0,"K","M")</f>
        <v>M</v>
      </c>
      <c r="M550" s="1"/>
      <c r="N550" s="1"/>
    </row>
    <row r="551" spans="1:14" x14ac:dyDescent="0.25">
      <c r="A551" s="1" t="s">
        <v>557</v>
      </c>
      <c r="B551" s="1" t="s">
        <v>7</v>
      </c>
      <c r="C551" s="2">
        <v>0.54456018518518523</v>
      </c>
      <c r="D551">
        <v>1</v>
      </c>
      <c r="E551">
        <f>VALUE(RIGHT(LEFT(punkt_szczepień__13[[#This Row],[PESEL]],4),2))</f>
        <v>3</v>
      </c>
      <c r="F551" s="11">
        <f>MOD(punkt_szczepień__13[[#This Row],[liczba miesiac]],20)</f>
        <v>3</v>
      </c>
      <c r="G551" s="11">
        <f>VLOOKUP(punkt_szczepień__13[[#This Row],[liczba miesiac]]-punkt_szczepień__13[[#This Row],[miesiac]],$O$3:$P$7,2,0)+VALUE(LEFT(punkt_szczepień__13[[#This Row],[PESEL]],2))</f>
        <v>1923</v>
      </c>
      <c r="H551" s="11">
        <f>VALUE(RIGHT(LEFT(punkt_szczepień__13[[#This Row],[PESEL]],6),2))</f>
        <v>4</v>
      </c>
      <c r="I551" s="3">
        <f>DATE(punkt_szczepień__13[[#This Row],[rok]],punkt_szczepień__13[[#This Row],[miesiac]],punkt_szczepień__13[[#This Row],[dzień]])</f>
        <v>8464</v>
      </c>
      <c r="J551" s="1" t="str">
        <f>punkt_szczepień__13[[#This Row],[PESEL]]</f>
        <v>23030436562</v>
      </c>
      <c r="K551" s="1">
        <f>VALUE(MID(punkt_szczepień__13[[#This Row],[PESEL]],10,1))</f>
        <v>6</v>
      </c>
      <c r="L551" s="11" t="str">
        <f>IF(MOD(punkt_szczepień__13[[#This Row],[liczba płeć]],2)=0,"K","M")</f>
        <v>K</v>
      </c>
      <c r="M551" s="1"/>
      <c r="N551" s="1"/>
    </row>
    <row r="552" spans="1:14" x14ac:dyDescent="0.25">
      <c r="A552" s="1" t="s">
        <v>558</v>
      </c>
      <c r="B552" s="1" t="s">
        <v>9</v>
      </c>
      <c r="C552" s="2">
        <v>0.54513888888888884</v>
      </c>
      <c r="D552">
        <v>2</v>
      </c>
      <c r="E552">
        <f>VALUE(RIGHT(LEFT(punkt_szczepień__13[[#This Row],[PESEL]],4),2))</f>
        <v>1</v>
      </c>
      <c r="F552" s="11">
        <f>MOD(punkt_szczepień__13[[#This Row],[liczba miesiac]],20)</f>
        <v>1</v>
      </c>
      <c r="G552" s="11">
        <f>VLOOKUP(punkt_szczepień__13[[#This Row],[liczba miesiac]]-punkt_szczepień__13[[#This Row],[miesiac]],$O$3:$P$7,2,0)+VALUE(LEFT(punkt_szczepień__13[[#This Row],[PESEL]],2))</f>
        <v>1935</v>
      </c>
      <c r="H552" s="11">
        <f>VALUE(RIGHT(LEFT(punkt_szczepień__13[[#This Row],[PESEL]],6),2))</f>
        <v>27</v>
      </c>
      <c r="I552" s="3">
        <f>DATE(punkt_szczepień__13[[#This Row],[rok]],punkt_szczepień__13[[#This Row],[miesiac]],punkt_szczepień__13[[#This Row],[dzień]])</f>
        <v>12811</v>
      </c>
      <c r="J552" s="1" t="str">
        <f>punkt_szczepień__13[[#This Row],[PESEL]]</f>
        <v>35012796652</v>
      </c>
      <c r="K552" s="1">
        <f>VALUE(MID(punkt_szczepień__13[[#This Row],[PESEL]],10,1))</f>
        <v>5</v>
      </c>
      <c r="L552" s="11" t="str">
        <f>IF(MOD(punkt_szczepień__13[[#This Row],[liczba płeć]],2)=0,"K","M")</f>
        <v>M</v>
      </c>
      <c r="M552" s="1"/>
      <c r="N552" s="1"/>
    </row>
    <row r="553" spans="1:14" x14ac:dyDescent="0.25">
      <c r="A553" s="1" t="s">
        <v>559</v>
      </c>
      <c r="B553" s="1" t="s">
        <v>5</v>
      </c>
      <c r="C553" s="2">
        <v>0.5454282407407407</v>
      </c>
      <c r="D553">
        <v>1</v>
      </c>
      <c r="E553">
        <f>VALUE(RIGHT(LEFT(punkt_szczepień__13[[#This Row],[PESEL]],4),2))</f>
        <v>12</v>
      </c>
      <c r="F553" s="11">
        <f>MOD(punkt_szczepień__13[[#This Row],[liczba miesiac]],20)</f>
        <v>12</v>
      </c>
      <c r="G553" s="11">
        <f>VLOOKUP(punkt_szczepień__13[[#This Row],[liczba miesiac]]-punkt_szczepień__13[[#This Row],[miesiac]],$O$3:$P$7,2,0)+VALUE(LEFT(punkt_szczepień__13[[#This Row],[PESEL]],2))</f>
        <v>1986</v>
      </c>
      <c r="H553" s="11">
        <f>VALUE(RIGHT(LEFT(punkt_szczepień__13[[#This Row],[PESEL]],6),2))</f>
        <v>3</v>
      </c>
      <c r="I553" s="3">
        <f>DATE(punkt_szczepień__13[[#This Row],[rok]],punkt_szczepień__13[[#This Row],[miesiac]],punkt_szczepień__13[[#This Row],[dzień]])</f>
        <v>31749</v>
      </c>
      <c r="J553" s="1" t="str">
        <f>punkt_szczepień__13[[#This Row],[PESEL]]</f>
        <v>86120371859</v>
      </c>
      <c r="K553" s="1">
        <f>VALUE(MID(punkt_szczepień__13[[#This Row],[PESEL]],10,1))</f>
        <v>5</v>
      </c>
      <c r="L553" s="11" t="str">
        <f>IF(MOD(punkt_szczepień__13[[#This Row],[liczba płeć]],2)=0,"K","M")</f>
        <v>M</v>
      </c>
      <c r="M553" s="1"/>
      <c r="N553" s="1"/>
    </row>
    <row r="554" spans="1:14" x14ac:dyDescent="0.25">
      <c r="A554" s="1" t="s">
        <v>560</v>
      </c>
      <c r="B554" s="1" t="s">
        <v>5</v>
      </c>
      <c r="C554" s="2">
        <v>0.54600694444444442</v>
      </c>
      <c r="D554">
        <v>2</v>
      </c>
      <c r="E554">
        <f>VALUE(RIGHT(LEFT(punkt_szczepień__13[[#This Row],[PESEL]],4),2))</f>
        <v>30</v>
      </c>
      <c r="F554" s="11">
        <f>MOD(punkt_szczepień__13[[#This Row],[liczba miesiac]],20)</f>
        <v>10</v>
      </c>
      <c r="G554" s="11">
        <f>VLOOKUP(punkt_szczepień__13[[#This Row],[liczba miesiac]]-punkt_szczepień__13[[#This Row],[miesiac]],$O$3:$P$7,2,0)+VALUE(LEFT(punkt_szczepień__13[[#This Row],[PESEL]],2))</f>
        <v>2002</v>
      </c>
      <c r="H554" s="11">
        <f>VALUE(RIGHT(LEFT(punkt_szczepień__13[[#This Row],[PESEL]],6),2))</f>
        <v>10</v>
      </c>
      <c r="I554" s="3">
        <f>DATE(punkt_szczepień__13[[#This Row],[rok]],punkt_szczepień__13[[#This Row],[miesiac]],punkt_szczepień__13[[#This Row],[dzień]])</f>
        <v>37539</v>
      </c>
      <c r="J554" s="1" t="str">
        <f>punkt_szczepień__13[[#This Row],[PESEL]]</f>
        <v>02301066266</v>
      </c>
      <c r="K554" s="1">
        <f>VALUE(MID(punkt_szczepień__13[[#This Row],[PESEL]],10,1))</f>
        <v>6</v>
      </c>
      <c r="L554" s="11" t="str">
        <f>IF(MOD(punkt_szczepień__13[[#This Row],[liczba płeć]],2)=0,"K","M")</f>
        <v>K</v>
      </c>
      <c r="M554" s="1"/>
      <c r="N554" s="1"/>
    </row>
    <row r="555" spans="1:14" x14ac:dyDescent="0.25">
      <c r="A555" s="1" t="s">
        <v>561</v>
      </c>
      <c r="B555" s="1" t="s">
        <v>27</v>
      </c>
      <c r="C555" s="2">
        <v>0.54658564814814814</v>
      </c>
      <c r="D555">
        <v>2</v>
      </c>
      <c r="E555">
        <f>VALUE(RIGHT(LEFT(punkt_szczepień__13[[#This Row],[PESEL]],4),2))</f>
        <v>3</v>
      </c>
      <c r="F555" s="11">
        <f>MOD(punkt_szczepień__13[[#This Row],[liczba miesiac]],20)</f>
        <v>3</v>
      </c>
      <c r="G555" s="11">
        <f>VLOOKUP(punkt_szczepień__13[[#This Row],[liczba miesiac]]-punkt_szczepień__13[[#This Row],[miesiac]],$O$3:$P$7,2,0)+VALUE(LEFT(punkt_szczepień__13[[#This Row],[PESEL]],2))</f>
        <v>1975</v>
      </c>
      <c r="H555" s="11">
        <f>VALUE(RIGHT(LEFT(punkt_szczepień__13[[#This Row],[PESEL]],6),2))</f>
        <v>15</v>
      </c>
      <c r="I555" s="3">
        <f>DATE(punkt_szczepień__13[[#This Row],[rok]],punkt_szczepień__13[[#This Row],[miesiac]],punkt_szczepień__13[[#This Row],[dzień]])</f>
        <v>27468</v>
      </c>
      <c r="J555" s="1" t="str">
        <f>punkt_szczepień__13[[#This Row],[PESEL]]</f>
        <v>75031568995</v>
      </c>
      <c r="K555" s="1">
        <f>VALUE(MID(punkt_szczepień__13[[#This Row],[PESEL]],10,1))</f>
        <v>9</v>
      </c>
      <c r="L555" s="11" t="str">
        <f>IF(MOD(punkt_szczepień__13[[#This Row],[liczba płeć]],2)=0,"K","M")</f>
        <v>M</v>
      </c>
      <c r="M555" s="1"/>
      <c r="N555" s="1"/>
    </row>
    <row r="556" spans="1:14" x14ac:dyDescent="0.25">
      <c r="A556" s="1" t="s">
        <v>562</v>
      </c>
      <c r="B556" s="1" t="s">
        <v>7</v>
      </c>
      <c r="C556" s="2">
        <v>0.546875</v>
      </c>
      <c r="D556">
        <v>1</v>
      </c>
      <c r="E556">
        <f>VALUE(RIGHT(LEFT(punkt_szczepień__13[[#This Row],[PESEL]],4),2))</f>
        <v>2</v>
      </c>
      <c r="F556" s="11">
        <f>MOD(punkt_szczepień__13[[#This Row],[liczba miesiac]],20)</f>
        <v>2</v>
      </c>
      <c r="G556" s="11">
        <f>VLOOKUP(punkt_szczepień__13[[#This Row],[liczba miesiac]]-punkt_szczepień__13[[#This Row],[miesiac]],$O$3:$P$7,2,0)+VALUE(LEFT(punkt_szczepień__13[[#This Row],[PESEL]],2))</f>
        <v>1974</v>
      </c>
      <c r="H556" s="11">
        <f>VALUE(RIGHT(LEFT(punkt_szczepień__13[[#This Row],[PESEL]],6),2))</f>
        <v>20</v>
      </c>
      <c r="I556" s="3">
        <f>DATE(punkt_szczepień__13[[#This Row],[rok]],punkt_szczepień__13[[#This Row],[miesiac]],punkt_szczepień__13[[#This Row],[dzień]])</f>
        <v>27080</v>
      </c>
      <c r="J556" s="1" t="str">
        <f>punkt_szczepień__13[[#This Row],[PESEL]]</f>
        <v>74022088997</v>
      </c>
      <c r="K556" s="1">
        <f>VALUE(MID(punkt_szczepień__13[[#This Row],[PESEL]],10,1))</f>
        <v>9</v>
      </c>
      <c r="L556" s="11" t="str">
        <f>IF(MOD(punkt_szczepień__13[[#This Row],[liczba płeć]],2)=0,"K","M")</f>
        <v>M</v>
      </c>
      <c r="M556" s="1"/>
      <c r="N556" s="1"/>
    </row>
    <row r="557" spans="1:14" x14ac:dyDescent="0.25">
      <c r="A557" s="1" t="s">
        <v>563</v>
      </c>
      <c r="B557" s="1" t="s">
        <v>7</v>
      </c>
      <c r="C557" s="2">
        <v>0.54716435185185186</v>
      </c>
      <c r="D557">
        <v>1</v>
      </c>
      <c r="E557">
        <f>VALUE(RIGHT(LEFT(punkt_szczepień__13[[#This Row],[PESEL]],4),2))</f>
        <v>27</v>
      </c>
      <c r="F557" s="11">
        <f>MOD(punkt_szczepień__13[[#This Row],[liczba miesiac]],20)</f>
        <v>7</v>
      </c>
      <c r="G557" s="11">
        <f>VLOOKUP(punkt_szczepień__13[[#This Row],[liczba miesiac]]-punkt_szczepień__13[[#This Row],[miesiac]],$O$3:$P$7,2,0)+VALUE(LEFT(punkt_szczepień__13[[#This Row],[PESEL]],2))</f>
        <v>2004</v>
      </c>
      <c r="H557" s="11">
        <f>VALUE(RIGHT(LEFT(punkt_szczepień__13[[#This Row],[PESEL]],6),2))</f>
        <v>29</v>
      </c>
      <c r="I557" s="3">
        <f>DATE(punkt_szczepień__13[[#This Row],[rok]],punkt_szczepień__13[[#This Row],[miesiac]],punkt_szczepień__13[[#This Row],[dzień]])</f>
        <v>38197</v>
      </c>
      <c r="J557" s="1" t="str">
        <f>punkt_szczepień__13[[#This Row],[PESEL]]</f>
        <v>04272952573</v>
      </c>
      <c r="K557" s="1">
        <f>VALUE(MID(punkt_szczepień__13[[#This Row],[PESEL]],10,1))</f>
        <v>7</v>
      </c>
      <c r="L557" s="11" t="str">
        <f>IF(MOD(punkt_szczepień__13[[#This Row],[liczba płeć]],2)=0,"K","M")</f>
        <v>M</v>
      </c>
      <c r="M557" s="1"/>
      <c r="N557" s="1"/>
    </row>
    <row r="558" spans="1:14" x14ac:dyDescent="0.25">
      <c r="A558" s="1" t="s">
        <v>564</v>
      </c>
      <c r="B558" s="1" t="s">
        <v>27</v>
      </c>
      <c r="C558" s="2">
        <v>0.54774305555555558</v>
      </c>
      <c r="D558">
        <v>2</v>
      </c>
      <c r="E558">
        <f>VALUE(RIGHT(LEFT(punkt_szczepień__13[[#This Row],[PESEL]],4),2))</f>
        <v>6</v>
      </c>
      <c r="F558" s="11">
        <f>MOD(punkt_szczepień__13[[#This Row],[liczba miesiac]],20)</f>
        <v>6</v>
      </c>
      <c r="G558" s="11">
        <f>VLOOKUP(punkt_szczepień__13[[#This Row],[liczba miesiac]]-punkt_szczepień__13[[#This Row],[miesiac]],$O$3:$P$7,2,0)+VALUE(LEFT(punkt_szczepień__13[[#This Row],[PESEL]],2))</f>
        <v>1995</v>
      </c>
      <c r="H558" s="11">
        <f>VALUE(RIGHT(LEFT(punkt_szczepień__13[[#This Row],[PESEL]],6),2))</f>
        <v>21</v>
      </c>
      <c r="I558" s="3">
        <f>DATE(punkt_szczepień__13[[#This Row],[rok]],punkt_szczepień__13[[#This Row],[miesiac]],punkt_szczepień__13[[#This Row],[dzień]])</f>
        <v>34871</v>
      </c>
      <c r="J558" s="1" t="str">
        <f>punkt_szczepień__13[[#This Row],[PESEL]]</f>
        <v>95062121776</v>
      </c>
      <c r="K558" s="1">
        <f>VALUE(MID(punkt_szczepień__13[[#This Row],[PESEL]],10,1))</f>
        <v>7</v>
      </c>
      <c r="L558" s="11" t="str">
        <f>IF(MOD(punkt_szczepień__13[[#This Row],[liczba płeć]],2)=0,"K","M")</f>
        <v>M</v>
      </c>
      <c r="M558" s="1"/>
      <c r="N558" s="1"/>
    </row>
    <row r="559" spans="1:14" x14ac:dyDescent="0.25">
      <c r="A559" s="1" t="s">
        <v>565</v>
      </c>
      <c r="B559" s="1" t="s">
        <v>7</v>
      </c>
      <c r="C559" s="2">
        <v>0.54803240740740744</v>
      </c>
      <c r="D559">
        <v>1</v>
      </c>
      <c r="E559">
        <f>VALUE(RIGHT(LEFT(punkt_szczepień__13[[#This Row],[PESEL]],4),2))</f>
        <v>2</v>
      </c>
      <c r="F559" s="11">
        <f>MOD(punkt_szczepień__13[[#This Row],[liczba miesiac]],20)</f>
        <v>2</v>
      </c>
      <c r="G559" s="11">
        <f>VLOOKUP(punkt_szczepień__13[[#This Row],[liczba miesiac]]-punkt_szczepień__13[[#This Row],[miesiac]],$O$3:$P$7,2,0)+VALUE(LEFT(punkt_szczepień__13[[#This Row],[PESEL]],2))</f>
        <v>1948</v>
      </c>
      <c r="H559" s="11">
        <f>VALUE(RIGHT(LEFT(punkt_szczepień__13[[#This Row],[PESEL]],6),2))</f>
        <v>13</v>
      </c>
      <c r="I559" s="3">
        <f>DATE(punkt_szczepień__13[[#This Row],[rok]],punkt_szczepień__13[[#This Row],[miesiac]],punkt_szczepień__13[[#This Row],[dzień]])</f>
        <v>17576</v>
      </c>
      <c r="J559" s="1" t="str">
        <f>punkt_szczepień__13[[#This Row],[PESEL]]</f>
        <v>48021366534</v>
      </c>
      <c r="K559" s="1">
        <f>VALUE(MID(punkt_szczepień__13[[#This Row],[PESEL]],10,1))</f>
        <v>3</v>
      </c>
      <c r="L559" s="11" t="str">
        <f>IF(MOD(punkt_szczepień__13[[#This Row],[liczba płeć]],2)=0,"K","M")</f>
        <v>M</v>
      </c>
      <c r="M559" s="1"/>
      <c r="N559" s="1"/>
    </row>
    <row r="560" spans="1:14" x14ac:dyDescent="0.25">
      <c r="A560" s="1" t="s">
        <v>566</v>
      </c>
      <c r="B560" s="1" t="s">
        <v>5</v>
      </c>
      <c r="C560" s="2">
        <v>0.5483217592592593</v>
      </c>
      <c r="D560">
        <v>1</v>
      </c>
      <c r="E560">
        <f>VALUE(RIGHT(LEFT(punkt_szczepień__13[[#This Row],[PESEL]],4),2))</f>
        <v>32</v>
      </c>
      <c r="F560" s="11">
        <f>MOD(punkt_szczepień__13[[#This Row],[liczba miesiac]],20)</f>
        <v>12</v>
      </c>
      <c r="G560" s="11">
        <f>VLOOKUP(punkt_szczepień__13[[#This Row],[liczba miesiac]]-punkt_szczepień__13[[#This Row],[miesiac]],$O$3:$P$7,2,0)+VALUE(LEFT(punkt_szczepień__13[[#This Row],[PESEL]],2))</f>
        <v>2005</v>
      </c>
      <c r="H560" s="11">
        <f>VALUE(RIGHT(LEFT(punkt_szczepień__13[[#This Row],[PESEL]],6),2))</f>
        <v>8</v>
      </c>
      <c r="I560" s="3">
        <f>DATE(punkt_szczepień__13[[#This Row],[rok]],punkt_szczepień__13[[#This Row],[miesiac]],punkt_szczepień__13[[#This Row],[dzień]])</f>
        <v>38694</v>
      </c>
      <c r="J560" s="1" t="str">
        <f>punkt_szczepień__13[[#This Row],[PESEL]]</f>
        <v>05320823322</v>
      </c>
      <c r="K560" s="1">
        <f>VALUE(MID(punkt_szczepień__13[[#This Row],[PESEL]],10,1))</f>
        <v>2</v>
      </c>
      <c r="L560" s="11" t="str">
        <f>IF(MOD(punkt_szczepień__13[[#This Row],[liczba płeć]],2)=0,"K","M")</f>
        <v>K</v>
      </c>
      <c r="M560" s="1"/>
      <c r="N560" s="1"/>
    </row>
    <row r="561" spans="1:14" x14ac:dyDescent="0.25">
      <c r="A561" s="1" t="s">
        <v>567</v>
      </c>
      <c r="B561" s="1" t="s">
        <v>9</v>
      </c>
      <c r="C561" s="2">
        <v>0.54890046296296291</v>
      </c>
      <c r="D561">
        <v>2</v>
      </c>
      <c r="E561">
        <f>VALUE(RIGHT(LEFT(punkt_szczepień__13[[#This Row],[PESEL]],4),2))</f>
        <v>4</v>
      </c>
      <c r="F561" s="11">
        <f>MOD(punkt_szczepień__13[[#This Row],[liczba miesiac]],20)</f>
        <v>4</v>
      </c>
      <c r="G561" s="11">
        <f>VLOOKUP(punkt_szczepień__13[[#This Row],[liczba miesiac]]-punkt_szczepień__13[[#This Row],[miesiac]],$O$3:$P$7,2,0)+VALUE(LEFT(punkt_szczepień__13[[#This Row],[PESEL]],2))</f>
        <v>1987</v>
      </c>
      <c r="H561" s="11">
        <f>VALUE(RIGHT(LEFT(punkt_szczepień__13[[#This Row],[PESEL]],6),2))</f>
        <v>12</v>
      </c>
      <c r="I561" s="3">
        <f>DATE(punkt_szczepień__13[[#This Row],[rok]],punkt_szczepień__13[[#This Row],[miesiac]],punkt_szczepień__13[[#This Row],[dzień]])</f>
        <v>31879</v>
      </c>
      <c r="J561" s="1" t="str">
        <f>punkt_szczepień__13[[#This Row],[PESEL]]</f>
        <v>87041224268</v>
      </c>
      <c r="K561" s="1">
        <f>VALUE(MID(punkt_szczepień__13[[#This Row],[PESEL]],10,1))</f>
        <v>6</v>
      </c>
      <c r="L561" s="11" t="str">
        <f>IF(MOD(punkt_szczepień__13[[#This Row],[liczba płeć]],2)=0,"K","M")</f>
        <v>K</v>
      </c>
      <c r="M561" s="1"/>
      <c r="N561" s="1"/>
    </row>
    <row r="562" spans="1:14" x14ac:dyDescent="0.25">
      <c r="A562" s="1" t="s">
        <v>568</v>
      </c>
      <c r="B562" s="1" t="s">
        <v>7</v>
      </c>
      <c r="C562" s="2">
        <v>0.54918981481481477</v>
      </c>
      <c r="D562">
        <v>1</v>
      </c>
      <c r="E562">
        <f>VALUE(RIGHT(LEFT(punkt_szczepień__13[[#This Row],[PESEL]],4),2))</f>
        <v>21</v>
      </c>
      <c r="F562" s="11">
        <f>MOD(punkt_szczepień__13[[#This Row],[liczba miesiac]],20)</f>
        <v>1</v>
      </c>
      <c r="G562" s="11">
        <f>VLOOKUP(punkt_szczepień__13[[#This Row],[liczba miesiac]]-punkt_szczepień__13[[#This Row],[miesiac]],$O$3:$P$7,2,0)+VALUE(LEFT(punkt_szczepień__13[[#This Row],[PESEL]],2))</f>
        <v>2008</v>
      </c>
      <c r="H562" s="11">
        <f>VALUE(RIGHT(LEFT(punkt_szczepień__13[[#This Row],[PESEL]],6),2))</f>
        <v>12</v>
      </c>
      <c r="I562" s="3">
        <f>DATE(punkt_szczepień__13[[#This Row],[rok]],punkt_szczepień__13[[#This Row],[miesiac]],punkt_szczepień__13[[#This Row],[dzień]])</f>
        <v>39459</v>
      </c>
      <c r="J562" s="1" t="str">
        <f>punkt_szczepień__13[[#This Row],[PESEL]]</f>
        <v>08211236469</v>
      </c>
      <c r="K562" s="1">
        <f>VALUE(MID(punkt_szczepień__13[[#This Row],[PESEL]],10,1))</f>
        <v>6</v>
      </c>
      <c r="L562" s="11" t="str">
        <f>IF(MOD(punkt_szczepień__13[[#This Row],[liczba płeć]],2)=0,"K","M")</f>
        <v>K</v>
      </c>
      <c r="M562" s="1"/>
      <c r="N562" s="1"/>
    </row>
    <row r="563" spans="1:14" x14ac:dyDescent="0.25">
      <c r="A563" s="1" t="s">
        <v>569</v>
      </c>
      <c r="B563" s="1" t="s">
        <v>9</v>
      </c>
      <c r="C563" s="2">
        <v>0.54976851851851849</v>
      </c>
      <c r="D563">
        <v>2</v>
      </c>
      <c r="E563">
        <f>VALUE(RIGHT(LEFT(punkt_szczepień__13[[#This Row],[PESEL]],4),2))</f>
        <v>4</v>
      </c>
      <c r="F563" s="11">
        <f>MOD(punkt_szczepień__13[[#This Row],[liczba miesiac]],20)</f>
        <v>4</v>
      </c>
      <c r="G563" s="11">
        <f>VLOOKUP(punkt_szczepień__13[[#This Row],[liczba miesiac]]-punkt_szczepień__13[[#This Row],[miesiac]],$O$3:$P$7,2,0)+VALUE(LEFT(punkt_szczepień__13[[#This Row],[PESEL]],2))</f>
        <v>1994</v>
      </c>
      <c r="H563" s="11">
        <f>VALUE(RIGHT(LEFT(punkt_szczepień__13[[#This Row],[PESEL]],6),2))</f>
        <v>17</v>
      </c>
      <c r="I563" s="3">
        <f>DATE(punkt_szczepień__13[[#This Row],[rok]],punkt_szczepień__13[[#This Row],[miesiac]],punkt_szczepień__13[[#This Row],[dzień]])</f>
        <v>34441</v>
      </c>
      <c r="J563" s="1" t="str">
        <f>punkt_szczepień__13[[#This Row],[PESEL]]</f>
        <v>94041771362</v>
      </c>
      <c r="K563" s="1">
        <f>VALUE(MID(punkt_szczepień__13[[#This Row],[PESEL]],10,1))</f>
        <v>6</v>
      </c>
      <c r="L563" s="11" t="str">
        <f>IF(MOD(punkt_szczepień__13[[#This Row],[liczba płeć]],2)=0,"K","M")</f>
        <v>K</v>
      </c>
      <c r="M563" s="1"/>
      <c r="N563" s="1"/>
    </row>
    <row r="564" spans="1:14" x14ac:dyDescent="0.25">
      <c r="A564" s="1" t="s">
        <v>570</v>
      </c>
      <c r="B564" s="1" t="s">
        <v>5</v>
      </c>
      <c r="C564" s="2">
        <v>0.55005787037037035</v>
      </c>
      <c r="D564">
        <v>1</v>
      </c>
      <c r="E564">
        <f>VALUE(RIGHT(LEFT(punkt_szczepień__13[[#This Row],[PESEL]],4),2))</f>
        <v>28</v>
      </c>
      <c r="F564" s="11">
        <f>MOD(punkt_szczepień__13[[#This Row],[liczba miesiac]],20)</f>
        <v>8</v>
      </c>
      <c r="G564" s="11">
        <f>VLOOKUP(punkt_szczepień__13[[#This Row],[liczba miesiac]]-punkt_szczepień__13[[#This Row],[miesiac]],$O$3:$P$7,2,0)+VALUE(LEFT(punkt_szczepień__13[[#This Row],[PESEL]],2))</f>
        <v>2008</v>
      </c>
      <c r="H564" s="11">
        <f>VALUE(RIGHT(LEFT(punkt_szczepień__13[[#This Row],[PESEL]],6),2))</f>
        <v>5</v>
      </c>
      <c r="I564" s="3">
        <f>DATE(punkt_szczepień__13[[#This Row],[rok]],punkt_szczepień__13[[#This Row],[miesiac]],punkt_szczepień__13[[#This Row],[dzień]])</f>
        <v>39665</v>
      </c>
      <c r="J564" s="1" t="str">
        <f>punkt_szczepień__13[[#This Row],[PESEL]]</f>
        <v>08280523622</v>
      </c>
      <c r="K564" s="1">
        <f>VALUE(MID(punkt_szczepień__13[[#This Row],[PESEL]],10,1))</f>
        <v>2</v>
      </c>
      <c r="L564" s="11" t="str">
        <f>IF(MOD(punkt_szczepień__13[[#This Row],[liczba płeć]],2)=0,"K","M")</f>
        <v>K</v>
      </c>
      <c r="M564" s="1"/>
      <c r="N564" s="1"/>
    </row>
    <row r="565" spans="1:14" x14ac:dyDescent="0.25">
      <c r="A565" s="1" t="s">
        <v>571</v>
      </c>
      <c r="B565" s="1" t="s">
        <v>7</v>
      </c>
      <c r="C565" s="2">
        <v>0.55034722222222221</v>
      </c>
      <c r="D565">
        <v>1</v>
      </c>
      <c r="E565">
        <f>VALUE(RIGHT(LEFT(punkt_szczepień__13[[#This Row],[PESEL]],4),2))</f>
        <v>11</v>
      </c>
      <c r="F565" s="11">
        <f>MOD(punkt_szczepień__13[[#This Row],[liczba miesiac]],20)</f>
        <v>11</v>
      </c>
      <c r="G565" s="11">
        <f>VLOOKUP(punkt_szczepień__13[[#This Row],[liczba miesiac]]-punkt_szczepień__13[[#This Row],[miesiac]],$O$3:$P$7,2,0)+VALUE(LEFT(punkt_szczepień__13[[#This Row],[PESEL]],2))</f>
        <v>1928</v>
      </c>
      <c r="H565" s="11">
        <f>VALUE(RIGHT(LEFT(punkt_szczepień__13[[#This Row],[PESEL]],6),2))</f>
        <v>14</v>
      </c>
      <c r="I565" s="3">
        <f>DATE(punkt_szczepień__13[[#This Row],[rok]],punkt_szczepień__13[[#This Row],[miesiac]],punkt_szczepień__13[[#This Row],[dzień]])</f>
        <v>10546</v>
      </c>
      <c r="J565" s="1" t="str">
        <f>punkt_szczepień__13[[#This Row],[PESEL]]</f>
        <v>28111415492</v>
      </c>
      <c r="K565" s="1">
        <f>VALUE(MID(punkt_szczepień__13[[#This Row],[PESEL]],10,1))</f>
        <v>9</v>
      </c>
      <c r="L565" s="11" t="str">
        <f>IF(MOD(punkt_szczepień__13[[#This Row],[liczba płeć]],2)=0,"K","M")</f>
        <v>M</v>
      </c>
      <c r="M565" s="1"/>
      <c r="N565" s="1"/>
    </row>
    <row r="566" spans="1:14" x14ac:dyDescent="0.25">
      <c r="A566" s="1" t="s">
        <v>572</v>
      </c>
      <c r="B566" s="1" t="s">
        <v>9</v>
      </c>
      <c r="C566" s="2">
        <v>0.55092592592592593</v>
      </c>
      <c r="D566">
        <v>2</v>
      </c>
      <c r="E566">
        <f>VALUE(RIGHT(LEFT(punkt_szczepień__13[[#This Row],[PESEL]],4),2))</f>
        <v>3</v>
      </c>
      <c r="F566" s="11">
        <f>MOD(punkt_szczepień__13[[#This Row],[liczba miesiac]],20)</f>
        <v>3</v>
      </c>
      <c r="G566" s="11">
        <f>VLOOKUP(punkt_szczepień__13[[#This Row],[liczba miesiac]]-punkt_szczepień__13[[#This Row],[miesiac]],$O$3:$P$7,2,0)+VALUE(LEFT(punkt_szczepień__13[[#This Row],[PESEL]],2))</f>
        <v>1935</v>
      </c>
      <c r="H566" s="11">
        <f>VALUE(RIGHT(LEFT(punkt_szczepień__13[[#This Row],[PESEL]],6),2))</f>
        <v>8</v>
      </c>
      <c r="I566" s="3">
        <f>DATE(punkt_szczepień__13[[#This Row],[rok]],punkt_szczepień__13[[#This Row],[miesiac]],punkt_szczepień__13[[#This Row],[dzień]])</f>
        <v>12851</v>
      </c>
      <c r="J566" s="1" t="str">
        <f>punkt_szczepień__13[[#This Row],[PESEL]]</f>
        <v>35030859197</v>
      </c>
      <c r="K566" s="1">
        <f>VALUE(MID(punkt_szczepień__13[[#This Row],[PESEL]],10,1))</f>
        <v>9</v>
      </c>
      <c r="L566" s="11" t="str">
        <f>IF(MOD(punkt_szczepień__13[[#This Row],[liczba płeć]],2)=0,"K","M")</f>
        <v>M</v>
      </c>
      <c r="M566" s="1"/>
      <c r="N566" s="1"/>
    </row>
    <row r="567" spans="1:14" x14ac:dyDescent="0.25">
      <c r="A567" s="1" t="s">
        <v>573</v>
      </c>
      <c r="B567" s="1" t="s">
        <v>9</v>
      </c>
      <c r="C567" s="2">
        <v>0.55121527777777779</v>
      </c>
      <c r="D567">
        <v>1</v>
      </c>
      <c r="E567">
        <f>VALUE(RIGHT(LEFT(punkt_szczepień__13[[#This Row],[PESEL]],4),2))</f>
        <v>8</v>
      </c>
      <c r="F567" s="11">
        <f>MOD(punkt_szczepień__13[[#This Row],[liczba miesiac]],20)</f>
        <v>8</v>
      </c>
      <c r="G567" s="11">
        <f>VLOOKUP(punkt_szczepień__13[[#This Row],[liczba miesiac]]-punkt_szczepień__13[[#This Row],[miesiac]],$O$3:$P$7,2,0)+VALUE(LEFT(punkt_szczepień__13[[#This Row],[PESEL]],2))</f>
        <v>1992</v>
      </c>
      <c r="H567" s="11">
        <f>VALUE(RIGHT(LEFT(punkt_szczepień__13[[#This Row],[PESEL]],6),2))</f>
        <v>16</v>
      </c>
      <c r="I567" s="3">
        <f>DATE(punkt_szczepień__13[[#This Row],[rok]],punkt_szczepień__13[[#This Row],[miesiac]],punkt_szczepień__13[[#This Row],[dzień]])</f>
        <v>33832</v>
      </c>
      <c r="J567" s="1" t="str">
        <f>punkt_szczepień__13[[#This Row],[PESEL]]</f>
        <v>92081637192</v>
      </c>
      <c r="K567" s="1">
        <f>VALUE(MID(punkt_szczepień__13[[#This Row],[PESEL]],10,1))</f>
        <v>9</v>
      </c>
      <c r="L567" s="11" t="str">
        <f>IF(MOD(punkt_szczepień__13[[#This Row],[liczba płeć]],2)=0,"K","M")</f>
        <v>M</v>
      </c>
      <c r="M567" s="1"/>
      <c r="N567" s="1"/>
    </row>
    <row r="568" spans="1:14" x14ac:dyDescent="0.25">
      <c r="A568" s="1" t="s">
        <v>574</v>
      </c>
      <c r="B568" s="1" t="s">
        <v>9</v>
      </c>
      <c r="C568" s="2">
        <v>0.55179398148148151</v>
      </c>
      <c r="D568">
        <v>2</v>
      </c>
      <c r="E568">
        <f>VALUE(RIGHT(LEFT(punkt_szczepień__13[[#This Row],[PESEL]],4),2))</f>
        <v>2</v>
      </c>
      <c r="F568" s="11">
        <f>MOD(punkt_szczepień__13[[#This Row],[liczba miesiac]],20)</f>
        <v>2</v>
      </c>
      <c r="G568" s="11">
        <f>VLOOKUP(punkt_szczepień__13[[#This Row],[liczba miesiac]]-punkt_szczepień__13[[#This Row],[miesiac]],$O$3:$P$7,2,0)+VALUE(LEFT(punkt_szczepień__13[[#This Row],[PESEL]],2))</f>
        <v>1939</v>
      </c>
      <c r="H568" s="11">
        <f>VALUE(RIGHT(LEFT(punkt_szczepień__13[[#This Row],[PESEL]],6),2))</f>
        <v>19</v>
      </c>
      <c r="I568" s="3">
        <f>DATE(punkt_szczepień__13[[#This Row],[rok]],punkt_szczepień__13[[#This Row],[miesiac]],punkt_szczepień__13[[#This Row],[dzień]])</f>
        <v>14295</v>
      </c>
      <c r="J568" s="1" t="str">
        <f>punkt_szczepień__13[[#This Row],[PESEL]]</f>
        <v>39021949173</v>
      </c>
      <c r="K568" s="1">
        <f>VALUE(MID(punkt_szczepień__13[[#This Row],[PESEL]],10,1))</f>
        <v>7</v>
      </c>
      <c r="L568" s="11" t="str">
        <f>IF(MOD(punkt_szczepień__13[[#This Row],[liczba płeć]],2)=0,"K","M")</f>
        <v>M</v>
      </c>
      <c r="M568" s="1"/>
      <c r="N568" s="1"/>
    </row>
    <row r="569" spans="1:14" x14ac:dyDescent="0.25">
      <c r="A569" s="1" t="s">
        <v>575</v>
      </c>
      <c r="B569" s="1" t="s">
        <v>9</v>
      </c>
      <c r="C569" s="2">
        <v>0.55208333333333337</v>
      </c>
      <c r="D569">
        <v>1</v>
      </c>
      <c r="E569">
        <f>VALUE(RIGHT(LEFT(punkt_szczepień__13[[#This Row],[PESEL]],4),2))</f>
        <v>7</v>
      </c>
      <c r="F569" s="11">
        <f>MOD(punkt_szczepień__13[[#This Row],[liczba miesiac]],20)</f>
        <v>7</v>
      </c>
      <c r="G569" s="11">
        <f>VLOOKUP(punkt_szczepień__13[[#This Row],[liczba miesiac]]-punkt_szczepień__13[[#This Row],[miesiac]],$O$3:$P$7,2,0)+VALUE(LEFT(punkt_szczepień__13[[#This Row],[PESEL]],2))</f>
        <v>1980</v>
      </c>
      <c r="H569" s="11">
        <f>VALUE(RIGHT(LEFT(punkt_szczepień__13[[#This Row],[PESEL]],6),2))</f>
        <v>5</v>
      </c>
      <c r="I569" s="3">
        <f>DATE(punkt_szczepień__13[[#This Row],[rok]],punkt_szczepień__13[[#This Row],[miesiac]],punkt_szczepień__13[[#This Row],[dzień]])</f>
        <v>29407</v>
      </c>
      <c r="J569" s="1" t="str">
        <f>punkt_szczepień__13[[#This Row],[PESEL]]</f>
        <v>80070515514</v>
      </c>
      <c r="K569" s="1">
        <f>VALUE(MID(punkt_szczepień__13[[#This Row],[PESEL]],10,1))</f>
        <v>1</v>
      </c>
      <c r="L569" s="11" t="str">
        <f>IF(MOD(punkt_szczepień__13[[#This Row],[liczba płeć]],2)=0,"K","M")</f>
        <v>M</v>
      </c>
      <c r="M569" s="1"/>
      <c r="N569" s="1"/>
    </row>
    <row r="570" spans="1:14" x14ac:dyDescent="0.25">
      <c r="A570" s="1" t="s">
        <v>576</v>
      </c>
      <c r="B570" s="1" t="s">
        <v>27</v>
      </c>
      <c r="C570" s="2">
        <v>0.55237268518518523</v>
      </c>
      <c r="D570">
        <v>1</v>
      </c>
      <c r="E570">
        <f>VALUE(RIGHT(LEFT(punkt_szczepień__13[[#This Row],[PESEL]],4),2))</f>
        <v>9</v>
      </c>
      <c r="F570" s="11">
        <f>MOD(punkt_szczepień__13[[#This Row],[liczba miesiac]],20)</f>
        <v>9</v>
      </c>
      <c r="G570" s="11">
        <f>VLOOKUP(punkt_szczepień__13[[#This Row],[liczba miesiac]]-punkt_szczepień__13[[#This Row],[miesiac]],$O$3:$P$7,2,0)+VALUE(LEFT(punkt_szczepień__13[[#This Row],[PESEL]],2))</f>
        <v>1941</v>
      </c>
      <c r="H570" s="11">
        <f>VALUE(RIGHT(LEFT(punkt_szczepień__13[[#This Row],[PESEL]],6),2))</f>
        <v>3</v>
      </c>
      <c r="I570" s="3">
        <f>DATE(punkt_szczepień__13[[#This Row],[rok]],punkt_szczepień__13[[#This Row],[miesiac]],punkt_szczepień__13[[#This Row],[dzień]])</f>
        <v>15222</v>
      </c>
      <c r="J570" s="1" t="str">
        <f>punkt_szczepień__13[[#This Row],[PESEL]]</f>
        <v>41090343718</v>
      </c>
      <c r="K570" s="1">
        <f>VALUE(MID(punkt_szczepień__13[[#This Row],[PESEL]],10,1))</f>
        <v>1</v>
      </c>
      <c r="L570" s="11" t="str">
        <f>IF(MOD(punkt_szczepień__13[[#This Row],[liczba płeć]],2)=0,"K","M")</f>
        <v>M</v>
      </c>
      <c r="M570" s="1"/>
      <c r="N570" s="1"/>
    </row>
    <row r="571" spans="1:14" x14ac:dyDescent="0.25">
      <c r="A571" s="1" t="s">
        <v>577</v>
      </c>
      <c r="B571" s="1" t="s">
        <v>7</v>
      </c>
      <c r="C571" s="2">
        <v>0.55266203703703709</v>
      </c>
      <c r="D571">
        <v>1</v>
      </c>
      <c r="E571">
        <f>VALUE(RIGHT(LEFT(punkt_szczepień__13[[#This Row],[PESEL]],4),2))</f>
        <v>9</v>
      </c>
      <c r="F571" s="11">
        <f>MOD(punkt_szczepień__13[[#This Row],[liczba miesiac]],20)</f>
        <v>9</v>
      </c>
      <c r="G571" s="11">
        <f>VLOOKUP(punkt_szczepień__13[[#This Row],[liczba miesiac]]-punkt_szczepień__13[[#This Row],[miesiac]],$O$3:$P$7,2,0)+VALUE(LEFT(punkt_szczepień__13[[#This Row],[PESEL]],2))</f>
        <v>1962</v>
      </c>
      <c r="H571" s="11">
        <f>VALUE(RIGHT(LEFT(punkt_szczepień__13[[#This Row],[PESEL]],6),2))</f>
        <v>11</v>
      </c>
      <c r="I571" s="3">
        <f>DATE(punkt_szczepień__13[[#This Row],[rok]],punkt_szczepień__13[[#This Row],[miesiac]],punkt_szczepień__13[[#This Row],[dzień]])</f>
        <v>22900</v>
      </c>
      <c r="J571" s="1" t="str">
        <f>punkt_szczepień__13[[#This Row],[PESEL]]</f>
        <v>62091143985</v>
      </c>
      <c r="K571" s="1">
        <f>VALUE(MID(punkt_szczepień__13[[#This Row],[PESEL]],10,1))</f>
        <v>8</v>
      </c>
      <c r="L571" s="11" t="str">
        <f>IF(MOD(punkt_szczepień__13[[#This Row],[liczba płeć]],2)=0,"K","M")</f>
        <v>K</v>
      </c>
      <c r="M571" s="1"/>
      <c r="N571" s="1"/>
    </row>
    <row r="572" spans="1:14" x14ac:dyDescent="0.25">
      <c r="A572" s="1" t="s">
        <v>578</v>
      </c>
      <c r="B572" s="1" t="s">
        <v>7</v>
      </c>
      <c r="C572" s="2">
        <v>0.55295138888888884</v>
      </c>
      <c r="D572">
        <v>1</v>
      </c>
      <c r="E572">
        <f>VALUE(RIGHT(LEFT(punkt_szczepień__13[[#This Row],[PESEL]],4),2))</f>
        <v>3</v>
      </c>
      <c r="F572" s="11">
        <f>MOD(punkt_szczepień__13[[#This Row],[liczba miesiac]],20)</f>
        <v>3</v>
      </c>
      <c r="G572" s="11">
        <f>VLOOKUP(punkt_szczepień__13[[#This Row],[liczba miesiac]]-punkt_szczepień__13[[#This Row],[miesiac]],$O$3:$P$7,2,0)+VALUE(LEFT(punkt_szczepień__13[[#This Row],[PESEL]],2))</f>
        <v>1971</v>
      </c>
      <c r="H572" s="11">
        <f>VALUE(RIGHT(LEFT(punkt_szczepień__13[[#This Row],[PESEL]],6),2))</f>
        <v>2</v>
      </c>
      <c r="I572" s="3">
        <f>DATE(punkt_szczepień__13[[#This Row],[rok]],punkt_szczepień__13[[#This Row],[miesiac]],punkt_szczepień__13[[#This Row],[dzień]])</f>
        <v>25994</v>
      </c>
      <c r="J572" s="1" t="str">
        <f>punkt_szczepień__13[[#This Row],[PESEL]]</f>
        <v>71030266872</v>
      </c>
      <c r="K572" s="1">
        <f>VALUE(MID(punkt_szczepień__13[[#This Row],[PESEL]],10,1))</f>
        <v>7</v>
      </c>
      <c r="L572" s="11" t="str">
        <f>IF(MOD(punkt_szczepień__13[[#This Row],[liczba płeć]],2)=0,"K","M")</f>
        <v>M</v>
      </c>
      <c r="M572" s="1"/>
      <c r="N572" s="1"/>
    </row>
    <row r="573" spans="1:14" x14ac:dyDescent="0.25">
      <c r="A573" s="1" t="s">
        <v>579</v>
      </c>
      <c r="B573" s="1" t="s">
        <v>7</v>
      </c>
      <c r="C573" s="2">
        <v>0.5532407407407407</v>
      </c>
      <c r="D573">
        <v>1</v>
      </c>
      <c r="E573">
        <f>VALUE(RIGHT(LEFT(punkt_szczepień__13[[#This Row],[PESEL]],4),2))</f>
        <v>6</v>
      </c>
      <c r="F573" s="11">
        <f>MOD(punkt_szczepień__13[[#This Row],[liczba miesiac]],20)</f>
        <v>6</v>
      </c>
      <c r="G573" s="11">
        <f>VLOOKUP(punkt_szczepień__13[[#This Row],[liczba miesiac]]-punkt_szczepień__13[[#This Row],[miesiac]],$O$3:$P$7,2,0)+VALUE(LEFT(punkt_szczepień__13[[#This Row],[PESEL]],2))</f>
        <v>1937</v>
      </c>
      <c r="H573" s="11">
        <f>VALUE(RIGHT(LEFT(punkt_szczepień__13[[#This Row],[PESEL]],6),2))</f>
        <v>2</v>
      </c>
      <c r="I573" s="3">
        <f>DATE(punkt_szczepień__13[[#This Row],[rok]],punkt_szczepień__13[[#This Row],[miesiac]],punkt_szczepień__13[[#This Row],[dzień]])</f>
        <v>13668</v>
      </c>
      <c r="J573" s="1" t="str">
        <f>punkt_szczepień__13[[#This Row],[PESEL]]</f>
        <v>37060241535</v>
      </c>
      <c r="K573" s="1">
        <f>VALUE(MID(punkt_szczepień__13[[#This Row],[PESEL]],10,1))</f>
        <v>3</v>
      </c>
      <c r="L573" s="11" t="str">
        <f>IF(MOD(punkt_szczepień__13[[#This Row],[liczba płeć]],2)=0,"K","M")</f>
        <v>M</v>
      </c>
      <c r="M573" s="1"/>
      <c r="N573" s="1"/>
    </row>
    <row r="574" spans="1:14" x14ac:dyDescent="0.25">
      <c r="A574" s="1" t="s">
        <v>580</v>
      </c>
      <c r="B574" s="1" t="s">
        <v>7</v>
      </c>
      <c r="C574" s="2">
        <v>0.55353009259259256</v>
      </c>
      <c r="D574">
        <v>1</v>
      </c>
      <c r="E574">
        <f>VALUE(RIGHT(LEFT(punkt_szczepień__13[[#This Row],[PESEL]],4),2))</f>
        <v>5</v>
      </c>
      <c r="F574" s="11">
        <f>MOD(punkt_szczepień__13[[#This Row],[liczba miesiac]],20)</f>
        <v>5</v>
      </c>
      <c r="G574" s="11">
        <f>VLOOKUP(punkt_szczepień__13[[#This Row],[liczba miesiac]]-punkt_szczepień__13[[#This Row],[miesiac]],$O$3:$P$7,2,0)+VALUE(LEFT(punkt_szczepień__13[[#This Row],[PESEL]],2))</f>
        <v>1927</v>
      </c>
      <c r="H574" s="11">
        <f>VALUE(RIGHT(LEFT(punkt_szczepień__13[[#This Row],[PESEL]],6),2))</f>
        <v>24</v>
      </c>
      <c r="I574" s="3">
        <f>DATE(punkt_szczepień__13[[#This Row],[rok]],punkt_szczepień__13[[#This Row],[miesiac]],punkt_szczepień__13[[#This Row],[dzień]])</f>
        <v>10006</v>
      </c>
      <c r="J574" s="1" t="str">
        <f>punkt_szczepień__13[[#This Row],[PESEL]]</f>
        <v>27052465261</v>
      </c>
      <c r="K574" s="1">
        <f>VALUE(MID(punkt_szczepień__13[[#This Row],[PESEL]],10,1))</f>
        <v>6</v>
      </c>
      <c r="L574" s="11" t="str">
        <f>IF(MOD(punkt_szczepień__13[[#This Row],[liczba płeć]],2)=0,"K","M")</f>
        <v>K</v>
      </c>
      <c r="M574" s="1"/>
      <c r="N574" s="1"/>
    </row>
    <row r="575" spans="1:14" x14ac:dyDescent="0.25">
      <c r="A575" s="1" t="s">
        <v>581</v>
      </c>
      <c r="B575" s="1" t="s">
        <v>27</v>
      </c>
      <c r="C575" s="2">
        <v>0.55410879629629628</v>
      </c>
      <c r="D575">
        <v>2</v>
      </c>
      <c r="E575">
        <f>VALUE(RIGHT(LEFT(punkt_szczepień__13[[#This Row],[PESEL]],4),2))</f>
        <v>1</v>
      </c>
      <c r="F575" s="11">
        <f>MOD(punkt_szczepień__13[[#This Row],[liczba miesiac]],20)</f>
        <v>1</v>
      </c>
      <c r="G575" s="11">
        <f>VLOOKUP(punkt_szczepień__13[[#This Row],[liczba miesiac]]-punkt_szczepień__13[[#This Row],[miesiac]],$O$3:$P$7,2,0)+VALUE(LEFT(punkt_szczepień__13[[#This Row],[PESEL]],2))</f>
        <v>1993</v>
      </c>
      <c r="H575" s="11">
        <f>VALUE(RIGHT(LEFT(punkt_szczepień__13[[#This Row],[PESEL]],6),2))</f>
        <v>5</v>
      </c>
      <c r="I575" s="3">
        <f>DATE(punkt_szczepień__13[[#This Row],[rok]],punkt_szczepień__13[[#This Row],[miesiac]],punkt_szczepień__13[[#This Row],[dzień]])</f>
        <v>33974</v>
      </c>
      <c r="J575" s="1" t="str">
        <f>punkt_szczepień__13[[#This Row],[PESEL]]</f>
        <v>93010539549</v>
      </c>
      <c r="K575" s="1">
        <f>VALUE(MID(punkt_szczepień__13[[#This Row],[PESEL]],10,1))</f>
        <v>4</v>
      </c>
      <c r="L575" s="11" t="str">
        <f>IF(MOD(punkt_szczepień__13[[#This Row],[liczba płeć]],2)=0,"K","M")</f>
        <v>K</v>
      </c>
      <c r="M575" s="1"/>
      <c r="N575" s="1"/>
    </row>
    <row r="576" spans="1:14" x14ac:dyDescent="0.25">
      <c r="A576" s="1" t="s">
        <v>582</v>
      </c>
      <c r="B576" s="1" t="s">
        <v>27</v>
      </c>
      <c r="C576" s="2">
        <v>0.55439814814814814</v>
      </c>
      <c r="D576">
        <v>1</v>
      </c>
      <c r="E576">
        <f>VALUE(RIGHT(LEFT(punkt_szczepień__13[[#This Row],[PESEL]],4),2))</f>
        <v>12</v>
      </c>
      <c r="F576" s="11">
        <f>MOD(punkt_szczepień__13[[#This Row],[liczba miesiac]],20)</f>
        <v>12</v>
      </c>
      <c r="G576" s="11">
        <f>VLOOKUP(punkt_szczepień__13[[#This Row],[liczba miesiac]]-punkt_szczepień__13[[#This Row],[miesiac]],$O$3:$P$7,2,0)+VALUE(LEFT(punkt_szczepień__13[[#This Row],[PESEL]],2))</f>
        <v>1931</v>
      </c>
      <c r="H576" s="11">
        <f>VALUE(RIGHT(LEFT(punkt_szczepień__13[[#This Row],[PESEL]],6),2))</f>
        <v>1</v>
      </c>
      <c r="I576" s="3">
        <f>DATE(punkt_szczepień__13[[#This Row],[rok]],punkt_szczepień__13[[#This Row],[miesiac]],punkt_szczepień__13[[#This Row],[dzień]])</f>
        <v>11658</v>
      </c>
      <c r="J576" s="1" t="str">
        <f>punkt_szczepień__13[[#This Row],[PESEL]]</f>
        <v>31120146318</v>
      </c>
      <c r="K576" s="1">
        <f>VALUE(MID(punkt_szczepień__13[[#This Row],[PESEL]],10,1))</f>
        <v>1</v>
      </c>
      <c r="L576" s="11" t="str">
        <f>IF(MOD(punkt_szczepień__13[[#This Row],[liczba płeć]],2)=0,"K","M")</f>
        <v>M</v>
      </c>
      <c r="M576" s="1"/>
      <c r="N576" s="1"/>
    </row>
    <row r="577" spans="1:14" x14ac:dyDescent="0.25">
      <c r="A577" s="1" t="s">
        <v>583</v>
      </c>
      <c r="B577" s="1" t="s">
        <v>27</v>
      </c>
      <c r="C577" s="2">
        <v>0.55497685185185186</v>
      </c>
      <c r="D577">
        <v>2</v>
      </c>
      <c r="E577">
        <f>VALUE(RIGHT(LEFT(punkt_szczepień__13[[#This Row],[PESEL]],4),2))</f>
        <v>6</v>
      </c>
      <c r="F577" s="11">
        <f>MOD(punkt_szczepień__13[[#This Row],[liczba miesiac]],20)</f>
        <v>6</v>
      </c>
      <c r="G577" s="11">
        <f>VLOOKUP(punkt_szczepień__13[[#This Row],[liczba miesiac]]-punkt_szczepień__13[[#This Row],[miesiac]],$O$3:$P$7,2,0)+VALUE(LEFT(punkt_szczepień__13[[#This Row],[PESEL]],2))</f>
        <v>1994</v>
      </c>
      <c r="H577" s="11">
        <f>VALUE(RIGHT(LEFT(punkt_szczepień__13[[#This Row],[PESEL]],6),2))</f>
        <v>4</v>
      </c>
      <c r="I577" s="3">
        <f>DATE(punkt_szczepień__13[[#This Row],[rok]],punkt_szczepień__13[[#This Row],[miesiac]],punkt_szczepień__13[[#This Row],[dzień]])</f>
        <v>34489</v>
      </c>
      <c r="J577" s="1" t="str">
        <f>punkt_szczepień__13[[#This Row],[PESEL]]</f>
        <v>94060442786</v>
      </c>
      <c r="K577" s="1">
        <f>VALUE(MID(punkt_szczepień__13[[#This Row],[PESEL]],10,1))</f>
        <v>8</v>
      </c>
      <c r="L577" s="11" t="str">
        <f>IF(MOD(punkt_szczepień__13[[#This Row],[liczba płeć]],2)=0,"K","M")</f>
        <v>K</v>
      </c>
      <c r="M577" s="1"/>
      <c r="N577" s="1"/>
    </row>
    <row r="578" spans="1:14" x14ac:dyDescent="0.25">
      <c r="A578" s="1" t="s">
        <v>584</v>
      </c>
      <c r="B578" s="1" t="s">
        <v>7</v>
      </c>
      <c r="C578" s="2">
        <v>0.55526620370370372</v>
      </c>
      <c r="D578">
        <v>1</v>
      </c>
      <c r="E578">
        <f>VALUE(RIGHT(LEFT(punkt_szczepień__13[[#This Row],[PESEL]],4),2))</f>
        <v>30</v>
      </c>
      <c r="F578" s="11">
        <f>MOD(punkt_szczepień__13[[#This Row],[liczba miesiac]],20)</f>
        <v>10</v>
      </c>
      <c r="G578" s="11">
        <f>VLOOKUP(punkt_szczepień__13[[#This Row],[liczba miesiac]]-punkt_szczepień__13[[#This Row],[miesiac]],$O$3:$P$7,2,0)+VALUE(LEFT(punkt_szczepień__13[[#This Row],[PESEL]],2))</f>
        <v>2008</v>
      </c>
      <c r="H578" s="11">
        <f>VALUE(RIGHT(LEFT(punkt_szczepień__13[[#This Row],[PESEL]],6),2))</f>
        <v>9</v>
      </c>
      <c r="I578" s="3">
        <f>DATE(punkt_szczepień__13[[#This Row],[rok]],punkt_szczepień__13[[#This Row],[miesiac]],punkt_szczepień__13[[#This Row],[dzień]])</f>
        <v>39730</v>
      </c>
      <c r="J578" s="1" t="str">
        <f>punkt_szczepień__13[[#This Row],[PESEL]]</f>
        <v>08300996513</v>
      </c>
      <c r="K578" s="1">
        <f>VALUE(MID(punkt_szczepień__13[[#This Row],[PESEL]],10,1))</f>
        <v>1</v>
      </c>
      <c r="L578" s="11" t="str">
        <f>IF(MOD(punkt_szczepień__13[[#This Row],[liczba płeć]],2)=0,"K","M")</f>
        <v>M</v>
      </c>
      <c r="M578" s="1"/>
      <c r="N578" s="1"/>
    </row>
    <row r="579" spans="1:14" x14ac:dyDescent="0.25">
      <c r="A579" s="1" t="s">
        <v>585</v>
      </c>
      <c r="B579" s="1" t="s">
        <v>5</v>
      </c>
      <c r="C579" s="2">
        <v>0.55555555555555558</v>
      </c>
      <c r="D579">
        <v>1</v>
      </c>
      <c r="E579">
        <f>VALUE(RIGHT(LEFT(punkt_szczepień__13[[#This Row],[PESEL]],4),2))</f>
        <v>7</v>
      </c>
      <c r="F579" s="11">
        <f>MOD(punkt_szczepień__13[[#This Row],[liczba miesiac]],20)</f>
        <v>7</v>
      </c>
      <c r="G579" s="11">
        <f>VLOOKUP(punkt_szczepień__13[[#This Row],[liczba miesiac]]-punkt_szczepień__13[[#This Row],[miesiac]],$O$3:$P$7,2,0)+VALUE(LEFT(punkt_szczepień__13[[#This Row],[PESEL]],2))</f>
        <v>1987</v>
      </c>
      <c r="H579" s="11">
        <f>VALUE(RIGHT(LEFT(punkt_szczepień__13[[#This Row],[PESEL]],6),2))</f>
        <v>17</v>
      </c>
      <c r="I579" s="3">
        <f>DATE(punkt_szczepień__13[[#This Row],[rok]],punkt_szczepień__13[[#This Row],[miesiac]],punkt_szczepień__13[[#This Row],[dzień]])</f>
        <v>31975</v>
      </c>
      <c r="J579" s="1" t="str">
        <f>punkt_szczepień__13[[#This Row],[PESEL]]</f>
        <v>87071754944</v>
      </c>
      <c r="K579" s="1">
        <f>VALUE(MID(punkt_szczepień__13[[#This Row],[PESEL]],10,1))</f>
        <v>4</v>
      </c>
      <c r="L579" s="11" t="str">
        <f>IF(MOD(punkt_szczepień__13[[#This Row],[liczba płeć]],2)=0,"K","M")</f>
        <v>K</v>
      </c>
      <c r="M579" s="1"/>
      <c r="N579" s="1"/>
    </row>
    <row r="580" spans="1:14" x14ac:dyDescent="0.25">
      <c r="A580" s="1" t="s">
        <v>586</v>
      </c>
      <c r="B580" s="1" t="s">
        <v>5</v>
      </c>
      <c r="C580" s="2">
        <v>0.5561342592592593</v>
      </c>
      <c r="D580">
        <v>2</v>
      </c>
      <c r="E580">
        <f>VALUE(RIGHT(LEFT(punkt_szczepień__13[[#This Row],[PESEL]],4),2))</f>
        <v>9</v>
      </c>
      <c r="F580" s="11">
        <f>MOD(punkt_szczepień__13[[#This Row],[liczba miesiac]],20)</f>
        <v>9</v>
      </c>
      <c r="G580" s="11">
        <f>VLOOKUP(punkt_szczepień__13[[#This Row],[liczba miesiac]]-punkt_szczepień__13[[#This Row],[miesiac]],$O$3:$P$7,2,0)+VALUE(LEFT(punkt_szczepień__13[[#This Row],[PESEL]],2))</f>
        <v>1966</v>
      </c>
      <c r="H580" s="11">
        <f>VALUE(RIGHT(LEFT(punkt_szczepień__13[[#This Row],[PESEL]],6),2))</f>
        <v>13</v>
      </c>
      <c r="I580" s="3">
        <f>DATE(punkt_szczepień__13[[#This Row],[rok]],punkt_szczepień__13[[#This Row],[miesiac]],punkt_szczepień__13[[#This Row],[dzień]])</f>
        <v>24363</v>
      </c>
      <c r="J580" s="1" t="str">
        <f>punkt_szczepień__13[[#This Row],[PESEL]]</f>
        <v>66091342146</v>
      </c>
      <c r="K580" s="1">
        <f>VALUE(MID(punkt_szczepień__13[[#This Row],[PESEL]],10,1))</f>
        <v>4</v>
      </c>
      <c r="L580" s="11" t="str">
        <f>IF(MOD(punkt_szczepień__13[[#This Row],[liczba płeć]],2)=0,"K","M")</f>
        <v>K</v>
      </c>
      <c r="M580" s="1"/>
      <c r="N580" s="1"/>
    </row>
    <row r="581" spans="1:14" x14ac:dyDescent="0.25">
      <c r="A581" s="1" t="s">
        <v>587</v>
      </c>
      <c r="B581" s="1" t="s">
        <v>27</v>
      </c>
      <c r="C581" s="2">
        <v>0.55642361111111116</v>
      </c>
      <c r="D581">
        <v>1</v>
      </c>
      <c r="E581">
        <f>VALUE(RIGHT(LEFT(punkt_szczepień__13[[#This Row],[PESEL]],4),2))</f>
        <v>12</v>
      </c>
      <c r="F581" s="11">
        <f>MOD(punkt_szczepień__13[[#This Row],[liczba miesiac]],20)</f>
        <v>12</v>
      </c>
      <c r="G581" s="11">
        <f>VLOOKUP(punkt_szczepień__13[[#This Row],[liczba miesiac]]-punkt_szczepień__13[[#This Row],[miesiac]],$O$3:$P$7,2,0)+VALUE(LEFT(punkt_szczepień__13[[#This Row],[PESEL]],2))</f>
        <v>1948</v>
      </c>
      <c r="H581" s="11">
        <f>VALUE(RIGHT(LEFT(punkt_szczepień__13[[#This Row],[PESEL]],6),2))</f>
        <v>9</v>
      </c>
      <c r="I581" s="3">
        <f>DATE(punkt_szczepień__13[[#This Row],[rok]],punkt_szczepień__13[[#This Row],[miesiac]],punkt_szczepień__13[[#This Row],[dzień]])</f>
        <v>17876</v>
      </c>
      <c r="J581" s="1" t="str">
        <f>punkt_szczepień__13[[#This Row],[PESEL]]</f>
        <v>48120934478</v>
      </c>
      <c r="K581" s="1">
        <f>VALUE(MID(punkt_szczepień__13[[#This Row],[PESEL]],10,1))</f>
        <v>7</v>
      </c>
      <c r="L581" s="11" t="str">
        <f>IF(MOD(punkt_szczepień__13[[#This Row],[liczba płeć]],2)=0,"K","M")</f>
        <v>M</v>
      </c>
      <c r="M581" s="1"/>
      <c r="N581" s="1"/>
    </row>
    <row r="582" spans="1:14" x14ac:dyDescent="0.25">
      <c r="A582" s="1" t="s">
        <v>588</v>
      </c>
      <c r="B582" s="1" t="s">
        <v>7</v>
      </c>
      <c r="C582" s="2">
        <v>0.55671296296296291</v>
      </c>
      <c r="D582">
        <v>1</v>
      </c>
      <c r="E582">
        <f>VALUE(RIGHT(LEFT(punkt_szczepień__13[[#This Row],[PESEL]],4),2))</f>
        <v>1</v>
      </c>
      <c r="F582" s="11">
        <f>MOD(punkt_szczepień__13[[#This Row],[liczba miesiac]],20)</f>
        <v>1</v>
      </c>
      <c r="G582" s="11">
        <f>VLOOKUP(punkt_szczepień__13[[#This Row],[liczba miesiac]]-punkt_szczepień__13[[#This Row],[miesiac]],$O$3:$P$7,2,0)+VALUE(LEFT(punkt_szczepień__13[[#This Row],[PESEL]],2))</f>
        <v>1988</v>
      </c>
      <c r="H582" s="11">
        <f>VALUE(RIGHT(LEFT(punkt_szczepień__13[[#This Row],[PESEL]],6),2))</f>
        <v>13</v>
      </c>
      <c r="I582" s="3">
        <f>DATE(punkt_szczepień__13[[#This Row],[rok]],punkt_szczepień__13[[#This Row],[miesiac]],punkt_szczepień__13[[#This Row],[dzień]])</f>
        <v>32155</v>
      </c>
      <c r="J582" s="1" t="str">
        <f>punkt_szczepień__13[[#This Row],[PESEL]]</f>
        <v>88011322267</v>
      </c>
      <c r="K582" s="1">
        <f>VALUE(MID(punkt_szczepień__13[[#This Row],[PESEL]],10,1))</f>
        <v>6</v>
      </c>
      <c r="L582" s="11" t="str">
        <f>IF(MOD(punkt_szczepień__13[[#This Row],[liczba płeć]],2)=0,"K","M")</f>
        <v>K</v>
      </c>
      <c r="M582" s="1"/>
      <c r="N582" s="1"/>
    </row>
    <row r="583" spans="1:14" x14ac:dyDescent="0.25">
      <c r="A583" s="1" t="s">
        <v>589</v>
      </c>
      <c r="B583" s="1" t="s">
        <v>7</v>
      </c>
      <c r="C583" s="2">
        <v>0.55700231481481477</v>
      </c>
      <c r="D583">
        <v>1</v>
      </c>
      <c r="E583">
        <f>VALUE(RIGHT(LEFT(punkt_szczepień__13[[#This Row],[PESEL]],4),2))</f>
        <v>4</v>
      </c>
      <c r="F583" s="11">
        <f>MOD(punkt_szczepień__13[[#This Row],[liczba miesiac]],20)</f>
        <v>4</v>
      </c>
      <c r="G583" s="11">
        <f>VLOOKUP(punkt_szczepień__13[[#This Row],[liczba miesiac]]-punkt_szczepień__13[[#This Row],[miesiac]],$O$3:$P$7,2,0)+VALUE(LEFT(punkt_szczepień__13[[#This Row],[PESEL]],2))</f>
        <v>1959</v>
      </c>
      <c r="H583" s="11">
        <f>VALUE(RIGHT(LEFT(punkt_szczepień__13[[#This Row],[PESEL]],6),2))</f>
        <v>23</v>
      </c>
      <c r="I583" s="3">
        <f>DATE(punkt_szczepień__13[[#This Row],[rok]],punkt_szczepień__13[[#This Row],[miesiac]],punkt_szczepień__13[[#This Row],[dzień]])</f>
        <v>21663</v>
      </c>
      <c r="J583" s="1" t="str">
        <f>punkt_szczepień__13[[#This Row],[PESEL]]</f>
        <v>59042321268</v>
      </c>
      <c r="K583" s="1">
        <f>VALUE(MID(punkt_szczepień__13[[#This Row],[PESEL]],10,1))</f>
        <v>6</v>
      </c>
      <c r="L583" s="11" t="str">
        <f>IF(MOD(punkt_szczepień__13[[#This Row],[liczba płeć]],2)=0,"K","M")</f>
        <v>K</v>
      </c>
      <c r="M583" s="1"/>
      <c r="N583" s="1"/>
    </row>
    <row r="584" spans="1:14" x14ac:dyDescent="0.25">
      <c r="A584" s="1" t="s">
        <v>590</v>
      </c>
      <c r="B584" s="1" t="s">
        <v>5</v>
      </c>
      <c r="C584" s="2">
        <v>0.55729166666666663</v>
      </c>
      <c r="D584">
        <v>1</v>
      </c>
      <c r="E584">
        <f>VALUE(RIGHT(LEFT(punkt_szczepień__13[[#This Row],[PESEL]],4),2))</f>
        <v>2</v>
      </c>
      <c r="F584" s="11">
        <f>MOD(punkt_szczepień__13[[#This Row],[liczba miesiac]],20)</f>
        <v>2</v>
      </c>
      <c r="G584" s="11">
        <f>VLOOKUP(punkt_szczepień__13[[#This Row],[liczba miesiac]]-punkt_szczepień__13[[#This Row],[miesiac]],$O$3:$P$7,2,0)+VALUE(LEFT(punkt_szczepień__13[[#This Row],[PESEL]],2))</f>
        <v>1960</v>
      </c>
      <c r="H584" s="11">
        <f>VALUE(RIGHT(LEFT(punkt_szczepień__13[[#This Row],[PESEL]],6),2))</f>
        <v>1</v>
      </c>
      <c r="I584" s="3">
        <f>DATE(punkt_szczepień__13[[#This Row],[rok]],punkt_szczepień__13[[#This Row],[miesiac]],punkt_szczepień__13[[#This Row],[dzień]])</f>
        <v>21947</v>
      </c>
      <c r="J584" s="1" t="str">
        <f>punkt_szczepień__13[[#This Row],[PESEL]]</f>
        <v>60020194394</v>
      </c>
      <c r="K584" s="1">
        <f>VALUE(MID(punkt_szczepień__13[[#This Row],[PESEL]],10,1))</f>
        <v>9</v>
      </c>
      <c r="L584" s="11" t="str">
        <f>IF(MOD(punkt_szczepień__13[[#This Row],[liczba płeć]],2)=0,"K","M")</f>
        <v>M</v>
      </c>
      <c r="M584" s="1"/>
      <c r="N584" s="1"/>
    </row>
    <row r="585" spans="1:14" x14ac:dyDescent="0.25">
      <c r="A585" s="1" t="s">
        <v>591</v>
      </c>
      <c r="B585" s="1" t="s">
        <v>9</v>
      </c>
      <c r="C585" s="2">
        <v>0.55787037037037035</v>
      </c>
      <c r="D585">
        <v>2</v>
      </c>
      <c r="E585">
        <f>VALUE(RIGHT(LEFT(punkt_szczepień__13[[#This Row],[PESEL]],4),2))</f>
        <v>5</v>
      </c>
      <c r="F585" s="11">
        <f>MOD(punkt_szczepień__13[[#This Row],[liczba miesiac]],20)</f>
        <v>5</v>
      </c>
      <c r="G585" s="11">
        <f>VLOOKUP(punkt_szczepień__13[[#This Row],[liczba miesiac]]-punkt_szczepień__13[[#This Row],[miesiac]],$O$3:$P$7,2,0)+VALUE(LEFT(punkt_szczepień__13[[#This Row],[PESEL]],2))</f>
        <v>1954</v>
      </c>
      <c r="H585" s="11">
        <f>VALUE(RIGHT(LEFT(punkt_szczepień__13[[#This Row],[PESEL]],6),2))</f>
        <v>18</v>
      </c>
      <c r="I585" s="3">
        <f>DATE(punkt_szczepień__13[[#This Row],[rok]],punkt_szczepień__13[[#This Row],[miesiac]],punkt_szczepień__13[[#This Row],[dzień]])</f>
        <v>19862</v>
      </c>
      <c r="J585" s="1" t="str">
        <f>punkt_szczepień__13[[#This Row],[PESEL]]</f>
        <v>54051894257</v>
      </c>
      <c r="K585" s="1">
        <f>VALUE(MID(punkt_szczepień__13[[#This Row],[PESEL]],10,1))</f>
        <v>5</v>
      </c>
      <c r="L585" s="11" t="str">
        <f>IF(MOD(punkt_szczepień__13[[#This Row],[liczba płeć]],2)=0,"K","M")</f>
        <v>M</v>
      </c>
      <c r="M585" s="1"/>
      <c r="N585" s="1"/>
    </row>
    <row r="586" spans="1:14" x14ac:dyDescent="0.25">
      <c r="A586" s="1" t="s">
        <v>592</v>
      </c>
      <c r="B586" s="1" t="s">
        <v>9</v>
      </c>
      <c r="C586" s="2">
        <v>0.55815972222222221</v>
      </c>
      <c r="D586">
        <v>1</v>
      </c>
      <c r="E586">
        <f>VALUE(RIGHT(LEFT(punkt_szczepień__13[[#This Row],[PESEL]],4),2))</f>
        <v>2</v>
      </c>
      <c r="F586" s="11">
        <f>MOD(punkt_szczepień__13[[#This Row],[liczba miesiac]],20)</f>
        <v>2</v>
      </c>
      <c r="G586" s="11">
        <f>VLOOKUP(punkt_szczepień__13[[#This Row],[liczba miesiac]]-punkt_szczepień__13[[#This Row],[miesiac]],$O$3:$P$7,2,0)+VALUE(LEFT(punkt_szczepień__13[[#This Row],[PESEL]],2))</f>
        <v>1963</v>
      </c>
      <c r="H586" s="11">
        <f>VALUE(RIGHT(LEFT(punkt_szczepień__13[[#This Row],[PESEL]],6),2))</f>
        <v>26</v>
      </c>
      <c r="I586" s="3">
        <f>DATE(punkt_szczepień__13[[#This Row],[rok]],punkt_szczepień__13[[#This Row],[miesiac]],punkt_szczepień__13[[#This Row],[dzień]])</f>
        <v>23068</v>
      </c>
      <c r="J586" s="1" t="str">
        <f>punkt_szczepień__13[[#This Row],[PESEL]]</f>
        <v>63022648489</v>
      </c>
      <c r="K586" s="1">
        <f>VALUE(MID(punkt_szczepień__13[[#This Row],[PESEL]],10,1))</f>
        <v>8</v>
      </c>
      <c r="L586" s="11" t="str">
        <f>IF(MOD(punkt_szczepień__13[[#This Row],[liczba płeć]],2)=0,"K","M")</f>
        <v>K</v>
      </c>
      <c r="M586" s="1"/>
      <c r="N586" s="1"/>
    </row>
    <row r="587" spans="1:14" x14ac:dyDescent="0.25">
      <c r="A587" s="1" t="s">
        <v>593</v>
      </c>
      <c r="B587" s="1" t="s">
        <v>27</v>
      </c>
      <c r="C587" s="2">
        <v>0.55873842592592593</v>
      </c>
      <c r="D587">
        <v>2</v>
      </c>
      <c r="E587">
        <f>VALUE(RIGHT(LEFT(punkt_szczepień__13[[#This Row],[PESEL]],4),2))</f>
        <v>3</v>
      </c>
      <c r="F587" s="11">
        <f>MOD(punkt_szczepień__13[[#This Row],[liczba miesiac]],20)</f>
        <v>3</v>
      </c>
      <c r="G587" s="11">
        <f>VLOOKUP(punkt_szczepień__13[[#This Row],[liczba miesiac]]-punkt_szczepień__13[[#This Row],[miesiac]],$O$3:$P$7,2,0)+VALUE(LEFT(punkt_szczepień__13[[#This Row],[PESEL]],2))</f>
        <v>1966</v>
      </c>
      <c r="H587" s="11">
        <f>VALUE(RIGHT(LEFT(punkt_szczepień__13[[#This Row],[PESEL]],6),2))</f>
        <v>11</v>
      </c>
      <c r="I587" s="3">
        <f>DATE(punkt_szczepień__13[[#This Row],[rok]],punkt_szczepień__13[[#This Row],[miesiac]],punkt_szczepień__13[[#This Row],[dzień]])</f>
        <v>24177</v>
      </c>
      <c r="J587" s="1" t="str">
        <f>punkt_szczepień__13[[#This Row],[PESEL]]</f>
        <v>66031135467</v>
      </c>
      <c r="K587" s="1">
        <f>VALUE(MID(punkt_szczepień__13[[#This Row],[PESEL]],10,1))</f>
        <v>6</v>
      </c>
      <c r="L587" s="11" t="str">
        <f>IF(MOD(punkt_szczepień__13[[#This Row],[liczba płeć]],2)=0,"K","M")</f>
        <v>K</v>
      </c>
      <c r="M587" s="1"/>
      <c r="N587" s="1"/>
    </row>
    <row r="588" spans="1:14" x14ac:dyDescent="0.25">
      <c r="A588" s="1" t="s">
        <v>594</v>
      </c>
      <c r="B588" s="1" t="s">
        <v>7</v>
      </c>
      <c r="C588" s="2">
        <v>0.55902777777777779</v>
      </c>
      <c r="D588">
        <v>1</v>
      </c>
      <c r="E588">
        <f>VALUE(RIGHT(LEFT(punkt_szczepień__13[[#This Row],[PESEL]],4),2))</f>
        <v>7</v>
      </c>
      <c r="F588" s="11">
        <f>MOD(punkt_szczepień__13[[#This Row],[liczba miesiac]],20)</f>
        <v>7</v>
      </c>
      <c r="G588" s="11">
        <f>VLOOKUP(punkt_szczepień__13[[#This Row],[liczba miesiac]]-punkt_szczepień__13[[#This Row],[miesiac]],$O$3:$P$7,2,0)+VALUE(LEFT(punkt_szczepień__13[[#This Row],[PESEL]],2))</f>
        <v>1949</v>
      </c>
      <c r="H588" s="11">
        <f>VALUE(RIGHT(LEFT(punkt_szczepień__13[[#This Row],[PESEL]],6),2))</f>
        <v>29</v>
      </c>
      <c r="I588" s="3">
        <f>DATE(punkt_szczepień__13[[#This Row],[rok]],punkt_szczepień__13[[#This Row],[miesiac]],punkt_szczepień__13[[#This Row],[dzień]])</f>
        <v>18108</v>
      </c>
      <c r="J588" s="1" t="str">
        <f>punkt_szczepień__13[[#This Row],[PESEL]]</f>
        <v>49072924229</v>
      </c>
      <c r="K588" s="1">
        <f>VALUE(MID(punkt_szczepień__13[[#This Row],[PESEL]],10,1))</f>
        <v>2</v>
      </c>
      <c r="L588" s="11" t="str">
        <f>IF(MOD(punkt_szczepień__13[[#This Row],[liczba płeć]],2)=0,"K","M")</f>
        <v>K</v>
      </c>
      <c r="M588" s="1"/>
      <c r="N588" s="1"/>
    </row>
    <row r="589" spans="1:14" x14ac:dyDescent="0.25">
      <c r="A589" s="1" t="s">
        <v>595</v>
      </c>
      <c r="B589" s="1" t="s">
        <v>9</v>
      </c>
      <c r="C589" s="2">
        <v>0.55931712962962965</v>
      </c>
      <c r="D589">
        <v>1</v>
      </c>
      <c r="E589">
        <f>VALUE(RIGHT(LEFT(punkt_szczepień__13[[#This Row],[PESEL]],4),2))</f>
        <v>29</v>
      </c>
      <c r="F589" s="11">
        <f>MOD(punkt_szczepień__13[[#This Row],[liczba miesiac]],20)</f>
        <v>9</v>
      </c>
      <c r="G589" s="11">
        <f>VLOOKUP(punkt_szczepień__13[[#This Row],[liczba miesiac]]-punkt_szczepień__13[[#This Row],[miesiac]],$O$3:$P$7,2,0)+VALUE(LEFT(punkt_szczepień__13[[#This Row],[PESEL]],2))</f>
        <v>2009</v>
      </c>
      <c r="H589" s="11">
        <f>VALUE(RIGHT(LEFT(punkt_szczepień__13[[#This Row],[PESEL]],6),2))</f>
        <v>18</v>
      </c>
      <c r="I589" s="3">
        <f>DATE(punkt_szczepień__13[[#This Row],[rok]],punkt_szczepień__13[[#This Row],[miesiac]],punkt_szczepień__13[[#This Row],[dzień]])</f>
        <v>40074</v>
      </c>
      <c r="J589" s="1" t="str">
        <f>punkt_szczepień__13[[#This Row],[PESEL]]</f>
        <v>09291837313</v>
      </c>
      <c r="K589" s="1">
        <f>VALUE(MID(punkt_szczepień__13[[#This Row],[PESEL]],10,1))</f>
        <v>1</v>
      </c>
      <c r="L589" s="11" t="str">
        <f>IF(MOD(punkt_szczepień__13[[#This Row],[liczba płeć]],2)=0,"K","M")</f>
        <v>M</v>
      </c>
      <c r="M589" s="1"/>
      <c r="N589" s="1"/>
    </row>
    <row r="590" spans="1:14" x14ac:dyDescent="0.25">
      <c r="A590" s="1" t="s">
        <v>596</v>
      </c>
      <c r="B590" s="1" t="s">
        <v>5</v>
      </c>
      <c r="C590" s="2">
        <v>0.55960648148148151</v>
      </c>
      <c r="D590">
        <v>1</v>
      </c>
      <c r="E590">
        <f>VALUE(RIGHT(LEFT(punkt_szczepień__13[[#This Row],[PESEL]],4),2))</f>
        <v>2</v>
      </c>
      <c r="F590" s="11">
        <f>MOD(punkt_szczepień__13[[#This Row],[liczba miesiac]],20)</f>
        <v>2</v>
      </c>
      <c r="G590" s="11">
        <f>VLOOKUP(punkt_szczepień__13[[#This Row],[liczba miesiac]]-punkt_szczepień__13[[#This Row],[miesiac]],$O$3:$P$7,2,0)+VALUE(LEFT(punkt_szczepień__13[[#This Row],[PESEL]],2))</f>
        <v>1945</v>
      </c>
      <c r="H590" s="11">
        <f>VALUE(RIGHT(LEFT(punkt_szczepień__13[[#This Row],[PESEL]],6),2))</f>
        <v>8</v>
      </c>
      <c r="I590" s="3">
        <f>DATE(punkt_szczepień__13[[#This Row],[rok]],punkt_szczepień__13[[#This Row],[miesiac]],punkt_szczepień__13[[#This Row],[dzień]])</f>
        <v>16476</v>
      </c>
      <c r="J590" s="1" t="str">
        <f>punkt_szczepień__13[[#This Row],[PESEL]]</f>
        <v>45020892626</v>
      </c>
      <c r="K590" s="1">
        <f>VALUE(MID(punkt_szczepień__13[[#This Row],[PESEL]],10,1))</f>
        <v>2</v>
      </c>
      <c r="L590" s="11" t="str">
        <f>IF(MOD(punkt_szczepień__13[[#This Row],[liczba płeć]],2)=0,"K","M")</f>
        <v>K</v>
      </c>
      <c r="M590" s="1"/>
      <c r="N590" s="1"/>
    </row>
    <row r="591" spans="1:14" x14ac:dyDescent="0.25">
      <c r="A591" s="1" t="s">
        <v>597</v>
      </c>
      <c r="B591" s="1" t="s">
        <v>5</v>
      </c>
      <c r="C591" s="2">
        <v>0.56018518518518523</v>
      </c>
      <c r="D591">
        <v>2</v>
      </c>
      <c r="E591">
        <f>VALUE(RIGHT(LEFT(punkt_szczepień__13[[#This Row],[PESEL]],4),2))</f>
        <v>3</v>
      </c>
      <c r="F591" s="11">
        <f>MOD(punkt_szczepień__13[[#This Row],[liczba miesiac]],20)</f>
        <v>3</v>
      </c>
      <c r="G591" s="11">
        <f>VLOOKUP(punkt_szczepień__13[[#This Row],[liczba miesiac]]-punkt_szczepień__13[[#This Row],[miesiac]],$O$3:$P$7,2,0)+VALUE(LEFT(punkt_szczepień__13[[#This Row],[PESEL]],2))</f>
        <v>1935</v>
      </c>
      <c r="H591" s="11">
        <f>VALUE(RIGHT(LEFT(punkt_szczepień__13[[#This Row],[PESEL]],6),2))</f>
        <v>28</v>
      </c>
      <c r="I591" s="3">
        <f>DATE(punkt_szczepień__13[[#This Row],[rok]],punkt_szczepień__13[[#This Row],[miesiac]],punkt_szczepień__13[[#This Row],[dzień]])</f>
        <v>12871</v>
      </c>
      <c r="J591" s="1" t="str">
        <f>punkt_szczepień__13[[#This Row],[PESEL]]</f>
        <v>35032869556</v>
      </c>
      <c r="K591" s="1">
        <f>VALUE(MID(punkt_szczepień__13[[#This Row],[PESEL]],10,1))</f>
        <v>5</v>
      </c>
      <c r="L591" s="11" t="str">
        <f>IF(MOD(punkt_szczepień__13[[#This Row],[liczba płeć]],2)=0,"K","M")</f>
        <v>M</v>
      </c>
      <c r="M591" s="1"/>
      <c r="N591" s="1"/>
    </row>
    <row r="592" spans="1:14" x14ac:dyDescent="0.25">
      <c r="A592" s="1" t="s">
        <v>598</v>
      </c>
      <c r="B592" s="1" t="s">
        <v>7</v>
      </c>
      <c r="C592" s="2">
        <v>0.56047453703703709</v>
      </c>
      <c r="D592">
        <v>1</v>
      </c>
      <c r="E592">
        <f>VALUE(RIGHT(LEFT(punkt_szczepień__13[[#This Row],[PESEL]],4),2))</f>
        <v>8</v>
      </c>
      <c r="F592" s="11">
        <f>MOD(punkt_szczepień__13[[#This Row],[liczba miesiac]],20)</f>
        <v>8</v>
      </c>
      <c r="G592" s="11">
        <f>VLOOKUP(punkt_szczepień__13[[#This Row],[liczba miesiac]]-punkt_szczepień__13[[#This Row],[miesiac]],$O$3:$P$7,2,0)+VALUE(LEFT(punkt_szczepień__13[[#This Row],[PESEL]],2))</f>
        <v>1934</v>
      </c>
      <c r="H592" s="11">
        <f>VALUE(RIGHT(LEFT(punkt_szczepień__13[[#This Row],[PESEL]],6),2))</f>
        <v>13</v>
      </c>
      <c r="I592" s="3">
        <f>DATE(punkt_szczepień__13[[#This Row],[rok]],punkt_szczepień__13[[#This Row],[miesiac]],punkt_szczepień__13[[#This Row],[dzień]])</f>
        <v>12644</v>
      </c>
      <c r="J592" s="1" t="str">
        <f>punkt_szczepień__13[[#This Row],[PESEL]]</f>
        <v>34081398633</v>
      </c>
      <c r="K592" s="1">
        <f>VALUE(MID(punkt_szczepień__13[[#This Row],[PESEL]],10,1))</f>
        <v>3</v>
      </c>
      <c r="L592" s="11" t="str">
        <f>IF(MOD(punkt_szczepień__13[[#This Row],[liczba płeć]],2)=0,"K","M")</f>
        <v>M</v>
      </c>
      <c r="M592" s="1"/>
      <c r="N592" s="1"/>
    </row>
    <row r="593" spans="1:14" x14ac:dyDescent="0.25">
      <c r="A593" s="1" t="s">
        <v>599</v>
      </c>
      <c r="B593" s="1" t="s">
        <v>5</v>
      </c>
      <c r="C593" s="2">
        <v>0.56076388888888884</v>
      </c>
      <c r="D593">
        <v>1</v>
      </c>
      <c r="E593">
        <f>VALUE(RIGHT(LEFT(punkt_szczepień__13[[#This Row],[PESEL]],4),2))</f>
        <v>5</v>
      </c>
      <c r="F593" s="11">
        <f>MOD(punkt_szczepień__13[[#This Row],[liczba miesiac]],20)</f>
        <v>5</v>
      </c>
      <c r="G593" s="11">
        <f>VLOOKUP(punkt_szczepień__13[[#This Row],[liczba miesiac]]-punkt_szczepień__13[[#This Row],[miesiac]],$O$3:$P$7,2,0)+VALUE(LEFT(punkt_szczepień__13[[#This Row],[PESEL]],2))</f>
        <v>1920</v>
      </c>
      <c r="H593" s="11">
        <f>VALUE(RIGHT(LEFT(punkt_szczepień__13[[#This Row],[PESEL]],6),2))</f>
        <v>19</v>
      </c>
      <c r="I593" s="3">
        <f>DATE(punkt_szczepień__13[[#This Row],[rok]],punkt_szczepień__13[[#This Row],[miesiac]],punkt_szczepień__13[[#This Row],[dzień]])</f>
        <v>7445</v>
      </c>
      <c r="J593" s="1" t="str">
        <f>punkt_szczepień__13[[#This Row],[PESEL]]</f>
        <v>20051966337</v>
      </c>
      <c r="K593" s="1">
        <f>VALUE(MID(punkt_szczepień__13[[#This Row],[PESEL]],10,1))</f>
        <v>3</v>
      </c>
      <c r="L593" s="11" t="str">
        <f>IF(MOD(punkt_szczepień__13[[#This Row],[liczba płeć]],2)=0,"K","M")</f>
        <v>M</v>
      </c>
      <c r="M593" s="1"/>
      <c r="N593" s="1"/>
    </row>
    <row r="594" spans="1:14" x14ac:dyDescent="0.25">
      <c r="A594" s="1" t="s">
        <v>600</v>
      </c>
      <c r="B594" s="1" t="s">
        <v>9</v>
      </c>
      <c r="C594" s="2">
        <v>0.56134259259259256</v>
      </c>
      <c r="D594">
        <v>2</v>
      </c>
      <c r="E594">
        <f>VALUE(RIGHT(LEFT(punkt_szczepień__13[[#This Row],[PESEL]],4),2))</f>
        <v>2</v>
      </c>
      <c r="F594" s="11">
        <f>MOD(punkt_szczepień__13[[#This Row],[liczba miesiac]],20)</f>
        <v>2</v>
      </c>
      <c r="G594" s="11">
        <f>VLOOKUP(punkt_szczepień__13[[#This Row],[liczba miesiac]]-punkt_szczepień__13[[#This Row],[miesiac]],$O$3:$P$7,2,0)+VALUE(LEFT(punkt_szczepień__13[[#This Row],[PESEL]],2))</f>
        <v>1958</v>
      </c>
      <c r="H594" s="11">
        <f>VALUE(RIGHT(LEFT(punkt_szczepień__13[[#This Row],[PESEL]],6),2))</f>
        <v>21</v>
      </c>
      <c r="I594" s="3">
        <f>DATE(punkt_szczepień__13[[#This Row],[rok]],punkt_szczepień__13[[#This Row],[miesiac]],punkt_szczepień__13[[#This Row],[dzień]])</f>
        <v>21237</v>
      </c>
      <c r="J594" s="1" t="str">
        <f>punkt_szczepień__13[[#This Row],[PESEL]]</f>
        <v>58022191471</v>
      </c>
      <c r="K594" s="1">
        <f>VALUE(MID(punkt_szczepień__13[[#This Row],[PESEL]],10,1))</f>
        <v>7</v>
      </c>
      <c r="L594" s="11" t="str">
        <f>IF(MOD(punkt_szczepień__13[[#This Row],[liczba płeć]],2)=0,"K","M")</f>
        <v>M</v>
      </c>
      <c r="M594" s="1"/>
      <c r="N594" s="1"/>
    </row>
    <row r="595" spans="1:14" x14ac:dyDescent="0.25">
      <c r="A595" s="1" t="s">
        <v>601</v>
      </c>
      <c r="B595" s="1" t="s">
        <v>27</v>
      </c>
      <c r="C595" s="2">
        <v>0.56192129629629628</v>
      </c>
      <c r="D595">
        <v>2</v>
      </c>
      <c r="E595">
        <f>VALUE(RIGHT(LEFT(punkt_szczepień__13[[#This Row],[PESEL]],4),2))</f>
        <v>9</v>
      </c>
      <c r="F595" s="11">
        <f>MOD(punkt_szczepień__13[[#This Row],[liczba miesiac]],20)</f>
        <v>9</v>
      </c>
      <c r="G595" s="11">
        <f>VLOOKUP(punkt_szczepień__13[[#This Row],[liczba miesiac]]-punkt_szczepień__13[[#This Row],[miesiac]],$O$3:$P$7,2,0)+VALUE(LEFT(punkt_szczepień__13[[#This Row],[PESEL]],2))</f>
        <v>1933</v>
      </c>
      <c r="H595" s="11">
        <f>VALUE(RIGHT(LEFT(punkt_szczepień__13[[#This Row],[PESEL]],6),2))</f>
        <v>29</v>
      </c>
      <c r="I595" s="3">
        <f>DATE(punkt_szczepień__13[[#This Row],[rok]],punkt_szczepień__13[[#This Row],[miesiac]],punkt_szczepień__13[[#This Row],[dzień]])</f>
        <v>12326</v>
      </c>
      <c r="J595" s="1" t="str">
        <f>punkt_szczepień__13[[#This Row],[PESEL]]</f>
        <v>33092927353</v>
      </c>
      <c r="K595" s="1">
        <f>VALUE(MID(punkt_szczepień__13[[#This Row],[PESEL]],10,1))</f>
        <v>5</v>
      </c>
      <c r="L595" s="11" t="str">
        <f>IF(MOD(punkt_szczepień__13[[#This Row],[liczba płeć]],2)=0,"K","M")</f>
        <v>M</v>
      </c>
      <c r="M595" s="1"/>
      <c r="N595" s="1"/>
    </row>
    <row r="596" spans="1:14" x14ac:dyDescent="0.25">
      <c r="A596" s="1" t="s">
        <v>602</v>
      </c>
      <c r="B596" s="1" t="s">
        <v>7</v>
      </c>
      <c r="C596" s="2">
        <v>0.56221064814814814</v>
      </c>
      <c r="D596">
        <v>1</v>
      </c>
      <c r="E596">
        <f>VALUE(RIGHT(LEFT(punkt_szczepień__13[[#This Row],[PESEL]],4),2))</f>
        <v>7</v>
      </c>
      <c r="F596" s="11">
        <f>MOD(punkt_szczepień__13[[#This Row],[liczba miesiac]],20)</f>
        <v>7</v>
      </c>
      <c r="G596" s="11">
        <f>VLOOKUP(punkt_szczepień__13[[#This Row],[liczba miesiac]]-punkt_szczepień__13[[#This Row],[miesiac]],$O$3:$P$7,2,0)+VALUE(LEFT(punkt_szczepień__13[[#This Row],[PESEL]],2))</f>
        <v>1931</v>
      </c>
      <c r="H596" s="11">
        <f>VALUE(RIGHT(LEFT(punkt_szczepień__13[[#This Row],[PESEL]],6),2))</f>
        <v>11</v>
      </c>
      <c r="I596" s="3">
        <f>DATE(punkt_szczepień__13[[#This Row],[rok]],punkt_szczepień__13[[#This Row],[miesiac]],punkt_szczepień__13[[#This Row],[dzień]])</f>
        <v>11515</v>
      </c>
      <c r="J596" s="1" t="str">
        <f>punkt_szczepień__13[[#This Row],[PESEL]]</f>
        <v>31071117359</v>
      </c>
      <c r="K596" s="1">
        <f>VALUE(MID(punkt_szczepień__13[[#This Row],[PESEL]],10,1))</f>
        <v>5</v>
      </c>
      <c r="L596" s="11" t="str">
        <f>IF(MOD(punkt_szczepień__13[[#This Row],[liczba płeć]],2)=0,"K","M")</f>
        <v>M</v>
      </c>
      <c r="M596" s="1"/>
      <c r="N596" s="1"/>
    </row>
    <row r="597" spans="1:14" x14ac:dyDescent="0.25">
      <c r="A597" s="1" t="s">
        <v>603</v>
      </c>
      <c r="B597" s="1" t="s">
        <v>7</v>
      </c>
      <c r="C597" s="2">
        <v>0.5625</v>
      </c>
      <c r="D597">
        <v>1</v>
      </c>
      <c r="E597">
        <f>VALUE(RIGHT(LEFT(punkt_szczepień__13[[#This Row],[PESEL]],4),2))</f>
        <v>1</v>
      </c>
      <c r="F597" s="11">
        <f>MOD(punkt_szczepień__13[[#This Row],[liczba miesiac]],20)</f>
        <v>1</v>
      </c>
      <c r="G597" s="11">
        <f>VLOOKUP(punkt_szczepień__13[[#This Row],[liczba miesiac]]-punkt_szczepień__13[[#This Row],[miesiac]],$O$3:$P$7,2,0)+VALUE(LEFT(punkt_szczepień__13[[#This Row],[PESEL]],2))</f>
        <v>1988</v>
      </c>
      <c r="H597" s="11">
        <f>VALUE(RIGHT(LEFT(punkt_szczepień__13[[#This Row],[PESEL]],6),2))</f>
        <v>21</v>
      </c>
      <c r="I597" s="3">
        <f>DATE(punkt_szczepień__13[[#This Row],[rok]],punkt_szczepień__13[[#This Row],[miesiac]],punkt_szczepień__13[[#This Row],[dzień]])</f>
        <v>32163</v>
      </c>
      <c r="J597" s="1" t="str">
        <f>punkt_szczepień__13[[#This Row],[PESEL]]</f>
        <v>88012178515</v>
      </c>
      <c r="K597" s="1">
        <f>VALUE(MID(punkt_szczepień__13[[#This Row],[PESEL]],10,1))</f>
        <v>1</v>
      </c>
      <c r="L597" s="11" t="str">
        <f>IF(MOD(punkt_szczepień__13[[#This Row],[liczba płeć]],2)=0,"K","M")</f>
        <v>M</v>
      </c>
      <c r="M597" s="1"/>
      <c r="N597" s="1"/>
    </row>
    <row r="598" spans="1:14" x14ac:dyDescent="0.25">
      <c r="A598" s="1" t="s">
        <v>604</v>
      </c>
      <c r="B598" s="1" t="s">
        <v>7</v>
      </c>
      <c r="C598" s="2">
        <v>0.56278935185185186</v>
      </c>
      <c r="D598">
        <v>1</v>
      </c>
      <c r="E598">
        <f>VALUE(RIGHT(LEFT(punkt_szczepień__13[[#This Row],[PESEL]],4),2))</f>
        <v>5</v>
      </c>
      <c r="F598" s="11">
        <f>MOD(punkt_szczepień__13[[#This Row],[liczba miesiac]],20)</f>
        <v>5</v>
      </c>
      <c r="G598" s="11">
        <f>VLOOKUP(punkt_szczepień__13[[#This Row],[liczba miesiac]]-punkt_szczepień__13[[#This Row],[miesiac]],$O$3:$P$7,2,0)+VALUE(LEFT(punkt_szczepień__13[[#This Row],[PESEL]],2))</f>
        <v>1920</v>
      </c>
      <c r="H598" s="11">
        <f>VALUE(RIGHT(LEFT(punkt_szczepień__13[[#This Row],[PESEL]],6),2))</f>
        <v>27</v>
      </c>
      <c r="I598" s="3">
        <f>DATE(punkt_szczepień__13[[#This Row],[rok]],punkt_szczepień__13[[#This Row],[miesiac]],punkt_szczepień__13[[#This Row],[dzień]])</f>
        <v>7453</v>
      </c>
      <c r="J598" s="1" t="str">
        <f>punkt_szczepień__13[[#This Row],[PESEL]]</f>
        <v>20052716283</v>
      </c>
      <c r="K598" s="1">
        <f>VALUE(MID(punkt_szczepień__13[[#This Row],[PESEL]],10,1))</f>
        <v>8</v>
      </c>
      <c r="L598" s="11" t="str">
        <f>IF(MOD(punkt_szczepień__13[[#This Row],[liczba płeć]],2)=0,"K","M")</f>
        <v>K</v>
      </c>
      <c r="M598" s="1"/>
      <c r="N598" s="1"/>
    </row>
    <row r="599" spans="1:14" x14ac:dyDescent="0.25">
      <c r="A599" s="1" t="s">
        <v>605</v>
      </c>
      <c r="B599" s="1" t="s">
        <v>27</v>
      </c>
      <c r="C599" s="2">
        <v>0.56336805555555558</v>
      </c>
      <c r="D599">
        <v>2</v>
      </c>
      <c r="E599">
        <f>VALUE(RIGHT(LEFT(punkt_szczepień__13[[#This Row],[PESEL]],4),2))</f>
        <v>23</v>
      </c>
      <c r="F599" s="11">
        <f>MOD(punkt_szczepień__13[[#This Row],[liczba miesiac]],20)</f>
        <v>3</v>
      </c>
      <c r="G599" s="11">
        <f>VLOOKUP(punkt_szczepień__13[[#This Row],[liczba miesiac]]-punkt_szczepień__13[[#This Row],[miesiac]],$O$3:$P$7,2,0)+VALUE(LEFT(punkt_szczepień__13[[#This Row],[PESEL]],2))</f>
        <v>2007</v>
      </c>
      <c r="H599" s="11">
        <f>VALUE(RIGHT(LEFT(punkt_szczepień__13[[#This Row],[PESEL]],6),2))</f>
        <v>9</v>
      </c>
      <c r="I599" s="3">
        <f>DATE(punkt_szczepień__13[[#This Row],[rok]],punkt_szczepień__13[[#This Row],[miesiac]],punkt_szczepień__13[[#This Row],[dzień]])</f>
        <v>39150</v>
      </c>
      <c r="J599" s="1" t="str">
        <f>punkt_szczepień__13[[#This Row],[PESEL]]</f>
        <v>07230934929</v>
      </c>
      <c r="K599" s="1">
        <f>VALUE(MID(punkt_szczepień__13[[#This Row],[PESEL]],10,1))</f>
        <v>2</v>
      </c>
      <c r="L599" s="11" t="str">
        <f>IF(MOD(punkt_szczepień__13[[#This Row],[liczba płeć]],2)=0,"K","M")</f>
        <v>K</v>
      </c>
      <c r="M599" s="1"/>
      <c r="N599" s="1"/>
    </row>
    <row r="600" spans="1:14" x14ac:dyDescent="0.25">
      <c r="A600" s="1" t="s">
        <v>606</v>
      </c>
      <c r="B600" s="1" t="s">
        <v>7</v>
      </c>
      <c r="C600" s="2">
        <v>0.56365740740740744</v>
      </c>
      <c r="D600">
        <v>1</v>
      </c>
      <c r="E600">
        <f>VALUE(RIGHT(LEFT(punkt_szczepień__13[[#This Row],[PESEL]],4),2))</f>
        <v>7</v>
      </c>
      <c r="F600" s="11">
        <f>MOD(punkt_szczepień__13[[#This Row],[liczba miesiac]],20)</f>
        <v>7</v>
      </c>
      <c r="G600" s="11">
        <f>VLOOKUP(punkt_szczepień__13[[#This Row],[liczba miesiac]]-punkt_szczepień__13[[#This Row],[miesiac]],$O$3:$P$7,2,0)+VALUE(LEFT(punkt_szczepień__13[[#This Row],[PESEL]],2))</f>
        <v>1961</v>
      </c>
      <c r="H600" s="11">
        <f>VALUE(RIGHT(LEFT(punkt_szczepień__13[[#This Row],[PESEL]],6),2))</f>
        <v>1</v>
      </c>
      <c r="I600" s="3">
        <f>DATE(punkt_szczepień__13[[#This Row],[rok]],punkt_szczepień__13[[#This Row],[miesiac]],punkt_szczepień__13[[#This Row],[dzień]])</f>
        <v>22463</v>
      </c>
      <c r="J600" s="1" t="str">
        <f>punkt_szczepień__13[[#This Row],[PESEL]]</f>
        <v>61070152859</v>
      </c>
      <c r="K600" s="1">
        <f>VALUE(MID(punkt_szczepień__13[[#This Row],[PESEL]],10,1))</f>
        <v>5</v>
      </c>
      <c r="L600" s="11" t="str">
        <f>IF(MOD(punkt_szczepień__13[[#This Row],[liczba płeć]],2)=0,"K","M")</f>
        <v>M</v>
      </c>
      <c r="M600" s="1"/>
      <c r="N600" s="1"/>
    </row>
    <row r="601" spans="1:14" x14ac:dyDescent="0.25">
      <c r="A601" s="1" t="s">
        <v>607</v>
      </c>
      <c r="B601" s="1" t="s">
        <v>9</v>
      </c>
      <c r="C601" s="2">
        <v>0.56423611111111116</v>
      </c>
      <c r="D601">
        <v>2</v>
      </c>
      <c r="E601">
        <f>VALUE(RIGHT(LEFT(punkt_szczepień__13[[#This Row],[PESEL]],4),2))</f>
        <v>1</v>
      </c>
      <c r="F601" s="11">
        <f>MOD(punkt_szczepień__13[[#This Row],[liczba miesiac]],20)</f>
        <v>1</v>
      </c>
      <c r="G601" s="11">
        <f>VLOOKUP(punkt_szczepień__13[[#This Row],[liczba miesiac]]-punkt_szczepień__13[[#This Row],[miesiac]],$O$3:$P$7,2,0)+VALUE(LEFT(punkt_szczepień__13[[#This Row],[PESEL]],2))</f>
        <v>1948</v>
      </c>
      <c r="H601" s="11">
        <f>VALUE(RIGHT(LEFT(punkt_szczepień__13[[#This Row],[PESEL]],6),2))</f>
        <v>14</v>
      </c>
      <c r="I601" s="3">
        <f>DATE(punkt_szczepień__13[[#This Row],[rok]],punkt_szczepień__13[[#This Row],[miesiac]],punkt_szczepień__13[[#This Row],[dzień]])</f>
        <v>17546</v>
      </c>
      <c r="J601" s="1" t="str">
        <f>punkt_szczepień__13[[#This Row],[PESEL]]</f>
        <v>48011459585</v>
      </c>
      <c r="K601" s="1">
        <f>VALUE(MID(punkt_szczepień__13[[#This Row],[PESEL]],10,1))</f>
        <v>8</v>
      </c>
      <c r="L601" s="11" t="str">
        <f>IF(MOD(punkt_szczepień__13[[#This Row],[liczba płeć]],2)=0,"K","M")</f>
        <v>K</v>
      </c>
      <c r="M601" s="1"/>
      <c r="N601" s="1"/>
    </row>
    <row r="602" spans="1:14" x14ac:dyDescent="0.25">
      <c r="A602" s="1" t="s">
        <v>608</v>
      </c>
      <c r="B602" s="1" t="s">
        <v>9</v>
      </c>
      <c r="C602" s="2">
        <v>0.56452546296296291</v>
      </c>
      <c r="D602">
        <v>1</v>
      </c>
      <c r="E602">
        <f>VALUE(RIGHT(LEFT(punkt_szczepień__13[[#This Row],[PESEL]],4),2))</f>
        <v>10</v>
      </c>
      <c r="F602" s="11">
        <f>MOD(punkt_szczepień__13[[#This Row],[liczba miesiac]],20)</f>
        <v>10</v>
      </c>
      <c r="G602" s="11">
        <f>VLOOKUP(punkt_szczepień__13[[#This Row],[liczba miesiac]]-punkt_szczepień__13[[#This Row],[miesiac]],$O$3:$P$7,2,0)+VALUE(LEFT(punkt_szczepień__13[[#This Row],[PESEL]],2))</f>
        <v>1968</v>
      </c>
      <c r="H602" s="11">
        <f>VALUE(RIGHT(LEFT(punkt_szczepień__13[[#This Row],[PESEL]],6),2))</f>
        <v>21</v>
      </c>
      <c r="I602" s="3">
        <f>DATE(punkt_szczepień__13[[#This Row],[rok]],punkt_szczepień__13[[#This Row],[miesiac]],punkt_szczepień__13[[#This Row],[dzień]])</f>
        <v>25132</v>
      </c>
      <c r="J602" s="1" t="str">
        <f>punkt_szczepień__13[[#This Row],[PESEL]]</f>
        <v>68102192991</v>
      </c>
      <c r="K602" s="1">
        <f>VALUE(MID(punkt_szczepień__13[[#This Row],[PESEL]],10,1))</f>
        <v>9</v>
      </c>
      <c r="L602" s="11" t="str">
        <f>IF(MOD(punkt_szczepień__13[[#This Row],[liczba płeć]],2)=0,"K","M")</f>
        <v>M</v>
      </c>
      <c r="M602" s="1"/>
      <c r="N602" s="1"/>
    </row>
    <row r="603" spans="1:14" x14ac:dyDescent="0.25">
      <c r="A603" s="1" t="s">
        <v>609</v>
      </c>
      <c r="B603" s="1" t="s">
        <v>7</v>
      </c>
      <c r="C603" s="2">
        <v>0.56481481481481477</v>
      </c>
      <c r="D603">
        <v>1</v>
      </c>
      <c r="E603">
        <f>VALUE(RIGHT(LEFT(punkt_szczepień__13[[#This Row],[PESEL]],4),2))</f>
        <v>6</v>
      </c>
      <c r="F603" s="11">
        <f>MOD(punkt_szczepień__13[[#This Row],[liczba miesiac]],20)</f>
        <v>6</v>
      </c>
      <c r="G603" s="11">
        <f>VLOOKUP(punkt_szczepień__13[[#This Row],[liczba miesiac]]-punkt_szczepień__13[[#This Row],[miesiac]],$O$3:$P$7,2,0)+VALUE(LEFT(punkt_szczepień__13[[#This Row],[PESEL]],2))</f>
        <v>1949</v>
      </c>
      <c r="H603" s="11">
        <f>VALUE(RIGHT(LEFT(punkt_szczepień__13[[#This Row],[PESEL]],6),2))</f>
        <v>23</v>
      </c>
      <c r="I603" s="3">
        <f>DATE(punkt_szczepień__13[[#This Row],[rok]],punkt_szczepień__13[[#This Row],[miesiac]],punkt_szczepień__13[[#This Row],[dzień]])</f>
        <v>18072</v>
      </c>
      <c r="J603" s="1" t="str">
        <f>punkt_szczepień__13[[#This Row],[PESEL]]</f>
        <v>49062323812</v>
      </c>
      <c r="K603" s="1">
        <f>VALUE(MID(punkt_szczepień__13[[#This Row],[PESEL]],10,1))</f>
        <v>1</v>
      </c>
      <c r="L603" s="11" t="str">
        <f>IF(MOD(punkt_szczepień__13[[#This Row],[liczba płeć]],2)=0,"K","M")</f>
        <v>M</v>
      </c>
      <c r="M603" s="1"/>
      <c r="N603" s="1"/>
    </row>
    <row r="604" spans="1:14" x14ac:dyDescent="0.25">
      <c r="A604" s="1" t="s">
        <v>610</v>
      </c>
      <c r="B604" s="1" t="s">
        <v>7</v>
      </c>
      <c r="C604" s="2">
        <v>0.56510416666666663</v>
      </c>
      <c r="D604">
        <v>1</v>
      </c>
      <c r="E604">
        <f>VALUE(RIGHT(LEFT(punkt_szczepień__13[[#This Row],[PESEL]],4),2))</f>
        <v>12</v>
      </c>
      <c r="F604" s="11">
        <f>MOD(punkt_szczepień__13[[#This Row],[liczba miesiac]],20)</f>
        <v>12</v>
      </c>
      <c r="G604" s="11">
        <f>VLOOKUP(punkt_szczepień__13[[#This Row],[liczba miesiac]]-punkt_szczepień__13[[#This Row],[miesiac]],$O$3:$P$7,2,0)+VALUE(LEFT(punkt_szczepień__13[[#This Row],[PESEL]],2))</f>
        <v>1948</v>
      </c>
      <c r="H604" s="11">
        <f>VALUE(RIGHT(LEFT(punkt_szczepień__13[[#This Row],[PESEL]],6),2))</f>
        <v>30</v>
      </c>
      <c r="I604" s="3">
        <f>DATE(punkt_szczepień__13[[#This Row],[rok]],punkt_szczepień__13[[#This Row],[miesiac]],punkt_szczepień__13[[#This Row],[dzień]])</f>
        <v>17897</v>
      </c>
      <c r="J604" s="1" t="str">
        <f>punkt_szczepień__13[[#This Row],[PESEL]]</f>
        <v>48123076117</v>
      </c>
      <c r="K604" s="1">
        <f>VALUE(MID(punkt_szczepień__13[[#This Row],[PESEL]],10,1))</f>
        <v>1</v>
      </c>
      <c r="L604" s="11" t="str">
        <f>IF(MOD(punkt_szczepień__13[[#This Row],[liczba płeć]],2)=0,"K","M")</f>
        <v>M</v>
      </c>
      <c r="M604" s="1"/>
      <c r="N604" s="1"/>
    </row>
    <row r="605" spans="1:14" x14ac:dyDescent="0.25">
      <c r="A605" s="1" t="s">
        <v>611</v>
      </c>
      <c r="B605" s="1" t="s">
        <v>9</v>
      </c>
      <c r="C605" s="2">
        <v>0.56539351851851849</v>
      </c>
      <c r="D605">
        <v>1</v>
      </c>
      <c r="E605">
        <f>VALUE(RIGHT(LEFT(punkt_szczepień__13[[#This Row],[PESEL]],4),2))</f>
        <v>8</v>
      </c>
      <c r="F605" s="11">
        <f>MOD(punkt_szczepień__13[[#This Row],[liczba miesiac]],20)</f>
        <v>8</v>
      </c>
      <c r="G605" s="11">
        <f>VLOOKUP(punkt_szczepień__13[[#This Row],[liczba miesiac]]-punkt_szczepień__13[[#This Row],[miesiac]],$O$3:$P$7,2,0)+VALUE(LEFT(punkt_szczepień__13[[#This Row],[PESEL]],2))</f>
        <v>1977</v>
      </c>
      <c r="H605" s="11">
        <f>VALUE(RIGHT(LEFT(punkt_szczepień__13[[#This Row],[PESEL]],6),2))</f>
        <v>13</v>
      </c>
      <c r="I605" s="3">
        <f>DATE(punkt_szczepień__13[[#This Row],[rok]],punkt_szczepień__13[[#This Row],[miesiac]],punkt_szczepień__13[[#This Row],[dzień]])</f>
        <v>28350</v>
      </c>
      <c r="J605" s="1" t="str">
        <f>punkt_szczepień__13[[#This Row],[PESEL]]</f>
        <v>77081388774</v>
      </c>
      <c r="K605" s="1">
        <f>VALUE(MID(punkt_szczepień__13[[#This Row],[PESEL]],10,1))</f>
        <v>7</v>
      </c>
      <c r="L605" s="11" t="str">
        <f>IF(MOD(punkt_szczepień__13[[#This Row],[liczba płeć]],2)=0,"K","M")</f>
        <v>M</v>
      </c>
      <c r="M605" s="1"/>
      <c r="N605" s="1"/>
    </row>
    <row r="606" spans="1:14" x14ac:dyDescent="0.25">
      <c r="A606" s="1" t="s">
        <v>612</v>
      </c>
      <c r="B606" s="1" t="s">
        <v>7</v>
      </c>
      <c r="C606" s="2">
        <v>0.56568287037037035</v>
      </c>
      <c r="D606">
        <v>1</v>
      </c>
      <c r="E606">
        <f>VALUE(RIGHT(LEFT(punkt_szczepień__13[[#This Row],[PESEL]],4),2))</f>
        <v>3</v>
      </c>
      <c r="F606" s="11">
        <f>MOD(punkt_szczepień__13[[#This Row],[liczba miesiac]],20)</f>
        <v>3</v>
      </c>
      <c r="G606" s="11">
        <f>VLOOKUP(punkt_szczepień__13[[#This Row],[liczba miesiac]]-punkt_szczepień__13[[#This Row],[miesiac]],$O$3:$P$7,2,0)+VALUE(LEFT(punkt_szczepień__13[[#This Row],[PESEL]],2))</f>
        <v>1998</v>
      </c>
      <c r="H606" s="11">
        <f>VALUE(RIGHT(LEFT(punkt_szczepień__13[[#This Row],[PESEL]],6),2))</f>
        <v>30</v>
      </c>
      <c r="I606" s="3">
        <f>DATE(punkt_szczepień__13[[#This Row],[rok]],punkt_szczepień__13[[#This Row],[miesiac]],punkt_szczepień__13[[#This Row],[dzień]])</f>
        <v>35884</v>
      </c>
      <c r="J606" s="1" t="str">
        <f>punkt_szczepień__13[[#This Row],[PESEL]]</f>
        <v>98033094657</v>
      </c>
      <c r="K606" s="1">
        <f>VALUE(MID(punkt_szczepień__13[[#This Row],[PESEL]],10,1))</f>
        <v>5</v>
      </c>
      <c r="L606" s="11" t="str">
        <f>IF(MOD(punkt_szczepień__13[[#This Row],[liczba płeć]],2)=0,"K","M")</f>
        <v>M</v>
      </c>
      <c r="M606" s="1"/>
      <c r="N606" s="1"/>
    </row>
    <row r="607" spans="1:14" x14ac:dyDescent="0.25">
      <c r="A607" s="1" t="s">
        <v>613</v>
      </c>
      <c r="B607" s="1" t="s">
        <v>27</v>
      </c>
      <c r="C607" s="2">
        <v>0.56597222222222221</v>
      </c>
      <c r="D607">
        <v>1</v>
      </c>
      <c r="E607">
        <f>VALUE(RIGHT(LEFT(punkt_szczepień__13[[#This Row],[PESEL]],4),2))</f>
        <v>3</v>
      </c>
      <c r="F607" s="11">
        <f>MOD(punkt_szczepień__13[[#This Row],[liczba miesiac]],20)</f>
        <v>3</v>
      </c>
      <c r="G607" s="11">
        <f>VLOOKUP(punkt_szczepień__13[[#This Row],[liczba miesiac]]-punkt_szczepień__13[[#This Row],[miesiac]],$O$3:$P$7,2,0)+VALUE(LEFT(punkt_szczepień__13[[#This Row],[PESEL]],2))</f>
        <v>1975</v>
      </c>
      <c r="H607" s="11">
        <f>VALUE(RIGHT(LEFT(punkt_szczepień__13[[#This Row],[PESEL]],6),2))</f>
        <v>30</v>
      </c>
      <c r="I607" s="3">
        <f>DATE(punkt_szczepień__13[[#This Row],[rok]],punkt_szczepień__13[[#This Row],[miesiac]],punkt_szczepień__13[[#This Row],[dzień]])</f>
        <v>27483</v>
      </c>
      <c r="J607" s="1" t="str">
        <f>punkt_szczepień__13[[#This Row],[PESEL]]</f>
        <v>75033075912</v>
      </c>
      <c r="K607" s="1">
        <f>VALUE(MID(punkt_szczepień__13[[#This Row],[PESEL]],10,1))</f>
        <v>1</v>
      </c>
      <c r="L607" s="11" t="str">
        <f>IF(MOD(punkt_szczepień__13[[#This Row],[liczba płeć]],2)=0,"K","M")</f>
        <v>M</v>
      </c>
      <c r="M607" s="1"/>
      <c r="N607" s="1"/>
    </row>
    <row r="608" spans="1:14" x14ac:dyDescent="0.25">
      <c r="A608" s="1" t="s">
        <v>614</v>
      </c>
      <c r="B608" s="1" t="s">
        <v>7</v>
      </c>
      <c r="C608" s="2">
        <v>0.56626157407407407</v>
      </c>
      <c r="D608">
        <v>1</v>
      </c>
      <c r="E608">
        <f>VALUE(RIGHT(LEFT(punkt_szczepień__13[[#This Row],[PESEL]],4),2))</f>
        <v>11</v>
      </c>
      <c r="F608" s="11">
        <f>MOD(punkt_szczepień__13[[#This Row],[liczba miesiac]],20)</f>
        <v>11</v>
      </c>
      <c r="G608" s="11">
        <f>VLOOKUP(punkt_szczepień__13[[#This Row],[liczba miesiac]]-punkt_szczepień__13[[#This Row],[miesiac]],$O$3:$P$7,2,0)+VALUE(LEFT(punkt_szczepień__13[[#This Row],[PESEL]],2))</f>
        <v>1977</v>
      </c>
      <c r="H608" s="11">
        <f>VALUE(RIGHT(LEFT(punkt_szczepień__13[[#This Row],[PESEL]],6),2))</f>
        <v>29</v>
      </c>
      <c r="I608" s="3">
        <f>DATE(punkt_szczepień__13[[#This Row],[rok]],punkt_szczepień__13[[#This Row],[miesiac]],punkt_szczepień__13[[#This Row],[dzień]])</f>
        <v>28458</v>
      </c>
      <c r="J608" s="1" t="str">
        <f>punkt_szczepień__13[[#This Row],[PESEL]]</f>
        <v>77112911681</v>
      </c>
      <c r="K608" s="1">
        <f>VALUE(MID(punkt_szczepień__13[[#This Row],[PESEL]],10,1))</f>
        <v>8</v>
      </c>
      <c r="L608" s="11" t="str">
        <f>IF(MOD(punkt_szczepień__13[[#This Row],[liczba płeć]],2)=0,"K","M")</f>
        <v>K</v>
      </c>
      <c r="M608" s="1"/>
      <c r="N608" s="1"/>
    </row>
    <row r="609" spans="1:14" x14ac:dyDescent="0.25">
      <c r="A609" s="1" t="s">
        <v>615</v>
      </c>
      <c r="B609" s="1" t="s">
        <v>9</v>
      </c>
      <c r="C609" s="2">
        <v>0.56684027777777779</v>
      </c>
      <c r="D609">
        <v>2</v>
      </c>
      <c r="E609">
        <f>VALUE(RIGHT(LEFT(punkt_szczepień__13[[#This Row],[PESEL]],4),2))</f>
        <v>8</v>
      </c>
      <c r="F609" s="11">
        <f>MOD(punkt_szczepień__13[[#This Row],[liczba miesiac]],20)</f>
        <v>8</v>
      </c>
      <c r="G609" s="11">
        <f>VLOOKUP(punkt_szczepień__13[[#This Row],[liczba miesiac]]-punkt_szczepień__13[[#This Row],[miesiac]],$O$3:$P$7,2,0)+VALUE(LEFT(punkt_szczepień__13[[#This Row],[PESEL]],2))</f>
        <v>1932</v>
      </c>
      <c r="H609" s="11">
        <f>VALUE(RIGHT(LEFT(punkt_szczepień__13[[#This Row],[PESEL]],6),2))</f>
        <v>29</v>
      </c>
      <c r="I609" s="3">
        <f>DATE(punkt_szczepień__13[[#This Row],[rok]],punkt_szczepień__13[[#This Row],[miesiac]],punkt_szczepień__13[[#This Row],[dzień]])</f>
        <v>11930</v>
      </c>
      <c r="J609" s="1" t="str">
        <f>punkt_szczepień__13[[#This Row],[PESEL]]</f>
        <v>32082919521</v>
      </c>
      <c r="K609" s="1">
        <f>VALUE(MID(punkt_szczepień__13[[#This Row],[PESEL]],10,1))</f>
        <v>2</v>
      </c>
      <c r="L609" s="11" t="str">
        <f>IF(MOD(punkt_szczepień__13[[#This Row],[liczba płeć]],2)=0,"K","M")</f>
        <v>K</v>
      </c>
      <c r="M609" s="1"/>
      <c r="N609" s="1"/>
    </row>
    <row r="610" spans="1:14" x14ac:dyDescent="0.25">
      <c r="A610" s="1" t="s">
        <v>616</v>
      </c>
      <c r="B610" s="1" t="s">
        <v>9</v>
      </c>
      <c r="C610" s="2">
        <v>0.56712962962962965</v>
      </c>
      <c r="D610">
        <v>1</v>
      </c>
      <c r="E610">
        <f>VALUE(RIGHT(LEFT(punkt_szczepień__13[[#This Row],[PESEL]],4),2))</f>
        <v>32</v>
      </c>
      <c r="F610" s="11">
        <f>MOD(punkt_szczepień__13[[#This Row],[liczba miesiac]],20)</f>
        <v>12</v>
      </c>
      <c r="G610" s="11">
        <f>VLOOKUP(punkt_szczepień__13[[#This Row],[liczba miesiac]]-punkt_szczepień__13[[#This Row],[miesiac]],$O$3:$P$7,2,0)+VALUE(LEFT(punkt_szczepień__13[[#This Row],[PESEL]],2))</f>
        <v>2007</v>
      </c>
      <c r="H610" s="11">
        <f>VALUE(RIGHT(LEFT(punkt_szczepień__13[[#This Row],[PESEL]],6),2))</f>
        <v>16</v>
      </c>
      <c r="I610" s="3">
        <f>DATE(punkt_szczepień__13[[#This Row],[rok]],punkt_szczepień__13[[#This Row],[miesiac]],punkt_szczepień__13[[#This Row],[dzień]])</f>
        <v>39432</v>
      </c>
      <c r="J610" s="1" t="str">
        <f>punkt_szczepień__13[[#This Row],[PESEL]]</f>
        <v>07321653122</v>
      </c>
      <c r="K610" s="1">
        <f>VALUE(MID(punkt_szczepień__13[[#This Row],[PESEL]],10,1))</f>
        <v>2</v>
      </c>
      <c r="L610" s="11" t="str">
        <f>IF(MOD(punkt_szczepień__13[[#This Row],[liczba płeć]],2)=0,"K","M")</f>
        <v>K</v>
      </c>
      <c r="M610" s="1"/>
      <c r="N610" s="1"/>
    </row>
    <row r="611" spans="1:14" x14ac:dyDescent="0.25">
      <c r="A611" s="1" t="s">
        <v>617</v>
      </c>
      <c r="B611" s="1" t="s">
        <v>9</v>
      </c>
      <c r="C611" s="2">
        <v>0.56741898148148151</v>
      </c>
      <c r="D611">
        <v>1</v>
      </c>
      <c r="E611">
        <f>VALUE(RIGHT(LEFT(punkt_szczepień__13[[#This Row],[PESEL]],4),2))</f>
        <v>5</v>
      </c>
      <c r="F611" s="11">
        <f>MOD(punkt_szczepień__13[[#This Row],[liczba miesiac]],20)</f>
        <v>5</v>
      </c>
      <c r="G611" s="11">
        <f>VLOOKUP(punkt_szczepień__13[[#This Row],[liczba miesiac]]-punkt_szczepień__13[[#This Row],[miesiac]],$O$3:$P$7,2,0)+VALUE(LEFT(punkt_szczepień__13[[#This Row],[PESEL]],2))</f>
        <v>1997</v>
      </c>
      <c r="H611" s="11">
        <f>VALUE(RIGHT(LEFT(punkt_szczepień__13[[#This Row],[PESEL]],6),2))</f>
        <v>14</v>
      </c>
      <c r="I611" s="3">
        <f>DATE(punkt_szczepień__13[[#This Row],[rok]],punkt_szczepień__13[[#This Row],[miesiac]],punkt_szczepień__13[[#This Row],[dzień]])</f>
        <v>35564</v>
      </c>
      <c r="J611" s="1" t="str">
        <f>punkt_szczepień__13[[#This Row],[PESEL]]</f>
        <v>97051475275</v>
      </c>
      <c r="K611" s="1">
        <f>VALUE(MID(punkt_szczepień__13[[#This Row],[PESEL]],10,1))</f>
        <v>7</v>
      </c>
      <c r="L611" s="11" t="str">
        <f>IF(MOD(punkt_szczepień__13[[#This Row],[liczba płeć]],2)=0,"K","M")</f>
        <v>M</v>
      </c>
      <c r="M611" s="1"/>
      <c r="N611" s="1"/>
    </row>
    <row r="612" spans="1:14" x14ac:dyDescent="0.25">
      <c r="A612" s="1" t="s">
        <v>618</v>
      </c>
      <c r="B612" s="1" t="s">
        <v>5</v>
      </c>
      <c r="C612" s="2">
        <v>0.56770833333333337</v>
      </c>
      <c r="D612">
        <v>1</v>
      </c>
      <c r="E612">
        <f>VALUE(RIGHT(LEFT(punkt_szczepień__13[[#This Row],[PESEL]],4),2))</f>
        <v>4</v>
      </c>
      <c r="F612" s="11">
        <f>MOD(punkt_szczepień__13[[#This Row],[liczba miesiac]],20)</f>
        <v>4</v>
      </c>
      <c r="G612" s="11">
        <f>VLOOKUP(punkt_szczepień__13[[#This Row],[liczba miesiac]]-punkt_szczepień__13[[#This Row],[miesiac]],$O$3:$P$7,2,0)+VALUE(LEFT(punkt_szczepień__13[[#This Row],[PESEL]],2))</f>
        <v>1983</v>
      </c>
      <c r="H612" s="11">
        <f>VALUE(RIGHT(LEFT(punkt_szczepień__13[[#This Row],[PESEL]],6),2))</f>
        <v>1</v>
      </c>
      <c r="I612" s="3">
        <f>DATE(punkt_szczepień__13[[#This Row],[rok]],punkt_szczepień__13[[#This Row],[miesiac]],punkt_szczepień__13[[#This Row],[dzień]])</f>
        <v>30407</v>
      </c>
      <c r="J612" s="1" t="str">
        <f>punkt_szczepień__13[[#This Row],[PESEL]]</f>
        <v>83040151116</v>
      </c>
      <c r="K612" s="1">
        <f>VALUE(MID(punkt_szczepień__13[[#This Row],[PESEL]],10,1))</f>
        <v>1</v>
      </c>
      <c r="L612" s="11" t="str">
        <f>IF(MOD(punkt_szczepień__13[[#This Row],[liczba płeć]],2)=0,"K","M")</f>
        <v>M</v>
      </c>
      <c r="M612" s="1"/>
      <c r="N612" s="1"/>
    </row>
    <row r="613" spans="1:14" x14ac:dyDescent="0.25">
      <c r="A613" s="1" t="s">
        <v>619</v>
      </c>
      <c r="B613" s="1" t="s">
        <v>7</v>
      </c>
      <c r="C613" s="2">
        <v>0.56799768518518523</v>
      </c>
      <c r="D613">
        <v>1</v>
      </c>
      <c r="E613">
        <f>VALUE(RIGHT(LEFT(punkt_szczepień__13[[#This Row],[PESEL]],4),2))</f>
        <v>7</v>
      </c>
      <c r="F613" s="11">
        <f>MOD(punkt_szczepień__13[[#This Row],[liczba miesiac]],20)</f>
        <v>7</v>
      </c>
      <c r="G613" s="11">
        <f>VLOOKUP(punkt_szczepień__13[[#This Row],[liczba miesiac]]-punkt_szczepień__13[[#This Row],[miesiac]],$O$3:$P$7,2,0)+VALUE(LEFT(punkt_szczepień__13[[#This Row],[PESEL]],2))</f>
        <v>1956</v>
      </c>
      <c r="H613" s="11">
        <f>VALUE(RIGHT(LEFT(punkt_szczepień__13[[#This Row],[PESEL]],6),2))</f>
        <v>14</v>
      </c>
      <c r="I613" s="3">
        <f>DATE(punkt_szczepień__13[[#This Row],[rok]],punkt_szczepień__13[[#This Row],[miesiac]],punkt_szczepień__13[[#This Row],[dzień]])</f>
        <v>20650</v>
      </c>
      <c r="J613" s="1" t="str">
        <f>punkt_szczepień__13[[#This Row],[PESEL]]</f>
        <v>56071482434</v>
      </c>
      <c r="K613" s="1">
        <f>VALUE(MID(punkt_szczepień__13[[#This Row],[PESEL]],10,1))</f>
        <v>3</v>
      </c>
      <c r="L613" s="11" t="str">
        <f>IF(MOD(punkt_szczepień__13[[#This Row],[liczba płeć]],2)=0,"K","M")</f>
        <v>M</v>
      </c>
      <c r="M613" s="1"/>
      <c r="N613" s="1"/>
    </row>
    <row r="614" spans="1:14" x14ac:dyDescent="0.25">
      <c r="A614" s="1" t="s">
        <v>620</v>
      </c>
      <c r="B614" s="1" t="s">
        <v>9</v>
      </c>
      <c r="C614" s="2">
        <v>0.56828703703703709</v>
      </c>
      <c r="D614">
        <v>1</v>
      </c>
      <c r="E614">
        <f>VALUE(RIGHT(LEFT(punkt_szczepień__13[[#This Row],[PESEL]],4),2))</f>
        <v>29</v>
      </c>
      <c r="F614" s="11">
        <f>MOD(punkt_szczepień__13[[#This Row],[liczba miesiac]],20)</f>
        <v>9</v>
      </c>
      <c r="G614" s="11">
        <f>VLOOKUP(punkt_szczepień__13[[#This Row],[liczba miesiac]]-punkt_szczepień__13[[#This Row],[miesiac]],$O$3:$P$7,2,0)+VALUE(LEFT(punkt_szczepień__13[[#This Row],[PESEL]],2))</f>
        <v>2000</v>
      </c>
      <c r="H614" s="11">
        <f>VALUE(RIGHT(LEFT(punkt_szczepień__13[[#This Row],[PESEL]],6),2))</f>
        <v>24</v>
      </c>
      <c r="I614" s="3">
        <f>DATE(punkt_szczepień__13[[#This Row],[rok]],punkt_szczepień__13[[#This Row],[miesiac]],punkt_szczepień__13[[#This Row],[dzień]])</f>
        <v>36793</v>
      </c>
      <c r="J614" s="1" t="str">
        <f>punkt_szczepień__13[[#This Row],[PESEL]]</f>
        <v>00292475236</v>
      </c>
      <c r="K614" s="1">
        <f>VALUE(MID(punkt_szczepień__13[[#This Row],[PESEL]],10,1))</f>
        <v>3</v>
      </c>
      <c r="L614" s="11" t="str">
        <f>IF(MOD(punkt_szczepień__13[[#This Row],[liczba płeć]],2)=0,"K","M")</f>
        <v>M</v>
      </c>
      <c r="M614" s="1"/>
      <c r="N614" s="1"/>
    </row>
    <row r="615" spans="1:14" x14ac:dyDescent="0.25">
      <c r="A615" s="1" t="s">
        <v>621</v>
      </c>
      <c r="B615" s="1" t="s">
        <v>7</v>
      </c>
      <c r="C615" s="2">
        <v>0.56857638888888884</v>
      </c>
      <c r="D615">
        <v>1</v>
      </c>
      <c r="E615">
        <f>VALUE(RIGHT(LEFT(punkt_szczepień__13[[#This Row],[PESEL]],4),2))</f>
        <v>2</v>
      </c>
      <c r="F615" s="11">
        <f>MOD(punkt_szczepień__13[[#This Row],[liczba miesiac]],20)</f>
        <v>2</v>
      </c>
      <c r="G615" s="11">
        <f>VLOOKUP(punkt_szczepień__13[[#This Row],[liczba miesiac]]-punkt_szczepień__13[[#This Row],[miesiac]],$O$3:$P$7,2,0)+VALUE(LEFT(punkt_szczepień__13[[#This Row],[PESEL]],2))</f>
        <v>1973</v>
      </c>
      <c r="H615" s="11">
        <f>VALUE(RIGHT(LEFT(punkt_szczepień__13[[#This Row],[PESEL]],6),2))</f>
        <v>28</v>
      </c>
      <c r="I615" s="3">
        <f>DATE(punkt_szczepień__13[[#This Row],[rok]],punkt_szczepień__13[[#This Row],[miesiac]],punkt_szczepień__13[[#This Row],[dzień]])</f>
        <v>26723</v>
      </c>
      <c r="J615" s="1" t="str">
        <f>punkt_szczepień__13[[#This Row],[PESEL]]</f>
        <v>73022861658</v>
      </c>
      <c r="K615" s="1">
        <f>VALUE(MID(punkt_szczepień__13[[#This Row],[PESEL]],10,1))</f>
        <v>5</v>
      </c>
      <c r="L615" s="11" t="str">
        <f>IF(MOD(punkt_szczepień__13[[#This Row],[liczba płeć]],2)=0,"K","M")</f>
        <v>M</v>
      </c>
      <c r="M615" s="1"/>
      <c r="N615" s="1"/>
    </row>
    <row r="616" spans="1:14" x14ac:dyDescent="0.25">
      <c r="A616" s="1" t="s">
        <v>622</v>
      </c>
      <c r="B616" s="1" t="s">
        <v>5</v>
      </c>
      <c r="C616" s="2">
        <v>0.56915509259259256</v>
      </c>
      <c r="D616">
        <v>2</v>
      </c>
      <c r="E616">
        <f>VALUE(RIGHT(LEFT(punkt_szczepień__13[[#This Row],[PESEL]],4),2))</f>
        <v>5</v>
      </c>
      <c r="F616" s="11">
        <f>MOD(punkt_szczepień__13[[#This Row],[liczba miesiac]],20)</f>
        <v>5</v>
      </c>
      <c r="G616" s="11">
        <f>VLOOKUP(punkt_szczepień__13[[#This Row],[liczba miesiac]]-punkt_szczepień__13[[#This Row],[miesiac]],$O$3:$P$7,2,0)+VALUE(LEFT(punkt_szczepień__13[[#This Row],[PESEL]],2))</f>
        <v>1997</v>
      </c>
      <c r="H616" s="11">
        <f>VALUE(RIGHT(LEFT(punkt_szczepień__13[[#This Row],[PESEL]],6),2))</f>
        <v>18</v>
      </c>
      <c r="I616" s="3">
        <f>DATE(punkt_szczepień__13[[#This Row],[rok]],punkt_szczepień__13[[#This Row],[miesiac]],punkt_szczepień__13[[#This Row],[dzień]])</f>
        <v>35568</v>
      </c>
      <c r="J616" s="1" t="str">
        <f>punkt_szczepień__13[[#This Row],[PESEL]]</f>
        <v>97051868914</v>
      </c>
      <c r="K616" s="1">
        <f>VALUE(MID(punkt_szczepień__13[[#This Row],[PESEL]],10,1))</f>
        <v>1</v>
      </c>
      <c r="L616" s="11" t="str">
        <f>IF(MOD(punkt_szczepień__13[[#This Row],[liczba płeć]],2)=0,"K","M")</f>
        <v>M</v>
      </c>
      <c r="M616" s="1"/>
      <c r="N616" s="1"/>
    </row>
    <row r="617" spans="1:14" x14ac:dyDescent="0.25">
      <c r="A617" s="1" t="s">
        <v>623</v>
      </c>
      <c r="B617" s="1" t="s">
        <v>9</v>
      </c>
      <c r="C617" s="2">
        <v>0.56944444444444442</v>
      </c>
      <c r="D617">
        <v>1</v>
      </c>
      <c r="E617">
        <f>VALUE(RIGHT(LEFT(punkt_szczepień__13[[#This Row],[PESEL]],4),2))</f>
        <v>8</v>
      </c>
      <c r="F617" s="11">
        <f>MOD(punkt_szczepień__13[[#This Row],[liczba miesiac]],20)</f>
        <v>8</v>
      </c>
      <c r="G617" s="11">
        <f>VLOOKUP(punkt_szczepień__13[[#This Row],[liczba miesiac]]-punkt_szczepień__13[[#This Row],[miesiac]],$O$3:$P$7,2,0)+VALUE(LEFT(punkt_szczepień__13[[#This Row],[PESEL]],2))</f>
        <v>1998</v>
      </c>
      <c r="H617" s="11">
        <f>VALUE(RIGHT(LEFT(punkt_szczepień__13[[#This Row],[PESEL]],6),2))</f>
        <v>24</v>
      </c>
      <c r="I617" s="3">
        <f>DATE(punkt_szczepień__13[[#This Row],[rok]],punkt_szczepień__13[[#This Row],[miesiac]],punkt_szczepień__13[[#This Row],[dzień]])</f>
        <v>36031</v>
      </c>
      <c r="J617" s="1" t="str">
        <f>punkt_szczepień__13[[#This Row],[PESEL]]</f>
        <v>98082439627</v>
      </c>
      <c r="K617" s="1">
        <f>VALUE(MID(punkt_szczepień__13[[#This Row],[PESEL]],10,1))</f>
        <v>2</v>
      </c>
      <c r="L617" s="11" t="str">
        <f>IF(MOD(punkt_szczepień__13[[#This Row],[liczba płeć]],2)=0,"K","M")</f>
        <v>K</v>
      </c>
      <c r="M617" s="1"/>
      <c r="N617" s="1"/>
    </row>
    <row r="618" spans="1:14" x14ac:dyDescent="0.25">
      <c r="A618" s="1" t="s">
        <v>624</v>
      </c>
      <c r="B618" s="1" t="s">
        <v>7</v>
      </c>
      <c r="C618" s="2">
        <v>0.56973379629629628</v>
      </c>
      <c r="D618">
        <v>1</v>
      </c>
      <c r="E618">
        <f>VALUE(RIGHT(LEFT(punkt_szczepień__13[[#This Row],[PESEL]],4),2))</f>
        <v>4</v>
      </c>
      <c r="F618" s="11">
        <f>MOD(punkt_szczepień__13[[#This Row],[liczba miesiac]],20)</f>
        <v>4</v>
      </c>
      <c r="G618" s="11">
        <f>VLOOKUP(punkt_szczepień__13[[#This Row],[liczba miesiac]]-punkt_szczepień__13[[#This Row],[miesiac]],$O$3:$P$7,2,0)+VALUE(LEFT(punkt_szczepień__13[[#This Row],[PESEL]],2))</f>
        <v>1927</v>
      </c>
      <c r="H618" s="11">
        <f>VALUE(RIGHT(LEFT(punkt_szczepień__13[[#This Row],[PESEL]],6),2))</f>
        <v>13</v>
      </c>
      <c r="I618" s="3">
        <f>DATE(punkt_szczepień__13[[#This Row],[rok]],punkt_szczepień__13[[#This Row],[miesiac]],punkt_szczepień__13[[#This Row],[dzień]])</f>
        <v>9965</v>
      </c>
      <c r="J618" s="1" t="str">
        <f>punkt_szczepień__13[[#This Row],[PESEL]]</f>
        <v>27041396967</v>
      </c>
      <c r="K618" s="1">
        <f>VALUE(MID(punkt_szczepień__13[[#This Row],[PESEL]],10,1))</f>
        <v>6</v>
      </c>
      <c r="L618" s="11" t="str">
        <f>IF(MOD(punkt_szczepień__13[[#This Row],[liczba płeć]],2)=0,"K","M")</f>
        <v>K</v>
      </c>
      <c r="M618" s="1"/>
      <c r="N618" s="1"/>
    </row>
    <row r="619" spans="1:14" x14ac:dyDescent="0.25">
      <c r="A619" s="1" t="s">
        <v>625</v>
      </c>
      <c r="B619" s="1" t="s">
        <v>5</v>
      </c>
      <c r="C619" s="2">
        <v>0.5703125</v>
      </c>
      <c r="D619">
        <v>2</v>
      </c>
      <c r="E619">
        <f>VALUE(RIGHT(LEFT(punkt_szczepień__13[[#This Row],[PESEL]],4),2))</f>
        <v>1</v>
      </c>
      <c r="F619" s="11">
        <f>MOD(punkt_szczepień__13[[#This Row],[liczba miesiac]],20)</f>
        <v>1</v>
      </c>
      <c r="G619" s="11">
        <f>VLOOKUP(punkt_szczepień__13[[#This Row],[liczba miesiac]]-punkt_szczepień__13[[#This Row],[miesiac]],$O$3:$P$7,2,0)+VALUE(LEFT(punkt_szczepień__13[[#This Row],[PESEL]],2))</f>
        <v>1952</v>
      </c>
      <c r="H619" s="11">
        <f>VALUE(RIGHT(LEFT(punkt_szczepień__13[[#This Row],[PESEL]],6),2))</f>
        <v>10</v>
      </c>
      <c r="I619" s="3">
        <f>DATE(punkt_szczepień__13[[#This Row],[rok]],punkt_szczepień__13[[#This Row],[miesiac]],punkt_szczepień__13[[#This Row],[dzień]])</f>
        <v>19003</v>
      </c>
      <c r="J619" s="1" t="str">
        <f>punkt_szczepień__13[[#This Row],[PESEL]]</f>
        <v>52011078749</v>
      </c>
      <c r="K619" s="1">
        <f>VALUE(MID(punkt_szczepień__13[[#This Row],[PESEL]],10,1))</f>
        <v>4</v>
      </c>
      <c r="L619" s="11" t="str">
        <f>IF(MOD(punkt_szczepień__13[[#This Row],[liczba płeć]],2)=0,"K","M")</f>
        <v>K</v>
      </c>
      <c r="M619" s="1"/>
      <c r="N619" s="1"/>
    </row>
    <row r="620" spans="1:14" x14ac:dyDescent="0.25">
      <c r="A620" s="1" t="s">
        <v>626</v>
      </c>
      <c r="B620" s="1" t="s">
        <v>5</v>
      </c>
      <c r="C620" s="2">
        <v>0.57060185185185186</v>
      </c>
      <c r="D620">
        <v>1</v>
      </c>
      <c r="E620">
        <f>VALUE(RIGHT(LEFT(punkt_szczepień__13[[#This Row],[PESEL]],4),2))</f>
        <v>11</v>
      </c>
      <c r="F620" s="11">
        <f>MOD(punkt_szczepień__13[[#This Row],[liczba miesiac]],20)</f>
        <v>11</v>
      </c>
      <c r="G620" s="11">
        <f>VLOOKUP(punkt_szczepień__13[[#This Row],[liczba miesiac]]-punkt_szczepień__13[[#This Row],[miesiac]],$O$3:$P$7,2,0)+VALUE(LEFT(punkt_szczepień__13[[#This Row],[PESEL]],2))</f>
        <v>1940</v>
      </c>
      <c r="H620" s="11">
        <f>VALUE(RIGHT(LEFT(punkt_szczepień__13[[#This Row],[PESEL]],6),2))</f>
        <v>29</v>
      </c>
      <c r="I620" s="3">
        <f>DATE(punkt_szczepień__13[[#This Row],[rok]],punkt_szczepień__13[[#This Row],[miesiac]],punkt_szczepień__13[[#This Row],[dzień]])</f>
        <v>14944</v>
      </c>
      <c r="J620" s="1" t="str">
        <f>punkt_szczepień__13[[#This Row],[PESEL]]</f>
        <v>40112924179</v>
      </c>
      <c r="K620" s="1">
        <f>VALUE(MID(punkt_szczepień__13[[#This Row],[PESEL]],10,1))</f>
        <v>7</v>
      </c>
      <c r="L620" s="11" t="str">
        <f>IF(MOD(punkt_szczepień__13[[#This Row],[liczba płeć]],2)=0,"K","M")</f>
        <v>M</v>
      </c>
      <c r="M620" s="1"/>
      <c r="N620" s="1"/>
    </row>
    <row r="621" spans="1:14" x14ac:dyDescent="0.25">
      <c r="A621" s="1" t="s">
        <v>627</v>
      </c>
      <c r="B621" s="1" t="s">
        <v>7</v>
      </c>
      <c r="C621" s="2">
        <v>0.57089120370370372</v>
      </c>
      <c r="D621">
        <v>1</v>
      </c>
      <c r="E621">
        <f>VALUE(RIGHT(LEFT(punkt_szczepień__13[[#This Row],[PESEL]],4),2))</f>
        <v>9</v>
      </c>
      <c r="F621" s="11">
        <f>MOD(punkt_szczepień__13[[#This Row],[liczba miesiac]],20)</f>
        <v>9</v>
      </c>
      <c r="G621" s="11">
        <f>VLOOKUP(punkt_szczepień__13[[#This Row],[liczba miesiac]]-punkt_szczepień__13[[#This Row],[miesiac]],$O$3:$P$7,2,0)+VALUE(LEFT(punkt_szczepień__13[[#This Row],[PESEL]],2))</f>
        <v>1938</v>
      </c>
      <c r="H621" s="11">
        <f>VALUE(RIGHT(LEFT(punkt_szczepień__13[[#This Row],[PESEL]],6),2))</f>
        <v>18</v>
      </c>
      <c r="I621" s="3">
        <f>DATE(punkt_szczepień__13[[#This Row],[rok]],punkt_szczepień__13[[#This Row],[miesiac]],punkt_szczepień__13[[#This Row],[dzień]])</f>
        <v>14141</v>
      </c>
      <c r="J621" s="1" t="str">
        <f>punkt_szczepień__13[[#This Row],[PESEL]]</f>
        <v>38091826412</v>
      </c>
      <c r="K621" s="1">
        <f>VALUE(MID(punkt_szczepień__13[[#This Row],[PESEL]],10,1))</f>
        <v>1</v>
      </c>
      <c r="L621" s="11" t="str">
        <f>IF(MOD(punkt_szczepień__13[[#This Row],[liczba płeć]],2)=0,"K","M")</f>
        <v>M</v>
      </c>
      <c r="M621" s="1"/>
      <c r="N621" s="1"/>
    </row>
    <row r="622" spans="1:14" x14ac:dyDescent="0.25">
      <c r="A622" s="1" t="s">
        <v>628</v>
      </c>
      <c r="B622" s="1" t="s">
        <v>9</v>
      </c>
      <c r="C622" s="2">
        <v>0.57118055555555558</v>
      </c>
      <c r="D622">
        <v>1</v>
      </c>
      <c r="E622">
        <f>VALUE(RIGHT(LEFT(punkt_szczepień__13[[#This Row],[PESEL]],4),2))</f>
        <v>5</v>
      </c>
      <c r="F622" s="11">
        <f>MOD(punkt_szczepień__13[[#This Row],[liczba miesiac]],20)</f>
        <v>5</v>
      </c>
      <c r="G622" s="11">
        <f>VLOOKUP(punkt_szczepień__13[[#This Row],[liczba miesiac]]-punkt_szczepień__13[[#This Row],[miesiac]],$O$3:$P$7,2,0)+VALUE(LEFT(punkt_szczepień__13[[#This Row],[PESEL]],2))</f>
        <v>1983</v>
      </c>
      <c r="H622" s="11">
        <f>VALUE(RIGHT(LEFT(punkt_szczepień__13[[#This Row],[PESEL]],6),2))</f>
        <v>10</v>
      </c>
      <c r="I622" s="3">
        <f>DATE(punkt_szczepień__13[[#This Row],[rok]],punkt_szczepień__13[[#This Row],[miesiac]],punkt_szczepień__13[[#This Row],[dzień]])</f>
        <v>30446</v>
      </c>
      <c r="J622" s="1" t="str">
        <f>punkt_szczepień__13[[#This Row],[PESEL]]</f>
        <v>83051049688</v>
      </c>
      <c r="K622" s="1">
        <f>VALUE(MID(punkt_szczepień__13[[#This Row],[PESEL]],10,1))</f>
        <v>8</v>
      </c>
      <c r="L622" s="11" t="str">
        <f>IF(MOD(punkt_szczepień__13[[#This Row],[liczba płeć]],2)=0,"K","M")</f>
        <v>K</v>
      </c>
      <c r="M622" s="1"/>
      <c r="N622" s="1"/>
    </row>
    <row r="623" spans="1:14" x14ac:dyDescent="0.25">
      <c r="A623" s="1" t="s">
        <v>629</v>
      </c>
      <c r="B623" s="1" t="s">
        <v>7</v>
      </c>
      <c r="C623" s="2">
        <v>0.57146990740740744</v>
      </c>
      <c r="D623">
        <v>1</v>
      </c>
      <c r="E623">
        <f>VALUE(RIGHT(LEFT(punkt_szczepień__13[[#This Row],[PESEL]],4),2))</f>
        <v>6</v>
      </c>
      <c r="F623" s="11">
        <f>MOD(punkt_szczepień__13[[#This Row],[liczba miesiac]],20)</f>
        <v>6</v>
      </c>
      <c r="G623" s="11">
        <f>VLOOKUP(punkt_szczepień__13[[#This Row],[liczba miesiac]]-punkt_szczepień__13[[#This Row],[miesiac]],$O$3:$P$7,2,0)+VALUE(LEFT(punkt_szczepień__13[[#This Row],[PESEL]],2))</f>
        <v>1978</v>
      </c>
      <c r="H623" s="11">
        <f>VALUE(RIGHT(LEFT(punkt_szczepień__13[[#This Row],[PESEL]],6),2))</f>
        <v>22</v>
      </c>
      <c r="I623" s="3">
        <f>DATE(punkt_szczepień__13[[#This Row],[rok]],punkt_szczepień__13[[#This Row],[miesiac]],punkt_szczepień__13[[#This Row],[dzień]])</f>
        <v>28663</v>
      </c>
      <c r="J623" s="1" t="str">
        <f>punkt_szczepień__13[[#This Row],[PESEL]]</f>
        <v>78062222821</v>
      </c>
      <c r="K623" s="1">
        <f>VALUE(MID(punkt_szczepień__13[[#This Row],[PESEL]],10,1))</f>
        <v>2</v>
      </c>
      <c r="L623" s="11" t="str">
        <f>IF(MOD(punkt_szczepień__13[[#This Row],[liczba płeć]],2)=0,"K","M")</f>
        <v>K</v>
      </c>
      <c r="M623" s="1"/>
      <c r="N623" s="1"/>
    </row>
    <row r="624" spans="1:14" x14ac:dyDescent="0.25">
      <c r="A624" s="1" t="s">
        <v>630</v>
      </c>
      <c r="B624" s="1" t="s">
        <v>9</v>
      </c>
      <c r="C624" s="2">
        <v>0.57204861111111116</v>
      </c>
      <c r="D624">
        <v>2</v>
      </c>
      <c r="E624">
        <f>VALUE(RIGHT(LEFT(punkt_szczepień__13[[#This Row],[PESEL]],4),2))</f>
        <v>10</v>
      </c>
      <c r="F624" s="11">
        <f>MOD(punkt_szczepień__13[[#This Row],[liczba miesiac]],20)</f>
        <v>10</v>
      </c>
      <c r="G624" s="11">
        <f>VLOOKUP(punkt_szczepień__13[[#This Row],[liczba miesiac]]-punkt_szczepień__13[[#This Row],[miesiac]],$O$3:$P$7,2,0)+VALUE(LEFT(punkt_szczepień__13[[#This Row],[PESEL]],2))</f>
        <v>1925</v>
      </c>
      <c r="H624" s="11">
        <f>VALUE(RIGHT(LEFT(punkt_szczepień__13[[#This Row],[PESEL]],6),2))</f>
        <v>15</v>
      </c>
      <c r="I624" s="3">
        <f>DATE(punkt_szczepień__13[[#This Row],[rok]],punkt_szczepień__13[[#This Row],[miesiac]],punkt_szczepień__13[[#This Row],[dzień]])</f>
        <v>9420</v>
      </c>
      <c r="J624" s="1" t="str">
        <f>punkt_szczepień__13[[#This Row],[PESEL]]</f>
        <v>25101587957</v>
      </c>
      <c r="K624" s="1">
        <f>VALUE(MID(punkt_szczepień__13[[#This Row],[PESEL]],10,1))</f>
        <v>5</v>
      </c>
      <c r="L624" s="11" t="str">
        <f>IF(MOD(punkt_szczepień__13[[#This Row],[liczba płeć]],2)=0,"K","M")</f>
        <v>M</v>
      </c>
      <c r="M624" s="1"/>
      <c r="N624" s="1"/>
    </row>
    <row r="625" spans="1:14" x14ac:dyDescent="0.25">
      <c r="A625" s="1" t="s">
        <v>631</v>
      </c>
      <c r="B625" s="1" t="s">
        <v>7</v>
      </c>
      <c r="C625" s="2">
        <v>0.57233796296296291</v>
      </c>
      <c r="D625">
        <v>1</v>
      </c>
      <c r="E625">
        <f>VALUE(RIGHT(LEFT(punkt_szczepień__13[[#This Row],[PESEL]],4),2))</f>
        <v>7</v>
      </c>
      <c r="F625" s="11">
        <f>MOD(punkt_szczepień__13[[#This Row],[liczba miesiac]],20)</f>
        <v>7</v>
      </c>
      <c r="G625" s="11">
        <f>VLOOKUP(punkt_szczepień__13[[#This Row],[liczba miesiac]]-punkt_szczepień__13[[#This Row],[miesiac]],$O$3:$P$7,2,0)+VALUE(LEFT(punkt_szczepień__13[[#This Row],[PESEL]],2))</f>
        <v>1956</v>
      </c>
      <c r="H625" s="11">
        <f>VALUE(RIGHT(LEFT(punkt_szczepień__13[[#This Row],[PESEL]],6),2))</f>
        <v>4</v>
      </c>
      <c r="I625" s="3">
        <f>DATE(punkt_szczepień__13[[#This Row],[rok]],punkt_szczepień__13[[#This Row],[miesiac]],punkt_szczepień__13[[#This Row],[dzień]])</f>
        <v>20640</v>
      </c>
      <c r="J625" s="1" t="str">
        <f>punkt_szczepień__13[[#This Row],[PESEL]]</f>
        <v>56070449645</v>
      </c>
      <c r="K625" s="1">
        <f>VALUE(MID(punkt_szczepień__13[[#This Row],[PESEL]],10,1))</f>
        <v>4</v>
      </c>
      <c r="L625" s="11" t="str">
        <f>IF(MOD(punkt_szczepień__13[[#This Row],[liczba płeć]],2)=0,"K","M")</f>
        <v>K</v>
      </c>
      <c r="M625" s="1"/>
      <c r="N625" s="1"/>
    </row>
    <row r="626" spans="1:14" x14ac:dyDescent="0.25">
      <c r="A626" s="1" t="s">
        <v>632</v>
      </c>
      <c r="B626" s="1" t="s">
        <v>5</v>
      </c>
      <c r="C626" s="2">
        <v>0.57291666666666663</v>
      </c>
      <c r="D626">
        <v>2</v>
      </c>
      <c r="E626">
        <f>VALUE(RIGHT(LEFT(punkt_szczepień__13[[#This Row],[PESEL]],4),2))</f>
        <v>28</v>
      </c>
      <c r="F626" s="11">
        <f>MOD(punkt_szczepień__13[[#This Row],[liczba miesiac]],20)</f>
        <v>8</v>
      </c>
      <c r="G626" s="11">
        <f>VLOOKUP(punkt_szczepień__13[[#This Row],[liczba miesiac]]-punkt_szczepień__13[[#This Row],[miesiac]],$O$3:$P$7,2,0)+VALUE(LEFT(punkt_szczepień__13[[#This Row],[PESEL]],2))</f>
        <v>2009</v>
      </c>
      <c r="H626" s="11">
        <f>VALUE(RIGHT(LEFT(punkt_szczepień__13[[#This Row],[PESEL]],6),2))</f>
        <v>5</v>
      </c>
      <c r="I626" s="3">
        <f>DATE(punkt_szczepień__13[[#This Row],[rok]],punkt_szczepień__13[[#This Row],[miesiac]],punkt_szczepień__13[[#This Row],[dzień]])</f>
        <v>40030</v>
      </c>
      <c r="J626" s="1" t="str">
        <f>punkt_szczepień__13[[#This Row],[PESEL]]</f>
        <v>09280566174</v>
      </c>
      <c r="K626" s="1">
        <f>VALUE(MID(punkt_szczepień__13[[#This Row],[PESEL]],10,1))</f>
        <v>7</v>
      </c>
      <c r="L626" s="11" t="str">
        <f>IF(MOD(punkt_szczepień__13[[#This Row],[liczba płeć]],2)=0,"K","M")</f>
        <v>M</v>
      </c>
      <c r="M626" s="1"/>
      <c r="N626" s="1"/>
    </row>
    <row r="627" spans="1:14" x14ac:dyDescent="0.25">
      <c r="A627" s="1" t="s">
        <v>633</v>
      </c>
      <c r="B627" s="1" t="s">
        <v>5</v>
      </c>
      <c r="C627" s="2">
        <v>0.57320601851851849</v>
      </c>
      <c r="D627">
        <v>1</v>
      </c>
      <c r="E627">
        <f>VALUE(RIGHT(LEFT(punkt_szczepień__13[[#This Row],[PESEL]],4),2))</f>
        <v>9</v>
      </c>
      <c r="F627" s="11">
        <f>MOD(punkt_szczepień__13[[#This Row],[liczba miesiac]],20)</f>
        <v>9</v>
      </c>
      <c r="G627" s="11">
        <f>VLOOKUP(punkt_szczepień__13[[#This Row],[liczba miesiac]]-punkt_szczepień__13[[#This Row],[miesiac]],$O$3:$P$7,2,0)+VALUE(LEFT(punkt_szczepień__13[[#This Row],[PESEL]],2))</f>
        <v>1989</v>
      </c>
      <c r="H627" s="11">
        <f>VALUE(RIGHT(LEFT(punkt_szczepień__13[[#This Row],[PESEL]],6),2))</f>
        <v>6</v>
      </c>
      <c r="I627" s="3">
        <f>DATE(punkt_szczepień__13[[#This Row],[rok]],punkt_szczepień__13[[#This Row],[miesiac]],punkt_szczepień__13[[#This Row],[dzień]])</f>
        <v>32757</v>
      </c>
      <c r="J627" s="1" t="str">
        <f>punkt_szczepień__13[[#This Row],[PESEL]]</f>
        <v>89090688459</v>
      </c>
      <c r="K627" s="1">
        <f>VALUE(MID(punkt_szczepień__13[[#This Row],[PESEL]],10,1))</f>
        <v>5</v>
      </c>
      <c r="L627" s="11" t="str">
        <f>IF(MOD(punkt_szczepień__13[[#This Row],[liczba płeć]],2)=0,"K","M")</f>
        <v>M</v>
      </c>
      <c r="M627" s="1"/>
      <c r="N627" s="1"/>
    </row>
    <row r="628" spans="1:14" x14ac:dyDescent="0.25">
      <c r="A628" s="1" t="s">
        <v>634</v>
      </c>
      <c r="B628" s="1" t="s">
        <v>7</v>
      </c>
      <c r="C628" s="2">
        <v>0.57349537037037035</v>
      </c>
      <c r="D628">
        <v>1</v>
      </c>
      <c r="E628">
        <f>VALUE(RIGHT(LEFT(punkt_szczepień__13[[#This Row],[PESEL]],4),2))</f>
        <v>2</v>
      </c>
      <c r="F628" s="11">
        <f>MOD(punkt_szczepień__13[[#This Row],[liczba miesiac]],20)</f>
        <v>2</v>
      </c>
      <c r="G628" s="11">
        <f>VLOOKUP(punkt_szczepień__13[[#This Row],[liczba miesiac]]-punkt_szczepień__13[[#This Row],[miesiac]],$O$3:$P$7,2,0)+VALUE(LEFT(punkt_szczepień__13[[#This Row],[PESEL]],2))</f>
        <v>1940</v>
      </c>
      <c r="H628" s="11">
        <f>VALUE(RIGHT(LEFT(punkt_szczepień__13[[#This Row],[PESEL]],6),2))</f>
        <v>28</v>
      </c>
      <c r="I628" s="3">
        <f>DATE(punkt_szczepień__13[[#This Row],[rok]],punkt_szczepień__13[[#This Row],[miesiac]],punkt_szczepień__13[[#This Row],[dzień]])</f>
        <v>14669</v>
      </c>
      <c r="J628" s="1" t="str">
        <f>punkt_szczepień__13[[#This Row],[PESEL]]</f>
        <v>40022828594</v>
      </c>
      <c r="K628" s="1">
        <f>VALUE(MID(punkt_szczepień__13[[#This Row],[PESEL]],10,1))</f>
        <v>9</v>
      </c>
      <c r="L628" s="11" t="str">
        <f>IF(MOD(punkt_szczepień__13[[#This Row],[liczba płeć]],2)=0,"K","M")</f>
        <v>M</v>
      </c>
      <c r="M628" s="1"/>
      <c r="N628" s="1"/>
    </row>
    <row r="629" spans="1:14" x14ac:dyDescent="0.25">
      <c r="A629" s="1" t="s">
        <v>635</v>
      </c>
      <c r="B629" s="1" t="s">
        <v>9</v>
      </c>
      <c r="C629" s="2">
        <v>0.57378472222222221</v>
      </c>
      <c r="D629">
        <v>1</v>
      </c>
      <c r="E629">
        <f>VALUE(RIGHT(LEFT(punkt_szczepień__13[[#This Row],[PESEL]],4),2))</f>
        <v>1</v>
      </c>
      <c r="F629" s="11">
        <f>MOD(punkt_szczepień__13[[#This Row],[liczba miesiac]],20)</f>
        <v>1</v>
      </c>
      <c r="G629" s="11">
        <f>VLOOKUP(punkt_szczepień__13[[#This Row],[liczba miesiac]]-punkt_szczepień__13[[#This Row],[miesiac]],$O$3:$P$7,2,0)+VALUE(LEFT(punkt_szczepień__13[[#This Row],[PESEL]],2))</f>
        <v>1927</v>
      </c>
      <c r="H629" s="11">
        <f>VALUE(RIGHT(LEFT(punkt_szczepień__13[[#This Row],[PESEL]],6),2))</f>
        <v>13</v>
      </c>
      <c r="I629" s="3">
        <f>DATE(punkt_szczepień__13[[#This Row],[rok]],punkt_szczepień__13[[#This Row],[miesiac]],punkt_szczepień__13[[#This Row],[dzień]])</f>
        <v>9875</v>
      </c>
      <c r="J629" s="1" t="str">
        <f>punkt_szczepień__13[[#This Row],[PESEL]]</f>
        <v>27011314739</v>
      </c>
      <c r="K629" s="1">
        <f>VALUE(MID(punkt_szczepień__13[[#This Row],[PESEL]],10,1))</f>
        <v>3</v>
      </c>
      <c r="L629" s="11" t="str">
        <f>IF(MOD(punkt_szczepień__13[[#This Row],[liczba płeć]],2)=0,"K","M")</f>
        <v>M</v>
      </c>
      <c r="M629" s="1"/>
      <c r="N629" s="1"/>
    </row>
    <row r="630" spans="1:14" x14ac:dyDescent="0.25">
      <c r="A630" s="1" t="s">
        <v>636</v>
      </c>
      <c r="B630" s="1" t="s">
        <v>7</v>
      </c>
      <c r="C630" s="2">
        <v>0.57407407407407407</v>
      </c>
      <c r="D630">
        <v>1</v>
      </c>
      <c r="E630">
        <f>VALUE(RIGHT(LEFT(punkt_szczepień__13[[#This Row],[PESEL]],4),2))</f>
        <v>8</v>
      </c>
      <c r="F630" s="11">
        <f>MOD(punkt_szczepień__13[[#This Row],[liczba miesiac]],20)</f>
        <v>8</v>
      </c>
      <c r="G630" s="11">
        <f>VLOOKUP(punkt_szczepień__13[[#This Row],[liczba miesiac]]-punkt_szczepień__13[[#This Row],[miesiac]],$O$3:$P$7,2,0)+VALUE(LEFT(punkt_szczepień__13[[#This Row],[PESEL]],2))</f>
        <v>1948</v>
      </c>
      <c r="H630" s="11">
        <f>VALUE(RIGHT(LEFT(punkt_szczepień__13[[#This Row],[PESEL]],6),2))</f>
        <v>25</v>
      </c>
      <c r="I630" s="3">
        <f>DATE(punkt_szczepień__13[[#This Row],[rok]],punkt_szczepień__13[[#This Row],[miesiac]],punkt_szczepień__13[[#This Row],[dzień]])</f>
        <v>17770</v>
      </c>
      <c r="J630" s="1" t="str">
        <f>punkt_szczepień__13[[#This Row],[PESEL]]</f>
        <v>48082514468</v>
      </c>
      <c r="K630" s="1">
        <f>VALUE(MID(punkt_szczepień__13[[#This Row],[PESEL]],10,1))</f>
        <v>6</v>
      </c>
      <c r="L630" s="11" t="str">
        <f>IF(MOD(punkt_szczepień__13[[#This Row],[liczba płeć]],2)=0,"K","M")</f>
        <v>K</v>
      </c>
      <c r="M630" s="1"/>
      <c r="N630" s="1"/>
    </row>
    <row r="631" spans="1:14" x14ac:dyDescent="0.25">
      <c r="A631" s="1" t="s">
        <v>637</v>
      </c>
      <c r="B631" s="1" t="s">
        <v>7</v>
      </c>
      <c r="C631" s="2">
        <v>0.57436342592592593</v>
      </c>
      <c r="D631">
        <v>1</v>
      </c>
      <c r="E631">
        <f>VALUE(RIGHT(LEFT(punkt_szczepień__13[[#This Row],[PESEL]],4),2))</f>
        <v>7</v>
      </c>
      <c r="F631" s="11">
        <f>MOD(punkt_szczepień__13[[#This Row],[liczba miesiac]],20)</f>
        <v>7</v>
      </c>
      <c r="G631" s="11">
        <f>VLOOKUP(punkt_szczepień__13[[#This Row],[liczba miesiac]]-punkt_szczepień__13[[#This Row],[miesiac]],$O$3:$P$7,2,0)+VALUE(LEFT(punkt_szczepień__13[[#This Row],[PESEL]],2))</f>
        <v>1998</v>
      </c>
      <c r="H631" s="11">
        <f>VALUE(RIGHT(LEFT(punkt_szczepień__13[[#This Row],[PESEL]],6),2))</f>
        <v>10</v>
      </c>
      <c r="I631" s="3">
        <f>DATE(punkt_szczepień__13[[#This Row],[rok]],punkt_szczepień__13[[#This Row],[miesiac]],punkt_szczepień__13[[#This Row],[dzień]])</f>
        <v>35986</v>
      </c>
      <c r="J631" s="1" t="str">
        <f>punkt_szczepień__13[[#This Row],[PESEL]]</f>
        <v>98071097991</v>
      </c>
      <c r="K631" s="1">
        <f>VALUE(MID(punkt_szczepień__13[[#This Row],[PESEL]],10,1))</f>
        <v>9</v>
      </c>
      <c r="L631" s="11" t="str">
        <f>IF(MOD(punkt_szczepień__13[[#This Row],[liczba płeć]],2)=0,"K","M")</f>
        <v>M</v>
      </c>
      <c r="M631" s="1"/>
      <c r="N631" s="1"/>
    </row>
    <row r="632" spans="1:14" x14ac:dyDescent="0.25">
      <c r="A632" s="1" t="s">
        <v>638</v>
      </c>
      <c r="B632" s="1" t="s">
        <v>9</v>
      </c>
      <c r="C632" s="2">
        <v>0.57494212962962965</v>
      </c>
      <c r="D632">
        <v>2</v>
      </c>
      <c r="E632">
        <f>VALUE(RIGHT(LEFT(punkt_szczepień__13[[#This Row],[PESEL]],4),2))</f>
        <v>4</v>
      </c>
      <c r="F632" s="11">
        <f>MOD(punkt_szczepień__13[[#This Row],[liczba miesiac]],20)</f>
        <v>4</v>
      </c>
      <c r="G632" s="11">
        <f>VLOOKUP(punkt_szczepień__13[[#This Row],[liczba miesiac]]-punkt_szczepień__13[[#This Row],[miesiac]],$O$3:$P$7,2,0)+VALUE(LEFT(punkt_szczepień__13[[#This Row],[PESEL]],2))</f>
        <v>1964</v>
      </c>
      <c r="H632" s="11">
        <f>VALUE(RIGHT(LEFT(punkt_szczepień__13[[#This Row],[PESEL]],6),2))</f>
        <v>18</v>
      </c>
      <c r="I632" s="3">
        <f>DATE(punkt_szczepień__13[[#This Row],[rok]],punkt_szczepień__13[[#This Row],[miesiac]],punkt_szczepień__13[[#This Row],[dzień]])</f>
        <v>23485</v>
      </c>
      <c r="J632" s="1" t="str">
        <f>punkt_szczepień__13[[#This Row],[PESEL]]</f>
        <v>64041882922</v>
      </c>
      <c r="K632" s="1">
        <f>VALUE(MID(punkt_szczepień__13[[#This Row],[PESEL]],10,1))</f>
        <v>2</v>
      </c>
      <c r="L632" s="11" t="str">
        <f>IF(MOD(punkt_szczepień__13[[#This Row],[liczba płeć]],2)=0,"K","M")</f>
        <v>K</v>
      </c>
      <c r="M632" s="1"/>
      <c r="N632" s="1"/>
    </row>
    <row r="633" spans="1:14" x14ac:dyDescent="0.25">
      <c r="A633" s="1" t="s">
        <v>639</v>
      </c>
      <c r="B633" s="1" t="s">
        <v>7</v>
      </c>
      <c r="C633" s="2">
        <v>0.57523148148148151</v>
      </c>
      <c r="D633">
        <v>1</v>
      </c>
      <c r="E633">
        <f>VALUE(RIGHT(LEFT(punkt_szczepień__13[[#This Row],[PESEL]],4),2))</f>
        <v>11</v>
      </c>
      <c r="F633" s="11">
        <f>MOD(punkt_szczepień__13[[#This Row],[liczba miesiac]],20)</f>
        <v>11</v>
      </c>
      <c r="G633" s="11">
        <f>VLOOKUP(punkt_szczepień__13[[#This Row],[liczba miesiac]]-punkt_szczepień__13[[#This Row],[miesiac]],$O$3:$P$7,2,0)+VALUE(LEFT(punkt_szczepień__13[[#This Row],[PESEL]],2))</f>
        <v>1991</v>
      </c>
      <c r="H633" s="11">
        <f>VALUE(RIGHT(LEFT(punkt_szczepień__13[[#This Row],[PESEL]],6),2))</f>
        <v>22</v>
      </c>
      <c r="I633" s="3">
        <f>DATE(punkt_szczepień__13[[#This Row],[rok]],punkt_szczepień__13[[#This Row],[miesiac]],punkt_szczepień__13[[#This Row],[dzień]])</f>
        <v>33564</v>
      </c>
      <c r="J633" s="1" t="str">
        <f>punkt_szczepień__13[[#This Row],[PESEL]]</f>
        <v>91112263319</v>
      </c>
      <c r="K633" s="1">
        <f>VALUE(MID(punkt_szczepień__13[[#This Row],[PESEL]],10,1))</f>
        <v>1</v>
      </c>
      <c r="L633" s="11" t="str">
        <f>IF(MOD(punkt_szczepień__13[[#This Row],[liczba płeć]],2)=0,"K","M")</f>
        <v>M</v>
      </c>
      <c r="M633" s="1"/>
      <c r="N633" s="1"/>
    </row>
    <row r="634" spans="1:14" x14ac:dyDescent="0.25">
      <c r="A634" s="1" t="s">
        <v>640</v>
      </c>
      <c r="B634" s="1" t="s">
        <v>5</v>
      </c>
      <c r="C634" s="2">
        <v>0.57581018518518523</v>
      </c>
      <c r="D634">
        <v>2</v>
      </c>
      <c r="E634">
        <f>VALUE(RIGHT(LEFT(punkt_szczepień__13[[#This Row],[PESEL]],4),2))</f>
        <v>1</v>
      </c>
      <c r="F634" s="11">
        <f>MOD(punkt_szczepień__13[[#This Row],[liczba miesiac]],20)</f>
        <v>1</v>
      </c>
      <c r="G634" s="11">
        <f>VLOOKUP(punkt_szczepień__13[[#This Row],[liczba miesiac]]-punkt_szczepień__13[[#This Row],[miesiac]],$O$3:$P$7,2,0)+VALUE(LEFT(punkt_szczepień__13[[#This Row],[PESEL]],2))</f>
        <v>1921</v>
      </c>
      <c r="H634" s="11">
        <f>VALUE(RIGHT(LEFT(punkt_szczepień__13[[#This Row],[PESEL]],6),2))</f>
        <v>20</v>
      </c>
      <c r="I634" s="3">
        <f>DATE(punkt_szczepień__13[[#This Row],[rok]],punkt_szczepień__13[[#This Row],[miesiac]],punkt_szczepień__13[[#This Row],[dzień]])</f>
        <v>7691</v>
      </c>
      <c r="J634" s="1" t="str">
        <f>punkt_szczepień__13[[#This Row],[PESEL]]</f>
        <v>21012094418</v>
      </c>
      <c r="K634" s="1">
        <f>VALUE(MID(punkt_szczepień__13[[#This Row],[PESEL]],10,1))</f>
        <v>1</v>
      </c>
      <c r="L634" s="11" t="str">
        <f>IF(MOD(punkt_szczepień__13[[#This Row],[liczba płeć]],2)=0,"K","M")</f>
        <v>M</v>
      </c>
      <c r="M634" s="1"/>
      <c r="N634" s="1"/>
    </row>
    <row r="635" spans="1:14" x14ac:dyDescent="0.25">
      <c r="A635" s="1" t="s">
        <v>641</v>
      </c>
      <c r="B635" s="1" t="s">
        <v>7</v>
      </c>
      <c r="C635" s="2">
        <v>0.57609953703703709</v>
      </c>
      <c r="D635">
        <v>1</v>
      </c>
      <c r="E635">
        <f>VALUE(RIGHT(LEFT(punkt_szczepień__13[[#This Row],[PESEL]],4),2))</f>
        <v>10</v>
      </c>
      <c r="F635" s="11">
        <f>MOD(punkt_szczepień__13[[#This Row],[liczba miesiac]],20)</f>
        <v>10</v>
      </c>
      <c r="G635" s="11">
        <f>VLOOKUP(punkt_szczepień__13[[#This Row],[liczba miesiac]]-punkt_szczepień__13[[#This Row],[miesiac]],$O$3:$P$7,2,0)+VALUE(LEFT(punkt_szczepień__13[[#This Row],[PESEL]],2))</f>
        <v>1932</v>
      </c>
      <c r="H635" s="11">
        <f>VALUE(RIGHT(LEFT(punkt_szczepień__13[[#This Row],[PESEL]],6),2))</f>
        <v>7</v>
      </c>
      <c r="I635" s="3">
        <f>DATE(punkt_szczepień__13[[#This Row],[rok]],punkt_szczepień__13[[#This Row],[miesiac]],punkt_szczepień__13[[#This Row],[dzień]])</f>
        <v>11969</v>
      </c>
      <c r="J635" s="1" t="str">
        <f>punkt_szczepień__13[[#This Row],[PESEL]]</f>
        <v>32100725349</v>
      </c>
      <c r="K635" s="1">
        <f>VALUE(MID(punkt_szczepień__13[[#This Row],[PESEL]],10,1))</f>
        <v>4</v>
      </c>
      <c r="L635" s="11" t="str">
        <f>IF(MOD(punkt_szczepień__13[[#This Row],[liczba płeć]],2)=0,"K","M")</f>
        <v>K</v>
      </c>
      <c r="M635" s="1"/>
      <c r="N635" s="1"/>
    </row>
    <row r="636" spans="1:14" x14ac:dyDescent="0.25">
      <c r="A636" s="1" t="s">
        <v>642</v>
      </c>
      <c r="B636" s="1" t="s">
        <v>7</v>
      </c>
      <c r="C636" s="2">
        <v>0.57638888888888884</v>
      </c>
      <c r="D636">
        <v>1</v>
      </c>
      <c r="E636">
        <f>VALUE(RIGHT(LEFT(punkt_szczepień__13[[#This Row],[PESEL]],4),2))</f>
        <v>9</v>
      </c>
      <c r="F636" s="11">
        <f>MOD(punkt_szczepień__13[[#This Row],[liczba miesiac]],20)</f>
        <v>9</v>
      </c>
      <c r="G636" s="11">
        <f>VLOOKUP(punkt_szczepień__13[[#This Row],[liczba miesiac]]-punkt_szczepień__13[[#This Row],[miesiac]],$O$3:$P$7,2,0)+VALUE(LEFT(punkt_szczepień__13[[#This Row],[PESEL]],2))</f>
        <v>1924</v>
      </c>
      <c r="H636" s="11">
        <f>VALUE(RIGHT(LEFT(punkt_szczepień__13[[#This Row],[PESEL]],6),2))</f>
        <v>7</v>
      </c>
      <c r="I636" s="3">
        <f>DATE(punkt_szczepień__13[[#This Row],[rok]],punkt_szczepień__13[[#This Row],[miesiac]],punkt_szczepień__13[[#This Row],[dzień]])</f>
        <v>9017</v>
      </c>
      <c r="J636" s="1" t="str">
        <f>punkt_szczepień__13[[#This Row],[PESEL]]</f>
        <v>24090793257</v>
      </c>
      <c r="K636" s="1">
        <f>VALUE(MID(punkt_szczepień__13[[#This Row],[PESEL]],10,1))</f>
        <v>5</v>
      </c>
      <c r="L636" s="11" t="str">
        <f>IF(MOD(punkt_szczepień__13[[#This Row],[liczba płeć]],2)=0,"K","M")</f>
        <v>M</v>
      </c>
      <c r="M636" s="1"/>
      <c r="N636" s="1"/>
    </row>
    <row r="637" spans="1:14" x14ac:dyDescent="0.25">
      <c r="A637" s="1" t="s">
        <v>643</v>
      </c>
      <c r="B637" s="1" t="s">
        <v>5</v>
      </c>
      <c r="C637" s="2">
        <v>0.57696759259259256</v>
      </c>
      <c r="D637">
        <v>2</v>
      </c>
      <c r="E637">
        <f>VALUE(RIGHT(LEFT(punkt_szczepień__13[[#This Row],[PESEL]],4),2))</f>
        <v>11</v>
      </c>
      <c r="F637" s="11">
        <f>MOD(punkt_szczepień__13[[#This Row],[liczba miesiac]],20)</f>
        <v>11</v>
      </c>
      <c r="G637" s="11">
        <f>VLOOKUP(punkt_szczepień__13[[#This Row],[liczba miesiac]]-punkt_szczepień__13[[#This Row],[miesiac]],$O$3:$P$7,2,0)+VALUE(LEFT(punkt_szczepień__13[[#This Row],[PESEL]],2))</f>
        <v>1960</v>
      </c>
      <c r="H637" s="11">
        <f>VALUE(RIGHT(LEFT(punkt_szczepień__13[[#This Row],[PESEL]],6),2))</f>
        <v>10</v>
      </c>
      <c r="I637" s="3">
        <f>DATE(punkt_szczepień__13[[#This Row],[rok]],punkt_szczepień__13[[#This Row],[miesiac]],punkt_szczepień__13[[#This Row],[dzień]])</f>
        <v>22230</v>
      </c>
      <c r="J637" s="1" t="str">
        <f>punkt_szczepień__13[[#This Row],[PESEL]]</f>
        <v>60111055892</v>
      </c>
      <c r="K637" s="1">
        <f>VALUE(MID(punkt_szczepień__13[[#This Row],[PESEL]],10,1))</f>
        <v>9</v>
      </c>
      <c r="L637" s="11" t="str">
        <f>IF(MOD(punkt_szczepień__13[[#This Row],[liczba płeć]],2)=0,"K","M")</f>
        <v>M</v>
      </c>
      <c r="M637" s="1"/>
      <c r="N637" s="1"/>
    </row>
    <row r="638" spans="1:14" x14ac:dyDescent="0.25">
      <c r="A638" s="1" t="s">
        <v>644</v>
      </c>
      <c r="B638" s="1" t="s">
        <v>27</v>
      </c>
      <c r="C638" s="2">
        <v>0.57754629629629628</v>
      </c>
      <c r="D638">
        <v>2</v>
      </c>
      <c r="E638">
        <f>VALUE(RIGHT(LEFT(punkt_szczepień__13[[#This Row],[PESEL]],4),2))</f>
        <v>10</v>
      </c>
      <c r="F638" s="11">
        <f>MOD(punkt_szczepień__13[[#This Row],[liczba miesiac]],20)</f>
        <v>10</v>
      </c>
      <c r="G638" s="11">
        <f>VLOOKUP(punkt_szczepień__13[[#This Row],[liczba miesiac]]-punkt_szczepień__13[[#This Row],[miesiac]],$O$3:$P$7,2,0)+VALUE(LEFT(punkt_szczepień__13[[#This Row],[PESEL]],2))</f>
        <v>1976</v>
      </c>
      <c r="H638" s="11">
        <f>VALUE(RIGHT(LEFT(punkt_szczepień__13[[#This Row],[PESEL]],6),2))</f>
        <v>21</v>
      </c>
      <c r="I638" s="3">
        <f>DATE(punkt_szczepień__13[[#This Row],[rok]],punkt_szczepień__13[[#This Row],[miesiac]],punkt_szczepień__13[[#This Row],[dzień]])</f>
        <v>28054</v>
      </c>
      <c r="J638" s="1" t="str">
        <f>punkt_szczepień__13[[#This Row],[PESEL]]</f>
        <v>76102185958</v>
      </c>
      <c r="K638" s="1">
        <f>VALUE(MID(punkt_szczepień__13[[#This Row],[PESEL]],10,1))</f>
        <v>5</v>
      </c>
      <c r="L638" s="11" t="str">
        <f>IF(MOD(punkt_szczepień__13[[#This Row],[liczba płeć]],2)=0,"K","M")</f>
        <v>M</v>
      </c>
      <c r="M638" s="1"/>
      <c r="N638" s="1"/>
    </row>
    <row r="639" spans="1:14" x14ac:dyDescent="0.25">
      <c r="A639" s="1" t="s">
        <v>645</v>
      </c>
      <c r="B639" s="1" t="s">
        <v>7</v>
      </c>
      <c r="C639" s="2">
        <v>0.57783564814814814</v>
      </c>
      <c r="D639">
        <v>1</v>
      </c>
      <c r="E639">
        <f>VALUE(RIGHT(LEFT(punkt_szczepień__13[[#This Row],[PESEL]],4),2))</f>
        <v>5</v>
      </c>
      <c r="F639" s="11">
        <f>MOD(punkt_szczepień__13[[#This Row],[liczba miesiac]],20)</f>
        <v>5</v>
      </c>
      <c r="G639" s="11">
        <f>VLOOKUP(punkt_szczepień__13[[#This Row],[liczba miesiac]]-punkt_szczepień__13[[#This Row],[miesiac]],$O$3:$P$7,2,0)+VALUE(LEFT(punkt_szczepień__13[[#This Row],[PESEL]],2))</f>
        <v>1936</v>
      </c>
      <c r="H639" s="11">
        <f>VALUE(RIGHT(LEFT(punkt_szczepień__13[[#This Row],[PESEL]],6),2))</f>
        <v>19</v>
      </c>
      <c r="I639" s="3">
        <f>DATE(punkt_szczepień__13[[#This Row],[rok]],punkt_szczepień__13[[#This Row],[miesiac]],punkt_szczepień__13[[#This Row],[dzień]])</f>
        <v>13289</v>
      </c>
      <c r="J639" s="1" t="str">
        <f>punkt_szczepień__13[[#This Row],[PESEL]]</f>
        <v>36051999736</v>
      </c>
      <c r="K639" s="1">
        <f>VALUE(MID(punkt_szczepień__13[[#This Row],[PESEL]],10,1))</f>
        <v>3</v>
      </c>
      <c r="L639" s="11" t="str">
        <f>IF(MOD(punkt_szczepień__13[[#This Row],[liczba płeć]],2)=0,"K","M")</f>
        <v>M</v>
      </c>
      <c r="M639" s="1"/>
      <c r="N639" s="1"/>
    </row>
    <row r="640" spans="1:14" x14ac:dyDescent="0.25">
      <c r="A640" s="1" t="s">
        <v>646</v>
      </c>
      <c r="B640" s="1" t="s">
        <v>7</v>
      </c>
      <c r="C640" s="2">
        <v>0.578125</v>
      </c>
      <c r="D640">
        <v>1</v>
      </c>
      <c r="E640">
        <f>VALUE(RIGHT(LEFT(punkt_szczepień__13[[#This Row],[PESEL]],4),2))</f>
        <v>6</v>
      </c>
      <c r="F640" s="11">
        <f>MOD(punkt_szczepień__13[[#This Row],[liczba miesiac]],20)</f>
        <v>6</v>
      </c>
      <c r="G640" s="11">
        <f>VLOOKUP(punkt_szczepień__13[[#This Row],[liczba miesiac]]-punkt_szczepień__13[[#This Row],[miesiac]],$O$3:$P$7,2,0)+VALUE(LEFT(punkt_szczepień__13[[#This Row],[PESEL]],2))</f>
        <v>1991</v>
      </c>
      <c r="H640" s="11">
        <f>VALUE(RIGHT(LEFT(punkt_szczepień__13[[#This Row],[PESEL]],6),2))</f>
        <v>12</v>
      </c>
      <c r="I640" s="3">
        <f>DATE(punkt_szczepień__13[[#This Row],[rok]],punkt_szczepień__13[[#This Row],[miesiac]],punkt_szczepień__13[[#This Row],[dzień]])</f>
        <v>33401</v>
      </c>
      <c r="J640" s="1" t="str">
        <f>punkt_szczepień__13[[#This Row],[PESEL]]</f>
        <v>91061249619</v>
      </c>
      <c r="K640" s="1">
        <f>VALUE(MID(punkt_szczepień__13[[#This Row],[PESEL]],10,1))</f>
        <v>1</v>
      </c>
      <c r="L640" s="11" t="str">
        <f>IF(MOD(punkt_szczepień__13[[#This Row],[liczba płeć]],2)=0,"K","M")</f>
        <v>M</v>
      </c>
      <c r="M640" s="1"/>
      <c r="N640" s="1"/>
    </row>
    <row r="641" spans="1:14" x14ac:dyDescent="0.25">
      <c r="A641" s="1" t="s">
        <v>647</v>
      </c>
      <c r="B641" s="1" t="s">
        <v>9</v>
      </c>
      <c r="C641" s="2">
        <v>0.57841435185185186</v>
      </c>
      <c r="D641">
        <v>1</v>
      </c>
      <c r="E641">
        <f>VALUE(RIGHT(LEFT(punkt_szczepień__13[[#This Row],[PESEL]],4),2))</f>
        <v>6</v>
      </c>
      <c r="F641" s="11">
        <f>MOD(punkt_szczepień__13[[#This Row],[liczba miesiac]],20)</f>
        <v>6</v>
      </c>
      <c r="G641" s="11">
        <f>VLOOKUP(punkt_szczepień__13[[#This Row],[liczba miesiac]]-punkt_szczepień__13[[#This Row],[miesiac]],$O$3:$P$7,2,0)+VALUE(LEFT(punkt_szczepień__13[[#This Row],[PESEL]],2))</f>
        <v>1953</v>
      </c>
      <c r="H641" s="11">
        <f>VALUE(RIGHT(LEFT(punkt_szczepień__13[[#This Row],[PESEL]],6),2))</f>
        <v>27</v>
      </c>
      <c r="I641" s="3">
        <f>DATE(punkt_szczepień__13[[#This Row],[rok]],punkt_szczepień__13[[#This Row],[miesiac]],punkt_szczepień__13[[#This Row],[dzień]])</f>
        <v>19537</v>
      </c>
      <c r="J641" s="1" t="str">
        <f>punkt_szczepień__13[[#This Row],[PESEL]]</f>
        <v>53062719315</v>
      </c>
      <c r="K641" s="1">
        <f>VALUE(MID(punkt_szczepień__13[[#This Row],[PESEL]],10,1))</f>
        <v>1</v>
      </c>
      <c r="L641" s="11" t="str">
        <f>IF(MOD(punkt_szczepień__13[[#This Row],[liczba płeć]],2)=0,"K","M")</f>
        <v>M</v>
      </c>
      <c r="M641" s="1"/>
      <c r="N641" s="1"/>
    </row>
    <row r="642" spans="1:14" x14ac:dyDescent="0.25">
      <c r="A642" s="1" t="s">
        <v>648</v>
      </c>
      <c r="B642" s="1" t="s">
        <v>9</v>
      </c>
      <c r="C642" s="2">
        <v>0.57899305555555558</v>
      </c>
      <c r="D642">
        <v>2</v>
      </c>
      <c r="E642">
        <f>VALUE(RIGHT(LEFT(punkt_szczepień__13[[#This Row],[PESEL]],4),2))</f>
        <v>5</v>
      </c>
      <c r="F642" s="11">
        <f>MOD(punkt_szczepień__13[[#This Row],[liczba miesiac]],20)</f>
        <v>5</v>
      </c>
      <c r="G642" s="11">
        <f>VLOOKUP(punkt_szczepień__13[[#This Row],[liczba miesiac]]-punkt_szczepień__13[[#This Row],[miesiac]],$O$3:$P$7,2,0)+VALUE(LEFT(punkt_szczepień__13[[#This Row],[PESEL]],2))</f>
        <v>1952</v>
      </c>
      <c r="H642" s="11">
        <f>VALUE(RIGHT(LEFT(punkt_szczepień__13[[#This Row],[PESEL]],6),2))</f>
        <v>19</v>
      </c>
      <c r="I642" s="3">
        <f>DATE(punkt_szczepień__13[[#This Row],[rok]],punkt_szczepień__13[[#This Row],[miesiac]],punkt_szczepień__13[[#This Row],[dzień]])</f>
        <v>19133</v>
      </c>
      <c r="J642" s="1" t="str">
        <f>punkt_szczepień__13[[#This Row],[PESEL]]</f>
        <v>52051969249</v>
      </c>
      <c r="K642" s="1">
        <f>VALUE(MID(punkt_szczepień__13[[#This Row],[PESEL]],10,1))</f>
        <v>4</v>
      </c>
      <c r="L642" s="11" t="str">
        <f>IF(MOD(punkt_szczepień__13[[#This Row],[liczba płeć]],2)=0,"K","M")</f>
        <v>K</v>
      </c>
      <c r="M642" s="1"/>
      <c r="N642" s="1"/>
    </row>
    <row r="643" spans="1:14" x14ac:dyDescent="0.25">
      <c r="A643" s="1" t="s">
        <v>649</v>
      </c>
      <c r="B643" s="1" t="s">
        <v>27</v>
      </c>
      <c r="C643" s="2">
        <v>0.5795717592592593</v>
      </c>
      <c r="D643">
        <v>2</v>
      </c>
      <c r="E643">
        <f>VALUE(RIGHT(LEFT(punkt_szczepień__13[[#This Row],[PESEL]],4),2))</f>
        <v>8</v>
      </c>
      <c r="F643" s="11">
        <f>MOD(punkt_szczepień__13[[#This Row],[liczba miesiac]],20)</f>
        <v>8</v>
      </c>
      <c r="G643" s="11">
        <f>VLOOKUP(punkt_szczepień__13[[#This Row],[liczba miesiac]]-punkt_szczepień__13[[#This Row],[miesiac]],$O$3:$P$7,2,0)+VALUE(LEFT(punkt_szczepień__13[[#This Row],[PESEL]],2))</f>
        <v>1983</v>
      </c>
      <c r="H643" s="11">
        <f>VALUE(RIGHT(LEFT(punkt_szczepień__13[[#This Row],[PESEL]],6),2))</f>
        <v>28</v>
      </c>
      <c r="I643" s="3">
        <f>DATE(punkt_szczepień__13[[#This Row],[rok]],punkt_szczepień__13[[#This Row],[miesiac]],punkt_szczepień__13[[#This Row],[dzień]])</f>
        <v>30556</v>
      </c>
      <c r="J643" s="1" t="str">
        <f>punkt_szczepień__13[[#This Row],[PESEL]]</f>
        <v>83082872374</v>
      </c>
      <c r="K643" s="1">
        <f>VALUE(MID(punkt_szczepień__13[[#This Row],[PESEL]],10,1))</f>
        <v>7</v>
      </c>
      <c r="L643" s="11" t="str">
        <f>IF(MOD(punkt_szczepień__13[[#This Row],[liczba płeć]],2)=0,"K","M")</f>
        <v>M</v>
      </c>
      <c r="M643" s="1"/>
      <c r="N643" s="1"/>
    </row>
    <row r="644" spans="1:14" x14ac:dyDescent="0.25">
      <c r="A644" s="1" t="s">
        <v>650</v>
      </c>
      <c r="B644" s="1" t="s">
        <v>27</v>
      </c>
      <c r="C644" s="2">
        <v>0.58015046296296291</v>
      </c>
      <c r="D644">
        <v>2</v>
      </c>
      <c r="E644">
        <f>VALUE(RIGHT(LEFT(punkt_szczepień__13[[#This Row],[PESEL]],4),2))</f>
        <v>2</v>
      </c>
      <c r="F644" s="11">
        <f>MOD(punkt_szczepień__13[[#This Row],[liczba miesiac]],20)</f>
        <v>2</v>
      </c>
      <c r="G644" s="11">
        <f>VLOOKUP(punkt_szczepień__13[[#This Row],[liczba miesiac]]-punkt_szczepień__13[[#This Row],[miesiac]],$O$3:$P$7,2,0)+VALUE(LEFT(punkt_szczepień__13[[#This Row],[PESEL]],2))</f>
        <v>1964</v>
      </c>
      <c r="H644" s="11">
        <f>VALUE(RIGHT(LEFT(punkt_szczepień__13[[#This Row],[PESEL]],6),2))</f>
        <v>18</v>
      </c>
      <c r="I644" s="3">
        <f>DATE(punkt_szczepień__13[[#This Row],[rok]],punkt_szczepień__13[[#This Row],[miesiac]],punkt_szczepień__13[[#This Row],[dzień]])</f>
        <v>23425</v>
      </c>
      <c r="J644" s="1" t="str">
        <f>punkt_szczepień__13[[#This Row],[PESEL]]</f>
        <v>64021858958</v>
      </c>
      <c r="K644" s="1">
        <f>VALUE(MID(punkt_szczepień__13[[#This Row],[PESEL]],10,1))</f>
        <v>5</v>
      </c>
      <c r="L644" s="11" t="str">
        <f>IF(MOD(punkt_szczepień__13[[#This Row],[liczba płeć]],2)=0,"K","M")</f>
        <v>M</v>
      </c>
      <c r="M644" s="1"/>
      <c r="N644" s="1"/>
    </row>
    <row r="645" spans="1:14" x14ac:dyDescent="0.25">
      <c r="A645" s="1" t="s">
        <v>651</v>
      </c>
      <c r="B645" s="1" t="s">
        <v>7</v>
      </c>
      <c r="C645" s="2">
        <v>0.58043981481481477</v>
      </c>
      <c r="D645">
        <v>1</v>
      </c>
      <c r="E645">
        <f>VALUE(RIGHT(LEFT(punkt_szczepień__13[[#This Row],[PESEL]],4),2))</f>
        <v>7</v>
      </c>
      <c r="F645" s="11">
        <f>MOD(punkt_szczepień__13[[#This Row],[liczba miesiac]],20)</f>
        <v>7</v>
      </c>
      <c r="G645" s="11">
        <f>VLOOKUP(punkt_szczepień__13[[#This Row],[liczba miesiac]]-punkt_szczepień__13[[#This Row],[miesiac]],$O$3:$P$7,2,0)+VALUE(LEFT(punkt_szczepień__13[[#This Row],[PESEL]],2))</f>
        <v>1979</v>
      </c>
      <c r="H645" s="11">
        <f>VALUE(RIGHT(LEFT(punkt_szczepień__13[[#This Row],[PESEL]],6),2))</f>
        <v>8</v>
      </c>
      <c r="I645" s="3">
        <f>DATE(punkt_szczepień__13[[#This Row],[rok]],punkt_szczepień__13[[#This Row],[miesiac]],punkt_szczepień__13[[#This Row],[dzień]])</f>
        <v>29044</v>
      </c>
      <c r="J645" s="1" t="str">
        <f>punkt_szczepień__13[[#This Row],[PESEL]]</f>
        <v>79070873683</v>
      </c>
      <c r="K645" s="1">
        <f>VALUE(MID(punkt_szczepień__13[[#This Row],[PESEL]],10,1))</f>
        <v>8</v>
      </c>
      <c r="L645" s="11" t="str">
        <f>IF(MOD(punkt_szczepień__13[[#This Row],[liczba płeć]],2)=0,"K","M")</f>
        <v>K</v>
      </c>
      <c r="M645" s="1"/>
      <c r="N645" s="1"/>
    </row>
    <row r="646" spans="1:14" x14ac:dyDescent="0.25">
      <c r="A646" s="1" t="s">
        <v>652</v>
      </c>
      <c r="B646" s="1" t="s">
        <v>7</v>
      </c>
      <c r="C646" s="2">
        <v>0.58072916666666663</v>
      </c>
      <c r="D646">
        <v>1</v>
      </c>
      <c r="E646">
        <f>VALUE(RIGHT(LEFT(punkt_szczepień__13[[#This Row],[PESEL]],4),2))</f>
        <v>9</v>
      </c>
      <c r="F646" s="11">
        <f>MOD(punkt_szczepień__13[[#This Row],[liczba miesiac]],20)</f>
        <v>9</v>
      </c>
      <c r="G646" s="11">
        <f>VLOOKUP(punkt_szczepień__13[[#This Row],[liczba miesiac]]-punkt_szczepień__13[[#This Row],[miesiac]],$O$3:$P$7,2,0)+VALUE(LEFT(punkt_szczepień__13[[#This Row],[PESEL]],2))</f>
        <v>1997</v>
      </c>
      <c r="H646" s="11">
        <f>VALUE(RIGHT(LEFT(punkt_szczepień__13[[#This Row],[PESEL]],6),2))</f>
        <v>23</v>
      </c>
      <c r="I646" s="3">
        <f>DATE(punkt_szczepień__13[[#This Row],[rok]],punkt_szczepień__13[[#This Row],[miesiac]],punkt_szczepień__13[[#This Row],[dzień]])</f>
        <v>35696</v>
      </c>
      <c r="J646" s="1" t="str">
        <f>punkt_szczepień__13[[#This Row],[PESEL]]</f>
        <v>97092383821</v>
      </c>
      <c r="K646" s="1">
        <f>VALUE(MID(punkt_szczepień__13[[#This Row],[PESEL]],10,1))</f>
        <v>2</v>
      </c>
      <c r="L646" s="11" t="str">
        <f>IF(MOD(punkt_szczepień__13[[#This Row],[liczba płeć]],2)=0,"K","M")</f>
        <v>K</v>
      </c>
      <c r="M646" s="1"/>
      <c r="N646" s="1"/>
    </row>
    <row r="647" spans="1:14" x14ac:dyDescent="0.25">
      <c r="A647" s="1" t="s">
        <v>653</v>
      </c>
      <c r="B647" s="1" t="s">
        <v>27</v>
      </c>
      <c r="C647" s="2">
        <v>0.58130787037037035</v>
      </c>
      <c r="D647">
        <v>2</v>
      </c>
      <c r="E647">
        <f>VALUE(RIGHT(LEFT(punkt_szczepień__13[[#This Row],[PESEL]],4),2))</f>
        <v>10</v>
      </c>
      <c r="F647" s="11">
        <f>MOD(punkt_szczepień__13[[#This Row],[liczba miesiac]],20)</f>
        <v>10</v>
      </c>
      <c r="G647" s="11">
        <f>VLOOKUP(punkt_szczepień__13[[#This Row],[liczba miesiac]]-punkt_szczepień__13[[#This Row],[miesiac]],$O$3:$P$7,2,0)+VALUE(LEFT(punkt_szczepień__13[[#This Row],[PESEL]],2))</f>
        <v>1975</v>
      </c>
      <c r="H647" s="11">
        <f>VALUE(RIGHT(LEFT(punkt_szczepień__13[[#This Row],[PESEL]],6),2))</f>
        <v>6</v>
      </c>
      <c r="I647" s="3">
        <f>DATE(punkt_szczepień__13[[#This Row],[rok]],punkt_szczepień__13[[#This Row],[miesiac]],punkt_szczepień__13[[#This Row],[dzień]])</f>
        <v>27673</v>
      </c>
      <c r="J647" s="1" t="str">
        <f>punkt_szczepień__13[[#This Row],[PESEL]]</f>
        <v>75100677636</v>
      </c>
      <c r="K647" s="1">
        <f>VALUE(MID(punkt_szczepień__13[[#This Row],[PESEL]],10,1))</f>
        <v>3</v>
      </c>
      <c r="L647" s="11" t="str">
        <f>IF(MOD(punkt_szczepień__13[[#This Row],[liczba płeć]],2)=0,"K","M")</f>
        <v>M</v>
      </c>
      <c r="M647" s="1"/>
      <c r="N647" s="1"/>
    </row>
    <row r="648" spans="1:14" x14ac:dyDescent="0.25">
      <c r="A648" s="1" t="s">
        <v>654</v>
      </c>
      <c r="B648" s="1" t="s">
        <v>27</v>
      </c>
      <c r="C648" s="2">
        <v>0.58188657407407407</v>
      </c>
      <c r="D648">
        <v>2</v>
      </c>
      <c r="E648">
        <f>VALUE(RIGHT(LEFT(punkt_szczepień__13[[#This Row],[PESEL]],4),2))</f>
        <v>5</v>
      </c>
      <c r="F648" s="11">
        <f>MOD(punkt_szczepień__13[[#This Row],[liczba miesiac]],20)</f>
        <v>5</v>
      </c>
      <c r="G648" s="11">
        <f>VLOOKUP(punkt_szczepień__13[[#This Row],[liczba miesiac]]-punkt_szczepień__13[[#This Row],[miesiac]],$O$3:$P$7,2,0)+VALUE(LEFT(punkt_szczepień__13[[#This Row],[PESEL]],2))</f>
        <v>1960</v>
      </c>
      <c r="H648" s="11">
        <f>VALUE(RIGHT(LEFT(punkt_szczepień__13[[#This Row],[PESEL]],6),2))</f>
        <v>28</v>
      </c>
      <c r="I648" s="3">
        <f>DATE(punkt_szczepień__13[[#This Row],[rok]],punkt_szczepień__13[[#This Row],[miesiac]],punkt_szczepień__13[[#This Row],[dzień]])</f>
        <v>22064</v>
      </c>
      <c r="J648" s="1" t="str">
        <f>punkt_szczepień__13[[#This Row],[PESEL]]</f>
        <v>60052879768</v>
      </c>
      <c r="K648" s="1">
        <f>VALUE(MID(punkt_szczepień__13[[#This Row],[PESEL]],10,1))</f>
        <v>6</v>
      </c>
      <c r="L648" s="11" t="str">
        <f>IF(MOD(punkt_szczepień__13[[#This Row],[liczba płeć]],2)=0,"K","M")</f>
        <v>K</v>
      </c>
      <c r="M648" s="1"/>
      <c r="N648" s="1"/>
    </row>
    <row r="649" spans="1:14" x14ac:dyDescent="0.25">
      <c r="A649" s="1" t="s">
        <v>655</v>
      </c>
      <c r="B649" s="1" t="s">
        <v>27</v>
      </c>
      <c r="C649" s="2">
        <v>0.58246527777777779</v>
      </c>
      <c r="D649">
        <v>2</v>
      </c>
      <c r="E649">
        <f>VALUE(RIGHT(LEFT(punkt_szczepień__13[[#This Row],[PESEL]],4),2))</f>
        <v>5</v>
      </c>
      <c r="F649" s="11">
        <f>MOD(punkt_szczepień__13[[#This Row],[liczba miesiac]],20)</f>
        <v>5</v>
      </c>
      <c r="G649" s="11">
        <f>VLOOKUP(punkt_szczepień__13[[#This Row],[liczba miesiac]]-punkt_szczepień__13[[#This Row],[miesiac]],$O$3:$P$7,2,0)+VALUE(LEFT(punkt_szczepień__13[[#This Row],[PESEL]],2))</f>
        <v>1982</v>
      </c>
      <c r="H649" s="11">
        <f>VALUE(RIGHT(LEFT(punkt_szczepień__13[[#This Row],[PESEL]],6),2))</f>
        <v>6</v>
      </c>
      <c r="I649" s="3">
        <f>DATE(punkt_szczepień__13[[#This Row],[rok]],punkt_szczepień__13[[#This Row],[miesiac]],punkt_szczepień__13[[#This Row],[dzień]])</f>
        <v>30077</v>
      </c>
      <c r="J649" s="1" t="str">
        <f>punkt_szczepień__13[[#This Row],[PESEL]]</f>
        <v>82050649936</v>
      </c>
      <c r="K649" s="1">
        <f>VALUE(MID(punkt_szczepień__13[[#This Row],[PESEL]],10,1))</f>
        <v>3</v>
      </c>
      <c r="L649" s="11" t="str">
        <f>IF(MOD(punkt_szczepień__13[[#This Row],[liczba płeć]],2)=0,"K","M")</f>
        <v>M</v>
      </c>
      <c r="M649" s="1"/>
      <c r="N649" s="1"/>
    </row>
    <row r="650" spans="1:14" x14ac:dyDescent="0.25">
      <c r="A650" s="1" t="s">
        <v>656</v>
      </c>
      <c r="B650" s="1" t="s">
        <v>7</v>
      </c>
      <c r="C650" s="2">
        <v>0.58275462962962965</v>
      </c>
      <c r="D650">
        <v>1</v>
      </c>
      <c r="E650">
        <f>VALUE(RIGHT(LEFT(punkt_szczepień__13[[#This Row],[PESEL]],4),2))</f>
        <v>10</v>
      </c>
      <c r="F650" s="11">
        <f>MOD(punkt_szczepień__13[[#This Row],[liczba miesiac]],20)</f>
        <v>10</v>
      </c>
      <c r="G650" s="11">
        <f>VLOOKUP(punkt_szczepień__13[[#This Row],[liczba miesiac]]-punkt_szczepień__13[[#This Row],[miesiac]],$O$3:$P$7,2,0)+VALUE(LEFT(punkt_szczepień__13[[#This Row],[PESEL]],2))</f>
        <v>1987</v>
      </c>
      <c r="H650" s="11">
        <f>VALUE(RIGHT(LEFT(punkt_szczepień__13[[#This Row],[PESEL]],6),2))</f>
        <v>23</v>
      </c>
      <c r="I650" s="3">
        <f>DATE(punkt_szczepień__13[[#This Row],[rok]],punkt_szczepień__13[[#This Row],[miesiac]],punkt_szczepień__13[[#This Row],[dzień]])</f>
        <v>32073</v>
      </c>
      <c r="J650" s="1" t="str">
        <f>punkt_szczepień__13[[#This Row],[PESEL]]</f>
        <v>87102335953</v>
      </c>
      <c r="K650" s="1">
        <f>VALUE(MID(punkt_szczepień__13[[#This Row],[PESEL]],10,1))</f>
        <v>5</v>
      </c>
      <c r="L650" s="11" t="str">
        <f>IF(MOD(punkt_szczepień__13[[#This Row],[liczba płeć]],2)=0,"K","M")</f>
        <v>M</v>
      </c>
      <c r="M650" s="1"/>
      <c r="N650" s="1"/>
    </row>
    <row r="651" spans="1:14" x14ac:dyDescent="0.25">
      <c r="A651" s="1" t="s">
        <v>657</v>
      </c>
      <c r="B651" s="1" t="s">
        <v>5</v>
      </c>
      <c r="C651" s="2">
        <v>0.58333333333333337</v>
      </c>
      <c r="D651">
        <v>2</v>
      </c>
      <c r="E651">
        <f>VALUE(RIGHT(LEFT(punkt_szczepień__13[[#This Row],[PESEL]],4),2))</f>
        <v>12</v>
      </c>
      <c r="F651" s="11">
        <f>MOD(punkt_szczepień__13[[#This Row],[liczba miesiac]],20)</f>
        <v>12</v>
      </c>
      <c r="G651" s="11">
        <f>VLOOKUP(punkt_szczepień__13[[#This Row],[liczba miesiac]]-punkt_szczepień__13[[#This Row],[miesiac]],$O$3:$P$7,2,0)+VALUE(LEFT(punkt_szczepień__13[[#This Row],[PESEL]],2))</f>
        <v>1930</v>
      </c>
      <c r="H651" s="11">
        <f>VALUE(RIGHT(LEFT(punkt_szczepień__13[[#This Row],[PESEL]],6),2))</f>
        <v>24</v>
      </c>
      <c r="I651" s="3">
        <f>DATE(punkt_szczepień__13[[#This Row],[rok]],punkt_szczepień__13[[#This Row],[miesiac]],punkt_szczepień__13[[#This Row],[dzień]])</f>
        <v>11316</v>
      </c>
      <c r="J651" s="1" t="str">
        <f>punkt_szczepień__13[[#This Row],[PESEL]]</f>
        <v>30122494245</v>
      </c>
      <c r="K651" s="1">
        <f>VALUE(MID(punkt_szczepień__13[[#This Row],[PESEL]],10,1))</f>
        <v>4</v>
      </c>
      <c r="L651" s="11" t="str">
        <f>IF(MOD(punkt_szczepień__13[[#This Row],[liczba płeć]],2)=0,"K","M")</f>
        <v>K</v>
      </c>
      <c r="M651" s="1"/>
      <c r="N651" s="1"/>
    </row>
    <row r="652" spans="1:14" x14ac:dyDescent="0.25">
      <c r="A652" s="1" t="s">
        <v>658</v>
      </c>
      <c r="B652" s="1" t="s">
        <v>5</v>
      </c>
      <c r="C652" s="2">
        <v>0.58391203703703709</v>
      </c>
      <c r="D652">
        <v>2</v>
      </c>
      <c r="E652">
        <f>VALUE(RIGHT(LEFT(punkt_szczepień__13[[#This Row],[PESEL]],4),2))</f>
        <v>7</v>
      </c>
      <c r="F652" s="11">
        <f>MOD(punkt_szczepień__13[[#This Row],[liczba miesiac]],20)</f>
        <v>7</v>
      </c>
      <c r="G652" s="11">
        <f>VLOOKUP(punkt_szczepień__13[[#This Row],[liczba miesiac]]-punkt_szczepień__13[[#This Row],[miesiac]],$O$3:$P$7,2,0)+VALUE(LEFT(punkt_szczepień__13[[#This Row],[PESEL]],2))</f>
        <v>1969</v>
      </c>
      <c r="H652" s="11">
        <f>VALUE(RIGHT(LEFT(punkt_szczepień__13[[#This Row],[PESEL]],6),2))</f>
        <v>13</v>
      </c>
      <c r="I652" s="3">
        <f>DATE(punkt_szczepień__13[[#This Row],[rok]],punkt_szczepień__13[[#This Row],[miesiac]],punkt_szczepień__13[[#This Row],[dzień]])</f>
        <v>25397</v>
      </c>
      <c r="J652" s="1" t="str">
        <f>punkt_szczepień__13[[#This Row],[PESEL]]</f>
        <v>69071363494</v>
      </c>
      <c r="K652" s="1">
        <f>VALUE(MID(punkt_szczepień__13[[#This Row],[PESEL]],10,1))</f>
        <v>9</v>
      </c>
      <c r="L652" s="11" t="str">
        <f>IF(MOD(punkt_szczepień__13[[#This Row],[liczba płeć]],2)=0,"K","M")</f>
        <v>M</v>
      </c>
      <c r="M652" s="1"/>
      <c r="N652" s="1"/>
    </row>
    <row r="653" spans="1:14" x14ac:dyDescent="0.25">
      <c r="A653" s="1" t="s">
        <v>659</v>
      </c>
      <c r="B653" s="1" t="s">
        <v>5</v>
      </c>
      <c r="C653" s="2">
        <v>0.5844907407407407</v>
      </c>
      <c r="D653">
        <v>2</v>
      </c>
      <c r="E653">
        <f>VALUE(RIGHT(LEFT(punkt_szczepień__13[[#This Row],[PESEL]],4),2))</f>
        <v>9</v>
      </c>
      <c r="F653" s="11">
        <f>MOD(punkt_szczepień__13[[#This Row],[liczba miesiac]],20)</f>
        <v>9</v>
      </c>
      <c r="G653" s="11">
        <f>VLOOKUP(punkt_szczepień__13[[#This Row],[liczba miesiac]]-punkt_szczepień__13[[#This Row],[miesiac]],$O$3:$P$7,2,0)+VALUE(LEFT(punkt_szczepień__13[[#This Row],[PESEL]],2))</f>
        <v>1959</v>
      </c>
      <c r="H653" s="11">
        <f>VALUE(RIGHT(LEFT(punkt_szczepień__13[[#This Row],[PESEL]],6),2))</f>
        <v>4</v>
      </c>
      <c r="I653" s="3">
        <f>DATE(punkt_szczepień__13[[#This Row],[rok]],punkt_szczepień__13[[#This Row],[miesiac]],punkt_szczepień__13[[#This Row],[dzień]])</f>
        <v>21797</v>
      </c>
      <c r="J653" s="1" t="str">
        <f>punkt_szczepień__13[[#This Row],[PESEL]]</f>
        <v>59090462876</v>
      </c>
      <c r="K653" s="1">
        <f>VALUE(MID(punkt_szczepień__13[[#This Row],[PESEL]],10,1))</f>
        <v>7</v>
      </c>
      <c r="L653" s="11" t="str">
        <f>IF(MOD(punkt_szczepień__13[[#This Row],[liczba płeć]],2)=0,"K","M")</f>
        <v>M</v>
      </c>
      <c r="M653" s="1"/>
      <c r="N653" s="1"/>
    </row>
    <row r="654" spans="1:14" x14ac:dyDescent="0.25">
      <c r="A654" s="1" t="s">
        <v>660</v>
      </c>
      <c r="B654" s="1" t="s">
        <v>9</v>
      </c>
      <c r="C654" s="2">
        <v>0.58478009259259256</v>
      </c>
      <c r="D654">
        <v>1</v>
      </c>
      <c r="E654">
        <f>VALUE(RIGHT(LEFT(punkt_szczepień__13[[#This Row],[PESEL]],4),2))</f>
        <v>7</v>
      </c>
      <c r="F654" s="11">
        <f>MOD(punkt_szczepień__13[[#This Row],[liczba miesiac]],20)</f>
        <v>7</v>
      </c>
      <c r="G654" s="11">
        <f>VLOOKUP(punkt_szczepień__13[[#This Row],[liczba miesiac]]-punkt_szczepień__13[[#This Row],[miesiac]],$O$3:$P$7,2,0)+VALUE(LEFT(punkt_szczepień__13[[#This Row],[PESEL]],2))</f>
        <v>1940</v>
      </c>
      <c r="H654" s="11">
        <f>VALUE(RIGHT(LEFT(punkt_szczepień__13[[#This Row],[PESEL]],6),2))</f>
        <v>28</v>
      </c>
      <c r="I654" s="3">
        <f>DATE(punkt_szczepień__13[[#This Row],[rok]],punkt_szczepień__13[[#This Row],[miesiac]],punkt_szczepień__13[[#This Row],[dzień]])</f>
        <v>14820</v>
      </c>
      <c r="J654" s="1" t="str">
        <f>punkt_szczepień__13[[#This Row],[PESEL]]</f>
        <v>40072854617</v>
      </c>
      <c r="K654" s="1">
        <f>VALUE(MID(punkt_szczepień__13[[#This Row],[PESEL]],10,1))</f>
        <v>1</v>
      </c>
      <c r="L654" s="11" t="str">
        <f>IF(MOD(punkt_szczepień__13[[#This Row],[liczba płeć]],2)=0,"K","M")</f>
        <v>M</v>
      </c>
      <c r="M654" s="1"/>
      <c r="N654" s="1"/>
    </row>
    <row r="655" spans="1:14" x14ac:dyDescent="0.25">
      <c r="A655" s="1" t="s">
        <v>661</v>
      </c>
      <c r="B655" s="1" t="s">
        <v>9</v>
      </c>
      <c r="C655" s="2">
        <v>0.58535879629629628</v>
      </c>
      <c r="D655">
        <v>2</v>
      </c>
      <c r="E655">
        <f>VALUE(RIGHT(LEFT(punkt_szczepień__13[[#This Row],[PESEL]],4),2))</f>
        <v>1</v>
      </c>
      <c r="F655" s="11">
        <f>MOD(punkt_szczepień__13[[#This Row],[liczba miesiac]],20)</f>
        <v>1</v>
      </c>
      <c r="G655" s="11">
        <f>VLOOKUP(punkt_szczepień__13[[#This Row],[liczba miesiac]]-punkt_szczepień__13[[#This Row],[miesiac]],$O$3:$P$7,2,0)+VALUE(LEFT(punkt_szczepień__13[[#This Row],[PESEL]],2))</f>
        <v>1992</v>
      </c>
      <c r="H655" s="11">
        <f>VALUE(RIGHT(LEFT(punkt_szczepień__13[[#This Row],[PESEL]],6),2))</f>
        <v>19</v>
      </c>
      <c r="I655" s="3">
        <f>DATE(punkt_szczepień__13[[#This Row],[rok]],punkt_szczepień__13[[#This Row],[miesiac]],punkt_szczepień__13[[#This Row],[dzień]])</f>
        <v>33622</v>
      </c>
      <c r="J655" s="1" t="str">
        <f>punkt_szczepień__13[[#This Row],[PESEL]]</f>
        <v>92011957543</v>
      </c>
      <c r="K655" s="1">
        <f>VALUE(MID(punkt_szczepień__13[[#This Row],[PESEL]],10,1))</f>
        <v>4</v>
      </c>
      <c r="L655" s="11" t="str">
        <f>IF(MOD(punkt_szczepień__13[[#This Row],[liczba płeć]],2)=0,"K","M")</f>
        <v>K</v>
      </c>
      <c r="M655" s="1"/>
      <c r="N655" s="1"/>
    </row>
    <row r="656" spans="1:14" x14ac:dyDescent="0.25">
      <c r="A656" s="1" t="s">
        <v>662</v>
      </c>
      <c r="B656" s="1" t="s">
        <v>7</v>
      </c>
      <c r="C656" s="2">
        <v>0.58564814814814814</v>
      </c>
      <c r="D656">
        <v>1</v>
      </c>
      <c r="E656">
        <f>VALUE(RIGHT(LEFT(punkt_szczepień__13[[#This Row],[PESEL]],4),2))</f>
        <v>7</v>
      </c>
      <c r="F656" s="11">
        <f>MOD(punkt_szczepień__13[[#This Row],[liczba miesiac]],20)</f>
        <v>7</v>
      </c>
      <c r="G656" s="11">
        <f>VLOOKUP(punkt_szczepień__13[[#This Row],[liczba miesiac]]-punkt_szczepień__13[[#This Row],[miesiac]],$O$3:$P$7,2,0)+VALUE(LEFT(punkt_szczepień__13[[#This Row],[PESEL]],2))</f>
        <v>1935</v>
      </c>
      <c r="H656" s="11">
        <f>VALUE(RIGHT(LEFT(punkt_szczepień__13[[#This Row],[PESEL]],6),2))</f>
        <v>21</v>
      </c>
      <c r="I656" s="3">
        <f>DATE(punkt_szczepień__13[[#This Row],[rok]],punkt_szczepień__13[[#This Row],[miesiac]],punkt_szczepień__13[[#This Row],[dzień]])</f>
        <v>12986</v>
      </c>
      <c r="J656" s="1" t="str">
        <f>punkt_szczepień__13[[#This Row],[PESEL]]</f>
        <v>35072127328</v>
      </c>
      <c r="K656" s="1">
        <f>VALUE(MID(punkt_szczepień__13[[#This Row],[PESEL]],10,1))</f>
        <v>2</v>
      </c>
      <c r="L656" s="11" t="str">
        <f>IF(MOD(punkt_szczepień__13[[#This Row],[liczba płeć]],2)=0,"K","M")</f>
        <v>K</v>
      </c>
      <c r="M656" s="1"/>
      <c r="N656" s="1"/>
    </row>
    <row r="657" spans="1:14" x14ac:dyDescent="0.25">
      <c r="A657" s="1" t="s">
        <v>663</v>
      </c>
      <c r="B657" s="1" t="s">
        <v>9</v>
      </c>
      <c r="C657" s="2">
        <v>0.58622685185185186</v>
      </c>
      <c r="D657">
        <v>2</v>
      </c>
      <c r="E657">
        <f>VALUE(RIGHT(LEFT(punkt_szczepień__13[[#This Row],[PESEL]],4),2))</f>
        <v>2</v>
      </c>
      <c r="F657" s="11">
        <f>MOD(punkt_szczepień__13[[#This Row],[liczba miesiac]],20)</f>
        <v>2</v>
      </c>
      <c r="G657" s="11">
        <f>VLOOKUP(punkt_szczepień__13[[#This Row],[liczba miesiac]]-punkt_szczepień__13[[#This Row],[miesiac]],$O$3:$P$7,2,0)+VALUE(LEFT(punkt_szczepień__13[[#This Row],[PESEL]],2))</f>
        <v>1981</v>
      </c>
      <c r="H657" s="11">
        <f>VALUE(RIGHT(LEFT(punkt_szczepień__13[[#This Row],[PESEL]],6),2))</f>
        <v>11</v>
      </c>
      <c r="I657" s="3">
        <f>DATE(punkt_szczepień__13[[#This Row],[rok]],punkt_szczepień__13[[#This Row],[miesiac]],punkt_szczepień__13[[#This Row],[dzień]])</f>
        <v>29628</v>
      </c>
      <c r="J657" s="1" t="str">
        <f>punkt_szczepień__13[[#This Row],[PESEL]]</f>
        <v>81021128544</v>
      </c>
      <c r="K657" s="1">
        <f>VALUE(MID(punkt_szczepień__13[[#This Row],[PESEL]],10,1))</f>
        <v>4</v>
      </c>
      <c r="L657" s="11" t="str">
        <f>IF(MOD(punkt_szczepień__13[[#This Row],[liczba płeć]],2)=0,"K","M")</f>
        <v>K</v>
      </c>
      <c r="M657" s="1"/>
      <c r="N657" s="1"/>
    </row>
    <row r="658" spans="1:14" x14ac:dyDescent="0.25">
      <c r="A658" s="1" t="s">
        <v>664</v>
      </c>
      <c r="B658" s="1" t="s">
        <v>7</v>
      </c>
      <c r="C658" s="2">
        <v>0.58651620370370372</v>
      </c>
      <c r="D658">
        <v>1</v>
      </c>
      <c r="E658">
        <f>VALUE(RIGHT(LEFT(punkt_szczepień__13[[#This Row],[PESEL]],4),2))</f>
        <v>3</v>
      </c>
      <c r="F658" s="11">
        <f>MOD(punkt_szczepień__13[[#This Row],[liczba miesiac]],20)</f>
        <v>3</v>
      </c>
      <c r="G658" s="11">
        <f>VLOOKUP(punkt_szczepień__13[[#This Row],[liczba miesiac]]-punkt_szczepień__13[[#This Row],[miesiac]],$O$3:$P$7,2,0)+VALUE(LEFT(punkt_szczepień__13[[#This Row],[PESEL]],2))</f>
        <v>1935</v>
      </c>
      <c r="H658" s="11">
        <f>VALUE(RIGHT(LEFT(punkt_szczepień__13[[#This Row],[PESEL]],6),2))</f>
        <v>19</v>
      </c>
      <c r="I658" s="3">
        <f>DATE(punkt_szczepień__13[[#This Row],[rok]],punkt_szczepień__13[[#This Row],[miesiac]],punkt_szczepień__13[[#This Row],[dzień]])</f>
        <v>12862</v>
      </c>
      <c r="J658" s="1" t="str">
        <f>punkt_szczepień__13[[#This Row],[PESEL]]</f>
        <v>35031981781</v>
      </c>
      <c r="K658" s="1">
        <f>VALUE(MID(punkt_szczepień__13[[#This Row],[PESEL]],10,1))</f>
        <v>8</v>
      </c>
      <c r="L658" s="11" t="str">
        <f>IF(MOD(punkt_szczepień__13[[#This Row],[liczba płeć]],2)=0,"K","M")</f>
        <v>K</v>
      </c>
      <c r="M658" s="1"/>
      <c r="N658" s="1"/>
    </row>
    <row r="659" spans="1:14" x14ac:dyDescent="0.25">
      <c r="A659" s="1" t="s">
        <v>665</v>
      </c>
      <c r="B659" s="1" t="s">
        <v>7</v>
      </c>
      <c r="C659" s="2">
        <v>0.58680555555555558</v>
      </c>
      <c r="D659">
        <v>1</v>
      </c>
      <c r="E659">
        <f>VALUE(RIGHT(LEFT(punkt_szczepień__13[[#This Row],[PESEL]],4),2))</f>
        <v>24</v>
      </c>
      <c r="F659" s="11">
        <f>MOD(punkt_szczepień__13[[#This Row],[liczba miesiac]],20)</f>
        <v>4</v>
      </c>
      <c r="G659" s="11">
        <f>VLOOKUP(punkt_szczepień__13[[#This Row],[liczba miesiac]]-punkt_szczepień__13[[#This Row],[miesiac]],$O$3:$P$7,2,0)+VALUE(LEFT(punkt_szczepień__13[[#This Row],[PESEL]],2))</f>
        <v>2000</v>
      </c>
      <c r="H659" s="11">
        <f>VALUE(RIGHT(LEFT(punkt_szczepień__13[[#This Row],[PESEL]],6),2))</f>
        <v>23</v>
      </c>
      <c r="I659" s="3">
        <f>DATE(punkt_szczepień__13[[#This Row],[rok]],punkt_szczepień__13[[#This Row],[miesiac]],punkt_szczepień__13[[#This Row],[dzień]])</f>
        <v>36639</v>
      </c>
      <c r="J659" s="1" t="str">
        <f>punkt_szczepień__13[[#This Row],[PESEL]]</f>
        <v>00242332741</v>
      </c>
      <c r="K659" s="1">
        <f>VALUE(MID(punkt_szczepień__13[[#This Row],[PESEL]],10,1))</f>
        <v>4</v>
      </c>
      <c r="L659" s="11" t="str">
        <f>IF(MOD(punkt_szczepień__13[[#This Row],[liczba płeć]],2)=0,"K","M")</f>
        <v>K</v>
      </c>
      <c r="M659" s="1"/>
      <c r="N659" s="1"/>
    </row>
    <row r="660" spans="1:14" x14ac:dyDescent="0.25">
      <c r="A660" s="1" t="s">
        <v>666</v>
      </c>
      <c r="B660" s="1" t="s">
        <v>27</v>
      </c>
      <c r="C660" s="2">
        <v>0.58709490740740744</v>
      </c>
      <c r="D660">
        <v>1</v>
      </c>
      <c r="E660">
        <f>VALUE(RIGHT(LEFT(punkt_szczepień__13[[#This Row],[PESEL]],4),2))</f>
        <v>4</v>
      </c>
      <c r="F660" s="11">
        <f>MOD(punkt_szczepień__13[[#This Row],[liczba miesiac]],20)</f>
        <v>4</v>
      </c>
      <c r="G660" s="11">
        <f>VLOOKUP(punkt_szczepień__13[[#This Row],[liczba miesiac]]-punkt_szczepień__13[[#This Row],[miesiac]],$O$3:$P$7,2,0)+VALUE(LEFT(punkt_szczepień__13[[#This Row],[PESEL]],2))</f>
        <v>1993</v>
      </c>
      <c r="H660" s="11">
        <f>VALUE(RIGHT(LEFT(punkt_szczepień__13[[#This Row],[PESEL]],6),2))</f>
        <v>20</v>
      </c>
      <c r="I660" s="3">
        <f>DATE(punkt_szczepień__13[[#This Row],[rok]],punkt_szczepień__13[[#This Row],[miesiac]],punkt_szczepień__13[[#This Row],[dzień]])</f>
        <v>34079</v>
      </c>
      <c r="J660" s="1" t="str">
        <f>punkt_szczepień__13[[#This Row],[PESEL]]</f>
        <v>93042086974</v>
      </c>
      <c r="K660" s="1">
        <f>VALUE(MID(punkt_szczepień__13[[#This Row],[PESEL]],10,1))</f>
        <v>7</v>
      </c>
      <c r="L660" s="11" t="str">
        <f>IF(MOD(punkt_szczepień__13[[#This Row],[liczba płeć]],2)=0,"K","M")</f>
        <v>M</v>
      </c>
      <c r="M660" s="1"/>
      <c r="N660" s="1"/>
    </row>
    <row r="661" spans="1:14" x14ac:dyDescent="0.25">
      <c r="A661" s="1" t="s">
        <v>667</v>
      </c>
      <c r="B661" s="1" t="s">
        <v>27</v>
      </c>
      <c r="C661" s="2">
        <v>0.5873842592592593</v>
      </c>
      <c r="D661">
        <v>1</v>
      </c>
      <c r="E661">
        <f>VALUE(RIGHT(LEFT(punkt_szczepień__13[[#This Row],[PESEL]],4),2))</f>
        <v>8</v>
      </c>
      <c r="F661" s="11">
        <f>MOD(punkt_szczepień__13[[#This Row],[liczba miesiac]],20)</f>
        <v>8</v>
      </c>
      <c r="G661" s="11">
        <f>VLOOKUP(punkt_szczepień__13[[#This Row],[liczba miesiac]]-punkt_szczepień__13[[#This Row],[miesiac]],$O$3:$P$7,2,0)+VALUE(LEFT(punkt_szczepień__13[[#This Row],[PESEL]],2))</f>
        <v>1983</v>
      </c>
      <c r="H661" s="11">
        <f>VALUE(RIGHT(LEFT(punkt_szczepień__13[[#This Row],[PESEL]],6),2))</f>
        <v>4</v>
      </c>
      <c r="I661" s="3">
        <f>DATE(punkt_szczepień__13[[#This Row],[rok]],punkt_szczepień__13[[#This Row],[miesiac]],punkt_szczepień__13[[#This Row],[dzień]])</f>
        <v>30532</v>
      </c>
      <c r="J661" s="1" t="str">
        <f>punkt_szczepień__13[[#This Row],[PESEL]]</f>
        <v>83080425697</v>
      </c>
      <c r="K661" s="1">
        <f>VALUE(MID(punkt_szczepień__13[[#This Row],[PESEL]],10,1))</f>
        <v>9</v>
      </c>
      <c r="L661" s="11" t="str">
        <f>IF(MOD(punkt_szczepień__13[[#This Row],[liczba płeć]],2)=0,"K","M")</f>
        <v>M</v>
      </c>
      <c r="M661" s="1"/>
      <c r="N661" s="1"/>
    </row>
    <row r="662" spans="1:14" x14ac:dyDescent="0.25">
      <c r="A662" s="1" t="s">
        <v>668</v>
      </c>
      <c r="B662" s="1" t="s">
        <v>7</v>
      </c>
      <c r="C662" s="2">
        <v>0.58767361111111116</v>
      </c>
      <c r="D662">
        <v>1</v>
      </c>
      <c r="E662">
        <f>VALUE(RIGHT(LEFT(punkt_szczepień__13[[#This Row],[PESEL]],4),2))</f>
        <v>6</v>
      </c>
      <c r="F662" s="11">
        <f>MOD(punkt_szczepień__13[[#This Row],[liczba miesiac]],20)</f>
        <v>6</v>
      </c>
      <c r="G662" s="11">
        <f>VLOOKUP(punkt_szczepień__13[[#This Row],[liczba miesiac]]-punkt_szczepień__13[[#This Row],[miesiac]],$O$3:$P$7,2,0)+VALUE(LEFT(punkt_szczepień__13[[#This Row],[PESEL]],2))</f>
        <v>1959</v>
      </c>
      <c r="H662" s="11">
        <f>VALUE(RIGHT(LEFT(punkt_szczepień__13[[#This Row],[PESEL]],6),2))</f>
        <v>11</v>
      </c>
      <c r="I662" s="3">
        <f>DATE(punkt_szczepień__13[[#This Row],[rok]],punkt_szczepień__13[[#This Row],[miesiac]],punkt_szczepień__13[[#This Row],[dzień]])</f>
        <v>21712</v>
      </c>
      <c r="J662" s="1" t="str">
        <f>punkt_szczepień__13[[#This Row],[PESEL]]</f>
        <v>59061133347</v>
      </c>
      <c r="K662" s="1">
        <f>VALUE(MID(punkt_szczepień__13[[#This Row],[PESEL]],10,1))</f>
        <v>4</v>
      </c>
      <c r="L662" s="11" t="str">
        <f>IF(MOD(punkt_szczepień__13[[#This Row],[liczba płeć]],2)=0,"K","M")</f>
        <v>K</v>
      </c>
      <c r="M662" s="1"/>
      <c r="N662" s="1"/>
    </row>
    <row r="663" spans="1:14" x14ac:dyDescent="0.25">
      <c r="A663" s="1" t="s">
        <v>669</v>
      </c>
      <c r="B663" s="1" t="s">
        <v>9</v>
      </c>
      <c r="C663" s="2">
        <v>0.58796296296296291</v>
      </c>
      <c r="D663">
        <v>1</v>
      </c>
      <c r="E663">
        <f>VALUE(RIGHT(LEFT(punkt_szczepień__13[[#This Row],[PESEL]],4),2))</f>
        <v>24</v>
      </c>
      <c r="F663" s="11">
        <f>MOD(punkt_szczepień__13[[#This Row],[liczba miesiac]],20)</f>
        <v>4</v>
      </c>
      <c r="G663" s="11">
        <f>VLOOKUP(punkt_szczepień__13[[#This Row],[liczba miesiac]]-punkt_szczepień__13[[#This Row],[miesiac]],$O$3:$P$7,2,0)+VALUE(LEFT(punkt_szczepień__13[[#This Row],[PESEL]],2))</f>
        <v>2006</v>
      </c>
      <c r="H663" s="11">
        <f>VALUE(RIGHT(LEFT(punkt_szczepień__13[[#This Row],[PESEL]],6),2))</f>
        <v>16</v>
      </c>
      <c r="I663" s="3">
        <f>DATE(punkt_szczepień__13[[#This Row],[rok]],punkt_szczepień__13[[#This Row],[miesiac]],punkt_szczepień__13[[#This Row],[dzień]])</f>
        <v>38823</v>
      </c>
      <c r="J663" s="1" t="str">
        <f>punkt_szczepień__13[[#This Row],[PESEL]]</f>
        <v>06241646834</v>
      </c>
      <c r="K663" s="1">
        <f>VALUE(MID(punkt_szczepień__13[[#This Row],[PESEL]],10,1))</f>
        <v>3</v>
      </c>
      <c r="L663" s="11" t="str">
        <f>IF(MOD(punkt_szczepień__13[[#This Row],[liczba płeć]],2)=0,"K","M")</f>
        <v>M</v>
      </c>
      <c r="M663" s="1"/>
      <c r="N663" s="1"/>
    </row>
    <row r="664" spans="1:14" x14ac:dyDescent="0.25">
      <c r="A664" s="1" t="s">
        <v>670</v>
      </c>
      <c r="B664" s="1" t="s">
        <v>9</v>
      </c>
      <c r="C664" s="2">
        <v>0.58854166666666663</v>
      </c>
      <c r="D664">
        <v>2</v>
      </c>
      <c r="E664">
        <f>VALUE(RIGHT(LEFT(punkt_szczepień__13[[#This Row],[PESEL]],4),2))</f>
        <v>5</v>
      </c>
      <c r="F664" s="11">
        <f>MOD(punkt_szczepień__13[[#This Row],[liczba miesiac]],20)</f>
        <v>5</v>
      </c>
      <c r="G664" s="11">
        <f>VLOOKUP(punkt_szczepień__13[[#This Row],[liczba miesiac]]-punkt_szczepień__13[[#This Row],[miesiac]],$O$3:$P$7,2,0)+VALUE(LEFT(punkt_szczepień__13[[#This Row],[PESEL]],2))</f>
        <v>1999</v>
      </c>
      <c r="H664" s="11">
        <f>VALUE(RIGHT(LEFT(punkt_szczepień__13[[#This Row],[PESEL]],6),2))</f>
        <v>26</v>
      </c>
      <c r="I664" s="3">
        <f>DATE(punkt_szczepień__13[[#This Row],[rok]],punkt_szczepień__13[[#This Row],[miesiac]],punkt_szczepień__13[[#This Row],[dzień]])</f>
        <v>36306</v>
      </c>
      <c r="J664" s="1" t="str">
        <f>punkt_szczepień__13[[#This Row],[PESEL]]</f>
        <v>99052626957</v>
      </c>
      <c r="K664" s="1">
        <f>VALUE(MID(punkt_szczepień__13[[#This Row],[PESEL]],10,1))</f>
        <v>5</v>
      </c>
      <c r="L664" s="11" t="str">
        <f>IF(MOD(punkt_szczepień__13[[#This Row],[liczba płeć]],2)=0,"K","M")</f>
        <v>M</v>
      </c>
      <c r="M664" s="1"/>
      <c r="N664" s="1"/>
    </row>
    <row r="665" spans="1:14" x14ac:dyDescent="0.25">
      <c r="A665" s="1" t="s">
        <v>671</v>
      </c>
      <c r="B665" s="1" t="s">
        <v>9</v>
      </c>
      <c r="C665" s="2">
        <v>0.58883101851851849</v>
      </c>
      <c r="D665">
        <v>1</v>
      </c>
      <c r="E665">
        <f>VALUE(RIGHT(LEFT(punkt_szczepień__13[[#This Row],[PESEL]],4),2))</f>
        <v>9</v>
      </c>
      <c r="F665" s="11">
        <f>MOD(punkt_szczepień__13[[#This Row],[liczba miesiac]],20)</f>
        <v>9</v>
      </c>
      <c r="G665" s="11">
        <f>VLOOKUP(punkt_szczepień__13[[#This Row],[liczba miesiac]]-punkt_szczepień__13[[#This Row],[miesiac]],$O$3:$P$7,2,0)+VALUE(LEFT(punkt_szczepień__13[[#This Row],[PESEL]],2))</f>
        <v>1995</v>
      </c>
      <c r="H665" s="11">
        <f>VALUE(RIGHT(LEFT(punkt_szczepień__13[[#This Row],[PESEL]],6),2))</f>
        <v>13</v>
      </c>
      <c r="I665" s="3">
        <f>DATE(punkt_szczepień__13[[#This Row],[rok]],punkt_szczepień__13[[#This Row],[miesiac]],punkt_szczepień__13[[#This Row],[dzień]])</f>
        <v>34955</v>
      </c>
      <c r="J665" s="1" t="str">
        <f>punkt_szczepień__13[[#This Row],[PESEL]]</f>
        <v>95091375285</v>
      </c>
      <c r="K665" s="1">
        <f>VALUE(MID(punkt_szczepień__13[[#This Row],[PESEL]],10,1))</f>
        <v>8</v>
      </c>
      <c r="L665" s="11" t="str">
        <f>IF(MOD(punkt_szczepień__13[[#This Row],[liczba płeć]],2)=0,"K","M")</f>
        <v>K</v>
      </c>
      <c r="M665" s="1"/>
      <c r="N665" s="1"/>
    </row>
    <row r="666" spans="1:14" x14ac:dyDescent="0.25">
      <c r="A666" s="1" t="s">
        <v>672</v>
      </c>
      <c r="B666" s="1" t="s">
        <v>5</v>
      </c>
      <c r="C666" s="2">
        <v>0.58940972222222221</v>
      </c>
      <c r="D666">
        <v>2</v>
      </c>
      <c r="E666">
        <f>VALUE(RIGHT(LEFT(punkt_szczepień__13[[#This Row],[PESEL]],4),2))</f>
        <v>8</v>
      </c>
      <c r="F666" s="11">
        <f>MOD(punkt_szczepień__13[[#This Row],[liczba miesiac]],20)</f>
        <v>8</v>
      </c>
      <c r="G666" s="11">
        <f>VLOOKUP(punkt_szczepień__13[[#This Row],[liczba miesiac]]-punkt_szczepień__13[[#This Row],[miesiac]],$O$3:$P$7,2,0)+VALUE(LEFT(punkt_szczepień__13[[#This Row],[PESEL]],2))</f>
        <v>1978</v>
      </c>
      <c r="H666" s="11">
        <f>VALUE(RIGHT(LEFT(punkt_szczepień__13[[#This Row],[PESEL]],6),2))</f>
        <v>4</v>
      </c>
      <c r="I666" s="3">
        <f>DATE(punkt_szczepień__13[[#This Row],[rok]],punkt_szczepień__13[[#This Row],[miesiac]],punkt_szczepień__13[[#This Row],[dzień]])</f>
        <v>28706</v>
      </c>
      <c r="J666" s="1" t="str">
        <f>punkt_szczepień__13[[#This Row],[PESEL]]</f>
        <v>78080457991</v>
      </c>
      <c r="K666" s="1">
        <f>VALUE(MID(punkt_szczepień__13[[#This Row],[PESEL]],10,1))</f>
        <v>9</v>
      </c>
      <c r="L666" s="11" t="str">
        <f>IF(MOD(punkt_szczepień__13[[#This Row],[liczba płeć]],2)=0,"K","M")</f>
        <v>M</v>
      </c>
      <c r="M666" s="1"/>
      <c r="N666" s="1"/>
    </row>
    <row r="667" spans="1:14" x14ac:dyDescent="0.25">
      <c r="A667" s="1" t="s">
        <v>673</v>
      </c>
      <c r="B667" s="1" t="s">
        <v>9</v>
      </c>
      <c r="C667" s="2">
        <v>0.58998842592592593</v>
      </c>
      <c r="D667">
        <v>2</v>
      </c>
      <c r="E667">
        <f>VALUE(RIGHT(LEFT(punkt_szczepień__13[[#This Row],[PESEL]],4),2))</f>
        <v>7</v>
      </c>
      <c r="F667" s="11">
        <f>MOD(punkt_szczepień__13[[#This Row],[liczba miesiac]],20)</f>
        <v>7</v>
      </c>
      <c r="G667" s="11">
        <f>VLOOKUP(punkt_szczepień__13[[#This Row],[liczba miesiac]]-punkt_szczepień__13[[#This Row],[miesiac]],$O$3:$P$7,2,0)+VALUE(LEFT(punkt_szczepień__13[[#This Row],[PESEL]],2))</f>
        <v>1986</v>
      </c>
      <c r="H667" s="11">
        <f>VALUE(RIGHT(LEFT(punkt_szczepień__13[[#This Row],[PESEL]],6),2))</f>
        <v>27</v>
      </c>
      <c r="I667" s="3">
        <f>DATE(punkt_szczepień__13[[#This Row],[rok]],punkt_szczepień__13[[#This Row],[miesiac]],punkt_szczepień__13[[#This Row],[dzień]])</f>
        <v>31620</v>
      </c>
      <c r="J667" s="1" t="str">
        <f>punkt_szczepień__13[[#This Row],[PESEL]]</f>
        <v>86072755961</v>
      </c>
      <c r="K667" s="1">
        <f>VALUE(MID(punkt_szczepień__13[[#This Row],[PESEL]],10,1))</f>
        <v>6</v>
      </c>
      <c r="L667" s="11" t="str">
        <f>IF(MOD(punkt_szczepień__13[[#This Row],[liczba płeć]],2)=0,"K","M")</f>
        <v>K</v>
      </c>
      <c r="M667" s="1"/>
      <c r="N667" s="1"/>
    </row>
    <row r="668" spans="1:14" x14ac:dyDescent="0.25">
      <c r="A668" s="1" t="s">
        <v>674</v>
      </c>
      <c r="B668" s="1" t="s">
        <v>7</v>
      </c>
      <c r="C668" s="2">
        <v>0.59027777777777779</v>
      </c>
      <c r="D668">
        <v>1</v>
      </c>
      <c r="E668">
        <f>VALUE(RIGHT(LEFT(punkt_szczepień__13[[#This Row],[PESEL]],4),2))</f>
        <v>11</v>
      </c>
      <c r="F668" s="11">
        <f>MOD(punkt_szczepień__13[[#This Row],[liczba miesiac]],20)</f>
        <v>11</v>
      </c>
      <c r="G668" s="11">
        <f>VLOOKUP(punkt_szczepień__13[[#This Row],[liczba miesiac]]-punkt_szczepień__13[[#This Row],[miesiac]],$O$3:$P$7,2,0)+VALUE(LEFT(punkt_szczepień__13[[#This Row],[PESEL]],2))</f>
        <v>1993</v>
      </c>
      <c r="H668" s="11">
        <f>VALUE(RIGHT(LEFT(punkt_szczepień__13[[#This Row],[PESEL]],6),2))</f>
        <v>22</v>
      </c>
      <c r="I668" s="3">
        <f>DATE(punkt_szczepień__13[[#This Row],[rok]],punkt_szczepień__13[[#This Row],[miesiac]],punkt_szczepień__13[[#This Row],[dzień]])</f>
        <v>34295</v>
      </c>
      <c r="J668" s="1" t="str">
        <f>punkt_szczepień__13[[#This Row],[PESEL]]</f>
        <v>93112216724</v>
      </c>
      <c r="K668" s="1">
        <f>VALUE(MID(punkt_szczepień__13[[#This Row],[PESEL]],10,1))</f>
        <v>2</v>
      </c>
      <c r="L668" s="11" t="str">
        <f>IF(MOD(punkt_szczepień__13[[#This Row],[liczba płeć]],2)=0,"K","M")</f>
        <v>K</v>
      </c>
      <c r="M668" s="1"/>
      <c r="N668" s="1"/>
    </row>
    <row r="669" spans="1:14" x14ac:dyDescent="0.25">
      <c r="A669" s="1" t="s">
        <v>675</v>
      </c>
      <c r="B669" s="1" t="s">
        <v>9</v>
      </c>
      <c r="C669" s="2">
        <v>0.59056712962962965</v>
      </c>
      <c r="D669">
        <v>1</v>
      </c>
      <c r="E669">
        <f>VALUE(RIGHT(LEFT(punkt_szczepień__13[[#This Row],[PESEL]],4),2))</f>
        <v>11</v>
      </c>
      <c r="F669" s="11">
        <f>MOD(punkt_szczepień__13[[#This Row],[liczba miesiac]],20)</f>
        <v>11</v>
      </c>
      <c r="G669" s="11">
        <f>VLOOKUP(punkt_szczepień__13[[#This Row],[liczba miesiac]]-punkt_szczepień__13[[#This Row],[miesiac]],$O$3:$P$7,2,0)+VALUE(LEFT(punkt_szczepień__13[[#This Row],[PESEL]],2))</f>
        <v>1999</v>
      </c>
      <c r="H669" s="11">
        <f>VALUE(RIGHT(LEFT(punkt_szczepień__13[[#This Row],[PESEL]],6),2))</f>
        <v>3</v>
      </c>
      <c r="I669" s="3">
        <f>DATE(punkt_szczepień__13[[#This Row],[rok]],punkt_szczepień__13[[#This Row],[miesiac]],punkt_szczepień__13[[#This Row],[dzień]])</f>
        <v>36467</v>
      </c>
      <c r="J669" s="1" t="str">
        <f>punkt_szczepień__13[[#This Row],[PESEL]]</f>
        <v>99110312837</v>
      </c>
      <c r="K669" s="1">
        <f>VALUE(MID(punkt_szczepień__13[[#This Row],[PESEL]],10,1))</f>
        <v>3</v>
      </c>
      <c r="L669" s="11" t="str">
        <f>IF(MOD(punkt_szczepień__13[[#This Row],[liczba płeć]],2)=0,"K","M")</f>
        <v>M</v>
      </c>
      <c r="M669" s="1"/>
      <c r="N669" s="1"/>
    </row>
    <row r="670" spans="1:14" x14ac:dyDescent="0.25">
      <c r="A670" s="1" t="s">
        <v>676</v>
      </c>
      <c r="B670" s="1" t="s">
        <v>9</v>
      </c>
      <c r="C670" s="2">
        <v>0.59114583333333337</v>
      </c>
      <c r="D670">
        <v>2</v>
      </c>
      <c r="E670">
        <f>VALUE(RIGHT(LEFT(punkt_szczepień__13[[#This Row],[PESEL]],4),2))</f>
        <v>7</v>
      </c>
      <c r="F670" s="11">
        <f>MOD(punkt_szczepień__13[[#This Row],[liczba miesiac]],20)</f>
        <v>7</v>
      </c>
      <c r="G670" s="11">
        <f>VLOOKUP(punkt_szczepień__13[[#This Row],[liczba miesiac]]-punkt_szczepień__13[[#This Row],[miesiac]],$O$3:$P$7,2,0)+VALUE(LEFT(punkt_szczepień__13[[#This Row],[PESEL]],2))</f>
        <v>1978</v>
      </c>
      <c r="H670" s="11">
        <f>VALUE(RIGHT(LEFT(punkt_szczepień__13[[#This Row],[PESEL]],6),2))</f>
        <v>12</v>
      </c>
      <c r="I670" s="3">
        <f>DATE(punkt_szczepień__13[[#This Row],[rok]],punkt_szczepień__13[[#This Row],[miesiac]],punkt_szczepień__13[[#This Row],[dzień]])</f>
        <v>28683</v>
      </c>
      <c r="J670" s="1" t="str">
        <f>punkt_szczepień__13[[#This Row],[PESEL]]</f>
        <v>78071228911</v>
      </c>
      <c r="K670" s="1">
        <f>VALUE(MID(punkt_szczepień__13[[#This Row],[PESEL]],10,1))</f>
        <v>1</v>
      </c>
      <c r="L670" s="11" t="str">
        <f>IF(MOD(punkt_szczepień__13[[#This Row],[liczba płeć]],2)=0,"K","M")</f>
        <v>M</v>
      </c>
      <c r="M670" s="1"/>
      <c r="N670" s="1"/>
    </row>
    <row r="671" spans="1:14" x14ac:dyDescent="0.25">
      <c r="A671" s="1" t="s">
        <v>677</v>
      </c>
      <c r="B671" s="1" t="s">
        <v>9</v>
      </c>
      <c r="C671" s="2">
        <v>0.59143518518518523</v>
      </c>
      <c r="D671">
        <v>1</v>
      </c>
      <c r="E671">
        <f>VALUE(RIGHT(LEFT(punkt_szczepień__13[[#This Row],[PESEL]],4),2))</f>
        <v>1</v>
      </c>
      <c r="F671" s="11">
        <f>MOD(punkt_szczepień__13[[#This Row],[liczba miesiac]],20)</f>
        <v>1</v>
      </c>
      <c r="G671" s="11">
        <f>VLOOKUP(punkt_szczepień__13[[#This Row],[liczba miesiac]]-punkt_szczepień__13[[#This Row],[miesiac]],$O$3:$P$7,2,0)+VALUE(LEFT(punkt_szczepień__13[[#This Row],[PESEL]],2))</f>
        <v>1966</v>
      </c>
      <c r="H671" s="11">
        <f>VALUE(RIGHT(LEFT(punkt_szczepień__13[[#This Row],[PESEL]],6),2))</f>
        <v>15</v>
      </c>
      <c r="I671" s="3">
        <f>DATE(punkt_szczepień__13[[#This Row],[rok]],punkt_szczepień__13[[#This Row],[miesiac]],punkt_szczepień__13[[#This Row],[dzień]])</f>
        <v>24122</v>
      </c>
      <c r="J671" s="1" t="str">
        <f>punkt_szczepień__13[[#This Row],[PESEL]]</f>
        <v>66011549194</v>
      </c>
      <c r="K671" s="1">
        <f>VALUE(MID(punkt_szczepień__13[[#This Row],[PESEL]],10,1))</f>
        <v>9</v>
      </c>
      <c r="L671" s="11" t="str">
        <f>IF(MOD(punkt_szczepień__13[[#This Row],[liczba płeć]],2)=0,"K","M")</f>
        <v>M</v>
      </c>
      <c r="M671" s="1"/>
      <c r="N671" s="1"/>
    </row>
    <row r="672" spans="1:14" x14ac:dyDescent="0.25">
      <c r="A672" s="1" t="s">
        <v>678</v>
      </c>
      <c r="B672" s="1" t="s">
        <v>7</v>
      </c>
      <c r="C672" s="2">
        <v>0.59172453703703709</v>
      </c>
      <c r="D672">
        <v>1</v>
      </c>
      <c r="E672">
        <f>VALUE(RIGHT(LEFT(punkt_szczepień__13[[#This Row],[PESEL]],4),2))</f>
        <v>3</v>
      </c>
      <c r="F672" s="11">
        <f>MOD(punkt_szczepień__13[[#This Row],[liczba miesiac]],20)</f>
        <v>3</v>
      </c>
      <c r="G672" s="11">
        <f>VLOOKUP(punkt_szczepień__13[[#This Row],[liczba miesiac]]-punkt_szczepień__13[[#This Row],[miesiac]],$O$3:$P$7,2,0)+VALUE(LEFT(punkt_szczepień__13[[#This Row],[PESEL]],2))</f>
        <v>1992</v>
      </c>
      <c r="H672" s="11">
        <f>VALUE(RIGHT(LEFT(punkt_szczepień__13[[#This Row],[PESEL]],6),2))</f>
        <v>12</v>
      </c>
      <c r="I672" s="3">
        <f>DATE(punkt_szczepień__13[[#This Row],[rok]],punkt_szczepień__13[[#This Row],[miesiac]],punkt_szczepień__13[[#This Row],[dzień]])</f>
        <v>33675</v>
      </c>
      <c r="J672" s="1" t="str">
        <f>punkt_szczepień__13[[#This Row],[PESEL]]</f>
        <v>92031265318</v>
      </c>
      <c r="K672" s="1">
        <f>VALUE(MID(punkt_szczepień__13[[#This Row],[PESEL]],10,1))</f>
        <v>1</v>
      </c>
      <c r="L672" s="11" t="str">
        <f>IF(MOD(punkt_szczepień__13[[#This Row],[liczba płeć]],2)=0,"K","M")</f>
        <v>M</v>
      </c>
      <c r="M672" s="1"/>
      <c r="N672" s="1"/>
    </row>
    <row r="673" spans="1:14" x14ac:dyDescent="0.25">
      <c r="A673" s="1" t="s">
        <v>679</v>
      </c>
      <c r="B673" s="1" t="s">
        <v>9</v>
      </c>
      <c r="C673" s="2">
        <v>0.5923032407407407</v>
      </c>
      <c r="D673">
        <v>2</v>
      </c>
      <c r="E673">
        <f>VALUE(RIGHT(LEFT(punkt_szczepień__13[[#This Row],[PESEL]],4),2))</f>
        <v>5</v>
      </c>
      <c r="F673" s="11">
        <f>MOD(punkt_szczepień__13[[#This Row],[liczba miesiac]],20)</f>
        <v>5</v>
      </c>
      <c r="G673" s="11">
        <f>VLOOKUP(punkt_szczepień__13[[#This Row],[liczba miesiac]]-punkt_szczepień__13[[#This Row],[miesiac]],$O$3:$P$7,2,0)+VALUE(LEFT(punkt_szczepień__13[[#This Row],[PESEL]],2))</f>
        <v>1995</v>
      </c>
      <c r="H673" s="11">
        <f>VALUE(RIGHT(LEFT(punkt_szczepień__13[[#This Row],[PESEL]],6),2))</f>
        <v>30</v>
      </c>
      <c r="I673" s="3">
        <f>DATE(punkt_szczepień__13[[#This Row],[rok]],punkt_szczepień__13[[#This Row],[miesiac]],punkt_szczepień__13[[#This Row],[dzień]])</f>
        <v>34849</v>
      </c>
      <c r="J673" s="1" t="str">
        <f>punkt_szczepień__13[[#This Row],[PESEL]]</f>
        <v>95053028484</v>
      </c>
      <c r="K673" s="1">
        <f>VALUE(MID(punkt_szczepień__13[[#This Row],[PESEL]],10,1))</f>
        <v>8</v>
      </c>
      <c r="L673" s="11" t="str">
        <f>IF(MOD(punkt_szczepień__13[[#This Row],[liczba płeć]],2)=0,"K","M")</f>
        <v>K</v>
      </c>
      <c r="M673" s="1"/>
      <c r="N673" s="1"/>
    </row>
    <row r="674" spans="1:14" x14ac:dyDescent="0.25">
      <c r="A674" s="1" t="s">
        <v>680</v>
      </c>
      <c r="B674" s="1" t="s">
        <v>7</v>
      </c>
      <c r="C674" s="2">
        <v>0.59259259259259256</v>
      </c>
      <c r="D674">
        <v>1</v>
      </c>
      <c r="E674">
        <f>VALUE(RIGHT(LEFT(punkt_szczepień__13[[#This Row],[PESEL]],4),2))</f>
        <v>31</v>
      </c>
      <c r="F674" s="11">
        <f>MOD(punkt_szczepień__13[[#This Row],[liczba miesiac]],20)</f>
        <v>11</v>
      </c>
      <c r="G674" s="11">
        <f>VLOOKUP(punkt_szczepień__13[[#This Row],[liczba miesiac]]-punkt_szczepień__13[[#This Row],[miesiac]],$O$3:$P$7,2,0)+VALUE(LEFT(punkt_szczepień__13[[#This Row],[PESEL]],2))</f>
        <v>2002</v>
      </c>
      <c r="H674" s="11">
        <f>VALUE(RIGHT(LEFT(punkt_szczepień__13[[#This Row],[PESEL]],6),2))</f>
        <v>20</v>
      </c>
      <c r="I674" s="3">
        <f>DATE(punkt_szczepień__13[[#This Row],[rok]],punkt_szczepień__13[[#This Row],[miesiac]],punkt_szczepień__13[[#This Row],[dzień]])</f>
        <v>37580</v>
      </c>
      <c r="J674" s="1" t="str">
        <f>punkt_szczepień__13[[#This Row],[PESEL]]</f>
        <v>02312031316</v>
      </c>
      <c r="K674" s="1">
        <f>VALUE(MID(punkt_szczepień__13[[#This Row],[PESEL]],10,1))</f>
        <v>1</v>
      </c>
      <c r="L674" s="11" t="str">
        <f>IF(MOD(punkt_szczepień__13[[#This Row],[liczba płeć]],2)=0,"K","M")</f>
        <v>M</v>
      </c>
      <c r="M674" s="1"/>
      <c r="N674" s="1"/>
    </row>
    <row r="675" spans="1:14" x14ac:dyDescent="0.25">
      <c r="A675" s="1" t="s">
        <v>681</v>
      </c>
      <c r="B675" s="1" t="s">
        <v>5</v>
      </c>
      <c r="C675" s="2">
        <v>0.59288194444444442</v>
      </c>
      <c r="D675">
        <v>1</v>
      </c>
      <c r="E675">
        <f>VALUE(RIGHT(LEFT(punkt_szczepień__13[[#This Row],[PESEL]],4),2))</f>
        <v>9</v>
      </c>
      <c r="F675" s="11">
        <f>MOD(punkt_szczepień__13[[#This Row],[liczba miesiac]],20)</f>
        <v>9</v>
      </c>
      <c r="G675" s="11">
        <f>VLOOKUP(punkt_szczepień__13[[#This Row],[liczba miesiac]]-punkt_szczepień__13[[#This Row],[miesiac]],$O$3:$P$7,2,0)+VALUE(LEFT(punkt_szczepień__13[[#This Row],[PESEL]],2))</f>
        <v>1935</v>
      </c>
      <c r="H675" s="11">
        <f>VALUE(RIGHT(LEFT(punkt_szczepień__13[[#This Row],[PESEL]],6),2))</f>
        <v>23</v>
      </c>
      <c r="I675" s="3">
        <f>DATE(punkt_szczepień__13[[#This Row],[rok]],punkt_szczepień__13[[#This Row],[miesiac]],punkt_szczepień__13[[#This Row],[dzień]])</f>
        <v>13050</v>
      </c>
      <c r="J675" s="1" t="str">
        <f>punkt_szczepień__13[[#This Row],[PESEL]]</f>
        <v>35092324918</v>
      </c>
      <c r="K675" s="1">
        <f>VALUE(MID(punkt_szczepień__13[[#This Row],[PESEL]],10,1))</f>
        <v>1</v>
      </c>
      <c r="L675" s="11" t="str">
        <f>IF(MOD(punkt_szczepień__13[[#This Row],[liczba płeć]],2)=0,"K","M")</f>
        <v>M</v>
      </c>
      <c r="M675" s="1"/>
      <c r="N675" s="1"/>
    </row>
    <row r="676" spans="1:14" x14ac:dyDescent="0.25">
      <c r="A676" s="1" t="s">
        <v>682</v>
      </c>
      <c r="B676" s="1" t="s">
        <v>27</v>
      </c>
      <c r="C676" s="2">
        <v>0.59317129629629628</v>
      </c>
      <c r="D676">
        <v>1</v>
      </c>
      <c r="E676">
        <f>VALUE(RIGHT(LEFT(punkt_szczepień__13[[#This Row],[PESEL]],4),2))</f>
        <v>1</v>
      </c>
      <c r="F676" s="11">
        <f>MOD(punkt_szczepień__13[[#This Row],[liczba miesiac]],20)</f>
        <v>1</v>
      </c>
      <c r="G676" s="11">
        <f>VLOOKUP(punkt_szczepień__13[[#This Row],[liczba miesiac]]-punkt_szczepień__13[[#This Row],[miesiac]],$O$3:$P$7,2,0)+VALUE(LEFT(punkt_szczepień__13[[#This Row],[PESEL]],2))</f>
        <v>1965</v>
      </c>
      <c r="H676" s="11">
        <f>VALUE(RIGHT(LEFT(punkt_szczepień__13[[#This Row],[PESEL]],6),2))</f>
        <v>4</v>
      </c>
      <c r="I676" s="3">
        <f>DATE(punkt_szczepień__13[[#This Row],[rok]],punkt_szczepień__13[[#This Row],[miesiac]],punkt_szczepień__13[[#This Row],[dzień]])</f>
        <v>23746</v>
      </c>
      <c r="J676" s="1" t="str">
        <f>punkt_szczepień__13[[#This Row],[PESEL]]</f>
        <v>65010426154</v>
      </c>
      <c r="K676" s="1">
        <f>VALUE(MID(punkt_szczepień__13[[#This Row],[PESEL]],10,1))</f>
        <v>5</v>
      </c>
      <c r="L676" s="11" t="str">
        <f>IF(MOD(punkt_szczepień__13[[#This Row],[liczba płeć]],2)=0,"K","M")</f>
        <v>M</v>
      </c>
      <c r="M676" s="1"/>
      <c r="N676" s="1"/>
    </row>
    <row r="677" spans="1:14" x14ac:dyDescent="0.25">
      <c r="A677" s="1" t="s">
        <v>683</v>
      </c>
      <c r="B677" s="1" t="s">
        <v>27</v>
      </c>
      <c r="C677" s="2">
        <v>0.59346064814814814</v>
      </c>
      <c r="D677">
        <v>1</v>
      </c>
      <c r="E677">
        <f>VALUE(RIGHT(LEFT(punkt_szczepień__13[[#This Row],[PESEL]],4),2))</f>
        <v>4</v>
      </c>
      <c r="F677" s="11">
        <f>MOD(punkt_szczepień__13[[#This Row],[liczba miesiac]],20)</f>
        <v>4</v>
      </c>
      <c r="G677" s="11">
        <f>VLOOKUP(punkt_szczepień__13[[#This Row],[liczba miesiac]]-punkt_szczepień__13[[#This Row],[miesiac]],$O$3:$P$7,2,0)+VALUE(LEFT(punkt_szczepień__13[[#This Row],[PESEL]],2))</f>
        <v>1925</v>
      </c>
      <c r="H677" s="11">
        <f>VALUE(RIGHT(LEFT(punkt_szczepień__13[[#This Row],[PESEL]],6),2))</f>
        <v>10</v>
      </c>
      <c r="I677" s="3">
        <f>DATE(punkt_szczepień__13[[#This Row],[rok]],punkt_szczepień__13[[#This Row],[miesiac]],punkt_szczepień__13[[#This Row],[dzień]])</f>
        <v>9232</v>
      </c>
      <c r="J677" s="1" t="str">
        <f>punkt_szczepień__13[[#This Row],[PESEL]]</f>
        <v>25041042314</v>
      </c>
      <c r="K677" s="1">
        <f>VALUE(MID(punkt_szczepień__13[[#This Row],[PESEL]],10,1))</f>
        <v>1</v>
      </c>
      <c r="L677" s="11" t="str">
        <f>IF(MOD(punkt_szczepień__13[[#This Row],[liczba płeć]],2)=0,"K","M")</f>
        <v>M</v>
      </c>
      <c r="M677" s="1"/>
      <c r="N677" s="1"/>
    </row>
    <row r="678" spans="1:14" x14ac:dyDescent="0.25">
      <c r="A678" s="1" t="s">
        <v>684</v>
      </c>
      <c r="B678" s="1" t="s">
        <v>7</v>
      </c>
      <c r="C678" s="2">
        <v>0.59375</v>
      </c>
      <c r="D678">
        <v>1</v>
      </c>
      <c r="E678">
        <f>VALUE(RIGHT(LEFT(punkt_szczepień__13[[#This Row],[PESEL]],4),2))</f>
        <v>8</v>
      </c>
      <c r="F678" s="11">
        <f>MOD(punkt_szczepień__13[[#This Row],[liczba miesiac]],20)</f>
        <v>8</v>
      </c>
      <c r="G678" s="11">
        <f>VLOOKUP(punkt_szczepień__13[[#This Row],[liczba miesiac]]-punkt_szczepień__13[[#This Row],[miesiac]],$O$3:$P$7,2,0)+VALUE(LEFT(punkt_szczepień__13[[#This Row],[PESEL]],2))</f>
        <v>1949</v>
      </c>
      <c r="H678" s="11">
        <f>VALUE(RIGHT(LEFT(punkt_szczepień__13[[#This Row],[PESEL]],6),2))</f>
        <v>29</v>
      </c>
      <c r="I678" s="3">
        <f>DATE(punkt_szczepień__13[[#This Row],[rok]],punkt_szczepień__13[[#This Row],[miesiac]],punkt_szczepień__13[[#This Row],[dzień]])</f>
        <v>18139</v>
      </c>
      <c r="J678" s="1" t="str">
        <f>punkt_szczepień__13[[#This Row],[PESEL]]</f>
        <v>49082934988</v>
      </c>
      <c r="K678" s="1">
        <f>VALUE(MID(punkt_szczepień__13[[#This Row],[PESEL]],10,1))</f>
        <v>8</v>
      </c>
      <c r="L678" s="11" t="str">
        <f>IF(MOD(punkt_szczepień__13[[#This Row],[liczba płeć]],2)=0,"K","M")</f>
        <v>K</v>
      </c>
      <c r="M678" s="1"/>
      <c r="N678" s="1"/>
    </row>
    <row r="679" spans="1:14" x14ac:dyDescent="0.25">
      <c r="A679" s="1" t="s">
        <v>685</v>
      </c>
      <c r="B679" s="1" t="s">
        <v>9</v>
      </c>
      <c r="C679" s="2">
        <v>0.59432870370370372</v>
      </c>
      <c r="D679">
        <v>2</v>
      </c>
      <c r="E679">
        <f>VALUE(RIGHT(LEFT(punkt_szczepień__13[[#This Row],[PESEL]],4),2))</f>
        <v>9</v>
      </c>
      <c r="F679" s="11">
        <f>MOD(punkt_szczepień__13[[#This Row],[liczba miesiac]],20)</f>
        <v>9</v>
      </c>
      <c r="G679" s="11">
        <f>VLOOKUP(punkt_szczepień__13[[#This Row],[liczba miesiac]]-punkt_szczepień__13[[#This Row],[miesiac]],$O$3:$P$7,2,0)+VALUE(LEFT(punkt_szczepień__13[[#This Row],[PESEL]],2))</f>
        <v>1998</v>
      </c>
      <c r="H679" s="11">
        <f>VALUE(RIGHT(LEFT(punkt_szczepień__13[[#This Row],[PESEL]],6),2))</f>
        <v>25</v>
      </c>
      <c r="I679" s="3">
        <f>DATE(punkt_szczepień__13[[#This Row],[rok]],punkt_szczepień__13[[#This Row],[miesiac]],punkt_szczepień__13[[#This Row],[dzień]])</f>
        <v>36063</v>
      </c>
      <c r="J679" s="1" t="str">
        <f>punkt_szczepień__13[[#This Row],[PESEL]]</f>
        <v>98092523329</v>
      </c>
      <c r="K679" s="1">
        <f>VALUE(MID(punkt_szczepień__13[[#This Row],[PESEL]],10,1))</f>
        <v>2</v>
      </c>
      <c r="L679" s="11" t="str">
        <f>IF(MOD(punkt_szczepień__13[[#This Row],[liczba płeć]],2)=0,"K","M")</f>
        <v>K</v>
      </c>
      <c r="M679" s="1"/>
      <c r="N679" s="1"/>
    </row>
    <row r="680" spans="1:14" x14ac:dyDescent="0.25">
      <c r="A680" s="1" t="s">
        <v>686</v>
      </c>
      <c r="B680" s="1" t="s">
        <v>5</v>
      </c>
      <c r="C680" s="2">
        <v>0.59461805555555558</v>
      </c>
      <c r="D680">
        <v>1</v>
      </c>
      <c r="E680">
        <f>VALUE(RIGHT(LEFT(punkt_szczepień__13[[#This Row],[PESEL]],4),2))</f>
        <v>11</v>
      </c>
      <c r="F680" s="11">
        <f>MOD(punkt_szczepień__13[[#This Row],[liczba miesiac]],20)</f>
        <v>11</v>
      </c>
      <c r="G680" s="11">
        <f>VLOOKUP(punkt_szczepień__13[[#This Row],[liczba miesiac]]-punkt_szczepień__13[[#This Row],[miesiac]],$O$3:$P$7,2,0)+VALUE(LEFT(punkt_szczepień__13[[#This Row],[PESEL]],2))</f>
        <v>1957</v>
      </c>
      <c r="H680" s="11">
        <f>VALUE(RIGHT(LEFT(punkt_szczepień__13[[#This Row],[PESEL]],6),2))</f>
        <v>27</v>
      </c>
      <c r="I680" s="3">
        <f>DATE(punkt_szczepień__13[[#This Row],[rok]],punkt_szczepień__13[[#This Row],[miesiac]],punkt_szczepień__13[[#This Row],[dzień]])</f>
        <v>21151</v>
      </c>
      <c r="J680" s="1" t="str">
        <f>punkt_szczepień__13[[#This Row],[PESEL]]</f>
        <v>57112718273</v>
      </c>
      <c r="K680" s="1">
        <f>VALUE(MID(punkt_szczepień__13[[#This Row],[PESEL]],10,1))</f>
        <v>7</v>
      </c>
      <c r="L680" s="11" t="str">
        <f>IF(MOD(punkt_szczepień__13[[#This Row],[liczba płeć]],2)=0,"K","M")</f>
        <v>M</v>
      </c>
      <c r="M680" s="1"/>
      <c r="N680" s="1"/>
    </row>
    <row r="681" spans="1:14" x14ac:dyDescent="0.25">
      <c r="A681" s="1" t="s">
        <v>687</v>
      </c>
      <c r="B681" s="1" t="s">
        <v>7</v>
      </c>
      <c r="C681" s="2">
        <v>0.59490740740740744</v>
      </c>
      <c r="D681">
        <v>1</v>
      </c>
      <c r="E681">
        <f>VALUE(RIGHT(LEFT(punkt_szczepień__13[[#This Row],[PESEL]],4),2))</f>
        <v>7</v>
      </c>
      <c r="F681" s="11">
        <f>MOD(punkt_szczepień__13[[#This Row],[liczba miesiac]],20)</f>
        <v>7</v>
      </c>
      <c r="G681" s="11">
        <f>VLOOKUP(punkt_szczepień__13[[#This Row],[liczba miesiac]]-punkt_szczepień__13[[#This Row],[miesiac]],$O$3:$P$7,2,0)+VALUE(LEFT(punkt_szczepień__13[[#This Row],[PESEL]],2))</f>
        <v>1925</v>
      </c>
      <c r="H681" s="11">
        <f>VALUE(RIGHT(LEFT(punkt_szczepień__13[[#This Row],[PESEL]],6),2))</f>
        <v>3</v>
      </c>
      <c r="I681" s="3">
        <f>DATE(punkt_szczepień__13[[#This Row],[rok]],punkt_szczepień__13[[#This Row],[miesiac]],punkt_szczepień__13[[#This Row],[dzień]])</f>
        <v>9316</v>
      </c>
      <c r="J681" s="1" t="str">
        <f>punkt_szczepień__13[[#This Row],[PESEL]]</f>
        <v>25070321893</v>
      </c>
      <c r="K681" s="1">
        <f>VALUE(MID(punkt_szczepień__13[[#This Row],[PESEL]],10,1))</f>
        <v>9</v>
      </c>
      <c r="L681" s="11" t="str">
        <f>IF(MOD(punkt_szczepień__13[[#This Row],[liczba płeć]],2)=0,"K","M")</f>
        <v>M</v>
      </c>
      <c r="M681" s="1"/>
      <c r="N681" s="1"/>
    </row>
    <row r="682" spans="1:14" x14ac:dyDescent="0.25">
      <c r="A682" s="1" t="s">
        <v>688</v>
      </c>
      <c r="B682" s="1" t="s">
        <v>7</v>
      </c>
      <c r="C682" s="2">
        <v>0.5951967592592593</v>
      </c>
      <c r="D682">
        <v>1</v>
      </c>
      <c r="E682">
        <f>VALUE(RIGHT(LEFT(punkt_szczepień__13[[#This Row],[PESEL]],4),2))</f>
        <v>9</v>
      </c>
      <c r="F682" s="11">
        <f>MOD(punkt_szczepień__13[[#This Row],[liczba miesiac]],20)</f>
        <v>9</v>
      </c>
      <c r="G682" s="11">
        <f>VLOOKUP(punkt_szczepień__13[[#This Row],[liczba miesiac]]-punkt_szczepień__13[[#This Row],[miesiac]],$O$3:$P$7,2,0)+VALUE(LEFT(punkt_szczepień__13[[#This Row],[PESEL]],2))</f>
        <v>1961</v>
      </c>
      <c r="H682" s="11">
        <f>VALUE(RIGHT(LEFT(punkt_szczepień__13[[#This Row],[PESEL]],6),2))</f>
        <v>1</v>
      </c>
      <c r="I682" s="3">
        <f>DATE(punkt_szczepień__13[[#This Row],[rok]],punkt_szczepień__13[[#This Row],[miesiac]],punkt_szczepień__13[[#This Row],[dzień]])</f>
        <v>22525</v>
      </c>
      <c r="J682" s="1" t="str">
        <f>punkt_szczepień__13[[#This Row],[PESEL]]</f>
        <v>61090158314</v>
      </c>
      <c r="K682" s="1">
        <f>VALUE(MID(punkt_szczepień__13[[#This Row],[PESEL]],10,1))</f>
        <v>1</v>
      </c>
      <c r="L682" s="11" t="str">
        <f>IF(MOD(punkt_szczepień__13[[#This Row],[liczba płeć]],2)=0,"K","M")</f>
        <v>M</v>
      </c>
      <c r="M682" s="1"/>
      <c r="N682" s="1"/>
    </row>
    <row r="683" spans="1:14" x14ac:dyDescent="0.25">
      <c r="A683" s="1" t="s">
        <v>689</v>
      </c>
      <c r="B683" s="1" t="s">
        <v>27</v>
      </c>
      <c r="C683" s="2">
        <v>0.59577546296296291</v>
      </c>
      <c r="D683">
        <v>2</v>
      </c>
      <c r="E683">
        <f>VALUE(RIGHT(LEFT(punkt_szczepień__13[[#This Row],[PESEL]],4),2))</f>
        <v>10</v>
      </c>
      <c r="F683" s="11">
        <f>MOD(punkt_szczepień__13[[#This Row],[liczba miesiac]],20)</f>
        <v>10</v>
      </c>
      <c r="G683" s="11">
        <f>VLOOKUP(punkt_szczepień__13[[#This Row],[liczba miesiac]]-punkt_szczepień__13[[#This Row],[miesiac]],$O$3:$P$7,2,0)+VALUE(LEFT(punkt_szczepień__13[[#This Row],[PESEL]],2))</f>
        <v>1960</v>
      </c>
      <c r="H683" s="11">
        <f>VALUE(RIGHT(LEFT(punkt_szczepień__13[[#This Row],[PESEL]],6),2))</f>
        <v>17</v>
      </c>
      <c r="I683" s="3">
        <f>DATE(punkt_szczepień__13[[#This Row],[rok]],punkt_szczepień__13[[#This Row],[miesiac]],punkt_szczepień__13[[#This Row],[dzień]])</f>
        <v>22206</v>
      </c>
      <c r="J683" s="1" t="str">
        <f>punkt_szczepień__13[[#This Row],[PESEL]]</f>
        <v>60101785127</v>
      </c>
      <c r="K683" s="1">
        <f>VALUE(MID(punkt_szczepień__13[[#This Row],[PESEL]],10,1))</f>
        <v>2</v>
      </c>
      <c r="L683" s="11" t="str">
        <f>IF(MOD(punkt_szczepień__13[[#This Row],[liczba płeć]],2)=0,"K","M")</f>
        <v>K</v>
      </c>
      <c r="M683" s="1"/>
      <c r="N683" s="1"/>
    </row>
    <row r="684" spans="1:14" x14ac:dyDescent="0.25">
      <c r="A684" s="1" t="s">
        <v>690</v>
      </c>
      <c r="B684" s="1" t="s">
        <v>7</v>
      </c>
      <c r="C684" s="2">
        <v>0.59606481481481477</v>
      </c>
      <c r="D684">
        <v>1</v>
      </c>
      <c r="E684">
        <f>VALUE(RIGHT(LEFT(punkt_szczepień__13[[#This Row],[PESEL]],4),2))</f>
        <v>2</v>
      </c>
      <c r="F684" s="11">
        <f>MOD(punkt_szczepień__13[[#This Row],[liczba miesiac]],20)</f>
        <v>2</v>
      </c>
      <c r="G684" s="11">
        <f>VLOOKUP(punkt_szczepień__13[[#This Row],[liczba miesiac]]-punkt_szczepień__13[[#This Row],[miesiac]],$O$3:$P$7,2,0)+VALUE(LEFT(punkt_szczepień__13[[#This Row],[PESEL]],2))</f>
        <v>1996</v>
      </c>
      <c r="H684" s="11">
        <f>VALUE(RIGHT(LEFT(punkt_szczepień__13[[#This Row],[PESEL]],6),2))</f>
        <v>6</v>
      </c>
      <c r="I684" s="3">
        <f>DATE(punkt_szczepień__13[[#This Row],[rok]],punkt_szczepień__13[[#This Row],[miesiac]],punkt_szczepień__13[[#This Row],[dzień]])</f>
        <v>35101</v>
      </c>
      <c r="J684" s="1" t="str">
        <f>punkt_szczepień__13[[#This Row],[PESEL]]</f>
        <v>96020629538</v>
      </c>
      <c r="K684" s="1">
        <f>VALUE(MID(punkt_szczepień__13[[#This Row],[PESEL]],10,1))</f>
        <v>3</v>
      </c>
      <c r="L684" s="11" t="str">
        <f>IF(MOD(punkt_szczepień__13[[#This Row],[liczba płeć]],2)=0,"K","M")</f>
        <v>M</v>
      </c>
      <c r="M684" s="1"/>
      <c r="N684" s="1"/>
    </row>
    <row r="685" spans="1:14" x14ac:dyDescent="0.25">
      <c r="A685" s="1" t="s">
        <v>691</v>
      </c>
      <c r="B685" s="1" t="s">
        <v>9</v>
      </c>
      <c r="C685" s="2">
        <v>0.59635416666666663</v>
      </c>
      <c r="D685">
        <v>1</v>
      </c>
      <c r="E685">
        <f>VALUE(RIGHT(LEFT(punkt_szczepień__13[[#This Row],[PESEL]],4),2))</f>
        <v>12</v>
      </c>
      <c r="F685" s="11">
        <f>MOD(punkt_szczepień__13[[#This Row],[liczba miesiac]],20)</f>
        <v>12</v>
      </c>
      <c r="G685" s="11">
        <f>VLOOKUP(punkt_szczepień__13[[#This Row],[liczba miesiac]]-punkt_szczepień__13[[#This Row],[miesiac]],$O$3:$P$7,2,0)+VALUE(LEFT(punkt_szczepień__13[[#This Row],[PESEL]],2))</f>
        <v>1980</v>
      </c>
      <c r="H685" s="11">
        <f>VALUE(RIGHT(LEFT(punkt_szczepień__13[[#This Row],[PESEL]],6),2))</f>
        <v>23</v>
      </c>
      <c r="I685" s="3">
        <f>DATE(punkt_szczepień__13[[#This Row],[rok]],punkt_szczepień__13[[#This Row],[miesiac]],punkt_szczepień__13[[#This Row],[dzień]])</f>
        <v>29578</v>
      </c>
      <c r="J685" s="1" t="str">
        <f>punkt_szczepień__13[[#This Row],[PESEL]]</f>
        <v>80122343162</v>
      </c>
      <c r="K685" s="1">
        <f>VALUE(MID(punkt_szczepień__13[[#This Row],[PESEL]],10,1))</f>
        <v>6</v>
      </c>
      <c r="L685" s="11" t="str">
        <f>IF(MOD(punkt_szczepień__13[[#This Row],[liczba płeć]],2)=0,"K","M")</f>
        <v>K</v>
      </c>
      <c r="M685" s="1"/>
      <c r="N685" s="1"/>
    </row>
    <row r="686" spans="1:14" x14ac:dyDescent="0.25">
      <c r="A686" s="1" t="s">
        <v>692</v>
      </c>
      <c r="B686" s="1" t="s">
        <v>9</v>
      </c>
      <c r="C686" s="2">
        <v>0.59664351851851849</v>
      </c>
      <c r="D686">
        <v>1</v>
      </c>
      <c r="E686">
        <f>VALUE(RIGHT(LEFT(punkt_szczepień__13[[#This Row],[PESEL]],4),2))</f>
        <v>10</v>
      </c>
      <c r="F686" s="11">
        <f>MOD(punkt_szczepień__13[[#This Row],[liczba miesiac]],20)</f>
        <v>10</v>
      </c>
      <c r="G686" s="11">
        <f>VLOOKUP(punkt_szczepień__13[[#This Row],[liczba miesiac]]-punkt_szczepień__13[[#This Row],[miesiac]],$O$3:$P$7,2,0)+VALUE(LEFT(punkt_szczepień__13[[#This Row],[PESEL]],2))</f>
        <v>1997</v>
      </c>
      <c r="H686" s="11">
        <f>VALUE(RIGHT(LEFT(punkt_szczepień__13[[#This Row],[PESEL]],6),2))</f>
        <v>7</v>
      </c>
      <c r="I686" s="3">
        <f>DATE(punkt_szczepień__13[[#This Row],[rok]],punkt_szczepień__13[[#This Row],[miesiac]],punkt_szczepień__13[[#This Row],[dzień]])</f>
        <v>35710</v>
      </c>
      <c r="J686" s="1" t="str">
        <f>punkt_szczepień__13[[#This Row],[PESEL]]</f>
        <v>97100751244</v>
      </c>
      <c r="K686" s="1">
        <f>VALUE(MID(punkt_szczepień__13[[#This Row],[PESEL]],10,1))</f>
        <v>4</v>
      </c>
      <c r="L686" s="11" t="str">
        <f>IF(MOD(punkt_szczepień__13[[#This Row],[liczba płeć]],2)=0,"K","M")</f>
        <v>K</v>
      </c>
      <c r="M686" s="1"/>
      <c r="N686" s="1"/>
    </row>
    <row r="687" spans="1:14" x14ac:dyDescent="0.25">
      <c r="A687" s="1" t="s">
        <v>693</v>
      </c>
      <c r="B687" s="1" t="s">
        <v>27</v>
      </c>
      <c r="C687" s="2">
        <v>0.59722222222222221</v>
      </c>
      <c r="D687">
        <v>2</v>
      </c>
      <c r="E687">
        <f>VALUE(RIGHT(LEFT(punkt_szczepień__13[[#This Row],[PESEL]],4),2))</f>
        <v>4</v>
      </c>
      <c r="F687" s="11">
        <f>MOD(punkt_szczepień__13[[#This Row],[liczba miesiac]],20)</f>
        <v>4</v>
      </c>
      <c r="G687" s="11">
        <f>VLOOKUP(punkt_szczepień__13[[#This Row],[liczba miesiac]]-punkt_szczepień__13[[#This Row],[miesiac]],$O$3:$P$7,2,0)+VALUE(LEFT(punkt_szczepień__13[[#This Row],[PESEL]],2))</f>
        <v>1974</v>
      </c>
      <c r="H687" s="11">
        <f>VALUE(RIGHT(LEFT(punkt_szczepień__13[[#This Row],[PESEL]],6),2))</f>
        <v>10</v>
      </c>
      <c r="I687" s="3">
        <f>DATE(punkt_szczepień__13[[#This Row],[rok]],punkt_szczepień__13[[#This Row],[miesiac]],punkt_szczepień__13[[#This Row],[dzień]])</f>
        <v>27129</v>
      </c>
      <c r="J687" s="1" t="str">
        <f>punkt_szczepień__13[[#This Row],[PESEL]]</f>
        <v>74041088235</v>
      </c>
      <c r="K687" s="1">
        <f>VALUE(MID(punkt_szczepień__13[[#This Row],[PESEL]],10,1))</f>
        <v>3</v>
      </c>
      <c r="L687" s="11" t="str">
        <f>IF(MOD(punkt_szczepień__13[[#This Row],[liczba płeć]],2)=0,"K","M")</f>
        <v>M</v>
      </c>
      <c r="M687" s="1"/>
      <c r="N687" s="1"/>
    </row>
    <row r="688" spans="1:14" x14ac:dyDescent="0.25">
      <c r="A688" s="1" t="s">
        <v>694</v>
      </c>
      <c r="B688" s="1" t="s">
        <v>7</v>
      </c>
      <c r="C688" s="2">
        <v>0.59751157407407407</v>
      </c>
      <c r="D688">
        <v>1</v>
      </c>
      <c r="E688">
        <f>VALUE(RIGHT(LEFT(punkt_szczepień__13[[#This Row],[PESEL]],4),2))</f>
        <v>3</v>
      </c>
      <c r="F688" s="11">
        <f>MOD(punkt_szczepień__13[[#This Row],[liczba miesiac]],20)</f>
        <v>3</v>
      </c>
      <c r="G688" s="11">
        <f>VLOOKUP(punkt_szczepień__13[[#This Row],[liczba miesiac]]-punkt_szczepień__13[[#This Row],[miesiac]],$O$3:$P$7,2,0)+VALUE(LEFT(punkt_szczepień__13[[#This Row],[PESEL]],2))</f>
        <v>1938</v>
      </c>
      <c r="H688" s="11">
        <f>VALUE(RIGHT(LEFT(punkt_szczepień__13[[#This Row],[PESEL]],6),2))</f>
        <v>8</v>
      </c>
      <c r="I688" s="3">
        <f>DATE(punkt_szczepień__13[[#This Row],[rok]],punkt_szczepień__13[[#This Row],[miesiac]],punkt_szczepień__13[[#This Row],[dzień]])</f>
        <v>13947</v>
      </c>
      <c r="J688" s="1" t="str">
        <f>punkt_szczepień__13[[#This Row],[PESEL]]</f>
        <v>38030817521</v>
      </c>
      <c r="K688" s="1">
        <f>VALUE(MID(punkt_szczepień__13[[#This Row],[PESEL]],10,1))</f>
        <v>2</v>
      </c>
      <c r="L688" s="11" t="str">
        <f>IF(MOD(punkt_szczepień__13[[#This Row],[liczba płeć]],2)=0,"K","M")</f>
        <v>K</v>
      </c>
      <c r="M688" s="1"/>
      <c r="N688" s="1"/>
    </row>
    <row r="689" spans="1:14" x14ac:dyDescent="0.25">
      <c r="A689" s="1" t="s">
        <v>695</v>
      </c>
      <c r="B689" s="1" t="s">
        <v>27</v>
      </c>
      <c r="C689" s="2">
        <v>0.59809027777777779</v>
      </c>
      <c r="D689">
        <v>2</v>
      </c>
      <c r="E689">
        <f>VALUE(RIGHT(LEFT(punkt_szczepień__13[[#This Row],[PESEL]],4),2))</f>
        <v>11</v>
      </c>
      <c r="F689" s="11">
        <f>MOD(punkt_szczepień__13[[#This Row],[liczba miesiac]],20)</f>
        <v>11</v>
      </c>
      <c r="G689" s="11">
        <f>VLOOKUP(punkt_szczepień__13[[#This Row],[liczba miesiac]]-punkt_szczepień__13[[#This Row],[miesiac]],$O$3:$P$7,2,0)+VALUE(LEFT(punkt_szczepień__13[[#This Row],[PESEL]],2))</f>
        <v>1982</v>
      </c>
      <c r="H689" s="11">
        <f>VALUE(RIGHT(LEFT(punkt_szczepień__13[[#This Row],[PESEL]],6),2))</f>
        <v>10</v>
      </c>
      <c r="I689" s="3">
        <f>DATE(punkt_szczepień__13[[#This Row],[rok]],punkt_szczepień__13[[#This Row],[miesiac]],punkt_szczepień__13[[#This Row],[dzień]])</f>
        <v>30265</v>
      </c>
      <c r="J689" s="1" t="str">
        <f>punkt_szczepień__13[[#This Row],[PESEL]]</f>
        <v>82111099968</v>
      </c>
      <c r="K689" s="1">
        <f>VALUE(MID(punkt_szczepień__13[[#This Row],[PESEL]],10,1))</f>
        <v>6</v>
      </c>
      <c r="L689" s="11" t="str">
        <f>IF(MOD(punkt_szczepień__13[[#This Row],[liczba płeć]],2)=0,"K","M")</f>
        <v>K</v>
      </c>
      <c r="M689" s="1"/>
      <c r="N689" s="1"/>
    </row>
    <row r="690" spans="1:14" x14ac:dyDescent="0.25">
      <c r="A690" s="1" t="s">
        <v>696</v>
      </c>
      <c r="B690" s="1" t="s">
        <v>7</v>
      </c>
      <c r="C690" s="2">
        <v>0.59837962962962965</v>
      </c>
      <c r="D690">
        <v>1</v>
      </c>
      <c r="E690">
        <f>VALUE(RIGHT(LEFT(punkt_szczepień__13[[#This Row],[PESEL]],4),2))</f>
        <v>8</v>
      </c>
      <c r="F690" s="11">
        <f>MOD(punkt_szczepień__13[[#This Row],[liczba miesiac]],20)</f>
        <v>8</v>
      </c>
      <c r="G690" s="11">
        <f>VLOOKUP(punkt_szczepień__13[[#This Row],[liczba miesiac]]-punkt_szczepień__13[[#This Row],[miesiac]],$O$3:$P$7,2,0)+VALUE(LEFT(punkt_szczepień__13[[#This Row],[PESEL]],2))</f>
        <v>1990</v>
      </c>
      <c r="H690" s="11">
        <f>VALUE(RIGHT(LEFT(punkt_szczepień__13[[#This Row],[PESEL]],6),2))</f>
        <v>12</v>
      </c>
      <c r="I690" s="3">
        <f>DATE(punkt_szczepień__13[[#This Row],[rok]],punkt_szczepień__13[[#This Row],[miesiac]],punkt_szczepień__13[[#This Row],[dzień]])</f>
        <v>33097</v>
      </c>
      <c r="J690" s="1" t="str">
        <f>punkt_szczepień__13[[#This Row],[PESEL]]</f>
        <v>90081293316</v>
      </c>
      <c r="K690" s="1">
        <f>VALUE(MID(punkt_szczepień__13[[#This Row],[PESEL]],10,1))</f>
        <v>1</v>
      </c>
      <c r="L690" s="11" t="str">
        <f>IF(MOD(punkt_szczepień__13[[#This Row],[liczba płeć]],2)=0,"K","M")</f>
        <v>M</v>
      </c>
      <c r="M690" s="1"/>
      <c r="N690" s="1"/>
    </row>
    <row r="691" spans="1:14" x14ac:dyDescent="0.25">
      <c r="A691" s="1" t="s">
        <v>697</v>
      </c>
      <c r="B691" s="1" t="s">
        <v>9</v>
      </c>
      <c r="C691" s="2">
        <v>0.59866898148148151</v>
      </c>
      <c r="D691">
        <v>1</v>
      </c>
      <c r="E691">
        <f>VALUE(RIGHT(LEFT(punkt_szczepień__13[[#This Row],[PESEL]],4),2))</f>
        <v>8</v>
      </c>
      <c r="F691" s="11">
        <f>MOD(punkt_szczepień__13[[#This Row],[liczba miesiac]],20)</f>
        <v>8</v>
      </c>
      <c r="G691" s="11">
        <f>VLOOKUP(punkt_szczepień__13[[#This Row],[liczba miesiac]]-punkt_szczepień__13[[#This Row],[miesiac]],$O$3:$P$7,2,0)+VALUE(LEFT(punkt_szczepień__13[[#This Row],[PESEL]],2))</f>
        <v>1968</v>
      </c>
      <c r="H691" s="11">
        <f>VALUE(RIGHT(LEFT(punkt_szczepień__13[[#This Row],[PESEL]],6),2))</f>
        <v>11</v>
      </c>
      <c r="I691" s="3">
        <f>DATE(punkt_szczepień__13[[#This Row],[rok]],punkt_szczepień__13[[#This Row],[miesiac]],punkt_szczepień__13[[#This Row],[dzień]])</f>
        <v>25061</v>
      </c>
      <c r="J691" s="1" t="str">
        <f>punkt_szczepień__13[[#This Row],[PESEL]]</f>
        <v>68081198252</v>
      </c>
      <c r="K691" s="1">
        <f>VALUE(MID(punkt_szczepień__13[[#This Row],[PESEL]],10,1))</f>
        <v>5</v>
      </c>
      <c r="L691" s="11" t="str">
        <f>IF(MOD(punkt_szczepień__13[[#This Row],[liczba płeć]],2)=0,"K","M")</f>
        <v>M</v>
      </c>
      <c r="M691" s="1"/>
      <c r="N691" s="1"/>
    </row>
    <row r="692" spans="1:14" x14ac:dyDescent="0.25">
      <c r="A692" s="1" t="s">
        <v>698</v>
      </c>
      <c r="B692" s="1" t="s">
        <v>5</v>
      </c>
      <c r="C692" s="2">
        <v>0.59895833333333337</v>
      </c>
      <c r="D692">
        <v>1</v>
      </c>
      <c r="E692">
        <f>VALUE(RIGHT(LEFT(punkt_szczepień__13[[#This Row],[PESEL]],4),2))</f>
        <v>11</v>
      </c>
      <c r="F692" s="11">
        <f>MOD(punkt_szczepień__13[[#This Row],[liczba miesiac]],20)</f>
        <v>11</v>
      </c>
      <c r="G692" s="11">
        <f>VLOOKUP(punkt_szczepień__13[[#This Row],[liczba miesiac]]-punkt_szczepień__13[[#This Row],[miesiac]],$O$3:$P$7,2,0)+VALUE(LEFT(punkt_szczepień__13[[#This Row],[PESEL]],2))</f>
        <v>1986</v>
      </c>
      <c r="H692" s="11">
        <f>VALUE(RIGHT(LEFT(punkt_szczepień__13[[#This Row],[PESEL]],6),2))</f>
        <v>24</v>
      </c>
      <c r="I692" s="3">
        <f>DATE(punkt_szczepień__13[[#This Row],[rok]],punkt_szczepień__13[[#This Row],[miesiac]],punkt_szczepień__13[[#This Row],[dzień]])</f>
        <v>31740</v>
      </c>
      <c r="J692" s="1" t="str">
        <f>punkt_szczepień__13[[#This Row],[PESEL]]</f>
        <v>86112455547</v>
      </c>
      <c r="K692" s="1">
        <f>VALUE(MID(punkt_szczepień__13[[#This Row],[PESEL]],10,1))</f>
        <v>4</v>
      </c>
      <c r="L692" s="11" t="str">
        <f>IF(MOD(punkt_szczepień__13[[#This Row],[liczba płeć]],2)=0,"K","M")</f>
        <v>K</v>
      </c>
      <c r="M692" s="1"/>
      <c r="N692" s="1"/>
    </row>
    <row r="693" spans="1:14" x14ac:dyDescent="0.25">
      <c r="A693" s="1" t="s">
        <v>699</v>
      </c>
      <c r="B693" s="1" t="s">
        <v>27</v>
      </c>
      <c r="C693" s="2">
        <v>0.59924768518518523</v>
      </c>
      <c r="D693">
        <v>1</v>
      </c>
      <c r="E693">
        <f>VALUE(RIGHT(LEFT(punkt_szczepień__13[[#This Row],[PESEL]],4),2))</f>
        <v>9</v>
      </c>
      <c r="F693" s="11">
        <f>MOD(punkt_szczepień__13[[#This Row],[liczba miesiac]],20)</f>
        <v>9</v>
      </c>
      <c r="G693" s="11">
        <f>VLOOKUP(punkt_szczepień__13[[#This Row],[liczba miesiac]]-punkt_szczepień__13[[#This Row],[miesiac]],$O$3:$P$7,2,0)+VALUE(LEFT(punkt_szczepień__13[[#This Row],[PESEL]],2))</f>
        <v>1924</v>
      </c>
      <c r="H693" s="11">
        <f>VALUE(RIGHT(LEFT(punkt_szczepień__13[[#This Row],[PESEL]],6),2))</f>
        <v>24</v>
      </c>
      <c r="I693" s="3">
        <f>DATE(punkt_szczepień__13[[#This Row],[rok]],punkt_szczepień__13[[#This Row],[miesiac]],punkt_szczepień__13[[#This Row],[dzień]])</f>
        <v>9034</v>
      </c>
      <c r="J693" s="1" t="str">
        <f>punkt_szczepień__13[[#This Row],[PESEL]]</f>
        <v>24092415733</v>
      </c>
      <c r="K693" s="1">
        <f>VALUE(MID(punkt_szczepień__13[[#This Row],[PESEL]],10,1))</f>
        <v>3</v>
      </c>
      <c r="L693" s="11" t="str">
        <f>IF(MOD(punkt_szczepień__13[[#This Row],[liczba płeć]],2)=0,"K","M")</f>
        <v>M</v>
      </c>
      <c r="M693" s="1"/>
      <c r="N693" s="1"/>
    </row>
    <row r="694" spans="1:14" x14ac:dyDescent="0.25">
      <c r="A694" s="1" t="s">
        <v>700</v>
      </c>
      <c r="B694" s="1" t="s">
        <v>7</v>
      </c>
      <c r="C694" s="2">
        <v>0.59953703703703709</v>
      </c>
      <c r="D694">
        <v>1</v>
      </c>
      <c r="E694">
        <f>VALUE(RIGHT(LEFT(punkt_szczepień__13[[#This Row],[PESEL]],4),2))</f>
        <v>11</v>
      </c>
      <c r="F694" s="11">
        <f>MOD(punkt_szczepień__13[[#This Row],[liczba miesiac]],20)</f>
        <v>11</v>
      </c>
      <c r="G694" s="11">
        <f>VLOOKUP(punkt_szczepień__13[[#This Row],[liczba miesiac]]-punkt_szczepień__13[[#This Row],[miesiac]],$O$3:$P$7,2,0)+VALUE(LEFT(punkt_szczepień__13[[#This Row],[PESEL]],2))</f>
        <v>1992</v>
      </c>
      <c r="H694" s="11">
        <f>VALUE(RIGHT(LEFT(punkt_szczepień__13[[#This Row],[PESEL]],6),2))</f>
        <v>7</v>
      </c>
      <c r="I694" s="3">
        <f>DATE(punkt_szczepień__13[[#This Row],[rok]],punkt_szczepień__13[[#This Row],[miesiac]],punkt_szczepień__13[[#This Row],[dzień]])</f>
        <v>33915</v>
      </c>
      <c r="J694" s="1" t="str">
        <f>punkt_szczepień__13[[#This Row],[PESEL]]</f>
        <v>92110798812</v>
      </c>
      <c r="K694" s="1">
        <f>VALUE(MID(punkt_szczepień__13[[#This Row],[PESEL]],10,1))</f>
        <v>1</v>
      </c>
      <c r="L694" s="11" t="str">
        <f>IF(MOD(punkt_szczepień__13[[#This Row],[liczba płeć]],2)=0,"K","M")</f>
        <v>M</v>
      </c>
      <c r="M694" s="1"/>
      <c r="N694" s="1"/>
    </row>
    <row r="695" spans="1:14" x14ac:dyDescent="0.25">
      <c r="A695" s="1" t="s">
        <v>701</v>
      </c>
      <c r="B695" s="1" t="s">
        <v>27</v>
      </c>
      <c r="C695" s="2">
        <v>0.6001157407407407</v>
      </c>
      <c r="D695">
        <v>2</v>
      </c>
      <c r="E695">
        <f>VALUE(RIGHT(LEFT(punkt_szczepień__13[[#This Row],[PESEL]],4),2))</f>
        <v>26</v>
      </c>
      <c r="F695" s="11">
        <f>MOD(punkt_szczepień__13[[#This Row],[liczba miesiac]],20)</f>
        <v>6</v>
      </c>
      <c r="G695" s="11">
        <f>VLOOKUP(punkt_szczepień__13[[#This Row],[liczba miesiac]]-punkt_szczepień__13[[#This Row],[miesiac]],$O$3:$P$7,2,0)+VALUE(LEFT(punkt_szczepień__13[[#This Row],[PESEL]],2))</f>
        <v>2008</v>
      </c>
      <c r="H695" s="11">
        <f>VALUE(RIGHT(LEFT(punkt_szczepień__13[[#This Row],[PESEL]],6),2))</f>
        <v>13</v>
      </c>
      <c r="I695" s="3">
        <f>DATE(punkt_szczepień__13[[#This Row],[rok]],punkt_szczepień__13[[#This Row],[miesiac]],punkt_szczepień__13[[#This Row],[dzień]])</f>
        <v>39612</v>
      </c>
      <c r="J695" s="1" t="str">
        <f>punkt_szczepień__13[[#This Row],[PESEL]]</f>
        <v>08261396278</v>
      </c>
      <c r="K695" s="1">
        <f>VALUE(MID(punkt_szczepień__13[[#This Row],[PESEL]],10,1))</f>
        <v>7</v>
      </c>
      <c r="L695" s="11" t="str">
        <f>IF(MOD(punkt_szczepień__13[[#This Row],[liczba płeć]],2)=0,"K","M")</f>
        <v>M</v>
      </c>
      <c r="M695" s="1"/>
      <c r="N695" s="1"/>
    </row>
    <row r="696" spans="1:14" x14ac:dyDescent="0.25">
      <c r="A696" s="1" t="s">
        <v>702</v>
      </c>
      <c r="B696" s="1" t="s">
        <v>7</v>
      </c>
      <c r="C696" s="2">
        <v>0.60040509259259256</v>
      </c>
      <c r="D696">
        <v>1</v>
      </c>
      <c r="E696">
        <f>VALUE(RIGHT(LEFT(punkt_szczepień__13[[#This Row],[PESEL]],4),2))</f>
        <v>4</v>
      </c>
      <c r="F696" s="11">
        <f>MOD(punkt_szczepień__13[[#This Row],[liczba miesiac]],20)</f>
        <v>4</v>
      </c>
      <c r="G696" s="11">
        <f>VLOOKUP(punkt_szczepień__13[[#This Row],[liczba miesiac]]-punkt_szczepień__13[[#This Row],[miesiac]],$O$3:$P$7,2,0)+VALUE(LEFT(punkt_szczepień__13[[#This Row],[PESEL]],2))</f>
        <v>1936</v>
      </c>
      <c r="H696" s="11">
        <f>VALUE(RIGHT(LEFT(punkt_szczepień__13[[#This Row],[PESEL]],6),2))</f>
        <v>19</v>
      </c>
      <c r="I696" s="3">
        <f>DATE(punkt_szczepień__13[[#This Row],[rok]],punkt_szczepień__13[[#This Row],[miesiac]],punkt_szczepień__13[[#This Row],[dzień]])</f>
        <v>13259</v>
      </c>
      <c r="J696" s="1" t="str">
        <f>punkt_szczepień__13[[#This Row],[PESEL]]</f>
        <v>36041921569</v>
      </c>
      <c r="K696" s="1">
        <f>VALUE(MID(punkt_szczepień__13[[#This Row],[PESEL]],10,1))</f>
        <v>6</v>
      </c>
      <c r="L696" s="11" t="str">
        <f>IF(MOD(punkt_szczepień__13[[#This Row],[liczba płeć]],2)=0,"K","M")</f>
        <v>K</v>
      </c>
      <c r="M696" s="1"/>
      <c r="N696" s="1"/>
    </row>
    <row r="697" spans="1:14" x14ac:dyDescent="0.25">
      <c r="A697" s="1" t="s">
        <v>703</v>
      </c>
      <c r="B697" s="1" t="s">
        <v>9</v>
      </c>
      <c r="C697" s="2">
        <v>0.60069444444444442</v>
      </c>
      <c r="D697">
        <v>1</v>
      </c>
      <c r="E697">
        <f>VALUE(RIGHT(LEFT(punkt_szczepień__13[[#This Row],[PESEL]],4),2))</f>
        <v>23</v>
      </c>
      <c r="F697" s="11">
        <f>MOD(punkt_szczepień__13[[#This Row],[liczba miesiac]],20)</f>
        <v>3</v>
      </c>
      <c r="G697" s="11">
        <f>VLOOKUP(punkt_szczepień__13[[#This Row],[liczba miesiac]]-punkt_szczepień__13[[#This Row],[miesiac]],$O$3:$P$7,2,0)+VALUE(LEFT(punkt_szczepień__13[[#This Row],[PESEL]],2))</f>
        <v>2006</v>
      </c>
      <c r="H697" s="11">
        <f>VALUE(RIGHT(LEFT(punkt_szczepień__13[[#This Row],[PESEL]],6),2))</f>
        <v>17</v>
      </c>
      <c r="I697" s="3">
        <f>DATE(punkt_szczepień__13[[#This Row],[rok]],punkt_szczepień__13[[#This Row],[miesiac]],punkt_szczepień__13[[#This Row],[dzień]])</f>
        <v>38793</v>
      </c>
      <c r="J697" s="1" t="str">
        <f>punkt_szczepień__13[[#This Row],[PESEL]]</f>
        <v>06231723558</v>
      </c>
      <c r="K697" s="1">
        <f>VALUE(MID(punkt_szczepień__13[[#This Row],[PESEL]],10,1))</f>
        <v>5</v>
      </c>
      <c r="L697" s="11" t="str">
        <f>IF(MOD(punkt_szczepień__13[[#This Row],[liczba płeć]],2)=0,"K","M")</f>
        <v>M</v>
      </c>
      <c r="M697" s="1"/>
      <c r="N697" s="1"/>
    </row>
    <row r="698" spans="1:14" x14ac:dyDescent="0.25">
      <c r="A698" s="1" t="s">
        <v>704</v>
      </c>
      <c r="B698" s="1" t="s">
        <v>7</v>
      </c>
      <c r="C698" s="2">
        <v>0.60098379629629628</v>
      </c>
      <c r="D698">
        <v>1</v>
      </c>
      <c r="E698">
        <f>VALUE(RIGHT(LEFT(punkt_szczepień__13[[#This Row],[PESEL]],4),2))</f>
        <v>3</v>
      </c>
      <c r="F698" s="11">
        <f>MOD(punkt_szczepień__13[[#This Row],[liczba miesiac]],20)</f>
        <v>3</v>
      </c>
      <c r="G698" s="11">
        <f>VLOOKUP(punkt_szczepień__13[[#This Row],[liczba miesiac]]-punkt_szczepień__13[[#This Row],[miesiac]],$O$3:$P$7,2,0)+VALUE(LEFT(punkt_szczepień__13[[#This Row],[PESEL]],2))</f>
        <v>1975</v>
      </c>
      <c r="H698" s="11">
        <f>VALUE(RIGHT(LEFT(punkt_szczepień__13[[#This Row],[PESEL]],6),2))</f>
        <v>12</v>
      </c>
      <c r="I698" s="3">
        <f>DATE(punkt_szczepień__13[[#This Row],[rok]],punkt_szczepień__13[[#This Row],[miesiac]],punkt_szczepień__13[[#This Row],[dzień]])</f>
        <v>27465</v>
      </c>
      <c r="J698" s="1" t="str">
        <f>punkt_szczepień__13[[#This Row],[PESEL]]</f>
        <v>75031268611</v>
      </c>
      <c r="K698" s="1">
        <f>VALUE(MID(punkt_szczepień__13[[#This Row],[PESEL]],10,1))</f>
        <v>1</v>
      </c>
      <c r="L698" s="11" t="str">
        <f>IF(MOD(punkt_szczepień__13[[#This Row],[liczba płeć]],2)=0,"K","M")</f>
        <v>M</v>
      </c>
      <c r="M698" s="1"/>
      <c r="N698" s="1"/>
    </row>
    <row r="699" spans="1:14" x14ac:dyDescent="0.25">
      <c r="A699" s="1" t="s">
        <v>705</v>
      </c>
      <c r="B699" s="1" t="s">
        <v>9</v>
      </c>
      <c r="C699" s="2">
        <v>0.60127314814814814</v>
      </c>
      <c r="D699">
        <v>1</v>
      </c>
      <c r="E699">
        <f>VALUE(RIGHT(LEFT(punkt_szczepień__13[[#This Row],[PESEL]],4),2))</f>
        <v>5</v>
      </c>
      <c r="F699" s="11">
        <f>MOD(punkt_szczepień__13[[#This Row],[liczba miesiac]],20)</f>
        <v>5</v>
      </c>
      <c r="G699" s="11">
        <f>VLOOKUP(punkt_szczepień__13[[#This Row],[liczba miesiac]]-punkt_szczepień__13[[#This Row],[miesiac]],$O$3:$P$7,2,0)+VALUE(LEFT(punkt_szczepień__13[[#This Row],[PESEL]],2))</f>
        <v>1948</v>
      </c>
      <c r="H699" s="11">
        <f>VALUE(RIGHT(LEFT(punkt_szczepień__13[[#This Row],[PESEL]],6),2))</f>
        <v>13</v>
      </c>
      <c r="I699" s="3">
        <f>DATE(punkt_szczepień__13[[#This Row],[rok]],punkt_szczepień__13[[#This Row],[miesiac]],punkt_szczepień__13[[#This Row],[dzień]])</f>
        <v>17666</v>
      </c>
      <c r="J699" s="1" t="str">
        <f>punkt_szczepień__13[[#This Row],[PESEL]]</f>
        <v>48051332398</v>
      </c>
      <c r="K699" s="1">
        <f>VALUE(MID(punkt_szczepień__13[[#This Row],[PESEL]],10,1))</f>
        <v>9</v>
      </c>
      <c r="L699" s="11" t="str">
        <f>IF(MOD(punkt_szczepień__13[[#This Row],[liczba płeć]],2)=0,"K","M")</f>
        <v>M</v>
      </c>
      <c r="M699" s="1"/>
      <c r="N699" s="1"/>
    </row>
    <row r="700" spans="1:14" x14ac:dyDescent="0.25">
      <c r="A700" s="1" t="s">
        <v>706</v>
      </c>
      <c r="B700" s="1" t="s">
        <v>7</v>
      </c>
      <c r="C700" s="2">
        <v>0.6015625</v>
      </c>
      <c r="D700">
        <v>1</v>
      </c>
      <c r="E700">
        <f>VALUE(RIGHT(LEFT(punkt_szczepień__13[[#This Row],[PESEL]],4),2))</f>
        <v>2</v>
      </c>
      <c r="F700" s="11">
        <f>MOD(punkt_szczepień__13[[#This Row],[liczba miesiac]],20)</f>
        <v>2</v>
      </c>
      <c r="G700" s="11">
        <f>VLOOKUP(punkt_szczepień__13[[#This Row],[liczba miesiac]]-punkt_szczepień__13[[#This Row],[miesiac]],$O$3:$P$7,2,0)+VALUE(LEFT(punkt_szczepień__13[[#This Row],[PESEL]],2))</f>
        <v>1932</v>
      </c>
      <c r="H700" s="11">
        <f>VALUE(RIGHT(LEFT(punkt_szczepień__13[[#This Row],[PESEL]],6),2))</f>
        <v>6</v>
      </c>
      <c r="I700" s="3">
        <f>DATE(punkt_szczepień__13[[#This Row],[rok]],punkt_szczepień__13[[#This Row],[miesiac]],punkt_szczepień__13[[#This Row],[dzień]])</f>
        <v>11725</v>
      </c>
      <c r="J700" s="1" t="str">
        <f>punkt_szczepień__13[[#This Row],[PESEL]]</f>
        <v>32020633489</v>
      </c>
      <c r="K700" s="1">
        <f>VALUE(MID(punkt_szczepień__13[[#This Row],[PESEL]],10,1))</f>
        <v>8</v>
      </c>
      <c r="L700" s="11" t="str">
        <f>IF(MOD(punkt_szczepień__13[[#This Row],[liczba płeć]],2)=0,"K","M")</f>
        <v>K</v>
      </c>
      <c r="M700" s="1"/>
      <c r="N700" s="1"/>
    </row>
    <row r="701" spans="1:14" x14ac:dyDescent="0.25">
      <c r="A701" s="1" t="s">
        <v>707</v>
      </c>
      <c r="B701" s="1" t="s">
        <v>5</v>
      </c>
      <c r="C701" s="2">
        <v>0.60214120370370372</v>
      </c>
      <c r="D701">
        <v>2</v>
      </c>
      <c r="E701">
        <f>VALUE(RIGHT(LEFT(punkt_szczepień__13[[#This Row],[PESEL]],4),2))</f>
        <v>11</v>
      </c>
      <c r="F701" s="11">
        <f>MOD(punkt_szczepień__13[[#This Row],[liczba miesiac]],20)</f>
        <v>11</v>
      </c>
      <c r="G701" s="11">
        <f>VLOOKUP(punkt_szczepień__13[[#This Row],[liczba miesiac]]-punkt_szczepień__13[[#This Row],[miesiac]],$O$3:$P$7,2,0)+VALUE(LEFT(punkt_szczepień__13[[#This Row],[PESEL]],2))</f>
        <v>1945</v>
      </c>
      <c r="H701" s="11">
        <f>VALUE(RIGHT(LEFT(punkt_szczepień__13[[#This Row],[PESEL]],6),2))</f>
        <v>7</v>
      </c>
      <c r="I701" s="3">
        <f>DATE(punkt_szczepień__13[[#This Row],[rok]],punkt_szczepień__13[[#This Row],[miesiac]],punkt_szczepień__13[[#This Row],[dzień]])</f>
        <v>16748</v>
      </c>
      <c r="J701" s="1" t="str">
        <f>punkt_szczepień__13[[#This Row],[PESEL]]</f>
        <v>45110774979</v>
      </c>
      <c r="K701" s="1">
        <f>VALUE(MID(punkt_szczepień__13[[#This Row],[PESEL]],10,1))</f>
        <v>7</v>
      </c>
      <c r="L701" s="11" t="str">
        <f>IF(MOD(punkt_szczepień__13[[#This Row],[liczba płeć]],2)=0,"K","M")</f>
        <v>M</v>
      </c>
      <c r="M701" s="1"/>
      <c r="N701" s="1"/>
    </row>
    <row r="702" spans="1:14" x14ac:dyDescent="0.25">
      <c r="A702" s="1" t="s">
        <v>708</v>
      </c>
      <c r="B702" s="1" t="s">
        <v>7</v>
      </c>
      <c r="C702" s="2">
        <v>0.60243055555555558</v>
      </c>
      <c r="D702">
        <v>1</v>
      </c>
      <c r="E702">
        <f>VALUE(RIGHT(LEFT(punkt_szczepień__13[[#This Row],[PESEL]],4),2))</f>
        <v>5</v>
      </c>
      <c r="F702" s="11">
        <f>MOD(punkt_szczepień__13[[#This Row],[liczba miesiac]],20)</f>
        <v>5</v>
      </c>
      <c r="G702" s="11">
        <f>VLOOKUP(punkt_szczepień__13[[#This Row],[liczba miesiac]]-punkt_szczepień__13[[#This Row],[miesiac]],$O$3:$P$7,2,0)+VALUE(LEFT(punkt_szczepień__13[[#This Row],[PESEL]],2))</f>
        <v>1968</v>
      </c>
      <c r="H702" s="11">
        <f>VALUE(RIGHT(LEFT(punkt_szczepień__13[[#This Row],[PESEL]],6),2))</f>
        <v>17</v>
      </c>
      <c r="I702" s="3">
        <f>DATE(punkt_szczepień__13[[#This Row],[rok]],punkt_szczepień__13[[#This Row],[miesiac]],punkt_szczepień__13[[#This Row],[dzień]])</f>
        <v>24975</v>
      </c>
      <c r="J702" s="1" t="str">
        <f>punkt_szczepień__13[[#This Row],[PESEL]]</f>
        <v>68051767343</v>
      </c>
      <c r="K702" s="1">
        <f>VALUE(MID(punkt_szczepień__13[[#This Row],[PESEL]],10,1))</f>
        <v>4</v>
      </c>
      <c r="L702" s="11" t="str">
        <f>IF(MOD(punkt_szczepień__13[[#This Row],[liczba płeć]],2)=0,"K","M")</f>
        <v>K</v>
      </c>
      <c r="M702" s="1"/>
      <c r="N702" s="1"/>
    </row>
    <row r="703" spans="1:14" x14ac:dyDescent="0.25">
      <c r="A703" s="1" t="s">
        <v>709</v>
      </c>
      <c r="B703" s="1" t="s">
        <v>27</v>
      </c>
      <c r="C703" s="2">
        <v>0.60271990740740744</v>
      </c>
      <c r="D703">
        <v>1</v>
      </c>
      <c r="E703">
        <f>VALUE(RIGHT(LEFT(punkt_szczepień__13[[#This Row],[PESEL]],4),2))</f>
        <v>11</v>
      </c>
      <c r="F703" s="11">
        <f>MOD(punkt_szczepień__13[[#This Row],[liczba miesiac]],20)</f>
        <v>11</v>
      </c>
      <c r="G703" s="11">
        <f>VLOOKUP(punkt_szczepień__13[[#This Row],[liczba miesiac]]-punkt_szczepień__13[[#This Row],[miesiac]],$O$3:$P$7,2,0)+VALUE(LEFT(punkt_szczepień__13[[#This Row],[PESEL]],2))</f>
        <v>1944</v>
      </c>
      <c r="H703" s="11">
        <f>VALUE(RIGHT(LEFT(punkt_szczepień__13[[#This Row],[PESEL]],6),2))</f>
        <v>11</v>
      </c>
      <c r="I703" s="3">
        <f>DATE(punkt_szczepień__13[[#This Row],[rok]],punkt_szczepień__13[[#This Row],[miesiac]],punkt_szczepień__13[[#This Row],[dzień]])</f>
        <v>16387</v>
      </c>
      <c r="J703" s="1" t="str">
        <f>punkt_szczepień__13[[#This Row],[PESEL]]</f>
        <v>44111193639</v>
      </c>
      <c r="K703" s="1">
        <f>VALUE(MID(punkt_szczepień__13[[#This Row],[PESEL]],10,1))</f>
        <v>3</v>
      </c>
      <c r="L703" s="11" t="str">
        <f>IF(MOD(punkt_szczepień__13[[#This Row],[liczba płeć]],2)=0,"K","M")</f>
        <v>M</v>
      </c>
      <c r="M703" s="1"/>
      <c r="N703" s="1"/>
    </row>
    <row r="704" spans="1:14" x14ac:dyDescent="0.25">
      <c r="A704" s="1" t="s">
        <v>710</v>
      </c>
      <c r="B704" s="1" t="s">
        <v>27</v>
      </c>
      <c r="C704" s="2">
        <v>0.60329861111111116</v>
      </c>
      <c r="D704">
        <v>2</v>
      </c>
      <c r="E704">
        <f>VALUE(RIGHT(LEFT(punkt_szczepień__13[[#This Row],[PESEL]],4),2))</f>
        <v>7</v>
      </c>
      <c r="F704" s="11">
        <f>MOD(punkt_szczepień__13[[#This Row],[liczba miesiac]],20)</f>
        <v>7</v>
      </c>
      <c r="G704" s="11">
        <f>VLOOKUP(punkt_szczepień__13[[#This Row],[liczba miesiac]]-punkt_szczepień__13[[#This Row],[miesiac]],$O$3:$P$7,2,0)+VALUE(LEFT(punkt_szczepień__13[[#This Row],[PESEL]],2))</f>
        <v>1984</v>
      </c>
      <c r="H704" s="11">
        <f>VALUE(RIGHT(LEFT(punkt_szczepień__13[[#This Row],[PESEL]],6),2))</f>
        <v>14</v>
      </c>
      <c r="I704" s="3">
        <f>DATE(punkt_szczepień__13[[#This Row],[rok]],punkt_szczepień__13[[#This Row],[miesiac]],punkt_szczepień__13[[#This Row],[dzień]])</f>
        <v>30877</v>
      </c>
      <c r="J704" s="1" t="str">
        <f>punkt_szczepień__13[[#This Row],[PESEL]]</f>
        <v>84071475659</v>
      </c>
      <c r="K704" s="1">
        <f>VALUE(MID(punkt_szczepień__13[[#This Row],[PESEL]],10,1))</f>
        <v>5</v>
      </c>
      <c r="L704" s="11" t="str">
        <f>IF(MOD(punkt_szczepień__13[[#This Row],[liczba płeć]],2)=0,"K","M")</f>
        <v>M</v>
      </c>
      <c r="M704" s="1"/>
      <c r="N704" s="1"/>
    </row>
    <row r="705" spans="1:14" x14ac:dyDescent="0.25">
      <c r="A705" s="1" t="s">
        <v>711</v>
      </c>
      <c r="B705" s="1" t="s">
        <v>7</v>
      </c>
      <c r="C705" s="2">
        <v>0.60358796296296291</v>
      </c>
      <c r="D705">
        <v>1</v>
      </c>
      <c r="E705">
        <f>VALUE(RIGHT(LEFT(punkt_szczepień__13[[#This Row],[PESEL]],4),2))</f>
        <v>10</v>
      </c>
      <c r="F705" s="11">
        <f>MOD(punkt_szczepień__13[[#This Row],[liczba miesiac]],20)</f>
        <v>10</v>
      </c>
      <c r="G705" s="11">
        <f>VLOOKUP(punkt_szczepień__13[[#This Row],[liczba miesiac]]-punkt_szczepień__13[[#This Row],[miesiac]],$O$3:$P$7,2,0)+VALUE(LEFT(punkt_szczepień__13[[#This Row],[PESEL]],2))</f>
        <v>1951</v>
      </c>
      <c r="H705" s="11">
        <f>VALUE(RIGHT(LEFT(punkt_szczepień__13[[#This Row],[PESEL]],6),2))</f>
        <v>2</v>
      </c>
      <c r="I705" s="3">
        <f>DATE(punkt_szczepień__13[[#This Row],[rok]],punkt_szczepień__13[[#This Row],[miesiac]],punkt_szczepień__13[[#This Row],[dzień]])</f>
        <v>18903</v>
      </c>
      <c r="J705" s="1" t="str">
        <f>punkt_szczepień__13[[#This Row],[PESEL]]</f>
        <v>51100268395</v>
      </c>
      <c r="K705" s="1">
        <f>VALUE(MID(punkt_szczepień__13[[#This Row],[PESEL]],10,1))</f>
        <v>9</v>
      </c>
      <c r="L705" s="11" t="str">
        <f>IF(MOD(punkt_szczepień__13[[#This Row],[liczba płeć]],2)=0,"K","M")</f>
        <v>M</v>
      </c>
      <c r="M705" s="1"/>
      <c r="N705" s="1"/>
    </row>
    <row r="706" spans="1:14" x14ac:dyDescent="0.25">
      <c r="A706" s="1" t="s">
        <v>712</v>
      </c>
      <c r="B706" s="1" t="s">
        <v>7</v>
      </c>
      <c r="C706" s="2">
        <v>0.60387731481481477</v>
      </c>
      <c r="D706">
        <v>1</v>
      </c>
      <c r="E706">
        <f>VALUE(RIGHT(LEFT(punkt_szczepień__13[[#This Row],[PESEL]],4),2))</f>
        <v>12</v>
      </c>
      <c r="F706" s="11">
        <f>MOD(punkt_szczepień__13[[#This Row],[liczba miesiac]],20)</f>
        <v>12</v>
      </c>
      <c r="G706" s="11">
        <f>VLOOKUP(punkt_szczepień__13[[#This Row],[liczba miesiac]]-punkt_szczepień__13[[#This Row],[miesiac]],$O$3:$P$7,2,0)+VALUE(LEFT(punkt_szczepień__13[[#This Row],[PESEL]],2))</f>
        <v>1950</v>
      </c>
      <c r="H706" s="11">
        <f>VALUE(RIGHT(LEFT(punkt_szczepień__13[[#This Row],[PESEL]],6),2))</f>
        <v>29</v>
      </c>
      <c r="I706" s="3">
        <f>DATE(punkt_szczepień__13[[#This Row],[rok]],punkt_szczepień__13[[#This Row],[miesiac]],punkt_szczepień__13[[#This Row],[dzień]])</f>
        <v>18626</v>
      </c>
      <c r="J706" s="1" t="str">
        <f>punkt_szczepień__13[[#This Row],[PESEL]]</f>
        <v>50122977832</v>
      </c>
      <c r="K706" s="1">
        <f>VALUE(MID(punkt_szczepień__13[[#This Row],[PESEL]],10,1))</f>
        <v>3</v>
      </c>
      <c r="L706" s="11" t="str">
        <f>IF(MOD(punkt_szczepień__13[[#This Row],[liczba płeć]],2)=0,"K","M")</f>
        <v>M</v>
      </c>
      <c r="M706" s="1"/>
      <c r="N706" s="1"/>
    </row>
    <row r="707" spans="1:14" x14ac:dyDescent="0.25">
      <c r="A707" s="1" t="s">
        <v>713</v>
      </c>
      <c r="B707" s="1" t="s">
        <v>7</v>
      </c>
      <c r="C707" s="2">
        <v>0.60416666666666663</v>
      </c>
      <c r="D707">
        <v>1</v>
      </c>
      <c r="E707">
        <f>VALUE(RIGHT(LEFT(punkt_szczepień__13[[#This Row],[PESEL]],4),2))</f>
        <v>2</v>
      </c>
      <c r="F707" s="11">
        <f>MOD(punkt_szczepień__13[[#This Row],[liczba miesiac]],20)</f>
        <v>2</v>
      </c>
      <c r="G707" s="11">
        <f>VLOOKUP(punkt_szczepień__13[[#This Row],[liczba miesiac]]-punkt_szczepień__13[[#This Row],[miesiac]],$O$3:$P$7,2,0)+VALUE(LEFT(punkt_szczepień__13[[#This Row],[PESEL]],2))</f>
        <v>1977</v>
      </c>
      <c r="H707" s="11">
        <f>VALUE(RIGHT(LEFT(punkt_szczepień__13[[#This Row],[PESEL]],6),2))</f>
        <v>5</v>
      </c>
      <c r="I707" s="3">
        <f>DATE(punkt_szczepień__13[[#This Row],[rok]],punkt_szczepień__13[[#This Row],[miesiac]],punkt_szczepień__13[[#This Row],[dzień]])</f>
        <v>28161</v>
      </c>
      <c r="J707" s="1" t="str">
        <f>punkt_szczepień__13[[#This Row],[PESEL]]</f>
        <v>77020522748</v>
      </c>
      <c r="K707" s="1">
        <f>VALUE(MID(punkt_szczepień__13[[#This Row],[PESEL]],10,1))</f>
        <v>4</v>
      </c>
      <c r="L707" s="11" t="str">
        <f>IF(MOD(punkt_szczepień__13[[#This Row],[liczba płeć]],2)=0,"K","M")</f>
        <v>K</v>
      </c>
      <c r="M707" s="1"/>
      <c r="N707" s="1"/>
    </row>
    <row r="708" spans="1:14" x14ac:dyDescent="0.25">
      <c r="A708" s="1" t="s">
        <v>714</v>
      </c>
      <c r="B708" s="1" t="s">
        <v>9</v>
      </c>
      <c r="C708" s="2">
        <v>0.60445601851851849</v>
      </c>
      <c r="D708">
        <v>1</v>
      </c>
      <c r="E708">
        <f>VALUE(RIGHT(LEFT(punkt_szczepień__13[[#This Row],[PESEL]],4),2))</f>
        <v>10</v>
      </c>
      <c r="F708" s="11">
        <f>MOD(punkt_szczepień__13[[#This Row],[liczba miesiac]],20)</f>
        <v>10</v>
      </c>
      <c r="G708" s="11">
        <f>VLOOKUP(punkt_szczepień__13[[#This Row],[liczba miesiac]]-punkt_szczepień__13[[#This Row],[miesiac]],$O$3:$P$7,2,0)+VALUE(LEFT(punkt_szczepień__13[[#This Row],[PESEL]],2))</f>
        <v>1956</v>
      </c>
      <c r="H708" s="11">
        <f>VALUE(RIGHT(LEFT(punkt_szczepień__13[[#This Row],[PESEL]],6),2))</f>
        <v>8</v>
      </c>
      <c r="I708" s="3">
        <f>DATE(punkt_szczepień__13[[#This Row],[rok]],punkt_szczepień__13[[#This Row],[miesiac]],punkt_szczepień__13[[#This Row],[dzień]])</f>
        <v>20736</v>
      </c>
      <c r="J708" s="1" t="str">
        <f>punkt_szczepień__13[[#This Row],[PESEL]]</f>
        <v>56100891974</v>
      </c>
      <c r="K708" s="1">
        <f>VALUE(MID(punkt_szczepień__13[[#This Row],[PESEL]],10,1))</f>
        <v>7</v>
      </c>
      <c r="L708" s="11" t="str">
        <f>IF(MOD(punkt_szczepień__13[[#This Row],[liczba płeć]],2)=0,"K","M")</f>
        <v>M</v>
      </c>
      <c r="M708" s="1"/>
      <c r="N708" s="1"/>
    </row>
    <row r="709" spans="1:14" x14ac:dyDescent="0.25">
      <c r="A709" s="1" t="s">
        <v>715</v>
      </c>
      <c r="B709" s="1" t="s">
        <v>7</v>
      </c>
      <c r="C709" s="2">
        <v>0.60474537037037035</v>
      </c>
      <c r="D709">
        <v>1</v>
      </c>
      <c r="E709">
        <f>VALUE(RIGHT(LEFT(punkt_szczepień__13[[#This Row],[PESEL]],4),2))</f>
        <v>1</v>
      </c>
      <c r="F709" s="11">
        <f>MOD(punkt_szczepień__13[[#This Row],[liczba miesiac]],20)</f>
        <v>1</v>
      </c>
      <c r="G709" s="11">
        <f>VLOOKUP(punkt_szczepień__13[[#This Row],[liczba miesiac]]-punkt_szczepień__13[[#This Row],[miesiac]],$O$3:$P$7,2,0)+VALUE(LEFT(punkt_szczepień__13[[#This Row],[PESEL]],2))</f>
        <v>1945</v>
      </c>
      <c r="H709" s="11">
        <f>VALUE(RIGHT(LEFT(punkt_szczepień__13[[#This Row],[PESEL]],6),2))</f>
        <v>19</v>
      </c>
      <c r="I709" s="3">
        <f>DATE(punkt_szczepień__13[[#This Row],[rok]],punkt_szczepień__13[[#This Row],[miesiac]],punkt_szczepień__13[[#This Row],[dzień]])</f>
        <v>16456</v>
      </c>
      <c r="J709" s="1" t="str">
        <f>punkt_szczepień__13[[#This Row],[PESEL]]</f>
        <v>45011941212</v>
      </c>
      <c r="K709" s="1">
        <f>VALUE(MID(punkt_szczepień__13[[#This Row],[PESEL]],10,1))</f>
        <v>1</v>
      </c>
      <c r="L709" s="11" t="str">
        <f>IF(MOD(punkt_szczepień__13[[#This Row],[liczba płeć]],2)=0,"K","M")</f>
        <v>M</v>
      </c>
      <c r="M709" s="1"/>
      <c r="N709" s="1"/>
    </row>
    <row r="710" spans="1:14" x14ac:dyDescent="0.25">
      <c r="A710" s="1" t="s">
        <v>716</v>
      </c>
      <c r="B710" s="1" t="s">
        <v>9</v>
      </c>
      <c r="C710" s="2">
        <v>0.60532407407407407</v>
      </c>
      <c r="D710">
        <v>2</v>
      </c>
      <c r="E710">
        <f>VALUE(RIGHT(LEFT(punkt_szczepień__13[[#This Row],[PESEL]],4),2))</f>
        <v>9</v>
      </c>
      <c r="F710" s="11">
        <f>MOD(punkt_szczepień__13[[#This Row],[liczba miesiac]],20)</f>
        <v>9</v>
      </c>
      <c r="G710" s="11">
        <f>VLOOKUP(punkt_szczepień__13[[#This Row],[liczba miesiac]]-punkt_szczepień__13[[#This Row],[miesiac]],$O$3:$P$7,2,0)+VALUE(LEFT(punkt_szczepień__13[[#This Row],[PESEL]],2))</f>
        <v>1981</v>
      </c>
      <c r="H710" s="11">
        <f>VALUE(RIGHT(LEFT(punkt_szczepień__13[[#This Row],[PESEL]],6),2))</f>
        <v>4</v>
      </c>
      <c r="I710" s="3">
        <f>DATE(punkt_szczepień__13[[#This Row],[rok]],punkt_szczepień__13[[#This Row],[miesiac]],punkt_szczepień__13[[#This Row],[dzień]])</f>
        <v>29833</v>
      </c>
      <c r="J710" s="1" t="str">
        <f>punkt_szczepień__13[[#This Row],[PESEL]]</f>
        <v>81090457923</v>
      </c>
      <c r="K710" s="1">
        <f>VALUE(MID(punkt_szczepień__13[[#This Row],[PESEL]],10,1))</f>
        <v>2</v>
      </c>
      <c r="L710" s="11" t="str">
        <f>IF(MOD(punkt_szczepień__13[[#This Row],[liczba płeć]],2)=0,"K","M")</f>
        <v>K</v>
      </c>
      <c r="M710" s="1"/>
      <c r="N710" s="1"/>
    </row>
    <row r="711" spans="1:14" x14ac:dyDescent="0.25">
      <c r="A711" s="1" t="s">
        <v>717</v>
      </c>
      <c r="B711" s="1" t="s">
        <v>7</v>
      </c>
      <c r="C711" s="2">
        <v>0.60561342592592593</v>
      </c>
      <c r="D711">
        <v>1</v>
      </c>
      <c r="E711">
        <f>VALUE(RIGHT(LEFT(punkt_szczepień__13[[#This Row],[PESEL]],4),2))</f>
        <v>12</v>
      </c>
      <c r="F711" s="11">
        <f>MOD(punkt_szczepień__13[[#This Row],[liczba miesiac]],20)</f>
        <v>12</v>
      </c>
      <c r="G711" s="11">
        <f>VLOOKUP(punkt_szczepień__13[[#This Row],[liczba miesiac]]-punkt_szczepień__13[[#This Row],[miesiac]],$O$3:$P$7,2,0)+VALUE(LEFT(punkt_szczepień__13[[#This Row],[PESEL]],2))</f>
        <v>1970</v>
      </c>
      <c r="H711" s="11">
        <f>VALUE(RIGHT(LEFT(punkt_szczepień__13[[#This Row],[PESEL]],6),2))</f>
        <v>22</v>
      </c>
      <c r="I711" s="3">
        <f>DATE(punkt_szczepień__13[[#This Row],[rok]],punkt_szczepień__13[[#This Row],[miesiac]],punkt_szczepień__13[[#This Row],[dzień]])</f>
        <v>25924</v>
      </c>
      <c r="J711" s="1" t="str">
        <f>punkt_szczepień__13[[#This Row],[PESEL]]</f>
        <v>70122286888</v>
      </c>
      <c r="K711" s="1">
        <f>VALUE(MID(punkt_szczepień__13[[#This Row],[PESEL]],10,1))</f>
        <v>8</v>
      </c>
      <c r="L711" s="11" t="str">
        <f>IF(MOD(punkt_szczepień__13[[#This Row],[liczba płeć]],2)=0,"K","M")</f>
        <v>K</v>
      </c>
      <c r="M711" s="1"/>
      <c r="N711" s="1"/>
    </row>
    <row r="712" spans="1:14" x14ac:dyDescent="0.25">
      <c r="A712" s="1" t="s">
        <v>718</v>
      </c>
      <c r="B712" s="1" t="s">
        <v>27</v>
      </c>
      <c r="C712" s="2">
        <v>0.60619212962962965</v>
      </c>
      <c r="D712">
        <v>2</v>
      </c>
      <c r="E712">
        <f>VALUE(RIGHT(LEFT(punkt_szczepień__13[[#This Row],[PESEL]],4),2))</f>
        <v>3</v>
      </c>
      <c r="F712" s="11">
        <f>MOD(punkt_szczepień__13[[#This Row],[liczba miesiac]],20)</f>
        <v>3</v>
      </c>
      <c r="G712" s="11">
        <f>VLOOKUP(punkt_szczepień__13[[#This Row],[liczba miesiac]]-punkt_szczepień__13[[#This Row],[miesiac]],$O$3:$P$7,2,0)+VALUE(LEFT(punkt_szczepień__13[[#This Row],[PESEL]],2))</f>
        <v>1936</v>
      </c>
      <c r="H712" s="11">
        <f>VALUE(RIGHT(LEFT(punkt_szczepień__13[[#This Row],[PESEL]],6),2))</f>
        <v>18</v>
      </c>
      <c r="I712" s="3">
        <f>DATE(punkt_szczepień__13[[#This Row],[rok]],punkt_szczepień__13[[#This Row],[miesiac]],punkt_szczepień__13[[#This Row],[dzień]])</f>
        <v>13227</v>
      </c>
      <c r="J712" s="1" t="str">
        <f>punkt_szczepień__13[[#This Row],[PESEL]]</f>
        <v>36031815159</v>
      </c>
      <c r="K712" s="1">
        <f>VALUE(MID(punkt_szczepień__13[[#This Row],[PESEL]],10,1))</f>
        <v>5</v>
      </c>
      <c r="L712" s="11" t="str">
        <f>IF(MOD(punkt_szczepień__13[[#This Row],[liczba płeć]],2)=0,"K","M")</f>
        <v>M</v>
      </c>
      <c r="M712" s="1"/>
      <c r="N712" s="1"/>
    </row>
    <row r="713" spans="1:14" x14ac:dyDescent="0.25">
      <c r="A713" s="1" t="s">
        <v>719</v>
      </c>
      <c r="B713" s="1" t="s">
        <v>7</v>
      </c>
      <c r="C713" s="2">
        <v>0.60648148148148151</v>
      </c>
      <c r="D713">
        <v>1</v>
      </c>
      <c r="E713">
        <f>VALUE(RIGHT(LEFT(punkt_szczepień__13[[#This Row],[PESEL]],4),2))</f>
        <v>9</v>
      </c>
      <c r="F713" s="11">
        <f>MOD(punkt_szczepień__13[[#This Row],[liczba miesiac]],20)</f>
        <v>9</v>
      </c>
      <c r="G713" s="11">
        <f>VLOOKUP(punkt_szczepień__13[[#This Row],[liczba miesiac]]-punkt_szczepień__13[[#This Row],[miesiac]],$O$3:$P$7,2,0)+VALUE(LEFT(punkt_szczepień__13[[#This Row],[PESEL]],2))</f>
        <v>1958</v>
      </c>
      <c r="H713" s="11">
        <f>VALUE(RIGHT(LEFT(punkt_szczepień__13[[#This Row],[PESEL]],6),2))</f>
        <v>16</v>
      </c>
      <c r="I713" s="3">
        <f>DATE(punkt_szczepień__13[[#This Row],[rok]],punkt_szczepień__13[[#This Row],[miesiac]],punkt_szczepień__13[[#This Row],[dzień]])</f>
        <v>21444</v>
      </c>
      <c r="J713" s="1" t="str">
        <f>punkt_szczepień__13[[#This Row],[PESEL]]</f>
        <v>58091635692</v>
      </c>
      <c r="K713" s="1">
        <f>VALUE(MID(punkt_szczepień__13[[#This Row],[PESEL]],10,1))</f>
        <v>9</v>
      </c>
      <c r="L713" s="11" t="str">
        <f>IF(MOD(punkt_szczepień__13[[#This Row],[liczba płeć]],2)=0,"K","M")</f>
        <v>M</v>
      </c>
      <c r="M713" s="1"/>
      <c r="N713" s="1"/>
    </row>
    <row r="714" spans="1:14" x14ac:dyDescent="0.25">
      <c r="A714" s="1" t="s">
        <v>720</v>
      </c>
      <c r="B714" s="1" t="s">
        <v>7</v>
      </c>
      <c r="C714" s="2">
        <v>0.60677083333333337</v>
      </c>
      <c r="D714">
        <v>1</v>
      </c>
      <c r="E714">
        <f>VALUE(RIGHT(LEFT(punkt_szczepień__13[[#This Row],[PESEL]],4),2))</f>
        <v>11</v>
      </c>
      <c r="F714" s="11">
        <f>MOD(punkt_szczepień__13[[#This Row],[liczba miesiac]],20)</f>
        <v>11</v>
      </c>
      <c r="G714" s="11">
        <f>VLOOKUP(punkt_szczepień__13[[#This Row],[liczba miesiac]]-punkt_szczepień__13[[#This Row],[miesiac]],$O$3:$P$7,2,0)+VALUE(LEFT(punkt_szczepień__13[[#This Row],[PESEL]],2))</f>
        <v>1964</v>
      </c>
      <c r="H714" s="11">
        <f>VALUE(RIGHT(LEFT(punkt_szczepień__13[[#This Row],[PESEL]],6),2))</f>
        <v>27</v>
      </c>
      <c r="I714" s="3">
        <f>DATE(punkt_szczepień__13[[#This Row],[rok]],punkt_szczepień__13[[#This Row],[miesiac]],punkt_szczepień__13[[#This Row],[dzień]])</f>
        <v>23708</v>
      </c>
      <c r="J714" s="1" t="str">
        <f>punkt_szczepień__13[[#This Row],[PESEL]]</f>
        <v>64112712121</v>
      </c>
      <c r="K714" s="1">
        <f>VALUE(MID(punkt_szczepień__13[[#This Row],[PESEL]],10,1))</f>
        <v>2</v>
      </c>
      <c r="L714" s="11" t="str">
        <f>IF(MOD(punkt_szczepień__13[[#This Row],[liczba płeć]],2)=0,"K","M")</f>
        <v>K</v>
      </c>
      <c r="M714" s="1"/>
      <c r="N714" s="1"/>
    </row>
    <row r="715" spans="1:14" x14ac:dyDescent="0.25">
      <c r="A715" s="1" t="s">
        <v>721</v>
      </c>
      <c r="B715" s="1" t="s">
        <v>7</v>
      </c>
      <c r="C715" s="2">
        <v>0.60706018518518523</v>
      </c>
      <c r="D715">
        <v>1</v>
      </c>
      <c r="E715">
        <f>VALUE(RIGHT(LEFT(punkt_szczepień__13[[#This Row],[PESEL]],4),2))</f>
        <v>1</v>
      </c>
      <c r="F715" s="11">
        <f>MOD(punkt_szczepień__13[[#This Row],[liczba miesiac]],20)</f>
        <v>1</v>
      </c>
      <c r="G715" s="11">
        <f>VLOOKUP(punkt_szczepień__13[[#This Row],[liczba miesiac]]-punkt_szczepień__13[[#This Row],[miesiac]],$O$3:$P$7,2,0)+VALUE(LEFT(punkt_szczepień__13[[#This Row],[PESEL]],2))</f>
        <v>1966</v>
      </c>
      <c r="H715" s="11">
        <f>VALUE(RIGHT(LEFT(punkt_szczepień__13[[#This Row],[PESEL]],6),2))</f>
        <v>15</v>
      </c>
      <c r="I715" s="3">
        <f>DATE(punkt_szczepień__13[[#This Row],[rok]],punkt_szczepień__13[[#This Row],[miesiac]],punkt_szczepień__13[[#This Row],[dzień]])</f>
        <v>24122</v>
      </c>
      <c r="J715" s="1" t="str">
        <f>punkt_szczepień__13[[#This Row],[PESEL]]</f>
        <v>66011597562</v>
      </c>
      <c r="K715" s="1">
        <f>VALUE(MID(punkt_szczepień__13[[#This Row],[PESEL]],10,1))</f>
        <v>6</v>
      </c>
      <c r="L715" s="11" t="str">
        <f>IF(MOD(punkt_szczepień__13[[#This Row],[liczba płeć]],2)=0,"K","M")</f>
        <v>K</v>
      </c>
      <c r="M715" s="1"/>
      <c r="N715" s="1"/>
    </row>
    <row r="716" spans="1:14" x14ac:dyDescent="0.25">
      <c r="A716" s="1" t="s">
        <v>722</v>
      </c>
      <c r="B716" s="1" t="s">
        <v>9</v>
      </c>
      <c r="C716" s="2">
        <v>0.60734953703703709</v>
      </c>
      <c r="D716">
        <v>1</v>
      </c>
      <c r="E716">
        <f>VALUE(RIGHT(LEFT(punkt_szczepień__13[[#This Row],[PESEL]],4),2))</f>
        <v>12</v>
      </c>
      <c r="F716" s="11">
        <f>MOD(punkt_szczepień__13[[#This Row],[liczba miesiac]],20)</f>
        <v>12</v>
      </c>
      <c r="G716" s="11">
        <f>VLOOKUP(punkt_szczepień__13[[#This Row],[liczba miesiac]]-punkt_szczepień__13[[#This Row],[miesiac]],$O$3:$P$7,2,0)+VALUE(LEFT(punkt_szczepień__13[[#This Row],[PESEL]],2))</f>
        <v>1980</v>
      </c>
      <c r="H716" s="11">
        <f>VALUE(RIGHT(LEFT(punkt_szczepień__13[[#This Row],[PESEL]],6),2))</f>
        <v>22</v>
      </c>
      <c r="I716" s="3">
        <f>DATE(punkt_szczepień__13[[#This Row],[rok]],punkt_szczepień__13[[#This Row],[miesiac]],punkt_szczepień__13[[#This Row],[dzień]])</f>
        <v>29577</v>
      </c>
      <c r="J716" s="1" t="str">
        <f>punkt_szczepień__13[[#This Row],[PESEL]]</f>
        <v>80122265644</v>
      </c>
      <c r="K716" s="1">
        <f>VALUE(MID(punkt_szczepień__13[[#This Row],[PESEL]],10,1))</f>
        <v>4</v>
      </c>
      <c r="L716" s="11" t="str">
        <f>IF(MOD(punkt_szczepień__13[[#This Row],[liczba płeć]],2)=0,"K","M")</f>
        <v>K</v>
      </c>
      <c r="M716" s="1"/>
      <c r="N716" s="1"/>
    </row>
    <row r="717" spans="1:14" x14ac:dyDescent="0.25">
      <c r="A717" s="1" t="s">
        <v>723</v>
      </c>
      <c r="B717" s="1" t="s">
        <v>27</v>
      </c>
      <c r="C717" s="2">
        <v>0.60763888888888884</v>
      </c>
      <c r="D717">
        <v>1</v>
      </c>
      <c r="E717">
        <f>VALUE(RIGHT(LEFT(punkt_szczepień__13[[#This Row],[PESEL]],4),2))</f>
        <v>1</v>
      </c>
      <c r="F717" s="11">
        <f>MOD(punkt_szczepień__13[[#This Row],[liczba miesiac]],20)</f>
        <v>1</v>
      </c>
      <c r="G717" s="11">
        <f>VLOOKUP(punkt_szczepień__13[[#This Row],[liczba miesiac]]-punkt_szczepień__13[[#This Row],[miesiac]],$O$3:$P$7,2,0)+VALUE(LEFT(punkt_szczepień__13[[#This Row],[PESEL]],2))</f>
        <v>1980</v>
      </c>
      <c r="H717" s="11">
        <f>VALUE(RIGHT(LEFT(punkt_szczepień__13[[#This Row],[PESEL]],6),2))</f>
        <v>4</v>
      </c>
      <c r="I717" s="3">
        <f>DATE(punkt_szczepień__13[[#This Row],[rok]],punkt_szczepień__13[[#This Row],[miesiac]],punkt_szczepień__13[[#This Row],[dzień]])</f>
        <v>29224</v>
      </c>
      <c r="J717" s="1" t="str">
        <f>punkt_szczepień__13[[#This Row],[PESEL]]</f>
        <v>80010449156</v>
      </c>
      <c r="K717" s="1">
        <f>VALUE(MID(punkt_szczepień__13[[#This Row],[PESEL]],10,1))</f>
        <v>5</v>
      </c>
      <c r="L717" s="11" t="str">
        <f>IF(MOD(punkt_szczepień__13[[#This Row],[liczba płeć]],2)=0,"K","M")</f>
        <v>M</v>
      </c>
      <c r="M717" s="1"/>
      <c r="N717" s="1"/>
    </row>
    <row r="718" spans="1:14" x14ac:dyDescent="0.25">
      <c r="A718" s="1" t="s">
        <v>724</v>
      </c>
      <c r="B718" s="1" t="s">
        <v>7</v>
      </c>
      <c r="C718" s="2">
        <v>0.6079282407407407</v>
      </c>
      <c r="D718">
        <v>1</v>
      </c>
      <c r="E718">
        <f>VALUE(RIGHT(LEFT(punkt_szczepień__13[[#This Row],[PESEL]],4),2))</f>
        <v>7</v>
      </c>
      <c r="F718" s="11">
        <f>MOD(punkt_szczepień__13[[#This Row],[liczba miesiac]],20)</f>
        <v>7</v>
      </c>
      <c r="G718" s="11">
        <f>VLOOKUP(punkt_szczepień__13[[#This Row],[liczba miesiac]]-punkt_szczepień__13[[#This Row],[miesiac]],$O$3:$P$7,2,0)+VALUE(LEFT(punkt_szczepień__13[[#This Row],[PESEL]],2))</f>
        <v>1965</v>
      </c>
      <c r="H718" s="11">
        <f>VALUE(RIGHT(LEFT(punkt_szczepień__13[[#This Row],[PESEL]],6),2))</f>
        <v>5</v>
      </c>
      <c r="I718" s="3">
        <f>DATE(punkt_szczepień__13[[#This Row],[rok]],punkt_szczepień__13[[#This Row],[miesiac]],punkt_szczepień__13[[#This Row],[dzień]])</f>
        <v>23928</v>
      </c>
      <c r="J718" s="1" t="str">
        <f>punkt_szczepień__13[[#This Row],[PESEL]]</f>
        <v>65070514862</v>
      </c>
      <c r="K718" s="1">
        <f>VALUE(MID(punkt_szczepień__13[[#This Row],[PESEL]],10,1))</f>
        <v>6</v>
      </c>
      <c r="L718" s="11" t="str">
        <f>IF(MOD(punkt_szczepień__13[[#This Row],[liczba płeć]],2)=0,"K","M")</f>
        <v>K</v>
      </c>
      <c r="M718" s="1"/>
      <c r="N718" s="1"/>
    </row>
    <row r="719" spans="1:14" x14ac:dyDescent="0.25">
      <c r="A719" s="1" t="s">
        <v>725</v>
      </c>
      <c r="B719" s="1" t="s">
        <v>5</v>
      </c>
      <c r="C719" s="2">
        <v>0.60821759259259256</v>
      </c>
      <c r="D719">
        <v>1</v>
      </c>
      <c r="E719">
        <f>VALUE(RIGHT(LEFT(punkt_szczepień__13[[#This Row],[PESEL]],4),2))</f>
        <v>8</v>
      </c>
      <c r="F719" s="11">
        <f>MOD(punkt_szczepień__13[[#This Row],[liczba miesiac]],20)</f>
        <v>8</v>
      </c>
      <c r="G719" s="11">
        <f>VLOOKUP(punkt_szczepień__13[[#This Row],[liczba miesiac]]-punkt_szczepień__13[[#This Row],[miesiac]],$O$3:$P$7,2,0)+VALUE(LEFT(punkt_szczepień__13[[#This Row],[PESEL]],2))</f>
        <v>1999</v>
      </c>
      <c r="H719" s="11">
        <f>VALUE(RIGHT(LEFT(punkt_szczepień__13[[#This Row],[PESEL]],6),2))</f>
        <v>28</v>
      </c>
      <c r="I719" s="3">
        <f>DATE(punkt_szczepień__13[[#This Row],[rok]],punkt_szczepień__13[[#This Row],[miesiac]],punkt_szczepień__13[[#This Row],[dzień]])</f>
        <v>36400</v>
      </c>
      <c r="J719" s="1" t="str">
        <f>punkt_szczepień__13[[#This Row],[PESEL]]</f>
        <v>99082877196</v>
      </c>
      <c r="K719" s="1">
        <f>VALUE(MID(punkt_szczepień__13[[#This Row],[PESEL]],10,1))</f>
        <v>9</v>
      </c>
      <c r="L719" s="11" t="str">
        <f>IF(MOD(punkt_szczepień__13[[#This Row],[liczba płeć]],2)=0,"K","M")</f>
        <v>M</v>
      </c>
      <c r="M719" s="1"/>
      <c r="N719" s="1"/>
    </row>
    <row r="720" spans="1:14" x14ac:dyDescent="0.25">
      <c r="A720" s="1" t="s">
        <v>726</v>
      </c>
      <c r="B720" s="1" t="s">
        <v>7</v>
      </c>
      <c r="C720" s="2">
        <v>0.60850694444444442</v>
      </c>
      <c r="D720">
        <v>1</v>
      </c>
      <c r="E720">
        <f>VALUE(RIGHT(LEFT(punkt_szczepień__13[[#This Row],[PESEL]],4),2))</f>
        <v>30</v>
      </c>
      <c r="F720" s="11">
        <f>MOD(punkt_szczepień__13[[#This Row],[liczba miesiac]],20)</f>
        <v>10</v>
      </c>
      <c r="G720" s="11">
        <f>VLOOKUP(punkt_szczepień__13[[#This Row],[liczba miesiac]]-punkt_szczepień__13[[#This Row],[miesiac]],$O$3:$P$7,2,0)+VALUE(LEFT(punkt_szczepień__13[[#This Row],[PESEL]],2))</f>
        <v>2004</v>
      </c>
      <c r="H720" s="11">
        <f>VALUE(RIGHT(LEFT(punkt_szczepień__13[[#This Row],[PESEL]],6),2))</f>
        <v>19</v>
      </c>
      <c r="I720" s="3">
        <f>DATE(punkt_szczepień__13[[#This Row],[rok]],punkt_szczepień__13[[#This Row],[miesiac]],punkt_szczepień__13[[#This Row],[dzień]])</f>
        <v>38279</v>
      </c>
      <c r="J720" s="1" t="str">
        <f>punkt_szczepień__13[[#This Row],[PESEL]]</f>
        <v>04301916244</v>
      </c>
      <c r="K720" s="1">
        <f>VALUE(MID(punkt_szczepień__13[[#This Row],[PESEL]],10,1))</f>
        <v>4</v>
      </c>
      <c r="L720" s="11" t="str">
        <f>IF(MOD(punkt_szczepień__13[[#This Row],[liczba płeć]],2)=0,"K","M")</f>
        <v>K</v>
      </c>
      <c r="M720" s="1"/>
      <c r="N720" s="1"/>
    </row>
    <row r="721" spans="1:14" x14ac:dyDescent="0.25">
      <c r="A721" s="1" t="s">
        <v>727</v>
      </c>
      <c r="B721" s="1" t="s">
        <v>9</v>
      </c>
      <c r="C721" s="2">
        <v>0.60879629629629628</v>
      </c>
      <c r="D721">
        <v>1</v>
      </c>
      <c r="E721">
        <f>VALUE(RIGHT(LEFT(punkt_szczepień__13[[#This Row],[PESEL]],4),2))</f>
        <v>4</v>
      </c>
      <c r="F721" s="11">
        <f>MOD(punkt_szczepień__13[[#This Row],[liczba miesiac]],20)</f>
        <v>4</v>
      </c>
      <c r="G721" s="11">
        <f>VLOOKUP(punkt_szczepień__13[[#This Row],[liczba miesiac]]-punkt_szczepień__13[[#This Row],[miesiac]],$O$3:$P$7,2,0)+VALUE(LEFT(punkt_szczepień__13[[#This Row],[PESEL]],2))</f>
        <v>1982</v>
      </c>
      <c r="H721" s="11">
        <f>VALUE(RIGHT(LEFT(punkt_szczepień__13[[#This Row],[PESEL]],6),2))</f>
        <v>10</v>
      </c>
      <c r="I721" s="3">
        <f>DATE(punkt_szczepień__13[[#This Row],[rok]],punkt_szczepień__13[[#This Row],[miesiac]],punkt_szczepień__13[[#This Row],[dzień]])</f>
        <v>30051</v>
      </c>
      <c r="J721" s="1" t="str">
        <f>punkt_szczepień__13[[#This Row],[PESEL]]</f>
        <v>82041048153</v>
      </c>
      <c r="K721" s="1">
        <f>VALUE(MID(punkt_szczepień__13[[#This Row],[PESEL]],10,1))</f>
        <v>5</v>
      </c>
      <c r="L721" s="11" t="str">
        <f>IF(MOD(punkt_szczepień__13[[#This Row],[liczba płeć]],2)=0,"K","M")</f>
        <v>M</v>
      </c>
      <c r="M721" s="1"/>
      <c r="N721" s="1"/>
    </row>
    <row r="722" spans="1:14" x14ac:dyDescent="0.25">
      <c r="A722" s="1" t="s">
        <v>728</v>
      </c>
      <c r="B722" s="1" t="s">
        <v>9</v>
      </c>
      <c r="C722" s="2">
        <v>0.609375</v>
      </c>
      <c r="D722">
        <v>2</v>
      </c>
      <c r="E722">
        <f>VALUE(RIGHT(LEFT(punkt_szczepień__13[[#This Row],[PESEL]],4),2))</f>
        <v>12</v>
      </c>
      <c r="F722" s="11">
        <f>MOD(punkt_szczepień__13[[#This Row],[liczba miesiac]],20)</f>
        <v>12</v>
      </c>
      <c r="G722" s="11">
        <f>VLOOKUP(punkt_szczepień__13[[#This Row],[liczba miesiac]]-punkt_szczepień__13[[#This Row],[miesiac]],$O$3:$P$7,2,0)+VALUE(LEFT(punkt_szczepień__13[[#This Row],[PESEL]],2))</f>
        <v>1934</v>
      </c>
      <c r="H722" s="11">
        <f>VALUE(RIGHT(LEFT(punkt_szczepień__13[[#This Row],[PESEL]],6),2))</f>
        <v>8</v>
      </c>
      <c r="I722" s="3">
        <f>DATE(punkt_szczepień__13[[#This Row],[rok]],punkt_szczepień__13[[#This Row],[miesiac]],punkt_szczepień__13[[#This Row],[dzień]])</f>
        <v>12761</v>
      </c>
      <c r="J722" s="1" t="str">
        <f>punkt_szczepień__13[[#This Row],[PESEL]]</f>
        <v>34120819787</v>
      </c>
      <c r="K722" s="1">
        <f>VALUE(MID(punkt_szczepień__13[[#This Row],[PESEL]],10,1))</f>
        <v>8</v>
      </c>
      <c r="L722" s="11" t="str">
        <f>IF(MOD(punkt_szczepień__13[[#This Row],[liczba płeć]],2)=0,"K","M")</f>
        <v>K</v>
      </c>
      <c r="M722" s="1"/>
      <c r="N722" s="1"/>
    </row>
    <row r="723" spans="1:14" x14ac:dyDescent="0.25">
      <c r="A723" s="1" t="s">
        <v>729</v>
      </c>
      <c r="B723" s="1" t="s">
        <v>5</v>
      </c>
      <c r="C723" s="2">
        <v>0.60995370370370372</v>
      </c>
      <c r="D723">
        <v>2</v>
      </c>
      <c r="E723">
        <f>VALUE(RIGHT(LEFT(punkt_szczepień__13[[#This Row],[PESEL]],4),2))</f>
        <v>1</v>
      </c>
      <c r="F723" s="11">
        <f>MOD(punkt_szczepień__13[[#This Row],[liczba miesiac]],20)</f>
        <v>1</v>
      </c>
      <c r="G723" s="11">
        <f>VLOOKUP(punkt_szczepień__13[[#This Row],[liczba miesiac]]-punkt_szczepień__13[[#This Row],[miesiac]],$O$3:$P$7,2,0)+VALUE(LEFT(punkt_szczepień__13[[#This Row],[PESEL]],2))</f>
        <v>1933</v>
      </c>
      <c r="H723" s="11">
        <f>VALUE(RIGHT(LEFT(punkt_szczepień__13[[#This Row],[PESEL]],6),2))</f>
        <v>30</v>
      </c>
      <c r="I723" s="3">
        <f>DATE(punkt_szczepień__13[[#This Row],[rok]],punkt_szczepień__13[[#This Row],[miesiac]],punkt_szczepień__13[[#This Row],[dzień]])</f>
        <v>12084</v>
      </c>
      <c r="J723" s="1" t="str">
        <f>punkt_szczepień__13[[#This Row],[PESEL]]</f>
        <v>33013033275</v>
      </c>
      <c r="K723" s="1">
        <f>VALUE(MID(punkt_szczepień__13[[#This Row],[PESEL]],10,1))</f>
        <v>7</v>
      </c>
      <c r="L723" s="11" t="str">
        <f>IF(MOD(punkt_szczepień__13[[#This Row],[liczba płeć]],2)=0,"K","M")</f>
        <v>M</v>
      </c>
      <c r="M723" s="1"/>
      <c r="N723" s="1"/>
    </row>
    <row r="724" spans="1:14" x14ac:dyDescent="0.25">
      <c r="A724" s="1" t="s">
        <v>730</v>
      </c>
      <c r="B724" s="1" t="s">
        <v>27</v>
      </c>
      <c r="C724" s="2">
        <v>0.61024305555555558</v>
      </c>
      <c r="D724">
        <v>1</v>
      </c>
      <c r="E724">
        <f>VALUE(RIGHT(LEFT(punkt_szczepień__13[[#This Row],[PESEL]],4),2))</f>
        <v>11</v>
      </c>
      <c r="F724" s="11">
        <f>MOD(punkt_szczepień__13[[#This Row],[liczba miesiac]],20)</f>
        <v>11</v>
      </c>
      <c r="G724" s="11">
        <f>VLOOKUP(punkt_szczepień__13[[#This Row],[liczba miesiac]]-punkt_szczepień__13[[#This Row],[miesiac]],$O$3:$P$7,2,0)+VALUE(LEFT(punkt_szczepień__13[[#This Row],[PESEL]],2))</f>
        <v>1992</v>
      </c>
      <c r="H724" s="11">
        <f>VALUE(RIGHT(LEFT(punkt_szczepień__13[[#This Row],[PESEL]],6),2))</f>
        <v>27</v>
      </c>
      <c r="I724" s="3">
        <f>DATE(punkt_szczepień__13[[#This Row],[rok]],punkt_szczepień__13[[#This Row],[miesiac]],punkt_szczepień__13[[#This Row],[dzień]])</f>
        <v>33935</v>
      </c>
      <c r="J724" s="1" t="str">
        <f>punkt_szczepień__13[[#This Row],[PESEL]]</f>
        <v>92112735222</v>
      </c>
      <c r="K724" s="1">
        <f>VALUE(MID(punkt_szczepień__13[[#This Row],[PESEL]],10,1))</f>
        <v>2</v>
      </c>
      <c r="L724" s="11" t="str">
        <f>IF(MOD(punkt_szczepień__13[[#This Row],[liczba płeć]],2)=0,"K","M")</f>
        <v>K</v>
      </c>
      <c r="M724" s="1"/>
      <c r="N724" s="1"/>
    </row>
    <row r="725" spans="1:14" x14ac:dyDescent="0.25">
      <c r="A725" s="1" t="s">
        <v>731</v>
      </c>
      <c r="B725" s="1" t="s">
        <v>7</v>
      </c>
      <c r="C725" s="2">
        <v>0.61053240740740744</v>
      </c>
      <c r="D725">
        <v>1</v>
      </c>
      <c r="E725">
        <f>VALUE(RIGHT(LEFT(punkt_szczepień__13[[#This Row],[PESEL]],4),2))</f>
        <v>1</v>
      </c>
      <c r="F725" s="11">
        <f>MOD(punkt_szczepień__13[[#This Row],[liczba miesiac]],20)</f>
        <v>1</v>
      </c>
      <c r="G725" s="11">
        <f>VLOOKUP(punkt_szczepień__13[[#This Row],[liczba miesiac]]-punkt_szczepień__13[[#This Row],[miesiac]],$O$3:$P$7,2,0)+VALUE(LEFT(punkt_szczepień__13[[#This Row],[PESEL]],2))</f>
        <v>1925</v>
      </c>
      <c r="H725" s="11">
        <f>VALUE(RIGHT(LEFT(punkt_szczepień__13[[#This Row],[PESEL]],6),2))</f>
        <v>7</v>
      </c>
      <c r="I725" s="3">
        <f>DATE(punkt_szczepień__13[[#This Row],[rok]],punkt_szczepień__13[[#This Row],[miesiac]],punkt_szczepień__13[[#This Row],[dzień]])</f>
        <v>9139</v>
      </c>
      <c r="J725" s="1" t="str">
        <f>punkt_szczepień__13[[#This Row],[PESEL]]</f>
        <v>25010776758</v>
      </c>
      <c r="K725" s="1">
        <f>VALUE(MID(punkt_szczepień__13[[#This Row],[PESEL]],10,1))</f>
        <v>5</v>
      </c>
      <c r="L725" s="11" t="str">
        <f>IF(MOD(punkt_szczepień__13[[#This Row],[liczba płeć]],2)=0,"K","M")</f>
        <v>M</v>
      </c>
      <c r="M725" s="1"/>
      <c r="N725" s="1"/>
    </row>
    <row r="726" spans="1:14" x14ac:dyDescent="0.25">
      <c r="A726" s="1" t="s">
        <v>732</v>
      </c>
      <c r="B726" s="1" t="s">
        <v>9</v>
      </c>
      <c r="C726" s="2">
        <v>0.6108217592592593</v>
      </c>
      <c r="D726">
        <v>1</v>
      </c>
      <c r="E726">
        <f>VALUE(RIGHT(LEFT(punkt_szczepień__13[[#This Row],[PESEL]],4),2))</f>
        <v>10</v>
      </c>
      <c r="F726" s="11">
        <f>MOD(punkt_szczepień__13[[#This Row],[liczba miesiac]],20)</f>
        <v>10</v>
      </c>
      <c r="G726" s="11">
        <f>VLOOKUP(punkt_szczepień__13[[#This Row],[liczba miesiac]]-punkt_szczepień__13[[#This Row],[miesiac]],$O$3:$P$7,2,0)+VALUE(LEFT(punkt_szczepień__13[[#This Row],[PESEL]],2))</f>
        <v>1957</v>
      </c>
      <c r="H726" s="11">
        <f>VALUE(RIGHT(LEFT(punkt_szczepień__13[[#This Row],[PESEL]],6),2))</f>
        <v>8</v>
      </c>
      <c r="I726" s="3">
        <f>DATE(punkt_szczepień__13[[#This Row],[rok]],punkt_szczepień__13[[#This Row],[miesiac]],punkt_szczepień__13[[#This Row],[dzień]])</f>
        <v>21101</v>
      </c>
      <c r="J726" s="1" t="str">
        <f>punkt_szczepień__13[[#This Row],[PESEL]]</f>
        <v>57100835496</v>
      </c>
      <c r="K726" s="1">
        <f>VALUE(MID(punkt_szczepień__13[[#This Row],[PESEL]],10,1))</f>
        <v>9</v>
      </c>
      <c r="L726" s="11" t="str">
        <f>IF(MOD(punkt_szczepień__13[[#This Row],[liczba płeć]],2)=0,"K","M")</f>
        <v>M</v>
      </c>
      <c r="M726" s="1"/>
      <c r="N726" s="1"/>
    </row>
    <row r="727" spans="1:14" x14ac:dyDescent="0.25">
      <c r="A727" s="1" t="s">
        <v>733</v>
      </c>
      <c r="B727" s="1" t="s">
        <v>9</v>
      </c>
      <c r="C727" s="2">
        <v>0.61111111111111116</v>
      </c>
      <c r="D727">
        <v>1</v>
      </c>
      <c r="E727">
        <f>VALUE(RIGHT(LEFT(punkt_szczepień__13[[#This Row],[PESEL]],4),2))</f>
        <v>12</v>
      </c>
      <c r="F727" s="11">
        <f>MOD(punkt_szczepień__13[[#This Row],[liczba miesiac]],20)</f>
        <v>12</v>
      </c>
      <c r="G727" s="11">
        <f>VLOOKUP(punkt_szczepień__13[[#This Row],[liczba miesiac]]-punkt_szczepień__13[[#This Row],[miesiac]],$O$3:$P$7,2,0)+VALUE(LEFT(punkt_szczepień__13[[#This Row],[PESEL]],2))</f>
        <v>1965</v>
      </c>
      <c r="H727" s="11">
        <f>VALUE(RIGHT(LEFT(punkt_szczepień__13[[#This Row],[PESEL]],6),2))</f>
        <v>12</v>
      </c>
      <c r="I727" s="3">
        <f>DATE(punkt_szczepień__13[[#This Row],[rok]],punkt_szczepień__13[[#This Row],[miesiac]],punkt_szczepień__13[[#This Row],[dzień]])</f>
        <v>24088</v>
      </c>
      <c r="J727" s="1" t="str">
        <f>punkt_szczepień__13[[#This Row],[PESEL]]</f>
        <v>65121249114</v>
      </c>
      <c r="K727" s="1">
        <f>VALUE(MID(punkt_szczepień__13[[#This Row],[PESEL]],10,1))</f>
        <v>1</v>
      </c>
      <c r="L727" s="11" t="str">
        <f>IF(MOD(punkt_szczepień__13[[#This Row],[liczba płeć]],2)=0,"K","M")</f>
        <v>M</v>
      </c>
      <c r="M727" s="1"/>
      <c r="N727" s="1"/>
    </row>
    <row r="728" spans="1:14" x14ac:dyDescent="0.25">
      <c r="A728" s="1" t="s">
        <v>734</v>
      </c>
      <c r="B728" s="1" t="s">
        <v>7</v>
      </c>
      <c r="C728" s="2">
        <v>0.61140046296296291</v>
      </c>
      <c r="D728">
        <v>1</v>
      </c>
      <c r="E728">
        <f>VALUE(RIGHT(LEFT(punkt_szczepień__13[[#This Row],[PESEL]],4),2))</f>
        <v>6</v>
      </c>
      <c r="F728" s="11">
        <f>MOD(punkt_szczepień__13[[#This Row],[liczba miesiac]],20)</f>
        <v>6</v>
      </c>
      <c r="G728" s="11">
        <f>VLOOKUP(punkt_szczepień__13[[#This Row],[liczba miesiac]]-punkt_szczepień__13[[#This Row],[miesiac]],$O$3:$P$7,2,0)+VALUE(LEFT(punkt_szczepień__13[[#This Row],[PESEL]],2))</f>
        <v>1926</v>
      </c>
      <c r="H728" s="11">
        <f>VALUE(RIGHT(LEFT(punkt_szczepień__13[[#This Row],[PESEL]],6),2))</f>
        <v>10</v>
      </c>
      <c r="I728" s="3">
        <f>DATE(punkt_szczepień__13[[#This Row],[rok]],punkt_szczepień__13[[#This Row],[miesiac]],punkt_szczepień__13[[#This Row],[dzień]])</f>
        <v>9658</v>
      </c>
      <c r="J728" s="1" t="str">
        <f>punkt_szczepień__13[[#This Row],[PESEL]]</f>
        <v>26061058275</v>
      </c>
      <c r="K728" s="1">
        <f>VALUE(MID(punkt_szczepień__13[[#This Row],[PESEL]],10,1))</f>
        <v>7</v>
      </c>
      <c r="L728" s="11" t="str">
        <f>IF(MOD(punkt_szczepień__13[[#This Row],[liczba płeć]],2)=0,"K","M")</f>
        <v>M</v>
      </c>
      <c r="M728" s="1"/>
      <c r="N728" s="1"/>
    </row>
    <row r="729" spans="1:14" x14ac:dyDescent="0.25">
      <c r="A729" s="1" t="s">
        <v>735</v>
      </c>
      <c r="B729" s="1" t="s">
        <v>5</v>
      </c>
      <c r="C729" s="2">
        <v>0.61197916666666663</v>
      </c>
      <c r="D729">
        <v>2</v>
      </c>
      <c r="E729">
        <f>VALUE(RIGHT(LEFT(punkt_szczepień__13[[#This Row],[PESEL]],4),2))</f>
        <v>3</v>
      </c>
      <c r="F729" s="11">
        <f>MOD(punkt_szczepień__13[[#This Row],[liczba miesiac]],20)</f>
        <v>3</v>
      </c>
      <c r="G729" s="11">
        <f>VLOOKUP(punkt_szczepień__13[[#This Row],[liczba miesiac]]-punkt_szczepień__13[[#This Row],[miesiac]],$O$3:$P$7,2,0)+VALUE(LEFT(punkt_szczepień__13[[#This Row],[PESEL]],2))</f>
        <v>1988</v>
      </c>
      <c r="H729" s="11">
        <f>VALUE(RIGHT(LEFT(punkt_szczepień__13[[#This Row],[PESEL]],6),2))</f>
        <v>11</v>
      </c>
      <c r="I729" s="3">
        <f>DATE(punkt_szczepień__13[[#This Row],[rok]],punkt_szczepień__13[[#This Row],[miesiac]],punkt_szczepień__13[[#This Row],[dzień]])</f>
        <v>32213</v>
      </c>
      <c r="J729" s="1" t="str">
        <f>punkt_szczepień__13[[#This Row],[PESEL]]</f>
        <v>88031152516</v>
      </c>
      <c r="K729" s="1">
        <f>VALUE(MID(punkt_szczepień__13[[#This Row],[PESEL]],10,1))</f>
        <v>1</v>
      </c>
      <c r="L729" s="11" t="str">
        <f>IF(MOD(punkt_szczepień__13[[#This Row],[liczba płeć]],2)=0,"K","M")</f>
        <v>M</v>
      </c>
      <c r="M729" s="1"/>
      <c r="N729" s="1"/>
    </row>
    <row r="730" spans="1:14" x14ac:dyDescent="0.25">
      <c r="A730" s="1" t="s">
        <v>736</v>
      </c>
      <c r="B730" s="1" t="s">
        <v>27</v>
      </c>
      <c r="C730" s="2">
        <v>0.61255787037037035</v>
      </c>
      <c r="D730">
        <v>2</v>
      </c>
      <c r="E730">
        <f>VALUE(RIGHT(LEFT(punkt_szczepień__13[[#This Row],[PESEL]],4),2))</f>
        <v>3</v>
      </c>
      <c r="F730" s="11">
        <f>MOD(punkt_szczepień__13[[#This Row],[liczba miesiac]],20)</f>
        <v>3</v>
      </c>
      <c r="G730" s="11">
        <f>VLOOKUP(punkt_szczepień__13[[#This Row],[liczba miesiac]]-punkt_szczepień__13[[#This Row],[miesiac]],$O$3:$P$7,2,0)+VALUE(LEFT(punkt_szczepień__13[[#This Row],[PESEL]],2))</f>
        <v>1926</v>
      </c>
      <c r="H730" s="11">
        <f>VALUE(RIGHT(LEFT(punkt_szczepień__13[[#This Row],[PESEL]],6),2))</f>
        <v>7</v>
      </c>
      <c r="I730" s="3">
        <f>DATE(punkt_szczepień__13[[#This Row],[rok]],punkt_szczepień__13[[#This Row],[miesiac]],punkt_szczepień__13[[#This Row],[dzień]])</f>
        <v>9563</v>
      </c>
      <c r="J730" s="1" t="str">
        <f>punkt_szczepień__13[[#This Row],[PESEL]]</f>
        <v>26030776337</v>
      </c>
      <c r="K730" s="1">
        <f>VALUE(MID(punkt_szczepień__13[[#This Row],[PESEL]],10,1))</f>
        <v>3</v>
      </c>
      <c r="L730" s="11" t="str">
        <f>IF(MOD(punkt_szczepień__13[[#This Row],[liczba płeć]],2)=0,"K","M")</f>
        <v>M</v>
      </c>
      <c r="M730" s="1"/>
      <c r="N730" s="1"/>
    </row>
    <row r="731" spans="1:14" x14ac:dyDescent="0.25">
      <c r="A731" s="1" t="s">
        <v>737</v>
      </c>
      <c r="B731" s="1" t="s">
        <v>27</v>
      </c>
      <c r="C731" s="2">
        <v>0.61313657407407407</v>
      </c>
      <c r="D731">
        <v>2</v>
      </c>
      <c r="E731">
        <f>VALUE(RIGHT(LEFT(punkt_szczepień__13[[#This Row],[PESEL]],4),2))</f>
        <v>31</v>
      </c>
      <c r="F731" s="11">
        <f>MOD(punkt_szczepień__13[[#This Row],[liczba miesiac]],20)</f>
        <v>11</v>
      </c>
      <c r="G731" s="11">
        <f>VLOOKUP(punkt_szczepień__13[[#This Row],[liczba miesiac]]-punkt_szczepień__13[[#This Row],[miesiac]],$O$3:$P$7,2,0)+VALUE(LEFT(punkt_szczepień__13[[#This Row],[PESEL]],2))</f>
        <v>2006</v>
      </c>
      <c r="H731" s="11">
        <f>VALUE(RIGHT(LEFT(punkt_szczepień__13[[#This Row],[PESEL]],6),2))</f>
        <v>9</v>
      </c>
      <c r="I731" s="3">
        <f>DATE(punkt_szczepień__13[[#This Row],[rok]],punkt_szczepień__13[[#This Row],[miesiac]],punkt_szczepień__13[[#This Row],[dzień]])</f>
        <v>39030</v>
      </c>
      <c r="J731" s="1" t="str">
        <f>punkt_szczepień__13[[#This Row],[PESEL]]</f>
        <v>06310913124</v>
      </c>
      <c r="K731" s="1">
        <f>VALUE(MID(punkt_szczepień__13[[#This Row],[PESEL]],10,1))</f>
        <v>2</v>
      </c>
      <c r="L731" s="11" t="str">
        <f>IF(MOD(punkt_szczepień__13[[#This Row],[liczba płeć]],2)=0,"K","M")</f>
        <v>K</v>
      </c>
      <c r="M731" s="1"/>
      <c r="N731" s="1"/>
    </row>
    <row r="732" spans="1:14" x14ac:dyDescent="0.25">
      <c r="A732" s="1" t="s">
        <v>738</v>
      </c>
      <c r="B732" s="1" t="s">
        <v>27</v>
      </c>
      <c r="C732" s="2">
        <v>0.61342592592592593</v>
      </c>
      <c r="D732">
        <v>1</v>
      </c>
      <c r="E732">
        <f>VALUE(RIGHT(LEFT(punkt_szczepień__13[[#This Row],[PESEL]],4),2))</f>
        <v>2</v>
      </c>
      <c r="F732" s="11">
        <f>MOD(punkt_szczepień__13[[#This Row],[liczba miesiac]],20)</f>
        <v>2</v>
      </c>
      <c r="G732" s="11">
        <f>VLOOKUP(punkt_szczepień__13[[#This Row],[liczba miesiac]]-punkt_szczepień__13[[#This Row],[miesiac]],$O$3:$P$7,2,0)+VALUE(LEFT(punkt_szczepień__13[[#This Row],[PESEL]],2))</f>
        <v>1927</v>
      </c>
      <c r="H732" s="11">
        <f>VALUE(RIGHT(LEFT(punkt_szczepień__13[[#This Row],[PESEL]],6),2))</f>
        <v>6</v>
      </c>
      <c r="I732" s="3">
        <f>DATE(punkt_szczepień__13[[#This Row],[rok]],punkt_szczepień__13[[#This Row],[miesiac]],punkt_szczepień__13[[#This Row],[dzień]])</f>
        <v>9899</v>
      </c>
      <c r="J732" s="1" t="str">
        <f>punkt_szczepień__13[[#This Row],[PESEL]]</f>
        <v>27020649316</v>
      </c>
      <c r="K732" s="1">
        <f>VALUE(MID(punkt_szczepień__13[[#This Row],[PESEL]],10,1))</f>
        <v>1</v>
      </c>
      <c r="L732" s="11" t="str">
        <f>IF(MOD(punkt_szczepień__13[[#This Row],[liczba płeć]],2)=0,"K","M")</f>
        <v>M</v>
      </c>
      <c r="M732" s="1"/>
      <c r="N732" s="1"/>
    </row>
    <row r="733" spans="1:14" x14ac:dyDescent="0.25">
      <c r="A733" s="1" t="s">
        <v>739</v>
      </c>
      <c r="B733" s="1" t="s">
        <v>7</v>
      </c>
      <c r="C733" s="2">
        <v>0.61371527777777779</v>
      </c>
      <c r="D733">
        <v>1</v>
      </c>
      <c r="E733">
        <f>VALUE(RIGHT(LEFT(punkt_szczepień__13[[#This Row],[PESEL]],4),2))</f>
        <v>3</v>
      </c>
      <c r="F733" s="11">
        <f>MOD(punkt_szczepień__13[[#This Row],[liczba miesiac]],20)</f>
        <v>3</v>
      </c>
      <c r="G733" s="11">
        <f>VLOOKUP(punkt_szczepień__13[[#This Row],[liczba miesiac]]-punkt_szczepień__13[[#This Row],[miesiac]],$O$3:$P$7,2,0)+VALUE(LEFT(punkt_szczepień__13[[#This Row],[PESEL]],2))</f>
        <v>1945</v>
      </c>
      <c r="H733" s="11">
        <f>VALUE(RIGHT(LEFT(punkt_szczepień__13[[#This Row],[PESEL]],6),2))</f>
        <v>14</v>
      </c>
      <c r="I733" s="3">
        <f>DATE(punkt_szczepień__13[[#This Row],[rok]],punkt_szczepień__13[[#This Row],[miesiac]],punkt_szczepień__13[[#This Row],[dzień]])</f>
        <v>16510</v>
      </c>
      <c r="J733" s="1" t="str">
        <f>punkt_szczepień__13[[#This Row],[PESEL]]</f>
        <v>45031494446</v>
      </c>
      <c r="K733" s="1">
        <f>VALUE(MID(punkt_szczepień__13[[#This Row],[PESEL]],10,1))</f>
        <v>4</v>
      </c>
      <c r="L733" s="11" t="str">
        <f>IF(MOD(punkt_szczepień__13[[#This Row],[liczba płeć]],2)=0,"K","M")</f>
        <v>K</v>
      </c>
      <c r="M733" s="1"/>
      <c r="N733" s="1"/>
    </row>
    <row r="734" spans="1:14" x14ac:dyDescent="0.25">
      <c r="A734" s="1" t="s">
        <v>740</v>
      </c>
      <c r="B734" s="1" t="s">
        <v>7</v>
      </c>
      <c r="C734" s="2">
        <v>0.61400462962962965</v>
      </c>
      <c r="D734">
        <v>1</v>
      </c>
      <c r="E734">
        <f>VALUE(RIGHT(LEFT(punkt_szczepień__13[[#This Row],[PESEL]],4),2))</f>
        <v>11</v>
      </c>
      <c r="F734" s="11">
        <f>MOD(punkt_szczepień__13[[#This Row],[liczba miesiac]],20)</f>
        <v>11</v>
      </c>
      <c r="G734" s="11">
        <f>VLOOKUP(punkt_szczepień__13[[#This Row],[liczba miesiac]]-punkt_szczepień__13[[#This Row],[miesiac]],$O$3:$P$7,2,0)+VALUE(LEFT(punkt_szczepień__13[[#This Row],[PESEL]],2))</f>
        <v>1976</v>
      </c>
      <c r="H734" s="11">
        <f>VALUE(RIGHT(LEFT(punkt_szczepień__13[[#This Row],[PESEL]],6),2))</f>
        <v>28</v>
      </c>
      <c r="I734" s="3">
        <f>DATE(punkt_szczepień__13[[#This Row],[rok]],punkt_szczepień__13[[#This Row],[miesiac]],punkt_szczepień__13[[#This Row],[dzień]])</f>
        <v>28092</v>
      </c>
      <c r="J734" s="1" t="str">
        <f>punkt_szczepień__13[[#This Row],[PESEL]]</f>
        <v>76112869819</v>
      </c>
      <c r="K734" s="1">
        <f>VALUE(MID(punkt_szczepień__13[[#This Row],[PESEL]],10,1))</f>
        <v>1</v>
      </c>
      <c r="L734" s="11" t="str">
        <f>IF(MOD(punkt_szczepień__13[[#This Row],[liczba płeć]],2)=0,"K","M")</f>
        <v>M</v>
      </c>
      <c r="M734" s="1"/>
      <c r="N734" s="1"/>
    </row>
    <row r="735" spans="1:14" x14ac:dyDescent="0.25">
      <c r="A735" s="1" t="s">
        <v>741</v>
      </c>
      <c r="B735" s="1" t="s">
        <v>9</v>
      </c>
      <c r="C735" s="2">
        <v>0.61429398148148151</v>
      </c>
      <c r="D735">
        <v>1</v>
      </c>
      <c r="E735">
        <f>VALUE(RIGHT(LEFT(punkt_szczepień__13[[#This Row],[PESEL]],4),2))</f>
        <v>8</v>
      </c>
      <c r="F735" s="11">
        <f>MOD(punkt_szczepień__13[[#This Row],[liczba miesiac]],20)</f>
        <v>8</v>
      </c>
      <c r="G735" s="11">
        <f>VLOOKUP(punkt_szczepień__13[[#This Row],[liczba miesiac]]-punkt_szczepień__13[[#This Row],[miesiac]],$O$3:$P$7,2,0)+VALUE(LEFT(punkt_szczepień__13[[#This Row],[PESEL]],2))</f>
        <v>1960</v>
      </c>
      <c r="H735" s="11">
        <f>VALUE(RIGHT(LEFT(punkt_szczepień__13[[#This Row],[PESEL]],6),2))</f>
        <v>20</v>
      </c>
      <c r="I735" s="3">
        <f>DATE(punkt_szczepień__13[[#This Row],[rok]],punkt_szczepień__13[[#This Row],[miesiac]],punkt_szczepień__13[[#This Row],[dzień]])</f>
        <v>22148</v>
      </c>
      <c r="J735" s="1" t="str">
        <f>punkt_szczepień__13[[#This Row],[PESEL]]</f>
        <v>60082029883</v>
      </c>
      <c r="K735" s="1">
        <f>VALUE(MID(punkt_szczepień__13[[#This Row],[PESEL]],10,1))</f>
        <v>8</v>
      </c>
      <c r="L735" s="11" t="str">
        <f>IF(MOD(punkt_szczepień__13[[#This Row],[liczba płeć]],2)=0,"K","M")</f>
        <v>K</v>
      </c>
      <c r="M735" s="1"/>
      <c r="N735" s="1"/>
    </row>
    <row r="736" spans="1:14" x14ac:dyDescent="0.25">
      <c r="A736" s="1" t="s">
        <v>742</v>
      </c>
      <c r="B736" s="1" t="s">
        <v>9</v>
      </c>
      <c r="C736" s="2">
        <v>0.61487268518518523</v>
      </c>
      <c r="D736">
        <v>2</v>
      </c>
      <c r="E736">
        <f>VALUE(RIGHT(LEFT(punkt_szczepień__13[[#This Row],[PESEL]],4),2))</f>
        <v>6</v>
      </c>
      <c r="F736" s="11">
        <f>MOD(punkt_szczepień__13[[#This Row],[liczba miesiac]],20)</f>
        <v>6</v>
      </c>
      <c r="G736" s="11">
        <f>VLOOKUP(punkt_szczepień__13[[#This Row],[liczba miesiac]]-punkt_szczepień__13[[#This Row],[miesiac]],$O$3:$P$7,2,0)+VALUE(LEFT(punkt_szczepień__13[[#This Row],[PESEL]],2))</f>
        <v>1951</v>
      </c>
      <c r="H736" s="11">
        <f>VALUE(RIGHT(LEFT(punkt_szczepień__13[[#This Row],[PESEL]],6),2))</f>
        <v>24</v>
      </c>
      <c r="I736" s="3">
        <f>DATE(punkt_szczepień__13[[#This Row],[rok]],punkt_szczepień__13[[#This Row],[miesiac]],punkt_szczepień__13[[#This Row],[dzień]])</f>
        <v>18803</v>
      </c>
      <c r="J736" s="1" t="str">
        <f>punkt_szczepień__13[[#This Row],[PESEL]]</f>
        <v>51062491811</v>
      </c>
      <c r="K736" s="1">
        <f>VALUE(MID(punkt_szczepień__13[[#This Row],[PESEL]],10,1))</f>
        <v>1</v>
      </c>
      <c r="L736" s="11" t="str">
        <f>IF(MOD(punkt_szczepień__13[[#This Row],[liczba płeć]],2)=0,"K","M")</f>
        <v>M</v>
      </c>
      <c r="M736" s="1"/>
      <c r="N736" s="1"/>
    </row>
    <row r="737" spans="1:14" x14ac:dyDescent="0.25">
      <c r="A737" s="1" t="s">
        <v>743</v>
      </c>
      <c r="B737" s="1" t="s">
        <v>27</v>
      </c>
      <c r="C737" s="2">
        <v>0.61545138888888884</v>
      </c>
      <c r="D737">
        <v>2</v>
      </c>
      <c r="E737">
        <f>VALUE(RIGHT(LEFT(punkt_szczepień__13[[#This Row],[PESEL]],4),2))</f>
        <v>11</v>
      </c>
      <c r="F737" s="11">
        <f>MOD(punkt_szczepień__13[[#This Row],[liczba miesiac]],20)</f>
        <v>11</v>
      </c>
      <c r="G737" s="11">
        <f>VLOOKUP(punkt_szczepień__13[[#This Row],[liczba miesiac]]-punkt_szczepień__13[[#This Row],[miesiac]],$O$3:$P$7,2,0)+VALUE(LEFT(punkt_szczepień__13[[#This Row],[PESEL]],2))</f>
        <v>1940</v>
      </c>
      <c r="H737" s="11">
        <f>VALUE(RIGHT(LEFT(punkt_szczepień__13[[#This Row],[PESEL]],6),2))</f>
        <v>14</v>
      </c>
      <c r="I737" s="3">
        <f>DATE(punkt_szczepień__13[[#This Row],[rok]],punkt_szczepień__13[[#This Row],[miesiac]],punkt_szczepień__13[[#This Row],[dzień]])</f>
        <v>14929</v>
      </c>
      <c r="J737" s="1" t="str">
        <f>punkt_szczepień__13[[#This Row],[PESEL]]</f>
        <v>40111493892</v>
      </c>
      <c r="K737" s="1">
        <f>VALUE(MID(punkt_szczepień__13[[#This Row],[PESEL]],10,1))</f>
        <v>9</v>
      </c>
      <c r="L737" s="11" t="str">
        <f>IF(MOD(punkt_szczepień__13[[#This Row],[liczba płeć]],2)=0,"K","M")</f>
        <v>M</v>
      </c>
      <c r="M737" s="1"/>
      <c r="N737" s="1"/>
    </row>
    <row r="738" spans="1:14" x14ac:dyDescent="0.25">
      <c r="A738" s="1" t="s">
        <v>744</v>
      </c>
      <c r="B738" s="1" t="s">
        <v>7</v>
      </c>
      <c r="C738" s="2">
        <v>0.6157407407407407</v>
      </c>
      <c r="D738">
        <v>1</v>
      </c>
      <c r="E738">
        <f>VALUE(RIGHT(LEFT(punkt_szczepień__13[[#This Row],[PESEL]],4),2))</f>
        <v>12</v>
      </c>
      <c r="F738" s="11">
        <f>MOD(punkt_szczepień__13[[#This Row],[liczba miesiac]],20)</f>
        <v>12</v>
      </c>
      <c r="G738" s="11">
        <f>VLOOKUP(punkt_szczepień__13[[#This Row],[liczba miesiac]]-punkt_szczepień__13[[#This Row],[miesiac]],$O$3:$P$7,2,0)+VALUE(LEFT(punkt_szczepień__13[[#This Row],[PESEL]],2))</f>
        <v>1999</v>
      </c>
      <c r="H738" s="11">
        <f>VALUE(RIGHT(LEFT(punkt_szczepień__13[[#This Row],[PESEL]],6),2))</f>
        <v>20</v>
      </c>
      <c r="I738" s="3">
        <f>DATE(punkt_szczepień__13[[#This Row],[rok]],punkt_szczepień__13[[#This Row],[miesiac]],punkt_szczepień__13[[#This Row],[dzień]])</f>
        <v>36514</v>
      </c>
      <c r="J738" s="1" t="str">
        <f>punkt_szczepień__13[[#This Row],[PESEL]]</f>
        <v>99122046784</v>
      </c>
      <c r="K738" s="1">
        <f>VALUE(MID(punkt_szczepień__13[[#This Row],[PESEL]],10,1))</f>
        <v>8</v>
      </c>
      <c r="L738" s="11" t="str">
        <f>IF(MOD(punkt_szczepień__13[[#This Row],[liczba płeć]],2)=0,"K","M")</f>
        <v>K</v>
      </c>
      <c r="M738" s="1"/>
      <c r="N738" s="1"/>
    </row>
    <row r="739" spans="1:14" x14ac:dyDescent="0.25">
      <c r="A739" s="1" t="s">
        <v>745</v>
      </c>
      <c r="B739" s="1" t="s">
        <v>7</v>
      </c>
      <c r="C739" s="2">
        <v>0.61603009259259256</v>
      </c>
      <c r="D739">
        <v>1</v>
      </c>
      <c r="E739">
        <f>VALUE(RIGHT(LEFT(punkt_szczepień__13[[#This Row],[PESEL]],4),2))</f>
        <v>2</v>
      </c>
      <c r="F739" s="11">
        <f>MOD(punkt_szczepień__13[[#This Row],[liczba miesiac]],20)</f>
        <v>2</v>
      </c>
      <c r="G739" s="11">
        <f>VLOOKUP(punkt_szczepień__13[[#This Row],[liczba miesiac]]-punkt_szczepień__13[[#This Row],[miesiac]],$O$3:$P$7,2,0)+VALUE(LEFT(punkt_szczepień__13[[#This Row],[PESEL]],2))</f>
        <v>1933</v>
      </c>
      <c r="H739" s="11">
        <f>VALUE(RIGHT(LEFT(punkt_szczepień__13[[#This Row],[PESEL]],6),2))</f>
        <v>27</v>
      </c>
      <c r="I739" s="3">
        <f>DATE(punkt_szczepień__13[[#This Row],[rok]],punkt_szczepień__13[[#This Row],[miesiac]],punkt_szczepień__13[[#This Row],[dzień]])</f>
        <v>12112</v>
      </c>
      <c r="J739" s="1" t="str">
        <f>punkt_szczepień__13[[#This Row],[PESEL]]</f>
        <v>33022763466</v>
      </c>
      <c r="K739" s="1">
        <f>VALUE(MID(punkt_szczepień__13[[#This Row],[PESEL]],10,1))</f>
        <v>6</v>
      </c>
      <c r="L739" s="11" t="str">
        <f>IF(MOD(punkt_szczepień__13[[#This Row],[liczba płeć]],2)=0,"K","M")</f>
        <v>K</v>
      </c>
      <c r="M739" s="1"/>
      <c r="N739" s="1"/>
    </row>
    <row r="740" spans="1:14" x14ac:dyDescent="0.25">
      <c r="A740" s="1" t="s">
        <v>746</v>
      </c>
      <c r="B740" s="1" t="s">
        <v>5</v>
      </c>
      <c r="C740" s="2">
        <v>0.61631944444444442</v>
      </c>
      <c r="D740">
        <v>1</v>
      </c>
      <c r="E740">
        <f>VALUE(RIGHT(LEFT(punkt_szczepień__13[[#This Row],[PESEL]],4),2))</f>
        <v>6</v>
      </c>
      <c r="F740" s="11">
        <f>MOD(punkt_szczepień__13[[#This Row],[liczba miesiac]],20)</f>
        <v>6</v>
      </c>
      <c r="G740" s="11">
        <f>VLOOKUP(punkt_szczepień__13[[#This Row],[liczba miesiac]]-punkt_szczepień__13[[#This Row],[miesiac]],$O$3:$P$7,2,0)+VALUE(LEFT(punkt_szczepień__13[[#This Row],[PESEL]],2))</f>
        <v>1953</v>
      </c>
      <c r="H740" s="11">
        <f>VALUE(RIGHT(LEFT(punkt_szczepień__13[[#This Row],[PESEL]],6),2))</f>
        <v>2</v>
      </c>
      <c r="I740" s="3">
        <f>DATE(punkt_szczepień__13[[#This Row],[rok]],punkt_szczepień__13[[#This Row],[miesiac]],punkt_szczepień__13[[#This Row],[dzień]])</f>
        <v>19512</v>
      </c>
      <c r="J740" s="1" t="str">
        <f>punkt_szczepień__13[[#This Row],[PESEL]]</f>
        <v>53060254227</v>
      </c>
      <c r="K740" s="1">
        <f>VALUE(MID(punkt_szczepień__13[[#This Row],[PESEL]],10,1))</f>
        <v>2</v>
      </c>
      <c r="L740" s="11" t="str">
        <f>IF(MOD(punkt_szczepień__13[[#This Row],[liczba płeć]],2)=0,"K","M")</f>
        <v>K</v>
      </c>
      <c r="M740" s="1"/>
      <c r="N740" s="1"/>
    </row>
    <row r="741" spans="1:14" x14ac:dyDescent="0.25">
      <c r="A741" s="1" t="s">
        <v>747</v>
      </c>
      <c r="B741" s="1" t="s">
        <v>5</v>
      </c>
      <c r="C741" s="2">
        <v>0.61660879629629628</v>
      </c>
      <c r="D741">
        <v>1</v>
      </c>
      <c r="E741">
        <f>VALUE(RIGHT(LEFT(punkt_szczepień__13[[#This Row],[PESEL]],4),2))</f>
        <v>23</v>
      </c>
      <c r="F741" s="11">
        <f>MOD(punkt_szczepień__13[[#This Row],[liczba miesiac]],20)</f>
        <v>3</v>
      </c>
      <c r="G741" s="11">
        <f>VLOOKUP(punkt_szczepień__13[[#This Row],[liczba miesiac]]-punkt_szczepień__13[[#This Row],[miesiac]],$O$3:$P$7,2,0)+VALUE(LEFT(punkt_szczepień__13[[#This Row],[PESEL]],2))</f>
        <v>2001</v>
      </c>
      <c r="H741" s="11">
        <f>VALUE(RIGHT(LEFT(punkt_szczepień__13[[#This Row],[PESEL]],6),2))</f>
        <v>15</v>
      </c>
      <c r="I741" s="3">
        <f>DATE(punkt_szczepień__13[[#This Row],[rok]],punkt_szczepień__13[[#This Row],[miesiac]],punkt_szczepień__13[[#This Row],[dzień]])</f>
        <v>36965</v>
      </c>
      <c r="J741" s="1" t="str">
        <f>punkt_szczepień__13[[#This Row],[PESEL]]</f>
        <v>01231531925</v>
      </c>
      <c r="K741" s="1">
        <f>VALUE(MID(punkt_szczepień__13[[#This Row],[PESEL]],10,1))</f>
        <v>2</v>
      </c>
      <c r="L741" s="11" t="str">
        <f>IF(MOD(punkt_szczepień__13[[#This Row],[liczba płeć]],2)=0,"K","M")</f>
        <v>K</v>
      </c>
      <c r="M741" s="1"/>
      <c r="N741" s="1"/>
    </row>
    <row r="742" spans="1:14" x14ac:dyDescent="0.25">
      <c r="A742" s="1" t="s">
        <v>748</v>
      </c>
      <c r="B742" s="1" t="s">
        <v>9</v>
      </c>
      <c r="C742" s="2">
        <v>0.61689814814814814</v>
      </c>
      <c r="D742">
        <v>1</v>
      </c>
      <c r="E742">
        <f>VALUE(RIGHT(LEFT(punkt_szczepień__13[[#This Row],[PESEL]],4),2))</f>
        <v>9</v>
      </c>
      <c r="F742" s="11">
        <f>MOD(punkt_szczepień__13[[#This Row],[liczba miesiac]],20)</f>
        <v>9</v>
      </c>
      <c r="G742" s="11">
        <f>VLOOKUP(punkt_szczepień__13[[#This Row],[liczba miesiac]]-punkt_szczepień__13[[#This Row],[miesiac]],$O$3:$P$7,2,0)+VALUE(LEFT(punkt_szczepień__13[[#This Row],[PESEL]],2))</f>
        <v>1940</v>
      </c>
      <c r="H742" s="11">
        <f>VALUE(RIGHT(LEFT(punkt_szczepień__13[[#This Row],[PESEL]],6),2))</f>
        <v>30</v>
      </c>
      <c r="I742" s="3">
        <f>DATE(punkt_szczepień__13[[#This Row],[rok]],punkt_szczepień__13[[#This Row],[miesiac]],punkt_szczepień__13[[#This Row],[dzień]])</f>
        <v>14884</v>
      </c>
      <c r="J742" s="1" t="str">
        <f>punkt_szczepień__13[[#This Row],[PESEL]]</f>
        <v>40093026165</v>
      </c>
      <c r="K742" s="1">
        <f>VALUE(MID(punkt_szczepień__13[[#This Row],[PESEL]],10,1))</f>
        <v>6</v>
      </c>
      <c r="L742" s="11" t="str">
        <f>IF(MOD(punkt_szczepień__13[[#This Row],[liczba płeć]],2)=0,"K","M")</f>
        <v>K</v>
      </c>
      <c r="M742" s="1"/>
      <c r="N742" s="1"/>
    </row>
    <row r="743" spans="1:14" x14ac:dyDescent="0.25">
      <c r="A743" s="1" t="s">
        <v>749</v>
      </c>
      <c r="B743" s="1" t="s">
        <v>5</v>
      </c>
      <c r="C743" s="2">
        <v>0.61747685185185186</v>
      </c>
      <c r="D743">
        <v>2</v>
      </c>
      <c r="E743">
        <f>VALUE(RIGHT(LEFT(punkt_szczepień__13[[#This Row],[PESEL]],4),2))</f>
        <v>4</v>
      </c>
      <c r="F743" s="11">
        <f>MOD(punkt_szczepień__13[[#This Row],[liczba miesiac]],20)</f>
        <v>4</v>
      </c>
      <c r="G743" s="11">
        <f>VLOOKUP(punkt_szczepień__13[[#This Row],[liczba miesiac]]-punkt_szczepień__13[[#This Row],[miesiac]],$O$3:$P$7,2,0)+VALUE(LEFT(punkt_szczepień__13[[#This Row],[PESEL]],2))</f>
        <v>1973</v>
      </c>
      <c r="H743" s="11">
        <f>VALUE(RIGHT(LEFT(punkt_szczepień__13[[#This Row],[PESEL]],6),2))</f>
        <v>23</v>
      </c>
      <c r="I743" s="3">
        <f>DATE(punkt_szczepień__13[[#This Row],[rok]],punkt_szczepień__13[[#This Row],[miesiac]],punkt_szczepień__13[[#This Row],[dzień]])</f>
        <v>26777</v>
      </c>
      <c r="J743" s="1" t="str">
        <f>punkt_szczepień__13[[#This Row],[PESEL]]</f>
        <v>73042365376</v>
      </c>
      <c r="K743" s="1">
        <f>VALUE(MID(punkt_szczepień__13[[#This Row],[PESEL]],10,1))</f>
        <v>7</v>
      </c>
      <c r="L743" s="11" t="str">
        <f>IF(MOD(punkt_szczepień__13[[#This Row],[liczba płeć]],2)=0,"K","M")</f>
        <v>M</v>
      </c>
      <c r="M743" s="1"/>
      <c r="N743" s="1"/>
    </row>
    <row r="744" spans="1:14" x14ac:dyDescent="0.25">
      <c r="A744" s="1" t="s">
        <v>750</v>
      </c>
      <c r="B744" s="1" t="s">
        <v>27</v>
      </c>
      <c r="C744" s="2">
        <v>0.61805555555555558</v>
      </c>
      <c r="D744">
        <v>2</v>
      </c>
      <c r="E744">
        <f>VALUE(RIGHT(LEFT(punkt_szczepień__13[[#This Row],[PESEL]],4),2))</f>
        <v>8</v>
      </c>
      <c r="F744" s="11">
        <f>MOD(punkt_szczepień__13[[#This Row],[liczba miesiac]],20)</f>
        <v>8</v>
      </c>
      <c r="G744" s="11">
        <f>VLOOKUP(punkt_szczepień__13[[#This Row],[liczba miesiac]]-punkt_szczepień__13[[#This Row],[miesiac]],$O$3:$P$7,2,0)+VALUE(LEFT(punkt_szczepień__13[[#This Row],[PESEL]],2))</f>
        <v>1963</v>
      </c>
      <c r="H744" s="11">
        <f>VALUE(RIGHT(LEFT(punkt_szczepień__13[[#This Row],[PESEL]],6),2))</f>
        <v>21</v>
      </c>
      <c r="I744" s="3">
        <f>DATE(punkt_szczepień__13[[#This Row],[rok]],punkt_szczepień__13[[#This Row],[miesiac]],punkt_szczepień__13[[#This Row],[dzień]])</f>
        <v>23244</v>
      </c>
      <c r="J744" s="1" t="str">
        <f>punkt_szczepień__13[[#This Row],[PESEL]]</f>
        <v>63082122785</v>
      </c>
      <c r="K744" s="1">
        <f>VALUE(MID(punkt_szczepień__13[[#This Row],[PESEL]],10,1))</f>
        <v>8</v>
      </c>
      <c r="L744" s="11" t="str">
        <f>IF(MOD(punkt_szczepień__13[[#This Row],[liczba płeć]],2)=0,"K","M")</f>
        <v>K</v>
      </c>
      <c r="M744" s="1"/>
      <c r="N744" s="1"/>
    </row>
    <row r="745" spans="1:14" x14ac:dyDescent="0.25">
      <c r="A745" s="1" t="s">
        <v>751</v>
      </c>
      <c r="B745" s="1" t="s">
        <v>7</v>
      </c>
      <c r="C745" s="2">
        <v>0.61834490740740744</v>
      </c>
      <c r="D745">
        <v>1</v>
      </c>
      <c r="E745">
        <f>VALUE(RIGHT(LEFT(punkt_szczepień__13[[#This Row],[PESEL]],4),2))</f>
        <v>7</v>
      </c>
      <c r="F745" s="11">
        <f>MOD(punkt_szczepień__13[[#This Row],[liczba miesiac]],20)</f>
        <v>7</v>
      </c>
      <c r="G745" s="11">
        <f>VLOOKUP(punkt_szczepień__13[[#This Row],[liczba miesiac]]-punkt_szczepień__13[[#This Row],[miesiac]],$O$3:$P$7,2,0)+VALUE(LEFT(punkt_szczepień__13[[#This Row],[PESEL]],2))</f>
        <v>1950</v>
      </c>
      <c r="H745" s="11">
        <f>VALUE(RIGHT(LEFT(punkt_szczepień__13[[#This Row],[PESEL]],6),2))</f>
        <v>1</v>
      </c>
      <c r="I745" s="3">
        <f>DATE(punkt_szczepień__13[[#This Row],[rok]],punkt_szczepień__13[[#This Row],[miesiac]],punkt_szczepień__13[[#This Row],[dzień]])</f>
        <v>18445</v>
      </c>
      <c r="J745" s="1" t="str">
        <f>punkt_szczepień__13[[#This Row],[PESEL]]</f>
        <v>50070111638</v>
      </c>
      <c r="K745" s="1">
        <f>VALUE(MID(punkt_szczepień__13[[#This Row],[PESEL]],10,1))</f>
        <v>3</v>
      </c>
      <c r="L745" s="11" t="str">
        <f>IF(MOD(punkt_szczepień__13[[#This Row],[liczba płeć]],2)=0,"K","M")</f>
        <v>M</v>
      </c>
      <c r="M745" s="1"/>
      <c r="N745" s="1"/>
    </row>
    <row r="746" spans="1:14" x14ac:dyDescent="0.25">
      <c r="A746" s="1" t="s">
        <v>752</v>
      </c>
      <c r="B746" s="1" t="s">
        <v>9</v>
      </c>
      <c r="C746" s="2">
        <v>0.61892361111111116</v>
      </c>
      <c r="D746">
        <v>2</v>
      </c>
      <c r="E746">
        <f>VALUE(RIGHT(LEFT(punkt_szczepień__13[[#This Row],[PESEL]],4),2))</f>
        <v>4</v>
      </c>
      <c r="F746" s="11">
        <f>MOD(punkt_szczepień__13[[#This Row],[liczba miesiac]],20)</f>
        <v>4</v>
      </c>
      <c r="G746" s="11">
        <f>VLOOKUP(punkt_szczepień__13[[#This Row],[liczba miesiac]]-punkt_szczepień__13[[#This Row],[miesiac]],$O$3:$P$7,2,0)+VALUE(LEFT(punkt_szczepień__13[[#This Row],[PESEL]],2))</f>
        <v>1922</v>
      </c>
      <c r="H746" s="11">
        <f>VALUE(RIGHT(LEFT(punkt_szczepień__13[[#This Row],[PESEL]],6),2))</f>
        <v>14</v>
      </c>
      <c r="I746" s="3">
        <f>DATE(punkt_szczepień__13[[#This Row],[rok]],punkt_szczepień__13[[#This Row],[miesiac]],punkt_szczepień__13[[#This Row],[dzień]])</f>
        <v>8140</v>
      </c>
      <c r="J746" s="1" t="str">
        <f>punkt_szczepień__13[[#This Row],[PESEL]]</f>
        <v>22041442366</v>
      </c>
      <c r="K746" s="1">
        <f>VALUE(MID(punkt_szczepień__13[[#This Row],[PESEL]],10,1))</f>
        <v>6</v>
      </c>
      <c r="L746" s="11" t="str">
        <f>IF(MOD(punkt_szczepień__13[[#This Row],[liczba płeć]],2)=0,"K","M")</f>
        <v>K</v>
      </c>
      <c r="M746" s="1"/>
      <c r="N746" s="1"/>
    </row>
    <row r="747" spans="1:14" x14ac:dyDescent="0.25">
      <c r="A747" s="1" t="s">
        <v>753</v>
      </c>
      <c r="B747" s="1" t="s">
        <v>7</v>
      </c>
      <c r="C747" s="2">
        <v>0.61921296296296291</v>
      </c>
      <c r="D747">
        <v>1</v>
      </c>
      <c r="E747">
        <f>VALUE(RIGHT(LEFT(punkt_szczepień__13[[#This Row],[PESEL]],4),2))</f>
        <v>12</v>
      </c>
      <c r="F747" s="11">
        <f>MOD(punkt_szczepień__13[[#This Row],[liczba miesiac]],20)</f>
        <v>12</v>
      </c>
      <c r="G747" s="11">
        <f>VLOOKUP(punkt_szczepień__13[[#This Row],[liczba miesiac]]-punkt_szczepień__13[[#This Row],[miesiac]],$O$3:$P$7,2,0)+VALUE(LEFT(punkt_szczepień__13[[#This Row],[PESEL]],2))</f>
        <v>1935</v>
      </c>
      <c r="H747" s="11">
        <f>VALUE(RIGHT(LEFT(punkt_szczepień__13[[#This Row],[PESEL]],6),2))</f>
        <v>26</v>
      </c>
      <c r="I747" s="3">
        <f>DATE(punkt_szczepień__13[[#This Row],[rok]],punkt_szczepień__13[[#This Row],[miesiac]],punkt_szczepień__13[[#This Row],[dzień]])</f>
        <v>13144</v>
      </c>
      <c r="J747" s="1" t="str">
        <f>punkt_szczepień__13[[#This Row],[PESEL]]</f>
        <v>35122696673</v>
      </c>
      <c r="K747" s="1">
        <f>VALUE(MID(punkt_szczepień__13[[#This Row],[PESEL]],10,1))</f>
        <v>7</v>
      </c>
      <c r="L747" s="11" t="str">
        <f>IF(MOD(punkt_szczepień__13[[#This Row],[liczba płeć]],2)=0,"K","M")</f>
        <v>M</v>
      </c>
      <c r="M747" s="1"/>
      <c r="N747" s="1"/>
    </row>
    <row r="748" spans="1:14" x14ac:dyDescent="0.25">
      <c r="A748" s="1" t="s">
        <v>754</v>
      </c>
      <c r="B748" s="1" t="s">
        <v>7</v>
      </c>
      <c r="C748" s="2">
        <v>0.61950231481481477</v>
      </c>
      <c r="D748">
        <v>1</v>
      </c>
      <c r="E748">
        <f>VALUE(RIGHT(LEFT(punkt_szczepień__13[[#This Row],[PESEL]],4),2))</f>
        <v>8</v>
      </c>
      <c r="F748" s="11">
        <f>MOD(punkt_szczepień__13[[#This Row],[liczba miesiac]],20)</f>
        <v>8</v>
      </c>
      <c r="G748" s="11">
        <f>VLOOKUP(punkt_szczepień__13[[#This Row],[liczba miesiac]]-punkt_szczepień__13[[#This Row],[miesiac]],$O$3:$P$7,2,0)+VALUE(LEFT(punkt_szczepień__13[[#This Row],[PESEL]],2))</f>
        <v>1968</v>
      </c>
      <c r="H748" s="11">
        <f>VALUE(RIGHT(LEFT(punkt_szczepień__13[[#This Row],[PESEL]],6),2))</f>
        <v>5</v>
      </c>
      <c r="I748" s="3">
        <f>DATE(punkt_szczepień__13[[#This Row],[rok]],punkt_szczepień__13[[#This Row],[miesiac]],punkt_szczepień__13[[#This Row],[dzień]])</f>
        <v>25055</v>
      </c>
      <c r="J748" s="1" t="str">
        <f>punkt_szczepień__13[[#This Row],[PESEL]]</f>
        <v>68080517485</v>
      </c>
      <c r="K748" s="1">
        <f>VALUE(MID(punkt_szczepień__13[[#This Row],[PESEL]],10,1))</f>
        <v>8</v>
      </c>
      <c r="L748" s="11" t="str">
        <f>IF(MOD(punkt_szczepień__13[[#This Row],[liczba płeć]],2)=0,"K","M")</f>
        <v>K</v>
      </c>
      <c r="M748" s="1"/>
      <c r="N748" s="1"/>
    </row>
    <row r="749" spans="1:14" x14ac:dyDescent="0.25">
      <c r="A749" s="1" t="s">
        <v>755</v>
      </c>
      <c r="B749" s="1" t="s">
        <v>7</v>
      </c>
      <c r="C749" s="2">
        <v>0.61979166666666663</v>
      </c>
      <c r="D749">
        <v>1</v>
      </c>
      <c r="E749">
        <f>VALUE(RIGHT(LEFT(punkt_szczepień__13[[#This Row],[PESEL]],4),2))</f>
        <v>24</v>
      </c>
      <c r="F749" s="11">
        <f>MOD(punkt_szczepień__13[[#This Row],[liczba miesiac]],20)</f>
        <v>4</v>
      </c>
      <c r="G749" s="11">
        <f>VLOOKUP(punkt_szczepień__13[[#This Row],[liczba miesiac]]-punkt_szczepień__13[[#This Row],[miesiac]],$O$3:$P$7,2,0)+VALUE(LEFT(punkt_szczepień__13[[#This Row],[PESEL]],2))</f>
        <v>2000</v>
      </c>
      <c r="H749" s="11">
        <f>VALUE(RIGHT(LEFT(punkt_szczepień__13[[#This Row],[PESEL]],6),2))</f>
        <v>22</v>
      </c>
      <c r="I749" s="3">
        <f>DATE(punkt_szczepień__13[[#This Row],[rok]],punkt_szczepień__13[[#This Row],[miesiac]],punkt_szczepień__13[[#This Row],[dzień]])</f>
        <v>36638</v>
      </c>
      <c r="J749" s="1" t="str">
        <f>punkt_szczepień__13[[#This Row],[PESEL]]</f>
        <v>00242225256</v>
      </c>
      <c r="K749" s="1">
        <f>VALUE(MID(punkt_szczepień__13[[#This Row],[PESEL]],10,1))</f>
        <v>5</v>
      </c>
      <c r="L749" s="11" t="str">
        <f>IF(MOD(punkt_szczepień__13[[#This Row],[liczba płeć]],2)=0,"K","M")</f>
        <v>M</v>
      </c>
      <c r="M749" s="1"/>
      <c r="N749" s="1"/>
    </row>
    <row r="750" spans="1:14" x14ac:dyDescent="0.25">
      <c r="A750" s="1" t="s">
        <v>756</v>
      </c>
      <c r="B750" s="1" t="s">
        <v>7</v>
      </c>
      <c r="C750" s="2">
        <v>0.62008101851851849</v>
      </c>
      <c r="D750">
        <v>1</v>
      </c>
      <c r="E750">
        <f>VALUE(RIGHT(LEFT(punkt_szczepień__13[[#This Row],[PESEL]],4),2))</f>
        <v>6</v>
      </c>
      <c r="F750" s="11">
        <f>MOD(punkt_szczepień__13[[#This Row],[liczba miesiac]],20)</f>
        <v>6</v>
      </c>
      <c r="G750" s="11">
        <f>VLOOKUP(punkt_szczepień__13[[#This Row],[liczba miesiac]]-punkt_szczepień__13[[#This Row],[miesiac]],$O$3:$P$7,2,0)+VALUE(LEFT(punkt_szczepień__13[[#This Row],[PESEL]],2))</f>
        <v>1950</v>
      </c>
      <c r="H750" s="11">
        <f>VALUE(RIGHT(LEFT(punkt_szczepień__13[[#This Row],[PESEL]],6),2))</f>
        <v>13</v>
      </c>
      <c r="I750" s="3">
        <f>DATE(punkt_szczepień__13[[#This Row],[rok]],punkt_szczepień__13[[#This Row],[miesiac]],punkt_szczepień__13[[#This Row],[dzień]])</f>
        <v>18427</v>
      </c>
      <c r="J750" s="1" t="str">
        <f>punkt_szczepień__13[[#This Row],[PESEL]]</f>
        <v>50061356156</v>
      </c>
      <c r="K750" s="1">
        <f>VALUE(MID(punkt_szczepień__13[[#This Row],[PESEL]],10,1))</f>
        <v>5</v>
      </c>
      <c r="L750" s="11" t="str">
        <f>IF(MOD(punkt_szczepień__13[[#This Row],[liczba płeć]],2)=0,"K","M")</f>
        <v>M</v>
      </c>
      <c r="M750" s="1"/>
      <c r="N750" s="1"/>
    </row>
    <row r="751" spans="1:14" x14ac:dyDescent="0.25">
      <c r="A751" s="1" t="s">
        <v>757</v>
      </c>
      <c r="B751" s="1" t="s">
        <v>5</v>
      </c>
      <c r="C751" s="2">
        <v>0.62037037037037035</v>
      </c>
      <c r="D751">
        <v>1</v>
      </c>
      <c r="E751">
        <f>VALUE(RIGHT(LEFT(punkt_szczepień__13[[#This Row],[PESEL]],4),2))</f>
        <v>2</v>
      </c>
      <c r="F751" s="11">
        <f>MOD(punkt_szczepień__13[[#This Row],[liczba miesiac]],20)</f>
        <v>2</v>
      </c>
      <c r="G751" s="11">
        <f>VLOOKUP(punkt_szczepień__13[[#This Row],[liczba miesiac]]-punkt_szczepień__13[[#This Row],[miesiac]],$O$3:$P$7,2,0)+VALUE(LEFT(punkt_szczepień__13[[#This Row],[PESEL]],2))</f>
        <v>1991</v>
      </c>
      <c r="H751" s="11">
        <f>VALUE(RIGHT(LEFT(punkt_szczepień__13[[#This Row],[PESEL]],6),2))</f>
        <v>21</v>
      </c>
      <c r="I751" s="3">
        <f>DATE(punkt_szczepień__13[[#This Row],[rok]],punkt_szczepień__13[[#This Row],[miesiac]],punkt_szczepień__13[[#This Row],[dzień]])</f>
        <v>33290</v>
      </c>
      <c r="J751" s="1" t="str">
        <f>punkt_szczepień__13[[#This Row],[PESEL]]</f>
        <v>91022175957</v>
      </c>
      <c r="K751" s="1">
        <f>VALUE(MID(punkt_szczepień__13[[#This Row],[PESEL]],10,1))</f>
        <v>5</v>
      </c>
      <c r="L751" s="11" t="str">
        <f>IF(MOD(punkt_szczepień__13[[#This Row],[liczba płeć]],2)=0,"K","M")</f>
        <v>M</v>
      </c>
      <c r="M751" s="1"/>
      <c r="N751" s="1"/>
    </row>
    <row r="752" spans="1:14" x14ac:dyDescent="0.25">
      <c r="A752" s="1" t="s">
        <v>758</v>
      </c>
      <c r="B752" s="1" t="s">
        <v>5</v>
      </c>
      <c r="C752" s="2">
        <v>0.62065972222222221</v>
      </c>
      <c r="D752">
        <v>1</v>
      </c>
      <c r="E752">
        <f>VALUE(RIGHT(LEFT(punkt_szczepień__13[[#This Row],[PESEL]],4),2))</f>
        <v>10</v>
      </c>
      <c r="F752" s="11">
        <f>MOD(punkt_szczepień__13[[#This Row],[liczba miesiac]],20)</f>
        <v>10</v>
      </c>
      <c r="G752" s="11">
        <f>VLOOKUP(punkt_szczepień__13[[#This Row],[liczba miesiac]]-punkt_szczepień__13[[#This Row],[miesiac]],$O$3:$P$7,2,0)+VALUE(LEFT(punkt_szczepień__13[[#This Row],[PESEL]],2))</f>
        <v>1943</v>
      </c>
      <c r="H752" s="11">
        <f>VALUE(RIGHT(LEFT(punkt_szczepień__13[[#This Row],[PESEL]],6),2))</f>
        <v>2</v>
      </c>
      <c r="I752" s="3">
        <f>DATE(punkt_szczepień__13[[#This Row],[rok]],punkt_szczepień__13[[#This Row],[miesiac]],punkt_szczepień__13[[#This Row],[dzień]])</f>
        <v>15981</v>
      </c>
      <c r="J752" s="1" t="str">
        <f>punkt_szczepień__13[[#This Row],[PESEL]]</f>
        <v>43100281726</v>
      </c>
      <c r="K752" s="1">
        <f>VALUE(MID(punkt_szczepień__13[[#This Row],[PESEL]],10,1))</f>
        <v>2</v>
      </c>
      <c r="L752" s="11" t="str">
        <f>IF(MOD(punkt_szczepień__13[[#This Row],[liczba płeć]],2)=0,"K","M")</f>
        <v>K</v>
      </c>
      <c r="M752" s="1"/>
      <c r="N752" s="1"/>
    </row>
    <row r="753" spans="1:14" x14ac:dyDescent="0.25">
      <c r="A753" s="1" t="s">
        <v>759</v>
      </c>
      <c r="B753" s="1" t="s">
        <v>7</v>
      </c>
      <c r="C753" s="2">
        <v>0.62094907407407407</v>
      </c>
      <c r="D753">
        <v>1</v>
      </c>
      <c r="E753">
        <f>VALUE(RIGHT(LEFT(punkt_szczepień__13[[#This Row],[PESEL]],4),2))</f>
        <v>2</v>
      </c>
      <c r="F753" s="11">
        <f>MOD(punkt_szczepień__13[[#This Row],[liczba miesiac]],20)</f>
        <v>2</v>
      </c>
      <c r="G753" s="11">
        <f>VLOOKUP(punkt_szczepień__13[[#This Row],[liczba miesiac]]-punkt_szczepień__13[[#This Row],[miesiac]],$O$3:$P$7,2,0)+VALUE(LEFT(punkt_szczepień__13[[#This Row],[PESEL]],2))</f>
        <v>1966</v>
      </c>
      <c r="H753" s="11">
        <f>VALUE(RIGHT(LEFT(punkt_szczepień__13[[#This Row],[PESEL]],6),2))</f>
        <v>5</v>
      </c>
      <c r="I753" s="3">
        <f>DATE(punkt_szczepień__13[[#This Row],[rok]],punkt_szczepień__13[[#This Row],[miesiac]],punkt_szczepień__13[[#This Row],[dzień]])</f>
        <v>24143</v>
      </c>
      <c r="J753" s="1" t="str">
        <f>punkt_szczepień__13[[#This Row],[PESEL]]</f>
        <v>66020552185</v>
      </c>
      <c r="K753" s="1">
        <f>VALUE(MID(punkt_szczepień__13[[#This Row],[PESEL]],10,1))</f>
        <v>8</v>
      </c>
      <c r="L753" s="11" t="str">
        <f>IF(MOD(punkt_szczepień__13[[#This Row],[liczba płeć]],2)=0,"K","M")</f>
        <v>K</v>
      </c>
      <c r="M753" s="1"/>
      <c r="N753" s="1"/>
    </row>
    <row r="754" spans="1:14" x14ac:dyDescent="0.25">
      <c r="A754" s="1" t="s">
        <v>760</v>
      </c>
      <c r="B754" s="1" t="s">
        <v>7</v>
      </c>
      <c r="C754" s="2">
        <v>0.62123842592592593</v>
      </c>
      <c r="D754">
        <v>1</v>
      </c>
      <c r="E754">
        <f>VALUE(RIGHT(LEFT(punkt_szczepień__13[[#This Row],[PESEL]],4),2))</f>
        <v>6</v>
      </c>
      <c r="F754" s="11">
        <f>MOD(punkt_szczepień__13[[#This Row],[liczba miesiac]],20)</f>
        <v>6</v>
      </c>
      <c r="G754" s="11">
        <f>VLOOKUP(punkt_szczepień__13[[#This Row],[liczba miesiac]]-punkt_szczepień__13[[#This Row],[miesiac]],$O$3:$P$7,2,0)+VALUE(LEFT(punkt_szczepień__13[[#This Row],[PESEL]],2))</f>
        <v>1942</v>
      </c>
      <c r="H754" s="11">
        <f>VALUE(RIGHT(LEFT(punkt_szczepień__13[[#This Row],[PESEL]],6),2))</f>
        <v>29</v>
      </c>
      <c r="I754" s="3">
        <f>DATE(punkt_szczepień__13[[#This Row],[rok]],punkt_szczepień__13[[#This Row],[miesiac]],punkt_szczepień__13[[#This Row],[dzień]])</f>
        <v>15521</v>
      </c>
      <c r="J754" s="1" t="str">
        <f>punkt_szczepień__13[[#This Row],[PESEL]]</f>
        <v>42062978969</v>
      </c>
      <c r="K754" s="1">
        <f>VALUE(MID(punkt_szczepień__13[[#This Row],[PESEL]],10,1))</f>
        <v>6</v>
      </c>
      <c r="L754" s="11" t="str">
        <f>IF(MOD(punkt_szczepień__13[[#This Row],[liczba płeć]],2)=0,"K","M")</f>
        <v>K</v>
      </c>
      <c r="M754" s="1"/>
      <c r="N754" s="1"/>
    </row>
    <row r="755" spans="1:14" x14ac:dyDescent="0.25">
      <c r="A755" s="1" t="s">
        <v>761</v>
      </c>
      <c r="B755" s="1" t="s">
        <v>7</v>
      </c>
      <c r="C755" s="2">
        <v>0.62152777777777779</v>
      </c>
      <c r="D755">
        <v>1</v>
      </c>
      <c r="E755">
        <f>VALUE(RIGHT(LEFT(punkt_szczepień__13[[#This Row],[PESEL]],4),2))</f>
        <v>4</v>
      </c>
      <c r="F755" s="11">
        <f>MOD(punkt_szczepień__13[[#This Row],[liczba miesiac]],20)</f>
        <v>4</v>
      </c>
      <c r="G755" s="11">
        <f>VLOOKUP(punkt_szczepień__13[[#This Row],[liczba miesiac]]-punkt_szczepień__13[[#This Row],[miesiac]],$O$3:$P$7,2,0)+VALUE(LEFT(punkt_szczepień__13[[#This Row],[PESEL]],2))</f>
        <v>1954</v>
      </c>
      <c r="H755" s="11">
        <f>VALUE(RIGHT(LEFT(punkt_szczepień__13[[#This Row],[PESEL]],6),2))</f>
        <v>10</v>
      </c>
      <c r="I755" s="3">
        <f>DATE(punkt_szczepień__13[[#This Row],[rok]],punkt_szczepień__13[[#This Row],[miesiac]],punkt_szczepień__13[[#This Row],[dzień]])</f>
        <v>19824</v>
      </c>
      <c r="J755" s="1" t="str">
        <f>punkt_szczepień__13[[#This Row],[PESEL]]</f>
        <v>54041042376</v>
      </c>
      <c r="K755" s="1">
        <f>VALUE(MID(punkt_szczepień__13[[#This Row],[PESEL]],10,1))</f>
        <v>7</v>
      </c>
      <c r="L755" s="11" t="str">
        <f>IF(MOD(punkt_szczepień__13[[#This Row],[liczba płeć]],2)=0,"K","M")</f>
        <v>M</v>
      </c>
      <c r="M755" s="1"/>
      <c r="N755" s="1"/>
    </row>
    <row r="756" spans="1:14" x14ac:dyDescent="0.25">
      <c r="A756" s="1" t="s">
        <v>762</v>
      </c>
      <c r="B756" s="1" t="s">
        <v>7</v>
      </c>
      <c r="C756" s="2">
        <v>0.62181712962962965</v>
      </c>
      <c r="D756">
        <v>1</v>
      </c>
      <c r="E756">
        <f>VALUE(RIGHT(LEFT(punkt_szczepień__13[[#This Row],[PESEL]],4),2))</f>
        <v>1</v>
      </c>
      <c r="F756" s="11">
        <f>MOD(punkt_szczepień__13[[#This Row],[liczba miesiac]],20)</f>
        <v>1</v>
      </c>
      <c r="G756" s="11">
        <f>VLOOKUP(punkt_szczepień__13[[#This Row],[liczba miesiac]]-punkt_szczepień__13[[#This Row],[miesiac]],$O$3:$P$7,2,0)+VALUE(LEFT(punkt_szczepień__13[[#This Row],[PESEL]],2))</f>
        <v>1921</v>
      </c>
      <c r="H756" s="11">
        <f>VALUE(RIGHT(LEFT(punkt_szczepień__13[[#This Row],[PESEL]],6),2))</f>
        <v>31</v>
      </c>
      <c r="I756" s="3">
        <f>DATE(punkt_szczepień__13[[#This Row],[rok]],punkt_szczepień__13[[#This Row],[miesiac]],punkt_szczepień__13[[#This Row],[dzień]])</f>
        <v>7702</v>
      </c>
      <c r="J756" s="1" t="str">
        <f>punkt_szczepień__13[[#This Row],[PESEL]]</f>
        <v>21013119149</v>
      </c>
      <c r="K756" s="1">
        <f>VALUE(MID(punkt_szczepień__13[[#This Row],[PESEL]],10,1))</f>
        <v>4</v>
      </c>
      <c r="L756" s="11" t="str">
        <f>IF(MOD(punkt_szczepień__13[[#This Row],[liczba płeć]],2)=0,"K","M")</f>
        <v>K</v>
      </c>
      <c r="M756" s="1"/>
      <c r="N756" s="1"/>
    </row>
    <row r="757" spans="1:14" x14ac:dyDescent="0.25">
      <c r="A757" s="1" t="s">
        <v>763</v>
      </c>
      <c r="B757" s="1" t="s">
        <v>27</v>
      </c>
      <c r="C757" s="2">
        <v>0.62239583333333337</v>
      </c>
      <c r="D757">
        <v>2</v>
      </c>
      <c r="E757">
        <f>VALUE(RIGHT(LEFT(punkt_szczepień__13[[#This Row],[PESEL]],4),2))</f>
        <v>12</v>
      </c>
      <c r="F757" s="11">
        <f>MOD(punkt_szczepień__13[[#This Row],[liczba miesiac]],20)</f>
        <v>12</v>
      </c>
      <c r="G757" s="11">
        <f>VLOOKUP(punkt_szczepień__13[[#This Row],[liczba miesiac]]-punkt_szczepień__13[[#This Row],[miesiac]],$O$3:$P$7,2,0)+VALUE(LEFT(punkt_szczepień__13[[#This Row],[PESEL]],2))</f>
        <v>1969</v>
      </c>
      <c r="H757" s="11">
        <f>VALUE(RIGHT(LEFT(punkt_szczepień__13[[#This Row],[PESEL]],6),2))</f>
        <v>20</v>
      </c>
      <c r="I757" s="3">
        <f>DATE(punkt_szczepień__13[[#This Row],[rok]],punkt_szczepień__13[[#This Row],[miesiac]],punkt_szczepień__13[[#This Row],[dzień]])</f>
        <v>25557</v>
      </c>
      <c r="J757" s="1" t="str">
        <f>punkt_szczepień__13[[#This Row],[PESEL]]</f>
        <v>69122033354</v>
      </c>
      <c r="K757" s="1">
        <f>VALUE(MID(punkt_szczepień__13[[#This Row],[PESEL]],10,1))</f>
        <v>5</v>
      </c>
      <c r="L757" s="11" t="str">
        <f>IF(MOD(punkt_szczepień__13[[#This Row],[liczba płeć]],2)=0,"K","M")</f>
        <v>M</v>
      </c>
      <c r="M757" s="1"/>
      <c r="N757" s="1"/>
    </row>
    <row r="758" spans="1:14" x14ac:dyDescent="0.25">
      <c r="A758" s="1" t="s">
        <v>764</v>
      </c>
      <c r="B758" s="1" t="s">
        <v>7</v>
      </c>
      <c r="C758" s="2">
        <v>0.62268518518518523</v>
      </c>
      <c r="D758">
        <v>1</v>
      </c>
      <c r="E758">
        <f>VALUE(RIGHT(LEFT(punkt_szczepień__13[[#This Row],[PESEL]],4),2))</f>
        <v>6</v>
      </c>
      <c r="F758" s="11">
        <f>MOD(punkt_szczepień__13[[#This Row],[liczba miesiac]],20)</f>
        <v>6</v>
      </c>
      <c r="G758" s="11">
        <f>VLOOKUP(punkt_szczepień__13[[#This Row],[liczba miesiac]]-punkt_szczepień__13[[#This Row],[miesiac]],$O$3:$P$7,2,0)+VALUE(LEFT(punkt_szczepień__13[[#This Row],[PESEL]],2))</f>
        <v>1966</v>
      </c>
      <c r="H758" s="11">
        <f>VALUE(RIGHT(LEFT(punkt_szczepień__13[[#This Row],[PESEL]],6),2))</f>
        <v>30</v>
      </c>
      <c r="I758" s="3">
        <f>DATE(punkt_szczepień__13[[#This Row],[rok]],punkt_szczepień__13[[#This Row],[miesiac]],punkt_szczepień__13[[#This Row],[dzień]])</f>
        <v>24288</v>
      </c>
      <c r="J758" s="1" t="str">
        <f>punkt_szczepień__13[[#This Row],[PESEL]]</f>
        <v>66063067127</v>
      </c>
      <c r="K758" s="1">
        <f>VALUE(MID(punkt_szczepień__13[[#This Row],[PESEL]],10,1))</f>
        <v>2</v>
      </c>
      <c r="L758" s="11" t="str">
        <f>IF(MOD(punkt_szczepień__13[[#This Row],[liczba płeć]],2)=0,"K","M")</f>
        <v>K</v>
      </c>
      <c r="M758" s="1"/>
      <c r="N758" s="1"/>
    </row>
    <row r="759" spans="1:14" x14ac:dyDescent="0.25">
      <c r="A759" s="1" t="s">
        <v>765</v>
      </c>
      <c r="B759" s="1" t="s">
        <v>9</v>
      </c>
      <c r="C759" s="2">
        <v>0.62297453703703709</v>
      </c>
      <c r="D759">
        <v>1</v>
      </c>
      <c r="E759">
        <f>VALUE(RIGHT(LEFT(punkt_szczepień__13[[#This Row],[PESEL]],4),2))</f>
        <v>9</v>
      </c>
      <c r="F759" s="11">
        <f>MOD(punkt_szczepień__13[[#This Row],[liczba miesiac]],20)</f>
        <v>9</v>
      </c>
      <c r="G759" s="11">
        <f>VLOOKUP(punkt_szczepień__13[[#This Row],[liczba miesiac]]-punkt_szczepień__13[[#This Row],[miesiac]],$O$3:$P$7,2,0)+VALUE(LEFT(punkt_szczepień__13[[#This Row],[PESEL]],2))</f>
        <v>1920</v>
      </c>
      <c r="H759" s="11">
        <f>VALUE(RIGHT(LEFT(punkt_szczepień__13[[#This Row],[PESEL]],6),2))</f>
        <v>29</v>
      </c>
      <c r="I759" s="3">
        <f>DATE(punkt_szczepień__13[[#This Row],[rok]],punkt_szczepień__13[[#This Row],[miesiac]],punkt_szczepień__13[[#This Row],[dzień]])</f>
        <v>7578</v>
      </c>
      <c r="J759" s="1" t="str">
        <f>punkt_szczepień__13[[#This Row],[PESEL]]</f>
        <v>20092948718</v>
      </c>
      <c r="K759" s="1">
        <f>VALUE(MID(punkt_szczepień__13[[#This Row],[PESEL]],10,1))</f>
        <v>1</v>
      </c>
      <c r="L759" s="11" t="str">
        <f>IF(MOD(punkt_szczepień__13[[#This Row],[liczba płeć]],2)=0,"K","M")</f>
        <v>M</v>
      </c>
      <c r="M759" s="1"/>
      <c r="N759" s="1"/>
    </row>
    <row r="760" spans="1:14" x14ac:dyDescent="0.25">
      <c r="A760" s="1" t="s">
        <v>766</v>
      </c>
      <c r="B760" s="1" t="s">
        <v>9</v>
      </c>
      <c r="C760" s="2">
        <v>0.62326388888888884</v>
      </c>
      <c r="D760">
        <v>1</v>
      </c>
      <c r="E760">
        <f>VALUE(RIGHT(LEFT(punkt_szczepień__13[[#This Row],[PESEL]],4),2))</f>
        <v>7</v>
      </c>
      <c r="F760" s="11">
        <f>MOD(punkt_szczepień__13[[#This Row],[liczba miesiac]],20)</f>
        <v>7</v>
      </c>
      <c r="G760" s="11">
        <f>VLOOKUP(punkt_szczepień__13[[#This Row],[liczba miesiac]]-punkt_szczepień__13[[#This Row],[miesiac]],$O$3:$P$7,2,0)+VALUE(LEFT(punkt_szczepień__13[[#This Row],[PESEL]],2))</f>
        <v>1959</v>
      </c>
      <c r="H760" s="11">
        <f>VALUE(RIGHT(LEFT(punkt_szczepień__13[[#This Row],[PESEL]],6),2))</f>
        <v>23</v>
      </c>
      <c r="I760" s="3">
        <f>DATE(punkt_szczepień__13[[#This Row],[rok]],punkt_szczepień__13[[#This Row],[miesiac]],punkt_szczepień__13[[#This Row],[dzień]])</f>
        <v>21754</v>
      </c>
      <c r="J760" s="1" t="str">
        <f>punkt_szczepień__13[[#This Row],[PESEL]]</f>
        <v>59072322767</v>
      </c>
      <c r="K760" s="1">
        <f>VALUE(MID(punkt_szczepień__13[[#This Row],[PESEL]],10,1))</f>
        <v>6</v>
      </c>
      <c r="L760" s="11" t="str">
        <f>IF(MOD(punkt_szczepień__13[[#This Row],[liczba płeć]],2)=0,"K","M")</f>
        <v>K</v>
      </c>
      <c r="M760" s="1"/>
      <c r="N760" s="1"/>
    </row>
    <row r="761" spans="1:14" x14ac:dyDescent="0.25">
      <c r="A761" s="1" t="s">
        <v>767</v>
      </c>
      <c r="B761" s="1" t="s">
        <v>5</v>
      </c>
      <c r="C761" s="2">
        <v>0.6235532407407407</v>
      </c>
      <c r="D761">
        <v>1</v>
      </c>
      <c r="E761">
        <f>VALUE(RIGHT(LEFT(punkt_szczepień__13[[#This Row],[PESEL]],4),2))</f>
        <v>30</v>
      </c>
      <c r="F761" s="11">
        <f>MOD(punkt_szczepień__13[[#This Row],[liczba miesiac]],20)</f>
        <v>10</v>
      </c>
      <c r="G761" s="11">
        <f>VLOOKUP(punkt_szczepień__13[[#This Row],[liczba miesiac]]-punkt_szczepień__13[[#This Row],[miesiac]],$O$3:$P$7,2,0)+VALUE(LEFT(punkt_szczepień__13[[#This Row],[PESEL]],2))</f>
        <v>2005</v>
      </c>
      <c r="H761" s="11">
        <f>VALUE(RIGHT(LEFT(punkt_szczepień__13[[#This Row],[PESEL]],6),2))</f>
        <v>7</v>
      </c>
      <c r="I761" s="3">
        <f>DATE(punkt_szczepień__13[[#This Row],[rok]],punkt_szczepień__13[[#This Row],[miesiac]],punkt_szczepień__13[[#This Row],[dzień]])</f>
        <v>38632</v>
      </c>
      <c r="J761" s="1" t="str">
        <f>punkt_szczepień__13[[#This Row],[PESEL]]</f>
        <v>05300727525</v>
      </c>
      <c r="K761" s="1">
        <f>VALUE(MID(punkt_szczepień__13[[#This Row],[PESEL]],10,1))</f>
        <v>2</v>
      </c>
      <c r="L761" s="11" t="str">
        <f>IF(MOD(punkt_szczepień__13[[#This Row],[liczba płeć]],2)=0,"K","M")</f>
        <v>K</v>
      </c>
      <c r="M761" s="1"/>
      <c r="N761" s="1"/>
    </row>
    <row r="762" spans="1:14" x14ac:dyDescent="0.25">
      <c r="A762" s="1" t="s">
        <v>768</v>
      </c>
      <c r="B762" s="1" t="s">
        <v>5</v>
      </c>
      <c r="C762" s="2">
        <v>0.62384259259259256</v>
      </c>
      <c r="D762">
        <v>1</v>
      </c>
      <c r="E762">
        <f>VALUE(RIGHT(LEFT(punkt_szczepień__13[[#This Row],[PESEL]],4),2))</f>
        <v>2</v>
      </c>
      <c r="F762" s="11">
        <f>MOD(punkt_szczepień__13[[#This Row],[liczba miesiac]],20)</f>
        <v>2</v>
      </c>
      <c r="G762" s="11">
        <f>VLOOKUP(punkt_szczepień__13[[#This Row],[liczba miesiac]]-punkt_szczepień__13[[#This Row],[miesiac]],$O$3:$P$7,2,0)+VALUE(LEFT(punkt_szczepień__13[[#This Row],[PESEL]],2))</f>
        <v>1992</v>
      </c>
      <c r="H762" s="11">
        <f>VALUE(RIGHT(LEFT(punkt_szczepień__13[[#This Row],[PESEL]],6),2))</f>
        <v>1</v>
      </c>
      <c r="I762" s="3">
        <f>DATE(punkt_szczepień__13[[#This Row],[rok]],punkt_szczepień__13[[#This Row],[miesiac]],punkt_szczepień__13[[#This Row],[dzień]])</f>
        <v>33635</v>
      </c>
      <c r="J762" s="1" t="str">
        <f>punkt_szczepień__13[[#This Row],[PESEL]]</f>
        <v>92020137895</v>
      </c>
      <c r="K762" s="1">
        <f>VALUE(MID(punkt_szczepień__13[[#This Row],[PESEL]],10,1))</f>
        <v>9</v>
      </c>
      <c r="L762" s="11" t="str">
        <f>IF(MOD(punkt_szczepień__13[[#This Row],[liczba płeć]],2)=0,"K","M")</f>
        <v>M</v>
      </c>
      <c r="M762" s="1"/>
      <c r="N762" s="1"/>
    </row>
    <row r="763" spans="1:14" x14ac:dyDescent="0.25">
      <c r="A763" s="1" t="s">
        <v>769</v>
      </c>
      <c r="B763" s="1" t="s">
        <v>7</v>
      </c>
      <c r="C763" s="2">
        <v>0.62413194444444442</v>
      </c>
      <c r="D763">
        <v>1</v>
      </c>
      <c r="E763">
        <f>VALUE(RIGHT(LEFT(punkt_szczepień__13[[#This Row],[PESEL]],4),2))</f>
        <v>9</v>
      </c>
      <c r="F763" s="11">
        <f>MOD(punkt_szczepień__13[[#This Row],[liczba miesiac]],20)</f>
        <v>9</v>
      </c>
      <c r="G763" s="11">
        <f>VLOOKUP(punkt_szczepień__13[[#This Row],[liczba miesiac]]-punkt_szczepień__13[[#This Row],[miesiac]],$O$3:$P$7,2,0)+VALUE(LEFT(punkt_szczepień__13[[#This Row],[PESEL]],2))</f>
        <v>1985</v>
      </c>
      <c r="H763" s="11">
        <f>VALUE(RIGHT(LEFT(punkt_szczepień__13[[#This Row],[PESEL]],6),2))</f>
        <v>7</v>
      </c>
      <c r="I763" s="3">
        <f>DATE(punkt_szczepień__13[[#This Row],[rok]],punkt_szczepień__13[[#This Row],[miesiac]],punkt_szczepień__13[[#This Row],[dzień]])</f>
        <v>31297</v>
      </c>
      <c r="J763" s="1" t="str">
        <f>punkt_szczepień__13[[#This Row],[PESEL]]</f>
        <v>85090738378</v>
      </c>
      <c r="K763" s="1">
        <f>VALUE(MID(punkt_szczepień__13[[#This Row],[PESEL]],10,1))</f>
        <v>7</v>
      </c>
      <c r="L763" s="11" t="str">
        <f>IF(MOD(punkt_szczepień__13[[#This Row],[liczba płeć]],2)=0,"K","M")</f>
        <v>M</v>
      </c>
      <c r="M763" s="1"/>
      <c r="N763" s="1"/>
    </row>
    <row r="764" spans="1:14" x14ac:dyDescent="0.25">
      <c r="A764" s="1" t="s">
        <v>770</v>
      </c>
      <c r="B764" s="1" t="s">
        <v>7</v>
      </c>
      <c r="C764" s="2">
        <v>0.62442129629629628</v>
      </c>
      <c r="D764">
        <v>1</v>
      </c>
      <c r="E764">
        <f>VALUE(RIGHT(LEFT(punkt_szczepień__13[[#This Row],[PESEL]],4),2))</f>
        <v>6</v>
      </c>
      <c r="F764" s="11">
        <f>MOD(punkt_szczepień__13[[#This Row],[liczba miesiac]],20)</f>
        <v>6</v>
      </c>
      <c r="G764" s="11">
        <f>VLOOKUP(punkt_szczepień__13[[#This Row],[liczba miesiac]]-punkt_szczepień__13[[#This Row],[miesiac]],$O$3:$P$7,2,0)+VALUE(LEFT(punkt_szczepień__13[[#This Row],[PESEL]],2))</f>
        <v>1941</v>
      </c>
      <c r="H764" s="11">
        <f>VALUE(RIGHT(LEFT(punkt_szczepień__13[[#This Row],[PESEL]],6),2))</f>
        <v>7</v>
      </c>
      <c r="I764" s="3">
        <f>DATE(punkt_szczepień__13[[#This Row],[rok]],punkt_szczepień__13[[#This Row],[miesiac]],punkt_szczepień__13[[#This Row],[dzień]])</f>
        <v>15134</v>
      </c>
      <c r="J764" s="1" t="str">
        <f>punkt_szczepień__13[[#This Row],[PESEL]]</f>
        <v>41060745555</v>
      </c>
      <c r="K764" s="1">
        <f>VALUE(MID(punkt_szczepień__13[[#This Row],[PESEL]],10,1))</f>
        <v>5</v>
      </c>
      <c r="L764" s="11" t="str">
        <f>IF(MOD(punkt_szczepień__13[[#This Row],[liczba płeć]],2)=0,"K","M")</f>
        <v>M</v>
      </c>
      <c r="M764" s="1"/>
      <c r="N764" s="1"/>
    </row>
    <row r="765" spans="1:14" x14ac:dyDescent="0.25">
      <c r="A765" s="1" t="s">
        <v>771</v>
      </c>
      <c r="B765" s="1" t="s">
        <v>7</v>
      </c>
      <c r="C765" s="2">
        <v>0.62471064814814814</v>
      </c>
      <c r="D765">
        <v>1</v>
      </c>
      <c r="E765">
        <f>VALUE(RIGHT(LEFT(punkt_szczepień__13[[#This Row],[PESEL]],4),2))</f>
        <v>6</v>
      </c>
      <c r="F765" s="11">
        <f>MOD(punkt_szczepień__13[[#This Row],[liczba miesiac]],20)</f>
        <v>6</v>
      </c>
      <c r="G765" s="11">
        <f>VLOOKUP(punkt_szczepień__13[[#This Row],[liczba miesiac]]-punkt_szczepień__13[[#This Row],[miesiac]],$O$3:$P$7,2,0)+VALUE(LEFT(punkt_szczepień__13[[#This Row],[PESEL]],2))</f>
        <v>1994</v>
      </c>
      <c r="H765" s="11">
        <f>VALUE(RIGHT(LEFT(punkt_szczepień__13[[#This Row],[PESEL]],6),2))</f>
        <v>13</v>
      </c>
      <c r="I765" s="3">
        <f>DATE(punkt_szczepień__13[[#This Row],[rok]],punkt_szczepień__13[[#This Row],[miesiac]],punkt_szczepień__13[[#This Row],[dzień]])</f>
        <v>34498</v>
      </c>
      <c r="J765" s="1" t="str">
        <f>punkt_szczepień__13[[#This Row],[PESEL]]</f>
        <v>94061387495</v>
      </c>
      <c r="K765" s="1">
        <f>VALUE(MID(punkt_szczepień__13[[#This Row],[PESEL]],10,1))</f>
        <v>9</v>
      </c>
      <c r="L765" s="11" t="str">
        <f>IF(MOD(punkt_szczepień__13[[#This Row],[liczba płeć]],2)=0,"K","M")</f>
        <v>M</v>
      </c>
      <c r="M765" s="1"/>
      <c r="N765" s="1"/>
    </row>
    <row r="766" spans="1:14" x14ac:dyDescent="0.25">
      <c r="A766" s="1" t="s">
        <v>772</v>
      </c>
      <c r="B766" s="1" t="s">
        <v>5</v>
      </c>
      <c r="C766" s="2">
        <v>0.62528935185185186</v>
      </c>
      <c r="D766">
        <v>2</v>
      </c>
      <c r="E766">
        <f>VALUE(RIGHT(LEFT(punkt_szczepień__13[[#This Row],[PESEL]],4),2))</f>
        <v>4</v>
      </c>
      <c r="F766" s="11">
        <f>MOD(punkt_szczepień__13[[#This Row],[liczba miesiac]],20)</f>
        <v>4</v>
      </c>
      <c r="G766" s="11">
        <f>VLOOKUP(punkt_szczepień__13[[#This Row],[liczba miesiac]]-punkt_szczepień__13[[#This Row],[miesiac]],$O$3:$P$7,2,0)+VALUE(LEFT(punkt_szczepień__13[[#This Row],[PESEL]],2))</f>
        <v>1974</v>
      </c>
      <c r="H766" s="11">
        <f>VALUE(RIGHT(LEFT(punkt_szczepień__13[[#This Row],[PESEL]],6),2))</f>
        <v>30</v>
      </c>
      <c r="I766" s="3">
        <f>DATE(punkt_szczepień__13[[#This Row],[rok]],punkt_szczepień__13[[#This Row],[miesiac]],punkt_szczepień__13[[#This Row],[dzień]])</f>
        <v>27149</v>
      </c>
      <c r="J766" s="1" t="str">
        <f>punkt_szczepień__13[[#This Row],[PESEL]]</f>
        <v>74043054933</v>
      </c>
      <c r="K766" s="1">
        <f>VALUE(MID(punkt_szczepień__13[[#This Row],[PESEL]],10,1))</f>
        <v>3</v>
      </c>
      <c r="L766" s="11" t="str">
        <f>IF(MOD(punkt_szczepień__13[[#This Row],[liczba płeć]],2)=0,"K","M")</f>
        <v>M</v>
      </c>
      <c r="M766" s="1"/>
      <c r="N766" s="1"/>
    </row>
    <row r="767" spans="1:14" x14ac:dyDescent="0.25">
      <c r="A767" s="1" t="s">
        <v>773</v>
      </c>
      <c r="B767" s="1" t="s">
        <v>27</v>
      </c>
      <c r="C767" s="2">
        <v>0.62557870370370372</v>
      </c>
      <c r="D767">
        <v>1</v>
      </c>
      <c r="E767">
        <f>VALUE(RIGHT(LEFT(punkt_szczepień__13[[#This Row],[PESEL]],4),2))</f>
        <v>24</v>
      </c>
      <c r="F767" s="11">
        <f>MOD(punkt_szczepień__13[[#This Row],[liczba miesiac]],20)</f>
        <v>4</v>
      </c>
      <c r="G767" s="11">
        <f>VLOOKUP(punkt_szczepień__13[[#This Row],[liczba miesiac]]-punkt_szczepień__13[[#This Row],[miesiac]],$O$3:$P$7,2,0)+VALUE(LEFT(punkt_szczepień__13[[#This Row],[PESEL]],2))</f>
        <v>2004</v>
      </c>
      <c r="H767" s="11">
        <f>VALUE(RIGHT(LEFT(punkt_szczepień__13[[#This Row],[PESEL]],6),2))</f>
        <v>9</v>
      </c>
      <c r="I767" s="3">
        <f>DATE(punkt_szczepień__13[[#This Row],[rok]],punkt_szczepień__13[[#This Row],[miesiac]],punkt_szczepień__13[[#This Row],[dzień]])</f>
        <v>38086</v>
      </c>
      <c r="J767" s="1" t="str">
        <f>punkt_szczepień__13[[#This Row],[PESEL]]</f>
        <v>04240923383</v>
      </c>
      <c r="K767" s="1">
        <f>VALUE(MID(punkt_szczepień__13[[#This Row],[PESEL]],10,1))</f>
        <v>8</v>
      </c>
      <c r="L767" s="11" t="str">
        <f>IF(MOD(punkt_szczepień__13[[#This Row],[liczba płeć]],2)=0,"K","M")</f>
        <v>K</v>
      </c>
      <c r="M767" s="1"/>
      <c r="N767" s="1"/>
    </row>
    <row r="768" spans="1:14" x14ac:dyDescent="0.25">
      <c r="A768" s="1" t="s">
        <v>774</v>
      </c>
      <c r="B768" s="1" t="s">
        <v>7</v>
      </c>
      <c r="C768" s="2">
        <v>0.62586805555555558</v>
      </c>
      <c r="D768">
        <v>1</v>
      </c>
      <c r="E768">
        <f>VALUE(RIGHT(LEFT(punkt_szczepień__13[[#This Row],[PESEL]],4),2))</f>
        <v>10</v>
      </c>
      <c r="F768" s="11">
        <f>MOD(punkt_szczepień__13[[#This Row],[liczba miesiac]],20)</f>
        <v>10</v>
      </c>
      <c r="G768" s="11">
        <f>VLOOKUP(punkt_szczepień__13[[#This Row],[liczba miesiac]]-punkt_szczepień__13[[#This Row],[miesiac]],$O$3:$P$7,2,0)+VALUE(LEFT(punkt_szczepień__13[[#This Row],[PESEL]],2))</f>
        <v>1928</v>
      </c>
      <c r="H768" s="11">
        <f>VALUE(RIGHT(LEFT(punkt_szczepień__13[[#This Row],[PESEL]],6),2))</f>
        <v>4</v>
      </c>
      <c r="I768" s="3">
        <f>DATE(punkt_szczepień__13[[#This Row],[rok]],punkt_szczepień__13[[#This Row],[miesiac]],punkt_szczepień__13[[#This Row],[dzień]])</f>
        <v>10505</v>
      </c>
      <c r="J768" s="1" t="str">
        <f>punkt_szczepień__13[[#This Row],[PESEL]]</f>
        <v>28100451674</v>
      </c>
      <c r="K768" s="1">
        <f>VALUE(MID(punkt_szczepień__13[[#This Row],[PESEL]],10,1))</f>
        <v>7</v>
      </c>
      <c r="L768" s="11" t="str">
        <f>IF(MOD(punkt_szczepień__13[[#This Row],[liczba płeć]],2)=0,"K","M")</f>
        <v>M</v>
      </c>
      <c r="M768" s="1"/>
      <c r="N768" s="1"/>
    </row>
    <row r="769" spans="1:14" x14ac:dyDescent="0.25">
      <c r="A769" s="1" t="s">
        <v>775</v>
      </c>
      <c r="B769" s="1" t="s">
        <v>9</v>
      </c>
      <c r="C769" s="2">
        <v>0.6264467592592593</v>
      </c>
      <c r="D769">
        <v>2</v>
      </c>
      <c r="E769">
        <f>VALUE(RIGHT(LEFT(punkt_szczepień__13[[#This Row],[PESEL]],4),2))</f>
        <v>4</v>
      </c>
      <c r="F769" s="11">
        <f>MOD(punkt_szczepień__13[[#This Row],[liczba miesiac]],20)</f>
        <v>4</v>
      </c>
      <c r="G769" s="11">
        <f>VLOOKUP(punkt_szczepień__13[[#This Row],[liczba miesiac]]-punkt_szczepień__13[[#This Row],[miesiac]],$O$3:$P$7,2,0)+VALUE(LEFT(punkt_szczepień__13[[#This Row],[PESEL]],2))</f>
        <v>1930</v>
      </c>
      <c r="H769" s="11">
        <f>VALUE(RIGHT(LEFT(punkt_szczepień__13[[#This Row],[PESEL]],6),2))</f>
        <v>15</v>
      </c>
      <c r="I769" s="3">
        <f>DATE(punkt_szczepień__13[[#This Row],[rok]],punkt_szczepień__13[[#This Row],[miesiac]],punkt_szczepień__13[[#This Row],[dzień]])</f>
        <v>11063</v>
      </c>
      <c r="J769" s="1" t="str">
        <f>punkt_szczepień__13[[#This Row],[PESEL]]</f>
        <v>30041586876</v>
      </c>
      <c r="K769" s="1">
        <f>VALUE(MID(punkt_szczepień__13[[#This Row],[PESEL]],10,1))</f>
        <v>7</v>
      </c>
      <c r="L769" s="11" t="str">
        <f>IF(MOD(punkt_szczepień__13[[#This Row],[liczba płeć]],2)=0,"K","M")</f>
        <v>M</v>
      </c>
      <c r="M769" s="1"/>
      <c r="N769" s="1"/>
    </row>
    <row r="770" spans="1:14" x14ac:dyDescent="0.25">
      <c r="A770" s="1" t="s">
        <v>776</v>
      </c>
      <c r="B770" s="1" t="s">
        <v>7</v>
      </c>
      <c r="C770" s="2">
        <v>0.62673611111111116</v>
      </c>
      <c r="D770">
        <v>1</v>
      </c>
      <c r="E770">
        <f>VALUE(RIGHT(LEFT(punkt_szczepień__13[[#This Row],[PESEL]],4),2))</f>
        <v>5</v>
      </c>
      <c r="F770" s="11">
        <f>MOD(punkt_szczepień__13[[#This Row],[liczba miesiac]],20)</f>
        <v>5</v>
      </c>
      <c r="G770" s="11">
        <f>VLOOKUP(punkt_szczepień__13[[#This Row],[liczba miesiac]]-punkt_szczepień__13[[#This Row],[miesiac]],$O$3:$P$7,2,0)+VALUE(LEFT(punkt_szczepień__13[[#This Row],[PESEL]],2))</f>
        <v>1937</v>
      </c>
      <c r="H770" s="11">
        <f>VALUE(RIGHT(LEFT(punkt_szczepień__13[[#This Row],[PESEL]],6),2))</f>
        <v>9</v>
      </c>
      <c r="I770" s="3">
        <f>DATE(punkt_szczepień__13[[#This Row],[rok]],punkt_szczepień__13[[#This Row],[miesiac]],punkt_szczepień__13[[#This Row],[dzień]])</f>
        <v>13644</v>
      </c>
      <c r="J770" s="1" t="str">
        <f>punkt_szczepień__13[[#This Row],[PESEL]]</f>
        <v>37050927434</v>
      </c>
      <c r="K770" s="1">
        <f>VALUE(MID(punkt_szczepień__13[[#This Row],[PESEL]],10,1))</f>
        <v>3</v>
      </c>
      <c r="L770" s="11" t="str">
        <f>IF(MOD(punkt_szczepień__13[[#This Row],[liczba płeć]],2)=0,"K","M")</f>
        <v>M</v>
      </c>
      <c r="M770" s="1"/>
      <c r="N770" s="1"/>
    </row>
    <row r="771" spans="1:14" x14ac:dyDescent="0.25">
      <c r="A771" s="1" t="s">
        <v>777</v>
      </c>
      <c r="B771" s="1" t="s">
        <v>9</v>
      </c>
      <c r="C771" s="2">
        <v>0.62702546296296291</v>
      </c>
      <c r="D771">
        <v>1</v>
      </c>
      <c r="E771">
        <f>VALUE(RIGHT(LEFT(punkt_szczepień__13[[#This Row],[PESEL]],4),2))</f>
        <v>4</v>
      </c>
      <c r="F771" s="11">
        <f>MOD(punkt_szczepień__13[[#This Row],[liczba miesiac]],20)</f>
        <v>4</v>
      </c>
      <c r="G771" s="11">
        <f>VLOOKUP(punkt_szczepień__13[[#This Row],[liczba miesiac]]-punkt_szczepień__13[[#This Row],[miesiac]],$O$3:$P$7,2,0)+VALUE(LEFT(punkt_szczepień__13[[#This Row],[PESEL]],2))</f>
        <v>1921</v>
      </c>
      <c r="H771" s="11">
        <f>VALUE(RIGHT(LEFT(punkt_szczepień__13[[#This Row],[PESEL]],6),2))</f>
        <v>3</v>
      </c>
      <c r="I771" s="3">
        <f>DATE(punkt_szczepień__13[[#This Row],[rok]],punkt_szczepień__13[[#This Row],[miesiac]],punkt_szczepień__13[[#This Row],[dzień]])</f>
        <v>7764</v>
      </c>
      <c r="J771" s="1" t="str">
        <f>punkt_szczepień__13[[#This Row],[PESEL]]</f>
        <v>21040358249</v>
      </c>
      <c r="K771" s="1">
        <f>VALUE(MID(punkt_szczepień__13[[#This Row],[PESEL]],10,1))</f>
        <v>4</v>
      </c>
      <c r="L771" s="11" t="str">
        <f>IF(MOD(punkt_szczepień__13[[#This Row],[liczba płeć]],2)=0,"K","M")</f>
        <v>K</v>
      </c>
      <c r="M771" s="1"/>
      <c r="N771" s="1"/>
    </row>
    <row r="772" spans="1:14" x14ac:dyDescent="0.25">
      <c r="A772" s="1" t="s">
        <v>778</v>
      </c>
      <c r="B772" s="1" t="s">
        <v>5</v>
      </c>
      <c r="C772" s="2">
        <v>0.62731481481481477</v>
      </c>
      <c r="D772">
        <v>1</v>
      </c>
      <c r="E772">
        <f>VALUE(RIGHT(LEFT(punkt_szczepień__13[[#This Row],[PESEL]],4),2))</f>
        <v>12</v>
      </c>
      <c r="F772" s="11">
        <f>MOD(punkt_szczepień__13[[#This Row],[liczba miesiac]],20)</f>
        <v>12</v>
      </c>
      <c r="G772" s="11">
        <f>VLOOKUP(punkt_szczepień__13[[#This Row],[liczba miesiac]]-punkt_szczepień__13[[#This Row],[miesiac]],$O$3:$P$7,2,0)+VALUE(LEFT(punkt_szczepień__13[[#This Row],[PESEL]],2))</f>
        <v>1981</v>
      </c>
      <c r="H772" s="11">
        <f>VALUE(RIGHT(LEFT(punkt_szczepień__13[[#This Row],[PESEL]],6),2))</f>
        <v>9</v>
      </c>
      <c r="I772" s="3">
        <f>DATE(punkt_szczepień__13[[#This Row],[rok]],punkt_szczepień__13[[#This Row],[miesiac]],punkt_szczepień__13[[#This Row],[dzień]])</f>
        <v>29929</v>
      </c>
      <c r="J772" s="1" t="str">
        <f>punkt_szczepień__13[[#This Row],[PESEL]]</f>
        <v>81120991883</v>
      </c>
      <c r="K772" s="1">
        <f>VALUE(MID(punkt_szczepień__13[[#This Row],[PESEL]],10,1))</f>
        <v>8</v>
      </c>
      <c r="L772" s="11" t="str">
        <f>IF(MOD(punkt_szczepień__13[[#This Row],[liczba płeć]],2)=0,"K","M")</f>
        <v>K</v>
      </c>
      <c r="M772" s="1"/>
      <c r="N772" s="1"/>
    </row>
    <row r="773" spans="1:14" x14ac:dyDescent="0.25">
      <c r="A773" s="1" t="s">
        <v>779</v>
      </c>
      <c r="B773" s="1" t="s">
        <v>27</v>
      </c>
      <c r="C773" s="2">
        <v>0.62789351851851849</v>
      </c>
      <c r="D773">
        <v>2</v>
      </c>
      <c r="E773">
        <f>VALUE(RIGHT(LEFT(punkt_szczepień__13[[#This Row],[PESEL]],4),2))</f>
        <v>22</v>
      </c>
      <c r="F773" s="11">
        <f>MOD(punkt_szczepień__13[[#This Row],[liczba miesiac]],20)</f>
        <v>2</v>
      </c>
      <c r="G773" s="11">
        <f>VLOOKUP(punkt_szczepień__13[[#This Row],[liczba miesiac]]-punkt_szczepień__13[[#This Row],[miesiac]],$O$3:$P$7,2,0)+VALUE(LEFT(punkt_szczepień__13[[#This Row],[PESEL]],2))</f>
        <v>2003</v>
      </c>
      <c r="H773" s="11">
        <f>VALUE(RIGHT(LEFT(punkt_szczepień__13[[#This Row],[PESEL]],6),2))</f>
        <v>2</v>
      </c>
      <c r="I773" s="3">
        <f>DATE(punkt_szczepień__13[[#This Row],[rok]],punkt_szczepień__13[[#This Row],[miesiac]],punkt_szczepień__13[[#This Row],[dzień]])</f>
        <v>37654</v>
      </c>
      <c r="J773" s="1" t="str">
        <f>punkt_szczepień__13[[#This Row],[PESEL]]</f>
        <v>03220281794</v>
      </c>
      <c r="K773" s="1">
        <f>VALUE(MID(punkt_szczepień__13[[#This Row],[PESEL]],10,1))</f>
        <v>9</v>
      </c>
      <c r="L773" s="11" t="str">
        <f>IF(MOD(punkt_szczepień__13[[#This Row],[liczba płeć]],2)=0,"K","M")</f>
        <v>M</v>
      </c>
      <c r="M773" s="1"/>
      <c r="N773" s="1"/>
    </row>
    <row r="774" spans="1:14" x14ac:dyDescent="0.25">
      <c r="A774" s="1" t="s">
        <v>780</v>
      </c>
      <c r="B774" s="1" t="s">
        <v>7</v>
      </c>
      <c r="C774" s="2">
        <v>0.62818287037037035</v>
      </c>
      <c r="D774">
        <v>1</v>
      </c>
      <c r="E774">
        <f>VALUE(RIGHT(LEFT(punkt_szczepień__13[[#This Row],[PESEL]],4),2))</f>
        <v>2</v>
      </c>
      <c r="F774" s="11">
        <f>MOD(punkt_szczepień__13[[#This Row],[liczba miesiac]],20)</f>
        <v>2</v>
      </c>
      <c r="G774" s="11">
        <f>VLOOKUP(punkt_szczepień__13[[#This Row],[liczba miesiac]]-punkt_szczepień__13[[#This Row],[miesiac]],$O$3:$P$7,2,0)+VALUE(LEFT(punkt_szczepień__13[[#This Row],[PESEL]],2))</f>
        <v>1950</v>
      </c>
      <c r="H774" s="11">
        <f>VALUE(RIGHT(LEFT(punkt_szczepień__13[[#This Row],[PESEL]],6),2))</f>
        <v>15</v>
      </c>
      <c r="I774" s="3">
        <f>DATE(punkt_szczepień__13[[#This Row],[rok]],punkt_szczepień__13[[#This Row],[miesiac]],punkt_szczepień__13[[#This Row],[dzień]])</f>
        <v>18309</v>
      </c>
      <c r="J774" s="1" t="str">
        <f>punkt_szczepień__13[[#This Row],[PESEL]]</f>
        <v>50021519195</v>
      </c>
      <c r="K774" s="1">
        <f>VALUE(MID(punkt_szczepień__13[[#This Row],[PESEL]],10,1))</f>
        <v>9</v>
      </c>
      <c r="L774" s="11" t="str">
        <f>IF(MOD(punkt_szczepień__13[[#This Row],[liczba płeć]],2)=0,"K","M")</f>
        <v>M</v>
      </c>
      <c r="M774" s="1"/>
      <c r="N774" s="1"/>
    </row>
    <row r="775" spans="1:14" x14ac:dyDescent="0.25">
      <c r="A775" s="1" t="s">
        <v>781</v>
      </c>
      <c r="B775" s="1" t="s">
        <v>5</v>
      </c>
      <c r="C775" s="2">
        <v>0.62847222222222221</v>
      </c>
      <c r="D775">
        <v>1</v>
      </c>
      <c r="E775">
        <f>VALUE(RIGHT(LEFT(punkt_szczepień__13[[#This Row],[PESEL]],4),2))</f>
        <v>4</v>
      </c>
      <c r="F775" s="11">
        <f>MOD(punkt_szczepień__13[[#This Row],[liczba miesiac]],20)</f>
        <v>4</v>
      </c>
      <c r="G775" s="11">
        <f>VLOOKUP(punkt_szczepień__13[[#This Row],[liczba miesiac]]-punkt_szczepień__13[[#This Row],[miesiac]],$O$3:$P$7,2,0)+VALUE(LEFT(punkt_szczepień__13[[#This Row],[PESEL]],2))</f>
        <v>1972</v>
      </c>
      <c r="H775" s="11">
        <f>VALUE(RIGHT(LEFT(punkt_szczepień__13[[#This Row],[PESEL]],6),2))</f>
        <v>18</v>
      </c>
      <c r="I775" s="3">
        <f>DATE(punkt_szczepień__13[[#This Row],[rok]],punkt_szczepień__13[[#This Row],[miesiac]],punkt_szczepień__13[[#This Row],[dzień]])</f>
        <v>26407</v>
      </c>
      <c r="J775" s="1" t="str">
        <f>punkt_szczepień__13[[#This Row],[PESEL]]</f>
        <v>72041899866</v>
      </c>
      <c r="K775" s="1">
        <f>VALUE(MID(punkt_szczepień__13[[#This Row],[PESEL]],10,1))</f>
        <v>6</v>
      </c>
      <c r="L775" s="11" t="str">
        <f>IF(MOD(punkt_szczepień__13[[#This Row],[liczba płeć]],2)=0,"K","M")</f>
        <v>K</v>
      </c>
      <c r="M775" s="1"/>
      <c r="N775" s="1"/>
    </row>
    <row r="776" spans="1:14" x14ac:dyDescent="0.25">
      <c r="A776" s="1" t="s">
        <v>782</v>
      </c>
      <c r="B776" s="1" t="s">
        <v>9</v>
      </c>
      <c r="C776" s="2">
        <v>0.62876157407407407</v>
      </c>
      <c r="D776">
        <v>1</v>
      </c>
      <c r="E776">
        <f>VALUE(RIGHT(LEFT(punkt_szczepień__13[[#This Row],[PESEL]],4),2))</f>
        <v>11</v>
      </c>
      <c r="F776" s="11">
        <f>MOD(punkt_szczepień__13[[#This Row],[liczba miesiac]],20)</f>
        <v>11</v>
      </c>
      <c r="G776" s="11">
        <f>VLOOKUP(punkt_szczepień__13[[#This Row],[liczba miesiac]]-punkt_szczepień__13[[#This Row],[miesiac]],$O$3:$P$7,2,0)+VALUE(LEFT(punkt_szczepień__13[[#This Row],[PESEL]],2))</f>
        <v>1967</v>
      </c>
      <c r="H776" s="11">
        <f>VALUE(RIGHT(LEFT(punkt_szczepień__13[[#This Row],[PESEL]],6),2))</f>
        <v>6</v>
      </c>
      <c r="I776" s="3">
        <f>DATE(punkt_szczepień__13[[#This Row],[rok]],punkt_szczepień__13[[#This Row],[miesiac]],punkt_szczepień__13[[#This Row],[dzień]])</f>
        <v>24782</v>
      </c>
      <c r="J776" s="1" t="str">
        <f>punkt_szczepień__13[[#This Row],[PESEL]]</f>
        <v>67110663536</v>
      </c>
      <c r="K776" s="1">
        <f>VALUE(MID(punkt_szczepień__13[[#This Row],[PESEL]],10,1))</f>
        <v>3</v>
      </c>
      <c r="L776" s="11" t="str">
        <f>IF(MOD(punkt_szczepień__13[[#This Row],[liczba płeć]],2)=0,"K","M")</f>
        <v>M</v>
      </c>
      <c r="M776" s="1"/>
      <c r="N776" s="1"/>
    </row>
    <row r="777" spans="1:14" x14ac:dyDescent="0.25">
      <c r="A777" s="1" t="s">
        <v>783</v>
      </c>
      <c r="B777" s="1" t="s">
        <v>7</v>
      </c>
      <c r="C777" s="2">
        <v>0.62905092592592593</v>
      </c>
      <c r="D777">
        <v>1</v>
      </c>
      <c r="E777">
        <f>VALUE(RIGHT(LEFT(punkt_szczepień__13[[#This Row],[PESEL]],4),2))</f>
        <v>11</v>
      </c>
      <c r="F777" s="11">
        <f>MOD(punkt_szczepień__13[[#This Row],[liczba miesiac]],20)</f>
        <v>11</v>
      </c>
      <c r="G777" s="11">
        <f>VLOOKUP(punkt_szczepień__13[[#This Row],[liczba miesiac]]-punkt_szczepień__13[[#This Row],[miesiac]],$O$3:$P$7,2,0)+VALUE(LEFT(punkt_szczepień__13[[#This Row],[PESEL]],2))</f>
        <v>1951</v>
      </c>
      <c r="H777" s="11">
        <f>VALUE(RIGHT(LEFT(punkt_szczepień__13[[#This Row],[PESEL]],6),2))</f>
        <v>19</v>
      </c>
      <c r="I777" s="3">
        <f>DATE(punkt_szczepień__13[[#This Row],[rok]],punkt_szczepień__13[[#This Row],[miesiac]],punkt_szczepień__13[[#This Row],[dzień]])</f>
        <v>18951</v>
      </c>
      <c r="J777" s="1" t="str">
        <f>punkt_szczepień__13[[#This Row],[PESEL]]</f>
        <v>51111963535</v>
      </c>
      <c r="K777" s="1">
        <f>VALUE(MID(punkt_szczepień__13[[#This Row],[PESEL]],10,1))</f>
        <v>3</v>
      </c>
      <c r="L777" s="11" t="str">
        <f>IF(MOD(punkt_szczepień__13[[#This Row],[liczba płeć]],2)=0,"K","M")</f>
        <v>M</v>
      </c>
      <c r="M777" s="1"/>
      <c r="N777" s="1"/>
    </row>
    <row r="778" spans="1:14" x14ac:dyDescent="0.25">
      <c r="A778" s="1" t="s">
        <v>784</v>
      </c>
      <c r="B778" s="1" t="s">
        <v>7</v>
      </c>
      <c r="C778" s="2">
        <v>0.62934027777777779</v>
      </c>
      <c r="D778">
        <v>1</v>
      </c>
      <c r="E778">
        <f>VALUE(RIGHT(LEFT(punkt_szczepień__13[[#This Row],[PESEL]],4),2))</f>
        <v>5</v>
      </c>
      <c r="F778" s="11">
        <f>MOD(punkt_szczepień__13[[#This Row],[liczba miesiac]],20)</f>
        <v>5</v>
      </c>
      <c r="G778" s="11">
        <f>VLOOKUP(punkt_szczepień__13[[#This Row],[liczba miesiac]]-punkt_szczepień__13[[#This Row],[miesiac]],$O$3:$P$7,2,0)+VALUE(LEFT(punkt_szczepień__13[[#This Row],[PESEL]],2))</f>
        <v>1973</v>
      </c>
      <c r="H778" s="11">
        <f>VALUE(RIGHT(LEFT(punkt_szczepień__13[[#This Row],[PESEL]],6),2))</f>
        <v>17</v>
      </c>
      <c r="I778" s="3">
        <f>DATE(punkt_szczepień__13[[#This Row],[rok]],punkt_szczepień__13[[#This Row],[miesiac]],punkt_szczepień__13[[#This Row],[dzień]])</f>
        <v>26801</v>
      </c>
      <c r="J778" s="1" t="str">
        <f>punkt_szczepień__13[[#This Row],[PESEL]]</f>
        <v>73051797551</v>
      </c>
      <c r="K778" s="1">
        <f>VALUE(MID(punkt_szczepień__13[[#This Row],[PESEL]],10,1))</f>
        <v>5</v>
      </c>
      <c r="L778" s="11" t="str">
        <f>IF(MOD(punkt_szczepień__13[[#This Row],[liczba płeć]],2)=0,"K","M")</f>
        <v>M</v>
      </c>
      <c r="M778" s="1"/>
      <c r="N778" s="1"/>
    </row>
    <row r="779" spans="1:14" x14ac:dyDescent="0.25">
      <c r="A779" s="1" t="s">
        <v>785</v>
      </c>
      <c r="B779" s="1" t="s">
        <v>9</v>
      </c>
      <c r="C779" s="2">
        <v>0.62991898148148151</v>
      </c>
      <c r="D779">
        <v>2</v>
      </c>
      <c r="E779">
        <f>VALUE(RIGHT(LEFT(punkt_szczepień__13[[#This Row],[PESEL]],4),2))</f>
        <v>30</v>
      </c>
      <c r="F779" s="11">
        <f>MOD(punkt_szczepień__13[[#This Row],[liczba miesiac]],20)</f>
        <v>10</v>
      </c>
      <c r="G779" s="11">
        <f>VLOOKUP(punkt_szczepień__13[[#This Row],[liczba miesiac]]-punkt_szczepień__13[[#This Row],[miesiac]],$O$3:$P$7,2,0)+VALUE(LEFT(punkt_szczepień__13[[#This Row],[PESEL]],2))</f>
        <v>2007</v>
      </c>
      <c r="H779" s="11">
        <f>VALUE(RIGHT(LEFT(punkt_szczepień__13[[#This Row],[PESEL]],6),2))</f>
        <v>23</v>
      </c>
      <c r="I779" s="3">
        <f>DATE(punkt_szczepień__13[[#This Row],[rok]],punkt_szczepień__13[[#This Row],[miesiac]],punkt_szczepień__13[[#This Row],[dzień]])</f>
        <v>39378</v>
      </c>
      <c r="J779" s="1" t="str">
        <f>punkt_szczepień__13[[#This Row],[PESEL]]</f>
        <v>07302324298</v>
      </c>
      <c r="K779" s="1">
        <f>VALUE(MID(punkt_szczepień__13[[#This Row],[PESEL]],10,1))</f>
        <v>9</v>
      </c>
      <c r="L779" s="11" t="str">
        <f>IF(MOD(punkt_szczepień__13[[#This Row],[liczba płeć]],2)=0,"K","M")</f>
        <v>M</v>
      </c>
      <c r="M779" s="1"/>
      <c r="N779" s="1"/>
    </row>
    <row r="780" spans="1:14" x14ac:dyDescent="0.25">
      <c r="A780" s="1" t="s">
        <v>786</v>
      </c>
      <c r="B780" s="1" t="s">
        <v>9</v>
      </c>
      <c r="C780" s="2">
        <v>0.63020833333333337</v>
      </c>
      <c r="D780">
        <v>1</v>
      </c>
      <c r="E780">
        <f>VALUE(RIGHT(LEFT(punkt_szczepień__13[[#This Row],[PESEL]],4),2))</f>
        <v>8</v>
      </c>
      <c r="F780" s="11">
        <f>MOD(punkt_szczepień__13[[#This Row],[liczba miesiac]],20)</f>
        <v>8</v>
      </c>
      <c r="G780" s="11">
        <f>VLOOKUP(punkt_szczepień__13[[#This Row],[liczba miesiac]]-punkt_szczepień__13[[#This Row],[miesiac]],$O$3:$P$7,2,0)+VALUE(LEFT(punkt_szczepień__13[[#This Row],[PESEL]],2))</f>
        <v>1985</v>
      </c>
      <c r="H780" s="11">
        <f>VALUE(RIGHT(LEFT(punkt_szczepień__13[[#This Row],[PESEL]],6),2))</f>
        <v>28</v>
      </c>
      <c r="I780" s="3">
        <f>DATE(punkt_szczepień__13[[#This Row],[rok]],punkt_szczepień__13[[#This Row],[miesiac]],punkt_szczepień__13[[#This Row],[dzień]])</f>
        <v>31287</v>
      </c>
      <c r="J780" s="1" t="str">
        <f>punkt_szczepień__13[[#This Row],[PESEL]]</f>
        <v>85082853229</v>
      </c>
      <c r="K780" s="1">
        <f>VALUE(MID(punkt_szczepień__13[[#This Row],[PESEL]],10,1))</f>
        <v>2</v>
      </c>
      <c r="L780" s="11" t="str">
        <f>IF(MOD(punkt_szczepień__13[[#This Row],[liczba płeć]],2)=0,"K","M")</f>
        <v>K</v>
      </c>
      <c r="M780" s="1"/>
      <c r="N780" s="1"/>
    </row>
    <row r="781" spans="1:14" x14ac:dyDescent="0.25">
      <c r="A781" s="1" t="s">
        <v>787</v>
      </c>
      <c r="B781" s="1" t="s">
        <v>7</v>
      </c>
      <c r="C781" s="2">
        <v>0.63049768518518523</v>
      </c>
      <c r="D781">
        <v>1</v>
      </c>
      <c r="E781">
        <f>VALUE(RIGHT(LEFT(punkt_szczepień__13[[#This Row],[PESEL]],4),2))</f>
        <v>30</v>
      </c>
      <c r="F781" s="11">
        <f>MOD(punkt_szczepień__13[[#This Row],[liczba miesiac]],20)</f>
        <v>10</v>
      </c>
      <c r="G781" s="11">
        <f>VLOOKUP(punkt_szczepień__13[[#This Row],[liczba miesiac]]-punkt_szczepień__13[[#This Row],[miesiac]],$O$3:$P$7,2,0)+VALUE(LEFT(punkt_szczepień__13[[#This Row],[PESEL]],2))</f>
        <v>2001</v>
      </c>
      <c r="H781" s="11">
        <f>VALUE(RIGHT(LEFT(punkt_szczepień__13[[#This Row],[PESEL]],6),2))</f>
        <v>30</v>
      </c>
      <c r="I781" s="3">
        <f>DATE(punkt_szczepień__13[[#This Row],[rok]],punkt_szczepień__13[[#This Row],[miesiac]],punkt_szczepień__13[[#This Row],[dzień]])</f>
        <v>37194</v>
      </c>
      <c r="J781" s="1" t="str">
        <f>punkt_szczepień__13[[#This Row],[PESEL]]</f>
        <v>01303087585</v>
      </c>
      <c r="K781" s="1">
        <f>VALUE(MID(punkt_szczepień__13[[#This Row],[PESEL]],10,1))</f>
        <v>8</v>
      </c>
      <c r="L781" s="11" t="str">
        <f>IF(MOD(punkt_szczepień__13[[#This Row],[liczba płeć]],2)=0,"K","M")</f>
        <v>K</v>
      </c>
      <c r="M781" s="1"/>
      <c r="N781" s="1"/>
    </row>
    <row r="782" spans="1:14" x14ac:dyDescent="0.25">
      <c r="A782" s="1" t="s">
        <v>788</v>
      </c>
      <c r="B782" s="1" t="s">
        <v>9</v>
      </c>
      <c r="C782" s="2">
        <v>0.63107638888888884</v>
      </c>
      <c r="D782">
        <v>2</v>
      </c>
      <c r="E782">
        <f>VALUE(RIGHT(LEFT(punkt_szczepień__13[[#This Row],[PESEL]],4),2))</f>
        <v>10</v>
      </c>
      <c r="F782" s="11">
        <f>MOD(punkt_szczepień__13[[#This Row],[liczba miesiac]],20)</f>
        <v>10</v>
      </c>
      <c r="G782" s="11">
        <f>VLOOKUP(punkt_szczepień__13[[#This Row],[liczba miesiac]]-punkt_szczepień__13[[#This Row],[miesiac]],$O$3:$P$7,2,0)+VALUE(LEFT(punkt_szczepień__13[[#This Row],[PESEL]],2))</f>
        <v>1924</v>
      </c>
      <c r="H782" s="11">
        <f>VALUE(RIGHT(LEFT(punkt_szczepień__13[[#This Row],[PESEL]],6),2))</f>
        <v>31</v>
      </c>
      <c r="I782" s="3">
        <f>DATE(punkt_szczepień__13[[#This Row],[rok]],punkt_szczepień__13[[#This Row],[miesiac]],punkt_szczepień__13[[#This Row],[dzień]])</f>
        <v>9071</v>
      </c>
      <c r="J782" s="1" t="str">
        <f>punkt_szczepień__13[[#This Row],[PESEL]]</f>
        <v>24103124645</v>
      </c>
      <c r="K782" s="1">
        <f>VALUE(MID(punkt_szczepień__13[[#This Row],[PESEL]],10,1))</f>
        <v>4</v>
      </c>
      <c r="L782" s="11" t="str">
        <f>IF(MOD(punkt_szczepień__13[[#This Row],[liczba płeć]],2)=0,"K","M")</f>
        <v>K</v>
      </c>
      <c r="M782" s="1"/>
      <c r="N782" s="1"/>
    </row>
    <row r="783" spans="1:14" x14ac:dyDescent="0.25">
      <c r="A783" s="1" t="s">
        <v>789</v>
      </c>
      <c r="B783" s="1" t="s">
        <v>9</v>
      </c>
      <c r="C783" s="2">
        <v>0.63165509259259256</v>
      </c>
      <c r="D783">
        <v>2</v>
      </c>
      <c r="E783">
        <f>VALUE(RIGHT(LEFT(punkt_szczepień__13[[#This Row],[PESEL]],4),2))</f>
        <v>3</v>
      </c>
      <c r="F783" s="11">
        <f>MOD(punkt_szczepień__13[[#This Row],[liczba miesiac]],20)</f>
        <v>3</v>
      </c>
      <c r="G783" s="11">
        <f>VLOOKUP(punkt_szczepień__13[[#This Row],[liczba miesiac]]-punkt_szczepień__13[[#This Row],[miesiac]],$O$3:$P$7,2,0)+VALUE(LEFT(punkt_szczepień__13[[#This Row],[PESEL]],2))</f>
        <v>1953</v>
      </c>
      <c r="H783" s="11">
        <f>VALUE(RIGHT(LEFT(punkt_szczepień__13[[#This Row],[PESEL]],6),2))</f>
        <v>13</v>
      </c>
      <c r="I783" s="3">
        <f>DATE(punkt_szczepień__13[[#This Row],[rok]],punkt_szczepień__13[[#This Row],[miesiac]],punkt_szczepień__13[[#This Row],[dzień]])</f>
        <v>19431</v>
      </c>
      <c r="J783" s="1" t="str">
        <f>punkt_szczepień__13[[#This Row],[PESEL]]</f>
        <v>53031368678</v>
      </c>
      <c r="K783" s="1">
        <f>VALUE(MID(punkt_szczepień__13[[#This Row],[PESEL]],10,1))</f>
        <v>7</v>
      </c>
      <c r="L783" s="11" t="str">
        <f>IF(MOD(punkt_szczepień__13[[#This Row],[liczba płeć]],2)=0,"K","M")</f>
        <v>M</v>
      </c>
      <c r="M783" s="1"/>
      <c r="N783" s="1"/>
    </row>
    <row r="784" spans="1:14" x14ac:dyDescent="0.25">
      <c r="A784" s="1" t="s">
        <v>790</v>
      </c>
      <c r="B784" s="1" t="s">
        <v>5</v>
      </c>
      <c r="C784" s="2">
        <v>0.63194444444444442</v>
      </c>
      <c r="D784">
        <v>1</v>
      </c>
      <c r="E784">
        <f>VALUE(RIGHT(LEFT(punkt_szczepień__13[[#This Row],[PESEL]],4),2))</f>
        <v>31</v>
      </c>
      <c r="F784" s="11">
        <f>MOD(punkt_szczepień__13[[#This Row],[liczba miesiac]],20)</f>
        <v>11</v>
      </c>
      <c r="G784" s="11">
        <f>VLOOKUP(punkt_szczepień__13[[#This Row],[liczba miesiac]]-punkt_szczepień__13[[#This Row],[miesiac]],$O$3:$P$7,2,0)+VALUE(LEFT(punkt_szczepień__13[[#This Row],[PESEL]],2))</f>
        <v>2002</v>
      </c>
      <c r="H784" s="11">
        <f>VALUE(RIGHT(LEFT(punkt_szczepień__13[[#This Row],[PESEL]],6),2))</f>
        <v>16</v>
      </c>
      <c r="I784" s="3">
        <f>DATE(punkt_szczepień__13[[#This Row],[rok]],punkt_szczepień__13[[#This Row],[miesiac]],punkt_szczepień__13[[#This Row],[dzień]])</f>
        <v>37576</v>
      </c>
      <c r="J784" s="1" t="str">
        <f>punkt_szczepień__13[[#This Row],[PESEL]]</f>
        <v>02311665831</v>
      </c>
      <c r="K784" s="1">
        <f>VALUE(MID(punkt_szczepień__13[[#This Row],[PESEL]],10,1))</f>
        <v>3</v>
      </c>
      <c r="L784" s="11" t="str">
        <f>IF(MOD(punkt_szczepień__13[[#This Row],[liczba płeć]],2)=0,"K","M")</f>
        <v>M</v>
      </c>
      <c r="M784" s="1"/>
      <c r="N784" s="1"/>
    </row>
    <row r="785" spans="1:14" x14ac:dyDescent="0.25">
      <c r="A785" s="1" t="s">
        <v>791</v>
      </c>
      <c r="B785" s="1" t="s">
        <v>5</v>
      </c>
      <c r="C785" s="2">
        <v>0.63223379629629628</v>
      </c>
      <c r="D785">
        <v>1</v>
      </c>
      <c r="E785">
        <f>VALUE(RIGHT(LEFT(punkt_szczepień__13[[#This Row],[PESEL]],4),2))</f>
        <v>1</v>
      </c>
      <c r="F785" s="11">
        <f>MOD(punkt_szczepień__13[[#This Row],[liczba miesiac]],20)</f>
        <v>1</v>
      </c>
      <c r="G785" s="11">
        <f>VLOOKUP(punkt_szczepień__13[[#This Row],[liczba miesiac]]-punkt_szczepień__13[[#This Row],[miesiac]],$O$3:$P$7,2,0)+VALUE(LEFT(punkt_szczepień__13[[#This Row],[PESEL]],2))</f>
        <v>1934</v>
      </c>
      <c r="H785" s="11">
        <f>VALUE(RIGHT(LEFT(punkt_szczepień__13[[#This Row],[PESEL]],6),2))</f>
        <v>28</v>
      </c>
      <c r="I785" s="3">
        <f>DATE(punkt_szczepień__13[[#This Row],[rok]],punkt_szczepień__13[[#This Row],[miesiac]],punkt_szczepień__13[[#This Row],[dzień]])</f>
        <v>12447</v>
      </c>
      <c r="J785" s="1" t="str">
        <f>punkt_szczepień__13[[#This Row],[PESEL]]</f>
        <v>34012884695</v>
      </c>
      <c r="K785" s="1">
        <f>VALUE(MID(punkt_szczepień__13[[#This Row],[PESEL]],10,1))</f>
        <v>9</v>
      </c>
      <c r="L785" s="11" t="str">
        <f>IF(MOD(punkt_szczepień__13[[#This Row],[liczba płeć]],2)=0,"K","M")</f>
        <v>M</v>
      </c>
      <c r="M785" s="1"/>
      <c r="N785" s="1"/>
    </row>
    <row r="786" spans="1:14" x14ac:dyDescent="0.25">
      <c r="A786" s="1" t="s">
        <v>792</v>
      </c>
      <c r="B786" s="1" t="s">
        <v>7</v>
      </c>
      <c r="C786" s="2">
        <v>0.63252314814814814</v>
      </c>
      <c r="D786">
        <v>1</v>
      </c>
      <c r="E786">
        <f>VALUE(RIGHT(LEFT(punkt_szczepień__13[[#This Row],[PESEL]],4),2))</f>
        <v>11</v>
      </c>
      <c r="F786" s="11">
        <f>MOD(punkt_szczepień__13[[#This Row],[liczba miesiac]],20)</f>
        <v>11</v>
      </c>
      <c r="G786" s="11">
        <f>VLOOKUP(punkt_szczepień__13[[#This Row],[liczba miesiac]]-punkt_szczepień__13[[#This Row],[miesiac]],$O$3:$P$7,2,0)+VALUE(LEFT(punkt_szczepień__13[[#This Row],[PESEL]],2))</f>
        <v>1932</v>
      </c>
      <c r="H786" s="11">
        <f>VALUE(RIGHT(LEFT(punkt_szczepień__13[[#This Row],[PESEL]],6),2))</f>
        <v>9</v>
      </c>
      <c r="I786" s="3">
        <f>DATE(punkt_szczepień__13[[#This Row],[rok]],punkt_szczepień__13[[#This Row],[miesiac]],punkt_szczepień__13[[#This Row],[dzień]])</f>
        <v>12002</v>
      </c>
      <c r="J786" s="1" t="str">
        <f>punkt_szczepień__13[[#This Row],[PESEL]]</f>
        <v>32110971772</v>
      </c>
      <c r="K786" s="1">
        <f>VALUE(MID(punkt_szczepień__13[[#This Row],[PESEL]],10,1))</f>
        <v>7</v>
      </c>
      <c r="L786" s="11" t="str">
        <f>IF(MOD(punkt_szczepień__13[[#This Row],[liczba płeć]],2)=0,"K","M")</f>
        <v>M</v>
      </c>
      <c r="M786" s="1"/>
      <c r="N786" s="1"/>
    </row>
    <row r="787" spans="1:14" x14ac:dyDescent="0.25">
      <c r="A787" s="1" t="s">
        <v>793</v>
      </c>
      <c r="B787" s="1" t="s">
        <v>9</v>
      </c>
      <c r="C787" s="2">
        <v>0.6328125</v>
      </c>
      <c r="D787">
        <v>1</v>
      </c>
      <c r="E787">
        <f>VALUE(RIGHT(LEFT(punkt_szczepień__13[[#This Row],[PESEL]],4),2))</f>
        <v>1</v>
      </c>
      <c r="F787" s="11">
        <f>MOD(punkt_szczepień__13[[#This Row],[liczba miesiac]],20)</f>
        <v>1</v>
      </c>
      <c r="G787" s="11">
        <f>VLOOKUP(punkt_szczepień__13[[#This Row],[liczba miesiac]]-punkt_szczepień__13[[#This Row],[miesiac]],$O$3:$P$7,2,0)+VALUE(LEFT(punkt_szczepień__13[[#This Row],[PESEL]],2))</f>
        <v>1961</v>
      </c>
      <c r="H787" s="11">
        <f>VALUE(RIGHT(LEFT(punkt_szczepień__13[[#This Row],[PESEL]],6),2))</f>
        <v>5</v>
      </c>
      <c r="I787" s="3">
        <f>DATE(punkt_szczepień__13[[#This Row],[rok]],punkt_szczepień__13[[#This Row],[miesiac]],punkt_szczepień__13[[#This Row],[dzień]])</f>
        <v>22286</v>
      </c>
      <c r="J787" s="1" t="str">
        <f>punkt_szczepień__13[[#This Row],[PESEL]]</f>
        <v>61010554877</v>
      </c>
      <c r="K787" s="1">
        <f>VALUE(MID(punkt_szczepień__13[[#This Row],[PESEL]],10,1))</f>
        <v>7</v>
      </c>
      <c r="L787" s="11" t="str">
        <f>IF(MOD(punkt_szczepień__13[[#This Row],[liczba płeć]],2)=0,"K","M")</f>
        <v>M</v>
      </c>
      <c r="M787" s="1"/>
      <c r="N787" s="1"/>
    </row>
    <row r="788" spans="1:14" x14ac:dyDescent="0.25">
      <c r="A788" s="1" t="s">
        <v>794</v>
      </c>
      <c r="B788" s="1" t="s">
        <v>9</v>
      </c>
      <c r="C788" s="2">
        <v>0.63339120370370372</v>
      </c>
      <c r="D788">
        <v>2</v>
      </c>
      <c r="E788">
        <f>VALUE(RIGHT(LEFT(punkt_szczepień__13[[#This Row],[PESEL]],4),2))</f>
        <v>6</v>
      </c>
      <c r="F788" s="11">
        <f>MOD(punkt_szczepień__13[[#This Row],[liczba miesiac]],20)</f>
        <v>6</v>
      </c>
      <c r="G788" s="11">
        <f>VLOOKUP(punkt_szczepień__13[[#This Row],[liczba miesiac]]-punkt_szczepień__13[[#This Row],[miesiac]],$O$3:$P$7,2,0)+VALUE(LEFT(punkt_szczepień__13[[#This Row],[PESEL]],2))</f>
        <v>1978</v>
      </c>
      <c r="H788" s="11">
        <f>VALUE(RIGHT(LEFT(punkt_szczepień__13[[#This Row],[PESEL]],6),2))</f>
        <v>25</v>
      </c>
      <c r="I788" s="3">
        <f>DATE(punkt_szczepień__13[[#This Row],[rok]],punkt_szczepień__13[[#This Row],[miesiac]],punkt_szczepień__13[[#This Row],[dzień]])</f>
        <v>28666</v>
      </c>
      <c r="J788" s="1" t="str">
        <f>punkt_szczepień__13[[#This Row],[PESEL]]</f>
        <v>78062549665</v>
      </c>
      <c r="K788" s="1">
        <f>VALUE(MID(punkt_szczepień__13[[#This Row],[PESEL]],10,1))</f>
        <v>6</v>
      </c>
      <c r="L788" s="11" t="str">
        <f>IF(MOD(punkt_szczepień__13[[#This Row],[liczba płeć]],2)=0,"K","M")</f>
        <v>K</v>
      </c>
      <c r="M788" s="1"/>
      <c r="N788" s="1"/>
    </row>
    <row r="789" spans="1:14" x14ac:dyDescent="0.25">
      <c r="A789" s="1" t="s">
        <v>795</v>
      </c>
      <c r="B789" s="1" t="s">
        <v>9</v>
      </c>
      <c r="C789" s="2">
        <v>0.63368055555555558</v>
      </c>
      <c r="D789">
        <v>1</v>
      </c>
      <c r="E789">
        <f>VALUE(RIGHT(LEFT(punkt_szczepień__13[[#This Row],[PESEL]],4),2))</f>
        <v>4</v>
      </c>
      <c r="F789" s="11">
        <f>MOD(punkt_szczepień__13[[#This Row],[liczba miesiac]],20)</f>
        <v>4</v>
      </c>
      <c r="G789" s="11">
        <f>VLOOKUP(punkt_szczepień__13[[#This Row],[liczba miesiac]]-punkt_szczepień__13[[#This Row],[miesiac]],$O$3:$P$7,2,0)+VALUE(LEFT(punkt_szczepień__13[[#This Row],[PESEL]],2))</f>
        <v>1920</v>
      </c>
      <c r="H789" s="11">
        <f>VALUE(RIGHT(LEFT(punkt_szczepień__13[[#This Row],[PESEL]],6),2))</f>
        <v>19</v>
      </c>
      <c r="I789" s="3">
        <f>DATE(punkt_szczepień__13[[#This Row],[rok]],punkt_szczepień__13[[#This Row],[miesiac]],punkt_szczepień__13[[#This Row],[dzień]])</f>
        <v>7415</v>
      </c>
      <c r="J789" s="1" t="str">
        <f>punkt_szczepień__13[[#This Row],[PESEL]]</f>
        <v>20041912689</v>
      </c>
      <c r="K789" s="1">
        <f>VALUE(MID(punkt_szczepień__13[[#This Row],[PESEL]],10,1))</f>
        <v>8</v>
      </c>
      <c r="L789" s="11" t="str">
        <f>IF(MOD(punkt_szczepień__13[[#This Row],[liczba płeć]],2)=0,"K","M")</f>
        <v>K</v>
      </c>
      <c r="M789" s="1"/>
      <c r="N789" s="1"/>
    </row>
    <row r="790" spans="1:14" x14ac:dyDescent="0.25">
      <c r="A790" s="1" t="s">
        <v>796</v>
      </c>
      <c r="B790" s="1" t="s">
        <v>7</v>
      </c>
      <c r="C790" s="2">
        <v>0.63396990740740744</v>
      </c>
      <c r="D790">
        <v>1</v>
      </c>
      <c r="E790">
        <f>VALUE(RIGHT(LEFT(punkt_szczepień__13[[#This Row],[PESEL]],4),2))</f>
        <v>12</v>
      </c>
      <c r="F790" s="11">
        <f>MOD(punkt_szczepień__13[[#This Row],[liczba miesiac]],20)</f>
        <v>12</v>
      </c>
      <c r="G790" s="11">
        <f>VLOOKUP(punkt_szczepień__13[[#This Row],[liczba miesiac]]-punkt_szczepień__13[[#This Row],[miesiac]],$O$3:$P$7,2,0)+VALUE(LEFT(punkt_szczepień__13[[#This Row],[PESEL]],2))</f>
        <v>1978</v>
      </c>
      <c r="H790" s="11">
        <f>VALUE(RIGHT(LEFT(punkt_szczepień__13[[#This Row],[PESEL]],6),2))</f>
        <v>8</v>
      </c>
      <c r="I790" s="3">
        <f>DATE(punkt_szczepień__13[[#This Row],[rok]],punkt_szczepień__13[[#This Row],[miesiac]],punkt_szczepień__13[[#This Row],[dzień]])</f>
        <v>28832</v>
      </c>
      <c r="J790" s="1" t="str">
        <f>punkt_szczepień__13[[#This Row],[PESEL]]</f>
        <v>78120853329</v>
      </c>
      <c r="K790" s="1">
        <f>VALUE(MID(punkt_szczepień__13[[#This Row],[PESEL]],10,1))</f>
        <v>2</v>
      </c>
      <c r="L790" s="11" t="str">
        <f>IF(MOD(punkt_szczepień__13[[#This Row],[liczba płeć]],2)=0,"K","M")</f>
        <v>K</v>
      </c>
      <c r="M790" s="1"/>
      <c r="N790" s="1"/>
    </row>
    <row r="791" spans="1:14" x14ac:dyDescent="0.25">
      <c r="A791" s="1" t="s">
        <v>797</v>
      </c>
      <c r="B791" s="1" t="s">
        <v>27</v>
      </c>
      <c r="C791" s="2">
        <v>0.6342592592592593</v>
      </c>
      <c r="D791">
        <v>1</v>
      </c>
      <c r="E791">
        <f>VALUE(RIGHT(LEFT(punkt_szczepień__13[[#This Row],[PESEL]],4),2))</f>
        <v>5</v>
      </c>
      <c r="F791" s="11">
        <f>MOD(punkt_szczepień__13[[#This Row],[liczba miesiac]],20)</f>
        <v>5</v>
      </c>
      <c r="G791" s="11">
        <f>VLOOKUP(punkt_szczepień__13[[#This Row],[liczba miesiac]]-punkt_szczepień__13[[#This Row],[miesiac]],$O$3:$P$7,2,0)+VALUE(LEFT(punkt_szczepień__13[[#This Row],[PESEL]],2))</f>
        <v>1953</v>
      </c>
      <c r="H791" s="11">
        <f>VALUE(RIGHT(LEFT(punkt_szczepień__13[[#This Row],[PESEL]],6),2))</f>
        <v>25</v>
      </c>
      <c r="I791" s="3">
        <f>DATE(punkt_szczepień__13[[#This Row],[rok]],punkt_szczepień__13[[#This Row],[miesiac]],punkt_szczepień__13[[#This Row],[dzień]])</f>
        <v>19504</v>
      </c>
      <c r="J791" s="1" t="str">
        <f>punkt_szczepień__13[[#This Row],[PESEL]]</f>
        <v>53052543443</v>
      </c>
      <c r="K791" s="1">
        <f>VALUE(MID(punkt_szczepień__13[[#This Row],[PESEL]],10,1))</f>
        <v>4</v>
      </c>
      <c r="L791" s="11" t="str">
        <f>IF(MOD(punkt_szczepień__13[[#This Row],[liczba płeć]],2)=0,"K","M")</f>
        <v>K</v>
      </c>
      <c r="M791" s="1"/>
      <c r="N791" s="1"/>
    </row>
    <row r="792" spans="1:14" x14ac:dyDescent="0.25">
      <c r="A792" s="1" t="s">
        <v>798</v>
      </c>
      <c r="B792" s="1" t="s">
        <v>7</v>
      </c>
      <c r="C792" s="2">
        <v>0.63454861111111116</v>
      </c>
      <c r="D792">
        <v>1</v>
      </c>
      <c r="E792">
        <f>VALUE(RIGHT(LEFT(punkt_szczepień__13[[#This Row],[PESEL]],4),2))</f>
        <v>8</v>
      </c>
      <c r="F792" s="11">
        <f>MOD(punkt_szczepień__13[[#This Row],[liczba miesiac]],20)</f>
        <v>8</v>
      </c>
      <c r="G792" s="11">
        <f>VLOOKUP(punkt_szczepień__13[[#This Row],[liczba miesiac]]-punkt_szczepień__13[[#This Row],[miesiac]],$O$3:$P$7,2,0)+VALUE(LEFT(punkt_szczepień__13[[#This Row],[PESEL]],2))</f>
        <v>1975</v>
      </c>
      <c r="H792" s="11">
        <f>VALUE(RIGHT(LEFT(punkt_szczepień__13[[#This Row],[PESEL]],6),2))</f>
        <v>28</v>
      </c>
      <c r="I792" s="3">
        <f>DATE(punkt_szczepień__13[[#This Row],[rok]],punkt_szczepień__13[[#This Row],[miesiac]],punkt_szczepień__13[[#This Row],[dzień]])</f>
        <v>27634</v>
      </c>
      <c r="J792" s="1" t="str">
        <f>punkt_szczepień__13[[#This Row],[PESEL]]</f>
        <v>75082852618</v>
      </c>
      <c r="K792" s="1">
        <f>VALUE(MID(punkt_szczepień__13[[#This Row],[PESEL]],10,1))</f>
        <v>1</v>
      </c>
      <c r="L792" s="11" t="str">
        <f>IF(MOD(punkt_szczepień__13[[#This Row],[liczba płeć]],2)=0,"K","M")</f>
        <v>M</v>
      </c>
      <c r="M792" s="1"/>
      <c r="N792" s="1"/>
    </row>
    <row r="793" spans="1:14" x14ac:dyDescent="0.25">
      <c r="A793" s="1" t="s">
        <v>799</v>
      </c>
      <c r="B793" s="1" t="s">
        <v>5</v>
      </c>
      <c r="C793" s="2">
        <v>0.63483796296296291</v>
      </c>
      <c r="D793">
        <v>1</v>
      </c>
      <c r="E793">
        <f>VALUE(RIGHT(LEFT(punkt_szczepień__13[[#This Row],[PESEL]],4),2))</f>
        <v>5</v>
      </c>
      <c r="F793" s="11">
        <f>MOD(punkt_szczepień__13[[#This Row],[liczba miesiac]],20)</f>
        <v>5</v>
      </c>
      <c r="G793" s="11">
        <f>VLOOKUP(punkt_szczepień__13[[#This Row],[liczba miesiac]]-punkt_szczepień__13[[#This Row],[miesiac]],$O$3:$P$7,2,0)+VALUE(LEFT(punkt_szczepień__13[[#This Row],[PESEL]],2))</f>
        <v>1928</v>
      </c>
      <c r="H793" s="11">
        <f>VALUE(RIGHT(LEFT(punkt_szczepień__13[[#This Row],[PESEL]],6),2))</f>
        <v>4</v>
      </c>
      <c r="I793" s="3">
        <f>DATE(punkt_szczepień__13[[#This Row],[rok]],punkt_szczepień__13[[#This Row],[miesiac]],punkt_szczepień__13[[#This Row],[dzień]])</f>
        <v>10352</v>
      </c>
      <c r="J793" s="1" t="str">
        <f>punkt_szczepień__13[[#This Row],[PESEL]]</f>
        <v>28050452851</v>
      </c>
      <c r="K793" s="1">
        <f>VALUE(MID(punkt_szczepień__13[[#This Row],[PESEL]],10,1))</f>
        <v>5</v>
      </c>
      <c r="L793" s="11" t="str">
        <f>IF(MOD(punkt_szczepień__13[[#This Row],[liczba płeć]],2)=0,"K","M")</f>
        <v>M</v>
      </c>
      <c r="M793" s="1"/>
      <c r="N793" s="1"/>
    </row>
    <row r="794" spans="1:14" x14ac:dyDescent="0.25">
      <c r="A794" s="1" t="s">
        <v>800</v>
      </c>
      <c r="B794" s="1" t="s">
        <v>7</v>
      </c>
      <c r="C794" s="2">
        <v>0.63512731481481477</v>
      </c>
      <c r="D794">
        <v>1</v>
      </c>
      <c r="E794">
        <f>VALUE(RIGHT(LEFT(punkt_szczepień__13[[#This Row],[PESEL]],4),2))</f>
        <v>24</v>
      </c>
      <c r="F794" s="11">
        <f>MOD(punkt_szczepień__13[[#This Row],[liczba miesiac]],20)</f>
        <v>4</v>
      </c>
      <c r="G794" s="11">
        <f>VLOOKUP(punkt_szczepień__13[[#This Row],[liczba miesiac]]-punkt_szczepień__13[[#This Row],[miesiac]],$O$3:$P$7,2,0)+VALUE(LEFT(punkt_szczepień__13[[#This Row],[PESEL]],2))</f>
        <v>2001</v>
      </c>
      <c r="H794" s="11">
        <f>VALUE(RIGHT(LEFT(punkt_szczepień__13[[#This Row],[PESEL]],6),2))</f>
        <v>16</v>
      </c>
      <c r="I794" s="3">
        <f>DATE(punkt_szczepień__13[[#This Row],[rok]],punkt_szczepień__13[[#This Row],[miesiac]],punkt_szczepień__13[[#This Row],[dzień]])</f>
        <v>36997</v>
      </c>
      <c r="J794" s="1" t="str">
        <f>punkt_szczepień__13[[#This Row],[PESEL]]</f>
        <v>01241694474</v>
      </c>
      <c r="K794" s="1">
        <f>VALUE(MID(punkt_szczepień__13[[#This Row],[PESEL]],10,1))</f>
        <v>7</v>
      </c>
      <c r="L794" s="11" t="str">
        <f>IF(MOD(punkt_szczepień__13[[#This Row],[liczba płeć]],2)=0,"K","M")</f>
        <v>M</v>
      </c>
      <c r="M794" s="1"/>
      <c r="N794" s="1"/>
    </row>
    <row r="795" spans="1:14" x14ac:dyDescent="0.25">
      <c r="A795" s="1" t="s">
        <v>801</v>
      </c>
      <c r="B795" s="1" t="s">
        <v>5</v>
      </c>
      <c r="C795" s="2">
        <v>0.63570601851851849</v>
      </c>
      <c r="D795">
        <v>2</v>
      </c>
      <c r="E795">
        <f>VALUE(RIGHT(LEFT(punkt_szczepień__13[[#This Row],[PESEL]],4),2))</f>
        <v>7</v>
      </c>
      <c r="F795" s="11">
        <f>MOD(punkt_szczepień__13[[#This Row],[liczba miesiac]],20)</f>
        <v>7</v>
      </c>
      <c r="G795" s="11">
        <f>VLOOKUP(punkt_szczepień__13[[#This Row],[liczba miesiac]]-punkt_szczepień__13[[#This Row],[miesiac]],$O$3:$P$7,2,0)+VALUE(LEFT(punkt_szczepień__13[[#This Row],[PESEL]],2))</f>
        <v>1970</v>
      </c>
      <c r="H795" s="11">
        <f>VALUE(RIGHT(LEFT(punkt_szczepień__13[[#This Row],[PESEL]],6),2))</f>
        <v>27</v>
      </c>
      <c r="I795" s="3">
        <f>DATE(punkt_szczepień__13[[#This Row],[rok]],punkt_szczepień__13[[#This Row],[miesiac]],punkt_szczepień__13[[#This Row],[dzień]])</f>
        <v>25776</v>
      </c>
      <c r="J795" s="1" t="str">
        <f>punkt_szczepień__13[[#This Row],[PESEL]]</f>
        <v>70072711216</v>
      </c>
      <c r="K795" s="1">
        <f>VALUE(MID(punkt_szczepień__13[[#This Row],[PESEL]],10,1))</f>
        <v>1</v>
      </c>
      <c r="L795" s="11" t="str">
        <f>IF(MOD(punkt_szczepień__13[[#This Row],[liczba płeć]],2)=0,"K","M")</f>
        <v>M</v>
      </c>
      <c r="M795" s="1"/>
      <c r="N795" s="1"/>
    </row>
    <row r="796" spans="1:14" x14ac:dyDescent="0.25">
      <c r="A796" s="1" t="s">
        <v>802</v>
      </c>
      <c r="B796" s="1" t="s">
        <v>7</v>
      </c>
      <c r="C796" s="2">
        <v>0.63599537037037035</v>
      </c>
      <c r="D796">
        <v>1</v>
      </c>
      <c r="E796">
        <f>VALUE(RIGHT(LEFT(punkt_szczepień__13[[#This Row],[PESEL]],4),2))</f>
        <v>3</v>
      </c>
      <c r="F796" s="11">
        <f>MOD(punkt_szczepień__13[[#This Row],[liczba miesiac]],20)</f>
        <v>3</v>
      </c>
      <c r="G796" s="11">
        <f>VLOOKUP(punkt_szczepień__13[[#This Row],[liczba miesiac]]-punkt_szczepień__13[[#This Row],[miesiac]],$O$3:$P$7,2,0)+VALUE(LEFT(punkt_szczepień__13[[#This Row],[PESEL]],2))</f>
        <v>1991</v>
      </c>
      <c r="H796" s="11">
        <f>VALUE(RIGHT(LEFT(punkt_szczepień__13[[#This Row],[PESEL]],6),2))</f>
        <v>3</v>
      </c>
      <c r="I796" s="3">
        <f>DATE(punkt_szczepień__13[[#This Row],[rok]],punkt_szczepień__13[[#This Row],[miesiac]],punkt_szczepień__13[[#This Row],[dzień]])</f>
        <v>33300</v>
      </c>
      <c r="J796" s="1" t="str">
        <f>punkt_szczepień__13[[#This Row],[PESEL]]</f>
        <v>91030314931</v>
      </c>
      <c r="K796" s="1">
        <f>VALUE(MID(punkt_szczepień__13[[#This Row],[PESEL]],10,1))</f>
        <v>3</v>
      </c>
      <c r="L796" s="11" t="str">
        <f>IF(MOD(punkt_szczepień__13[[#This Row],[liczba płeć]],2)=0,"K","M")</f>
        <v>M</v>
      </c>
      <c r="M796" s="1"/>
      <c r="N796" s="1"/>
    </row>
    <row r="797" spans="1:14" x14ac:dyDescent="0.25">
      <c r="A797" s="1" t="s">
        <v>803</v>
      </c>
      <c r="B797" s="1" t="s">
        <v>9</v>
      </c>
      <c r="C797" s="2">
        <v>0.63657407407407407</v>
      </c>
      <c r="D797">
        <v>2</v>
      </c>
      <c r="E797">
        <f>VALUE(RIGHT(LEFT(punkt_szczepień__13[[#This Row],[PESEL]],4),2))</f>
        <v>26</v>
      </c>
      <c r="F797" s="11">
        <f>MOD(punkt_szczepień__13[[#This Row],[liczba miesiac]],20)</f>
        <v>6</v>
      </c>
      <c r="G797" s="11">
        <f>VLOOKUP(punkt_szczepień__13[[#This Row],[liczba miesiac]]-punkt_szczepień__13[[#This Row],[miesiac]],$O$3:$P$7,2,0)+VALUE(LEFT(punkt_szczepień__13[[#This Row],[PESEL]],2))</f>
        <v>2005</v>
      </c>
      <c r="H797" s="11">
        <f>VALUE(RIGHT(LEFT(punkt_szczepień__13[[#This Row],[PESEL]],6),2))</f>
        <v>6</v>
      </c>
      <c r="I797" s="3">
        <f>DATE(punkt_szczepień__13[[#This Row],[rok]],punkt_szczepień__13[[#This Row],[miesiac]],punkt_szczepień__13[[#This Row],[dzień]])</f>
        <v>38509</v>
      </c>
      <c r="J797" s="1" t="str">
        <f>punkt_szczepień__13[[#This Row],[PESEL]]</f>
        <v>05260658897</v>
      </c>
      <c r="K797" s="1">
        <f>VALUE(MID(punkt_szczepień__13[[#This Row],[PESEL]],10,1))</f>
        <v>9</v>
      </c>
      <c r="L797" s="11" t="str">
        <f>IF(MOD(punkt_szczepień__13[[#This Row],[liczba płeć]],2)=0,"K","M")</f>
        <v>M</v>
      </c>
      <c r="M797" s="1"/>
      <c r="N797" s="1"/>
    </row>
    <row r="798" spans="1:14" x14ac:dyDescent="0.25">
      <c r="A798" s="1" t="s">
        <v>804</v>
      </c>
      <c r="B798" s="1" t="s">
        <v>7</v>
      </c>
      <c r="C798" s="2">
        <v>0.63686342592592593</v>
      </c>
      <c r="D798">
        <v>1</v>
      </c>
      <c r="E798">
        <f>VALUE(RIGHT(LEFT(punkt_szczepień__13[[#This Row],[PESEL]],4),2))</f>
        <v>12</v>
      </c>
      <c r="F798" s="11">
        <f>MOD(punkt_szczepień__13[[#This Row],[liczba miesiac]],20)</f>
        <v>12</v>
      </c>
      <c r="G798" s="11">
        <f>VLOOKUP(punkt_szczepień__13[[#This Row],[liczba miesiac]]-punkt_szczepień__13[[#This Row],[miesiac]],$O$3:$P$7,2,0)+VALUE(LEFT(punkt_szczepień__13[[#This Row],[PESEL]],2))</f>
        <v>1946</v>
      </c>
      <c r="H798" s="11">
        <f>VALUE(RIGHT(LEFT(punkt_szczepień__13[[#This Row],[PESEL]],6),2))</f>
        <v>27</v>
      </c>
      <c r="I798" s="3">
        <f>DATE(punkt_szczepień__13[[#This Row],[rok]],punkt_szczepień__13[[#This Row],[miesiac]],punkt_szczepień__13[[#This Row],[dzień]])</f>
        <v>17163</v>
      </c>
      <c r="J798" s="1" t="str">
        <f>punkt_szczepień__13[[#This Row],[PESEL]]</f>
        <v>46122793413</v>
      </c>
      <c r="K798" s="1">
        <f>VALUE(MID(punkt_szczepień__13[[#This Row],[PESEL]],10,1))</f>
        <v>1</v>
      </c>
      <c r="L798" s="11" t="str">
        <f>IF(MOD(punkt_szczepień__13[[#This Row],[liczba płeć]],2)=0,"K","M")</f>
        <v>M</v>
      </c>
      <c r="M798" s="1"/>
      <c r="N798" s="1"/>
    </row>
    <row r="799" spans="1:14" x14ac:dyDescent="0.25">
      <c r="A799" s="1" t="s">
        <v>805</v>
      </c>
      <c r="B799" s="1" t="s">
        <v>5</v>
      </c>
      <c r="C799" s="2">
        <v>0.63744212962962965</v>
      </c>
      <c r="D799">
        <v>2</v>
      </c>
      <c r="E799">
        <f>VALUE(RIGHT(LEFT(punkt_szczepień__13[[#This Row],[PESEL]],4),2))</f>
        <v>25</v>
      </c>
      <c r="F799" s="11">
        <f>MOD(punkt_szczepień__13[[#This Row],[liczba miesiac]],20)</f>
        <v>5</v>
      </c>
      <c r="G799" s="11">
        <f>VLOOKUP(punkt_szczepień__13[[#This Row],[liczba miesiac]]-punkt_szczepień__13[[#This Row],[miesiac]],$O$3:$P$7,2,0)+VALUE(LEFT(punkt_szczepień__13[[#This Row],[PESEL]],2))</f>
        <v>2003</v>
      </c>
      <c r="H799" s="11">
        <f>VALUE(RIGHT(LEFT(punkt_szczepień__13[[#This Row],[PESEL]],6),2))</f>
        <v>10</v>
      </c>
      <c r="I799" s="3">
        <f>DATE(punkt_szczepień__13[[#This Row],[rok]],punkt_szczepień__13[[#This Row],[miesiac]],punkt_szczepień__13[[#This Row],[dzień]])</f>
        <v>37751</v>
      </c>
      <c r="J799" s="1" t="str">
        <f>punkt_szczepień__13[[#This Row],[PESEL]]</f>
        <v>03251014336</v>
      </c>
      <c r="K799" s="1">
        <f>VALUE(MID(punkt_szczepień__13[[#This Row],[PESEL]],10,1))</f>
        <v>3</v>
      </c>
      <c r="L799" s="11" t="str">
        <f>IF(MOD(punkt_szczepień__13[[#This Row],[liczba płeć]],2)=0,"K","M")</f>
        <v>M</v>
      </c>
      <c r="M799" s="1"/>
      <c r="N799" s="1"/>
    </row>
    <row r="800" spans="1:14" x14ac:dyDescent="0.25">
      <c r="A800" s="1" t="s">
        <v>806</v>
      </c>
      <c r="B800" s="1" t="s">
        <v>27</v>
      </c>
      <c r="C800" s="2">
        <v>0.63773148148148151</v>
      </c>
      <c r="D800">
        <v>1</v>
      </c>
      <c r="E800">
        <f>VALUE(RIGHT(LEFT(punkt_szczepień__13[[#This Row],[PESEL]],4),2))</f>
        <v>10</v>
      </c>
      <c r="F800" s="11">
        <f>MOD(punkt_szczepień__13[[#This Row],[liczba miesiac]],20)</f>
        <v>10</v>
      </c>
      <c r="G800" s="11">
        <f>VLOOKUP(punkt_szczepień__13[[#This Row],[liczba miesiac]]-punkt_szczepień__13[[#This Row],[miesiac]],$O$3:$P$7,2,0)+VALUE(LEFT(punkt_szczepień__13[[#This Row],[PESEL]],2))</f>
        <v>1925</v>
      </c>
      <c r="H800" s="11">
        <f>VALUE(RIGHT(LEFT(punkt_szczepień__13[[#This Row],[PESEL]],6),2))</f>
        <v>8</v>
      </c>
      <c r="I800" s="3">
        <f>DATE(punkt_szczepień__13[[#This Row],[rok]],punkt_szczepień__13[[#This Row],[miesiac]],punkt_szczepień__13[[#This Row],[dzień]])</f>
        <v>9413</v>
      </c>
      <c r="J800" s="1" t="str">
        <f>punkt_szczepień__13[[#This Row],[PESEL]]</f>
        <v>25100881533</v>
      </c>
      <c r="K800" s="1">
        <f>VALUE(MID(punkt_szczepień__13[[#This Row],[PESEL]],10,1))</f>
        <v>3</v>
      </c>
      <c r="L800" s="11" t="str">
        <f>IF(MOD(punkt_szczepień__13[[#This Row],[liczba płeć]],2)=0,"K","M")</f>
        <v>M</v>
      </c>
      <c r="M800" s="1"/>
      <c r="N800" s="1"/>
    </row>
    <row r="801" spans="1:14" x14ac:dyDescent="0.25">
      <c r="A801" s="1" t="s">
        <v>807</v>
      </c>
      <c r="B801" s="1" t="s">
        <v>7</v>
      </c>
      <c r="C801" s="2">
        <v>0.63802083333333337</v>
      </c>
      <c r="D801">
        <v>1</v>
      </c>
      <c r="E801">
        <f>VALUE(RIGHT(LEFT(punkt_szczepień__13[[#This Row],[PESEL]],4),2))</f>
        <v>27</v>
      </c>
      <c r="F801" s="11">
        <f>MOD(punkt_szczepień__13[[#This Row],[liczba miesiac]],20)</f>
        <v>7</v>
      </c>
      <c r="G801" s="11">
        <f>VLOOKUP(punkt_szczepień__13[[#This Row],[liczba miesiac]]-punkt_szczepień__13[[#This Row],[miesiac]],$O$3:$P$7,2,0)+VALUE(LEFT(punkt_szczepień__13[[#This Row],[PESEL]],2))</f>
        <v>2002</v>
      </c>
      <c r="H801" s="11">
        <f>VALUE(RIGHT(LEFT(punkt_szczepień__13[[#This Row],[PESEL]],6),2))</f>
        <v>14</v>
      </c>
      <c r="I801" s="3">
        <f>DATE(punkt_szczepień__13[[#This Row],[rok]],punkt_szczepień__13[[#This Row],[miesiac]],punkt_szczepień__13[[#This Row],[dzień]])</f>
        <v>37451</v>
      </c>
      <c r="J801" s="1" t="str">
        <f>punkt_szczepień__13[[#This Row],[PESEL]]</f>
        <v>02271493745</v>
      </c>
      <c r="K801" s="1">
        <f>VALUE(MID(punkt_szczepień__13[[#This Row],[PESEL]],10,1))</f>
        <v>4</v>
      </c>
      <c r="L801" s="11" t="str">
        <f>IF(MOD(punkt_szczepień__13[[#This Row],[liczba płeć]],2)=0,"K","M")</f>
        <v>K</v>
      </c>
      <c r="M801" s="1"/>
      <c r="N801" s="1"/>
    </row>
    <row r="802" spans="1:14" x14ac:dyDescent="0.25">
      <c r="A802" s="1" t="s">
        <v>808</v>
      </c>
      <c r="B802" s="1" t="s">
        <v>5</v>
      </c>
      <c r="C802" s="2">
        <v>0.63831018518518523</v>
      </c>
      <c r="D802">
        <v>1</v>
      </c>
      <c r="E802">
        <f>VALUE(RIGHT(LEFT(punkt_szczepień__13[[#This Row],[PESEL]],4),2))</f>
        <v>10</v>
      </c>
      <c r="F802" s="11">
        <f>MOD(punkt_szczepień__13[[#This Row],[liczba miesiac]],20)</f>
        <v>10</v>
      </c>
      <c r="G802" s="11">
        <f>VLOOKUP(punkt_szczepień__13[[#This Row],[liczba miesiac]]-punkt_szczepień__13[[#This Row],[miesiac]],$O$3:$P$7,2,0)+VALUE(LEFT(punkt_szczepień__13[[#This Row],[PESEL]],2))</f>
        <v>1954</v>
      </c>
      <c r="H802" s="11">
        <f>VALUE(RIGHT(LEFT(punkt_szczepień__13[[#This Row],[PESEL]],6),2))</f>
        <v>21</v>
      </c>
      <c r="I802" s="3">
        <f>DATE(punkt_szczepień__13[[#This Row],[rok]],punkt_szczepień__13[[#This Row],[miesiac]],punkt_szczepień__13[[#This Row],[dzień]])</f>
        <v>20018</v>
      </c>
      <c r="J802" s="1" t="str">
        <f>punkt_szczepień__13[[#This Row],[PESEL]]</f>
        <v>54102164119</v>
      </c>
      <c r="K802" s="1">
        <f>VALUE(MID(punkt_szczepień__13[[#This Row],[PESEL]],10,1))</f>
        <v>1</v>
      </c>
      <c r="L802" s="11" t="str">
        <f>IF(MOD(punkt_szczepień__13[[#This Row],[liczba płeć]],2)=0,"K","M")</f>
        <v>M</v>
      </c>
      <c r="M802" s="1"/>
      <c r="N802" s="1"/>
    </row>
    <row r="803" spans="1:14" x14ac:dyDescent="0.25">
      <c r="A803" s="1" t="s">
        <v>809</v>
      </c>
      <c r="B803" s="1" t="s">
        <v>9</v>
      </c>
      <c r="C803" s="2">
        <v>0.63888888888888884</v>
      </c>
      <c r="D803">
        <v>2</v>
      </c>
      <c r="E803">
        <f>VALUE(RIGHT(LEFT(punkt_szczepień__13[[#This Row],[PESEL]],4),2))</f>
        <v>28</v>
      </c>
      <c r="F803" s="11">
        <f>MOD(punkt_szczepień__13[[#This Row],[liczba miesiac]],20)</f>
        <v>8</v>
      </c>
      <c r="G803" s="11">
        <f>VLOOKUP(punkt_szczepień__13[[#This Row],[liczba miesiac]]-punkt_szczepień__13[[#This Row],[miesiac]],$O$3:$P$7,2,0)+VALUE(LEFT(punkt_szczepień__13[[#This Row],[PESEL]],2))</f>
        <v>2004</v>
      </c>
      <c r="H803" s="11">
        <f>VALUE(RIGHT(LEFT(punkt_szczepień__13[[#This Row],[PESEL]],6),2))</f>
        <v>25</v>
      </c>
      <c r="I803" s="3">
        <f>DATE(punkt_szczepień__13[[#This Row],[rok]],punkt_szczepień__13[[#This Row],[miesiac]],punkt_szczepień__13[[#This Row],[dzień]])</f>
        <v>38224</v>
      </c>
      <c r="J803" s="1" t="str">
        <f>punkt_szczepień__13[[#This Row],[PESEL]]</f>
        <v>04282562647</v>
      </c>
      <c r="K803" s="1">
        <f>VALUE(MID(punkt_szczepień__13[[#This Row],[PESEL]],10,1))</f>
        <v>4</v>
      </c>
      <c r="L803" s="11" t="str">
        <f>IF(MOD(punkt_szczepień__13[[#This Row],[liczba płeć]],2)=0,"K","M")</f>
        <v>K</v>
      </c>
      <c r="M803" s="1"/>
      <c r="N803" s="1"/>
    </row>
    <row r="804" spans="1:14" x14ac:dyDescent="0.25">
      <c r="A804" s="1" t="s">
        <v>810</v>
      </c>
      <c r="B804" s="1" t="s">
        <v>27</v>
      </c>
      <c r="C804" s="2">
        <v>0.6391782407407407</v>
      </c>
      <c r="D804">
        <v>1</v>
      </c>
      <c r="E804">
        <f>VALUE(RIGHT(LEFT(punkt_szczepień__13[[#This Row],[PESEL]],4),2))</f>
        <v>29</v>
      </c>
      <c r="F804" s="11">
        <f>MOD(punkt_szczepień__13[[#This Row],[liczba miesiac]],20)</f>
        <v>9</v>
      </c>
      <c r="G804" s="11">
        <f>VLOOKUP(punkt_szczepień__13[[#This Row],[liczba miesiac]]-punkt_szczepień__13[[#This Row],[miesiac]],$O$3:$P$7,2,0)+VALUE(LEFT(punkt_szczepień__13[[#This Row],[PESEL]],2))</f>
        <v>2002</v>
      </c>
      <c r="H804" s="11">
        <f>VALUE(RIGHT(LEFT(punkt_szczepień__13[[#This Row],[PESEL]],6),2))</f>
        <v>5</v>
      </c>
      <c r="I804" s="3">
        <f>DATE(punkt_szczepień__13[[#This Row],[rok]],punkt_szczepień__13[[#This Row],[miesiac]],punkt_szczepień__13[[#This Row],[dzień]])</f>
        <v>37504</v>
      </c>
      <c r="J804" s="1" t="str">
        <f>punkt_szczepień__13[[#This Row],[PESEL]]</f>
        <v>02290535572</v>
      </c>
      <c r="K804" s="1">
        <f>VALUE(MID(punkt_szczepień__13[[#This Row],[PESEL]],10,1))</f>
        <v>7</v>
      </c>
      <c r="L804" s="11" t="str">
        <f>IF(MOD(punkt_szczepień__13[[#This Row],[liczba płeć]],2)=0,"K","M")</f>
        <v>M</v>
      </c>
      <c r="M804" s="1"/>
      <c r="N804" s="1"/>
    </row>
    <row r="805" spans="1:14" x14ac:dyDescent="0.25">
      <c r="A805" s="1" t="s">
        <v>811</v>
      </c>
      <c r="B805" s="1" t="s">
        <v>7</v>
      </c>
      <c r="C805" s="2">
        <v>0.63946759259259256</v>
      </c>
      <c r="D805">
        <v>1</v>
      </c>
      <c r="E805">
        <f>VALUE(RIGHT(LEFT(punkt_szczepień__13[[#This Row],[PESEL]],4),2))</f>
        <v>7</v>
      </c>
      <c r="F805" s="11">
        <f>MOD(punkt_szczepień__13[[#This Row],[liczba miesiac]],20)</f>
        <v>7</v>
      </c>
      <c r="G805" s="11">
        <f>VLOOKUP(punkt_szczepień__13[[#This Row],[liczba miesiac]]-punkt_szczepień__13[[#This Row],[miesiac]],$O$3:$P$7,2,0)+VALUE(LEFT(punkt_szczepień__13[[#This Row],[PESEL]],2))</f>
        <v>1968</v>
      </c>
      <c r="H805" s="11">
        <f>VALUE(RIGHT(LEFT(punkt_szczepień__13[[#This Row],[PESEL]],6),2))</f>
        <v>27</v>
      </c>
      <c r="I805" s="3">
        <f>DATE(punkt_szczepień__13[[#This Row],[rok]],punkt_szczepień__13[[#This Row],[miesiac]],punkt_szczepień__13[[#This Row],[dzień]])</f>
        <v>25046</v>
      </c>
      <c r="J805" s="1" t="str">
        <f>punkt_szczepień__13[[#This Row],[PESEL]]</f>
        <v>68072766473</v>
      </c>
      <c r="K805" s="1">
        <f>VALUE(MID(punkt_szczepień__13[[#This Row],[PESEL]],10,1))</f>
        <v>7</v>
      </c>
      <c r="L805" s="11" t="str">
        <f>IF(MOD(punkt_szczepień__13[[#This Row],[liczba płeć]],2)=0,"K","M")</f>
        <v>M</v>
      </c>
      <c r="M805" s="1"/>
      <c r="N805" s="1"/>
    </row>
    <row r="806" spans="1:14" x14ac:dyDescent="0.25">
      <c r="A806" s="1" t="s">
        <v>812</v>
      </c>
      <c r="B806" s="1" t="s">
        <v>9</v>
      </c>
      <c r="C806" s="2">
        <v>0.63975694444444442</v>
      </c>
      <c r="D806">
        <v>1</v>
      </c>
      <c r="E806">
        <f>VALUE(RIGHT(LEFT(punkt_szczepień__13[[#This Row],[PESEL]],4),2))</f>
        <v>7</v>
      </c>
      <c r="F806" s="11">
        <f>MOD(punkt_szczepień__13[[#This Row],[liczba miesiac]],20)</f>
        <v>7</v>
      </c>
      <c r="G806" s="11">
        <f>VLOOKUP(punkt_szczepień__13[[#This Row],[liczba miesiac]]-punkt_szczepień__13[[#This Row],[miesiac]],$O$3:$P$7,2,0)+VALUE(LEFT(punkt_szczepień__13[[#This Row],[PESEL]],2))</f>
        <v>1959</v>
      </c>
      <c r="H806" s="11">
        <f>VALUE(RIGHT(LEFT(punkt_szczepień__13[[#This Row],[PESEL]],6),2))</f>
        <v>17</v>
      </c>
      <c r="I806" s="3">
        <f>DATE(punkt_szczepień__13[[#This Row],[rok]],punkt_szczepień__13[[#This Row],[miesiac]],punkt_szczepień__13[[#This Row],[dzień]])</f>
        <v>21748</v>
      </c>
      <c r="J806" s="1" t="str">
        <f>punkt_szczepień__13[[#This Row],[PESEL]]</f>
        <v>59071767916</v>
      </c>
      <c r="K806" s="1">
        <f>VALUE(MID(punkt_szczepień__13[[#This Row],[PESEL]],10,1))</f>
        <v>1</v>
      </c>
      <c r="L806" s="11" t="str">
        <f>IF(MOD(punkt_szczepień__13[[#This Row],[liczba płeć]],2)=0,"K","M")</f>
        <v>M</v>
      </c>
      <c r="M806" s="1"/>
      <c r="N806" s="1"/>
    </row>
    <row r="807" spans="1:14" x14ac:dyDescent="0.25">
      <c r="A807" s="1" t="s">
        <v>813</v>
      </c>
      <c r="B807" s="1" t="s">
        <v>5</v>
      </c>
      <c r="C807" s="2">
        <v>0.64033564814814814</v>
      </c>
      <c r="D807">
        <v>2</v>
      </c>
      <c r="E807">
        <f>VALUE(RIGHT(LEFT(punkt_szczepień__13[[#This Row],[PESEL]],4),2))</f>
        <v>11</v>
      </c>
      <c r="F807" s="11">
        <f>MOD(punkt_szczepień__13[[#This Row],[liczba miesiac]],20)</f>
        <v>11</v>
      </c>
      <c r="G807" s="11">
        <f>VLOOKUP(punkt_szczepień__13[[#This Row],[liczba miesiac]]-punkt_szczepień__13[[#This Row],[miesiac]],$O$3:$P$7,2,0)+VALUE(LEFT(punkt_szczepień__13[[#This Row],[PESEL]],2))</f>
        <v>1932</v>
      </c>
      <c r="H807" s="11">
        <f>VALUE(RIGHT(LEFT(punkt_szczepień__13[[#This Row],[PESEL]],6),2))</f>
        <v>27</v>
      </c>
      <c r="I807" s="3">
        <f>DATE(punkt_szczepień__13[[#This Row],[rok]],punkt_szczepień__13[[#This Row],[miesiac]],punkt_szczepień__13[[#This Row],[dzień]])</f>
        <v>12020</v>
      </c>
      <c r="J807" s="1" t="str">
        <f>punkt_szczepień__13[[#This Row],[PESEL]]</f>
        <v>32112735273</v>
      </c>
      <c r="K807" s="1">
        <f>VALUE(MID(punkt_szczepień__13[[#This Row],[PESEL]],10,1))</f>
        <v>7</v>
      </c>
      <c r="L807" s="11" t="str">
        <f>IF(MOD(punkt_szczepień__13[[#This Row],[liczba płeć]],2)=0,"K","M")</f>
        <v>M</v>
      </c>
      <c r="M807" s="1"/>
      <c r="N807" s="1"/>
    </row>
    <row r="808" spans="1:14" x14ac:dyDescent="0.25">
      <c r="A808" s="1" t="s">
        <v>814</v>
      </c>
      <c r="B808" s="1" t="s">
        <v>5</v>
      </c>
      <c r="C808" s="2">
        <v>0.640625</v>
      </c>
      <c r="D808">
        <v>1</v>
      </c>
      <c r="E808">
        <f>VALUE(RIGHT(LEFT(punkt_szczepień__13[[#This Row],[PESEL]],4),2))</f>
        <v>4</v>
      </c>
      <c r="F808" s="11">
        <f>MOD(punkt_szczepień__13[[#This Row],[liczba miesiac]],20)</f>
        <v>4</v>
      </c>
      <c r="G808" s="11">
        <f>VLOOKUP(punkt_szczepień__13[[#This Row],[liczba miesiac]]-punkt_szczepień__13[[#This Row],[miesiac]],$O$3:$P$7,2,0)+VALUE(LEFT(punkt_szczepień__13[[#This Row],[PESEL]],2))</f>
        <v>1970</v>
      </c>
      <c r="H808" s="11">
        <f>VALUE(RIGHT(LEFT(punkt_szczepień__13[[#This Row],[PESEL]],6),2))</f>
        <v>19</v>
      </c>
      <c r="I808" s="3">
        <f>DATE(punkt_szczepień__13[[#This Row],[rok]],punkt_szczepień__13[[#This Row],[miesiac]],punkt_szczepień__13[[#This Row],[dzień]])</f>
        <v>25677</v>
      </c>
      <c r="J808" s="1" t="str">
        <f>punkt_szczepień__13[[#This Row],[PESEL]]</f>
        <v>70041966133</v>
      </c>
      <c r="K808" s="1">
        <f>VALUE(MID(punkt_szczepień__13[[#This Row],[PESEL]],10,1))</f>
        <v>3</v>
      </c>
      <c r="L808" s="11" t="str">
        <f>IF(MOD(punkt_szczepień__13[[#This Row],[liczba płeć]],2)=0,"K","M")</f>
        <v>M</v>
      </c>
      <c r="M808" s="1"/>
      <c r="N808" s="1"/>
    </row>
    <row r="809" spans="1:14" x14ac:dyDescent="0.25">
      <c r="A809" s="1" t="s">
        <v>815</v>
      </c>
      <c r="B809" s="1" t="s">
        <v>9</v>
      </c>
      <c r="C809" s="2">
        <v>0.64091435185185186</v>
      </c>
      <c r="D809">
        <v>1</v>
      </c>
      <c r="E809">
        <f>VALUE(RIGHT(LEFT(punkt_szczepień__13[[#This Row],[PESEL]],4),2))</f>
        <v>28</v>
      </c>
      <c r="F809" s="11">
        <f>MOD(punkt_szczepień__13[[#This Row],[liczba miesiac]],20)</f>
        <v>8</v>
      </c>
      <c r="G809" s="11">
        <f>VLOOKUP(punkt_szczepień__13[[#This Row],[liczba miesiac]]-punkt_szczepień__13[[#This Row],[miesiac]],$O$3:$P$7,2,0)+VALUE(LEFT(punkt_szczepień__13[[#This Row],[PESEL]],2))</f>
        <v>2000</v>
      </c>
      <c r="H809" s="11">
        <f>VALUE(RIGHT(LEFT(punkt_szczepień__13[[#This Row],[PESEL]],6),2))</f>
        <v>22</v>
      </c>
      <c r="I809" s="3">
        <f>DATE(punkt_szczepień__13[[#This Row],[rok]],punkt_szczepień__13[[#This Row],[miesiac]],punkt_szczepień__13[[#This Row],[dzień]])</f>
        <v>36760</v>
      </c>
      <c r="J809" s="1" t="str">
        <f>punkt_szczepień__13[[#This Row],[PESEL]]</f>
        <v>00282223623</v>
      </c>
      <c r="K809" s="1">
        <f>VALUE(MID(punkt_szczepień__13[[#This Row],[PESEL]],10,1))</f>
        <v>2</v>
      </c>
      <c r="L809" s="11" t="str">
        <f>IF(MOD(punkt_szczepień__13[[#This Row],[liczba płeć]],2)=0,"K","M")</f>
        <v>K</v>
      </c>
      <c r="M809" s="1"/>
      <c r="N809" s="1"/>
    </row>
    <row r="810" spans="1:14" x14ac:dyDescent="0.25">
      <c r="A810" s="1" t="s">
        <v>816</v>
      </c>
      <c r="B810" s="1" t="s">
        <v>9</v>
      </c>
      <c r="C810" s="2">
        <v>0.64120370370370372</v>
      </c>
      <c r="D810">
        <v>1</v>
      </c>
      <c r="E810">
        <f>VALUE(RIGHT(LEFT(punkt_szczepień__13[[#This Row],[PESEL]],4),2))</f>
        <v>1</v>
      </c>
      <c r="F810" s="11">
        <f>MOD(punkt_szczepień__13[[#This Row],[liczba miesiac]],20)</f>
        <v>1</v>
      </c>
      <c r="G810" s="11">
        <f>VLOOKUP(punkt_szczepień__13[[#This Row],[liczba miesiac]]-punkt_szczepień__13[[#This Row],[miesiac]],$O$3:$P$7,2,0)+VALUE(LEFT(punkt_szczepień__13[[#This Row],[PESEL]],2))</f>
        <v>1928</v>
      </c>
      <c r="H810" s="11">
        <f>VALUE(RIGHT(LEFT(punkt_szczepień__13[[#This Row],[PESEL]],6),2))</f>
        <v>14</v>
      </c>
      <c r="I810" s="3">
        <f>DATE(punkt_szczepień__13[[#This Row],[rok]],punkt_szczepień__13[[#This Row],[miesiac]],punkt_szczepień__13[[#This Row],[dzień]])</f>
        <v>10241</v>
      </c>
      <c r="J810" s="1" t="str">
        <f>punkt_szczepień__13[[#This Row],[PESEL]]</f>
        <v>28011479941</v>
      </c>
      <c r="K810" s="1">
        <f>VALUE(MID(punkt_szczepień__13[[#This Row],[PESEL]],10,1))</f>
        <v>4</v>
      </c>
      <c r="L810" s="11" t="str">
        <f>IF(MOD(punkt_szczepień__13[[#This Row],[liczba płeć]],2)=0,"K","M")</f>
        <v>K</v>
      </c>
      <c r="M810" s="1"/>
      <c r="N810" s="1"/>
    </row>
    <row r="811" spans="1:14" x14ac:dyDescent="0.25">
      <c r="A811" s="1" t="s">
        <v>817</v>
      </c>
      <c r="B811" s="1" t="s">
        <v>5</v>
      </c>
      <c r="C811" s="2">
        <v>0.64178240740740744</v>
      </c>
      <c r="D811">
        <v>2</v>
      </c>
      <c r="E811">
        <f>VALUE(RIGHT(LEFT(punkt_szczepień__13[[#This Row],[PESEL]],4),2))</f>
        <v>4</v>
      </c>
      <c r="F811" s="11">
        <f>MOD(punkt_szczepień__13[[#This Row],[liczba miesiac]],20)</f>
        <v>4</v>
      </c>
      <c r="G811" s="11">
        <f>VLOOKUP(punkt_szczepień__13[[#This Row],[liczba miesiac]]-punkt_szczepień__13[[#This Row],[miesiac]],$O$3:$P$7,2,0)+VALUE(LEFT(punkt_szczepień__13[[#This Row],[PESEL]],2))</f>
        <v>1998</v>
      </c>
      <c r="H811" s="11">
        <f>VALUE(RIGHT(LEFT(punkt_szczepień__13[[#This Row],[PESEL]],6),2))</f>
        <v>9</v>
      </c>
      <c r="I811" s="3">
        <f>DATE(punkt_szczepień__13[[#This Row],[rok]],punkt_szczepień__13[[#This Row],[miesiac]],punkt_szczepień__13[[#This Row],[dzień]])</f>
        <v>35894</v>
      </c>
      <c r="J811" s="1" t="str">
        <f>punkt_szczepień__13[[#This Row],[PESEL]]</f>
        <v>98040991347</v>
      </c>
      <c r="K811" s="1">
        <f>VALUE(MID(punkt_szczepień__13[[#This Row],[PESEL]],10,1))</f>
        <v>4</v>
      </c>
      <c r="L811" s="11" t="str">
        <f>IF(MOD(punkt_szczepień__13[[#This Row],[liczba płeć]],2)=0,"K","M")</f>
        <v>K</v>
      </c>
      <c r="M811" s="1"/>
      <c r="N811" s="1"/>
    </row>
    <row r="812" spans="1:14" x14ac:dyDescent="0.25">
      <c r="A812" s="1" t="s">
        <v>818</v>
      </c>
      <c r="B812" s="1" t="s">
        <v>27</v>
      </c>
      <c r="C812" s="2">
        <v>0.6420717592592593</v>
      </c>
      <c r="D812">
        <v>1</v>
      </c>
      <c r="E812">
        <f>VALUE(RIGHT(LEFT(punkt_szczepień__13[[#This Row],[PESEL]],4),2))</f>
        <v>9</v>
      </c>
      <c r="F812" s="11">
        <f>MOD(punkt_szczepień__13[[#This Row],[liczba miesiac]],20)</f>
        <v>9</v>
      </c>
      <c r="G812" s="11">
        <f>VLOOKUP(punkt_szczepień__13[[#This Row],[liczba miesiac]]-punkt_szczepień__13[[#This Row],[miesiac]],$O$3:$P$7,2,0)+VALUE(LEFT(punkt_szczepień__13[[#This Row],[PESEL]],2))</f>
        <v>1977</v>
      </c>
      <c r="H812" s="11">
        <f>VALUE(RIGHT(LEFT(punkt_szczepień__13[[#This Row],[PESEL]],6),2))</f>
        <v>18</v>
      </c>
      <c r="I812" s="3">
        <f>DATE(punkt_szczepień__13[[#This Row],[rok]],punkt_szczepień__13[[#This Row],[miesiac]],punkt_szczepień__13[[#This Row],[dzień]])</f>
        <v>28386</v>
      </c>
      <c r="J812" s="1" t="str">
        <f>punkt_szczepień__13[[#This Row],[PESEL]]</f>
        <v>77091813668</v>
      </c>
      <c r="K812" s="1">
        <f>VALUE(MID(punkt_szczepień__13[[#This Row],[PESEL]],10,1))</f>
        <v>6</v>
      </c>
      <c r="L812" s="11" t="str">
        <f>IF(MOD(punkt_szczepień__13[[#This Row],[liczba płeć]],2)=0,"K","M")</f>
        <v>K</v>
      </c>
      <c r="M812" s="1"/>
      <c r="N812" s="1"/>
    </row>
    <row r="813" spans="1:14" x14ac:dyDescent="0.25">
      <c r="A813" s="1" t="s">
        <v>819</v>
      </c>
      <c r="B813" s="1" t="s">
        <v>7</v>
      </c>
      <c r="C813" s="2">
        <v>0.64236111111111116</v>
      </c>
      <c r="D813">
        <v>1</v>
      </c>
      <c r="E813">
        <f>VALUE(RIGHT(LEFT(punkt_szczepień__13[[#This Row],[PESEL]],4),2))</f>
        <v>6</v>
      </c>
      <c r="F813" s="11">
        <f>MOD(punkt_szczepień__13[[#This Row],[liczba miesiac]],20)</f>
        <v>6</v>
      </c>
      <c r="G813" s="11">
        <f>VLOOKUP(punkt_szczepień__13[[#This Row],[liczba miesiac]]-punkt_szczepień__13[[#This Row],[miesiac]],$O$3:$P$7,2,0)+VALUE(LEFT(punkt_szczepień__13[[#This Row],[PESEL]],2))</f>
        <v>1953</v>
      </c>
      <c r="H813" s="11">
        <f>VALUE(RIGHT(LEFT(punkt_szczepień__13[[#This Row],[PESEL]],6),2))</f>
        <v>21</v>
      </c>
      <c r="I813" s="3">
        <f>DATE(punkt_szczepień__13[[#This Row],[rok]],punkt_szczepień__13[[#This Row],[miesiac]],punkt_szczepień__13[[#This Row],[dzień]])</f>
        <v>19531</v>
      </c>
      <c r="J813" s="1" t="str">
        <f>punkt_szczepień__13[[#This Row],[PESEL]]</f>
        <v>53062118664</v>
      </c>
      <c r="K813" s="1">
        <f>VALUE(MID(punkt_szczepień__13[[#This Row],[PESEL]],10,1))</f>
        <v>6</v>
      </c>
      <c r="L813" s="11" t="str">
        <f>IF(MOD(punkt_szczepień__13[[#This Row],[liczba płeć]],2)=0,"K","M")</f>
        <v>K</v>
      </c>
      <c r="M813" s="1"/>
      <c r="N813" s="1"/>
    </row>
    <row r="814" spans="1:14" x14ac:dyDescent="0.25">
      <c r="A814" s="1" t="s">
        <v>820</v>
      </c>
      <c r="B814" s="1" t="s">
        <v>9</v>
      </c>
      <c r="C814" s="2">
        <v>0.64293981481481477</v>
      </c>
      <c r="D814">
        <v>2</v>
      </c>
      <c r="E814">
        <f>VALUE(RIGHT(LEFT(punkt_szczepień__13[[#This Row],[PESEL]],4),2))</f>
        <v>11</v>
      </c>
      <c r="F814" s="11">
        <f>MOD(punkt_szczepień__13[[#This Row],[liczba miesiac]],20)</f>
        <v>11</v>
      </c>
      <c r="G814" s="11">
        <f>VLOOKUP(punkt_szczepień__13[[#This Row],[liczba miesiac]]-punkt_szczepień__13[[#This Row],[miesiac]],$O$3:$P$7,2,0)+VALUE(LEFT(punkt_szczepień__13[[#This Row],[PESEL]],2))</f>
        <v>1960</v>
      </c>
      <c r="H814" s="11">
        <f>VALUE(RIGHT(LEFT(punkt_szczepień__13[[#This Row],[PESEL]],6),2))</f>
        <v>17</v>
      </c>
      <c r="I814" s="3">
        <f>DATE(punkt_szczepień__13[[#This Row],[rok]],punkt_szczepień__13[[#This Row],[miesiac]],punkt_szczepień__13[[#This Row],[dzień]])</f>
        <v>22237</v>
      </c>
      <c r="J814" s="1" t="str">
        <f>punkt_szczepień__13[[#This Row],[PESEL]]</f>
        <v>60111734245</v>
      </c>
      <c r="K814" s="1">
        <f>VALUE(MID(punkt_szczepień__13[[#This Row],[PESEL]],10,1))</f>
        <v>4</v>
      </c>
      <c r="L814" s="11" t="str">
        <f>IF(MOD(punkt_szczepień__13[[#This Row],[liczba płeć]],2)=0,"K","M")</f>
        <v>K</v>
      </c>
      <c r="M814" s="1"/>
      <c r="N814" s="1"/>
    </row>
    <row r="815" spans="1:14" x14ac:dyDescent="0.25">
      <c r="A815" s="1" t="s">
        <v>821</v>
      </c>
      <c r="B815" s="1" t="s">
        <v>7</v>
      </c>
      <c r="C815" s="2">
        <v>0.64322916666666663</v>
      </c>
      <c r="D815">
        <v>1</v>
      </c>
      <c r="E815">
        <f>VALUE(RIGHT(LEFT(punkt_szczepień__13[[#This Row],[PESEL]],4),2))</f>
        <v>11</v>
      </c>
      <c r="F815" s="11">
        <f>MOD(punkt_szczepień__13[[#This Row],[liczba miesiac]],20)</f>
        <v>11</v>
      </c>
      <c r="G815" s="11">
        <f>VLOOKUP(punkt_szczepień__13[[#This Row],[liczba miesiac]]-punkt_szczepień__13[[#This Row],[miesiac]],$O$3:$P$7,2,0)+VALUE(LEFT(punkt_szczepień__13[[#This Row],[PESEL]],2))</f>
        <v>1987</v>
      </c>
      <c r="H815" s="11">
        <f>VALUE(RIGHT(LEFT(punkt_szczepień__13[[#This Row],[PESEL]],6),2))</f>
        <v>29</v>
      </c>
      <c r="I815" s="3">
        <f>DATE(punkt_szczepień__13[[#This Row],[rok]],punkt_szczepień__13[[#This Row],[miesiac]],punkt_szczepień__13[[#This Row],[dzień]])</f>
        <v>32110</v>
      </c>
      <c r="J815" s="1" t="str">
        <f>punkt_szczepień__13[[#This Row],[PESEL]]</f>
        <v>87112947715</v>
      </c>
      <c r="K815" s="1">
        <f>VALUE(MID(punkt_szczepień__13[[#This Row],[PESEL]],10,1))</f>
        <v>1</v>
      </c>
      <c r="L815" s="11" t="str">
        <f>IF(MOD(punkt_szczepień__13[[#This Row],[liczba płeć]],2)=0,"K","M")</f>
        <v>M</v>
      </c>
      <c r="M815" s="1"/>
      <c r="N815" s="1"/>
    </row>
    <row r="816" spans="1:14" x14ac:dyDescent="0.25">
      <c r="A816" s="1" t="s">
        <v>822</v>
      </c>
      <c r="B816" s="1" t="s">
        <v>9</v>
      </c>
      <c r="C816" s="2">
        <v>0.64351851851851849</v>
      </c>
      <c r="D816">
        <v>1</v>
      </c>
      <c r="E816">
        <f>VALUE(RIGHT(LEFT(punkt_szczepień__13[[#This Row],[PESEL]],4),2))</f>
        <v>23</v>
      </c>
      <c r="F816" s="11">
        <f>MOD(punkt_szczepień__13[[#This Row],[liczba miesiac]],20)</f>
        <v>3</v>
      </c>
      <c r="G816" s="11">
        <f>VLOOKUP(punkt_szczepień__13[[#This Row],[liczba miesiac]]-punkt_szczepień__13[[#This Row],[miesiac]],$O$3:$P$7,2,0)+VALUE(LEFT(punkt_szczepień__13[[#This Row],[PESEL]],2))</f>
        <v>2003</v>
      </c>
      <c r="H816" s="11">
        <f>VALUE(RIGHT(LEFT(punkt_szczepień__13[[#This Row],[PESEL]],6),2))</f>
        <v>26</v>
      </c>
      <c r="I816" s="3">
        <f>DATE(punkt_szczepień__13[[#This Row],[rok]],punkt_szczepień__13[[#This Row],[miesiac]],punkt_szczepień__13[[#This Row],[dzień]])</f>
        <v>37706</v>
      </c>
      <c r="J816" s="1" t="str">
        <f>punkt_szczepień__13[[#This Row],[PESEL]]</f>
        <v>03232669786</v>
      </c>
      <c r="K816" s="1">
        <f>VALUE(MID(punkt_szczepień__13[[#This Row],[PESEL]],10,1))</f>
        <v>8</v>
      </c>
      <c r="L816" s="11" t="str">
        <f>IF(MOD(punkt_szczepień__13[[#This Row],[liczba płeć]],2)=0,"K","M")</f>
        <v>K</v>
      </c>
      <c r="M816" s="1"/>
      <c r="N816" s="1"/>
    </row>
    <row r="817" spans="1:14" x14ac:dyDescent="0.25">
      <c r="A817" s="1" t="s">
        <v>823</v>
      </c>
      <c r="B817" s="1" t="s">
        <v>7</v>
      </c>
      <c r="C817" s="2">
        <v>0.64380787037037035</v>
      </c>
      <c r="D817">
        <v>1</v>
      </c>
      <c r="E817">
        <f>VALUE(RIGHT(LEFT(punkt_szczepień__13[[#This Row],[PESEL]],4),2))</f>
        <v>6</v>
      </c>
      <c r="F817" s="11">
        <f>MOD(punkt_szczepień__13[[#This Row],[liczba miesiac]],20)</f>
        <v>6</v>
      </c>
      <c r="G817" s="11">
        <f>VLOOKUP(punkt_szczepień__13[[#This Row],[liczba miesiac]]-punkt_szczepień__13[[#This Row],[miesiac]],$O$3:$P$7,2,0)+VALUE(LEFT(punkt_szczepień__13[[#This Row],[PESEL]],2))</f>
        <v>1999</v>
      </c>
      <c r="H817" s="11">
        <f>VALUE(RIGHT(LEFT(punkt_szczepień__13[[#This Row],[PESEL]],6),2))</f>
        <v>29</v>
      </c>
      <c r="I817" s="3">
        <f>DATE(punkt_szczepień__13[[#This Row],[rok]],punkt_szczepień__13[[#This Row],[miesiac]],punkt_szczepień__13[[#This Row],[dzień]])</f>
        <v>36340</v>
      </c>
      <c r="J817" s="1" t="str">
        <f>punkt_szczepień__13[[#This Row],[PESEL]]</f>
        <v>99062917216</v>
      </c>
      <c r="K817" s="1">
        <f>VALUE(MID(punkt_szczepień__13[[#This Row],[PESEL]],10,1))</f>
        <v>1</v>
      </c>
      <c r="L817" s="11" t="str">
        <f>IF(MOD(punkt_szczepień__13[[#This Row],[liczba płeć]],2)=0,"K","M")</f>
        <v>M</v>
      </c>
      <c r="M817" s="1"/>
      <c r="N817" s="1"/>
    </row>
    <row r="818" spans="1:14" x14ac:dyDescent="0.25">
      <c r="A818" s="1" t="s">
        <v>824</v>
      </c>
      <c r="B818" s="1" t="s">
        <v>27</v>
      </c>
      <c r="C818" s="2">
        <v>0.64409722222222221</v>
      </c>
      <c r="D818">
        <v>1</v>
      </c>
      <c r="E818">
        <f>VALUE(RIGHT(LEFT(punkt_szczepień__13[[#This Row],[PESEL]],4),2))</f>
        <v>11</v>
      </c>
      <c r="F818" s="11">
        <f>MOD(punkt_szczepień__13[[#This Row],[liczba miesiac]],20)</f>
        <v>11</v>
      </c>
      <c r="G818" s="11">
        <f>VLOOKUP(punkt_szczepień__13[[#This Row],[liczba miesiac]]-punkt_szczepień__13[[#This Row],[miesiac]],$O$3:$P$7,2,0)+VALUE(LEFT(punkt_szczepień__13[[#This Row],[PESEL]],2))</f>
        <v>1977</v>
      </c>
      <c r="H818" s="11">
        <f>VALUE(RIGHT(LEFT(punkt_szczepień__13[[#This Row],[PESEL]],6),2))</f>
        <v>23</v>
      </c>
      <c r="I818" s="3">
        <f>DATE(punkt_szczepień__13[[#This Row],[rok]],punkt_szczepień__13[[#This Row],[miesiac]],punkt_szczepień__13[[#This Row],[dzień]])</f>
        <v>28452</v>
      </c>
      <c r="J818" s="1" t="str">
        <f>punkt_szczepień__13[[#This Row],[PESEL]]</f>
        <v>77112363518</v>
      </c>
      <c r="K818" s="1">
        <f>VALUE(MID(punkt_szczepień__13[[#This Row],[PESEL]],10,1))</f>
        <v>1</v>
      </c>
      <c r="L818" s="11" t="str">
        <f>IF(MOD(punkt_szczepień__13[[#This Row],[liczba płeć]],2)=0,"K","M")</f>
        <v>M</v>
      </c>
      <c r="M818" s="1"/>
      <c r="N818" s="1"/>
    </row>
    <row r="819" spans="1:14" x14ac:dyDescent="0.25">
      <c r="A819" s="1" t="s">
        <v>825</v>
      </c>
      <c r="B819" s="1" t="s">
        <v>7</v>
      </c>
      <c r="C819" s="2">
        <v>0.64438657407407407</v>
      </c>
      <c r="D819">
        <v>1</v>
      </c>
      <c r="E819">
        <f>VALUE(RIGHT(LEFT(punkt_szczepień__13[[#This Row],[PESEL]],4),2))</f>
        <v>5</v>
      </c>
      <c r="F819" s="11">
        <f>MOD(punkt_szczepień__13[[#This Row],[liczba miesiac]],20)</f>
        <v>5</v>
      </c>
      <c r="G819" s="11">
        <f>VLOOKUP(punkt_szczepień__13[[#This Row],[liczba miesiac]]-punkt_szczepień__13[[#This Row],[miesiac]],$O$3:$P$7,2,0)+VALUE(LEFT(punkt_szczepień__13[[#This Row],[PESEL]],2))</f>
        <v>1971</v>
      </c>
      <c r="H819" s="11">
        <f>VALUE(RIGHT(LEFT(punkt_szczepień__13[[#This Row],[PESEL]],6),2))</f>
        <v>29</v>
      </c>
      <c r="I819" s="3">
        <f>DATE(punkt_szczepień__13[[#This Row],[rok]],punkt_szczepień__13[[#This Row],[miesiac]],punkt_szczepień__13[[#This Row],[dzień]])</f>
        <v>26082</v>
      </c>
      <c r="J819" s="1" t="str">
        <f>punkt_szczepień__13[[#This Row],[PESEL]]</f>
        <v>71052925243</v>
      </c>
      <c r="K819" s="1">
        <f>VALUE(MID(punkt_szczepień__13[[#This Row],[PESEL]],10,1))</f>
        <v>4</v>
      </c>
      <c r="L819" s="11" t="str">
        <f>IF(MOD(punkt_szczepień__13[[#This Row],[liczba płeć]],2)=0,"K","M")</f>
        <v>K</v>
      </c>
      <c r="M819" s="1"/>
      <c r="N819" s="1"/>
    </row>
    <row r="820" spans="1:14" x14ac:dyDescent="0.25">
      <c r="A820" s="1" t="s">
        <v>826</v>
      </c>
      <c r="B820" s="1" t="s">
        <v>9</v>
      </c>
      <c r="C820" s="2">
        <v>0.64496527777777779</v>
      </c>
      <c r="D820">
        <v>2</v>
      </c>
      <c r="E820">
        <f>VALUE(RIGHT(LEFT(punkt_szczepień__13[[#This Row],[PESEL]],4),2))</f>
        <v>10</v>
      </c>
      <c r="F820" s="11">
        <f>MOD(punkt_szczepień__13[[#This Row],[liczba miesiac]],20)</f>
        <v>10</v>
      </c>
      <c r="G820" s="11">
        <f>VLOOKUP(punkt_szczepień__13[[#This Row],[liczba miesiac]]-punkt_szczepień__13[[#This Row],[miesiac]],$O$3:$P$7,2,0)+VALUE(LEFT(punkt_szczepień__13[[#This Row],[PESEL]],2))</f>
        <v>1952</v>
      </c>
      <c r="H820" s="11">
        <f>VALUE(RIGHT(LEFT(punkt_szczepień__13[[#This Row],[PESEL]],6),2))</f>
        <v>23</v>
      </c>
      <c r="I820" s="3">
        <f>DATE(punkt_szczepień__13[[#This Row],[rok]],punkt_szczepień__13[[#This Row],[miesiac]],punkt_szczepień__13[[#This Row],[dzień]])</f>
        <v>19290</v>
      </c>
      <c r="J820" s="1" t="str">
        <f>punkt_szczepień__13[[#This Row],[PESEL]]</f>
        <v>52102323215</v>
      </c>
      <c r="K820" s="1">
        <f>VALUE(MID(punkt_szczepień__13[[#This Row],[PESEL]],10,1))</f>
        <v>1</v>
      </c>
      <c r="L820" s="11" t="str">
        <f>IF(MOD(punkt_szczepień__13[[#This Row],[liczba płeć]],2)=0,"K","M")</f>
        <v>M</v>
      </c>
      <c r="M820" s="1"/>
      <c r="N820" s="1"/>
    </row>
    <row r="821" spans="1:14" x14ac:dyDescent="0.25">
      <c r="A821" s="1" t="s">
        <v>827</v>
      </c>
      <c r="B821" s="1" t="s">
        <v>7</v>
      </c>
      <c r="C821" s="2">
        <v>0.64525462962962965</v>
      </c>
      <c r="D821">
        <v>1</v>
      </c>
      <c r="E821">
        <f>VALUE(RIGHT(LEFT(punkt_szczepień__13[[#This Row],[PESEL]],4),2))</f>
        <v>7</v>
      </c>
      <c r="F821" s="11">
        <f>MOD(punkt_szczepień__13[[#This Row],[liczba miesiac]],20)</f>
        <v>7</v>
      </c>
      <c r="G821" s="11">
        <f>VLOOKUP(punkt_szczepień__13[[#This Row],[liczba miesiac]]-punkt_szczepień__13[[#This Row],[miesiac]],$O$3:$P$7,2,0)+VALUE(LEFT(punkt_szczepień__13[[#This Row],[PESEL]],2))</f>
        <v>1982</v>
      </c>
      <c r="H821" s="11">
        <f>VALUE(RIGHT(LEFT(punkt_szczepień__13[[#This Row],[PESEL]],6),2))</f>
        <v>7</v>
      </c>
      <c r="I821" s="3">
        <f>DATE(punkt_szczepień__13[[#This Row],[rok]],punkt_szczepień__13[[#This Row],[miesiac]],punkt_szczepień__13[[#This Row],[dzień]])</f>
        <v>30139</v>
      </c>
      <c r="J821" s="1" t="str">
        <f>punkt_szczepień__13[[#This Row],[PESEL]]</f>
        <v>82070773846</v>
      </c>
      <c r="K821" s="1">
        <f>VALUE(MID(punkt_szczepień__13[[#This Row],[PESEL]],10,1))</f>
        <v>4</v>
      </c>
      <c r="L821" s="11" t="str">
        <f>IF(MOD(punkt_szczepień__13[[#This Row],[liczba płeć]],2)=0,"K","M")</f>
        <v>K</v>
      </c>
      <c r="M821" s="1"/>
      <c r="N821" s="1"/>
    </row>
    <row r="822" spans="1:14" x14ac:dyDescent="0.25">
      <c r="A822" s="1" t="s">
        <v>828</v>
      </c>
      <c r="B822" s="1" t="s">
        <v>9</v>
      </c>
      <c r="C822" s="2">
        <v>0.64554398148148151</v>
      </c>
      <c r="D822">
        <v>1</v>
      </c>
      <c r="E822">
        <f>VALUE(RIGHT(LEFT(punkt_szczepień__13[[#This Row],[PESEL]],4),2))</f>
        <v>2</v>
      </c>
      <c r="F822" s="11">
        <f>MOD(punkt_szczepień__13[[#This Row],[liczba miesiac]],20)</f>
        <v>2</v>
      </c>
      <c r="G822" s="11">
        <f>VLOOKUP(punkt_szczepień__13[[#This Row],[liczba miesiac]]-punkt_szczepień__13[[#This Row],[miesiac]],$O$3:$P$7,2,0)+VALUE(LEFT(punkt_szczepień__13[[#This Row],[PESEL]],2))</f>
        <v>1991</v>
      </c>
      <c r="H822" s="11">
        <f>VALUE(RIGHT(LEFT(punkt_szczepień__13[[#This Row],[PESEL]],6),2))</f>
        <v>22</v>
      </c>
      <c r="I822" s="3">
        <f>DATE(punkt_szczepień__13[[#This Row],[rok]],punkt_szczepień__13[[#This Row],[miesiac]],punkt_szczepień__13[[#This Row],[dzień]])</f>
        <v>33291</v>
      </c>
      <c r="J822" s="1" t="str">
        <f>punkt_szczepień__13[[#This Row],[PESEL]]</f>
        <v>91022231569</v>
      </c>
      <c r="K822" s="1">
        <f>VALUE(MID(punkt_szczepień__13[[#This Row],[PESEL]],10,1))</f>
        <v>6</v>
      </c>
      <c r="L822" s="11" t="str">
        <f>IF(MOD(punkt_szczepień__13[[#This Row],[liczba płeć]],2)=0,"K","M")</f>
        <v>K</v>
      </c>
      <c r="M822" s="1"/>
      <c r="N822" s="1"/>
    </row>
    <row r="823" spans="1:14" x14ac:dyDescent="0.25">
      <c r="A823" s="1" t="s">
        <v>829</v>
      </c>
      <c r="B823" s="1" t="s">
        <v>7</v>
      </c>
      <c r="C823" s="2">
        <v>0.64583333333333337</v>
      </c>
      <c r="D823">
        <v>1</v>
      </c>
      <c r="E823">
        <f>VALUE(RIGHT(LEFT(punkt_szczepień__13[[#This Row],[PESEL]],4),2))</f>
        <v>3</v>
      </c>
      <c r="F823" s="11">
        <f>MOD(punkt_szczepień__13[[#This Row],[liczba miesiac]],20)</f>
        <v>3</v>
      </c>
      <c r="G823" s="11">
        <f>VLOOKUP(punkt_szczepień__13[[#This Row],[liczba miesiac]]-punkt_szczepień__13[[#This Row],[miesiac]],$O$3:$P$7,2,0)+VALUE(LEFT(punkt_szczepień__13[[#This Row],[PESEL]],2))</f>
        <v>1985</v>
      </c>
      <c r="H823" s="11">
        <f>VALUE(RIGHT(LEFT(punkt_szczepień__13[[#This Row],[PESEL]],6),2))</f>
        <v>22</v>
      </c>
      <c r="I823" s="3">
        <f>DATE(punkt_szczepień__13[[#This Row],[rok]],punkt_szczepień__13[[#This Row],[miesiac]],punkt_szczepień__13[[#This Row],[dzień]])</f>
        <v>31128</v>
      </c>
      <c r="J823" s="1" t="str">
        <f>punkt_szczepień__13[[#This Row],[PESEL]]</f>
        <v>85032257639</v>
      </c>
      <c r="K823" s="1">
        <f>VALUE(MID(punkt_szczepień__13[[#This Row],[PESEL]],10,1))</f>
        <v>3</v>
      </c>
      <c r="L823" s="11" t="str">
        <f>IF(MOD(punkt_szczepień__13[[#This Row],[liczba płeć]],2)=0,"K","M")</f>
        <v>M</v>
      </c>
      <c r="M823" s="1"/>
      <c r="N823" s="1"/>
    </row>
    <row r="824" spans="1:14" x14ac:dyDescent="0.25">
      <c r="A824" s="1" t="s">
        <v>830</v>
      </c>
      <c r="B824" s="1" t="s">
        <v>5</v>
      </c>
      <c r="C824" s="2">
        <v>0.64612268518518523</v>
      </c>
      <c r="D824">
        <v>1</v>
      </c>
      <c r="E824">
        <f>VALUE(RIGHT(LEFT(punkt_szczepień__13[[#This Row],[PESEL]],4),2))</f>
        <v>11</v>
      </c>
      <c r="F824" s="11">
        <f>MOD(punkt_szczepień__13[[#This Row],[liczba miesiac]],20)</f>
        <v>11</v>
      </c>
      <c r="G824" s="11">
        <f>VLOOKUP(punkt_szczepień__13[[#This Row],[liczba miesiac]]-punkt_szczepień__13[[#This Row],[miesiac]],$O$3:$P$7,2,0)+VALUE(LEFT(punkt_szczepień__13[[#This Row],[PESEL]],2))</f>
        <v>1926</v>
      </c>
      <c r="H824" s="11">
        <f>VALUE(RIGHT(LEFT(punkt_szczepień__13[[#This Row],[PESEL]],6),2))</f>
        <v>22</v>
      </c>
      <c r="I824" s="3">
        <f>DATE(punkt_szczepień__13[[#This Row],[rok]],punkt_szczepień__13[[#This Row],[miesiac]],punkt_szczepień__13[[#This Row],[dzień]])</f>
        <v>9823</v>
      </c>
      <c r="J824" s="1" t="str">
        <f>punkt_szczepień__13[[#This Row],[PESEL]]</f>
        <v>26112297598</v>
      </c>
      <c r="K824" s="1">
        <f>VALUE(MID(punkt_szczepień__13[[#This Row],[PESEL]],10,1))</f>
        <v>9</v>
      </c>
      <c r="L824" s="11" t="str">
        <f>IF(MOD(punkt_szczepień__13[[#This Row],[liczba płeć]],2)=0,"K","M")</f>
        <v>M</v>
      </c>
      <c r="M824" s="1"/>
      <c r="N824" s="1"/>
    </row>
    <row r="825" spans="1:14" x14ac:dyDescent="0.25">
      <c r="A825" s="1" t="s">
        <v>831</v>
      </c>
      <c r="B825" s="1" t="s">
        <v>7</v>
      </c>
      <c r="C825" s="2">
        <v>0.64641203703703709</v>
      </c>
      <c r="D825">
        <v>1</v>
      </c>
      <c r="E825">
        <f>VALUE(RIGHT(LEFT(punkt_szczepień__13[[#This Row],[PESEL]],4),2))</f>
        <v>4</v>
      </c>
      <c r="F825" s="11">
        <f>MOD(punkt_szczepień__13[[#This Row],[liczba miesiac]],20)</f>
        <v>4</v>
      </c>
      <c r="G825" s="11">
        <f>VLOOKUP(punkt_szczepień__13[[#This Row],[liczba miesiac]]-punkt_szczepień__13[[#This Row],[miesiac]],$O$3:$P$7,2,0)+VALUE(LEFT(punkt_szczepień__13[[#This Row],[PESEL]],2))</f>
        <v>1984</v>
      </c>
      <c r="H825" s="11">
        <f>VALUE(RIGHT(LEFT(punkt_szczepień__13[[#This Row],[PESEL]],6),2))</f>
        <v>5</v>
      </c>
      <c r="I825" s="3">
        <f>DATE(punkt_szczepień__13[[#This Row],[rok]],punkt_szczepień__13[[#This Row],[miesiac]],punkt_szczepień__13[[#This Row],[dzień]])</f>
        <v>30777</v>
      </c>
      <c r="J825" s="1" t="str">
        <f>punkt_szczepień__13[[#This Row],[PESEL]]</f>
        <v>84040539649</v>
      </c>
      <c r="K825" s="1">
        <f>VALUE(MID(punkt_szczepień__13[[#This Row],[PESEL]],10,1))</f>
        <v>4</v>
      </c>
      <c r="L825" s="11" t="str">
        <f>IF(MOD(punkt_szczepień__13[[#This Row],[liczba płeć]],2)=0,"K","M")</f>
        <v>K</v>
      </c>
      <c r="M825" s="1"/>
      <c r="N825" s="1"/>
    </row>
    <row r="826" spans="1:14" x14ac:dyDescent="0.25">
      <c r="A826" s="1" t="s">
        <v>832</v>
      </c>
      <c r="B826" s="1" t="s">
        <v>5</v>
      </c>
      <c r="C826" s="2">
        <v>0.64670138888888884</v>
      </c>
      <c r="D826">
        <v>1</v>
      </c>
      <c r="E826">
        <f>VALUE(RIGHT(LEFT(punkt_szczepień__13[[#This Row],[PESEL]],4),2))</f>
        <v>10</v>
      </c>
      <c r="F826" s="11">
        <f>MOD(punkt_szczepień__13[[#This Row],[liczba miesiac]],20)</f>
        <v>10</v>
      </c>
      <c r="G826" s="11">
        <f>VLOOKUP(punkt_szczepień__13[[#This Row],[liczba miesiac]]-punkt_szczepień__13[[#This Row],[miesiac]],$O$3:$P$7,2,0)+VALUE(LEFT(punkt_szczepień__13[[#This Row],[PESEL]],2))</f>
        <v>1928</v>
      </c>
      <c r="H826" s="11">
        <f>VALUE(RIGHT(LEFT(punkt_szczepień__13[[#This Row],[PESEL]],6),2))</f>
        <v>8</v>
      </c>
      <c r="I826" s="3">
        <f>DATE(punkt_szczepień__13[[#This Row],[rok]],punkt_szczepień__13[[#This Row],[miesiac]],punkt_szczepień__13[[#This Row],[dzień]])</f>
        <v>10509</v>
      </c>
      <c r="J826" s="1" t="str">
        <f>punkt_szczepień__13[[#This Row],[PESEL]]</f>
        <v>28100889327</v>
      </c>
      <c r="K826" s="1">
        <f>VALUE(MID(punkt_szczepień__13[[#This Row],[PESEL]],10,1))</f>
        <v>2</v>
      </c>
      <c r="L826" s="11" t="str">
        <f>IF(MOD(punkt_szczepień__13[[#This Row],[liczba płeć]],2)=0,"K","M")</f>
        <v>K</v>
      </c>
      <c r="M826" s="1"/>
      <c r="N826" s="1"/>
    </row>
    <row r="827" spans="1:14" x14ac:dyDescent="0.25">
      <c r="A827" s="1" t="s">
        <v>833</v>
      </c>
      <c r="B827" s="1" t="s">
        <v>5</v>
      </c>
      <c r="C827" s="2">
        <v>0.6469907407407407</v>
      </c>
      <c r="D827">
        <v>1</v>
      </c>
      <c r="E827">
        <f>VALUE(RIGHT(LEFT(punkt_szczepień__13[[#This Row],[PESEL]],4),2))</f>
        <v>12</v>
      </c>
      <c r="F827" s="11">
        <f>MOD(punkt_szczepień__13[[#This Row],[liczba miesiac]],20)</f>
        <v>12</v>
      </c>
      <c r="G827" s="11">
        <f>VLOOKUP(punkt_szczepień__13[[#This Row],[liczba miesiac]]-punkt_szczepień__13[[#This Row],[miesiac]],$O$3:$P$7,2,0)+VALUE(LEFT(punkt_szczepień__13[[#This Row],[PESEL]],2))</f>
        <v>1954</v>
      </c>
      <c r="H827" s="11">
        <f>VALUE(RIGHT(LEFT(punkt_szczepień__13[[#This Row],[PESEL]],6),2))</f>
        <v>14</v>
      </c>
      <c r="I827" s="3">
        <f>DATE(punkt_szczepień__13[[#This Row],[rok]],punkt_szczepień__13[[#This Row],[miesiac]],punkt_szczepień__13[[#This Row],[dzień]])</f>
        <v>20072</v>
      </c>
      <c r="J827" s="1" t="str">
        <f>punkt_szczepień__13[[#This Row],[PESEL]]</f>
        <v>54121487532</v>
      </c>
      <c r="K827" s="1">
        <f>VALUE(MID(punkt_szczepień__13[[#This Row],[PESEL]],10,1))</f>
        <v>3</v>
      </c>
      <c r="L827" s="11" t="str">
        <f>IF(MOD(punkt_szczepień__13[[#This Row],[liczba płeć]],2)=0,"K","M")</f>
        <v>M</v>
      </c>
      <c r="M827" s="1"/>
      <c r="N827" s="1"/>
    </row>
    <row r="828" spans="1:14" x14ac:dyDescent="0.25">
      <c r="A828" s="1" t="s">
        <v>834</v>
      </c>
      <c r="B828" s="1" t="s">
        <v>7</v>
      </c>
      <c r="C828" s="2">
        <v>0.64728009259259256</v>
      </c>
      <c r="D828">
        <v>1</v>
      </c>
      <c r="E828">
        <f>VALUE(RIGHT(LEFT(punkt_szczepień__13[[#This Row],[PESEL]],4),2))</f>
        <v>2</v>
      </c>
      <c r="F828" s="11">
        <f>MOD(punkt_szczepień__13[[#This Row],[liczba miesiac]],20)</f>
        <v>2</v>
      </c>
      <c r="G828" s="11">
        <f>VLOOKUP(punkt_szczepień__13[[#This Row],[liczba miesiac]]-punkt_szczepień__13[[#This Row],[miesiac]],$O$3:$P$7,2,0)+VALUE(LEFT(punkt_szczepień__13[[#This Row],[PESEL]],2))</f>
        <v>1958</v>
      </c>
      <c r="H828" s="11">
        <f>VALUE(RIGHT(LEFT(punkt_szczepień__13[[#This Row],[PESEL]],6),2))</f>
        <v>13</v>
      </c>
      <c r="I828" s="3">
        <f>DATE(punkt_szczepień__13[[#This Row],[rok]],punkt_szczepień__13[[#This Row],[miesiac]],punkt_szczepień__13[[#This Row],[dzień]])</f>
        <v>21229</v>
      </c>
      <c r="J828" s="1" t="str">
        <f>punkt_szczepień__13[[#This Row],[PESEL]]</f>
        <v>58021399764</v>
      </c>
      <c r="K828" s="1">
        <f>VALUE(MID(punkt_szczepień__13[[#This Row],[PESEL]],10,1))</f>
        <v>6</v>
      </c>
      <c r="L828" s="11" t="str">
        <f>IF(MOD(punkt_szczepień__13[[#This Row],[liczba płeć]],2)=0,"K","M")</f>
        <v>K</v>
      </c>
      <c r="M828" s="1"/>
      <c r="N828" s="1"/>
    </row>
    <row r="829" spans="1:14" x14ac:dyDescent="0.25">
      <c r="A829" s="1" t="s">
        <v>835</v>
      </c>
      <c r="B829" s="1" t="s">
        <v>9</v>
      </c>
      <c r="C829" s="2">
        <v>0.64785879629629628</v>
      </c>
      <c r="D829">
        <v>2</v>
      </c>
      <c r="E829">
        <f>VALUE(RIGHT(LEFT(punkt_szczepień__13[[#This Row],[PESEL]],4),2))</f>
        <v>28</v>
      </c>
      <c r="F829" s="11">
        <f>MOD(punkt_szczepień__13[[#This Row],[liczba miesiac]],20)</f>
        <v>8</v>
      </c>
      <c r="G829" s="11">
        <f>VLOOKUP(punkt_szczepień__13[[#This Row],[liczba miesiac]]-punkt_szczepień__13[[#This Row],[miesiac]],$O$3:$P$7,2,0)+VALUE(LEFT(punkt_szczepień__13[[#This Row],[PESEL]],2))</f>
        <v>2003</v>
      </c>
      <c r="H829" s="11">
        <f>VALUE(RIGHT(LEFT(punkt_szczepień__13[[#This Row],[PESEL]],6),2))</f>
        <v>21</v>
      </c>
      <c r="I829" s="3">
        <f>DATE(punkt_szczepień__13[[#This Row],[rok]],punkt_szczepień__13[[#This Row],[miesiac]],punkt_szczepień__13[[#This Row],[dzień]])</f>
        <v>37854</v>
      </c>
      <c r="J829" s="1" t="str">
        <f>punkt_szczepień__13[[#This Row],[PESEL]]</f>
        <v>03282114533</v>
      </c>
      <c r="K829" s="1">
        <f>VALUE(MID(punkt_szczepień__13[[#This Row],[PESEL]],10,1))</f>
        <v>3</v>
      </c>
      <c r="L829" s="11" t="str">
        <f>IF(MOD(punkt_szczepień__13[[#This Row],[liczba płeć]],2)=0,"K","M")</f>
        <v>M</v>
      </c>
      <c r="M829" s="1"/>
      <c r="N829" s="1"/>
    </row>
    <row r="830" spans="1:14" x14ac:dyDescent="0.25">
      <c r="A830" s="1" t="s">
        <v>836</v>
      </c>
      <c r="B830" s="1" t="s">
        <v>5</v>
      </c>
      <c r="C830" s="2">
        <v>0.6484375</v>
      </c>
      <c r="D830">
        <v>2</v>
      </c>
      <c r="E830">
        <f>VALUE(RIGHT(LEFT(punkt_szczepień__13[[#This Row],[PESEL]],4),2))</f>
        <v>9</v>
      </c>
      <c r="F830" s="11">
        <f>MOD(punkt_szczepień__13[[#This Row],[liczba miesiac]],20)</f>
        <v>9</v>
      </c>
      <c r="G830" s="11">
        <f>VLOOKUP(punkt_szczepień__13[[#This Row],[liczba miesiac]]-punkt_szczepień__13[[#This Row],[miesiac]],$O$3:$P$7,2,0)+VALUE(LEFT(punkt_szczepień__13[[#This Row],[PESEL]],2))</f>
        <v>1931</v>
      </c>
      <c r="H830" s="11">
        <f>VALUE(RIGHT(LEFT(punkt_szczepień__13[[#This Row],[PESEL]],6),2))</f>
        <v>10</v>
      </c>
      <c r="I830" s="3">
        <f>DATE(punkt_szczepień__13[[#This Row],[rok]],punkt_szczepień__13[[#This Row],[miesiac]],punkt_szczepień__13[[#This Row],[dzień]])</f>
        <v>11576</v>
      </c>
      <c r="J830" s="1" t="str">
        <f>punkt_szczepień__13[[#This Row],[PESEL]]</f>
        <v>31091073617</v>
      </c>
      <c r="K830" s="1">
        <f>VALUE(MID(punkt_szczepień__13[[#This Row],[PESEL]],10,1))</f>
        <v>1</v>
      </c>
      <c r="L830" s="11" t="str">
        <f>IF(MOD(punkt_szczepień__13[[#This Row],[liczba płeć]],2)=0,"K","M")</f>
        <v>M</v>
      </c>
      <c r="M830" s="1"/>
      <c r="N830" s="1"/>
    </row>
    <row r="831" spans="1:14" x14ac:dyDescent="0.25">
      <c r="A831" s="1" t="s">
        <v>837</v>
      </c>
      <c r="B831" s="1" t="s">
        <v>7</v>
      </c>
      <c r="C831" s="2">
        <v>0.64872685185185186</v>
      </c>
      <c r="D831">
        <v>1</v>
      </c>
      <c r="E831">
        <f>VALUE(RIGHT(LEFT(punkt_szczepień__13[[#This Row],[PESEL]],4),2))</f>
        <v>5</v>
      </c>
      <c r="F831" s="11">
        <f>MOD(punkt_szczepień__13[[#This Row],[liczba miesiac]],20)</f>
        <v>5</v>
      </c>
      <c r="G831" s="11">
        <f>VLOOKUP(punkt_szczepień__13[[#This Row],[liczba miesiac]]-punkt_szczepień__13[[#This Row],[miesiac]],$O$3:$P$7,2,0)+VALUE(LEFT(punkt_szczepień__13[[#This Row],[PESEL]],2))</f>
        <v>1931</v>
      </c>
      <c r="H831" s="11">
        <f>VALUE(RIGHT(LEFT(punkt_szczepień__13[[#This Row],[PESEL]],6),2))</f>
        <v>6</v>
      </c>
      <c r="I831" s="3">
        <f>DATE(punkt_szczepień__13[[#This Row],[rok]],punkt_szczepień__13[[#This Row],[miesiac]],punkt_szczepień__13[[#This Row],[dzień]])</f>
        <v>11449</v>
      </c>
      <c r="J831" s="1" t="str">
        <f>punkt_szczepień__13[[#This Row],[PESEL]]</f>
        <v>31050679612</v>
      </c>
      <c r="K831" s="1">
        <f>VALUE(MID(punkt_szczepień__13[[#This Row],[PESEL]],10,1))</f>
        <v>1</v>
      </c>
      <c r="L831" s="11" t="str">
        <f>IF(MOD(punkt_szczepień__13[[#This Row],[liczba płeć]],2)=0,"K","M")</f>
        <v>M</v>
      </c>
      <c r="M831" s="1"/>
      <c r="N831" s="1"/>
    </row>
    <row r="832" spans="1:14" x14ac:dyDescent="0.25">
      <c r="A832" s="1" t="s">
        <v>838</v>
      </c>
      <c r="B832" s="1" t="s">
        <v>5</v>
      </c>
      <c r="C832" s="2">
        <v>0.64901620370370372</v>
      </c>
      <c r="D832">
        <v>1</v>
      </c>
      <c r="E832">
        <f>VALUE(RIGHT(LEFT(punkt_szczepień__13[[#This Row],[PESEL]],4),2))</f>
        <v>27</v>
      </c>
      <c r="F832" s="11">
        <f>MOD(punkt_szczepień__13[[#This Row],[liczba miesiac]],20)</f>
        <v>7</v>
      </c>
      <c r="G832" s="11">
        <f>VLOOKUP(punkt_szczepień__13[[#This Row],[liczba miesiac]]-punkt_szczepień__13[[#This Row],[miesiac]],$O$3:$P$7,2,0)+VALUE(LEFT(punkt_szczepień__13[[#This Row],[PESEL]],2))</f>
        <v>2003</v>
      </c>
      <c r="H832" s="11">
        <f>VALUE(RIGHT(LEFT(punkt_szczepień__13[[#This Row],[PESEL]],6),2))</f>
        <v>12</v>
      </c>
      <c r="I832" s="3">
        <f>DATE(punkt_szczepień__13[[#This Row],[rok]],punkt_szczepień__13[[#This Row],[miesiac]],punkt_szczepień__13[[#This Row],[dzień]])</f>
        <v>37814</v>
      </c>
      <c r="J832" s="1" t="str">
        <f>punkt_szczepień__13[[#This Row],[PESEL]]</f>
        <v>03271214219</v>
      </c>
      <c r="K832" s="1">
        <f>VALUE(MID(punkt_szczepień__13[[#This Row],[PESEL]],10,1))</f>
        <v>1</v>
      </c>
      <c r="L832" s="11" t="str">
        <f>IF(MOD(punkt_szczepień__13[[#This Row],[liczba płeć]],2)=0,"K","M")</f>
        <v>M</v>
      </c>
      <c r="M832" s="1"/>
      <c r="N832" s="1"/>
    </row>
    <row r="833" spans="1:14" x14ac:dyDescent="0.25">
      <c r="A833" s="1" t="s">
        <v>839</v>
      </c>
      <c r="B833" s="1" t="s">
        <v>7</v>
      </c>
      <c r="C833" s="2">
        <v>0.64930555555555558</v>
      </c>
      <c r="D833">
        <v>1</v>
      </c>
      <c r="E833">
        <f>VALUE(RIGHT(LEFT(punkt_szczepień__13[[#This Row],[PESEL]],4),2))</f>
        <v>5</v>
      </c>
      <c r="F833" s="11">
        <f>MOD(punkt_szczepień__13[[#This Row],[liczba miesiac]],20)</f>
        <v>5</v>
      </c>
      <c r="G833" s="11">
        <f>VLOOKUP(punkt_szczepień__13[[#This Row],[liczba miesiac]]-punkt_szczepień__13[[#This Row],[miesiac]],$O$3:$P$7,2,0)+VALUE(LEFT(punkt_szczepień__13[[#This Row],[PESEL]],2))</f>
        <v>1972</v>
      </c>
      <c r="H833" s="11">
        <f>VALUE(RIGHT(LEFT(punkt_szczepień__13[[#This Row],[PESEL]],6),2))</f>
        <v>13</v>
      </c>
      <c r="I833" s="3">
        <f>DATE(punkt_szczepień__13[[#This Row],[rok]],punkt_szczepień__13[[#This Row],[miesiac]],punkt_szczepień__13[[#This Row],[dzień]])</f>
        <v>26432</v>
      </c>
      <c r="J833" s="1" t="str">
        <f>punkt_szczepień__13[[#This Row],[PESEL]]</f>
        <v>72051336717</v>
      </c>
      <c r="K833" s="1">
        <f>VALUE(MID(punkt_szczepień__13[[#This Row],[PESEL]],10,1))</f>
        <v>1</v>
      </c>
      <c r="L833" s="11" t="str">
        <f>IF(MOD(punkt_szczepień__13[[#This Row],[liczba płeć]],2)=0,"K","M")</f>
        <v>M</v>
      </c>
      <c r="M833" s="1"/>
      <c r="N833" s="1"/>
    </row>
    <row r="834" spans="1:14" x14ac:dyDescent="0.25">
      <c r="A834" s="1" t="s">
        <v>840</v>
      </c>
      <c r="B834" s="1" t="s">
        <v>9</v>
      </c>
      <c r="C834" s="2">
        <v>0.6498842592592593</v>
      </c>
      <c r="D834">
        <v>2</v>
      </c>
      <c r="E834">
        <f>VALUE(RIGHT(LEFT(punkt_szczepień__13[[#This Row],[PESEL]],4),2))</f>
        <v>10</v>
      </c>
      <c r="F834" s="11">
        <f>MOD(punkt_szczepień__13[[#This Row],[liczba miesiac]],20)</f>
        <v>10</v>
      </c>
      <c r="G834" s="11">
        <f>VLOOKUP(punkt_szczepień__13[[#This Row],[liczba miesiac]]-punkt_szczepień__13[[#This Row],[miesiac]],$O$3:$P$7,2,0)+VALUE(LEFT(punkt_szczepień__13[[#This Row],[PESEL]],2))</f>
        <v>1956</v>
      </c>
      <c r="H834" s="11">
        <f>VALUE(RIGHT(LEFT(punkt_szczepień__13[[#This Row],[PESEL]],6),2))</f>
        <v>26</v>
      </c>
      <c r="I834" s="3">
        <f>DATE(punkt_szczepień__13[[#This Row],[rok]],punkt_szczepień__13[[#This Row],[miesiac]],punkt_szczepień__13[[#This Row],[dzień]])</f>
        <v>20754</v>
      </c>
      <c r="J834" s="1" t="str">
        <f>punkt_szczepień__13[[#This Row],[PESEL]]</f>
        <v>56102659936</v>
      </c>
      <c r="K834" s="1">
        <f>VALUE(MID(punkt_szczepień__13[[#This Row],[PESEL]],10,1))</f>
        <v>3</v>
      </c>
      <c r="L834" s="11" t="str">
        <f>IF(MOD(punkt_szczepień__13[[#This Row],[liczba płeć]],2)=0,"K","M")</f>
        <v>M</v>
      </c>
      <c r="M834" s="1"/>
      <c r="N834" s="1"/>
    </row>
    <row r="835" spans="1:14" x14ac:dyDescent="0.25">
      <c r="A835" s="1" t="s">
        <v>841</v>
      </c>
      <c r="B835" s="1" t="s">
        <v>7</v>
      </c>
      <c r="C835" s="2">
        <v>0.65017361111111116</v>
      </c>
      <c r="D835">
        <v>1</v>
      </c>
      <c r="E835">
        <f>VALUE(RIGHT(LEFT(punkt_szczepień__13[[#This Row],[PESEL]],4),2))</f>
        <v>9</v>
      </c>
      <c r="F835" s="11">
        <f>MOD(punkt_szczepień__13[[#This Row],[liczba miesiac]],20)</f>
        <v>9</v>
      </c>
      <c r="G835" s="11">
        <f>VLOOKUP(punkt_szczepień__13[[#This Row],[liczba miesiac]]-punkt_szczepień__13[[#This Row],[miesiac]],$O$3:$P$7,2,0)+VALUE(LEFT(punkt_szczepień__13[[#This Row],[PESEL]],2))</f>
        <v>1942</v>
      </c>
      <c r="H835" s="11">
        <f>VALUE(RIGHT(LEFT(punkt_szczepień__13[[#This Row],[PESEL]],6),2))</f>
        <v>29</v>
      </c>
      <c r="I835" s="3">
        <f>DATE(punkt_szczepień__13[[#This Row],[rok]],punkt_szczepień__13[[#This Row],[miesiac]],punkt_szczepień__13[[#This Row],[dzień]])</f>
        <v>15613</v>
      </c>
      <c r="J835" s="1" t="str">
        <f>punkt_szczepień__13[[#This Row],[PESEL]]</f>
        <v>42092966431</v>
      </c>
      <c r="K835" s="1">
        <f>VALUE(MID(punkt_szczepień__13[[#This Row],[PESEL]],10,1))</f>
        <v>3</v>
      </c>
      <c r="L835" s="11" t="str">
        <f>IF(MOD(punkt_szczepień__13[[#This Row],[liczba płeć]],2)=0,"K","M")</f>
        <v>M</v>
      </c>
      <c r="M835" s="1"/>
      <c r="N835" s="1"/>
    </row>
    <row r="836" spans="1:14" x14ac:dyDescent="0.25">
      <c r="A836" s="1" t="s">
        <v>842</v>
      </c>
      <c r="B836" s="1" t="s">
        <v>9</v>
      </c>
      <c r="C836" s="2">
        <v>0.65046296296296291</v>
      </c>
      <c r="D836">
        <v>1</v>
      </c>
      <c r="E836">
        <f>VALUE(RIGHT(LEFT(punkt_szczepień__13[[#This Row],[PESEL]],4),2))</f>
        <v>7</v>
      </c>
      <c r="F836" s="11">
        <f>MOD(punkt_szczepień__13[[#This Row],[liczba miesiac]],20)</f>
        <v>7</v>
      </c>
      <c r="G836" s="11">
        <f>VLOOKUP(punkt_szczepień__13[[#This Row],[liczba miesiac]]-punkt_szczepień__13[[#This Row],[miesiac]],$O$3:$P$7,2,0)+VALUE(LEFT(punkt_szczepień__13[[#This Row],[PESEL]],2))</f>
        <v>1969</v>
      </c>
      <c r="H836" s="11">
        <f>VALUE(RIGHT(LEFT(punkt_szczepień__13[[#This Row],[PESEL]],6),2))</f>
        <v>7</v>
      </c>
      <c r="I836" s="3">
        <f>DATE(punkt_szczepień__13[[#This Row],[rok]],punkt_szczepień__13[[#This Row],[miesiac]],punkt_szczepień__13[[#This Row],[dzień]])</f>
        <v>25391</v>
      </c>
      <c r="J836" s="1" t="str">
        <f>punkt_szczepień__13[[#This Row],[PESEL]]</f>
        <v>69070762218</v>
      </c>
      <c r="K836" s="1">
        <f>VALUE(MID(punkt_szczepień__13[[#This Row],[PESEL]],10,1))</f>
        <v>1</v>
      </c>
      <c r="L836" s="11" t="str">
        <f>IF(MOD(punkt_szczepień__13[[#This Row],[liczba płeć]],2)=0,"K","M")</f>
        <v>M</v>
      </c>
      <c r="M836" s="1"/>
      <c r="N836" s="1"/>
    </row>
    <row r="837" spans="1:14" x14ac:dyDescent="0.25">
      <c r="A837" s="1" t="s">
        <v>843</v>
      </c>
      <c r="B837" s="1" t="s">
        <v>9</v>
      </c>
      <c r="C837" s="2">
        <v>0.65104166666666663</v>
      </c>
      <c r="D837">
        <v>2</v>
      </c>
      <c r="E837">
        <f>VALUE(RIGHT(LEFT(punkt_szczepień__13[[#This Row],[PESEL]],4),2))</f>
        <v>10</v>
      </c>
      <c r="F837" s="11">
        <f>MOD(punkt_szczepień__13[[#This Row],[liczba miesiac]],20)</f>
        <v>10</v>
      </c>
      <c r="G837" s="11">
        <f>VLOOKUP(punkt_szczepień__13[[#This Row],[liczba miesiac]]-punkt_szczepień__13[[#This Row],[miesiac]],$O$3:$P$7,2,0)+VALUE(LEFT(punkt_szczepień__13[[#This Row],[PESEL]],2))</f>
        <v>1988</v>
      </c>
      <c r="H837" s="11">
        <f>VALUE(RIGHT(LEFT(punkt_szczepień__13[[#This Row],[PESEL]],6),2))</f>
        <v>2</v>
      </c>
      <c r="I837" s="3">
        <f>DATE(punkt_szczepień__13[[#This Row],[rok]],punkt_szczepień__13[[#This Row],[miesiac]],punkt_szczepień__13[[#This Row],[dzień]])</f>
        <v>32418</v>
      </c>
      <c r="J837" s="1" t="str">
        <f>punkt_szczepień__13[[#This Row],[PESEL]]</f>
        <v>88100219328</v>
      </c>
      <c r="K837" s="1">
        <f>VALUE(MID(punkt_szczepień__13[[#This Row],[PESEL]],10,1))</f>
        <v>2</v>
      </c>
      <c r="L837" s="11" t="str">
        <f>IF(MOD(punkt_szczepień__13[[#This Row],[liczba płeć]],2)=0,"K","M")</f>
        <v>K</v>
      </c>
      <c r="M837" s="1"/>
      <c r="N837" s="1"/>
    </row>
    <row r="838" spans="1:14" x14ac:dyDescent="0.25">
      <c r="A838" s="1" t="s">
        <v>844</v>
      </c>
      <c r="B838" s="1" t="s">
        <v>7</v>
      </c>
      <c r="C838" s="2">
        <v>0.65133101851851849</v>
      </c>
      <c r="D838">
        <v>1</v>
      </c>
      <c r="E838">
        <f>VALUE(RIGHT(LEFT(punkt_szczepień__13[[#This Row],[PESEL]],4),2))</f>
        <v>9</v>
      </c>
      <c r="F838" s="11">
        <f>MOD(punkt_szczepień__13[[#This Row],[liczba miesiac]],20)</f>
        <v>9</v>
      </c>
      <c r="G838" s="11">
        <f>VLOOKUP(punkt_szczepień__13[[#This Row],[liczba miesiac]]-punkt_szczepień__13[[#This Row],[miesiac]],$O$3:$P$7,2,0)+VALUE(LEFT(punkt_szczepień__13[[#This Row],[PESEL]],2))</f>
        <v>1962</v>
      </c>
      <c r="H838" s="11">
        <f>VALUE(RIGHT(LEFT(punkt_szczepień__13[[#This Row],[PESEL]],6),2))</f>
        <v>18</v>
      </c>
      <c r="I838" s="3">
        <f>DATE(punkt_szczepień__13[[#This Row],[rok]],punkt_szczepień__13[[#This Row],[miesiac]],punkt_szczepień__13[[#This Row],[dzień]])</f>
        <v>22907</v>
      </c>
      <c r="J838" s="1" t="str">
        <f>punkt_szczepień__13[[#This Row],[PESEL]]</f>
        <v>62091881281</v>
      </c>
      <c r="K838" s="1">
        <f>VALUE(MID(punkt_szczepień__13[[#This Row],[PESEL]],10,1))</f>
        <v>8</v>
      </c>
      <c r="L838" s="11" t="str">
        <f>IF(MOD(punkt_szczepień__13[[#This Row],[liczba płeć]],2)=0,"K","M")</f>
        <v>K</v>
      </c>
      <c r="M838" s="1"/>
      <c r="N838" s="1"/>
    </row>
    <row r="839" spans="1:14" x14ac:dyDescent="0.25">
      <c r="A839" s="1" t="s">
        <v>845</v>
      </c>
      <c r="B839" s="1" t="s">
        <v>9</v>
      </c>
      <c r="C839" s="2">
        <v>0.65162037037037035</v>
      </c>
      <c r="D839">
        <v>1</v>
      </c>
      <c r="E839">
        <f>VALUE(RIGHT(LEFT(punkt_szczepień__13[[#This Row],[PESEL]],4),2))</f>
        <v>4</v>
      </c>
      <c r="F839" s="11">
        <f>MOD(punkt_szczepień__13[[#This Row],[liczba miesiac]],20)</f>
        <v>4</v>
      </c>
      <c r="G839" s="11">
        <f>VLOOKUP(punkt_szczepień__13[[#This Row],[liczba miesiac]]-punkt_szczepień__13[[#This Row],[miesiac]],$O$3:$P$7,2,0)+VALUE(LEFT(punkt_szczepień__13[[#This Row],[PESEL]],2))</f>
        <v>1989</v>
      </c>
      <c r="H839" s="11">
        <f>VALUE(RIGHT(LEFT(punkt_szczepień__13[[#This Row],[PESEL]],6),2))</f>
        <v>13</v>
      </c>
      <c r="I839" s="3">
        <f>DATE(punkt_szczepień__13[[#This Row],[rok]],punkt_szczepień__13[[#This Row],[miesiac]],punkt_szczepień__13[[#This Row],[dzień]])</f>
        <v>32611</v>
      </c>
      <c r="J839" s="1" t="str">
        <f>punkt_szczepień__13[[#This Row],[PESEL]]</f>
        <v>89041363833</v>
      </c>
      <c r="K839" s="1">
        <f>VALUE(MID(punkt_szczepień__13[[#This Row],[PESEL]],10,1))</f>
        <v>3</v>
      </c>
      <c r="L839" s="11" t="str">
        <f>IF(MOD(punkt_szczepień__13[[#This Row],[liczba płeć]],2)=0,"K","M")</f>
        <v>M</v>
      </c>
      <c r="M839" s="1"/>
      <c r="N839" s="1"/>
    </row>
    <row r="840" spans="1:14" x14ac:dyDescent="0.25">
      <c r="A840" s="1" t="s">
        <v>846</v>
      </c>
      <c r="B840" s="1" t="s">
        <v>7</v>
      </c>
      <c r="C840" s="2">
        <v>0.65190972222222221</v>
      </c>
      <c r="D840">
        <v>1</v>
      </c>
      <c r="E840">
        <f>VALUE(RIGHT(LEFT(punkt_szczepień__13[[#This Row],[PESEL]],4),2))</f>
        <v>6</v>
      </c>
      <c r="F840" s="11">
        <f>MOD(punkt_szczepień__13[[#This Row],[liczba miesiac]],20)</f>
        <v>6</v>
      </c>
      <c r="G840" s="11">
        <f>VLOOKUP(punkt_szczepień__13[[#This Row],[liczba miesiac]]-punkt_szczepień__13[[#This Row],[miesiac]],$O$3:$P$7,2,0)+VALUE(LEFT(punkt_szczepień__13[[#This Row],[PESEL]],2))</f>
        <v>1960</v>
      </c>
      <c r="H840" s="11">
        <f>VALUE(RIGHT(LEFT(punkt_szczepień__13[[#This Row],[PESEL]],6),2))</f>
        <v>3</v>
      </c>
      <c r="I840" s="3">
        <f>DATE(punkt_szczepień__13[[#This Row],[rok]],punkt_szczepień__13[[#This Row],[miesiac]],punkt_szczepień__13[[#This Row],[dzień]])</f>
        <v>22070</v>
      </c>
      <c r="J840" s="1" t="str">
        <f>punkt_szczepień__13[[#This Row],[PESEL]]</f>
        <v>60060322474</v>
      </c>
      <c r="K840" s="1">
        <f>VALUE(MID(punkt_szczepień__13[[#This Row],[PESEL]],10,1))</f>
        <v>7</v>
      </c>
      <c r="L840" s="11" t="str">
        <f>IF(MOD(punkt_szczepień__13[[#This Row],[liczba płeć]],2)=0,"K","M")</f>
        <v>M</v>
      </c>
      <c r="M840" s="1"/>
      <c r="N840" s="1"/>
    </row>
    <row r="841" spans="1:14" x14ac:dyDescent="0.25">
      <c r="A841" s="1" t="s">
        <v>847</v>
      </c>
      <c r="B841" s="1" t="s">
        <v>9</v>
      </c>
      <c r="C841" s="2">
        <v>0.65248842592592593</v>
      </c>
      <c r="D841">
        <v>2</v>
      </c>
      <c r="E841">
        <f>VALUE(RIGHT(LEFT(punkt_szczepień__13[[#This Row],[PESEL]],4),2))</f>
        <v>11</v>
      </c>
      <c r="F841" s="11">
        <f>MOD(punkt_szczepień__13[[#This Row],[liczba miesiac]],20)</f>
        <v>11</v>
      </c>
      <c r="G841" s="11">
        <f>VLOOKUP(punkt_szczepień__13[[#This Row],[liczba miesiac]]-punkt_szczepień__13[[#This Row],[miesiac]],$O$3:$P$7,2,0)+VALUE(LEFT(punkt_szczepień__13[[#This Row],[PESEL]],2))</f>
        <v>1957</v>
      </c>
      <c r="H841" s="11">
        <f>VALUE(RIGHT(LEFT(punkt_szczepień__13[[#This Row],[PESEL]],6),2))</f>
        <v>1</v>
      </c>
      <c r="I841" s="3">
        <f>DATE(punkt_szczepień__13[[#This Row],[rok]],punkt_szczepień__13[[#This Row],[miesiac]],punkt_szczepień__13[[#This Row],[dzień]])</f>
        <v>21125</v>
      </c>
      <c r="J841" s="1" t="str">
        <f>punkt_szczepień__13[[#This Row],[PESEL]]</f>
        <v>57110125563</v>
      </c>
      <c r="K841" s="1">
        <f>VALUE(MID(punkt_szczepień__13[[#This Row],[PESEL]],10,1))</f>
        <v>6</v>
      </c>
      <c r="L841" s="11" t="str">
        <f>IF(MOD(punkt_szczepień__13[[#This Row],[liczba płeć]],2)=0,"K","M")</f>
        <v>K</v>
      </c>
      <c r="M841" s="1"/>
      <c r="N841" s="1"/>
    </row>
    <row r="842" spans="1:14" x14ac:dyDescent="0.25">
      <c r="A842" s="1" t="s">
        <v>848</v>
      </c>
      <c r="B842" s="1" t="s">
        <v>27</v>
      </c>
      <c r="C842" s="2">
        <v>0.65277777777777779</v>
      </c>
      <c r="D842">
        <v>1</v>
      </c>
      <c r="E842">
        <f>VALUE(RIGHT(LEFT(punkt_szczepień__13[[#This Row],[PESEL]],4),2))</f>
        <v>3</v>
      </c>
      <c r="F842" s="11">
        <f>MOD(punkt_szczepień__13[[#This Row],[liczba miesiac]],20)</f>
        <v>3</v>
      </c>
      <c r="G842" s="11">
        <f>VLOOKUP(punkt_szczepień__13[[#This Row],[liczba miesiac]]-punkt_szczepień__13[[#This Row],[miesiac]],$O$3:$P$7,2,0)+VALUE(LEFT(punkt_szczepień__13[[#This Row],[PESEL]],2))</f>
        <v>1960</v>
      </c>
      <c r="H842" s="11">
        <f>VALUE(RIGHT(LEFT(punkt_szczepień__13[[#This Row],[PESEL]],6),2))</f>
        <v>23</v>
      </c>
      <c r="I842" s="3">
        <f>DATE(punkt_szczepień__13[[#This Row],[rok]],punkt_szczepień__13[[#This Row],[miesiac]],punkt_szczepień__13[[#This Row],[dzień]])</f>
        <v>21998</v>
      </c>
      <c r="J842" s="1" t="str">
        <f>punkt_szczepień__13[[#This Row],[PESEL]]</f>
        <v>60032357169</v>
      </c>
      <c r="K842" s="1">
        <f>VALUE(MID(punkt_szczepień__13[[#This Row],[PESEL]],10,1))</f>
        <v>6</v>
      </c>
      <c r="L842" s="11" t="str">
        <f>IF(MOD(punkt_szczepień__13[[#This Row],[liczba płeć]],2)=0,"K","M")</f>
        <v>K</v>
      </c>
      <c r="M842" s="1"/>
      <c r="N842" s="1"/>
    </row>
    <row r="843" spans="1:14" x14ac:dyDescent="0.25">
      <c r="A843" s="1" t="s">
        <v>849</v>
      </c>
      <c r="B843" s="1" t="s">
        <v>7</v>
      </c>
      <c r="C843" s="2">
        <v>0.65306712962962965</v>
      </c>
      <c r="D843">
        <v>1</v>
      </c>
      <c r="E843">
        <f>VALUE(RIGHT(LEFT(punkt_szczepień__13[[#This Row],[PESEL]],4),2))</f>
        <v>9</v>
      </c>
      <c r="F843" s="11">
        <f>MOD(punkt_szczepień__13[[#This Row],[liczba miesiac]],20)</f>
        <v>9</v>
      </c>
      <c r="G843" s="11">
        <f>VLOOKUP(punkt_szczepień__13[[#This Row],[liczba miesiac]]-punkt_szczepień__13[[#This Row],[miesiac]],$O$3:$P$7,2,0)+VALUE(LEFT(punkt_szczepień__13[[#This Row],[PESEL]],2))</f>
        <v>1980</v>
      </c>
      <c r="H843" s="11">
        <f>VALUE(RIGHT(LEFT(punkt_szczepień__13[[#This Row],[PESEL]],6),2))</f>
        <v>8</v>
      </c>
      <c r="I843" s="3">
        <f>DATE(punkt_szczepień__13[[#This Row],[rok]],punkt_szczepień__13[[#This Row],[miesiac]],punkt_szczepień__13[[#This Row],[dzień]])</f>
        <v>29472</v>
      </c>
      <c r="J843" s="1" t="str">
        <f>punkt_szczepień__13[[#This Row],[PESEL]]</f>
        <v>80090872345</v>
      </c>
      <c r="K843" s="1">
        <f>VALUE(MID(punkt_szczepień__13[[#This Row],[PESEL]],10,1))</f>
        <v>4</v>
      </c>
      <c r="L843" s="11" t="str">
        <f>IF(MOD(punkt_szczepień__13[[#This Row],[liczba płeć]],2)=0,"K","M")</f>
        <v>K</v>
      </c>
      <c r="M843" s="1"/>
      <c r="N843" s="1"/>
    </row>
    <row r="844" spans="1:14" x14ac:dyDescent="0.25">
      <c r="A844" s="1" t="s">
        <v>850</v>
      </c>
      <c r="B844" s="1" t="s">
        <v>5</v>
      </c>
      <c r="C844" s="2">
        <v>0.65364583333333337</v>
      </c>
      <c r="D844">
        <v>2</v>
      </c>
      <c r="E844">
        <f>VALUE(RIGHT(LEFT(punkt_szczepień__13[[#This Row],[PESEL]],4),2))</f>
        <v>4</v>
      </c>
      <c r="F844" s="11">
        <f>MOD(punkt_szczepień__13[[#This Row],[liczba miesiac]],20)</f>
        <v>4</v>
      </c>
      <c r="G844" s="11">
        <f>VLOOKUP(punkt_szczepień__13[[#This Row],[liczba miesiac]]-punkt_szczepień__13[[#This Row],[miesiac]],$O$3:$P$7,2,0)+VALUE(LEFT(punkt_szczepień__13[[#This Row],[PESEL]],2))</f>
        <v>1989</v>
      </c>
      <c r="H844" s="11">
        <f>VALUE(RIGHT(LEFT(punkt_szczepień__13[[#This Row],[PESEL]],6),2))</f>
        <v>15</v>
      </c>
      <c r="I844" s="3">
        <f>DATE(punkt_szczepień__13[[#This Row],[rok]],punkt_szczepień__13[[#This Row],[miesiac]],punkt_szczepień__13[[#This Row],[dzień]])</f>
        <v>32613</v>
      </c>
      <c r="J844" s="1" t="str">
        <f>punkt_szczepień__13[[#This Row],[PESEL]]</f>
        <v>89041555874</v>
      </c>
      <c r="K844" s="1">
        <f>VALUE(MID(punkt_szczepień__13[[#This Row],[PESEL]],10,1))</f>
        <v>7</v>
      </c>
      <c r="L844" s="11" t="str">
        <f>IF(MOD(punkt_szczepień__13[[#This Row],[liczba płeć]],2)=0,"K","M")</f>
        <v>M</v>
      </c>
      <c r="M844" s="1"/>
      <c r="N844" s="1"/>
    </row>
    <row r="845" spans="1:14" x14ac:dyDescent="0.25">
      <c r="A845" s="1" t="s">
        <v>851</v>
      </c>
      <c r="B845" s="1" t="s">
        <v>5</v>
      </c>
      <c r="C845" s="2">
        <v>0.65422453703703709</v>
      </c>
      <c r="D845">
        <v>2</v>
      </c>
      <c r="E845">
        <f>VALUE(RIGHT(LEFT(punkt_szczepień__13[[#This Row],[PESEL]],4),2))</f>
        <v>2</v>
      </c>
      <c r="F845" s="11">
        <f>MOD(punkt_szczepień__13[[#This Row],[liczba miesiac]],20)</f>
        <v>2</v>
      </c>
      <c r="G845" s="11">
        <f>VLOOKUP(punkt_szczepień__13[[#This Row],[liczba miesiac]]-punkt_szczepień__13[[#This Row],[miesiac]],$O$3:$P$7,2,0)+VALUE(LEFT(punkt_szczepień__13[[#This Row],[PESEL]],2))</f>
        <v>1949</v>
      </c>
      <c r="H845" s="11">
        <f>VALUE(RIGHT(LEFT(punkt_szczepień__13[[#This Row],[PESEL]],6),2))</f>
        <v>9</v>
      </c>
      <c r="I845" s="3">
        <f>DATE(punkt_szczepień__13[[#This Row],[rok]],punkt_szczepień__13[[#This Row],[miesiac]],punkt_szczepień__13[[#This Row],[dzień]])</f>
        <v>17938</v>
      </c>
      <c r="J845" s="1" t="str">
        <f>punkt_szczepień__13[[#This Row],[PESEL]]</f>
        <v>49020934816</v>
      </c>
      <c r="K845" s="1">
        <f>VALUE(MID(punkt_szczepień__13[[#This Row],[PESEL]],10,1))</f>
        <v>1</v>
      </c>
      <c r="L845" s="11" t="str">
        <f>IF(MOD(punkt_szczepień__13[[#This Row],[liczba płeć]],2)=0,"K","M")</f>
        <v>M</v>
      </c>
      <c r="M845" s="1"/>
      <c r="N845" s="1"/>
    </row>
    <row r="846" spans="1:14" x14ac:dyDescent="0.25">
      <c r="A846" s="1" t="s">
        <v>852</v>
      </c>
      <c r="B846" s="1" t="s">
        <v>5</v>
      </c>
      <c r="C846" s="2">
        <v>0.65451388888888884</v>
      </c>
      <c r="D846">
        <v>1</v>
      </c>
      <c r="E846">
        <f>VALUE(RIGHT(LEFT(punkt_szczepień__13[[#This Row],[PESEL]],4),2))</f>
        <v>7</v>
      </c>
      <c r="F846" s="11">
        <f>MOD(punkt_szczepień__13[[#This Row],[liczba miesiac]],20)</f>
        <v>7</v>
      </c>
      <c r="G846" s="11">
        <f>VLOOKUP(punkt_szczepień__13[[#This Row],[liczba miesiac]]-punkt_szczepień__13[[#This Row],[miesiac]],$O$3:$P$7,2,0)+VALUE(LEFT(punkt_szczepień__13[[#This Row],[PESEL]],2))</f>
        <v>1930</v>
      </c>
      <c r="H846" s="11">
        <f>VALUE(RIGHT(LEFT(punkt_szczepień__13[[#This Row],[PESEL]],6),2))</f>
        <v>5</v>
      </c>
      <c r="I846" s="3">
        <f>DATE(punkt_szczepień__13[[#This Row],[rok]],punkt_szczepień__13[[#This Row],[miesiac]],punkt_szczepień__13[[#This Row],[dzień]])</f>
        <v>11144</v>
      </c>
      <c r="J846" s="1" t="str">
        <f>punkt_szczepień__13[[#This Row],[PESEL]]</f>
        <v>30070547978</v>
      </c>
      <c r="K846" s="1">
        <f>VALUE(MID(punkt_szczepień__13[[#This Row],[PESEL]],10,1))</f>
        <v>7</v>
      </c>
      <c r="L846" s="11" t="str">
        <f>IF(MOD(punkt_szczepień__13[[#This Row],[liczba płeć]],2)=0,"K","M")</f>
        <v>M</v>
      </c>
      <c r="M846" s="1"/>
      <c r="N846" s="1"/>
    </row>
    <row r="847" spans="1:14" x14ac:dyDescent="0.25">
      <c r="A847" s="1" t="s">
        <v>853</v>
      </c>
      <c r="B847" s="1" t="s">
        <v>7</v>
      </c>
      <c r="C847" s="2">
        <v>0.6548032407407407</v>
      </c>
      <c r="D847">
        <v>1</v>
      </c>
      <c r="E847">
        <f>VALUE(RIGHT(LEFT(punkt_szczepień__13[[#This Row],[PESEL]],4),2))</f>
        <v>9</v>
      </c>
      <c r="F847" s="11">
        <f>MOD(punkt_szczepień__13[[#This Row],[liczba miesiac]],20)</f>
        <v>9</v>
      </c>
      <c r="G847" s="11">
        <f>VLOOKUP(punkt_szczepień__13[[#This Row],[liczba miesiac]]-punkt_szczepień__13[[#This Row],[miesiac]],$O$3:$P$7,2,0)+VALUE(LEFT(punkt_szczepień__13[[#This Row],[PESEL]],2))</f>
        <v>1968</v>
      </c>
      <c r="H847" s="11">
        <f>VALUE(RIGHT(LEFT(punkt_szczepień__13[[#This Row],[PESEL]],6),2))</f>
        <v>1</v>
      </c>
      <c r="I847" s="3">
        <f>DATE(punkt_szczepień__13[[#This Row],[rok]],punkt_szczepień__13[[#This Row],[miesiac]],punkt_szczepień__13[[#This Row],[dzień]])</f>
        <v>25082</v>
      </c>
      <c r="J847" s="1" t="str">
        <f>punkt_szczepień__13[[#This Row],[PESEL]]</f>
        <v>68090165764</v>
      </c>
      <c r="K847" s="1">
        <f>VALUE(MID(punkt_szczepień__13[[#This Row],[PESEL]],10,1))</f>
        <v>6</v>
      </c>
      <c r="L847" s="11" t="str">
        <f>IF(MOD(punkt_szczepień__13[[#This Row],[liczba płeć]],2)=0,"K","M")</f>
        <v>K</v>
      </c>
      <c r="M847" s="1"/>
      <c r="N847" s="1"/>
    </row>
    <row r="848" spans="1:14" x14ac:dyDescent="0.25">
      <c r="A848" s="1" t="s">
        <v>854</v>
      </c>
      <c r="B848" s="1" t="s">
        <v>5</v>
      </c>
      <c r="C848" s="2">
        <v>0.65538194444444442</v>
      </c>
      <c r="D848">
        <v>2</v>
      </c>
      <c r="E848">
        <f>VALUE(RIGHT(LEFT(punkt_szczepień__13[[#This Row],[PESEL]],4),2))</f>
        <v>9</v>
      </c>
      <c r="F848" s="11">
        <f>MOD(punkt_szczepień__13[[#This Row],[liczba miesiac]],20)</f>
        <v>9</v>
      </c>
      <c r="G848" s="11">
        <f>VLOOKUP(punkt_szczepień__13[[#This Row],[liczba miesiac]]-punkt_szczepień__13[[#This Row],[miesiac]],$O$3:$P$7,2,0)+VALUE(LEFT(punkt_szczepień__13[[#This Row],[PESEL]],2))</f>
        <v>1990</v>
      </c>
      <c r="H848" s="11">
        <f>VALUE(RIGHT(LEFT(punkt_szczepień__13[[#This Row],[PESEL]],6),2))</f>
        <v>20</v>
      </c>
      <c r="I848" s="3">
        <f>DATE(punkt_szczepień__13[[#This Row],[rok]],punkt_szczepień__13[[#This Row],[miesiac]],punkt_szczepień__13[[#This Row],[dzień]])</f>
        <v>33136</v>
      </c>
      <c r="J848" s="1" t="str">
        <f>punkt_szczepień__13[[#This Row],[PESEL]]</f>
        <v>90092074423</v>
      </c>
      <c r="K848" s="1">
        <f>VALUE(MID(punkt_szczepień__13[[#This Row],[PESEL]],10,1))</f>
        <v>2</v>
      </c>
      <c r="L848" s="11" t="str">
        <f>IF(MOD(punkt_szczepień__13[[#This Row],[liczba płeć]],2)=0,"K","M")</f>
        <v>K</v>
      </c>
      <c r="M848" s="1"/>
      <c r="N848" s="1"/>
    </row>
    <row r="849" spans="1:14" x14ac:dyDescent="0.25">
      <c r="A849" s="1" t="s">
        <v>855</v>
      </c>
      <c r="B849" s="1" t="s">
        <v>9</v>
      </c>
      <c r="C849" s="2">
        <v>0.65596064814814814</v>
      </c>
      <c r="D849">
        <v>2</v>
      </c>
      <c r="E849">
        <f>VALUE(RIGHT(LEFT(punkt_szczepień__13[[#This Row],[PESEL]],4),2))</f>
        <v>5</v>
      </c>
      <c r="F849" s="11">
        <f>MOD(punkt_szczepień__13[[#This Row],[liczba miesiac]],20)</f>
        <v>5</v>
      </c>
      <c r="G849" s="11">
        <f>VLOOKUP(punkt_szczepień__13[[#This Row],[liczba miesiac]]-punkt_szczepień__13[[#This Row],[miesiac]],$O$3:$P$7,2,0)+VALUE(LEFT(punkt_szczepień__13[[#This Row],[PESEL]],2))</f>
        <v>1960</v>
      </c>
      <c r="H849" s="11">
        <f>VALUE(RIGHT(LEFT(punkt_szczepień__13[[#This Row],[PESEL]],6),2))</f>
        <v>19</v>
      </c>
      <c r="I849" s="3">
        <f>DATE(punkt_szczepień__13[[#This Row],[rok]],punkt_szczepień__13[[#This Row],[miesiac]],punkt_szczepień__13[[#This Row],[dzień]])</f>
        <v>22055</v>
      </c>
      <c r="J849" s="1" t="str">
        <f>punkt_szczepień__13[[#This Row],[PESEL]]</f>
        <v>60051991245</v>
      </c>
      <c r="K849" s="1">
        <f>VALUE(MID(punkt_szczepień__13[[#This Row],[PESEL]],10,1))</f>
        <v>4</v>
      </c>
      <c r="L849" s="11" t="str">
        <f>IF(MOD(punkt_szczepień__13[[#This Row],[liczba płeć]],2)=0,"K","M")</f>
        <v>K</v>
      </c>
      <c r="M849" s="1"/>
      <c r="N849" s="1"/>
    </row>
    <row r="850" spans="1:14" x14ac:dyDescent="0.25">
      <c r="A850" s="1" t="s">
        <v>856</v>
      </c>
      <c r="B850" s="1" t="s">
        <v>5</v>
      </c>
      <c r="C850" s="2">
        <v>0.65625</v>
      </c>
      <c r="D850">
        <v>1</v>
      </c>
      <c r="E850">
        <f>VALUE(RIGHT(LEFT(punkt_szczepień__13[[#This Row],[PESEL]],4),2))</f>
        <v>4</v>
      </c>
      <c r="F850" s="11">
        <f>MOD(punkt_szczepień__13[[#This Row],[liczba miesiac]],20)</f>
        <v>4</v>
      </c>
      <c r="G850" s="11">
        <f>VLOOKUP(punkt_szczepień__13[[#This Row],[liczba miesiac]]-punkt_szczepień__13[[#This Row],[miesiac]],$O$3:$P$7,2,0)+VALUE(LEFT(punkt_szczepień__13[[#This Row],[PESEL]],2))</f>
        <v>1996</v>
      </c>
      <c r="H850" s="11">
        <f>VALUE(RIGHT(LEFT(punkt_szczepień__13[[#This Row],[PESEL]],6),2))</f>
        <v>5</v>
      </c>
      <c r="I850" s="3">
        <f>DATE(punkt_szczepień__13[[#This Row],[rok]],punkt_szczepień__13[[#This Row],[miesiac]],punkt_szczepień__13[[#This Row],[dzień]])</f>
        <v>35160</v>
      </c>
      <c r="J850" s="1" t="str">
        <f>punkt_szczepień__13[[#This Row],[PESEL]]</f>
        <v>96040551121</v>
      </c>
      <c r="K850" s="1">
        <f>VALUE(MID(punkt_szczepień__13[[#This Row],[PESEL]],10,1))</f>
        <v>2</v>
      </c>
      <c r="L850" s="11" t="str">
        <f>IF(MOD(punkt_szczepień__13[[#This Row],[liczba płeć]],2)=0,"K","M")</f>
        <v>K</v>
      </c>
      <c r="M850" s="1"/>
      <c r="N850" s="1"/>
    </row>
    <row r="851" spans="1:14" x14ac:dyDescent="0.25">
      <c r="A851" s="1" t="s">
        <v>857</v>
      </c>
      <c r="B851" s="1" t="s">
        <v>9</v>
      </c>
      <c r="C851" s="2">
        <v>0.65682870370370372</v>
      </c>
      <c r="D851">
        <v>2</v>
      </c>
      <c r="E851">
        <f>VALUE(RIGHT(LEFT(punkt_szczepień__13[[#This Row],[PESEL]],4),2))</f>
        <v>3</v>
      </c>
      <c r="F851" s="11">
        <f>MOD(punkt_szczepień__13[[#This Row],[liczba miesiac]],20)</f>
        <v>3</v>
      </c>
      <c r="G851" s="11">
        <f>VLOOKUP(punkt_szczepień__13[[#This Row],[liczba miesiac]]-punkt_szczepień__13[[#This Row],[miesiac]],$O$3:$P$7,2,0)+VALUE(LEFT(punkt_szczepień__13[[#This Row],[PESEL]],2))</f>
        <v>1980</v>
      </c>
      <c r="H851" s="11">
        <f>VALUE(RIGHT(LEFT(punkt_szczepień__13[[#This Row],[PESEL]],6),2))</f>
        <v>22</v>
      </c>
      <c r="I851" s="3">
        <f>DATE(punkt_szczepień__13[[#This Row],[rok]],punkt_szczepień__13[[#This Row],[miesiac]],punkt_szczepień__13[[#This Row],[dzień]])</f>
        <v>29302</v>
      </c>
      <c r="J851" s="1" t="str">
        <f>punkt_szczepień__13[[#This Row],[PESEL]]</f>
        <v>80032243415</v>
      </c>
      <c r="K851" s="1">
        <f>VALUE(MID(punkt_szczepień__13[[#This Row],[PESEL]],10,1))</f>
        <v>1</v>
      </c>
      <c r="L851" s="11" t="str">
        <f>IF(MOD(punkt_szczepień__13[[#This Row],[liczba płeć]],2)=0,"K","M")</f>
        <v>M</v>
      </c>
      <c r="M851" s="1"/>
      <c r="N851" s="1"/>
    </row>
    <row r="852" spans="1:14" x14ac:dyDescent="0.25">
      <c r="A852" s="1" t="s">
        <v>858</v>
      </c>
      <c r="B852" s="1" t="s">
        <v>7</v>
      </c>
      <c r="C852" s="2">
        <v>0.65711805555555558</v>
      </c>
      <c r="D852">
        <v>1</v>
      </c>
      <c r="E852">
        <f>VALUE(RIGHT(LEFT(punkt_szczepień__13[[#This Row],[PESEL]],4),2))</f>
        <v>1</v>
      </c>
      <c r="F852" s="11">
        <f>MOD(punkt_szczepień__13[[#This Row],[liczba miesiac]],20)</f>
        <v>1</v>
      </c>
      <c r="G852" s="11">
        <f>VLOOKUP(punkt_szczepień__13[[#This Row],[liczba miesiac]]-punkt_szczepień__13[[#This Row],[miesiac]],$O$3:$P$7,2,0)+VALUE(LEFT(punkt_szczepień__13[[#This Row],[PESEL]],2))</f>
        <v>1974</v>
      </c>
      <c r="H852" s="11">
        <f>VALUE(RIGHT(LEFT(punkt_szczepień__13[[#This Row],[PESEL]],6),2))</f>
        <v>19</v>
      </c>
      <c r="I852" s="3">
        <f>DATE(punkt_szczepień__13[[#This Row],[rok]],punkt_szczepień__13[[#This Row],[miesiac]],punkt_szczepień__13[[#This Row],[dzień]])</f>
        <v>27048</v>
      </c>
      <c r="J852" s="1" t="str">
        <f>punkt_szczepień__13[[#This Row],[PESEL]]</f>
        <v>74011931745</v>
      </c>
      <c r="K852" s="1">
        <f>VALUE(MID(punkt_szczepień__13[[#This Row],[PESEL]],10,1))</f>
        <v>4</v>
      </c>
      <c r="L852" s="11" t="str">
        <f>IF(MOD(punkt_szczepień__13[[#This Row],[liczba płeć]],2)=0,"K","M")</f>
        <v>K</v>
      </c>
      <c r="M852" s="1"/>
      <c r="N852" s="1"/>
    </row>
    <row r="853" spans="1:14" x14ac:dyDescent="0.25">
      <c r="A853" s="1" t="s">
        <v>859</v>
      </c>
      <c r="B853" s="1" t="s">
        <v>5</v>
      </c>
      <c r="C853" s="2">
        <v>0.6576967592592593</v>
      </c>
      <c r="D853">
        <v>2</v>
      </c>
      <c r="E853">
        <f>VALUE(RIGHT(LEFT(punkt_szczepień__13[[#This Row],[PESEL]],4),2))</f>
        <v>4</v>
      </c>
      <c r="F853" s="11">
        <f>MOD(punkt_szczepień__13[[#This Row],[liczba miesiac]],20)</f>
        <v>4</v>
      </c>
      <c r="G853" s="11">
        <f>VLOOKUP(punkt_szczepień__13[[#This Row],[liczba miesiac]]-punkt_szczepień__13[[#This Row],[miesiac]],$O$3:$P$7,2,0)+VALUE(LEFT(punkt_szczepień__13[[#This Row],[PESEL]],2))</f>
        <v>1932</v>
      </c>
      <c r="H853" s="11">
        <f>VALUE(RIGHT(LEFT(punkt_szczepień__13[[#This Row],[PESEL]],6),2))</f>
        <v>29</v>
      </c>
      <c r="I853" s="3">
        <f>DATE(punkt_szczepień__13[[#This Row],[rok]],punkt_szczepień__13[[#This Row],[miesiac]],punkt_szczepień__13[[#This Row],[dzień]])</f>
        <v>11808</v>
      </c>
      <c r="J853" s="1" t="str">
        <f>punkt_szczepień__13[[#This Row],[PESEL]]</f>
        <v>32042933169</v>
      </c>
      <c r="K853" s="1">
        <f>VALUE(MID(punkt_szczepień__13[[#This Row],[PESEL]],10,1))</f>
        <v>6</v>
      </c>
      <c r="L853" s="11" t="str">
        <f>IF(MOD(punkt_szczepień__13[[#This Row],[liczba płeć]],2)=0,"K","M")</f>
        <v>K</v>
      </c>
      <c r="M853" s="1"/>
      <c r="N853" s="1"/>
    </row>
    <row r="854" spans="1:14" x14ac:dyDescent="0.25">
      <c r="A854" s="1" t="s">
        <v>860</v>
      </c>
      <c r="B854" s="1" t="s">
        <v>5</v>
      </c>
      <c r="C854" s="2">
        <v>0.65798611111111116</v>
      </c>
      <c r="D854">
        <v>1</v>
      </c>
      <c r="E854">
        <f>VALUE(RIGHT(LEFT(punkt_szczepień__13[[#This Row],[PESEL]],4),2))</f>
        <v>2</v>
      </c>
      <c r="F854" s="11">
        <f>MOD(punkt_szczepień__13[[#This Row],[liczba miesiac]],20)</f>
        <v>2</v>
      </c>
      <c r="G854" s="11">
        <f>VLOOKUP(punkt_szczepień__13[[#This Row],[liczba miesiac]]-punkt_szczepień__13[[#This Row],[miesiac]],$O$3:$P$7,2,0)+VALUE(LEFT(punkt_szczepień__13[[#This Row],[PESEL]],2))</f>
        <v>1976</v>
      </c>
      <c r="H854" s="11">
        <f>VALUE(RIGHT(LEFT(punkt_szczepień__13[[#This Row],[PESEL]],6),2))</f>
        <v>10</v>
      </c>
      <c r="I854" s="3">
        <f>DATE(punkt_szczepień__13[[#This Row],[rok]],punkt_szczepień__13[[#This Row],[miesiac]],punkt_szczepień__13[[#This Row],[dzień]])</f>
        <v>27800</v>
      </c>
      <c r="J854" s="1" t="str">
        <f>punkt_szczepień__13[[#This Row],[PESEL]]</f>
        <v>76021025625</v>
      </c>
      <c r="K854" s="1">
        <f>VALUE(MID(punkt_szczepień__13[[#This Row],[PESEL]],10,1))</f>
        <v>2</v>
      </c>
      <c r="L854" s="11" t="str">
        <f>IF(MOD(punkt_szczepień__13[[#This Row],[liczba płeć]],2)=0,"K","M")</f>
        <v>K</v>
      </c>
      <c r="M854" s="1"/>
      <c r="N854" s="1"/>
    </row>
    <row r="855" spans="1:14" x14ac:dyDescent="0.25">
      <c r="A855" s="1" t="s">
        <v>861</v>
      </c>
      <c r="B855" s="1" t="s">
        <v>5</v>
      </c>
      <c r="C855" s="2">
        <v>0.65856481481481477</v>
      </c>
      <c r="D855">
        <v>2</v>
      </c>
      <c r="E855">
        <f>VALUE(RIGHT(LEFT(punkt_szczepień__13[[#This Row],[PESEL]],4),2))</f>
        <v>11</v>
      </c>
      <c r="F855" s="11">
        <f>MOD(punkt_szczepień__13[[#This Row],[liczba miesiac]],20)</f>
        <v>11</v>
      </c>
      <c r="G855" s="11">
        <f>VLOOKUP(punkt_szczepień__13[[#This Row],[liczba miesiac]]-punkt_szczepień__13[[#This Row],[miesiac]],$O$3:$P$7,2,0)+VALUE(LEFT(punkt_szczepień__13[[#This Row],[PESEL]],2))</f>
        <v>1982</v>
      </c>
      <c r="H855" s="11">
        <f>VALUE(RIGHT(LEFT(punkt_szczepień__13[[#This Row],[PESEL]],6),2))</f>
        <v>20</v>
      </c>
      <c r="I855" s="3">
        <f>DATE(punkt_szczepień__13[[#This Row],[rok]],punkt_szczepień__13[[#This Row],[miesiac]],punkt_szczepień__13[[#This Row],[dzień]])</f>
        <v>30275</v>
      </c>
      <c r="J855" s="1" t="str">
        <f>punkt_szczepień__13[[#This Row],[PESEL]]</f>
        <v>82112079152</v>
      </c>
      <c r="K855" s="1">
        <f>VALUE(MID(punkt_szczepień__13[[#This Row],[PESEL]],10,1))</f>
        <v>5</v>
      </c>
      <c r="L855" s="11" t="str">
        <f>IF(MOD(punkt_szczepień__13[[#This Row],[liczba płeć]],2)=0,"K","M")</f>
        <v>M</v>
      </c>
      <c r="M855" s="1"/>
      <c r="N855" s="1"/>
    </row>
    <row r="856" spans="1:14" x14ac:dyDescent="0.25">
      <c r="A856" s="1" t="s">
        <v>862</v>
      </c>
      <c r="B856" s="1" t="s">
        <v>7</v>
      </c>
      <c r="C856" s="2">
        <v>0.65885416666666663</v>
      </c>
      <c r="D856">
        <v>1</v>
      </c>
      <c r="E856">
        <f>VALUE(RIGHT(LEFT(punkt_szczepień__13[[#This Row],[PESEL]],4),2))</f>
        <v>12</v>
      </c>
      <c r="F856" s="11">
        <f>MOD(punkt_szczepień__13[[#This Row],[liczba miesiac]],20)</f>
        <v>12</v>
      </c>
      <c r="G856" s="11">
        <f>VLOOKUP(punkt_szczepień__13[[#This Row],[liczba miesiac]]-punkt_szczepień__13[[#This Row],[miesiac]],$O$3:$P$7,2,0)+VALUE(LEFT(punkt_szczepień__13[[#This Row],[PESEL]],2))</f>
        <v>1927</v>
      </c>
      <c r="H856" s="11">
        <f>VALUE(RIGHT(LEFT(punkt_szczepień__13[[#This Row],[PESEL]],6),2))</f>
        <v>10</v>
      </c>
      <c r="I856" s="3">
        <f>DATE(punkt_szczepień__13[[#This Row],[rok]],punkt_szczepień__13[[#This Row],[miesiac]],punkt_szczepień__13[[#This Row],[dzień]])</f>
        <v>10206</v>
      </c>
      <c r="J856" s="1" t="str">
        <f>punkt_szczepień__13[[#This Row],[PESEL]]</f>
        <v>27121034325</v>
      </c>
      <c r="K856" s="1">
        <f>VALUE(MID(punkt_szczepień__13[[#This Row],[PESEL]],10,1))</f>
        <v>2</v>
      </c>
      <c r="L856" s="11" t="str">
        <f>IF(MOD(punkt_szczepień__13[[#This Row],[liczba płeć]],2)=0,"K","M")</f>
        <v>K</v>
      </c>
      <c r="M856" s="1"/>
      <c r="N856" s="1"/>
    </row>
    <row r="857" spans="1:14" x14ac:dyDescent="0.25">
      <c r="A857" s="1" t="s">
        <v>863</v>
      </c>
      <c r="B857" s="1" t="s">
        <v>5</v>
      </c>
      <c r="C857" s="2">
        <v>0.65943287037037035</v>
      </c>
      <c r="D857">
        <v>2</v>
      </c>
      <c r="E857">
        <f>VALUE(RIGHT(LEFT(punkt_szczepień__13[[#This Row],[PESEL]],4),2))</f>
        <v>1</v>
      </c>
      <c r="F857" s="11">
        <f>MOD(punkt_szczepień__13[[#This Row],[liczba miesiac]],20)</f>
        <v>1</v>
      </c>
      <c r="G857" s="11">
        <f>VLOOKUP(punkt_szczepień__13[[#This Row],[liczba miesiac]]-punkt_szczepień__13[[#This Row],[miesiac]],$O$3:$P$7,2,0)+VALUE(LEFT(punkt_szczepień__13[[#This Row],[PESEL]],2))</f>
        <v>1925</v>
      </c>
      <c r="H857" s="11">
        <f>VALUE(RIGHT(LEFT(punkt_szczepień__13[[#This Row],[PESEL]],6),2))</f>
        <v>2</v>
      </c>
      <c r="I857" s="3">
        <f>DATE(punkt_szczepień__13[[#This Row],[rok]],punkt_szczepień__13[[#This Row],[miesiac]],punkt_szczepień__13[[#This Row],[dzień]])</f>
        <v>9134</v>
      </c>
      <c r="J857" s="1" t="str">
        <f>punkt_szczepień__13[[#This Row],[PESEL]]</f>
        <v>25010246853</v>
      </c>
      <c r="K857" s="1">
        <f>VALUE(MID(punkt_szczepień__13[[#This Row],[PESEL]],10,1))</f>
        <v>5</v>
      </c>
      <c r="L857" s="11" t="str">
        <f>IF(MOD(punkt_szczepień__13[[#This Row],[liczba płeć]],2)=0,"K","M")</f>
        <v>M</v>
      </c>
      <c r="M857" s="1"/>
      <c r="N857" s="1"/>
    </row>
    <row r="858" spans="1:14" x14ac:dyDescent="0.25">
      <c r="A858" s="1" t="s">
        <v>864</v>
      </c>
      <c r="B858" s="1" t="s">
        <v>7</v>
      </c>
      <c r="C858" s="2">
        <v>0.65972222222222221</v>
      </c>
      <c r="D858">
        <v>1</v>
      </c>
      <c r="E858">
        <f>VALUE(RIGHT(LEFT(punkt_szczepień__13[[#This Row],[PESEL]],4),2))</f>
        <v>12</v>
      </c>
      <c r="F858" s="11">
        <f>MOD(punkt_szczepień__13[[#This Row],[liczba miesiac]],20)</f>
        <v>12</v>
      </c>
      <c r="G858" s="11">
        <f>VLOOKUP(punkt_szczepień__13[[#This Row],[liczba miesiac]]-punkt_szczepień__13[[#This Row],[miesiac]],$O$3:$P$7,2,0)+VALUE(LEFT(punkt_szczepień__13[[#This Row],[PESEL]],2))</f>
        <v>1928</v>
      </c>
      <c r="H858" s="11">
        <f>VALUE(RIGHT(LEFT(punkt_szczepień__13[[#This Row],[PESEL]],6),2))</f>
        <v>7</v>
      </c>
      <c r="I858" s="3">
        <f>DATE(punkt_szczepień__13[[#This Row],[rok]],punkt_szczepień__13[[#This Row],[miesiac]],punkt_szczepień__13[[#This Row],[dzień]])</f>
        <v>10569</v>
      </c>
      <c r="J858" s="1" t="str">
        <f>punkt_szczepień__13[[#This Row],[PESEL]]</f>
        <v>28120717411</v>
      </c>
      <c r="K858" s="1">
        <f>VALUE(MID(punkt_szczepień__13[[#This Row],[PESEL]],10,1))</f>
        <v>1</v>
      </c>
      <c r="L858" s="11" t="str">
        <f>IF(MOD(punkt_szczepień__13[[#This Row],[liczba płeć]],2)=0,"K","M")</f>
        <v>M</v>
      </c>
      <c r="M858" s="1"/>
      <c r="N858" s="1"/>
    </row>
    <row r="859" spans="1:14" x14ac:dyDescent="0.25">
      <c r="A859" s="1" t="s">
        <v>865</v>
      </c>
      <c r="B859" s="1" t="s">
        <v>9</v>
      </c>
      <c r="C859" s="2">
        <v>0.66030092592592593</v>
      </c>
      <c r="D859">
        <v>2</v>
      </c>
      <c r="E859">
        <f>VALUE(RIGHT(LEFT(punkt_szczepień__13[[#This Row],[PESEL]],4),2))</f>
        <v>9</v>
      </c>
      <c r="F859" s="11">
        <f>MOD(punkt_szczepień__13[[#This Row],[liczba miesiac]],20)</f>
        <v>9</v>
      </c>
      <c r="G859" s="11">
        <f>VLOOKUP(punkt_szczepień__13[[#This Row],[liczba miesiac]]-punkt_szczepień__13[[#This Row],[miesiac]],$O$3:$P$7,2,0)+VALUE(LEFT(punkt_szczepień__13[[#This Row],[PESEL]],2))</f>
        <v>1959</v>
      </c>
      <c r="H859" s="11">
        <f>VALUE(RIGHT(LEFT(punkt_szczepień__13[[#This Row],[PESEL]],6),2))</f>
        <v>12</v>
      </c>
      <c r="I859" s="3">
        <f>DATE(punkt_szczepień__13[[#This Row],[rok]],punkt_szczepień__13[[#This Row],[miesiac]],punkt_szczepień__13[[#This Row],[dzień]])</f>
        <v>21805</v>
      </c>
      <c r="J859" s="1" t="str">
        <f>punkt_szczepień__13[[#This Row],[PESEL]]</f>
        <v>59091214779</v>
      </c>
      <c r="K859" s="1">
        <f>VALUE(MID(punkt_szczepień__13[[#This Row],[PESEL]],10,1))</f>
        <v>7</v>
      </c>
      <c r="L859" s="11" t="str">
        <f>IF(MOD(punkt_szczepień__13[[#This Row],[liczba płeć]],2)=0,"K","M")</f>
        <v>M</v>
      </c>
      <c r="M859" s="1"/>
      <c r="N859" s="1"/>
    </row>
    <row r="860" spans="1:14" x14ac:dyDescent="0.25">
      <c r="A860" s="1" t="s">
        <v>866</v>
      </c>
      <c r="B860" s="1" t="s">
        <v>27</v>
      </c>
      <c r="C860" s="2">
        <v>0.66059027777777779</v>
      </c>
      <c r="D860">
        <v>1</v>
      </c>
      <c r="E860">
        <f>VALUE(RIGHT(LEFT(punkt_szczepień__13[[#This Row],[PESEL]],4),2))</f>
        <v>30</v>
      </c>
      <c r="F860" s="11">
        <f>MOD(punkt_szczepień__13[[#This Row],[liczba miesiac]],20)</f>
        <v>10</v>
      </c>
      <c r="G860" s="11">
        <f>VLOOKUP(punkt_szczepień__13[[#This Row],[liczba miesiac]]-punkt_szczepień__13[[#This Row],[miesiac]],$O$3:$P$7,2,0)+VALUE(LEFT(punkt_szczepień__13[[#This Row],[PESEL]],2))</f>
        <v>2001</v>
      </c>
      <c r="H860" s="11">
        <f>VALUE(RIGHT(LEFT(punkt_szczepień__13[[#This Row],[PESEL]],6),2))</f>
        <v>15</v>
      </c>
      <c r="I860" s="3">
        <f>DATE(punkt_szczepień__13[[#This Row],[rok]],punkt_szczepień__13[[#This Row],[miesiac]],punkt_szczepień__13[[#This Row],[dzień]])</f>
        <v>37179</v>
      </c>
      <c r="J860" s="1" t="str">
        <f>punkt_szczepień__13[[#This Row],[PESEL]]</f>
        <v>01301584817</v>
      </c>
      <c r="K860" s="1">
        <f>VALUE(MID(punkt_szczepień__13[[#This Row],[PESEL]],10,1))</f>
        <v>1</v>
      </c>
      <c r="L860" s="11" t="str">
        <f>IF(MOD(punkt_szczepień__13[[#This Row],[liczba płeć]],2)=0,"K","M")</f>
        <v>M</v>
      </c>
      <c r="M860" s="1"/>
      <c r="N860" s="1"/>
    </row>
    <row r="861" spans="1:14" x14ac:dyDescent="0.25">
      <c r="A861" s="1" t="s">
        <v>867</v>
      </c>
      <c r="B861" s="1" t="s">
        <v>7</v>
      </c>
      <c r="C861" s="2">
        <v>0.66087962962962965</v>
      </c>
      <c r="D861">
        <v>1</v>
      </c>
      <c r="E861">
        <f>VALUE(RIGHT(LEFT(punkt_szczepień__13[[#This Row],[PESEL]],4),2))</f>
        <v>31</v>
      </c>
      <c r="F861" s="11">
        <f>MOD(punkt_szczepień__13[[#This Row],[liczba miesiac]],20)</f>
        <v>11</v>
      </c>
      <c r="G861" s="11">
        <f>VLOOKUP(punkt_szczepień__13[[#This Row],[liczba miesiac]]-punkt_szczepień__13[[#This Row],[miesiac]],$O$3:$P$7,2,0)+VALUE(LEFT(punkt_szczepień__13[[#This Row],[PESEL]],2))</f>
        <v>2008</v>
      </c>
      <c r="H861" s="11">
        <f>VALUE(RIGHT(LEFT(punkt_szczepień__13[[#This Row],[PESEL]],6),2))</f>
        <v>25</v>
      </c>
      <c r="I861" s="3">
        <f>DATE(punkt_szczepień__13[[#This Row],[rok]],punkt_szczepień__13[[#This Row],[miesiac]],punkt_szczepień__13[[#This Row],[dzień]])</f>
        <v>39777</v>
      </c>
      <c r="J861" s="1" t="str">
        <f>punkt_szczepień__13[[#This Row],[PESEL]]</f>
        <v>08312554282</v>
      </c>
      <c r="K861" s="1">
        <f>VALUE(MID(punkt_szczepień__13[[#This Row],[PESEL]],10,1))</f>
        <v>8</v>
      </c>
      <c r="L861" s="11" t="str">
        <f>IF(MOD(punkt_szczepień__13[[#This Row],[liczba płeć]],2)=0,"K","M")</f>
        <v>K</v>
      </c>
      <c r="M861" s="1"/>
      <c r="N861" s="1"/>
    </row>
    <row r="862" spans="1:14" x14ac:dyDescent="0.25">
      <c r="A862" s="1" t="s">
        <v>868</v>
      </c>
      <c r="B862" s="1" t="s">
        <v>7</v>
      </c>
      <c r="C862" s="2">
        <v>0.66116898148148151</v>
      </c>
      <c r="D862">
        <v>1</v>
      </c>
      <c r="E862">
        <f>VALUE(RIGHT(LEFT(punkt_szczepień__13[[#This Row],[PESEL]],4),2))</f>
        <v>3</v>
      </c>
      <c r="F862" s="11">
        <f>MOD(punkt_szczepień__13[[#This Row],[liczba miesiac]],20)</f>
        <v>3</v>
      </c>
      <c r="G862" s="11">
        <f>VLOOKUP(punkt_szczepień__13[[#This Row],[liczba miesiac]]-punkt_szczepień__13[[#This Row],[miesiac]],$O$3:$P$7,2,0)+VALUE(LEFT(punkt_szczepień__13[[#This Row],[PESEL]],2))</f>
        <v>1936</v>
      </c>
      <c r="H862" s="11">
        <f>VALUE(RIGHT(LEFT(punkt_szczepień__13[[#This Row],[PESEL]],6),2))</f>
        <v>6</v>
      </c>
      <c r="I862" s="3">
        <f>DATE(punkt_szczepień__13[[#This Row],[rok]],punkt_szczepień__13[[#This Row],[miesiac]],punkt_szczepień__13[[#This Row],[dzień]])</f>
        <v>13215</v>
      </c>
      <c r="J862" s="1" t="str">
        <f>punkt_szczepień__13[[#This Row],[PESEL]]</f>
        <v>36030623126</v>
      </c>
      <c r="K862" s="1">
        <f>VALUE(MID(punkt_szczepień__13[[#This Row],[PESEL]],10,1))</f>
        <v>2</v>
      </c>
      <c r="L862" s="11" t="str">
        <f>IF(MOD(punkt_szczepień__13[[#This Row],[liczba płeć]],2)=0,"K","M")</f>
        <v>K</v>
      </c>
      <c r="M862" s="1"/>
      <c r="N862" s="1"/>
    </row>
    <row r="863" spans="1:14" x14ac:dyDescent="0.25">
      <c r="A863" s="1" t="s">
        <v>869</v>
      </c>
      <c r="B863" s="1" t="s">
        <v>5</v>
      </c>
      <c r="C863" s="2">
        <v>0.66174768518518523</v>
      </c>
      <c r="D863">
        <v>2</v>
      </c>
      <c r="E863">
        <f>VALUE(RIGHT(LEFT(punkt_szczepień__13[[#This Row],[PESEL]],4),2))</f>
        <v>23</v>
      </c>
      <c r="F863" s="11">
        <f>MOD(punkt_szczepień__13[[#This Row],[liczba miesiac]],20)</f>
        <v>3</v>
      </c>
      <c r="G863" s="11">
        <f>VLOOKUP(punkt_szczepień__13[[#This Row],[liczba miesiac]]-punkt_szczepień__13[[#This Row],[miesiac]],$O$3:$P$7,2,0)+VALUE(LEFT(punkt_szczepień__13[[#This Row],[PESEL]],2))</f>
        <v>2003</v>
      </c>
      <c r="H863" s="11">
        <f>VALUE(RIGHT(LEFT(punkt_szczepień__13[[#This Row],[PESEL]],6),2))</f>
        <v>24</v>
      </c>
      <c r="I863" s="3">
        <f>DATE(punkt_szczepień__13[[#This Row],[rok]],punkt_szczepień__13[[#This Row],[miesiac]],punkt_szczepień__13[[#This Row],[dzień]])</f>
        <v>37704</v>
      </c>
      <c r="J863" s="1" t="str">
        <f>punkt_szczepień__13[[#This Row],[PESEL]]</f>
        <v>03232486938</v>
      </c>
      <c r="K863" s="1">
        <f>VALUE(MID(punkt_szczepień__13[[#This Row],[PESEL]],10,1))</f>
        <v>3</v>
      </c>
      <c r="L863" s="11" t="str">
        <f>IF(MOD(punkt_szczepień__13[[#This Row],[liczba płeć]],2)=0,"K","M")</f>
        <v>M</v>
      </c>
      <c r="M863" s="1"/>
      <c r="N863" s="1"/>
    </row>
    <row r="864" spans="1:14" x14ac:dyDescent="0.25">
      <c r="A864" s="1" t="s">
        <v>870</v>
      </c>
      <c r="B864" s="1" t="s">
        <v>9</v>
      </c>
      <c r="C864" s="2">
        <v>0.66203703703703709</v>
      </c>
      <c r="D864">
        <v>1</v>
      </c>
      <c r="E864">
        <f>VALUE(RIGHT(LEFT(punkt_szczepień__13[[#This Row],[PESEL]],4),2))</f>
        <v>21</v>
      </c>
      <c r="F864" s="11">
        <f>MOD(punkt_szczepień__13[[#This Row],[liczba miesiac]],20)</f>
        <v>1</v>
      </c>
      <c r="G864" s="11">
        <f>VLOOKUP(punkt_szczepień__13[[#This Row],[liczba miesiac]]-punkt_szczepień__13[[#This Row],[miesiac]],$O$3:$P$7,2,0)+VALUE(LEFT(punkt_szczepień__13[[#This Row],[PESEL]],2))</f>
        <v>2004</v>
      </c>
      <c r="H864" s="11">
        <f>VALUE(RIGHT(LEFT(punkt_szczepień__13[[#This Row],[PESEL]],6),2))</f>
        <v>11</v>
      </c>
      <c r="I864" s="3">
        <f>DATE(punkt_szczepień__13[[#This Row],[rok]],punkt_szczepień__13[[#This Row],[miesiac]],punkt_szczepień__13[[#This Row],[dzień]])</f>
        <v>37997</v>
      </c>
      <c r="J864" s="1" t="str">
        <f>punkt_szczepień__13[[#This Row],[PESEL]]</f>
        <v>04211111982</v>
      </c>
      <c r="K864" s="1">
        <f>VALUE(MID(punkt_szczepień__13[[#This Row],[PESEL]],10,1))</f>
        <v>8</v>
      </c>
      <c r="L864" s="11" t="str">
        <f>IF(MOD(punkt_szczepień__13[[#This Row],[liczba płeć]],2)=0,"K","M")</f>
        <v>K</v>
      </c>
      <c r="M864" s="1"/>
      <c r="N864" s="1"/>
    </row>
    <row r="865" spans="1:14" x14ac:dyDescent="0.25">
      <c r="A865" s="1" t="s">
        <v>871</v>
      </c>
      <c r="B865" s="1" t="s">
        <v>7</v>
      </c>
      <c r="C865" s="2">
        <v>0.66232638888888884</v>
      </c>
      <c r="D865">
        <v>1</v>
      </c>
      <c r="E865">
        <f>VALUE(RIGHT(LEFT(punkt_szczepień__13[[#This Row],[PESEL]],4),2))</f>
        <v>6</v>
      </c>
      <c r="F865" s="11">
        <f>MOD(punkt_szczepień__13[[#This Row],[liczba miesiac]],20)</f>
        <v>6</v>
      </c>
      <c r="G865" s="11">
        <f>VLOOKUP(punkt_szczepień__13[[#This Row],[liczba miesiac]]-punkt_szczepień__13[[#This Row],[miesiac]],$O$3:$P$7,2,0)+VALUE(LEFT(punkt_szczepień__13[[#This Row],[PESEL]],2))</f>
        <v>1998</v>
      </c>
      <c r="H865" s="11">
        <f>VALUE(RIGHT(LEFT(punkt_szczepień__13[[#This Row],[PESEL]],6),2))</f>
        <v>11</v>
      </c>
      <c r="I865" s="3">
        <f>DATE(punkt_szczepień__13[[#This Row],[rok]],punkt_szczepień__13[[#This Row],[miesiac]],punkt_szczepień__13[[#This Row],[dzień]])</f>
        <v>35957</v>
      </c>
      <c r="J865" s="1" t="str">
        <f>punkt_szczepień__13[[#This Row],[PESEL]]</f>
        <v>98061186115</v>
      </c>
      <c r="K865" s="1">
        <f>VALUE(MID(punkt_szczepień__13[[#This Row],[PESEL]],10,1))</f>
        <v>1</v>
      </c>
      <c r="L865" s="11" t="str">
        <f>IF(MOD(punkt_szczepień__13[[#This Row],[liczba płeć]],2)=0,"K","M")</f>
        <v>M</v>
      </c>
      <c r="M865" s="1"/>
      <c r="N865" s="1"/>
    </row>
    <row r="866" spans="1:14" x14ac:dyDescent="0.25">
      <c r="A866" s="1" t="s">
        <v>872</v>
      </c>
      <c r="B866" s="1" t="s">
        <v>9</v>
      </c>
      <c r="C866" s="2">
        <v>0.66290509259259256</v>
      </c>
      <c r="D866">
        <v>2</v>
      </c>
      <c r="E866">
        <f>VALUE(RIGHT(LEFT(punkt_szczepień__13[[#This Row],[PESEL]],4),2))</f>
        <v>25</v>
      </c>
      <c r="F866" s="11">
        <f>MOD(punkt_szczepień__13[[#This Row],[liczba miesiac]],20)</f>
        <v>5</v>
      </c>
      <c r="G866" s="11">
        <f>VLOOKUP(punkt_szczepień__13[[#This Row],[liczba miesiac]]-punkt_szczepień__13[[#This Row],[miesiac]],$O$3:$P$7,2,0)+VALUE(LEFT(punkt_szczepień__13[[#This Row],[PESEL]],2))</f>
        <v>2007</v>
      </c>
      <c r="H866" s="11">
        <f>VALUE(RIGHT(LEFT(punkt_szczepień__13[[#This Row],[PESEL]],6),2))</f>
        <v>22</v>
      </c>
      <c r="I866" s="3">
        <f>DATE(punkt_szczepień__13[[#This Row],[rok]],punkt_szczepień__13[[#This Row],[miesiac]],punkt_szczepień__13[[#This Row],[dzień]])</f>
        <v>39224</v>
      </c>
      <c r="J866" s="1" t="str">
        <f>punkt_szczepień__13[[#This Row],[PESEL]]</f>
        <v>07252299886</v>
      </c>
      <c r="K866" s="1">
        <f>VALUE(MID(punkt_szczepień__13[[#This Row],[PESEL]],10,1))</f>
        <v>8</v>
      </c>
      <c r="L866" s="11" t="str">
        <f>IF(MOD(punkt_szczepień__13[[#This Row],[liczba płeć]],2)=0,"K","M")</f>
        <v>K</v>
      </c>
      <c r="M866" s="1"/>
      <c r="N866" s="1"/>
    </row>
    <row r="867" spans="1:14" x14ac:dyDescent="0.25">
      <c r="A867" s="1" t="s">
        <v>873</v>
      </c>
      <c r="B867" s="1" t="s">
        <v>9</v>
      </c>
      <c r="C867" s="2">
        <v>0.66319444444444442</v>
      </c>
      <c r="D867">
        <v>1</v>
      </c>
      <c r="E867">
        <f>VALUE(RIGHT(LEFT(punkt_szczepień__13[[#This Row],[PESEL]],4),2))</f>
        <v>5</v>
      </c>
      <c r="F867" s="11">
        <f>MOD(punkt_szczepień__13[[#This Row],[liczba miesiac]],20)</f>
        <v>5</v>
      </c>
      <c r="G867" s="11">
        <f>VLOOKUP(punkt_szczepień__13[[#This Row],[liczba miesiac]]-punkt_szczepień__13[[#This Row],[miesiac]],$O$3:$P$7,2,0)+VALUE(LEFT(punkt_szczepień__13[[#This Row],[PESEL]],2))</f>
        <v>1956</v>
      </c>
      <c r="H867" s="11">
        <f>VALUE(RIGHT(LEFT(punkt_szczepień__13[[#This Row],[PESEL]],6),2))</f>
        <v>9</v>
      </c>
      <c r="I867" s="3">
        <f>DATE(punkt_szczepień__13[[#This Row],[rok]],punkt_szczepień__13[[#This Row],[miesiac]],punkt_szczepień__13[[#This Row],[dzień]])</f>
        <v>20584</v>
      </c>
      <c r="J867" s="1" t="str">
        <f>punkt_szczepień__13[[#This Row],[PESEL]]</f>
        <v>56050947141</v>
      </c>
      <c r="K867" s="1">
        <f>VALUE(MID(punkt_szczepień__13[[#This Row],[PESEL]],10,1))</f>
        <v>4</v>
      </c>
      <c r="L867" s="11" t="str">
        <f>IF(MOD(punkt_szczepień__13[[#This Row],[liczba płeć]],2)=0,"K","M")</f>
        <v>K</v>
      </c>
      <c r="M867" s="1"/>
      <c r="N867" s="1"/>
    </row>
    <row r="868" spans="1:14" x14ac:dyDescent="0.25">
      <c r="A868" s="1" t="s">
        <v>874</v>
      </c>
      <c r="B868" s="1" t="s">
        <v>9</v>
      </c>
      <c r="C868" s="2">
        <v>0.66348379629629628</v>
      </c>
      <c r="D868">
        <v>1</v>
      </c>
      <c r="E868">
        <f>VALUE(RIGHT(LEFT(punkt_szczepień__13[[#This Row],[PESEL]],4),2))</f>
        <v>5</v>
      </c>
      <c r="F868" s="11">
        <f>MOD(punkt_szczepień__13[[#This Row],[liczba miesiac]],20)</f>
        <v>5</v>
      </c>
      <c r="G868" s="11">
        <f>VLOOKUP(punkt_szczepień__13[[#This Row],[liczba miesiac]]-punkt_szczepień__13[[#This Row],[miesiac]],$O$3:$P$7,2,0)+VALUE(LEFT(punkt_szczepień__13[[#This Row],[PESEL]],2))</f>
        <v>1978</v>
      </c>
      <c r="H868" s="11">
        <f>VALUE(RIGHT(LEFT(punkt_szczepień__13[[#This Row],[PESEL]],6),2))</f>
        <v>6</v>
      </c>
      <c r="I868" s="3">
        <f>DATE(punkt_szczepień__13[[#This Row],[rok]],punkt_szczepień__13[[#This Row],[miesiac]],punkt_szczepień__13[[#This Row],[dzień]])</f>
        <v>28616</v>
      </c>
      <c r="J868" s="1" t="str">
        <f>punkt_szczepień__13[[#This Row],[PESEL]]</f>
        <v>78050661425</v>
      </c>
      <c r="K868" s="1">
        <f>VALUE(MID(punkt_szczepień__13[[#This Row],[PESEL]],10,1))</f>
        <v>2</v>
      </c>
      <c r="L868" s="11" t="str">
        <f>IF(MOD(punkt_szczepień__13[[#This Row],[liczba płeć]],2)=0,"K","M")</f>
        <v>K</v>
      </c>
      <c r="M868" s="1"/>
      <c r="N868" s="1"/>
    </row>
    <row r="869" spans="1:14" x14ac:dyDescent="0.25">
      <c r="A869" s="1" t="s">
        <v>875</v>
      </c>
      <c r="B869" s="1" t="s">
        <v>7</v>
      </c>
      <c r="C869" s="2">
        <v>0.66377314814814814</v>
      </c>
      <c r="D869">
        <v>1</v>
      </c>
      <c r="E869">
        <f>VALUE(RIGHT(LEFT(punkt_szczepień__13[[#This Row],[PESEL]],4),2))</f>
        <v>3</v>
      </c>
      <c r="F869" s="11">
        <f>MOD(punkt_szczepień__13[[#This Row],[liczba miesiac]],20)</f>
        <v>3</v>
      </c>
      <c r="G869" s="11">
        <f>VLOOKUP(punkt_szczepień__13[[#This Row],[liczba miesiac]]-punkt_szczepień__13[[#This Row],[miesiac]],$O$3:$P$7,2,0)+VALUE(LEFT(punkt_szczepień__13[[#This Row],[PESEL]],2))</f>
        <v>1965</v>
      </c>
      <c r="H869" s="11">
        <f>VALUE(RIGHT(LEFT(punkt_szczepień__13[[#This Row],[PESEL]],6),2))</f>
        <v>4</v>
      </c>
      <c r="I869" s="3">
        <f>DATE(punkt_szczepień__13[[#This Row],[rok]],punkt_szczepień__13[[#This Row],[miesiac]],punkt_szczepień__13[[#This Row],[dzień]])</f>
        <v>23805</v>
      </c>
      <c r="J869" s="1" t="str">
        <f>punkt_szczepień__13[[#This Row],[PESEL]]</f>
        <v>65030412425</v>
      </c>
      <c r="K869" s="1">
        <f>VALUE(MID(punkt_szczepień__13[[#This Row],[PESEL]],10,1))</f>
        <v>2</v>
      </c>
      <c r="L869" s="11" t="str">
        <f>IF(MOD(punkt_szczepień__13[[#This Row],[liczba płeć]],2)=0,"K","M")</f>
        <v>K</v>
      </c>
      <c r="M869" s="1"/>
      <c r="N869" s="1"/>
    </row>
    <row r="870" spans="1:14" x14ac:dyDescent="0.25">
      <c r="A870" s="1" t="s">
        <v>876</v>
      </c>
      <c r="B870" s="1" t="s">
        <v>5</v>
      </c>
      <c r="C870" s="2">
        <v>0.6640625</v>
      </c>
      <c r="D870">
        <v>1</v>
      </c>
      <c r="E870">
        <f>VALUE(RIGHT(LEFT(punkt_szczepień__13[[#This Row],[PESEL]],4),2))</f>
        <v>10</v>
      </c>
      <c r="F870" s="11">
        <f>MOD(punkt_szczepień__13[[#This Row],[liczba miesiac]],20)</f>
        <v>10</v>
      </c>
      <c r="G870" s="11">
        <f>VLOOKUP(punkt_szczepień__13[[#This Row],[liczba miesiac]]-punkt_szczepień__13[[#This Row],[miesiac]],$O$3:$P$7,2,0)+VALUE(LEFT(punkt_szczepień__13[[#This Row],[PESEL]],2))</f>
        <v>1950</v>
      </c>
      <c r="H870" s="11">
        <f>VALUE(RIGHT(LEFT(punkt_szczepień__13[[#This Row],[PESEL]],6),2))</f>
        <v>9</v>
      </c>
      <c r="I870" s="3">
        <f>DATE(punkt_szczepień__13[[#This Row],[rok]],punkt_szczepień__13[[#This Row],[miesiac]],punkt_szczepień__13[[#This Row],[dzień]])</f>
        <v>18545</v>
      </c>
      <c r="J870" s="1" t="str">
        <f>punkt_szczepień__13[[#This Row],[PESEL]]</f>
        <v>50100924858</v>
      </c>
      <c r="K870" s="1">
        <f>VALUE(MID(punkt_szczepień__13[[#This Row],[PESEL]],10,1))</f>
        <v>5</v>
      </c>
      <c r="L870" s="11" t="str">
        <f>IF(MOD(punkt_szczepień__13[[#This Row],[liczba płeć]],2)=0,"K","M")</f>
        <v>M</v>
      </c>
      <c r="M870" s="1"/>
      <c r="N870" s="1"/>
    </row>
    <row r="871" spans="1:14" x14ac:dyDescent="0.25">
      <c r="A871" s="1" t="s">
        <v>877</v>
      </c>
      <c r="B871" s="1" t="s">
        <v>7</v>
      </c>
      <c r="C871" s="2">
        <v>0.66435185185185186</v>
      </c>
      <c r="D871">
        <v>1</v>
      </c>
      <c r="E871">
        <f>VALUE(RIGHT(LEFT(punkt_szczepień__13[[#This Row],[PESEL]],4),2))</f>
        <v>6</v>
      </c>
      <c r="F871" s="11">
        <f>MOD(punkt_szczepień__13[[#This Row],[liczba miesiac]],20)</f>
        <v>6</v>
      </c>
      <c r="G871" s="11">
        <f>VLOOKUP(punkt_szczepień__13[[#This Row],[liczba miesiac]]-punkt_szczepień__13[[#This Row],[miesiac]],$O$3:$P$7,2,0)+VALUE(LEFT(punkt_szczepień__13[[#This Row],[PESEL]],2))</f>
        <v>1984</v>
      </c>
      <c r="H871" s="11">
        <f>VALUE(RIGHT(LEFT(punkt_szczepień__13[[#This Row],[PESEL]],6),2))</f>
        <v>30</v>
      </c>
      <c r="I871" s="3">
        <f>DATE(punkt_szczepień__13[[#This Row],[rok]],punkt_szczepień__13[[#This Row],[miesiac]],punkt_szczepień__13[[#This Row],[dzień]])</f>
        <v>30863</v>
      </c>
      <c r="J871" s="1" t="str">
        <f>punkt_szczepień__13[[#This Row],[PESEL]]</f>
        <v>84063031577</v>
      </c>
      <c r="K871" s="1">
        <f>VALUE(MID(punkt_szczepień__13[[#This Row],[PESEL]],10,1))</f>
        <v>7</v>
      </c>
      <c r="L871" s="11" t="str">
        <f>IF(MOD(punkt_szczepień__13[[#This Row],[liczba płeć]],2)=0,"K","M")</f>
        <v>M</v>
      </c>
      <c r="M871" s="1"/>
      <c r="N871" s="1"/>
    </row>
    <row r="872" spans="1:14" x14ac:dyDescent="0.25">
      <c r="A872" s="1" t="s">
        <v>878</v>
      </c>
      <c r="B872" s="1" t="s">
        <v>7</v>
      </c>
      <c r="C872" s="2">
        <v>0.66464120370370372</v>
      </c>
      <c r="D872">
        <v>1</v>
      </c>
      <c r="E872">
        <f>VALUE(RIGHT(LEFT(punkt_szczepień__13[[#This Row],[PESEL]],4),2))</f>
        <v>4</v>
      </c>
      <c r="F872" s="11">
        <f>MOD(punkt_szczepień__13[[#This Row],[liczba miesiac]],20)</f>
        <v>4</v>
      </c>
      <c r="G872" s="11">
        <f>VLOOKUP(punkt_szczepień__13[[#This Row],[liczba miesiac]]-punkt_szczepień__13[[#This Row],[miesiac]],$O$3:$P$7,2,0)+VALUE(LEFT(punkt_szczepień__13[[#This Row],[PESEL]],2))</f>
        <v>1983</v>
      </c>
      <c r="H872" s="11">
        <f>VALUE(RIGHT(LEFT(punkt_szczepień__13[[#This Row],[PESEL]],6),2))</f>
        <v>6</v>
      </c>
      <c r="I872" s="3">
        <f>DATE(punkt_szczepień__13[[#This Row],[rok]],punkt_szczepień__13[[#This Row],[miesiac]],punkt_szczepień__13[[#This Row],[dzień]])</f>
        <v>30412</v>
      </c>
      <c r="J872" s="1" t="str">
        <f>punkt_szczepień__13[[#This Row],[PESEL]]</f>
        <v>83040667448</v>
      </c>
      <c r="K872" s="1">
        <f>VALUE(MID(punkt_szczepień__13[[#This Row],[PESEL]],10,1))</f>
        <v>4</v>
      </c>
      <c r="L872" s="11" t="str">
        <f>IF(MOD(punkt_szczepień__13[[#This Row],[liczba płeć]],2)=0,"K","M")</f>
        <v>K</v>
      </c>
      <c r="M872" s="1"/>
      <c r="N872" s="1"/>
    </row>
    <row r="873" spans="1:14" x14ac:dyDescent="0.25">
      <c r="A873" s="1" t="s">
        <v>879</v>
      </c>
      <c r="B873" s="1" t="s">
        <v>5</v>
      </c>
      <c r="C873" s="2">
        <v>0.66493055555555558</v>
      </c>
      <c r="D873">
        <v>1</v>
      </c>
      <c r="E873">
        <f>VALUE(RIGHT(LEFT(punkt_szczepień__13[[#This Row],[PESEL]],4),2))</f>
        <v>9</v>
      </c>
      <c r="F873" s="11">
        <f>MOD(punkt_szczepień__13[[#This Row],[liczba miesiac]],20)</f>
        <v>9</v>
      </c>
      <c r="G873" s="11">
        <f>VLOOKUP(punkt_szczepień__13[[#This Row],[liczba miesiac]]-punkt_szczepień__13[[#This Row],[miesiac]],$O$3:$P$7,2,0)+VALUE(LEFT(punkt_szczepień__13[[#This Row],[PESEL]],2))</f>
        <v>1962</v>
      </c>
      <c r="H873" s="11">
        <f>VALUE(RIGHT(LEFT(punkt_szczepień__13[[#This Row],[PESEL]],6),2))</f>
        <v>13</v>
      </c>
      <c r="I873" s="3">
        <f>DATE(punkt_szczepień__13[[#This Row],[rok]],punkt_szczepień__13[[#This Row],[miesiac]],punkt_szczepień__13[[#This Row],[dzień]])</f>
        <v>22902</v>
      </c>
      <c r="J873" s="1" t="str">
        <f>punkt_szczepień__13[[#This Row],[PESEL]]</f>
        <v>62091343378</v>
      </c>
      <c r="K873" s="1">
        <f>VALUE(MID(punkt_szczepień__13[[#This Row],[PESEL]],10,1))</f>
        <v>7</v>
      </c>
      <c r="L873" s="11" t="str">
        <f>IF(MOD(punkt_szczepień__13[[#This Row],[liczba płeć]],2)=0,"K","M")</f>
        <v>M</v>
      </c>
      <c r="M873" s="1"/>
      <c r="N873" s="1"/>
    </row>
    <row r="874" spans="1:14" x14ac:dyDescent="0.25">
      <c r="A874" s="1" t="s">
        <v>880</v>
      </c>
      <c r="B874" s="1" t="s">
        <v>5</v>
      </c>
      <c r="C874" s="2">
        <v>0.6655092592592593</v>
      </c>
      <c r="D874">
        <v>2</v>
      </c>
      <c r="E874">
        <f>VALUE(RIGHT(LEFT(punkt_szczepień__13[[#This Row],[PESEL]],4),2))</f>
        <v>12</v>
      </c>
      <c r="F874" s="11">
        <f>MOD(punkt_szczepień__13[[#This Row],[liczba miesiac]],20)</f>
        <v>12</v>
      </c>
      <c r="G874" s="11">
        <f>VLOOKUP(punkt_szczepień__13[[#This Row],[liczba miesiac]]-punkt_szczepień__13[[#This Row],[miesiac]],$O$3:$P$7,2,0)+VALUE(LEFT(punkt_szczepień__13[[#This Row],[PESEL]],2))</f>
        <v>1967</v>
      </c>
      <c r="H874" s="11">
        <f>VALUE(RIGHT(LEFT(punkt_szczepień__13[[#This Row],[PESEL]],6),2))</f>
        <v>3</v>
      </c>
      <c r="I874" s="3">
        <f>DATE(punkt_szczepień__13[[#This Row],[rok]],punkt_szczepień__13[[#This Row],[miesiac]],punkt_szczepień__13[[#This Row],[dzień]])</f>
        <v>24809</v>
      </c>
      <c r="J874" s="1" t="str">
        <f>punkt_szczepień__13[[#This Row],[PESEL]]</f>
        <v>67120368616</v>
      </c>
      <c r="K874" s="1">
        <f>VALUE(MID(punkt_szczepień__13[[#This Row],[PESEL]],10,1))</f>
        <v>1</v>
      </c>
      <c r="L874" s="11" t="str">
        <f>IF(MOD(punkt_szczepień__13[[#This Row],[liczba płeć]],2)=0,"K","M")</f>
        <v>M</v>
      </c>
      <c r="M874" s="1"/>
      <c r="N874" s="1"/>
    </row>
    <row r="875" spans="1:14" x14ac:dyDescent="0.25">
      <c r="A875" s="1" t="s">
        <v>881</v>
      </c>
      <c r="B875" s="1" t="s">
        <v>5</v>
      </c>
      <c r="C875" s="2">
        <v>0.66608796296296291</v>
      </c>
      <c r="D875">
        <v>2</v>
      </c>
      <c r="E875">
        <f>VALUE(RIGHT(LEFT(punkt_szczepień__13[[#This Row],[PESEL]],4),2))</f>
        <v>9</v>
      </c>
      <c r="F875" s="11">
        <f>MOD(punkt_szczepień__13[[#This Row],[liczba miesiac]],20)</f>
        <v>9</v>
      </c>
      <c r="G875" s="11">
        <f>VLOOKUP(punkt_szczepień__13[[#This Row],[liczba miesiac]]-punkt_szczepień__13[[#This Row],[miesiac]],$O$3:$P$7,2,0)+VALUE(LEFT(punkt_szczepień__13[[#This Row],[PESEL]],2))</f>
        <v>1949</v>
      </c>
      <c r="H875" s="11">
        <f>VALUE(RIGHT(LEFT(punkt_szczepień__13[[#This Row],[PESEL]],6),2))</f>
        <v>9</v>
      </c>
      <c r="I875" s="3">
        <f>DATE(punkt_szczepień__13[[#This Row],[rok]],punkt_szczepień__13[[#This Row],[miesiac]],punkt_szczepień__13[[#This Row],[dzień]])</f>
        <v>18150</v>
      </c>
      <c r="J875" s="1" t="str">
        <f>punkt_szczepień__13[[#This Row],[PESEL]]</f>
        <v>49090966296</v>
      </c>
      <c r="K875" s="1">
        <f>VALUE(MID(punkt_szczepień__13[[#This Row],[PESEL]],10,1))</f>
        <v>9</v>
      </c>
      <c r="L875" s="11" t="str">
        <f>IF(MOD(punkt_szczepień__13[[#This Row],[liczba płeć]],2)=0,"K","M")</f>
        <v>M</v>
      </c>
      <c r="M875" s="1"/>
      <c r="N875" s="1"/>
    </row>
    <row r="876" spans="1:14" x14ac:dyDescent="0.25">
      <c r="A876" s="1" t="s">
        <v>882</v>
      </c>
      <c r="B876" s="1" t="s">
        <v>7</v>
      </c>
      <c r="C876" s="2">
        <v>0.66637731481481477</v>
      </c>
      <c r="D876">
        <v>1</v>
      </c>
      <c r="E876">
        <f>VALUE(RIGHT(LEFT(punkt_szczepień__13[[#This Row],[PESEL]],4),2))</f>
        <v>10</v>
      </c>
      <c r="F876" s="11">
        <f>MOD(punkt_szczepień__13[[#This Row],[liczba miesiac]],20)</f>
        <v>10</v>
      </c>
      <c r="G876" s="11">
        <f>VLOOKUP(punkt_szczepień__13[[#This Row],[liczba miesiac]]-punkt_szczepień__13[[#This Row],[miesiac]],$O$3:$P$7,2,0)+VALUE(LEFT(punkt_szczepień__13[[#This Row],[PESEL]],2))</f>
        <v>1951</v>
      </c>
      <c r="H876" s="11">
        <f>VALUE(RIGHT(LEFT(punkt_szczepień__13[[#This Row],[PESEL]],6),2))</f>
        <v>14</v>
      </c>
      <c r="I876" s="3">
        <f>DATE(punkt_szczepień__13[[#This Row],[rok]],punkt_szczepień__13[[#This Row],[miesiac]],punkt_szczepień__13[[#This Row],[dzień]])</f>
        <v>18915</v>
      </c>
      <c r="J876" s="1" t="str">
        <f>punkt_szczepień__13[[#This Row],[PESEL]]</f>
        <v>51101451688</v>
      </c>
      <c r="K876" s="1">
        <f>VALUE(MID(punkt_szczepień__13[[#This Row],[PESEL]],10,1))</f>
        <v>8</v>
      </c>
      <c r="L876" s="11" t="str">
        <f>IF(MOD(punkt_szczepień__13[[#This Row],[liczba płeć]],2)=0,"K","M")</f>
        <v>K</v>
      </c>
      <c r="M876" s="1"/>
      <c r="N876" s="1"/>
    </row>
    <row r="877" spans="1:14" x14ac:dyDescent="0.25">
      <c r="A877" s="1" t="s">
        <v>883</v>
      </c>
      <c r="B877" s="1" t="s">
        <v>9</v>
      </c>
      <c r="C877" s="2">
        <v>0.66666666666666663</v>
      </c>
      <c r="D877">
        <v>1</v>
      </c>
      <c r="E877">
        <f>VALUE(RIGHT(LEFT(punkt_szczepień__13[[#This Row],[PESEL]],4),2))</f>
        <v>12</v>
      </c>
      <c r="F877" s="11">
        <f>MOD(punkt_szczepień__13[[#This Row],[liczba miesiac]],20)</f>
        <v>12</v>
      </c>
      <c r="G877" s="11">
        <f>VLOOKUP(punkt_szczepień__13[[#This Row],[liczba miesiac]]-punkt_szczepień__13[[#This Row],[miesiac]],$O$3:$P$7,2,0)+VALUE(LEFT(punkt_szczepień__13[[#This Row],[PESEL]],2))</f>
        <v>1983</v>
      </c>
      <c r="H877" s="11">
        <f>VALUE(RIGHT(LEFT(punkt_szczepień__13[[#This Row],[PESEL]],6),2))</f>
        <v>8</v>
      </c>
      <c r="I877" s="3">
        <f>DATE(punkt_szczepień__13[[#This Row],[rok]],punkt_szczepień__13[[#This Row],[miesiac]],punkt_szczepień__13[[#This Row],[dzień]])</f>
        <v>30658</v>
      </c>
      <c r="J877" s="1" t="str">
        <f>punkt_szczepień__13[[#This Row],[PESEL]]</f>
        <v>83120872847</v>
      </c>
      <c r="K877" s="1">
        <f>VALUE(MID(punkt_szczepień__13[[#This Row],[PESEL]],10,1))</f>
        <v>4</v>
      </c>
      <c r="L877" s="11" t="str">
        <f>IF(MOD(punkt_szczepień__13[[#This Row],[liczba płeć]],2)=0,"K","M")</f>
        <v>K</v>
      </c>
      <c r="M877" s="1"/>
      <c r="N877" s="1"/>
    </row>
    <row r="878" spans="1:14" x14ac:dyDescent="0.25">
      <c r="A878" s="1" t="s">
        <v>884</v>
      </c>
      <c r="B878" s="1" t="s">
        <v>7</v>
      </c>
      <c r="C878" s="2">
        <v>0.66695601851851849</v>
      </c>
      <c r="D878">
        <v>1</v>
      </c>
      <c r="E878">
        <f>VALUE(RIGHT(LEFT(punkt_szczepień__13[[#This Row],[PESEL]],4),2))</f>
        <v>10</v>
      </c>
      <c r="F878" s="11">
        <f>MOD(punkt_szczepień__13[[#This Row],[liczba miesiac]],20)</f>
        <v>10</v>
      </c>
      <c r="G878" s="11">
        <f>VLOOKUP(punkt_szczepień__13[[#This Row],[liczba miesiac]]-punkt_szczepień__13[[#This Row],[miesiac]],$O$3:$P$7,2,0)+VALUE(LEFT(punkt_szczepień__13[[#This Row],[PESEL]],2))</f>
        <v>1977</v>
      </c>
      <c r="H878" s="11">
        <f>VALUE(RIGHT(LEFT(punkt_szczepień__13[[#This Row],[PESEL]],6),2))</f>
        <v>3</v>
      </c>
      <c r="I878" s="3">
        <f>DATE(punkt_szczepień__13[[#This Row],[rok]],punkt_szczepień__13[[#This Row],[miesiac]],punkt_szczepień__13[[#This Row],[dzień]])</f>
        <v>28401</v>
      </c>
      <c r="J878" s="1" t="str">
        <f>punkt_szczepień__13[[#This Row],[PESEL]]</f>
        <v>77100344996</v>
      </c>
      <c r="K878" s="1">
        <f>VALUE(MID(punkt_szczepień__13[[#This Row],[PESEL]],10,1))</f>
        <v>9</v>
      </c>
      <c r="L878" s="11" t="str">
        <f>IF(MOD(punkt_szczepień__13[[#This Row],[liczba płeć]],2)=0,"K","M")</f>
        <v>M</v>
      </c>
      <c r="M878" s="1"/>
      <c r="N878" s="1"/>
    </row>
    <row r="879" spans="1:14" x14ac:dyDescent="0.25">
      <c r="A879" s="1" t="s">
        <v>885</v>
      </c>
      <c r="B879" s="1" t="s">
        <v>7</v>
      </c>
      <c r="C879" s="2">
        <v>0.66724537037037035</v>
      </c>
      <c r="D879">
        <v>1</v>
      </c>
      <c r="E879">
        <f>VALUE(RIGHT(LEFT(punkt_szczepień__13[[#This Row],[PESEL]],4),2))</f>
        <v>5</v>
      </c>
      <c r="F879" s="11">
        <f>MOD(punkt_szczepień__13[[#This Row],[liczba miesiac]],20)</f>
        <v>5</v>
      </c>
      <c r="G879" s="11">
        <f>VLOOKUP(punkt_szczepień__13[[#This Row],[liczba miesiac]]-punkt_szczepień__13[[#This Row],[miesiac]],$O$3:$P$7,2,0)+VALUE(LEFT(punkt_szczepień__13[[#This Row],[PESEL]],2))</f>
        <v>1971</v>
      </c>
      <c r="H879" s="11">
        <f>VALUE(RIGHT(LEFT(punkt_szczepień__13[[#This Row],[PESEL]],6),2))</f>
        <v>10</v>
      </c>
      <c r="I879" s="3">
        <f>DATE(punkt_szczepień__13[[#This Row],[rok]],punkt_szczepień__13[[#This Row],[miesiac]],punkt_szczepień__13[[#This Row],[dzień]])</f>
        <v>26063</v>
      </c>
      <c r="J879" s="1" t="str">
        <f>punkt_szczepień__13[[#This Row],[PESEL]]</f>
        <v>71051072588</v>
      </c>
      <c r="K879" s="1">
        <f>VALUE(MID(punkt_szczepień__13[[#This Row],[PESEL]],10,1))</f>
        <v>8</v>
      </c>
      <c r="L879" s="11" t="str">
        <f>IF(MOD(punkt_szczepień__13[[#This Row],[liczba płeć]],2)=0,"K","M")</f>
        <v>K</v>
      </c>
      <c r="M879" s="1"/>
      <c r="N879" s="1"/>
    </row>
    <row r="880" spans="1:14" x14ac:dyDescent="0.25">
      <c r="A880" s="1" t="s">
        <v>886</v>
      </c>
      <c r="B880" s="1" t="s">
        <v>5</v>
      </c>
      <c r="C880" s="2">
        <v>0.66753472222222221</v>
      </c>
      <c r="D880">
        <v>1</v>
      </c>
      <c r="E880">
        <f>VALUE(RIGHT(LEFT(punkt_szczepień__13[[#This Row],[PESEL]],4),2))</f>
        <v>9</v>
      </c>
      <c r="F880" s="11">
        <f>MOD(punkt_szczepień__13[[#This Row],[liczba miesiac]],20)</f>
        <v>9</v>
      </c>
      <c r="G880" s="11">
        <f>VLOOKUP(punkt_szczepień__13[[#This Row],[liczba miesiac]]-punkt_szczepień__13[[#This Row],[miesiac]],$O$3:$P$7,2,0)+VALUE(LEFT(punkt_szczepień__13[[#This Row],[PESEL]],2))</f>
        <v>1935</v>
      </c>
      <c r="H880" s="11">
        <f>VALUE(RIGHT(LEFT(punkt_szczepień__13[[#This Row],[PESEL]],6),2))</f>
        <v>19</v>
      </c>
      <c r="I880" s="3">
        <f>DATE(punkt_szczepień__13[[#This Row],[rok]],punkt_szczepień__13[[#This Row],[miesiac]],punkt_szczepień__13[[#This Row],[dzień]])</f>
        <v>13046</v>
      </c>
      <c r="J880" s="1" t="str">
        <f>punkt_szczepień__13[[#This Row],[PESEL]]</f>
        <v>35091976246</v>
      </c>
      <c r="K880" s="1">
        <f>VALUE(MID(punkt_szczepień__13[[#This Row],[PESEL]],10,1))</f>
        <v>4</v>
      </c>
      <c r="L880" s="11" t="str">
        <f>IF(MOD(punkt_szczepień__13[[#This Row],[liczba płeć]],2)=0,"K","M")</f>
        <v>K</v>
      </c>
      <c r="M880" s="1"/>
      <c r="N880" s="1"/>
    </row>
    <row r="881" spans="1:14" x14ac:dyDescent="0.25">
      <c r="A881" s="1" t="s">
        <v>887</v>
      </c>
      <c r="B881" s="1" t="s">
        <v>5</v>
      </c>
      <c r="C881" s="2">
        <v>0.66782407407407407</v>
      </c>
      <c r="D881">
        <v>1</v>
      </c>
      <c r="E881">
        <f>VALUE(RIGHT(LEFT(punkt_szczepień__13[[#This Row],[PESEL]],4),2))</f>
        <v>10</v>
      </c>
      <c r="F881" s="11">
        <f>MOD(punkt_szczepień__13[[#This Row],[liczba miesiac]],20)</f>
        <v>10</v>
      </c>
      <c r="G881" s="11">
        <f>VLOOKUP(punkt_szczepień__13[[#This Row],[liczba miesiac]]-punkt_szczepień__13[[#This Row],[miesiac]],$O$3:$P$7,2,0)+VALUE(LEFT(punkt_szczepień__13[[#This Row],[PESEL]],2))</f>
        <v>1968</v>
      </c>
      <c r="H881" s="11">
        <f>VALUE(RIGHT(LEFT(punkt_szczepień__13[[#This Row],[PESEL]],6),2))</f>
        <v>24</v>
      </c>
      <c r="I881" s="3">
        <f>DATE(punkt_szczepień__13[[#This Row],[rok]],punkt_szczepień__13[[#This Row],[miesiac]],punkt_szczepień__13[[#This Row],[dzień]])</f>
        <v>25135</v>
      </c>
      <c r="J881" s="1" t="str">
        <f>punkt_szczepień__13[[#This Row],[PESEL]]</f>
        <v>68102446298</v>
      </c>
      <c r="K881" s="1">
        <f>VALUE(MID(punkt_szczepień__13[[#This Row],[PESEL]],10,1))</f>
        <v>9</v>
      </c>
      <c r="L881" s="11" t="str">
        <f>IF(MOD(punkt_szczepień__13[[#This Row],[liczba płeć]],2)=0,"K","M")</f>
        <v>M</v>
      </c>
      <c r="M881" s="1"/>
      <c r="N881" s="1"/>
    </row>
    <row r="882" spans="1:14" x14ac:dyDescent="0.25">
      <c r="A882" s="1" t="s">
        <v>888</v>
      </c>
      <c r="B882" s="1" t="s">
        <v>27</v>
      </c>
      <c r="C882" s="2">
        <v>0.66840277777777779</v>
      </c>
      <c r="D882">
        <v>2</v>
      </c>
      <c r="E882">
        <f>VALUE(RIGHT(LEFT(punkt_szczepień__13[[#This Row],[PESEL]],4),2))</f>
        <v>12</v>
      </c>
      <c r="F882" s="11">
        <f>MOD(punkt_szczepień__13[[#This Row],[liczba miesiac]],20)</f>
        <v>12</v>
      </c>
      <c r="G882" s="11">
        <f>VLOOKUP(punkt_szczepień__13[[#This Row],[liczba miesiac]]-punkt_szczepień__13[[#This Row],[miesiac]],$O$3:$P$7,2,0)+VALUE(LEFT(punkt_szczepień__13[[#This Row],[PESEL]],2))</f>
        <v>1942</v>
      </c>
      <c r="H882" s="11">
        <f>VALUE(RIGHT(LEFT(punkt_szczepień__13[[#This Row],[PESEL]],6),2))</f>
        <v>23</v>
      </c>
      <c r="I882" s="3">
        <f>DATE(punkt_szczepień__13[[#This Row],[rok]],punkt_szczepień__13[[#This Row],[miesiac]],punkt_szczepień__13[[#This Row],[dzień]])</f>
        <v>15698</v>
      </c>
      <c r="J882" s="1" t="str">
        <f>punkt_szczepień__13[[#This Row],[PESEL]]</f>
        <v>42122341465</v>
      </c>
      <c r="K882" s="1">
        <f>VALUE(MID(punkt_szczepień__13[[#This Row],[PESEL]],10,1))</f>
        <v>6</v>
      </c>
      <c r="L882" s="11" t="str">
        <f>IF(MOD(punkt_szczepień__13[[#This Row],[liczba płeć]],2)=0,"K","M")</f>
        <v>K</v>
      </c>
      <c r="M882" s="1"/>
      <c r="N882" s="1"/>
    </row>
    <row r="883" spans="1:14" x14ac:dyDescent="0.25">
      <c r="A883" s="1" t="s">
        <v>889</v>
      </c>
      <c r="B883" s="1" t="s">
        <v>7</v>
      </c>
      <c r="C883" s="2">
        <v>0.66869212962962965</v>
      </c>
      <c r="D883">
        <v>1</v>
      </c>
      <c r="E883">
        <f>VALUE(RIGHT(LEFT(punkt_szczepień__13[[#This Row],[PESEL]],4),2))</f>
        <v>12</v>
      </c>
      <c r="F883" s="11">
        <f>MOD(punkt_szczepień__13[[#This Row],[liczba miesiac]],20)</f>
        <v>12</v>
      </c>
      <c r="G883" s="11">
        <f>VLOOKUP(punkt_szczepień__13[[#This Row],[liczba miesiac]]-punkt_szczepień__13[[#This Row],[miesiac]],$O$3:$P$7,2,0)+VALUE(LEFT(punkt_szczepień__13[[#This Row],[PESEL]],2))</f>
        <v>1936</v>
      </c>
      <c r="H883" s="11">
        <f>VALUE(RIGHT(LEFT(punkt_szczepień__13[[#This Row],[PESEL]],6),2))</f>
        <v>12</v>
      </c>
      <c r="I883" s="3">
        <f>DATE(punkt_szczepień__13[[#This Row],[rok]],punkt_szczepień__13[[#This Row],[miesiac]],punkt_szczepień__13[[#This Row],[dzień]])</f>
        <v>13496</v>
      </c>
      <c r="J883" s="1" t="str">
        <f>punkt_szczepień__13[[#This Row],[PESEL]]</f>
        <v>36121262168</v>
      </c>
      <c r="K883" s="1">
        <f>VALUE(MID(punkt_szczepień__13[[#This Row],[PESEL]],10,1))</f>
        <v>6</v>
      </c>
      <c r="L883" s="11" t="str">
        <f>IF(MOD(punkt_szczepień__13[[#This Row],[liczba płeć]],2)=0,"K","M")</f>
        <v>K</v>
      </c>
      <c r="M883" s="1"/>
      <c r="N883" s="1"/>
    </row>
    <row r="884" spans="1:14" x14ac:dyDescent="0.25">
      <c r="A884" s="1" t="s">
        <v>890</v>
      </c>
      <c r="B884" s="1" t="s">
        <v>5</v>
      </c>
      <c r="C884" s="2">
        <v>0.66927083333333337</v>
      </c>
      <c r="D884">
        <v>2</v>
      </c>
      <c r="E884">
        <f>VALUE(RIGHT(LEFT(punkt_szczepień__13[[#This Row],[PESEL]],4),2))</f>
        <v>1</v>
      </c>
      <c r="F884" s="11">
        <f>MOD(punkt_szczepień__13[[#This Row],[liczba miesiac]],20)</f>
        <v>1</v>
      </c>
      <c r="G884" s="11">
        <f>VLOOKUP(punkt_szczepień__13[[#This Row],[liczba miesiac]]-punkt_szczepień__13[[#This Row],[miesiac]],$O$3:$P$7,2,0)+VALUE(LEFT(punkt_szczepień__13[[#This Row],[PESEL]],2))</f>
        <v>1966</v>
      </c>
      <c r="H884" s="11">
        <f>VALUE(RIGHT(LEFT(punkt_szczepień__13[[#This Row],[PESEL]],6),2))</f>
        <v>1</v>
      </c>
      <c r="I884" s="3">
        <f>DATE(punkt_szczepień__13[[#This Row],[rok]],punkt_szczepień__13[[#This Row],[miesiac]],punkt_szczepień__13[[#This Row],[dzień]])</f>
        <v>24108</v>
      </c>
      <c r="J884" s="1" t="str">
        <f>punkt_szczepień__13[[#This Row],[PESEL]]</f>
        <v>66010198313</v>
      </c>
      <c r="K884" s="1">
        <f>VALUE(MID(punkt_szczepień__13[[#This Row],[PESEL]],10,1))</f>
        <v>1</v>
      </c>
      <c r="L884" s="11" t="str">
        <f>IF(MOD(punkt_szczepień__13[[#This Row],[liczba płeć]],2)=0,"K","M")</f>
        <v>M</v>
      </c>
      <c r="M884" s="1"/>
      <c r="N884" s="1"/>
    </row>
    <row r="885" spans="1:14" x14ac:dyDescent="0.25">
      <c r="A885" s="1" t="s">
        <v>891</v>
      </c>
      <c r="B885" s="1" t="s">
        <v>7</v>
      </c>
      <c r="C885" s="2">
        <v>0.66956018518518523</v>
      </c>
      <c r="D885">
        <v>1</v>
      </c>
      <c r="E885">
        <f>VALUE(RIGHT(LEFT(punkt_szczepień__13[[#This Row],[PESEL]],4),2))</f>
        <v>10</v>
      </c>
      <c r="F885" s="11">
        <f>MOD(punkt_szczepień__13[[#This Row],[liczba miesiac]],20)</f>
        <v>10</v>
      </c>
      <c r="G885" s="11">
        <f>VLOOKUP(punkt_szczepień__13[[#This Row],[liczba miesiac]]-punkt_szczepień__13[[#This Row],[miesiac]],$O$3:$P$7,2,0)+VALUE(LEFT(punkt_szczepień__13[[#This Row],[PESEL]],2))</f>
        <v>1989</v>
      </c>
      <c r="H885" s="11">
        <f>VALUE(RIGHT(LEFT(punkt_szczepień__13[[#This Row],[PESEL]],6),2))</f>
        <v>16</v>
      </c>
      <c r="I885" s="3">
        <f>DATE(punkt_szczepień__13[[#This Row],[rok]],punkt_szczepień__13[[#This Row],[miesiac]],punkt_szczepień__13[[#This Row],[dzień]])</f>
        <v>32797</v>
      </c>
      <c r="J885" s="1" t="str">
        <f>punkt_szczepień__13[[#This Row],[PESEL]]</f>
        <v>89101632857</v>
      </c>
      <c r="K885" s="1">
        <f>VALUE(MID(punkt_szczepień__13[[#This Row],[PESEL]],10,1))</f>
        <v>5</v>
      </c>
      <c r="L885" s="11" t="str">
        <f>IF(MOD(punkt_szczepień__13[[#This Row],[liczba płeć]],2)=0,"K","M")</f>
        <v>M</v>
      </c>
      <c r="M885" s="1"/>
      <c r="N885" s="1"/>
    </row>
    <row r="886" spans="1:14" x14ac:dyDescent="0.25">
      <c r="A886" s="1" t="s">
        <v>892</v>
      </c>
      <c r="B886" s="1" t="s">
        <v>5</v>
      </c>
      <c r="C886" s="2">
        <v>0.66984953703703709</v>
      </c>
      <c r="D886">
        <v>1</v>
      </c>
      <c r="E886">
        <f>VALUE(RIGHT(LEFT(punkt_szczepień__13[[#This Row],[PESEL]],4),2))</f>
        <v>12</v>
      </c>
      <c r="F886" s="11">
        <f>MOD(punkt_szczepień__13[[#This Row],[liczba miesiac]],20)</f>
        <v>12</v>
      </c>
      <c r="G886" s="11">
        <f>VLOOKUP(punkt_szczepień__13[[#This Row],[liczba miesiac]]-punkt_szczepień__13[[#This Row],[miesiac]],$O$3:$P$7,2,0)+VALUE(LEFT(punkt_szczepień__13[[#This Row],[PESEL]],2))</f>
        <v>1988</v>
      </c>
      <c r="H886" s="11">
        <f>VALUE(RIGHT(LEFT(punkt_szczepień__13[[#This Row],[PESEL]],6),2))</f>
        <v>25</v>
      </c>
      <c r="I886" s="3">
        <f>DATE(punkt_szczepień__13[[#This Row],[rok]],punkt_szczepień__13[[#This Row],[miesiac]],punkt_szczepień__13[[#This Row],[dzień]])</f>
        <v>32502</v>
      </c>
      <c r="J886" s="1" t="str">
        <f>punkt_szczepień__13[[#This Row],[PESEL]]</f>
        <v>88122551811</v>
      </c>
      <c r="K886" s="1">
        <f>VALUE(MID(punkt_szczepień__13[[#This Row],[PESEL]],10,1))</f>
        <v>1</v>
      </c>
      <c r="L886" s="11" t="str">
        <f>IF(MOD(punkt_szczepień__13[[#This Row],[liczba płeć]],2)=0,"K","M")</f>
        <v>M</v>
      </c>
      <c r="M886" s="1"/>
      <c r="N886" s="1"/>
    </row>
    <row r="887" spans="1:14" x14ac:dyDescent="0.25">
      <c r="A887" s="1" t="s">
        <v>893</v>
      </c>
      <c r="B887" s="1" t="s">
        <v>9</v>
      </c>
      <c r="C887" s="2">
        <v>0.67013888888888884</v>
      </c>
      <c r="D887">
        <v>1</v>
      </c>
      <c r="E887">
        <f>VALUE(RIGHT(LEFT(punkt_szczepień__13[[#This Row],[PESEL]],4),2))</f>
        <v>7</v>
      </c>
      <c r="F887" s="11">
        <f>MOD(punkt_szczepień__13[[#This Row],[liczba miesiac]],20)</f>
        <v>7</v>
      </c>
      <c r="G887" s="11">
        <f>VLOOKUP(punkt_szczepień__13[[#This Row],[liczba miesiac]]-punkt_szczepień__13[[#This Row],[miesiac]],$O$3:$P$7,2,0)+VALUE(LEFT(punkt_szczepień__13[[#This Row],[PESEL]],2))</f>
        <v>1958</v>
      </c>
      <c r="H887" s="11">
        <f>VALUE(RIGHT(LEFT(punkt_szczepień__13[[#This Row],[PESEL]],6),2))</f>
        <v>23</v>
      </c>
      <c r="I887" s="3">
        <f>DATE(punkt_szczepień__13[[#This Row],[rok]],punkt_szczepień__13[[#This Row],[miesiac]],punkt_szczepień__13[[#This Row],[dzień]])</f>
        <v>21389</v>
      </c>
      <c r="J887" s="1" t="str">
        <f>punkt_szczepień__13[[#This Row],[PESEL]]</f>
        <v>58072364177</v>
      </c>
      <c r="K887" s="1">
        <f>VALUE(MID(punkt_szczepień__13[[#This Row],[PESEL]],10,1))</f>
        <v>7</v>
      </c>
      <c r="L887" s="11" t="str">
        <f>IF(MOD(punkt_szczepień__13[[#This Row],[liczba płeć]],2)=0,"K","M")</f>
        <v>M</v>
      </c>
      <c r="M887" s="1"/>
      <c r="N887" s="1"/>
    </row>
    <row r="888" spans="1:14" x14ac:dyDescent="0.25">
      <c r="A888" s="1" t="s">
        <v>894</v>
      </c>
      <c r="B888" s="1" t="s">
        <v>9</v>
      </c>
      <c r="C888" s="2">
        <v>0.67071759259259256</v>
      </c>
      <c r="D888">
        <v>2</v>
      </c>
      <c r="E888">
        <f>VALUE(RIGHT(LEFT(punkt_szczepień__13[[#This Row],[PESEL]],4),2))</f>
        <v>22</v>
      </c>
      <c r="F888" s="11">
        <f>MOD(punkt_szczepień__13[[#This Row],[liczba miesiac]],20)</f>
        <v>2</v>
      </c>
      <c r="G888" s="11">
        <f>VLOOKUP(punkt_szczepień__13[[#This Row],[liczba miesiac]]-punkt_szczepień__13[[#This Row],[miesiac]],$O$3:$P$7,2,0)+VALUE(LEFT(punkt_szczepień__13[[#This Row],[PESEL]],2))</f>
        <v>2009</v>
      </c>
      <c r="H888" s="11">
        <f>VALUE(RIGHT(LEFT(punkt_szczepień__13[[#This Row],[PESEL]],6),2))</f>
        <v>26</v>
      </c>
      <c r="I888" s="3">
        <f>DATE(punkt_szczepień__13[[#This Row],[rok]],punkt_szczepień__13[[#This Row],[miesiac]],punkt_szczepień__13[[#This Row],[dzień]])</f>
        <v>39870</v>
      </c>
      <c r="J888" s="1" t="str">
        <f>punkt_szczepień__13[[#This Row],[PESEL]]</f>
        <v>09222687156</v>
      </c>
      <c r="K888" s="1">
        <f>VALUE(MID(punkt_szczepień__13[[#This Row],[PESEL]],10,1))</f>
        <v>5</v>
      </c>
      <c r="L888" s="11" t="str">
        <f>IF(MOD(punkt_szczepień__13[[#This Row],[liczba płeć]],2)=0,"K","M")</f>
        <v>M</v>
      </c>
      <c r="M888" s="1"/>
      <c r="N888" s="1"/>
    </row>
    <row r="889" spans="1:14" x14ac:dyDescent="0.25">
      <c r="A889" s="1" t="s">
        <v>895</v>
      </c>
      <c r="B889" s="1" t="s">
        <v>27</v>
      </c>
      <c r="C889" s="2">
        <v>0.67129629629629628</v>
      </c>
      <c r="D889">
        <v>2</v>
      </c>
      <c r="E889">
        <f>VALUE(RIGHT(LEFT(punkt_szczepień__13[[#This Row],[PESEL]],4),2))</f>
        <v>1</v>
      </c>
      <c r="F889" s="11">
        <f>MOD(punkt_szczepień__13[[#This Row],[liczba miesiac]],20)</f>
        <v>1</v>
      </c>
      <c r="G889" s="11">
        <f>VLOOKUP(punkt_szczepień__13[[#This Row],[liczba miesiac]]-punkt_szczepień__13[[#This Row],[miesiac]],$O$3:$P$7,2,0)+VALUE(LEFT(punkt_szczepień__13[[#This Row],[PESEL]],2))</f>
        <v>1997</v>
      </c>
      <c r="H889" s="11">
        <f>VALUE(RIGHT(LEFT(punkt_szczepień__13[[#This Row],[PESEL]],6),2))</f>
        <v>27</v>
      </c>
      <c r="I889" s="3">
        <f>DATE(punkt_szczepień__13[[#This Row],[rok]],punkt_szczepień__13[[#This Row],[miesiac]],punkt_szczepień__13[[#This Row],[dzień]])</f>
        <v>35457</v>
      </c>
      <c r="J889" s="1" t="str">
        <f>punkt_szczepień__13[[#This Row],[PESEL]]</f>
        <v>97012789254</v>
      </c>
      <c r="K889" s="1">
        <f>VALUE(MID(punkt_szczepień__13[[#This Row],[PESEL]],10,1))</f>
        <v>5</v>
      </c>
      <c r="L889" s="11" t="str">
        <f>IF(MOD(punkt_szczepień__13[[#This Row],[liczba płeć]],2)=0,"K","M")</f>
        <v>M</v>
      </c>
      <c r="M889" s="1"/>
      <c r="N889" s="1"/>
    </row>
    <row r="890" spans="1:14" x14ac:dyDescent="0.25">
      <c r="A890" s="1" t="s">
        <v>896</v>
      </c>
      <c r="B890" s="1" t="s">
        <v>7</v>
      </c>
      <c r="C890" s="2">
        <v>0.67158564814814814</v>
      </c>
      <c r="D890">
        <v>1</v>
      </c>
      <c r="E890">
        <f>VALUE(RIGHT(LEFT(punkt_szczepień__13[[#This Row],[PESEL]],4),2))</f>
        <v>32</v>
      </c>
      <c r="F890" s="11">
        <f>MOD(punkt_szczepień__13[[#This Row],[liczba miesiac]],20)</f>
        <v>12</v>
      </c>
      <c r="G890" s="11">
        <f>VLOOKUP(punkt_szczepień__13[[#This Row],[liczba miesiac]]-punkt_szczepień__13[[#This Row],[miesiac]],$O$3:$P$7,2,0)+VALUE(LEFT(punkt_szczepień__13[[#This Row],[PESEL]],2))</f>
        <v>2005</v>
      </c>
      <c r="H890" s="11">
        <f>VALUE(RIGHT(LEFT(punkt_szczepień__13[[#This Row],[PESEL]],6),2))</f>
        <v>30</v>
      </c>
      <c r="I890" s="3">
        <f>DATE(punkt_szczepień__13[[#This Row],[rok]],punkt_szczepień__13[[#This Row],[miesiac]],punkt_szczepień__13[[#This Row],[dzień]])</f>
        <v>38716</v>
      </c>
      <c r="J890" s="1" t="str">
        <f>punkt_szczepień__13[[#This Row],[PESEL]]</f>
        <v>05323044344</v>
      </c>
      <c r="K890" s="1">
        <f>VALUE(MID(punkt_szczepień__13[[#This Row],[PESEL]],10,1))</f>
        <v>4</v>
      </c>
      <c r="L890" s="11" t="str">
        <f>IF(MOD(punkt_szczepień__13[[#This Row],[liczba płeć]],2)=0,"K","M")</f>
        <v>K</v>
      </c>
      <c r="M890" s="1"/>
      <c r="N890" s="1"/>
    </row>
    <row r="891" spans="1:14" x14ac:dyDescent="0.25">
      <c r="A891" s="1" t="s">
        <v>897</v>
      </c>
      <c r="B891" s="1" t="s">
        <v>5</v>
      </c>
      <c r="C891" s="2">
        <v>0.67216435185185186</v>
      </c>
      <c r="D891">
        <v>2</v>
      </c>
      <c r="E891">
        <f>VALUE(RIGHT(LEFT(punkt_szczepień__13[[#This Row],[PESEL]],4),2))</f>
        <v>8</v>
      </c>
      <c r="F891" s="11">
        <f>MOD(punkt_szczepień__13[[#This Row],[liczba miesiac]],20)</f>
        <v>8</v>
      </c>
      <c r="G891" s="11">
        <f>VLOOKUP(punkt_szczepień__13[[#This Row],[liczba miesiac]]-punkt_szczepień__13[[#This Row],[miesiac]],$O$3:$P$7,2,0)+VALUE(LEFT(punkt_szczepień__13[[#This Row],[PESEL]],2))</f>
        <v>1931</v>
      </c>
      <c r="H891" s="11">
        <f>VALUE(RIGHT(LEFT(punkt_szczepień__13[[#This Row],[PESEL]],6),2))</f>
        <v>30</v>
      </c>
      <c r="I891" s="3">
        <f>DATE(punkt_szczepień__13[[#This Row],[rok]],punkt_szczepień__13[[#This Row],[miesiac]],punkt_szczepień__13[[#This Row],[dzień]])</f>
        <v>11565</v>
      </c>
      <c r="J891" s="1" t="str">
        <f>punkt_szczepień__13[[#This Row],[PESEL]]</f>
        <v>31083057216</v>
      </c>
      <c r="K891" s="1">
        <f>VALUE(MID(punkt_szczepień__13[[#This Row],[PESEL]],10,1))</f>
        <v>1</v>
      </c>
      <c r="L891" s="11" t="str">
        <f>IF(MOD(punkt_szczepień__13[[#This Row],[liczba płeć]],2)=0,"K","M")</f>
        <v>M</v>
      </c>
      <c r="M891" s="1"/>
      <c r="N891" s="1"/>
    </row>
    <row r="892" spans="1:14" x14ac:dyDescent="0.25">
      <c r="A892" s="1" t="s">
        <v>898</v>
      </c>
      <c r="B892" s="1" t="s">
        <v>7</v>
      </c>
      <c r="C892" s="2">
        <v>0.67245370370370372</v>
      </c>
      <c r="D892">
        <v>1</v>
      </c>
      <c r="E892">
        <f>VALUE(RIGHT(LEFT(punkt_szczepień__13[[#This Row],[PESEL]],4),2))</f>
        <v>5</v>
      </c>
      <c r="F892" s="11">
        <f>MOD(punkt_szczepień__13[[#This Row],[liczba miesiac]],20)</f>
        <v>5</v>
      </c>
      <c r="G892" s="11">
        <f>VLOOKUP(punkt_szczepień__13[[#This Row],[liczba miesiac]]-punkt_szczepień__13[[#This Row],[miesiac]],$O$3:$P$7,2,0)+VALUE(LEFT(punkt_szczepień__13[[#This Row],[PESEL]],2))</f>
        <v>1991</v>
      </c>
      <c r="H892" s="11">
        <f>VALUE(RIGHT(LEFT(punkt_szczepień__13[[#This Row],[PESEL]],6),2))</f>
        <v>22</v>
      </c>
      <c r="I892" s="3">
        <f>DATE(punkt_szczepień__13[[#This Row],[rok]],punkt_szczepień__13[[#This Row],[miesiac]],punkt_szczepień__13[[#This Row],[dzień]])</f>
        <v>33380</v>
      </c>
      <c r="J892" s="1" t="str">
        <f>punkt_szczepień__13[[#This Row],[PESEL]]</f>
        <v>91052287136</v>
      </c>
      <c r="K892" s="1">
        <f>VALUE(MID(punkt_szczepień__13[[#This Row],[PESEL]],10,1))</f>
        <v>3</v>
      </c>
      <c r="L892" s="11" t="str">
        <f>IF(MOD(punkt_szczepień__13[[#This Row],[liczba płeć]],2)=0,"K","M")</f>
        <v>M</v>
      </c>
      <c r="M892" s="1"/>
      <c r="N892" s="1"/>
    </row>
    <row r="893" spans="1:14" x14ac:dyDescent="0.25">
      <c r="A893" s="1" t="s">
        <v>899</v>
      </c>
      <c r="B893" s="1" t="s">
        <v>5</v>
      </c>
      <c r="C893" s="2">
        <v>0.67274305555555558</v>
      </c>
      <c r="D893">
        <v>1</v>
      </c>
      <c r="E893">
        <f>VALUE(RIGHT(LEFT(punkt_szczepień__13[[#This Row],[PESEL]],4),2))</f>
        <v>7</v>
      </c>
      <c r="F893" s="11">
        <f>MOD(punkt_szczepień__13[[#This Row],[liczba miesiac]],20)</f>
        <v>7</v>
      </c>
      <c r="G893" s="11">
        <f>VLOOKUP(punkt_szczepień__13[[#This Row],[liczba miesiac]]-punkt_szczepień__13[[#This Row],[miesiac]],$O$3:$P$7,2,0)+VALUE(LEFT(punkt_szczepień__13[[#This Row],[PESEL]],2))</f>
        <v>1935</v>
      </c>
      <c r="H893" s="11">
        <f>VALUE(RIGHT(LEFT(punkt_szczepień__13[[#This Row],[PESEL]],6),2))</f>
        <v>24</v>
      </c>
      <c r="I893" s="3">
        <f>DATE(punkt_szczepień__13[[#This Row],[rok]],punkt_szczepień__13[[#This Row],[miesiac]],punkt_szczepień__13[[#This Row],[dzień]])</f>
        <v>12989</v>
      </c>
      <c r="J893" s="1" t="str">
        <f>punkt_szczepień__13[[#This Row],[PESEL]]</f>
        <v>35072457663</v>
      </c>
      <c r="K893" s="1">
        <f>VALUE(MID(punkt_szczepień__13[[#This Row],[PESEL]],10,1))</f>
        <v>6</v>
      </c>
      <c r="L893" s="11" t="str">
        <f>IF(MOD(punkt_szczepień__13[[#This Row],[liczba płeć]],2)=0,"K","M")</f>
        <v>K</v>
      </c>
      <c r="M893" s="1"/>
      <c r="N893" s="1"/>
    </row>
    <row r="894" spans="1:14" x14ac:dyDescent="0.25">
      <c r="A894" s="1" t="s">
        <v>900</v>
      </c>
      <c r="B894" s="1" t="s">
        <v>7</v>
      </c>
      <c r="C894" s="2">
        <v>0.67303240740740744</v>
      </c>
      <c r="D894">
        <v>1</v>
      </c>
      <c r="E894">
        <f>VALUE(RIGHT(LEFT(punkt_szczepień__13[[#This Row],[PESEL]],4),2))</f>
        <v>30</v>
      </c>
      <c r="F894" s="11">
        <f>MOD(punkt_szczepień__13[[#This Row],[liczba miesiac]],20)</f>
        <v>10</v>
      </c>
      <c r="G894" s="11">
        <f>VLOOKUP(punkt_szczepień__13[[#This Row],[liczba miesiac]]-punkt_szczepień__13[[#This Row],[miesiac]],$O$3:$P$7,2,0)+VALUE(LEFT(punkt_szczepień__13[[#This Row],[PESEL]],2))</f>
        <v>2000</v>
      </c>
      <c r="H894" s="11">
        <f>VALUE(RIGHT(LEFT(punkt_szczepień__13[[#This Row],[PESEL]],6),2))</f>
        <v>24</v>
      </c>
      <c r="I894" s="3">
        <f>DATE(punkt_szczepień__13[[#This Row],[rok]],punkt_szczepień__13[[#This Row],[miesiac]],punkt_szczepień__13[[#This Row],[dzień]])</f>
        <v>36823</v>
      </c>
      <c r="J894" s="1" t="str">
        <f>punkt_szczepień__13[[#This Row],[PESEL]]</f>
        <v>00302461745</v>
      </c>
      <c r="K894" s="1">
        <f>VALUE(MID(punkt_szczepień__13[[#This Row],[PESEL]],10,1))</f>
        <v>4</v>
      </c>
      <c r="L894" s="11" t="str">
        <f>IF(MOD(punkt_szczepień__13[[#This Row],[liczba płeć]],2)=0,"K","M")</f>
        <v>K</v>
      </c>
      <c r="M894" s="1"/>
      <c r="N894" s="1"/>
    </row>
    <row r="895" spans="1:14" x14ac:dyDescent="0.25">
      <c r="A895" s="1" t="s">
        <v>901</v>
      </c>
      <c r="B895" s="1" t="s">
        <v>5</v>
      </c>
      <c r="C895" s="2">
        <v>0.67361111111111116</v>
      </c>
      <c r="D895">
        <v>2</v>
      </c>
      <c r="E895">
        <f>VALUE(RIGHT(LEFT(punkt_szczepień__13[[#This Row],[PESEL]],4),2))</f>
        <v>7</v>
      </c>
      <c r="F895" s="11">
        <f>MOD(punkt_szczepień__13[[#This Row],[liczba miesiac]],20)</f>
        <v>7</v>
      </c>
      <c r="G895" s="11">
        <f>VLOOKUP(punkt_szczepień__13[[#This Row],[liczba miesiac]]-punkt_szczepień__13[[#This Row],[miesiac]],$O$3:$P$7,2,0)+VALUE(LEFT(punkt_szczepień__13[[#This Row],[PESEL]],2))</f>
        <v>1972</v>
      </c>
      <c r="H895" s="11">
        <f>VALUE(RIGHT(LEFT(punkt_szczepień__13[[#This Row],[PESEL]],6),2))</f>
        <v>6</v>
      </c>
      <c r="I895" s="3">
        <f>DATE(punkt_szczepień__13[[#This Row],[rok]],punkt_szczepień__13[[#This Row],[miesiac]],punkt_szczepień__13[[#This Row],[dzień]])</f>
        <v>26486</v>
      </c>
      <c r="J895" s="1" t="str">
        <f>punkt_szczepień__13[[#This Row],[PESEL]]</f>
        <v>72070631167</v>
      </c>
      <c r="K895" s="1">
        <f>VALUE(MID(punkt_szczepień__13[[#This Row],[PESEL]],10,1))</f>
        <v>6</v>
      </c>
      <c r="L895" s="11" t="str">
        <f>IF(MOD(punkt_szczepień__13[[#This Row],[liczba płeć]],2)=0,"K","M")</f>
        <v>K</v>
      </c>
      <c r="M895" s="1"/>
      <c r="N895" s="1"/>
    </row>
    <row r="896" spans="1:14" x14ac:dyDescent="0.25">
      <c r="A896" s="1" t="s">
        <v>902</v>
      </c>
      <c r="B896" s="1" t="s">
        <v>7</v>
      </c>
      <c r="C896" s="2">
        <v>0.67390046296296291</v>
      </c>
      <c r="D896">
        <v>1</v>
      </c>
      <c r="E896">
        <f>VALUE(RIGHT(LEFT(punkt_szczepień__13[[#This Row],[PESEL]],4),2))</f>
        <v>11</v>
      </c>
      <c r="F896" s="11">
        <f>MOD(punkt_szczepień__13[[#This Row],[liczba miesiac]],20)</f>
        <v>11</v>
      </c>
      <c r="G896" s="11">
        <f>VLOOKUP(punkt_szczepień__13[[#This Row],[liczba miesiac]]-punkt_szczepień__13[[#This Row],[miesiac]],$O$3:$P$7,2,0)+VALUE(LEFT(punkt_szczepień__13[[#This Row],[PESEL]],2))</f>
        <v>1976</v>
      </c>
      <c r="H896" s="11">
        <f>VALUE(RIGHT(LEFT(punkt_szczepień__13[[#This Row],[PESEL]],6),2))</f>
        <v>6</v>
      </c>
      <c r="I896" s="3">
        <f>DATE(punkt_szczepień__13[[#This Row],[rok]],punkt_szczepień__13[[#This Row],[miesiac]],punkt_szczepień__13[[#This Row],[dzień]])</f>
        <v>28070</v>
      </c>
      <c r="J896" s="1" t="str">
        <f>punkt_szczepień__13[[#This Row],[PESEL]]</f>
        <v>76110647246</v>
      </c>
      <c r="K896" s="1">
        <f>VALUE(MID(punkt_szczepień__13[[#This Row],[PESEL]],10,1))</f>
        <v>4</v>
      </c>
      <c r="L896" s="11" t="str">
        <f>IF(MOD(punkt_szczepień__13[[#This Row],[liczba płeć]],2)=0,"K","M")</f>
        <v>K</v>
      </c>
      <c r="M896" s="1"/>
      <c r="N896" s="1"/>
    </row>
    <row r="897" spans="1:14" x14ac:dyDescent="0.25">
      <c r="A897" s="1" t="s">
        <v>903</v>
      </c>
      <c r="B897" s="1" t="s">
        <v>5</v>
      </c>
      <c r="C897" s="2">
        <v>0.67447916666666663</v>
      </c>
      <c r="D897">
        <v>2</v>
      </c>
      <c r="E897">
        <f>VALUE(RIGHT(LEFT(punkt_szczepień__13[[#This Row],[PESEL]],4),2))</f>
        <v>4</v>
      </c>
      <c r="F897" s="11">
        <f>MOD(punkt_szczepień__13[[#This Row],[liczba miesiac]],20)</f>
        <v>4</v>
      </c>
      <c r="G897" s="11">
        <f>VLOOKUP(punkt_szczepień__13[[#This Row],[liczba miesiac]]-punkt_szczepień__13[[#This Row],[miesiac]],$O$3:$P$7,2,0)+VALUE(LEFT(punkt_szczepień__13[[#This Row],[PESEL]],2))</f>
        <v>1924</v>
      </c>
      <c r="H897" s="11">
        <f>VALUE(RIGHT(LEFT(punkt_szczepień__13[[#This Row],[PESEL]],6),2))</f>
        <v>1</v>
      </c>
      <c r="I897" s="3">
        <f>DATE(punkt_szczepień__13[[#This Row],[rok]],punkt_szczepień__13[[#This Row],[miesiac]],punkt_szczepień__13[[#This Row],[dzień]])</f>
        <v>8858</v>
      </c>
      <c r="J897" s="1" t="str">
        <f>punkt_szczepień__13[[#This Row],[PESEL]]</f>
        <v>24040177241</v>
      </c>
      <c r="K897" s="1">
        <f>VALUE(MID(punkt_szczepień__13[[#This Row],[PESEL]],10,1))</f>
        <v>4</v>
      </c>
      <c r="L897" s="11" t="str">
        <f>IF(MOD(punkt_szczepień__13[[#This Row],[liczba płeć]],2)=0,"K","M")</f>
        <v>K</v>
      </c>
      <c r="M897" s="1"/>
      <c r="N897" s="1"/>
    </row>
    <row r="898" spans="1:14" x14ac:dyDescent="0.25">
      <c r="A898" s="1" t="s">
        <v>904</v>
      </c>
      <c r="B898" s="1" t="s">
        <v>7</v>
      </c>
      <c r="C898" s="2">
        <v>0.67476851851851849</v>
      </c>
      <c r="D898">
        <v>1</v>
      </c>
      <c r="E898">
        <f>VALUE(RIGHT(LEFT(punkt_szczepień__13[[#This Row],[PESEL]],4),2))</f>
        <v>1</v>
      </c>
      <c r="F898" s="11">
        <f>MOD(punkt_szczepień__13[[#This Row],[liczba miesiac]],20)</f>
        <v>1</v>
      </c>
      <c r="G898" s="11">
        <f>VLOOKUP(punkt_szczepień__13[[#This Row],[liczba miesiac]]-punkt_szczepień__13[[#This Row],[miesiac]],$O$3:$P$7,2,0)+VALUE(LEFT(punkt_szczepień__13[[#This Row],[PESEL]],2))</f>
        <v>1986</v>
      </c>
      <c r="H898" s="11">
        <f>VALUE(RIGHT(LEFT(punkt_szczepień__13[[#This Row],[PESEL]],6),2))</f>
        <v>30</v>
      </c>
      <c r="I898" s="3">
        <f>DATE(punkt_szczepień__13[[#This Row],[rok]],punkt_szczepień__13[[#This Row],[miesiac]],punkt_szczepień__13[[#This Row],[dzień]])</f>
        <v>31442</v>
      </c>
      <c r="J898" s="1" t="str">
        <f>punkt_szczepień__13[[#This Row],[PESEL]]</f>
        <v>86013082275</v>
      </c>
      <c r="K898" s="1">
        <f>VALUE(MID(punkt_szczepień__13[[#This Row],[PESEL]],10,1))</f>
        <v>7</v>
      </c>
      <c r="L898" s="11" t="str">
        <f>IF(MOD(punkt_szczepień__13[[#This Row],[liczba płeć]],2)=0,"K","M")</f>
        <v>M</v>
      </c>
      <c r="M898" s="1"/>
      <c r="N898" s="1"/>
    </row>
    <row r="899" spans="1:14" x14ac:dyDescent="0.25">
      <c r="A899" s="1" t="s">
        <v>905</v>
      </c>
      <c r="B899" s="1" t="s">
        <v>9</v>
      </c>
      <c r="C899" s="2">
        <v>0.67505787037037035</v>
      </c>
      <c r="D899">
        <v>1</v>
      </c>
      <c r="E899">
        <f>VALUE(RIGHT(LEFT(punkt_szczepień__13[[#This Row],[PESEL]],4),2))</f>
        <v>7</v>
      </c>
      <c r="F899" s="11">
        <f>MOD(punkt_szczepień__13[[#This Row],[liczba miesiac]],20)</f>
        <v>7</v>
      </c>
      <c r="G899" s="11">
        <f>VLOOKUP(punkt_szczepień__13[[#This Row],[liczba miesiac]]-punkt_szczepień__13[[#This Row],[miesiac]],$O$3:$P$7,2,0)+VALUE(LEFT(punkt_szczepień__13[[#This Row],[PESEL]],2))</f>
        <v>1969</v>
      </c>
      <c r="H899" s="11">
        <f>VALUE(RIGHT(LEFT(punkt_szczepień__13[[#This Row],[PESEL]],6),2))</f>
        <v>15</v>
      </c>
      <c r="I899" s="3">
        <f>DATE(punkt_szczepień__13[[#This Row],[rok]],punkt_szczepień__13[[#This Row],[miesiac]],punkt_szczepień__13[[#This Row],[dzień]])</f>
        <v>25399</v>
      </c>
      <c r="J899" s="1" t="str">
        <f>punkt_szczepień__13[[#This Row],[PESEL]]</f>
        <v>69071554267</v>
      </c>
      <c r="K899" s="1">
        <f>VALUE(MID(punkt_szczepień__13[[#This Row],[PESEL]],10,1))</f>
        <v>6</v>
      </c>
      <c r="L899" s="11" t="str">
        <f>IF(MOD(punkt_szczepień__13[[#This Row],[liczba płeć]],2)=0,"K","M")</f>
        <v>K</v>
      </c>
      <c r="M899" s="1"/>
      <c r="N899" s="1"/>
    </row>
    <row r="900" spans="1:14" x14ac:dyDescent="0.25">
      <c r="A900" s="1" t="s">
        <v>906</v>
      </c>
      <c r="B900" s="1" t="s">
        <v>7</v>
      </c>
      <c r="C900" s="2">
        <v>0.67534722222222221</v>
      </c>
      <c r="D900">
        <v>1</v>
      </c>
      <c r="E900">
        <f>VALUE(RIGHT(LEFT(punkt_szczepień__13[[#This Row],[PESEL]],4),2))</f>
        <v>9</v>
      </c>
      <c r="F900" s="11">
        <f>MOD(punkt_szczepień__13[[#This Row],[liczba miesiac]],20)</f>
        <v>9</v>
      </c>
      <c r="G900" s="11">
        <f>VLOOKUP(punkt_szczepień__13[[#This Row],[liczba miesiac]]-punkt_szczepień__13[[#This Row],[miesiac]],$O$3:$P$7,2,0)+VALUE(LEFT(punkt_szczepień__13[[#This Row],[PESEL]],2))</f>
        <v>1966</v>
      </c>
      <c r="H900" s="11">
        <f>VALUE(RIGHT(LEFT(punkt_szczepień__13[[#This Row],[PESEL]],6),2))</f>
        <v>28</v>
      </c>
      <c r="I900" s="3">
        <f>DATE(punkt_szczepień__13[[#This Row],[rok]],punkt_szczepień__13[[#This Row],[miesiac]],punkt_szczepień__13[[#This Row],[dzień]])</f>
        <v>24378</v>
      </c>
      <c r="J900" s="1" t="str">
        <f>punkt_szczepień__13[[#This Row],[PESEL]]</f>
        <v>66092881561</v>
      </c>
      <c r="K900" s="1">
        <f>VALUE(MID(punkt_szczepień__13[[#This Row],[PESEL]],10,1))</f>
        <v>6</v>
      </c>
      <c r="L900" s="11" t="str">
        <f>IF(MOD(punkt_szczepień__13[[#This Row],[liczba płeć]],2)=0,"K","M")</f>
        <v>K</v>
      </c>
      <c r="M900" s="1"/>
      <c r="N900" s="1"/>
    </row>
    <row r="901" spans="1:14" x14ac:dyDescent="0.25">
      <c r="A901" s="1" t="s">
        <v>907</v>
      </c>
      <c r="B901" s="1" t="s">
        <v>7</v>
      </c>
      <c r="C901" s="2">
        <v>0.67563657407407407</v>
      </c>
      <c r="D901">
        <v>1</v>
      </c>
      <c r="E901">
        <f>VALUE(RIGHT(LEFT(punkt_szczepień__13[[#This Row],[PESEL]],4),2))</f>
        <v>11</v>
      </c>
      <c r="F901" s="11">
        <f>MOD(punkt_szczepień__13[[#This Row],[liczba miesiac]],20)</f>
        <v>11</v>
      </c>
      <c r="G901" s="11">
        <f>VLOOKUP(punkt_szczepień__13[[#This Row],[liczba miesiac]]-punkt_szczepień__13[[#This Row],[miesiac]],$O$3:$P$7,2,0)+VALUE(LEFT(punkt_szczepień__13[[#This Row],[PESEL]],2))</f>
        <v>1983</v>
      </c>
      <c r="H901" s="11">
        <f>VALUE(RIGHT(LEFT(punkt_szczepień__13[[#This Row],[PESEL]],6),2))</f>
        <v>13</v>
      </c>
      <c r="I901" s="3">
        <f>DATE(punkt_szczepień__13[[#This Row],[rok]],punkt_szczepień__13[[#This Row],[miesiac]],punkt_szczepień__13[[#This Row],[dzień]])</f>
        <v>30633</v>
      </c>
      <c r="J901" s="1" t="str">
        <f>punkt_szczepień__13[[#This Row],[PESEL]]</f>
        <v>83111396178</v>
      </c>
      <c r="K901" s="1">
        <f>VALUE(MID(punkt_szczepień__13[[#This Row],[PESEL]],10,1))</f>
        <v>7</v>
      </c>
      <c r="L901" s="11" t="str">
        <f>IF(MOD(punkt_szczepień__13[[#This Row],[liczba płeć]],2)=0,"K","M")</f>
        <v>M</v>
      </c>
      <c r="M901" s="1"/>
      <c r="N901" s="1"/>
    </row>
    <row r="902" spans="1:14" x14ac:dyDescent="0.25">
      <c r="A902" s="1" t="s">
        <v>908</v>
      </c>
      <c r="B902" s="1" t="s">
        <v>5</v>
      </c>
      <c r="C902" s="2">
        <v>0.67592592592592593</v>
      </c>
      <c r="D902">
        <v>1</v>
      </c>
      <c r="E902">
        <f>VALUE(RIGHT(LEFT(punkt_szczepień__13[[#This Row],[PESEL]],4),2))</f>
        <v>8</v>
      </c>
      <c r="F902" s="11">
        <f>MOD(punkt_szczepień__13[[#This Row],[liczba miesiac]],20)</f>
        <v>8</v>
      </c>
      <c r="G902" s="11">
        <f>VLOOKUP(punkt_szczepień__13[[#This Row],[liczba miesiac]]-punkt_szczepień__13[[#This Row],[miesiac]],$O$3:$P$7,2,0)+VALUE(LEFT(punkt_szczepień__13[[#This Row],[PESEL]],2))</f>
        <v>1966</v>
      </c>
      <c r="H902" s="11">
        <f>VALUE(RIGHT(LEFT(punkt_szczepień__13[[#This Row],[PESEL]],6),2))</f>
        <v>1</v>
      </c>
      <c r="I902" s="3">
        <f>DATE(punkt_szczepień__13[[#This Row],[rok]],punkt_szczepień__13[[#This Row],[miesiac]],punkt_szczepień__13[[#This Row],[dzień]])</f>
        <v>24320</v>
      </c>
      <c r="J902" s="1" t="str">
        <f>punkt_szczepień__13[[#This Row],[PESEL]]</f>
        <v>66080191177</v>
      </c>
      <c r="K902" s="1">
        <f>VALUE(MID(punkt_szczepień__13[[#This Row],[PESEL]],10,1))</f>
        <v>7</v>
      </c>
      <c r="L902" s="11" t="str">
        <f>IF(MOD(punkt_szczepień__13[[#This Row],[liczba płeć]],2)=0,"K","M")</f>
        <v>M</v>
      </c>
      <c r="M902" s="1"/>
      <c r="N902" s="1"/>
    </row>
    <row r="903" spans="1:14" x14ac:dyDescent="0.25">
      <c r="A903" s="1" t="s">
        <v>909</v>
      </c>
      <c r="B903" s="1" t="s">
        <v>27</v>
      </c>
      <c r="C903" s="2">
        <v>0.67621527777777779</v>
      </c>
      <c r="D903">
        <v>1</v>
      </c>
      <c r="E903">
        <f>VALUE(RIGHT(LEFT(punkt_szczepień__13[[#This Row],[PESEL]],4),2))</f>
        <v>2</v>
      </c>
      <c r="F903" s="11">
        <f>MOD(punkt_szczepień__13[[#This Row],[liczba miesiac]],20)</f>
        <v>2</v>
      </c>
      <c r="G903" s="11">
        <f>VLOOKUP(punkt_szczepień__13[[#This Row],[liczba miesiac]]-punkt_szczepień__13[[#This Row],[miesiac]],$O$3:$P$7,2,0)+VALUE(LEFT(punkt_szczepień__13[[#This Row],[PESEL]],2))</f>
        <v>1977</v>
      </c>
      <c r="H903" s="11">
        <f>VALUE(RIGHT(LEFT(punkt_szczepień__13[[#This Row],[PESEL]],6),2))</f>
        <v>7</v>
      </c>
      <c r="I903" s="3">
        <f>DATE(punkt_szczepień__13[[#This Row],[rok]],punkt_szczepień__13[[#This Row],[miesiac]],punkt_szczepień__13[[#This Row],[dzień]])</f>
        <v>28163</v>
      </c>
      <c r="J903" s="1" t="str">
        <f>punkt_szczepień__13[[#This Row],[PESEL]]</f>
        <v>77020795272</v>
      </c>
      <c r="K903" s="1">
        <f>VALUE(MID(punkt_szczepień__13[[#This Row],[PESEL]],10,1))</f>
        <v>7</v>
      </c>
      <c r="L903" s="11" t="str">
        <f>IF(MOD(punkt_szczepień__13[[#This Row],[liczba płeć]],2)=0,"K","M")</f>
        <v>M</v>
      </c>
      <c r="M903" s="1"/>
      <c r="N903" s="1"/>
    </row>
    <row r="904" spans="1:14" x14ac:dyDescent="0.25">
      <c r="A904" s="1" t="s">
        <v>910</v>
      </c>
      <c r="B904" s="1" t="s">
        <v>27</v>
      </c>
      <c r="C904" s="2">
        <v>0.67650462962962965</v>
      </c>
      <c r="D904">
        <v>1</v>
      </c>
      <c r="E904">
        <f>VALUE(RIGHT(LEFT(punkt_szczepień__13[[#This Row],[PESEL]],4),2))</f>
        <v>2</v>
      </c>
      <c r="F904" s="11">
        <f>MOD(punkt_szczepień__13[[#This Row],[liczba miesiac]],20)</f>
        <v>2</v>
      </c>
      <c r="G904" s="11">
        <f>VLOOKUP(punkt_szczepień__13[[#This Row],[liczba miesiac]]-punkt_szczepień__13[[#This Row],[miesiac]],$O$3:$P$7,2,0)+VALUE(LEFT(punkt_szczepień__13[[#This Row],[PESEL]],2))</f>
        <v>1975</v>
      </c>
      <c r="H904" s="11">
        <f>VALUE(RIGHT(LEFT(punkt_szczepień__13[[#This Row],[PESEL]],6),2))</f>
        <v>15</v>
      </c>
      <c r="I904" s="3">
        <f>DATE(punkt_szczepień__13[[#This Row],[rok]],punkt_szczepień__13[[#This Row],[miesiac]],punkt_szczepień__13[[#This Row],[dzień]])</f>
        <v>27440</v>
      </c>
      <c r="J904" s="1" t="str">
        <f>punkt_szczepień__13[[#This Row],[PESEL]]</f>
        <v>75021565595</v>
      </c>
      <c r="K904" s="1">
        <f>VALUE(MID(punkt_szczepień__13[[#This Row],[PESEL]],10,1))</f>
        <v>9</v>
      </c>
      <c r="L904" s="11" t="str">
        <f>IF(MOD(punkt_szczepień__13[[#This Row],[liczba płeć]],2)=0,"K","M")</f>
        <v>M</v>
      </c>
      <c r="M904" s="1"/>
      <c r="N904" s="1"/>
    </row>
    <row r="905" spans="1:14" x14ac:dyDescent="0.25">
      <c r="A905" s="1" t="s">
        <v>911</v>
      </c>
      <c r="B905" s="1" t="s">
        <v>7</v>
      </c>
      <c r="C905" s="2">
        <v>0.67679398148148151</v>
      </c>
      <c r="D905">
        <v>1</v>
      </c>
      <c r="E905">
        <f>VALUE(RIGHT(LEFT(punkt_szczepień__13[[#This Row],[PESEL]],4),2))</f>
        <v>9</v>
      </c>
      <c r="F905" s="11">
        <f>MOD(punkt_szczepień__13[[#This Row],[liczba miesiac]],20)</f>
        <v>9</v>
      </c>
      <c r="G905" s="11">
        <f>VLOOKUP(punkt_szczepień__13[[#This Row],[liczba miesiac]]-punkt_szczepień__13[[#This Row],[miesiac]],$O$3:$P$7,2,0)+VALUE(LEFT(punkt_szczepień__13[[#This Row],[PESEL]],2))</f>
        <v>1929</v>
      </c>
      <c r="H905" s="11">
        <f>VALUE(RIGHT(LEFT(punkt_szczepień__13[[#This Row],[PESEL]],6),2))</f>
        <v>20</v>
      </c>
      <c r="I905" s="3">
        <f>DATE(punkt_szczepień__13[[#This Row],[rok]],punkt_szczepień__13[[#This Row],[miesiac]],punkt_szczepień__13[[#This Row],[dzień]])</f>
        <v>10856</v>
      </c>
      <c r="J905" s="1" t="str">
        <f>punkt_szczepień__13[[#This Row],[PESEL]]</f>
        <v>29092084945</v>
      </c>
      <c r="K905" s="1">
        <f>VALUE(MID(punkt_szczepień__13[[#This Row],[PESEL]],10,1))</f>
        <v>4</v>
      </c>
      <c r="L905" s="11" t="str">
        <f>IF(MOD(punkt_szczepień__13[[#This Row],[liczba płeć]],2)=0,"K","M")</f>
        <v>K</v>
      </c>
      <c r="M905" s="1"/>
      <c r="N905" s="1"/>
    </row>
    <row r="906" spans="1:14" x14ac:dyDescent="0.25">
      <c r="A906" s="1" t="s">
        <v>912</v>
      </c>
      <c r="B906" s="1" t="s">
        <v>9</v>
      </c>
      <c r="C906" s="2">
        <v>0.67708333333333337</v>
      </c>
      <c r="D906">
        <v>1</v>
      </c>
      <c r="E906">
        <f>VALUE(RIGHT(LEFT(punkt_szczepień__13[[#This Row],[PESEL]],4),2))</f>
        <v>30</v>
      </c>
      <c r="F906" s="11">
        <f>MOD(punkt_szczepień__13[[#This Row],[liczba miesiac]],20)</f>
        <v>10</v>
      </c>
      <c r="G906" s="11">
        <f>VLOOKUP(punkt_szczepień__13[[#This Row],[liczba miesiac]]-punkt_szczepień__13[[#This Row],[miesiac]],$O$3:$P$7,2,0)+VALUE(LEFT(punkt_szczepień__13[[#This Row],[PESEL]],2))</f>
        <v>2005</v>
      </c>
      <c r="H906" s="11">
        <f>VALUE(RIGHT(LEFT(punkt_szczepień__13[[#This Row],[PESEL]],6),2))</f>
        <v>13</v>
      </c>
      <c r="I906" s="3">
        <f>DATE(punkt_szczepień__13[[#This Row],[rok]],punkt_szczepień__13[[#This Row],[miesiac]],punkt_szczepień__13[[#This Row],[dzień]])</f>
        <v>38638</v>
      </c>
      <c r="J906" s="1" t="str">
        <f>punkt_szczepień__13[[#This Row],[PESEL]]</f>
        <v>05301389427</v>
      </c>
      <c r="K906" s="1">
        <f>VALUE(MID(punkt_szczepień__13[[#This Row],[PESEL]],10,1))</f>
        <v>2</v>
      </c>
      <c r="L906" s="11" t="str">
        <f>IF(MOD(punkt_szczepień__13[[#This Row],[liczba płeć]],2)=0,"K","M")</f>
        <v>K</v>
      </c>
      <c r="M906" s="1"/>
      <c r="N906" s="1"/>
    </row>
    <row r="907" spans="1:14" x14ac:dyDescent="0.25">
      <c r="A907" s="1" t="s">
        <v>913</v>
      </c>
      <c r="B907" s="1" t="s">
        <v>7</v>
      </c>
      <c r="C907" s="2">
        <v>0.67737268518518523</v>
      </c>
      <c r="D907">
        <v>1</v>
      </c>
      <c r="E907">
        <f>VALUE(RIGHT(LEFT(punkt_szczepień__13[[#This Row],[PESEL]],4),2))</f>
        <v>23</v>
      </c>
      <c r="F907" s="11">
        <f>MOD(punkt_szczepień__13[[#This Row],[liczba miesiac]],20)</f>
        <v>3</v>
      </c>
      <c r="G907" s="11">
        <f>VLOOKUP(punkt_szczepień__13[[#This Row],[liczba miesiac]]-punkt_szczepień__13[[#This Row],[miesiac]],$O$3:$P$7,2,0)+VALUE(LEFT(punkt_szczepień__13[[#This Row],[PESEL]],2))</f>
        <v>2008</v>
      </c>
      <c r="H907" s="11">
        <f>VALUE(RIGHT(LEFT(punkt_szczepień__13[[#This Row],[PESEL]],6),2))</f>
        <v>4</v>
      </c>
      <c r="I907" s="3">
        <f>DATE(punkt_szczepień__13[[#This Row],[rok]],punkt_szczepień__13[[#This Row],[miesiac]],punkt_szczepień__13[[#This Row],[dzień]])</f>
        <v>39511</v>
      </c>
      <c r="J907" s="1" t="str">
        <f>punkt_szczepień__13[[#This Row],[PESEL]]</f>
        <v>08230465143</v>
      </c>
      <c r="K907" s="1">
        <f>VALUE(MID(punkt_szczepień__13[[#This Row],[PESEL]],10,1))</f>
        <v>4</v>
      </c>
      <c r="L907" s="11" t="str">
        <f>IF(MOD(punkt_szczepień__13[[#This Row],[liczba płeć]],2)=0,"K","M")</f>
        <v>K</v>
      </c>
      <c r="M907" s="1"/>
      <c r="N907" s="1"/>
    </row>
    <row r="908" spans="1:14" x14ac:dyDescent="0.25">
      <c r="A908" s="1" t="s">
        <v>914</v>
      </c>
      <c r="B908" s="1" t="s">
        <v>9</v>
      </c>
      <c r="C908" s="2">
        <v>0.67766203703703709</v>
      </c>
      <c r="D908">
        <v>1</v>
      </c>
      <c r="E908">
        <f>VALUE(RIGHT(LEFT(punkt_szczepień__13[[#This Row],[PESEL]],4),2))</f>
        <v>4</v>
      </c>
      <c r="F908" s="11">
        <f>MOD(punkt_szczepień__13[[#This Row],[liczba miesiac]],20)</f>
        <v>4</v>
      </c>
      <c r="G908" s="11">
        <f>VLOOKUP(punkt_szczepień__13[[#This Row],[liczba miesiac]]-punkt_szczepień__13[[#This Row],[miesiac]],$O$3:$P$7,2,0)+VALUE(LEFT(punkt_szczepień__13[[#This Row],[PESEL]],2))</f>
        <v>1932</v>
      </c>
      <c r="H908" s="11">
        <f>VALUE(RIGHT(LEFT(punkt_szczepień__13[[#This Row],[PESEL]],6),2))</f>
        <v>26</v>
      </c>
      <c r="I908" s="3">
        <f>DATE(punkt_szczepień__13[[#This Row],[rok]],punkt_szczepień__13[[#This Row],[miesiac]],punkt_szczepień__13[[#This Row],[dzień]])</f>
        <v>11805</v>
      </c>
      <c r="J908" s="1" t="str">
        <f>punkt_szczepień__13[[#This Row],[PESEL]]</f>
        <v>32042656495</v>
      </c>
      <c r="K908" s="1">
        <f>VALUE(MID(punkt_szczepień__13[[#This Row],[PESEL]],10,1))</f>
        <v>9</v>
      </c>
      <c r="L908" s="11" t="str">
        <f>IF(MOD(punkt_szczepień__13[[#This Row],[liczba płeć]],2)=0,"K","M")</f>
        <v>M</v>
      </c>
      <c r="M908" s="1"/>
      <c r="N908" s="1"/>
    </row>
    <row r="909" spans="1:14" x14ac:dyDescent="0.25">
      <c r="A909" s="1" t="s">
        <v>915</v>
      </c>
      <c r="B909" s="1" t="s">
        <v>5</v>
      </c>
      <c r="C909" s="2">
        <v>0.6782407407407407</v>
      </c>
      <c r="D909">
        <v>2</v>
      </c>
      <c r="E909">
        <f>VALUE(RIGHT(LEFT(punkt_szczepień__13[[#This Row],[PESEL]],4),2))</f>
        <v>8</v>
      </c>
      <c r="F909" s="11">
        <f>MOD(punkt_szczepień__13[[#This Row],[liczba miesiac]],20)</f>
        <v>8</v>
      </c>
      <c r="G909" s="11">
        <f>VLOOKUP(punkt_szczepień__13[[#This Row],[liczba miesiac]]-punkt_szczepień__13[[#This Row],[miesiac]],$O$3:$P$7,2,0)+VALUE(LEFT(punkt_szczepień__13[[#This Row],[PESEL]],2))</f>
        <v>1966</v>
      </c>
      <c r="H909" s="11">
        <f>VALUE(RIGHT(LEFT(punkt_szczepień__13[[#This Row],[PESEL]],6),2))</f>
        <v>6</v>
      </c>
      <c r="I909" s="3">
        <f>DATE(punkt_szczepień__13[[#This Row],[rok]],punkt_szczepień__13[[#This Row],[miesiac]],punkt_szczepień__13[[#This Row],[dzień]])</f>
        <v>24325</v>
      </c>
      <c r="J909" s="1" t="str">
        <f>punkt_szczepień__13[[#This Row],[PESEL]]</f>
        <v>66080665924</v>
      </c>
      <c r="K909" s="1">
        <f>VALUE(MID(punkt_szczepień__13[[#This Row],[PESEL]],10,1))</f>
        <v>2</v>
      </c>
      <c r="L909" s="11" t="str">
        <f>IF(MOD(punkt_szczepień__13[[#This Row],[liczba płeć]],2)=0,"K","M")</f>
        <v>K</v>
      </c>
      <c r="M909" s="1"/>
      <c r="N909" s="1"/>
    </row>
    <row r="910" spans="1:14" x14ac:dyDescent="0.25">
      <c r="A910" s="1" t="s">
        <v>916</v>
      </c>
      <c r="B910" s="1" t="s">
        <v>5</v>
      </c>
      <c r="C910" s="2">
        <v>0.67853009259259256</v>
      </c>
      <c r="D910">
        <v>1</v>
      </c>
      <c r="E910">
        <f>VALUE(RIGHT(LEFT(punkt_szczepień__13[[#This Row],[PESEL]],4),2))</f>
        <v>27</v>
      </c>
      <c r="F910" s="11">
        <f>MOD(punkt_szczepień__13[[#This Row],[liczba miesiac]],20)</f>
        <v>7</v>
      </c>
      <c r="G910" s="11">
        <f>VLOOKUP(punkt_szczepień__13[[#This Row],[liczba miesiac]]-punkt_szczepień__13[[#This Row],[miesiac]],$O$3:$P$7,2,0)+VALUE(LEFT(punkt_szczepień__13[[#This Row],[PESEL]],2))</f>
        <v>2001</v>
      </c>
      <c r="H910" s="11">
        <f>VALUE(RIGHT(LEFT(punkt_szczepień__13[[#This Row],[PESEL]],6),2))</f>
        <v>6</v>
      </c>
      <c r="I910" s="3">
        <f>DATE(punkt_szczepień__13[[#This Row],[rok]],punkt_szczepień__13[[#This Row],[miesiac]],punkt_szczepień__13[[#This Row],[dzień]])</f>
        <v>37078</v>
      </c>
      <c r="J910" s="1" t="str">
        <f>punkt_szczepień__13[[#This Row],[PESEL]]</f>
        <v>01270645313</v>
      </c>
      <c r="K910" s="1">
        <f>VALUE(MID(punkt_szczepień__13[[#This Row],[PESEL]],10,1))</f>
        <v>1</v>
      </c>
      <c r="L910" s="11" t="str">
        <f>IF(MOD(punkt_szczepień__13[[#This Row],[liczba płeć]],2)=0,"K","M")</f>
        <v>M</v>
      </c>
      <c r="M910" s="1"/>
      <c r="N910" s="1"/>
    </row>
    <row r="911" spans="1:14" x14ac:dyDescent="0.25">
      <c r="A911" s="1" t="s">
        <v>917</v>
      </c>
      <c r="B911" s="1" t="s">
        <v>7</v>
      </c>
      <c r="C911" s="2">
        <v>0.67881944444444442</v>
      </c>
      <c r="D911">
        <v>1</v>
      </c>
      <c r="E911">
        <f>VALUE(RIGHT(LEFT(punkt_szczepień__13[[#This Row],[PESEL]],4),2))</f>
        <v>7</v>
      </c>
      <c r="F911" s="11">
        <f>MOD(punkt_szczepień__13[[#This Row],[liczba miesiac]],20)</f>
        <v>7</v>
      </c>
      <c r="G911" s="11">
        <f>VLOOKUP(punkt_szczepień__13[[#This Row],[liczba miesiac]]-punkt_szczepień__13[[#This Row],[miesiac]],$O$3:$P$7,2,0)+VALUE(LEFT(punkt_szczepień__13[[#This Row],[PESEL]],2))</f>
        <v>1978</v>
      </c>
      <c r="H911" s="11">
        <f>VALUE(RIGHT(LEFT(punkt_szczepień__13[[#This Row],[PESEL]],6),2))</f>
        <v>31</v>
      </c>
      <c r="I911" s="3">
        <f>DATE(punkt_szczepień__13[[#This Row],[rok]],punkt_szczepień__13[[#This Row],[miesiac]],punkt_szczepień__13[[#This Row],[dzień]])</f>
        <v>28702</v>
      </c>
      <c r="J911" s="1" t="str">
        <f>punkt_szczepień__13[[#This Row],[PESEL]]</f>
        <v>78073185238</v>
      </c>
      <c r="K911" s="1">
        <f>VALUE(MID(punkt_szczepień__13[[#This Row],[PESEL]],10,1))</f>
        <v>3</v>
      </c>
      <c r="L911" s="11" t="str">
        <f>IF(MOD(punkt_szczepień__13[[#This Row],[liczba płeć]],2)=0,"K","M")</f>
        <v>M</v>
      </c>
      <c r="M911" s="1"/>
      <c r="N911" s="1"/>
    </row>
    <row r="912" spans="1:14" x14ac:dyDescent="0.25">
      <c r="A912" s="1" t="s">
        <v>918</v>
      </c>
      <c r="B912" s="1" t="s">
        <v>5</v>
      </c>
      <c r="C912" s="2">
        <v>0.67939814814814814</v>
      </c>
      <c r="D912">
        <v>2</v>
      </c>
      <c r="E912">
        <f>VALUE(RIGHT(LEFT(punkt_szczepień__13[[#This Row],[PESEL]],4),2))</f>
        <v>2</v>
      </c>
      <c r="F912" s="11">
        <f>MOD(punkt_szczepień__13[[#This Row],[liczba miesiac]],20)</f>
        <v>2</v>
      </c>
      <c r="G912" s="11">
        <f>VLOOKUP(punkt_szczepień__13[[#This Row],[liczba miesiac]]-punkt_szczepień__13[[#This Row],[miesiac]],$O$3:$P$7,2,0)+VALUE(LEFT(punkt_szczepień__13[[#This Row],[PESEL]],2))</f>
        <v>1920</v>
      </c>
      <c r="H912" s="11">
        <f>VALUE(RIGHT(LEFT(punkt_szczepień__13[[#This Row],[PESEL]],6),2))</f>
        <v>15</v>
      </c>
      <c r="I912" s="3">
        <f>DATE(punkt_szczepień__13[[#This Row],[rok]],punkt_szczepień__13[[#This Row],[miesiac]],punkt_szczepień__13[[#This Row],[dzień]])</f>
        <v>7351</v>
      </c>
      <c r="J912" s="1" t="str">
        <f>punkt_szczepień__13[[#This Row],[PESEL]]</f>
        <v>20021536689</v>
      </c>
      <c r="K912" s="1">
        <f>VALUE(MID(punkt_szczepień__13[[#This Row],[PESEL]],10,1))</f>
        <v>8</v>
      </c>
      <c r="L912" s="11" t="str">
        <f>IF(MOD(punkt_szczepień__13[[#This Row],[liczba płeć]],2)=0,"K","M")</f>
        <v>K</v>
      </c>
      <c r="M912" s="1"/>
      <c r="N912" s="1"/>
    </row>
    <row r="913" spans="1:14" x14ac:dyDescent="0.25">
      <c r="A913" s="1" t="s">
        <v>919</v>
      </c>
      <c r="B913" s="1" t="s">
        <v>9</v>
      </c>
      <c r="C913" s="2">
        <v>0.6796875</v>
      </c>
      <c r="D913">
        <v>1</v>
      </c>
      <c r="E913">
        <f>VALUE(RIGHT(LEFT(punkt_szczepień__13[[#This Row],[PESEL]],4),2))</f>
        <v>4</v>
      </c>
      <c r="F913" s="11">
        <f>MOD(punkt_szczepień__13[[#This Row],[liczba miesiac]],20)</f>
        <v>4</v>
      </c>
      <c r="G913" s="11">
        <f>VLOOKUP(punkt_szczepień__13[[#This Row],[liczba miesiac]]-punkt_szczepień__13[[#This Row],[miesiac]],$O$3:$P$7,2,0)+VALUE(LEFT(punkt_szczepień__13[[#This Row],[PESEL]],2))</f>
        <v>1972</v>
      </c>
      <c r="H913" s="11">
        <f>VALUE(RIGHT(LEFT(punkt_szczepień__13[[#This Row],[PESEL]],6),2))</f>
        <v>30</v>
      </c>
      <c r="I913" s="3">
        <f>DATE(punkt_szczepień__13[[#This Row],[rok]],punkt_szczepień__13[[#This Row],[miesiac]],punkt_szczepień__13[[#This Row],[dzień]])</f>
        <v>26419</v>
      </c>
      <c r="J913" s="1" t="str">
        <f>punkt_szczepień__13[[#This Row],[PESEL]]</f>
        <v>72043046662</v>
      </c>
      <c r="K913" s="1">
        <f>VALUE(MID(punkt_szczepień__13[[#This Row],[PESEL]],10,1))</f>
        <v>6</v>
      </c>
      <c r="L913" s="11" t="str">
        <f>IF(MOD(punkt_szczepień__13[[#This Row],[liczba płeć]],2)=0,"K","M")</f>
        <v>K</v>
      </c>
      <c r="M913" s="1"/>
      <c r="N913" s="1"/>
    </row>
    <row r="914" spans="1:14" x14ac:dyDescent="0.25">
      <c r="A914" s="1" t="s">
        <v>920</v>
      </c>
      <c r="B914" s="1" t="s">
        <v>7</v>
      </c>
      <c r="C914" s="2">
        <v>0.67997685185185186</v>
      </c>
      <c r="D914">
        <v>1</v>
      </c>
      <c r="E914">
        <f>VALUE(RIGHT(LEFT(punkt_szczepień__13[[#This Row],[PESEL]],4),2))</f>
        <v>26</v>
      </c>
      <c r="F914" s="11">
        <f>MOD(punkt_szczepień__13[[#This Row],[liczba miesiac]],20)</f>
        <v>6</v>
      </c>
      <c r="G914" s="11">
        <f>VLOOKUP(punkt_szczepień__13[[#This Row],[liczba miesiac]]-punkt_szczepień__13[[#This Row],[miesiac]],$O$3:$P$7,2,0)+VALUE(LEFT(punkt_szczepień__13[[#This Row],[PESEL]],2))</f>
        <v>2007</v>
      </c>
      <c r="H914" s="11">
        <f>VALUE(RIGHT(LEFT(punkt_szczepień__13[[#This Row],[PESEL]],6),2))</f>
        <v>29</v>
      </c>
      <c r="I914" s="3">
        <f>DATE(punkt_szczepień__13[[#This Row],[rok]],punkt_szczepień__13[[#This Row],[miesiac]],punkt_szczepień__13[[#This Row],[dzień]])</f>
        <v>39262</v>
      </c>
      <c r="J914" s="1" t="str">
        <f>punkt_szczepień__13[[#This Row],[PESEL]]</f>
        <v>07262999459</v>
      </c>
      <c r="K914" s="1">
        <f>VALUE(MID(punkt_szczepień__13[[#This Row],[PESEL]],10,1))</f>
        <v>5</v>
      </c>
      <c r="L914" s="11" t="str">
        <f>IF(MOD(punkt_szczepień__13[[#This Row],[liczba płeć]],2)=0,"K","M")</f>
        <v>M</v>
      </c>
      <c r="M914" s="1"/>
      <c r="N914" s="1"/>
    </row>
    <row r="915" spans="1:14" x14ac:dyDescent="0.25">
      <c r="A915" s="1" t="s">
        <v>921</v>
      </c>
      <c r="B915" s="1" t="s">
        <v>7</v>
      </c>
      <c r="C915" s="2">
        <v>0.68026620370370372</v>
      </c>
      <c r="D915">
        <v>1</v>
      </c>
      <c r="E915">
        <f>VALUE(RIGHT(LEFT(punkt_szczepień__13[[#This Row],[PESEL]],4),2))</f>
        <v>9</v>
      </c>
      <c r="F915" s="11">
        <f>MOD(punkt_szczepień__13[[#This Row],[liczba miesiac]],20)</f>
        <v>9</v>
      </c>
      <c r="G915" s="11">
        <f>VLOOKUP(punkt_szczepień__13[[#This Row],[liczba miesiac]]-punkt_szczepień__13[[#This Row],[miesiac]],$O$3:$P$7,2,0)+VALUE(LEFT(punkt_szczepień__13[[#This Row],[PESEL]],2))</f>
        <v>1937</v>
      </c>
      <c r="H915" s="11">
        <f>VALUE(RIGHT(LEFT(punkt_szczepień__13[[#This Row],[PESEL]],6),2))</f>
        <v>10</v>
      </c>
      <c r="I915" s="3">
        <f>DATE(punkt_szczepień__13[[#This Row],[rok]],punkt_szczepień__13[[#This Row],[miesiac]],punkt_szczepień__13[[#This Row],[dzień]])</f>
        <v>13768</v>
      </c>
      <c r="J915" s="1" t="str">
        <f>punkt_szczepień__13[[#This Row],[PESEL]]</f>
        <v>37091024981</v>
      </c>
      <c r="K915" s="1">
        <f>VALUE(MID(punkt_szczepień__13[[#This Row],[PESEL]],10,1))</f>
        <v>8</v>
      </c>
      <c r="L915" s="11" t="str">
        <f>IF(MOD(punkt_szczepień__13[[#This Row],[liczba płeć]],2)=0,"K","M")</f>
        <v>K</v>
      </c>
      <c r="M915" s="1"/>
      <c r="N915" s="1"/>
    </row>
    <row r="916" spans="1:14" x14ac:dyDescent="0.25">
      <c r="A916" s="1" t="s">
        <v>922</v>
      </c>
      <c r="B916" s="1" t="s">
        <v>7</v>
      </c>
      <c r="C916" s="2">
        <v>0.68055555555555558</v>
      </c>
      <c r="D916">
        <v>1</v>
      </c>
      <c r="E916">
        <f>VALUE(RIGHT(LEFT(punkt_szczepień__13[[#This Row],[PESEL]],4),2))</f>
        <v>9</v>
      </c>
      <c r="F916" s="11">
        <f>MOD(punkt_szczepień__13[[#This Row],[liczba miesiac]],20)</f>
        <v>9</v>
      </c>
      <c r="G916" s="11">
        <f>VLOOKUP(punkt_szczepień__13[[#This Row],[liczba miesiac]]-punkt_szczepień__13[[#This Row],[miesiac]],$O$3:$P$7,2,0)+VALUE(LEFT(punkt_szczepień__13[[#This Row],[PESEL]],2))</f>
        <v>1953</v>
      </c>
      <c r="H916" s="11">
        <f>VALUE(RIGHT(LEFT(punkt_szczepień__13[[#This Row],[PESEL]],6),2))</f>
        <v>23</v>
      </c>
      <c r="I916" s="3">
        <f>DATE(punkt_szczepień__13[[#This Row],[rok]],punkt_szczepień__13[[#This Row],[miesiac]],punkt_szczepień__13[[#This Row],[dzień]])</f>
        <v>19625</v>
      </c>
      <c r="J916" s="1" t="str">
        <f>punkt_szczepień__13[[#This Row],[PESEL]]</f>
        <v>53092368598</v>
      </c>
      <c r="K916" s="1">
        <f>VALUE(MID(punkt_szczepień__13[[#This Row],[PESEL]],10,1))</f>
        <v>9</v>
      </c>
      <c r="L916" s="11" t="str">
        <f>IF(MOD(punkt_szczepień__13[[#This Row],[liczba płeć]],2)=0,"K","M")</f>
        <v>M</v>
      </c>
      <c r="M916" s="1"/>
      <c r="N916" s="1"/>
    </row>
    <row r="917" spans="1:14" x14ac:dyDescent="0.25">
      <c r="A917" s="1" t="s">
        <v>923</v>
      </c>
      <c r="B917" s="1" t="s">
        <v>27</v>
      </c>
      <c r="C917" s="2">
        <v>0.68084490740740744</v>
      </c>
      <c r="D917">
        <v>1</v>
      </c>
      <c r="E917">
        <f>VALUE(RIGHT(LEFT(punkt_szczepień__13[[#This Row],[PESEL]],4),2))</f>
        <v>9</v>
      </c>
      <c r="F917" s="11">
        <f>MOD(punkt_szczepień__13[[#This Row],[liczba miesiac]],20)</f>
        <v>9</v>
      </c>
      <c r="G917" s="11">
        <f>VLOOKUP(punkt_szczepień__13[[#This Row],[liczba miesiac]]-punkt_szczepień__13[[#This Row],[miesiac]],$O$3:$P$7,2,0)+VALUE(LEFT(punkt_szczepień__13[[#This Row],[PESEL]],2))</f>
        <v>1931</v>
      </c>
      <c r="H917" s="11">
        <f>VALUE(RIGHT(LEFT(punkt_szczepień__13[[#This Row],[PESEL]],6),2))</f>
        <v>17</v>
      </c>
      <c r="I917" s="3">
        <f>DATE(punkt_szczepień__13[[#This Row],[rok]],punkt_szczepień__13[[#This Row],[miesiac]],punkt_szczepień__13[[#This Row],[dzień]])</f>
        <v>11583</v>
      </c>
      <c r="J917" s="1" t="str">
        <f>punkt_szczepień__13[[#This Row],[PESEL]]</f>
        <v>31091712778</v>
      </c>
      <c r="K917" s="1">
        <f>VALUE(MID(punkt_szczepień__13[[#This Row],[PESEL]],10,1))</f>
        <v>7</v>
      </c>
      <c r="L917" s="11" t="str">
        <f>IF(MOD(punkt_szczepień__13[[#This Row],[liczba płeć]],2)=0,"K","M")</f>
        <v>M</v>
      </c>
      <c r="M917" s="1"/>
      <c r="N917" s="1"/>
    </row>
    <row r="918" spans="1:14" x14ac:dyDescent="0.25">
      <c r="A918" s="1" t="s">
        <v>924</v>
      </c>
      <c r="B918" s="1" t="s">
        <v>7</v>
      </c>
      <c r="C918" s="2">
        <v>0.6811342592592593</v>
      </c>
      <c r="D918">
        <v>1</v>
      </c>
      <c r="E918">
        <f>VALUE(RIGHT(LEFT(punkt_szczepień__13[[#This Row],[PESEL]],4),2))</f>
        <v>10</v>
      </c>
      <c r="F918" s="11">
        <f>MOD(punkt_szczepień__13[[#This Row],[liczba miesiac]],20)</f>
        <v>10</v>
      </c>
      <c r="G918" s="11">
        <f>VLOOKUP(punkt_szczepień__13[[#This Row],[liczba miesiac]]-punkt_szczepień__13[[#This Row],[miesiac]],$O$3:$P$7,2,0)+VALUE(LEFT(punkt_szczepień__13[[#This Row],[PESEL]],2))</f>
        <v>1929</v>
      </c>
      <c r="H918" s="11">
        <f>VALUE(RIGHT(LEFT(punkt_szczepień__13[[#This Row],[PESEL]],6),2))</f>
        <v>19</v>
      </c>
      <c r="I918" s="3">
        <f>DATE(punkt_szczepień__13[[#This Row],[rok]],punkt_szczepień__13[[#This Row],[miesiac]],punkt_szczepień__13[[#This Row],[dzień]])</f>
        <v>10885</v>
      </c>
      <c r="J918" s="1" t="str">
        <f>punkt_szczepień__13[[#This Row],[PESEL]]</f>
        <v>29101951255</v>
      </c>
      <c r="K918" s="1">
        <f>VALUE(MID(punkt_szczepień__13[[#This Row],[PESEL]],10,1))</f>
        <v>5</v>
      </c>
      <c r="L918" s="11" t="str">
        <f>IF(MOD(punkt_szczepień__13[[#This Row],[liczba płeć]],2)=0,"K","M")</f>
        <v>M</v>
      </c>
      <c r="M918" s="1"/>
      <c r="N918" s="1"/>
    </row>
    <row r="919" spans="1:14" x14ac:dyDescent="0.25">
      <c r="A919" s="1" t="s">
        <v>925</v>
      </c>
      <c r="B919" s="1" t="s">
        <v>7</v>
      </c>
      <c r="C919" s="2">
        <v>0.68142361111111116</v>
      </c>
      <c r="D919">
        <v>1</v>
      </c>
      <c r="E919">
        <f>VALUE(RIGHT(LEFT(punkt_szczepień__13[[#This Row],[PESEL]],4),2))</f>
        <v>9</v>
      </c>
      <c r="F919" s="11">
        <f>MOD(punkt_szczepień__13[[#This Row],[liczba miesiac]],20)</f>
        <v>9</v>
      </c>
      <c r="G919" s="11">
        <f>VLOOKUP(punkt_szczepień__13[[#This Row],[liczba miesiac]]-punkt_szczepień__13[[#This Row],[miesiac]],$O$3:$P$7,2,0)+VALUE(LEFT(punkt_szczepień__13[[#This Row],[PESEL]],2))</f>
        <v>1957</v>
      </c>
      <c r="H919" s="11">
        <f>VALUE(RIGHT(LEFT(punkt_szczepień__13[[#This Row],[PESEL]],6),2))</f>
        <v>25</v>
      </c>
      <c r="I919" s="3">
        <f>DATE(punkt_szczepień__13[[#This Row],[rok]],punkt_szczepień__13[[#This Row],[miesiac]],punkt_szczepień__13[[#This Row],[dzień]])</f>
        <v>21088</v>
      </c>
      <c r="J919" s="1" t="str">
        <f>punkt_szczepień__13[[#This Row],[PESEL]]</f>
        <v>57092585746</v>
      </c>
      <c r="K919" s="1">
        <f>VALUE(MID(punkt_szczepień__13[[#This Row],[PESEL]],10,1))</f>
        <v>4</v>
      </c>
      <c r="L919" s="11" t="str">
        <f>IF(MOD(punkt_szczepień__13[[#This Row],[liczba płeć]],2)=0,"K","M")</f>
        <v>K</v>
      </c>
      <c r="M919" s="1"/>
      <c r="N919" s="1"/>
    </row>
    <row r="920" spans="1:14" x14ac:dyDescent="0.25">
      <c r="A920" s="1" t="s">
        <v>926</v>
      </c>
      <c r="B920" s="1" t="s">
        <v>9</v>
      </c>
      <c r="C920" s="2">
        <v>0.68171296296296291</v>
      </c>
      <c r="D920">
        <v>1</v>
      </c>
      <c r="E920">
        <f>VALUE(RIGHT(LEFT(punkt_szczepień__13[[#This Row],[PESEL]],4),2))</f>
        <v>29</v>
      </c>
      <c r="F920" s="11">
        <f>MOD(punkt_szczepień__13[[#This Row],[liczba miesiac]],20)</f>
        <v>9</v>
      </c>
      <c r="G920" s="11">
        <f>VLOOKUP(punkt_szczepień__13[[#This Row],[liczba miesiac]]-punkt_szczepień__13[[#This Row],[miesiac]],$O$3:$P$7,2,0)+VALUE(LEFT(punkt_szczepień__13[[#This Row],[PESEL]],2))</f>
        <v>2006</v>
      </c>
      <c r="H920" s="11">
        <f>VALUE(RIGHT(LEFT(punkt_szczepień__13[[#This Row],[PESEL]],6),2))</f>
        <v>21</v>
      </c>
      <c r="I920" s="3">
        <f>DATE(punkt_szczepień__13[[#This Row],[rok]],punkt_szczepień__13[[#This Row],[miesiac]],punkt_szczepień__13[[#This Row],[dzień]])</f>
        <v>38981</v>
      </c>
      <c r="J920" s="1" t="str">
        <f>punkt_szczepień__13[[#This Row],[PESEL]]</f>
        <v>06292133936</v>
      </c>
      <c r="K920" s="1">
        <f>VALUE(MID(punkt_szczepień__13[[#This Row],[PESEL]],10,1))</f>
        <v>3</v>
      </c>
      <c r="L920" s="11" t="str">
        <f>IF(MOD(punkt_szczepień__13[[#This Row],[liczba płeć]],2)=0,"K","M")</f>
        <v>M</v>
      </c>
      <c r="M920" s="1"/>
      <c r="N920" s="1"/>
    </row>
    <row r="921" spans="1:14" x14ac:dyDescent="0.25">
      <c r="A921" s="1" t="s">
        <v>927</v>
      </c>
      <c r="B921" s="1" t="s">
        <v>9</v>
      </c>
      <c r="C921" s="2">
        <v>0.68200231481481477</v>
      </c>
      <c r="D921">
        <v>1</v>
      </c>
      <c r="E921">
        <f>VALUE(RIGHT(LEFT(punkt_szczepień__13[[#This Row],[PESEL]],4),2))</f>
        <v>8</v>
      </c>
      <c r="F921" s="11">
        <f>MOD(punkt_szczepień__13[[#This Row],[liczba miesiac]],20)</f>
        <v>8</v>
      </c>
      <c r="G921" s="11">
        <f>VLOOKUP(punkt_szczepień__13[[#This Row],[liczba miesiac]]-punkt_szczepień__13[[#This Row],[miesiac]],$O$3:$P$7,2,0)+VALUE(LEFT(punkt_szczepień__13[[#This Row],[PESEL]],2))</f>
        <v>1974</v>
      </c>
      <c r="H921" s="11">
        <f>VALUE(RIGHT(LEFT(punkt_szczepień__13[[#This Row],[PESEL]],6),2))</f>
        <v>18</v>
      </c>
      <c r="I921" s="3">
        <f>DATE(punkt_szczepień__13[[#This Row],[rok]],punkt_szczepień__13[[#This Row],[miesiac]],punkt_szczepień__13[[#This Row],[dzień]])</f>
        <v>27259</v>
      </c>
      <c r="J921" s="1" t="str">
        <f>punkt_szczepień__13[[#This Row],[PESEL]]</f>
        <v>74081887586</v>
      </c>
      <c r="K921" s="1">
        <f>VALUE(MID(punkt_szczepień__13[[#This Row],[PESEL]],10,1))</f>
        <v>8</v>
      </c>
      <c r="L921" s="11" t="str">
        <f>IF(MOD(punkt_szczepień__13[[#This Row],[liczba płeć]],2)=0,"K","M")</f>
        <v>K</v>
      </c>
      <c r="M921" s="1"/>
      <c r="N921" s="1"/>
    </row>
    <row r="922" spans="1:14" x14ac:dyDescent="0.25">
      <c r="A922" s="1" t="s">
        <v>928</v>
      </c>
      <c r="B922" s="1" t="s">
        <v>7</v>
      </c>
      <c r="C922" s="2">
        <v>0.68229166666666663</v>
      </c>
      <c r="D922">
        <v>1</v>
      </c>
      <c r="E922">
        <f>VALUE(RIGHT(LEFT(punkt_szczepień__13[[#This Row],[PESEL]],4),2))</f>
        <v>7</v>
      </c>
      <c r="F922" s="11">
        <f>MOD(punkt_szczepień__13[[#This Row],[liczba miesiac]],20)</f>
        <v>7</v>
      </c>
      <c r="G922" s="11">
        <f>VLOOKUP(punkt_szczepień__13[[#This Row],[liczba miesiac]]-punkt_szczepień__13[[#This Row],[miesiac]],$O$3:$P$7,2,0)+VALUE(LEFT(punkt_szczepień__13[[#This Row],[PESEL]],2))</f>
        <v>1990</v>
      </c>
      <c r="H922" s="11">
        <f>VALUE(RIGHT(LEFT(punkt_szczepień__13[[#This Row],[PESEL]],6),2))</f>
        <v>3</v>
      </c>
      <c r="I922" s="3">
        <f>DATE(punkt_szczepień__13[[#This Row],[rok]],punkt_szczepień__13[[#This Row],[miesiac]],punkt_szczepień__13[[#This Row],[dzień]])</f>
        <v>33057</v>
      </c>
      <c r="J922" s="1" t="str">
        <f>punkt_szczepień__13[[#This Row],[PESEL]]</f>
        <v>90070369365</v>
      </c>
      <c r="K922" s="1">
        <f>VALUE(MID(punkt_szczepień__13[[#This Row],[PESEL]],10,1))</f>
        <v>6</v>
      </c>
      <c r="L922" s="11" t="str">
        <f>IF(MOD(punkt_szczepień__13[[#This Row],[liczba płeć]],2)=0,"K","M")</f>
        <v>K</v>
      </c>
      <c r="M922" s="1"/>
      <c r="N922" s="1"/>
    </row>
    <row r="923" spans="1:14" x14ac:dyDescent="0.25">
      <c r="A923" s="1" t="s">
        <v>929</v>
      </c>
      <c r="B923" s="1" t="s">
        <v>27</v>
      </c>
      <c r="C923" s="2">
        <v>0.68287037037037035</v>
      </c>
      <c r="D923">
        <v>2</v>
      </c>
      <c r="E923">
        <f>VALUE(RIGHT(LEFT(punkt_szczepień__13[[#This Row],[PESEL]],4),2))</f>
        <v>11</v>
      </c>
      <c r="F923" s="11">
        <f>MOD(punkt_szczepień__13[[#This Row],[liczba miesiac]],20)</f>
        <v>11</v>
      </c>
      <c r="G923" s="11">
        <f>VLOOKUP(punkt_szczepień__13[[#This Row],[liczba miesiac]]-punkt_szczepień__13[[#This Row],[miesiac]],$O$3:$P$7,2,0)+VALUE(LEFT(punkt_szczepień__13[[#This Row],[PESEL]],2))</f>
        <v>1948</v>
      </c>
      <c r="H923" s="11">
        <f>VALUE(RIGHT(LEFT(punkt_szczepień__13[[#This Row],[PESEL]],6),2))</f>
        <v>8</v>
      </c>
      <c r="I923" s="3">
        <f>DATE(punkt_szczepień__13[[#This Row],[rok]],punkt_szczepień__13[[#This Row],[miesiac]],punkt_szczepień__13[[#This Row],[dzień]])</f>
        <v>17845</v>
      </c>
      <c r="J923" s="1" t="str">
        <f>punkt_szczepień__13[[#This Row],[PESEL]]</f>
        <v>48110866662</v>
      </c>
      <c r="K923" s="1">
        <f>VALUE(MID(punkt_szczepień__13[[#This Row],[PESEL]],10,1))</f>
        <v>6</v>
      </c>
      <c r="L923" s="11" t="str">
        <f>IF(MOD(punkt_szczepień__13[[#This Row],[liczba płeć]],2)=0,"K","M")</f>
        <v>K</v>
      </c>
      <c r="M923" s="1"/>
      <c r="N923" s="1"/>
    </row>
    <row r="924" spans="1:14" x14ac:dyDescent="0.25">
      <c r="A924" s="1" t="s">
        <v>930</v>
      </c>
      <c r="B924" s="1" t="s">
        <v>7</v>
      </c>
      <c r="C924" s="2">
        <v>0.68315972222222221</v>
      </c>
      <c r="D924">
        <v>1</v>
      </c>
      <c r="E924">
        <f>VALUE(RIGHT(LEFT(punkt_szczepień__13[[#This Row],[PESEL]],4),2))</f>
        <v>10</v>
      </c>
      <c r="F924" s="11">
        <f>MOD(punkt_szczepień__13[[#This Row],[liczba miesiac]],20)</f>
        <v>10</v>
      </c>
      <c r="G924" s="11">
        <f>VLOOKUP(punkt_szczepień__13[[#This Row],[liczba miesiac]]-punkt_szczepień__13[[#This Row],[miesiac]],$O$3:$P$7,2,0)+VALUE(LEFT(punkt_szczepień__13[[#This Row],[PESEL]],2))</f>
        <v>1932</v>
      </c>
      <c r="H924" s="11">
        <f>VALUE(RIGHT(LEFT(punkt_szczepień__13[[#This Row],[PESEL]],6),2))</f>
        <v>2</v>
      </c>
      <c r="I924" s="3">
        <f>DATE(punkt_szczepień__13[[#This Row],[rok]],punkt_szczepień__13[[#This Row],[miesiac]],punkt_szczepień__13[[#This Row],[dzień]])</f>
        <v>11964</v>
      </c>
      <c r="J924" s="1" t="str">
        <f>punkt_szczepień__13[[#This Row],[PESEL]]</f>
        <v>32100235767</v>
      </c>
      <c r="K924" s="1">
        <f>VALUE(MID(punkt_szczepień__13[[#This Row],[PESEL]],10,1))</f>
        <v>6</v>
      </c>
      <c r="L924" s="11" t="str">
        <f>IF(MOD(punkt_szczepień__13[[#This Row],[liczba płeć]],2)=0,"K","M")</f>
        <v>K</v>
      </c>
      <c r="M924" s="1"/>
      <c r="N924" s="1"/>
    </row>
    <row r="925" spans="1:14" x14ac:dyDescent="0.25">
      <c r="A925" s="1" t="s">
        <v>931</v>
      </c>
      <c r="B925" s="1" t="s">
        <v>27</v>
      </c>
      <c r="C925" s="2">
        <v>0.68344907407407407</v>
      </c>
      <c r="D925">
        <v>1</v>
      </c>
      <c r="E925">
        <f>VALUE(RIGHT(LEFT(punkt_szczepień__13[[#This Row],[PESEL]],4),2))</f>
        <v>27</v>
      </c>
      <c r="F925" s="11">
        <f>MOD(punkt_szczepień__13[[#This Row],[liczba miesiac]],20)</f>
        <v>7</v>
      </c>
      <c r="G925" s="11">
        <f>VLOOKUP(punkt_szczepień__13[[#This Row],[liczba miesiac]]-punkt_szczepień__13[[#This Row],[miesiac]],$O$3:$P$7,2,0)+VALUE(LEFT(punkt_szczepień__13[[#This Row],[PESEL]],2))</f>
        <v>2001</v>
      </c>
      <c r="H925" s="11">
        <f>VALUE(RIGHT(LEFT(punkt_szczepień__13[[#This Row],[PESEL]],6),2))</f>
        <v>23</v>
      </c>
      <c r="I925" s="3">
        <f>DATE(punkt_szczepień__13[[#This Row],[rok]],punkt_szczepień__13[[#This Row],[miesiac]],punkt_szczepień__13[[#This Row],[dzień]])</f>
        <v>37095</v>
      </c>
      <c r="J925" s="1" t="str">
        <f>punkt_szczepień__13[[#This Row],[PESEL]]</f>
        <v>01272357513</v>
      </c>
      <c r="K925" s="1">
        <f>VALUE(MID(punkt_szczepień__13[[#This Row],[PESEL]],10,1))</f>
        <v>1</v>
      </c>
      <c r="L925" s="11" t="str">
        <f>IF(MOD(punkt_szczepień__13[[#This Row],[liczba płeć]],2)=0,"K","M")</f>
        <v>M</v>
      </c>
      <c r="M925" s="1"/>
      <c r="N925" s="1"/>
    </row>
    <row r="926" spans="1:14" x14ac:dyDescent="0.25">
      <c r="A926" s="1" t="s">
        <v>932</v>
      </c>
      <c r="B926" s="1" t="s">
        <v>27</v>
      </c>
      <c r="C926" s="2">
        <v>0.68402777777777779</v>
      </c>
      <c r="D926">
        <v>2</v>
      </c>
      <c r="E926">
        <f>VALUE(RIGHT(LEFT(punkt_szczepień__13[[#This Row],[PESEL]],4),2))</f>
        <v>11</v>
      </c>
      <c r="F926" s="11">
        <f>MOD(punkt_szczepień__13[[#This Row],[liczba miesiac]],20)</f>
        <v>11</v>
      </c>
      <c r="G926" s="11">
        <f>VLOOKUP(punkt_szczepień__13[[#This Row],[liczba miesiac]]-punkt_szczepień__13[[#This Row],[miesiac]],$O$3:$P$7,2,0)+VALUE(LEFT(punkt_szczepień__13[[#This Row],[PESEL]],2))</f>
        <v>1937</v>
      </c>
      <c r="H926" s="11">
        <f>VALUE(RIGHT(LEFT(punkt_szczepień__13[[#This Row],[PESEL]],6),2))</f>
        <v>20</v>
      </c>
      <c r="I926" s="3">
        <f>DATE(punkt_szczepień__13[[#This Row],[rok]],punkt_szczepień__13[[#This Row],[miesiac]],punkt_szczepień__13[[#This Row],[dzień]])</f>
        <v>13839</v>
      </c>
      <c r="J926" s="1" t="str">
        <f>punkt_szczepień__13[[#This Row],[PESEL]]</f>
        <v>37112023212</v>
      </c>
      <c r="K926" s="1">
        <f>VALUE(MID(punkt_szczepień__13[[#This Row],[PESEL]],10,1))</f>
        <v>1</v>
      </c>
      <c r="L926" s="11" t="str">
        <f>IF(MOD(punkt_szczepień__13[[#This Row],[liczba płeć]],2)=0,"K","M")</f>
        <v>M</v>
      </c>
      <c r="M926" s="1"/>
      <c r="N926" s="1"/>
    </row>
    <row r="927" spans="1:14" x14ac:dyDescent="0.25">
      <c r="A927" s="1" t="s">
        <v>933</v>
      </c>
      <c r="B927" s="1" t="s">
        <v>7</v>
      </c>
      <c r="C927" s="2">
        <v>0.68431712962962965</v>
      </c>
      <c r="D927">
        <v>1</v>
      </c>
      <c r="E927">
        <f>VALUE(RIGHT(LEFT(punkt_szczepień__13[[#This Row],[PESEL]],4),2))</f>
        <v>31</v>
      </c>
      <c r="F927" s="11">
        <f>MOD(punkt_szczepień__13[[#This Row],[liczba miesiac]],20)</f>
        <v>11</v>
      </c>
      <c r="G927" s="11">
        <f>VLOOKUP(punkt_szczepień__13[[#This Row],[liczba miesiac]]-punkt_szczepień__13[[#This Row],[miesiac]],$O$3:$P$7,2,0)+VALUE(LEFT(punkt_szczepień__13[[#This Row],[PESEL]],2))</f>
        <v>2003</v>
      </c>
      <c r="H927" s="11">
        <f>VALUE(RIGHT(LEFT(punkt_szczepień__13[[#This Row],[PESEL]],6),2))</f>
        <v>11</v>
      </c>
      <c r="I927" s="3">
        <f>DATE(punkt_szczepień__13[[#This Row],[rok]],punkt_szczepień__13[[#This Row],[miesiac]],punkt_szczepień__13[[#This Row],[dzień]])</f>
        <v>37936</v>
      </c>
      <c r="J927" s="1" t="str">
        <f>punkt_szczepień__13[[#This Row],[PESEL]]</f>
        <v>03311196468</v>
      </c>
      <c r="K927" s="1">
        <f>VALUE(MID(punkt_szczepień__13[[#This Row],[PESEL]],10,1))</f>
        <v>6</v>
      </c>
      <c r="L927" s="11" t="str">
        <f>IF(MOD(punkt_szczepień__13[[#This Row],[liczba płeć]],2)=0,"K","M")</f>
        <v>K</v>
      </c>
      <c r="M927" s="1"/>
      <c r="N927" s="1"/>
    </row>
    <row r="928" spans="1:14" x14ac:dyDescent="0.25">
      <c r="A928" s="1" t="s">
        <v>934</v>
      </c>
      <c r="B928" s="1" t="s">
        <v>9</v>
      </c>
      <c r="C928" s="2">
        <v>0.68489583333333337</v>
      </c>
      <c r="D928">
        <v>2</v>
      </c>
      <c r="E928">
        <f>VALUE(RIGHT(LEFT(punkt_szczepień__13[[#This Row],[PESEL]],4),2))</f>
        <v>9</v>
      </c>
      <c r="F928" s="11">
        <f>MOD(punkt_szczepień__13[[#This Row],[liczba miesiac]],20)</f>
        <v>9</v>
      </c>
      <c r="G928" s="11">
        <f>VLOOKUP(punkt_szczepień__13[[#This Row],[liczba miesiac]]-punkt_szczepień__13[[#This Row],[miesiac]],$O$3:$P$7,2,0)+VALUE(LEFT(punkt_szczepień__13[[#This Row],[PESEL]],2))</f>
        <v>1993</v>
      </c>
      <c r="H928" s="11">
        <f>VALUE(RIGHT(LEFT(punkt_szczepień__13[[#This Row],[PESEL]],6),2))</f>
        <v>26</v>
      </c>
      <c r="I928" s="3">
        <f>DATE(punkt_szczepień__13[[#This Row],[rok]],punkt_szczepień__13[[#This Row],[miesiac]],punkt_szczepień__13[[#This Row],[dzień]])</f>
        <v>34238</v>
      </c>
      <c r="J928" s="1" t="str">
        <f>punkt_szczepień__13[[#This Row],[PESEL]]</f>
        <v>93092676596</v>
      </c>
      <c r="K928" s="1">
        <f>VALUE(MID(punkt_szczepień__13[[#This Row],[PESEL]],10,1))</f>
        <v>9</v>
      </c>
      <c r="L928" s="11" t="str">
        <f>IF(MOD(punkt_szczepień__13[[#This Row],[liczba płeć]],2)=0,"K","M")</f>
        <v>M</v>
      </c>
      <c r="M928" s="1"/>
      <c r="N928" s="1"/>
    </row>
    <row r="929" spans="1:14" x14ac:dyDescent="0.25">
      <c r="A929" s="1" t="s">
        <v>935</v>
      </c>
      <c r="B929" s="1" t="s">
        <v>7</v>
      </c>
      <c r="C929" s="2">
        <v>0.68518518518518523</v>
      </c>
      <c r="D929">
        <v>1</v>
      </c>
      <c r="E929">
        <f>VALUE(RIGHT(LEFT(punkt_szczepień__13[[#This Row],[PESEL]],4),2))</f>
        <v>1</v>
      </c>
      <c r="F929" s="11">
        <f>MOD(punkt_szczepień__13[[#This Row],[liczba miesiac]],20)</f>
        <v>1</v>
      </c>
      <c r="G929" s="11">
        <f>VLOOKUP(punkt_szczepień__13[[#This Row],[liczba miesiac]]-punkt_szczepień__13[[#This Row],[miesiac]],$O$3:$P$7,2,0)+VALUE(LEFT(punkt_szczepień__13[[#This Row],[PESEL]],2))</f>
        <v>1993</v>
      </c>
      <c r="H929" s="11">
        <f>VALUE(RIGHT(LEFT(punkt_szczepień__13[[#This Row],[PESEL]],6),2))</f>
        <v>24</v>
      </c>
      <c r="I929" s="3">
        <f>DATE(punkt_szczepień__13[[#This Row],[rok]],punkt_szczepień__13[[#This Row],[miesiac]],punkt_szczepień__13[[#This Row],[dzień]])</f>
        <v>33993</v>
      </c>
      <c r="J929" s="1" t="str">
        <f>punkt_szczepień__13[[#This Row],[PESEL]]</f>
        <v>93012418598</v>
      </c>
      <c r="K929" s="1">
        <f>VALUE(MID(punkt_szczepień__13[[#This Row],[PESEL]],10,1))</f>
        <v>9</v>
      </c>
      <c r="L929" s="11" t="str">
        <f>IF(MOD(punkt_szczepień__13[[#This Row],[liczba płeć]],2)=0,"K","M")</f>
        <v>M</v>
      </c>
      <c r="M929" s="1"/>
      <c r="N929" s="1"/>
    </row>
    <row r="930" spans="1:14" x14ac:dyDescent="0.25">
      <c r="A930" s="1" t="s">
        <v>936</v>
      </c>
      <c r="B930" s="1" t="s">
        <v>7</v>
      </c>
      <c r="C930" s="2">
        <v>0.68547453703703709</v>
      </c>
      <c r="D930">
        <v>1</v>
      </c>
      <c r="E930">
        <f>VALUE(RIGHT(LEFT(punkt_szczepień__13[[#This Row],[PESEL]],4),2))</f>
        <v>3</v>
      </c>
      <c r="F930" s="11">
        <f>MOD(punkt_szczepień__13[[#This Row],[liczba miesiac]],20)</f>
        <v>3</v>
      </c>
      <c r="G930" s="11">
        <f>VLOOKUP(punkt_szczepień__13[[#This Row],[liczba miesiac]]-punkt_szczepień__13[[#This Row],[miesiac]],$O$3:$P$7,2,0)+VALUE(LEFT(punkt_szczepień__13[[#This Row],[PESEL]],2))</f>
        <v>1982</v>
      </c>
      <c r="H930" s="11">
        <f>VALUE(RIGHT(LEFT(punkt_szczepień__13[[#This Row],[PESEL]],6),2))</f>
        <v>8</v>
      </c>
      <c r="I930" s="3">
        <f>DATE(punkt_szczepień__13[[#This Row],[rok]],punkt_szczepień__13[[#This Row],[miesiac]],punkt_szczepień__13[[#This Row],[dzień]])</f>
        <v>30018</v>
      </c>
      <c r="J930" s="1" t="str">
        <f>punkt_szczepień__13[[#This Row],[PESEL]]</f>
        <v>82030879562</v>
      </c>
      <c r="K930" s="1">
        <f>VALUE(MID(punkt_szczepień__13[[#This Row],[PESEL]],10,1))</f>
        <v>6</v>
      </c>
      <c r="L930" s="11" t="str">
        <f>IF(MOD(punkt_szczepień__13[[#This Row],[liczba płeć]],2)=0,"K","M")</f>
        <v>K</v>
      </c>
      <c r="M930" s="1"/>
      <c r="N930" s="1"/>
    </row>
    <row r="931" spans="1:14" x14ac:dyDescent="0.25">
      <c r="A931" s="1" t="s">
        <v>937</v>
      </c>
      <c r="B931" s="1" t="s">
        <v>5</v>
      </c>
      <c r="C931" s="2">
        <v>0.68576388888888884</v>
      </c>
      <c r="D931">
        <v>1</v>
      </c>
      <c r="E931">
        <f>VALUE(RIGHT(LEFT(punkt_szczepień__13[[#This Row],[PESEL]],4),2))</f>
        <v>22</v>
      </c>
      <c r="F931" s="11">
        <f>MOD(punkt_szczepień__13[[#This Row],[liczba miesiac]],20)</f>
        <v>2</v>
      </c>
      <c r="G931" s="11">
        <f>VLOOKUP(punkt_szczepień__13[[#This Row],[liczba miesiac]]-punkt_szczepień__13[[#This Row],[miesiac]],$O$3:$P$7,2,0)+VALUE(LEFT(punkt_szczepień__13[[#This Row],[PESEL]],2))</f>
        <v>2009</v>
      </c>
      <c r="H931" s="11">
        <f>VALUE(RIGHT(LEFT(punkt_szczepień__13[[#This Row],[PESEL]],6),2))</f>
        <v>13</v>
      </c>
      <c r="I931" s="3">
        <f>DATE(punkt_szczepień__13[[#This Row],[rok]],punkt_szczepień__13[[#This Row],[miesiac]],punkt_szczepień__13[[#This Row],[dzień]])</f>
        <v>39857</v>
      </c>
      <c r="J931" s="1" t="str">
        <f>punkt_szczepień__13[[#This Row],[PESEL]]</f>
        <v>09221337489</v>
      </c>
      <c r="K931" s="1">
        <f>VALUE(MID(punkt_szczepień__13[[#This Row],[PESEL]],10,1))</f>
        <v>8</v>
      </c>
      <c r="L931" s="11" t="str">
        <f>IF(MOD(punkt_szczepień__13[[#This Row],[liczba płeć]],2)=0,"K","M")</f>
        <v>K</v>
      </c>
      <c r="M931" s="1"/>
      <c r="N931" s="1"/>
    </row>
    <row r="932" spans="1:14" x14ac:dyDescent="0.25">
      <c r="A932" s="1" t="s">
        <v>938</v>
      </c>
      <c r="B932" s="1" t="s">
        <v>7</v>
      </c>
      <c r="C932" s="2">
        <v>0.6860532407407407</v>
      </c>
      <c r="D932">
        <v>1</v>
      </c>
      <c r="E932">
        <f>VALUE(RIGHT(LEFT(punkt_szczepień__13[[#This Row],[PESEL]],4),2))</f>
        <v>9</v>
      </c>
      <c r="F932" s="11">
        <f>MOD(punkt_szczepień__13[[#This Row],[liczba miesiac]],20)</f>
        <v>9</v>
      </c>
      <c r="G932" s="11">
        <f>VLOOKUP(punkt_szczepień__13[[#This Row],[liczba miesiac]]-punkt_szczepień__13[[#This Row],[miesiac]],$O$3:$P$7,2,0)+VALUE(LEFT(punkt_szczepień__13[[#This Row],[PESEL]],2))</f>
        <v>1975</v>
      </c>
      <c r="H932" s="11">
        <f>VALUE(RIGHT(LEFT(punkt_szczepień__13[[#This Row],[PESEL]],6),2))</f>
        <v>6</v>
      </c>
      <c r="I932" s="3">
        <f>DATE(punkt_szczepień__13[[#This Row],[rok]],punkt_szczepień__13[[#This Row],[miesiac]],punkt_szczepień__13[[#This Row],[dzień]])</f>
        <v>27643</v>
      </c>
      <c r="J932" s="1" t="str">
        <f>punkt_szczepień__13[[#This Row],[PESEL]]</f>
        <v>75090635997</v>
      </c>
      <c r="K932" s="1">
        <f>VALUE(MID(punkt_szczepień__13[[#This Row],[PESEL]],10,1))</f>
        <v>9</v>
      </c>
      <c r="L932" s="11" t="str">
        <f>IF(MOD(punkt_szczepień__13[[#This Row],[liczba płeć]],2)=0,"K","M")</f>
        <v>M</v>
      </c>
      <c r="M932" s="1"/>
      <c r="N932" s="1"/>
    </row>
    <row r="933" spans="1:14" x14ac:dyDescent="0.25">
      <c r="A933" s="1" t="s">
        <v>939</v>
      </c>
      <c r="B933" s="1" t="s">
        <v>5</v>
      </c>
      <c r="C933" s="2">
        <v>0.68634259259259256</v>
      </c>
      <c r="D933">
        <v>1</v>
      </c>
      <c r="E933">
        <f>VALUE(RIGHT(LEFT(punkt_szczepień__13[[#This Row],[PESEL]],4),2))</f>
        <v>4</v>
      </c>
      <c r="F933" s="11">
        <f>MOD(punkt_szczepień__13[[#This Row],[liczba miesiac]],20)</f>
        <v>4</v>
      </c>
      <c r="G933" s="11">
        <f>VLOOKUP(punkt_szczepień__13[[#This Row],[liczba miesiac]]-punkt_szczepień__13[[#This Row],[miesiac]],$O$3:$P$7,2,0)+VALUE(LEFT(punkt_szczepień__13[[#This Row],[PESEL]],2))</f>
        <v>1940</v>
      </c>
      <c r="H933" s="11">
        <f>VALUE(RIGHT(LEFT(punkt_szczepień__13[[#This Row],[PESEL]],6),2))</f>
        <v>20</v>
      </c>
      <c r="I933" s="3">
        <f>DATE(punkt_szczepień__13[[#This Row],[rok]],punkt_szczepień__13[[#This Row],[miesiac]],punkt_szczepień__13[[#This Row],[dzień]])</f>
        <v>14721</v>
      </c>
      <c r="J933" s="1" t="str">
        <f>punkt_szczepień__13[[#This Row],[PESEL]]</f>
        <v>40042025863</v>
      </c>
      <c r="K933" s="1">
        <f>VALUE(MID(punkt_szczepień__13[[#This Row],[PESEL]],10,1))</f>
        <v>6</v>
      </c>
      <c r="L933" s="11" t="str">
        <f>IF(MOD(punkt_szczepień__13[[#This Row],[liczba płeć]],2)=0,"K","M")</f>
        <v>K</v>
      </c>
      <c r="M933" s="1"/>
      <c r="N933" s="1"/>
    </row>
    <row r="934" spans="1:14" x14ac:dyDescent="0.25">
      <c r="A934" s="1" t="s">
        <v>940</v>
      </c>
      <c r="B934" s="1" t="s">
        <v>7</v>
      </c>
      <c r="C934" s="2">
        <v>0.68663194444444442</v>
      </c>
      <c r="D934">
        <v>1</v>
      </c>
      <c r="E934">
        <f>VALUE(RIGHT(LEFT(punkt_szczepień__13[[#This Row],[PESEL]],4),2))</f>
        <v>29</v>
      </c>
      <c r="F934" s="11">
        <f>MOD(punkt_szczepień__13[[#This Row],[liczba miesiac]],20)</f>
        <v>9</v>
      </c>
      <c r="G934" s="11">
        <f>VLOOKUP(punkt_szczepień__13[[#This Row],[liczba miesiac]]-punkt_szczepień__13[[#This Row],[miesiac]],$O$3:$P$7,2,0)+VALUE(LEFT(punkt_szczepień__13[[#This Row],[PESEL]],2))</f>
        <v>2006</v>
      </c>
      <c r="H934" s="11">
        <f>VALUE(RIGHT(LEFT(punkt_szczepień__13[[#This Row],[PESEL]],6),2))</f>
        <v>25</v>
      </c>
      <c r="I934" s="3">
        <f>DATE(punkt_szczepień__13[[#This Row],[rok]],punkt_szczepień__13[[#This Row],[miesiac]],punkt_szczepień__13[[#This Row],[dzień]])</f>
        <v>38985</v>
      </c>
      <c r="J934" s="1" t="str">
        <f>punkt_szczepień__13[[#This Row],[PESEL]]</f>
        <v>06292578955</v>
      </c>
      <c r="K934" s="1">
        <f>VALUE(MID(punkt_szczepień__13[[#This Row],[PESEL]],10,1))</f>
        <v>5</v>
      </c>
      <c r="L934" s="11" t="str">
        <f>IF(MOD(punkt_szczepień__13[[#This Row],[liczba płeć]],2)=0,"K","M")</f>
        <v>M</v>
      </c>
      <c r="M934" s="1"/>
      <c r="N934" s="1"/>
    </row>
    <row r="935" spans="1:14" x14ac:dyDescent="0.25">
      <c r="A935" s="1" t="s">
        <v>941</v>
      </c>
      <c r="B935" s="1" t="s">
        <v>7</v>
      </c>
      <c r="C935" s="2">
        <v>0.68692129629629628</v>
      </c>
      <c r="D935">
        <v>1</v>
      </c>
      <c r="E935">
        <f>VALUE(RIGHT(LEFT(punkt_szczepień__13[[#This Row],[PESEL]],4),2))</f>
        <v>7</v>
      </c>
      <c r="F935" s="11">
        <f>MOD(punkt_szczepień__13[[#This Row],[liczba miesiac]],20)</f>
        <v>7</v>
      </c>
      <c r="G935" s="11">
        <f>VLOOKUP(punkt_szczepień__13[[#This Row],[liczba miesiac]]-punkt_szczepień__13[[#This Row],[miesiac]],$O$3:$P$7,2,0)+VALUE(LEFT(punkt_szczepień__13[[#This Row],[PESEL]],2))</f>
        <v>1940</v>
      </c>
      <c r="H935" s="11">
        <f>VALUE(RIGHT(LEFT(punkt_szczepień__13[[#This Row],[PESEL]],6),2))</f>
        <v>11</v>
      </c>
      <c r="I935" s="3">
        <f>DATE(punkt_szczepień__13[[#This Row],[rok]],punkt_szczepień__13[[#This Row],[miesiac]],punkt_szczepień__13[[#This Row],[dzień]])</f>
        <v>14803</v>
      </c>
      <c r="J935" s="1" t="str">
        <f>punkt_szczepień__13[[#This Row],[PESEL]]</f>
        <v>40071161114</v>
      </c>
      <c r="K935" s="1">
        <f>VALUE(MID(punkt_szczepień__13[[#This Row],[PESEL]],10,1))</f>
        <v>1</v>
      </c>
      <c r="L935" s="11" t="str">
        <f>IF(MOD(punkt_szczepień__13[[#This Row],[liczba płeć]],2)=0,"K","M")</f>
        <v>M</v>
      </c>
      <c r="M935" s="1"/>
      <c r="N935" s="1"/>
    </row>
    <row r="936" spans="1:14" x14ac:dyDescent="0.25">
      <c r="A936" s="1" t="s">
        <v>942</v>
      </c>
      <c r="B936" s="1" t="s">
        <v>7</v>
      </c>
      <c r="C936" s="2">
        <v>0.68721064814814814</v>
      </c>
      <c r="D936">
        <v>1</v>
      </c>
      <c r="E936">
        <f>VALUE(RIGHT(LEFT(punkt_szczepień__13[[#This Row],[PESEL]],4),2))</f>
        <v>1</v>
      </c>
      <c r="F936" s="11">
        <f>MOD(punkt_szczepień__13[[#This Row],[liczba miesiac]],20)</f>
        <v>1</v>
      </c>
      <c r="G936" s="11">
        <f>VLOOKUP(punkt_szczepień__13[[#This Row],[liczba miesiac]]-punkt_szczepień__13[[#This Row],[miesiac]],$O$3:$P$7,2,0)+VALUE(LEFT(punkt_szczepień__13[[#This Row],[PESEL]],2))</f>
        <v>1936</v>
      </c>
      <c r="H936" s="11">
        <f>VALUE(RIGHT(LEFT(punkt_szczepień__13[[#This Row],[PESEL]],6),2))</f>
        <v>15</v>
      </c>
      <c r="I936" s="3">
        <f>DATE(punkt_szczepień__13[[#This Row],[rok]],punkt_szczepień__13[[#This Row],[miesiac]],punkt_szczepień__13[[#This Row],[dzień]])</f>
        <v>13164</v>
      </c>
      <c r="J936" s="1" t="str">
        <f>punkt_szczepień__13[[#This Row],[PESEL]]</f>
        <v>36011592485</v>
      </c>
      <c r="K936" s="1">
        <f>VALUE(MID(punkt_szczepień__13[[#This Row],[PESEL]],10,1))</f>
        <v>8</v>
      </c>
      <c r="L936" s="11" t="str">
        <f>IF(MOD(punkt_szczepień__13[[#This Row],[liczba płeć]],2)=0,"K","M")</f>
        <v>K</v>
      </c>
      <c r="M936" s="1"/>
      <c r="N936" s="1"/>
    </row>
    <row r="937" spans="1:14" x14ac:dyDescent="0.25">
      <c r="A937" s="1" t="s">
        <v>943</v>
      </c>
      <c r="B937" s="1" t="s">
        <v>7</v>
      </c>
      <c r="C937" s="2">
        <v>0.6875</v>
      </c>
      <c r="D937">
        <v>1</v>
      </c>
      <c r="E937">
        <f>VALUE(RIGHT(LEFT(punkt_szczepień__13[[#This Row],[PESEL]],4),2))</f>
        <v>4</v>
      </c>
      <c r="F937" s="11">
        <f>MOD(punkt_szczepień__13[[#This Row],[liczba miesiac]],20)</f>
        <v>4</v>
      </c>
      <c r="G937" s="11">
        <f>VLOOKUP(punkt_szczepień__13[[#This Row],[liczba miesiac]]-punkt_szczepień__13[[#This Row],[miesiac]],$O$3:$P$7,2,0)+VALUE(LEFT(punkt_szczepień__13[[#This Row],[PESEL]],2))</f>
        <v>1975</v>
      </c>
      <c r="H937" s="11">
        <f>VALUE(RIGHT(LEFT(punkt_szczepień__13[[#This Row],[PESEL]],6),2))</f>
        <v>10</v>
      </c>
      <c r="I937" s="3">
        <f>DATE(punkt_szczepień__13[[#This Row],[rok]],punkt_szczepień__13[[#This Row],[miesiac]],punkt_szczepień__13[[#This Row],[dzień]])</f>
        <v>27494</v>
      </c>
      <c r="J937" s="1" t="str">
        <f>punkt_szczepień__13[[#This Row],[PESEL]]</f>
        <v>75041016895</v>
      </c>
      <c r="K937" s="1">
        <f>VALUE(MID(punkt_szczepień__13[[#This Row],[PESEL]],10,1))</f>
        <v>9</v>
      </c>
      <c r="L937" s="11" t="str">
        <f>IF(MOD(punkt_szczepień__13[[#This Row],[liczba płeć]],2)=0,"K","M")</f>
        <v>M</v>
      </c>
      <c r="M937" s="1"/>
      <c r="N937" s="1"/>
    </row>
    <row r="938" spans="1:14" x14ac:dyDescent="0.25">
      <c r="A938" s="1" t="s">
        <v>944</v>
      </c>
      <c r="B938" s="1" t="s">
        <v>7</v>
      </c>
      <c r="C938" s="2">
        <v>0.68778935185185186</v>
      </c>
      <c r="D938">
        <v>1</v>
      </c>
      <c r="E938">
        <f>VALUE(RIGHT(LEFT(punkt_szczepień__13[[#This Row],[PESEL]],4),2))</f>
        <v>7</v>
      </c>
      <c r="F938" s="11">
        <f>MOD(punkt_szczepień__13[[#This Row],[liczba miesiac]],20)</f>
        <v>7</v>
      </c>
      <c r="G938" s="11">
        <f>VLOOKUP(punkt_szczepień__13[[#This Row],[liczba miesiac]]-punkt_szczepień__13[[#This Row],[miesiac]],$O$3:$P$7,2,0)+VALUE(LEFT(punkt_szczepień__13[[#This Row],[PESEL]],2))</f>
        <v>1984</v>
      </c>
      <c r="H938" s="11">
        <f>VALUE(RIGHT(LEFT(punkt_szczepień__13[[#This Row],[PESEL]],6),2))</f>
        <v>7</v>
      </c>
      <c r="I938" s="3">
        <f>DATE(punkt_szczepień__13[[#This Row],[rok]],punkt_szczepień__13[[#This Row],[miesiac]],punkt_szczepień__13[[#This Row],[dzień]])</f>
        <v>30870</v>
      </c>
      <c r="J938" s="1" t="str">
        <f>punkt_szczepień__13[[#This Row],[PESEL]]</f>
        <v>84070799958</v>
      </c>
      <c r="K938" s="1">
        <f>VALUE(MID(punkt_szczepień__13[[#This Row],[PESEL]],10,1))</f>
        <v>5</v>
      </c>
      <c r="L938" s="11" t="str">
        <f>IF(MOD(punkt_szczepień__13[[#This Row],[liczba płeć]],2)=0,"K","M")</f>
        <v>M</v>
      </c>
      <c r="M938" s="1"/>
      <c r="N938" s="1"/>
    </row>
    <row r="939" spans="1:14" x14ac:dyDescent="0.25">
      <c r="A939" s="1" t="s">
        <v>945</v>
      </c>
      <c r="B939" s="1" t="s">
        <v>9</v>
      </c>
      <c r="C939" s="2">
        <v>0.68807870370370372</v>
      </c>
      <c r="D939">
        <v>1</v>
      </c>
      <c r="E939">
        <f>VALUE(RIGHT(LEFT(punkt_szczepień__13[[#This Row],[PESEL]],4),2))</f>
        <v>10</v>
      </c>
      <c r="F939" s="11">
        <f>MOD(punkt_szczepień__13[[#This Row],[liczba miesiac]],20)</f>
        <v>10</v>
      </c>
      <c r="G939" s="11">
        <f>VLOOKUP(punkt_szczepień__13[[#This Row],[liczba miesiac]]-punkt_szczepień__13[[#This Row],[miesiac]],$O$3:$P$7,2,0)+VALUE(LEFT(punkt_szczepień__13[[#This Row],[PESEL]],2))</f>
        <v>1978</v>
      </c>
      <c r="H939" s="11">
        <f>VALUE(RIGHT(LEFT(punkt_szczepień__13[[#This Row],[PESEL]],6),2))</f>
        <v>27</v>
      </c>
      <c r="I939" s="3">
        <f>DATE(punkt_szczepień__13[[#This Row],[rok]],punkt_szczepień__13[[#This Row],[miesiac]],punkt_szczepień__13[[#This Row],[dzień]])</f>
        <v>28790</v>
      </c>
      <c r="J939" s="1" t="str">
        <f>punkt_szczepień__13[[#This Row],[PESEL]]</f>
        <v>78102746342</v>
      </c>
      <c r="K939" s="1">
        <f>VALUE(MID(punkt_szczepień__13[[#This Row],[PESEL]],10,1))</f>
        <v>4</v>
      </c>
      <c r="L939" s="11" t="str">
        <f>IF(MOD(punkt_szczepień__13[[#This Row],[liczba płeć]],2)=0,"K","M")</f>
        <v>K</v>
      </c>
      <c r="M939" s="1"/>
      <c r="N939" s="1"/>
    </row>
    <row r="940" spans="1:14" x14ac:dyDescent="0.25">
      <c r="A940" s="1" t="s">
        <v>946</v>
      </c>
      <c r="B940" s="1" t="s">
        <v>9</v>
      </c>
      <c r="C940" s="2">
        <v>0.68865740740740744</v>
      </c>
      <c r="D940">
        <v>2</v>
      </c>
      <c r="E940">
        <f>VALUE(RIGHT(LEFT(punkt_szczepień__13[[#This Row],[PESEL]],4),2))</f>
        <v>1</v>
      </c>
      <c r="F940" s="11">
        <f>MOD(punkt_szczepień__13[[#This Row],[liczba miesiac]],20)</f>
        <v>1</v>
      </c>
      <c r="G940" s="11">
        <f>VLOOKUP(punkt_szczepień__13[[#This Row],[liczba miesiac]]-punkt_szczepień__13[[#This Row],[miesiac]],$O$3:$P$7,2,0)+VALUE(LEFT(punkt_szczepień__13[[#This Row],[PESEL]],2))</f>
        <v>1923</v>
      </c>
      <c r="H940" s="11">
        <f>VALUE(RIGHT(LEFT(punkt_szczepień__13[[#This Row],[PESEL]],6),2))</f>
        <v>30</v>
      </c>
      <c r="I940" s="3">
        <f>DATE(punkt_szczepień__13[[#This Row],[rok]],punkt_szczepień__13[[#This Row],[miesiac]],punkt_szczepień__13[[#This Row],[dzień]])</f>
        <v>8431</v>
      </c>
      <c r="J940" s="1" t="str">
        <f>punkt_szczepień__13[[#This Row],[PESEL]]</f>
        <v>23013013119</v>
      </c>
      <c r="K940" s="1">
        <f>VALUE(MID(punkt_szczepień__13[[#This Row],[PESEL]],10,1))</f>
        <v>1</v>
      </c>
      <c r="L940" s="11" t="str">
        <f>IF(MOD(punkt_szczepień__13[[#This Row],[liczba płeć]],2)=0,"K","M")</f>
        <v>M</v>
      </c>
      <c r="M940" s="1"/>
      <c r="N940" s="1"/>
    </row>
    <row r="941" spans="1:14" x14ac:dyDescent="0.25">
      <c r="A941" s="1" t="s">
        <v>947</v>
      </c>
      <c r="B941" s="1" t="s">
        <v>7</v>
      </c>
      <c r="C941" s="2">
        <v>0.6889467592592593</v>
      </c>
      <c r="D941">
        <v>1</v>
      </c>
      <c r="E941">
        <f>VALUE(RIGHT(LEFT(punkt_szczepień__13[[#This Row],[PESEL]],4),2))</f>
        <v>6</v>
      </c>
      <c r="F941" s="11">
        <f>MOD(punkt_szczepień__13[[#This Row],[liczba miesiac]],20)</f>
        <v>6</v>
      </c>
      <c r="G941" s="11">
        <f>VLOOKUP(punkt_szczepień__13[[#This Row],[liczba miesiac]]-punkt_szczepień__13[[#This Row],[miesiac]],$O$3:$P$7,2,0)+VALUE(LEFT(punkt_szczepień__13[[#This Row],[PESEL]],2))</f>
        <v>1943</v>
      </c>
      <c r="H941" s="11">
        <f>VALUE(RIGHT(LEFT(punkt_szczepień__13[[#This Row],[PESEL]],6),2))</f>
        <v>19</v>
      </c>
      <c r="I941" s="3">
        <f>DATE(punkt_szczepień__13[[#This Row],[rok]],punkt_szczepień__13[[#This Row],[miesiac]],punkt_szczepień__13[[#This Row],[dzień]])</f>
        <v>15876</v>
      </c>
      <c r="J941" s="1" t="str">
        <f>punkt_szczepień__13[[#This Row],[PESEL]]</f>
        <v>43061996312</v>
      </c>
      <c r="K941" s="1">
        <f>VALUE(MID(punkt_szczepień__13[[#This Row],[PESEL]],10,1))</f>
        <v>1</v>
      </c>
      <c r="L941" s="11" t="str">
        <f>IF(MOD(punkt_szczepień__13[[#This Row],[liczba płeć]],2)=0,"K","M")</f>
        <v>M</v>
      </c>
      <c r="M941" s="1"/>
      <c r="N941" s="1"/>
    </row>
    <row r="942" spans="1:14" x14ac:dyDescent="0.25">
      <c r="A942" s="1" t="s">
        <v>948</v>
      </c>
      <c r="B942" s="1" t="s">
        <v>9</v>
      </c>
      <c r="C942" s="2">
        <v>0.68952546296296291</v>
      </c>
      <c r="D942">
        <v>2</v>
      </c>
      <c r="E942">
        <f>VALUE(RIGHT(LEFT(punkt_szczepień__13[[#This Row],[PESEL]],4),2))</f>
        <v>3</v>
      </c>
      <c r="F942" s="11">
        <f>MOD(punkt_szczepień__13[[#This Row],[liczba miesiac]],20)</f>
        <v>3</v>
      </c>
      <c r="G942" s="11">
        <f>VLOOKUP(punkt_szczepień__13[[#This Row],[liczba miesiac]]-punkt_szczepień__13[[#This Row],[miesiac]],$O$3:$P$7,2,0)+VALUE(LEFT(punkt_szczepień__13[[#This Row],[PESEL]],2))</f>
        <v>1959</v>
      </c>
      <c r="H942" s="11">
        <f>VALUE(RIGHT(LEFT(punkt_szczepień__13[[#This Row],[PESEL]],6),2))</f>
        <v>1</v>
      </c>
      <c r="I942" s="3">
        <f>DATE(punkt_szczepień__13[[#This Row],[rok]],punkt_szczepień__13[[#This Row],[miesiac]],punkt_szczepień__13[[#This Row],[dzień]])</f>
        <v>21610</v>
      </c>
      <c r="J942" s="1" t="str">
        <f>punkt_szczepień__13[[#This Row],[PESEL]]</f>
        <v>59030132122</v>
      </c>
      <c r="K942" s="1">
        <f>VALUE(MID(punkt_szczepień__13[[#This Row],[PESEL]],10,1))</f>
        <v>2</v>
      </c>
      <c r="L942" s="11" t="str">
        <f>IF(MOD(punkt_szczepień__13[[#This Row],[liczba płeć]],2)=0,"K","M")</f>
        <v>K</v>
      </c>
      <c r="M942" s="1"/>
      <c r="N942" s="1"/>
    </row>
    <row r="943" spans="1:14" x14ac:dyDescent="0.25">
      <c r="A943" s="1" t="s">
        <v>949</v>
      </c>
      <c r="B943" s="1" t="s">
        <v>5</v>
      </c>
      <c r="C943" s="2">
        <v>0.69010416666666663</v>
      </c>
      <c r="D943">
        <v>2</v>
      </c>
      <c r="E943">
        <f>VALUE(RIGHT(LEFT(punkt_szczepień__13[[#This Row],[PESEL]],4),2))</f>
        <v>7</v>
      </c>
      <c r="F943" s="11">
        <f>MOD(punkt_szczepień__13[[#This Row],[liczba miesiac]],20)</f>
        <v>7</v>
      </c>
      <c r="G943" s="11">
        <f>VLOOKUP(punkt_szczepień__13[[#This Row],[liczba miesiac]]-punkt_szczepień__13[[#This Row],[miesiac]],$O$3:$P$7,2,0)+VALUE(LEFT(punkt_szczepień__13[[#This Row],[PESEL]],2))</f>
        <v>1980</v>
      </c>
      <c r="H943" s="11">
        <f>VALUE(RIGHT(LEFT(punkt_szczepień__13[[#This Row],[PESEL]],6),2))</f>
        <v>8</v>
      </c>
      <c r="I943" s="3">
        <f>DATE(punkt_szczepień__13[[#This Row],[rok]],punkt_szczepień__13[[#This Row],[miesiac]],punkt_szczepień__13[[#This Row],[dzień]])</f>
        <v>29410</v>
      </c>
      <c r="J943" s="1" t="str">
        <f>punkt_szczepień__13[[#This Row],[PESEL]]</f>
        <v>80070812222</v>
      </c>
      <c r="K943" s="1">
        <f>VALUE(MID(punkt_szczepień__13[[#This Row],[PESEL]],10,1))</f>
        <v>2</v>
      </c>
      <c r="L943" s="11" t="str">
        <f>IF(MOD(punkt_szczepień__13[[#This Row],[liczba płeć]],2)=0,"K","M")</f>
        <v>K</v>
      </c>
      <c r="M943" s="1"/>
      <c r="N943" s="1"/>
    </row>
    <row r="944" spans="1:14" x14ac:dyDescent="0.25">
      <c r="A944" s="1" t="s">
        <v>950</v>
      </c>
      <c r="B944" s="1" t="s">
        <v>5</v>
      </c>
      <c r="C944" s="2">
        <v>0.69068287037037035</v>
      </c>
      <c r="D944">
        <v>2</v>
      </c>
      <c r="E944">
        <f>VALUE(RIGHT(LEFT(punkt_szczepień__13[[#This Row],[PESEL]],4),2))</f>
        <v>11</v>
      </c>
      <c r="F944" s="11">
        <f>MOD(punkt_szczepień__13[[#This Row],[liczba miesiac]],20)</f>
        <v>11</v>
      </c>
      <c r="G944" s="11">
        <f>VLOOKUP(punkt_szczepień__13[[#This Row],[liczba miesiac]]-punkt_szczepień__13[[#This Row],[miesiac]],$O$3:$P$7,2,0)+VALUE(LEFT(punkt_szczepień__13[[#This Row],[PESEL]],2))</f>
        <v>1921</v>
      </c>
      <c r="H944" s="11">
        <f>VALUE(RIGHT(LEFT(punkt_szczepień__13[[#This Row],[PESEL]],6),2))</f>
        <v>22</v>
      </c>
      <c r="I944" s="3">
        <f>DATE(punkt_szczepień__13[[#This Row],[rok]],punkt_szczepień__13[[#This Row],[miesiac]],punkt_szczepień__13[[#This Row],[dzień]])</f>
        <v>7997</v>
      </c>
      <c r="J944" s="1" t="str">
        <f>punkt_szczepień__13[[#This Row],[PESEL]]</f>
        <v>21112217759</v>
      </c>
      <c r="K944" s="1">
        <f>VALUE(MID(punkt_szczepień__13[[#This Row],[PESEL]],10,1))</f>
        <v>5</v>
      </c>
      <c r="L944" s="11" t="str">
        <f>IF(MOD(punkt_szczepień__13[[#This Row],[liczba płeć]],2)=0,"K","M")</f>
        <v>M</v>
      </c>
      <c r="M944" s="1"/>
      <c r="N944" s="1"/>
    </row>
    <row r="945" spans="1:14" x14ac:dyDescent="0.25">
      <c r="A945" s="1" t="s">
        <v>951</v>
      </c>
      <c r="B945" s="1" t="s">
        <v>9</v>
      </c>
      <c r="C945" s="2">
        <v>0.69097222222222221</v>
      </c>
      <c r="D945">
        <v>1</v>
      </c>
      <c r="E945">
        <f>VALUE(RIGHT(LEFT(punkt_szczepień__13[[#This Row],[PESEL]],4),2))</f>
        <v>7</v>
      </c>
      <c r="F945" s="11">
        <f>MOD(punkt_szczepień__13[[#This Row],[liczba miesiac]],20)</f>
        <v>7</v>
      </c>
      <c r="G945" s="11">
        <f>VLOOKUP(punkt_szczepień__13[[#This Row],[liczba miesiac]]-punkt_szczepień__13[[#This Row],[miesiac]],$O$3:$P$7,2,0)+VALUE(LEFT(punkt_szczepień__13[[#This Row],[PESEL]],2))</f>
        <v>1932</v>
      </c>
      <c r="H945" s="11">
        <f>VALUE(RIGHT(LEFT(punkt_szczepień__13[[#This Row],[PESEL]],6),2))</f>
        <v>27</v>
      </c>
      <c r="I945" s="3">
        <f>DATE(punkt_szczepień__13[[#This Row],[rok]],punkt_szczepień__13[[#This Row],[miesiac]],punkt_szczepień__13[[#This Row],[dzień]])</f>
        <v>11897</v>
      </c>
      <c r="J945" s="1" t="str">
        <f>punkt_szczepień__13[[#This Row],[PESEL]]</f>
        <v>32072731623</v>
      </c>
      <c r="K945" s="1">
        <f>VALUE(MID(punkt_szczepień__13[[#This Row],[PESEL]],10,1))</f>
        <v>2</v>
      </c>
      <c r="L945" s="11" t="str">
        <f>IF(MOD(punkt_szczepień__13[[#This Row],[liczba płeć]],2)=0,"K","M")</f>
        <v>K</v>
      </c>
      <c r="M945" s="1"/>
      <c r="N945" s="1"/>
    </row>
    <row r="946" spans="1:14" x14ac:dyDescent="0.25">
      <c r="A946" s="1" t="s">
        <v>952</v>
      </c>
      <c r="B946" s="1" t="s">
        <v>9</v>
      </c>
      <c r="C946" s="2">
        <v>0.69126157407407407</v>
      </c>
      <c r="D946">
        <v>1</v>
      </c>
      <c r="E946">
        <f>VALUE(RIGHT(LEFT(punkt_szczepień__13[[#This Row],[PESEL]],4),2))</f>
        <v>5</v>
      </c>
      <c r="F946" s="11">
        <f>MOD(punkt_szczepień__13[[#This Row],[liczba miesiac]],20)</f>
        <v>5</v>
      </c>
      <c r="G946" s="11">
        <f>VLOOKUP(punkt_szczepień__13[[#This Row],[liczba miesiac]]-punkt_szczepień__13[[#This Row],[miesiac]],$O$3:$P$7,2,0)+VALUE(LEFT(punkt_szczepień__13[[#This Row],[PESEL]],2))</f>
        <v>1979</v>
      </c>
      <c r="H946" s="11">
        <f>VALUE(RIGHT(LEFT(punkt_szczepień__13[[#This Row],[PESEL]],6),2))</f>
        <v>1</v>
      </c>
      <c r="I946" s="3">
        <f>DATE(punkt_szczepień__13[[#This Row],[rok]],punkt_szczepień__13[[#This Row],[miesiac]],punkt_szczepień__13[[#This Row],[dzień]])</f>
        <v>28976</v>
      </c>
      <c r="J946" s="1" t="str">
        <f>punkt_szczepień__13[[#This Row],[PESEL]]</f>
        <v>79050188499</v>
      </c>
      <c r="K946" s="1">
        <f>VALUE(MID(punkt_szczepień__13[[#This Row],[PESEL]],10,1))</f>
        <v>9</v>
      </c>
      <c r="L946" s="11" t="str">
        <f>IF(MOD(punkt_szczepień__13[[#This Row],[liczba płeć]],2)=0,"K","M")</f>
        <v>M</v>
      </c>
      <c r="M946" s="1"/>
      <c r="N946" s="1"/>
    </row>
    <row r="947" spans="1:14" x14ac:dyDescent="0.25">
      <c r="A947" s="1" t="s">
        <v>953</v>
      </c>
      <c r="B947" s="1" t="s">
        <v>9</v>
      </c>
      <c r="C947" s="2">
        <v>0.69155092592592593</v>
      </c>
      <c r="D947">
        <v>1</v>
      </c>
      <c r="E947">
        <f>VALUE(RIGHT(LEFT(punkt_szczepień__13[[#This Row],[PESEL]],4),2))</f>
        <v>5</v>
      </c>
      <c r="F947" s="11">
        <f>MOD(punkt_szczepień__13[[#This Row],[liczba miesiac]],20)</f>
        <v>5</v>
      </c>
      <c r="G947" s="11">
        <f>VLOOKUP(punkt_szczepień__13[[#This Row],[liczba miesiac]]-punkt_szczepień__13[[#This Row],[miesiac]],$O$3:$P$7,2,0)+VALUE(LEFT(punkt_szczepień__13[[#This Row],[PESEL]],2))</f>
        <v>1957</v>
      </c>
      <c r="H947" s="11">
        <f>VALUE(RIGHT(LEFT(punkt_szczepień__13[[#This Row],[PESEL]],6),2))</f>
        <v>19</v>
      </c>
      <c r="I947" s="3">
        <f>DATE(punkt_szczepień__13[[#This Row],[rok]],punkt_szczepień__13[[#This Row],[miesiac]],punkt_szczepień__13[[#This Row],[dzień]])</f>
        <v>20959</v>
      </c>
      <c r="J947" s="1" t="str">
        <f>punkt_szczepień__13[[#This Row],[PESEL]]</f>
        <v>57051974372</v>
      </c>
      <c r="K947" s="1">
        <f>VALUE(MID(punkt_szczepień__13[[#This Row],[PESEL]],10,1))</f>
        <v>7</v>
      </c>
      <c r="L947" s="11" t="str">
        <f>IF(MOD(punkt_szczepień__13[[#This Row],[liczba płeć]],2)=0,"K","M")</f>
        <v>M</v>
      </c>
      <c r="M947" s="1"/>
      <c r="N947" s="1"/>
    </row>
    <row r="948" spans="1:14" x14ac:dyDescent="0.25">
      <c r="A948" s="1" t="s">
        <v>954</v>
      </c>
      <c r="B948" s="1" t="s">
        <v>9</v>
      </c>
      <c r="C948" s="2">
        <v>0.69184027777777779</v>
      </c>
      <c r="D948">
        <v>1</v>
      </c>
      <c r="E948">
        <f>VALUE(RIGHT(LEFT(punkt_szczepień__13[[#This Row],[PESEL]],4),2))</f>
        <v>9</v>
      </c>
      <c r="F948" s="11">
        <f>MOD(punkt_szczepień__13[[#This Row],[liczba miesiac]],20)</f>
        <v>9</v>
      </c>
      <c r="G948" s="11">
        <f>VLOOKUP(punkt_szczepień__13[[#This Row],[liczba miesiac]]-punkt_szczepień__13[[#This Row],[miesiac]],$O$3:$P$7,2,0)+VALUE(LEFT(punkt_szczepień__13[[#This Row],[PESEL]],2))</f>
        <v>1971</v>
      </c>
      <c r="H948" s="11">
        <f>VALUE(RIGHT(LEFT(punkt_szczepień__13[[#This Row],[PESEL]],6),2))</f>
        <v>24</v>
      </c>
      <c r="I948" s="3">
        <f>DATE(punkt_szczepień__13[[#This Row],[rok]],punkt_szczepień__13[[#This Row],[miesiac]],punkt_szczepień__13[[#This Row],[dzień]])</f>
        <v>26200</v>
      </c>
      <c r="J948" s="1" t="str">
        <f>punkt_szczepień__13[[#This Row],[PESEL]]</f>
        <v>71092496572</v>
      </c>
      <c r="K948" s="1">
        <f>VALUE(MID(punkt_szczepień__13[[#This Row],[PESEL]],10,1))</f>
        <v>7</v>
      </c>
      <c r="L948" s="11" t="str">
        <f>IF(MOD(punkt_szczepień__13[[#This Row],[liczba płeć]],2)=0,"K","M")</f>
        <v>M</v>
      </c>
      <c r="M948" s="1"/>
      <c r="N948" s="1"/>
    </row>
    <row r="949" spans="1:14" x14ac:dyDescent="0.25">
      <c r="A949" s="1" t="s">
        <v>955</v>
      </c>
      <c r="B949" s="1" t="s">
        <v>7</v>
      </c>
      <c r="C949" s="2">
        <v>0.69212962962962965</v>
      </c>
      <c r="D949">
        <v>1</v>
      </c>
      <c r="E949">
        <f>VALUE(RIGHT(LEFT(punkt_szczepień__13[[#This Row],[PESEL]],4),2))</f>
        <v>2</v>
      </c>
      <c r="F949" s="11">
        <f>MOD(punkt_szczepień__13[[#This Row],[liczba miesiac]],20)</f>
        <v>2</v>
      </c>
      <c r="G949" s="11">
        <f>VLOOKUP(punkt_szczepień__13[[#This Row],[liczba miesiac]]-punkt_szczepień__13[[#This Row],[miesiac]],$O$3:$P$7,2,0)+VALUE(LEFT(punkt_szczepień__13[[#This Row],[PESEL]],2))</f>
        <v>1932</v>
      </c>
      <c r="H949" s="11">
        <f>VALUE(RIGHT(LEFT(punkt_szczepień__13[[#This Row],[PESEL]],6),2))</f>
        <v>5</v>
      </c>
      <c r="I949" s="3">
        <f>DATE(punkt_szczepień__13[[#This Row],[rok]],punkt_szczepień__13[[#This Row],[miesiac]],punkt_szczepień__13[[#This Row],[dzień]])</f>
        <v>11724</v>
      </c>
      <c r="J949" s="1" t="str">
        <f>punkt_szczepień__13[[#This Row],[PESEL]]</f>
        <v>32020583272</v>
      </c>
      <c r="K949" s="1">
        <f>VALUE(MID(punkt_szczepień__13[[#This Row],[PESEL]],10,1))</f>
        <v>7</v>
      </c>
      <c r="L949" s="11" t="str">
        <f>IF(MOD(punkt_szczepień__13[[#This Row],[liczba płeć]],2)=0,"K","M")</f>
        <v>M</v>
      </c>
      <c r="M949" s="1"/>
      <c r="N949" s="1"/>
    </row>
    <row r="950" spans="1:14" x14ac:dyDescent="0.25">
      <c r="A950" s="1" t="s">
        <v>956</v>
      </c>
      <c r="B950" s="1" t="s">
        <v>9</v>
      </c>
      <c r="C950" s="2">
        <v>0.69270833333333337</v>
      </c>
      <c r="D950">
        <v>2</v>
      </c>
      <c r="E950">
        <f>VALUE(RIGHT(LEFT(punkt_szczepień__13[[#This Row],[PESEL]],4),2))</f>
        <v>32</v>
      </c>
      <c r="F950" s="11">
        <f>MOD(punkt_szczepień__13[[#This Row],[liczba miesiac]],20)</f>
        <v>12</v>
      </c>
      <c r="G950" s="11">
        <f>VLOOKUP(punkt_szczepień__13[[#This Row],[liczba miesiac]]-punkt_szczepień__13[[#This Row],[miesiac]],$O$3:$P$7,2,0)+VALUE(LEFT(punkt_szczepień__13[[#This Row],[PESEL]],2))</f>
        <v>2000</v>
      </c>
      <c r="H950" s="11">
        <f>VALUE(RIGHT(LEFT(punkt_szczepień__13[[#This Row],[PESEL]],6),2))</f>
        <v>29</v>
      </c>
      <c r="I950" s="3">
        <f>DATE(punkt_szczepień__13[[#This Row],[rok]],punkt_szczepień__13[[#This Row],[miesiac]],punkt_szczepień__13[[#This Row],[dzień]])</f>
        <v>36889</v>
      </c>
      <c r="J950" s="1" t="str">
        <f>punkt_szczepień__13[[#This Row],[PESEL]]</f>
        <v>00322971837</v>
      </c>
      <c r="K950" s="1">
        <f>VALUE(MID(punkt_szczepień__13[[#This Row],[PESEL]],10,1))</f>
        <v>3</v>
      </c>
      <c r="L950" s="11" t="str">
        <f>IF(MOD(punkt_szczepień__13[[#This Row],[liczba płeć]],2)=0,"K","M")</f>
        <v>M</v>
      </c>
      <c r="M950" s="1"/>
      <c r="N950" s="1"/>
    </row>
    <row r="951" spans="1:14" x14ac:dyDescent="0.25">
      <c r="A951" s="1" t="s">
        <v>957</v>
      </c>
      <c r="B951" s="1" t="s">
        <v>9</v>
      </c>
      <c r="C951" s="2">
        <v>0.69282407407407409</v>
      </c>
      <c r="D951">
        <v>2</v>
      </c>
      <c r="E951">
        <f>VALUE(RIGHT(LEFT(punkt_szczepień__13[[#This Row],[PESEL]],4),2))</f>
        <v>5</v>
      </c>
      <c r="F951" s="11">
        <f>MOD(punkt_szczepień__13[[#This Row],[liczba miesiac]],20)</f>
        <v>5</v>
      </c>
      <c r="G951" s="11">
        <f>VLOOKUP(punkt_szczepień__13[[#This Row],[liczba miesiac]]-punkt_szczepień__13[[#This Row],[miesiac]],$O$3:$P$7,2,0)+VALUE(LEFT(punkt_szczepień__13[[#This Row],[PESEL]],2))</f>
        <v>1964</v>
      </c>
      <c r="H951" s="11">
        <f>VALUE(RIGHT(LEFT(punkt_szczepień__13[[#This Row],[PESEL]],6),2))</f>
        <v>25</v>
      </c>
      <c r="I951" s="3">
        <f>DATE(punkt_szczepień__13[[#This Row],[rok]],punkt_szczepień__13[[#This Row],[miesiac]],punkt_szczepień__13[[#This Row],[dzień]])</f>
        <v>23522</v>
      </c>
      <c r="J951" s="1" t="str">
        <f>punkt_szczepień__13[[#This Row],[PESEL]]</f>
        <v>64052512173</v>
      </c>
      <c r="K951" s="1">
        <f>VALUE(MID(punkt_szczepień__13[[#This Row],[PESEL]],10,1))</f>
        <v>7</v>
      </c>
      <c r="L951" s="11" t="str">
        <f>IF(MOD(punkt_szczepień__13[[#This Row],[liczba płeć]],2)=0,"K","M")</f>
        <v>M</v>
      </c>
      <c r="M951" s="1"/>
      <c r="N951" s="1"/>
    </row>
    <row r="952" spans="1:14" x14ac:dyDescent="0.25">
      <c r="A952" s="1" t="s">
        <v>958</v>
      </c>
      <c r="B952" s="1" t="s">
        <v>9</v>
      </c>
      <c r="C952" s="2">
        <v>0.69305555555555554</v>
      </c>
      <c r="D952">
        <v>1</v>
      </c>
      <c r="E952">
        <f>VALUE(RIGHT(LEFT(punkt_szczepień__13[[#This Row],[PESEL]],4),2))</f>
        <v>3</v>
      </c>
      <c r="F952" s="11">
        <f>MOD(punkt_szczepień__13[[#This Row],[liczba miesiac]],20)</f>
        <v>3</v>
      </c>
      <c r="G952" s="11">
        <f>VLOOKUP(punkt_szczepień__13[[#This Row],[liczba miesiac]]-punkt_szczepień__13[[#This Row],[miesiac]],$O$3:$P$7,2,0)+VALUE(LEFT(punkt_szczepień__13[[#This Row],[PESEL]],2))</f>
        <v>1983</v>
      </c>
      <c r="H952" s="11">
        <f>VALUE(RIGHT(LEFT(punkt_szczepień__13[[#This Row],[PESEL]],6),2))</f>
        <v>5</v>
      </c>
      <c r="I952" s="3">
        <f>DATE(punkt_szczepień__13[[#This Row],[rok]],punkt_szczepień__13[[#This Row],[miesiac]],punkt_szczepień__13[[#This Row],[dzień]])</f>
        <v>30380</v>
      </c>
      <c r="J952" s="1" t="str">
        <f>punkt_szczepień__13[[#This Row],[PESEL]]</f>
        <v>83030581624</v>
      </c>
      <c r="K952" s="1">
        <f>VALUE(MID(punkt_szczepień__13[[#This Row],[PESEL]],10,1))</f>
        <v>2</v>
      </c>
      <c r="L952" s="11" t="str">
        <f>IF(MOD(punkt_szczepień__13[[#This Row],[liczba płeć]],2)=0,"K","M")</f>
        <v>K</v>
      </c>
      <c r="M952" s="1"/>
      <c r="N952" s="1"/>
    </row>
    <row r="953" spans="1:14" x14ac:dyDescent="0.25">
      <c r="A953" s="1" t="s">
        <v>959</v>
      </c>
      <c r="B953" s="1" t="s">
        <v>27</v>
      </c>
      <c r="C953" s="2">
        <v>0.69322916666666667</v>
      </c>
      <c r="D953">
        <v>1</v>
      </c>
      <c r="E953">
        <f>VALUE(RIGHT(LEFT(punkt_szczepień__13[[#This Row],[PESEL]],4),2))</f>
        <v>30</v>
      </c>
      <c r="F953" s="11">
        <f>MOD(punkt_szczepień__13[[#This Row],[liczba miesiac]],20)</f>
        <v>10</v>
      </c>
      <c r="G953" s="11">
        <f>VLOOKUP(punkt_szczepień__13[[#This Row],[liczba miesiac]]-punkt_szczepień__13[[#This Row],[miesiac]],$O$3:$P$7,2,0)+VALUE(LEFT(punkt_szczepień__13[[#This Row],[PESEL]],2))</f>
        <v>2008</v>
      </c>
      <c r="H953" s="11">
        <f>VALUE(RIGHT(LEFT(punkt_szczepień__13[[#This Row],[PESEL]],6),2))</f>
        <v>8</v>
      </c>
      <c r="I953" s="3">
        <f>DATE(punkt_szczepień__13[[#This Row],[rok]],punkt_szczepień__13[[#This Row],[miesiac]],punkt_szczepień__13[[#This Row],[dzień]])</f>
        <v>39729</v>
      </c>
      <c r="J953" s="1" t="str">
        <f>punkt_szczepień__13[[#This Row],[PESEL]]</f>
        <v>08300885789</v>
      </c>
      <c r="K953" s="1">
        <f>VALUE(MID(punkt_szczepień__13[[#This Row],[PESEL]],10,1))</f>
        <v>8</v>
      </c>
      <c r="L953" s="11" t="str">
        <f>IF(MOD(punkt_szczepień__13[[#This Row],[liczba płeć]],2)=0,"K","M")</f>
        <v>K</v>
      </c>
      <c r="M953" s="1"/>
      <c r="N953" s="1"/>
    </row>
    <row r="954" spans="1:14" x14ac:dyDescent="0.25">
      <c r="A954" s="1" t="s">
        <v>960</v>
      </c>
      <c r="B954" s="1" t="s">
        <v>7</v>
      </c>
      <c r="C954" s="2">
        <v>0.6933449074074074</v>
      </c>
      <c r="D954">
        <v>1</v>
      </c>
      <c r="E954">
        <f>VALUE(RIGHT(LEFT(punkt_szczepień__13[[#This Row],[PESEL]],4),2))</f>
        <v>23</v>
      </c>
      <c r="F954" s="11">
        <f>MOD(punkt_szczepień__13[[#This Row],[liczba miesiac]],20)</f>
        <v>3</v>
      </c>
      <c r="G954" s="11">
        <f>VLOOKUP(punkt_szczepień__13[[#This Row],[liczba miesiac]]-punkt_szczepień__13[[#This Row],[miesiac]],$O$3:$P$7,2,0)+VALUE(LEFT(punkt_szczepień__13[[#This Row],[PESEL]],2))</f>
        <v>2003</v>
      </c>
      <c r="H954" s="11">
        <f>VALUE(RIGHT(LEFT(punkt_szczepień__13[[#This Row],[PESEL]],6),2))</f>
        <v>17</v>
      </c>
      <c r="I954" s="3">
        <f>DATE(punkt_szczepień__13[[#This Row],[rok]],punkt_szczepień__13[[#This Row],[miesiac]],punkt_szczepień__13[[#This Row],[dzień]])</f>
        <v>37697</v>
      </c>
      <c r="J954" s="1" t="str">
        <f>punkt_szczepień__13[[#This Row],[PESEL]]</f>
        <v>03231736256</v>
      </c>
      <c r="K954" s="1">
        <f>VALUE(MID(punkt_szczepień__13[[#This Row],[PESEL]],10,1))</f>
        <v>5</v>
      </c>
      <c r="L954" s="11" t="str">
        <f>IF(MOD(punkt_szczepień__13[[#This Row],[liczba płeć]],2)=0,"K","M")</f>
        <v>M</v>
      </c>
      <c r="M954" s="1"/>
      <c r="N954" s="1"/>
    </row>
    <row r="955" spans="1:14" x14ac:dyDescent="0.25">
      <c r="A955" s="1" t="s">
        <v>961</v>
      </c>
      <c r="B955" s="1" t="s">
        <v>9</v>
      </c>
      <c r="C955" s="2">
        <v>0.69351851851851853</v>
      </c>
      <c r="D955">
        <v>2</v>
      </c>
      <c r="E955">
        <f>VALUE(RIGHT(LEFT(punkt_szczepień__13[[#This Row],[PESEL]],4),2))</f>
        <v>6</v>
      </c>
      <c r="F955" s="11">
        <f>MOD(punkt_szczepień__13[[#This Row],[liczba miesiac]],20)</f>
        <v>6</v>
      </c>
      <c r="G955" s="11">
        <f>VLOOKUP(punkt_szczepień__13[[#This Row],[liczba miesiac]]-punkt_szczepień__13[[#This Row],[miesiac]],$O$3:$P$7,2,0)+VALUE(LEFT(punkt_szczepień__13[[#This Row],[PESEL]],2))</f>
        <v>1947</v>
      </c>
      <c r="H955" s="11">
        <f>VALUE(RIGHT(LEFT(punkt_szczepień__13[[#This Row],[PESEL]],6),2))</f>
        <v>2</v>
      </c>
      <c r="I955" s="3">
        <f>DATE(punkt_szczepień__13[[#This Row],[rok]],punkt_szczepień__13[[#This Row],[miesiac]],punkt_szczepień__13[[#This Row],[dzień]])</f>
        <v>17320</v>
      </c>
      <c r="J955" s="1" t="str">
        <f>punkt_szczepień__13[[#This Row],[PESEL]]</f>
        <v>47060254295</v>
      </c>
      <c r="K955" s="1">
        <f>VALUE(MID(punkt_szczepień__13[[#This Row],[PESEL]],10,1))</f>
        <v>9</v>
      </c>
      <c r="L955" s="11" t="str">
        <f>IF(MOD(punkt_szczepień__13[[#This Row],[liczba płeć]],2)=0,"K","M")</f>
        <v>M</v>
      </c>
      <c r="M955" s="1"/>
      <c r="N955" s="1"/>
    </row>
    <row r="956" spans="1:14" x14ac:dyDescent="0.25">
      <c r="A956" s="1" t="s">
        <v>962</v>
      </c>
      <c r="B956" s="1" t="s">
        <v>7</v>
      </c>
      <c r="C956" s="2">
        <v>0.69374999999999998</v>
      </c>
      <c r="D956">
        <v>1</v>
      </c>
      <c r="E956">
        <f>VALUE(RIGHT(LEFT(punkt_szczepień__13[[#This Row],[PESEL]],4),2))</f>
        <v>9</v>
      </c>
      <c r="F956" s="11">
        <f>MOD(punkt_szczepień__13[[#This Row],[liczba miesiac]],20)</f>
        <v>9</v>
      </c>
      <c r="G956" s="11">
        <f>VLOOKUP(punkt_szczepień__13[[#This Row],[liczba miesiac]]-punkt_szczepień__13[[#This Row],[miesiac]],$O$3:$P$7,2,0)+VALUE(LEFT(punkt_szczepień__13[[#This Row],[PESEL]],2))</f>
        <v>1984</v>
      </c>
      <c r="H956" s="11">
        <f>VALUE(RIGHT(LEFT(punkt_szczepień__13[[#This Row],[PESEL]],6),2))</f>
        <v>3</v>
      </c>
      <c r="I956" s="3">
        <f>DATE(punkt_szczepień__13[[#This Row],[rok]],punkt_szczepień__13[[#This Row],[miesiac]],punkt_szczepień__13[[#This Row],[dzień]])</f>
        <v>30928</v>
      </c>
      <c r="J956" s="1" t="str">
        <f>punkt_szczepień__13[[#This Row],[PESEL]]</f>
        <v>84090377527</v>
      </c>
      <c r="K956" s="1">
        <f>VALUE(MID(punkt_szczepień__13[[#This Row],[PESEL]],10,1))</f>
        <v>2</v>
      </c>
      <c r="L956" s="11" t="str">
        <f>IF(MOD(punkt_szczepień__13[[#This Row],[liczba płeć]],2)=0,"K","M")</f>
        <v>K</v>
      </c>
      <c r="M956" s="1"/>
      <c r="N956" s="1"/>
    </row>
    <row r="957" spans="1:14" x14ac:dyDescent="0.25">
      <c r="A957" s="1" t="s">
        <v>963</v>
      </c>
      <c r="B957" s="1" t="s">
        <v>5</v>
      </c>
      <c r="C957" s="2">
        <v>0.6938657407407407</v>
      </c>
      <c r="D957">
        <v>2</v>
      </c>
      <c r="E957">
        <f>VALUE(RIGHT(LEFT(punkt_szczepień__13[[#This Row],[PESEL]],4),2))</f>
        <v>1</v>
      </c>
      <c r="F957" s="11">
        <f>MOD(punkt_szczepień__13[[#This Row],[liczba miesiac]],20)</f>
        <v>1</v>
      </c>
      <c r="G957" s="11">
        <f>VLOOKUP(punkt_szczepień__13[[#This Row],[liczba miesiac]]-punkt_szczepień__13[[#This Row],[miesiac]],$O$3:$P$7,2,0)+VALUE(LEFT(punkt_szczepień__13[[#This Row],[PESEL]],2))</f>
        <v>1947</v>
      </c>
      <c r="H957" s="11">
        <f>VALUE(RIGHT(LEFT(punkt_szczepień__13[[#This Row],[PESEL]],6),2))</f>
        <v>27</v>
      </c>
      <c r="I957" s="3">
        <f>DATE(punkt_szczepień__13[[#This Row],[rok]],punkt_szczepień__13[[#This Row],[miesiac]],punkt_szczepień__13[[#This Row],[dzień]])</f>
        <v>17194</v>
      </c>
      <c r="J957" s="1" t="str">
        <f>punkt_szczepień__13[[#This Row],[PESEL]]</f>
        <v>47012778262</v>
      </c>
      <c r="K957" s="1">
        <f>VALUE(MID(punkt_szczepień__13[[#This Row],[PESEL]],10,1))</f>
        <v>6</v>
      </c>
      <c r="L957" s="11" t="str">
        <f>IF(MOD(punkt_szczepień__13[[#This Row],[liczba płeć]],2)=0,"K","M")</f>
        <v>K</v>
      </c>
      <c r="M957" s="1"/>
      <c r="N957" s="1"/>
    </row>
    <row r="958" spans="1:14" x14ac:dyDescent="0.25">
      <c r="A958" s="1" t="s">
        <v>964</v>
      </c>
      <c r="B958" s="1" t="s">
        <v>7</v>
      </c>
      <c r="C958" s="2">
        <v>0.69403935185185184</v>
      </c>
      <c r="D958">
        <v>1</v>
      </c>
      <c r="E958">
        <f>VALUE(RIGHT(LEFT(punkt_szczepień__13[[#This Row],[PESEL]],4),2))</f>
        <v>8</v>
      </c>
      <c r="F958" s="11">
        <f>MOD(punkt_szczepień__13[[#This Row],[liczba miesiac]],20)</f>
        <v>8</v>
      </c>
      <c r="G958" s="11">
        <f>VLOOKUP(punkt_szczepień__13[[#This Row],[liczba miesiac]]-punkt_szczepień__13[[#This Row],[miesiac]],$O$3:$P$7,2,0)+VALUE(LEFT(punkt_szczepień__13[[#This Row],[PESEL]],2))</f>
        <v>1944</v>
      </c>
      <c r="H958" s="11">
        <f>VALUE(RIGHT(LEFT(punkt_szczepień__13[[#This Row],[PESEL]],6),2))</f>
        <v>18</v>
      </c>
      <c r="I958" s="3">
        <f>DATE(punkt_szczepień__13[[#This Row],[rok]],punkt_szczepień__13[[#This Row],[miesiac]],punkt_szczepień__13[[#This Row],[dzień]])</f>
        <v>16302</v>
      </c>
      <c r="J958" s="1" t="str">
        <f>punkt_szczepień__13[[#This Row],[PESEL]]</f>
        <v>44081827574</v>
      </c>
      <c r="K958" s="1">
        <f>VALUE(MID(punkt_szczepień__13[[#This Row],[PESEL]],10,1))</f>
        <v>7</v>
      </c>
      <c r="L958" s="11" t="str">
        <f>IF(MOD(punkt_szczepień__13[[#This Row],[liczba płeć]],2)=0,"K","M")</f>
        <v>M</v>
      </c>
      <c r="M958" s="1"/>
      <c r="N958" s="1"/>
    </row>
    <row r="959" spans="1:14" x14ac:dyDescent="0.25">
      <c r="A959" s="1" t="s">
        <v>965</v>
      </c>
      <c r="B959" s="1" t="s">
        <v>9</v>
      </c>
      <c r="C959" s="2">
        <v>0.69415509259259256</v>
      </c>
      <c r="D959">
        <v>2</v>
      </c>
      <c r="E959">
        <f>VALUE(RIGHT(LEFT(punkt_szczepień__13[[#This Row],[PESEL]],4),2))</f>
        <v>3</v>
      </c>
      <c r="F959" s="11">
        <f>MOD(punkt_szczepień__13[[#This Row],[liczba miesiac]],20)</f>
        <v>3</v>
      </c>
      <c r="G959" s="11">
        <f>VLOOKUP(punkt_szczepień__13[[#This Row],[liczba miesiac]]-punkt_szczepień__13[[#This Row],[miesiac]],$O$3:$P$7,2,0)+VALUE(LEFT(punkt_szczepień__13[[#This Row],[PESEL]],2))</f>
        <v>1970</v>
      </c>
      <c r="H959" s="11">
        <f>VALUE(RIGHT(LEFT(punkt_szczepień__13[[#This Row],[PESEL]],6),2))</f>
        <v>15</v>
      </c>
      <c r="I959" s="3">
        <f>DATE(punkt_szczepień__13[[#This Row],[rok]],punkt_szczepień__13[[#This Row],[miesiac]],punkt_szczepień__13[[#This Row],[dzień]])</f>
        <v>25642</v>
      </c>
      <c r="J959" s="1" t="str">
        <f>punkt_szczepień__13[[#This Row],[PESEL]]</f>
        <v>70031559431</v>
      </c>
      <c r="K959" s="1">
        <f>VALUE(MID(punkt_szczepień__13[[#This Row],[PESEL]],10,1))</f>
        <v>3</v>
      </c>
      <c r="L959" s="11" t="str">
        <f>IF(MOD(punkt_szczepień__13[[#This Row],[liczba płeć]],2)=0,"K","M")</f>
        <v>M</v>
      </c>
      <c r="M959" s="1"/>
      <c r="N959" s="1"/>
    </row>
    <row r="960" spans="1:14" x14ac:dyDescent="0.25">
      <c r="A960" s="1" t="s">
        <v>966</v>
      </c>
      <c r="B960" s="1" t="s">
        <v>7</v>
      </c>
      <c r="C960" s="2">
        <v>0.6943287037037037</v>
      </c>
      <c r="D960">
        <v>1</v>
      </c>
      <c r="E960">
        <f>VALUE(RIGHT(LEFT(punkt_szczepień__13[[#This Row],[PESEL]],4),2))</f>
        <v>8</v>
      </c>
      <c r="F960" s="11">
        <f>MOD(punkt_szczepień__13[[#This Row],[liczba miesiac]],20)</f>
        <v>8</v>
      </c>
      <c r="G960" s="11">
        <f>VLOOKUP(punkt_szczepień__13[[#This Row],[liczba miesiac]]-punkt_szczepień__13[[#This Row],[miesiac]],$O$3:$P$7,2,0)+VALUE(LEFT(punkt_szczepień__13[[#This Row],[PESEL]],2))</f>
        <v>1970</v>
      </c>
      <c r="H960" s="11">
        <f>VALUE(RIGHT(LEFT(punkt_szczepień__13[[#This Row],[PESEL]],6),2))</f>
        <v>3</v>
      </c>
      <c r="I960" s="3">
        <f>DATE(punkt_szczepień__13[[#This Row],[rok]],punkt_szczepień__13[[#This Row],[miesiac]],punkt_szczepień__13[[#This Row],[dzień]])</f>
        <v>25783</v>
      </c>
      <c r="J960" s="1" t="str">
        <f>punkt_szczepień__13[[#This Row],[PESEL]]</f>
        <v>70080391567</v>
      </c>
      <c r="K960" s="1">
        <f>VALUE(MID(punkt_szczepień__13[[#This Row],[PESEL]],10,1))</f>
        <v>6</v>
      </c>
      <c r="L960" s="11" t="str">
        <f>IF(MOD(punkt_szczepień__13[[#This Row],[liczba płeć]],2)=0,"K","M")</f>
        <v>K</v>
      </c>
      <c r="M960" s="1"/>
      <c r="N960" s="1"/>
    </row>
    <row r="961" spans="1:14" x14ac:dyDescent="0.25">
      <c r="A961" s="1" t="s">
        <v>967</v>
      </c>
      <c r="B961" s="1" t="s">
        <v>5</v>
      </c>
      <c r="C961" s="2">
        <v>0.69450231481481484</v>
      </c>
      <c r="D961">
        <v>1</v>
      </c>
      <c r="E961">
        <f>VALUE(RIGHT(LEFT(punkt_szczepień__13[[#This Row],[PESEL]],4),2))</f>
        <v>4</v>
      </c>
      <c r="F961" s="11">
        <f>MOD(punkt_szczepień__13[[#This Row],[liczba miesiac]],20)</f>
        <v>4</v>
      </c>
      <c r="G961" s="11">
        <f>VLOOKUP(punkt_szczepień__13[[#This Row],[liczba miesiac]]-punkt_szczepień__13[[#This Row],[miesiac]],$O$3:$P$7,2,0)+VALUE(LEFT(punkt_szczepień__13[[#This Row],[PESEL]],2))</f>
        <v>1930</v>
      </c>
      <c r="H961" s="11">
        <f>VALUE(RIGHT(LEFT(punkt_szczepień__13[[#This Row],[PESEL]],6),2))</f>
        <v>30</v>
      </c>
      <c r="I961" s="3">
        <f>DATE(punkt_szczepień__13[[#This Row],[rok]],punkt_szczepień__13[[#This Row],[miesiac]],punkt_szczepień__13[[#This Row],[dzień]])</f>
        <v>11078</v>
      </c>
      <c r="J961" s="1" t="str">
        <f>punkt_szczepień__13[[#This Row],[PESEL]]</f>
        <v>30043041872</v>
      </c>
      <c r="K961" s="1">
        <f>VALUE(MID(punkt_szczepień__13[[#This Row],[PESEL]],10,1))</f>
        <v>7</v>
      </c>
      <c r="L961" s="11" t="str">
        <f>IF(MOD(punkt_szczepień__13[[#This Row],[liczba płeć]],2)=0,"K","M")</f>
        <v>M</v>
      </c>
      <c r="M961" s="1"/>
      <c r="N961" s="1"/>
    </row>
    <row r="962" spans="1:14" x14ac:dyDescent="0.25">
      <c r="A962" s="1" t="s">
        <v>968</v>
      </c>
      <c r="B962" s="1" t="s">
        <v>7</v>
      </c>
      <c r="C962" s="2">
        <v>0.69461805555555556</v>
      </c>
      <c r="D962">
        <v>1</v>
      </c>
      <c r="E962">
        <f>VALUE(RIGHT(LEFT(punkt_szczepień__13[[#This Row],[PESEL]],4),2))</f>
        <v>2</v>
      </c>
      <c r="F962" s="11">
        <f>MOD(punkt_szczepień__13[[#This Row],[liczba miesiac]],20)</f>
        <v>2</v>
      </c>
      <c r="G962" s="11">
        <f>VLOOKUP(punkt_szczepień__13[[#This Row],[liczba miesiac]]-punkt_szczepień__13[[#This Row],[miesiac]],$O$3:$P$7,2,0)+VALUE(LEFT(punkt_szczepień__13[[#This Row],[PESEL]],2))</f>
        <v>1947</v>
      </c>
      <c r="H962" s="11">
        <f>VALUE(RIGHT(LEFT(punkt_szczepień__13[[#This Row],[PESEL]],6),2))</f>
        <v>28</v>
      </c>
      <c r="I962" s="3">
        <f>DATE(punkt_szczepień__13[[#This Row],[rok]],punkt_szczepień__13[[#This Row],[miesiac]],punkt_szczepień__13[[#This Row],[dzień]])</f>
        <v>17226</v>
      </c>
      <c r="J962" s="1" t="str">
        <f>punkt_szczepień__13[[#This Row],[PESEL]]</f>
        <v>47022815696</v>
      </c>
      <c r="K962" s="1">
        <f>VALUE(MID(punkt_szczepień__13[[#This Row],[PESEL]],10,1))</f>
        <v>9</v>
      </c>
      <c r="L962" s="11" t="str">
        <f>IF(MOD(punkt_szczepień__13[[#This Row],[liczba płeć]],2)=0,"K","M")</f>
        <v>M</v>
      </c>
      <c r="M962" s="1"/>
      <c r="N962" s="1"/>
    </row>
    <row r="963" spans="1:14" x14ac:dyDescent="0.25">
      <c r="A963" s="1" t="s">
        <v>969</v>
      </c>
      <c r="B963" s="1" t="s">
        <v>5</v>
      </c>
      <c r="C963" s="2">
        <v>0.69490740740740742</v>
      </c>
      <c r="D963">
        <v>2</v>
      </c>
      <c r="E963">
        <f>VALUE(RIGHT(LEFT(punkt_szczepień__13[[#This Row],[PESEL]],4),2))</f>
        <v>28</v>
      </c>
      <c r="F963" s="11">
        <f>MOD(punkt_szczepień__13[[#This Row],[liczba miesiac]],20)</f>
        <v>8</v>
      </c>
      <c r="G963" s="11">
        <f>VLOOKUP(punkt_szczepień__13[[#This Row],[liczba miesiac]]-punkt_szczepień__13[[#This Row],[miesiac]],$O$3:$P$7,2,0)+VALUE(LEFT(punkt_szczepień__13[[#This Row],[PESEL]],2))</f>
        <v>2002</v>
      </c>
      <c r="H963" s="11">
        <f>VALUE(RIGHT(LEFT(punkt_szczepień__13[[#This Row],[PESEL]],6),2))</f>
        <v>24</v>
      </c>
      <c r="I963" s="3">
        <f>DATE(punkt_szczepień__13[[#This Row],[rok]],punkt_szczepień__13[[#This Row],[miesiac]],punkt_szczepień__13[[#This Row],[dzień]])</f>
        <v>37492</v>
      </c>
      <c r="J963" s="1" t="str">
        <f>punkt_szczepień__13[[#This Row],[PESEL]]</f>
        <v>02282423874</v>
      </c>
      <c r="K963" s="1">
        <f>VALUE(MID(punkt_szczepień__13[[#This Row],[PESEL]],10,1))</f>
        <v>7</v>
      </c>
      <c r="L963" s="11" t="str">
        <f>IF(MOD(punkt_szczepień__13[[#This Row],[liczba płeć]],2)=0,"K","M")</f>
        <v>M</v>
      </c>
      <c r="M963" s="1"/>
      <c r="N963" s="1"/>
    </row>
    <row r="964" spans="1:14" x14ac:dyDescent="0.25">
      <c r="A964" s="1" t="s">
        <v>970</v>
      </c>
      <c r="B964" s="1" t="s">
        <v>7</v>
      </c>
      <c r="C964" s="2">
        <v>0.69513888888888886</v>
      </c>
      <c r="D964">
        <v>1</v>
      </c>
      <c r="E964">
        <f>VALUE(RIGHT(LEFT(punkt_szczepień__13[[#This Row],[PESEL]],4),2))</f>
        <v>10</v>
      </c>
      <c r="F964" s="11">
        <f>MOD(punkt_szczepień__13[[#This Row],[liczba miesiac]],20)</f>
        <v>10</v>
      </c>
      <c r="G964" s="11">
        <f>VLOOKUP(punkt_szczepień__13[[#This Row],[liczba miesiac]]-punkt_szczepień__13[[#This Row],[miesiac]],$O$3:$P$7,2,0)+VALUE(LEFT(punkt_szczepień__13[[#This Row],[PESEL]],2))</f>
        <v>1981</v>
      </c>
      <c r="H964" s="11">
        <f>VALUE(RIGHT(LEFT(punkt_szczepień__13[[#This Row],[PESEL]],6),2))</f>
        <v>22</v>
      </c>
      <c r="I964" s="3">
        <f>DATE(punkt_szczepień__13[[#This Row],[rok]],punkt_szczepień__13[[#This Row],[miesiac]],punkt_szczepień__13[[#This Row],[dzień]])</f>
        <v>29881</v>
      </c>
      <c r="J964" s="1" t="str">
        <f>punkt_szczepień__13[[#This Row],[PESEL]]</f>
        <v>81102259213</v>
      </c>
      <c r="K964" s="1">
        <f>VALUE(MID(punkt_szczepień__13[[#This Row],[PESEL]],10,1))</f>
        <v>1</v>
      </c>
      <c r="L964" s="11" t="str">
        <f>IF(MOD(punkt_szczepień__13[[#This Row],[liczba płeć]],2)=0,"K","M")</f>
        <v>M</v>
      </c>
      <c r="M964" s="1"/>
      <c r="N964" s="1"/>
    </row>
    <row r="965" spans="1:14" x14ac:dyDescent="0.25">
      <c r="A965" s="1" t="s">
        <v>971</v>
      </c>
      <c r="B965" s="1" t="s">
        <v>5</v>
      </c>
      <c r="C965" s="2">
        <v>0.6953125</v>
      </c>
      <c r="D965">
        <v>2</v>
      </c>
      <c r="E965">
        <f>VALUE(RIGHT(LEFT(punkt_szczepień__13[[#This Row],[PESEL]],4),2))</f>
        <v>2</v>
      </c>
      <c r="F965" s="11">
        <f>MOD(punkt_szczepień__13[[#This Row],[liczba miesiac]],20)</f>
        <v>2</v>
      </c>
      <c r="G965" s="11">
        <f>VLOOKUP(punkt_szczepień__13[[#This Row],[liczba miesiac]]-punkt_szczepień__13[[#This Row],[miesiac]],$O$3:$P$7,2,0)+VALUE(LEFT(punkt_szczepień__13[[#This Row],[PESEL]],2))</f>
        <v>1997</v>
      </c>
      <c r="H965" s="11">
        <f>VALUE(RIGHT(LEFT(punkt_szczepień__13[[#This Row],[PESEL]],6),2))</f>
        <v>16</v>
      </c>
      <c r="I965" s="3">
        <f>DATE(punkt_szczepień__13[[#This Row],[rok]],punkt_szczepień__13[[#This Row],[miesiac]],punkt_szczepień__13[[#This Row],[dzień]])</f>
        <v>35477</v>
      </c>
      <c r="J965" s="1" t="str">
        <f>punkt_szczepień__13[[#This Row],[PESEL]]</f>
        <v>97021668337</v>
      </c>
      <c r="K965" s="1">
        <f>VALUE(MID(punkt_szczepień__13[[#This Row],[PESEL]],10,1))</f>
        <v>3</v>
      </c>
      <c r="L965" s="11" t="str">
        <f>IF(MOD(punkt_szczepień__13[[#This Row],[liczba płeć]],2)=0,"K","M")</f>
        <v>M</v>
      </c>
      <c r="M965" s="1"/>
      <c r="N965" s="1"/>
    </row>
    <row r="966" spans="1:14" x14ac:dyDescent="0.25">
      <c r="A966" s="1" t="s">
        <v>972</v>
      </c>
      <c r="B966" s="1" t="s">
        <v>9</v>
      </c>
      <c r="C966" s="2">
        <v>0.69554398148148144</v>
      </c>
      <c r="D966">
        <v>2</v>
      </c>
      <c r="E966">
        <f>VALUE(RIGHT(LEFT(punkt_szczepień__13[[#This Row],[PESEL]],4),2))</f>
        <v>10</v>
      </c>
      <c r="F966" s="11">
        <f>MOD(punkt_szczepień__13[[#This Row],[liczba miesiac]],20)</f>
        <v>10</v>
      </c>
      <c r="G966" s="11">
        <f>VLOOKUP(punkt_szczepień__13[[#This Row],[liczba miesiac]]-punkt_szczepień__13[[#This Row],[miesiac]],$O$3:$P$7,2,0)+VALUE(LEFT(punkt_szczepień__13[[#This Row],[PESEL]],2))</f>
        <v>1941</v>
      </c>
      <c r="H966" s="11">
        <f>VALUE(RIGHT(LEFT(punkt_szczepień__13[[#This Row],[PESEL]],6),2))</f>
        <v>16</v>
      </c>
      <c r="I966" s="3">
        <f>DATE(punkt_szczepień__13[[#This Row],[rok]],punkt_szczepień__13[[#This Row],[miesiac]],punkt_szczepień__13[[#This Row],[dzień]])</f>
        <v>15265</v>
      </c>
      <c r="J966" s="1" t="str">
        <f>punkt_szczepień__13[[#This Row],[PESEL]]</f>
        <v>41101655649</v>
      </c>
      <c r="K966" s="1">
        <f>VALUE(MID(punkt_szczepień__13[[#This Row],[PESEL]],10,1))</f>
        <v>4</v>
      </c>
      <c r="L966" s="11" t="str">
        <f>IF(MOD(punkt_szczepień__13[[#This Row],[liczba płeć]],2)=0,"K","M")</f>
        <v>K</v>
      </c>
      <c r="M966" s="1"/>
      <c r="N966" s="1"/>
    </row>
    <row r="967" spans="1:14" x14ac:dyDescent="0.25">
      <c r="A967" s="1" t="s">
        <v>973</v>
      </c>
      <c r="B967" s="1" t="s">
        <v>9</v>
      </c>
      <c r="C967" s="2">
        <v>0.695775462962963</v>
      </c>
      <c r="D967">
        <v>1</v>
      </c>
      <c r="E967">
        <f>VALUE(RIGHT(LEFT(punkt_szczepień__13[[#This Row],[PESEL]],4),2))</f>
        <v>7</v>
      </c>
      <c r="F967" s="11">
        <f>MOD(punkt_szczepień__13[[#This Row],[liczba miesiac]],20)</f>
        <v>7</v>
      </c>
      <c r="G967" s="11">
        <f>VLOOKUP(punkt_szczepień__13[[#This Row],[liczba miesiac]]-punkt_szczepień__13[[#This Row],[miesiac]],$O$3:$P$7,2,0)+VALUE(LEFT(punkt_szczepień__13[[#This Row],[PESEL]],2))</f>
        <v>1930</v>
      </c>
      <c r="H967" s="11">
        <f>VALUE(RIGHT(LEFT(punkt_szczepień__13[[#This Row],[PESEL]],6),2))</f>
        <v>6</v>
      </c>
      <c r="I967" s="3">
        <f>DATE(punkt_szczepień__13[[#This Row],[rok]],punkt_szczepień__13[[#This Row],[miesiac]],punkt_szczepień__13[[#This Row],[dzień]])</f>
        <v>11145</v>
      </c>
      <c r="J967" s="1" t="str">
        <f>punkt_szczepień__13[[#This Row],[PESEL]]</f>
        <v>30070676591</v>
      </c>
      <c r="K967" s="1">
        <f>VALUE(MID(punkt_szczepień__13[[#This Row],[PESEL]],10,1))</f>
        <v>9</v>
      </c>
      <c r="L967" s="11" t="str">
        <f>IF(MOD(punkt_szczepień__13[[#This Row],[liczba płeć]],2)=0,"K","M")</f>
        <v>M</v>
      </c>
      <c r="M967" s="1"/>
      <c r="N967" s="1"/>
    </row>
    <row r="968" spans="1:14" x14ac:dyDescent="0.25">
      <c r="A968" s="1" t="s">
        <v>974</v>
      </c>
      <c r="B968" s="1" t="s">
        <v>7</v>
      </c>
      <c r="C968" s="2">
        <v>0.69600694444444444</v>
      </c>
      <c r="D968">
        <v>1</v>
      </c>
      <c r="E968">
        <f>VALUE(RIGHT(LEFT(punkt_szczepień__13[[#This Row],[PESEL]],4),2))</f>
        <v>3</v>
      </c>
      <c r="F968" s="11">
        <f>MOD(punkt_szczepień__13[[#This Row],[liczba miesiac]],20)</f>
        <v>3</v>
      </c>
      <c r="G968" s="11">
        <f>VLOOKUP(punkt_szczepień__13[[#This Row],[liczba miesiac]]-punkt_szczepień__13[[#This Row],[miesiac]],$O$3:$P$7,2,0)+VALUE(LEFT(punkt_szczepień__13[[#This Row],[PESEL]],2))</f>
        <v>1995</v>
      </c>
      <c r="H968" s="11">
        <f>VALUE(RIGHT(LEFT(punkt_szczepień__13[[#This Row],[PESEL]],6),2))</f>
        <v>30</v>
      </c>
      <c r="I968" s="3">
        <f>DATE(punkt_szczepień__13[[#This Row],[rok]],punkt_szczepień__13[[#This Row],[miesiac]],punkt_szczepień__13[[#This Row],[dzień]])</f>
        <v>34788</v>
      </c>
      <c r="J968" s="1" t="str">
        <f>punkt_szczepień__13[[#This Row],[PESEL]]</f>
        <v>95033053233</v>
      </c>
      <c r="K968" s="1">
        <f>VALUE(MID(punkt_szczepień__13[[#This Row],[PESEL]],10,1))</f>
        <v>3</v>
      </c>
      <c r="L968" s="11" t="str">
        <f>IF(MOD(punkt_szczepień__13[[#This Row],[liczba płeć]],2)=0,"K","M")</f>
        <v>M</v>
      </c>
      <c r="M968" s="1"/>
      <c r="N968" s="1"/>
    </row>
    <row r="969" spans="1:14" x14ac:dyDescent="0.25">
      <c r="A969" s="1" t="s">
        <v>975</v>
      </c>
      <c r="B969" s="1" t="s">
        <v>5</v>
      </c>
      <c r="C969" s="2">
        <v>0.69623842592592589</v>
      </c>
      <c r="D969">
        <v>1</v>
      </c>
      <c r="E969">
        <f>VALUE(RIGHT(LEFT(punkt_szczepień__13[[#This Row],[PESEL]],4),2))</f>
        <v>12</v>
      </c>
      <c r="F969" s="11">
        <f>MOD(punkt_szczepień__13[[#This Row],[liczba miesiac]],20)</f>
        <v>12</v>
      </c>
      <c r="G969" s="11">
        <f>VLOOKUP(punkt_szczepień__13[[#This Row],[liczba miesiac]]-punkt_szczepień__13[[#This Row],[miesiac]],$O$3:$P$7,2,0)+VALUE(LEFT(punkt_szczepień__13[[#This Row],[PESEL]],2))</f>
        <v>1974</v>
      </c>
      <c r="H969" s="11">
        <f>VALUE(RIGHT(LEFT(punkt_szczepień__13[[#This Row],[PESEL]],6),2))</f>
        <v>19</v>
      </c>
      <c r="I969" s="3">
        <f>DATE(punkt_szczepień__13[[#This Row],[rok]],punkt_szczepień__13[[#This Row],[miesiac]],punkt_szczepień__13[[#This Row],[dzień]])</f>
        <v>27382</v>
      </c>
      <c r="J969" s="1" t="str">
        <f>punkt_szczepień__13[[#This Row],[PESEL]]</f>
        <v>74121984617</v>
      </c>
      <c r="K969" s="1">
        <f>VALUE(MID(punkt_szczepień__13[[#This Row],[PESEL]],10,1))</f>
        <v>1</v>
      </c>
      <c r="L969" s="11" t="str">
        <f>IF(MOD(punkt_szczepień__13[[#This Row],[liczba płeć]],2)=0,"K","M")</f>
        <v>M</v>
      </c>
      <c r="M969" s="1"/>
      <c r="N969" s="1"/>
    </row>
    <row r="970" spans="1:14" x14ac:dyDescent="0.25">
      <c r="A970" s="1" t="s">
        <v>976</v>
      </c>
      <c r="B970" s="1" t="s">
        <v>9</v>
      </c>
      <c r="C970" s="2">
        <v>0.69646990740740744</v>
      </c>
      <c r="D970">
        <v>1</v>
      </c>
      <c r="E970">
        <f>VALUE(RIGHT(LEFT(punkt_szczepień__13[[#This Row],[PESEL]],4),2))</f>
        <v>12</v>
      </c>
      <c r="F970" s="11">
        <f>MOD(punkt_szczepień__13[[#This Row],[liczba miesiac]],20)</f>
        <v>12</v>
      </c>
      <c r="G970" s="11">
        <f>VLOOKUP(punkt_szczepień__13[[#This Row],[liczba miesiac]]-punkt_szczepień__13[[#This Row],[miesiac]],$O$3:$P$7,2,0)+VALUE(LEFT(punkt_szczepień__13[[#This Row],[PESEL]],2))</f>
        <v>1996</v>
      </c>
      <c r="H970" s="11">
        <f>VALUE(RIGHT(LEFT(punkt_szczepień__13[[#This Row],[PESEL]],6),2))</f>
        <v>18</v>
      </c>
      <c r="I970" s="3">
        <f>DATE(punkt_szczepień__13[[#This Row],[rok]],punkt_szczepień__13[[#This Row],[miesiac]],punkt_szczepień__13[[#This Row],[dzień]])</f>
        <v>35417</v>
      </c>
      <c r="J970" s="1" t="str">
        <f>punkt_szczepień__13[[#This Row],[PESEL]]</f>
        <v>96121877629</v>
      </c>
      <c r="K970" s="1">
        <f>VALUE(MID(punkt_szczepień__13[[#This Row],[PESEL]],10,1))</f>
        <v>2</v>
      </c>
      <c r="L970" s="11" t="str">
        <f>IF(MOD(punkt_szczepień__13[[#This Row],[liczba płeć]],2)=0,"K","M")</f>
        <v>K</v>
      </c>
      <c r="M970" s="1"/>
      <c r="N970" s="1"/>
    </row>
    <row r="971" spans="1:14" x14ac:dyDescent="0.25">
      <c r="A971" s="1" t="s">
        <v>977</v>
      </c>
      <c r="B971" s="1" t="s">
        <v>7</v>
      </c>
      <c r="C971" s="2">
        <v>0.69664351851851847</v>
      </c>
      <c r="D971">
        <v>1</v>
      </c>
      <c r="E971">
        <f>VALUE(RIGHT(LEFT(punkt_szczepień__13[[#This Row],[PESEL]],4),2))</f>
        <v>2</v>
      </c>
      <c r="F971" s="11">
        <f>MOD(punkt_szczepień__13[[#This Row],[liczba miesiac]],20)</f>
        <v>2</v>
      </c>
      <c r="G971" s="11">
        <f>VLOOKUP(punkt_szczepień__13[[#This Row],[liczba miesiac]]-punkt_szczepień__13[[#This Row],[miesiac]],$O$3:$P$7,2,0)+VALUE(LEFT(punkt_szczepień__13[[#This Row],[PESEL]],2))</f>
        <v>1982</v>
      </c>
      <c r="H971" s="11">
        <f>VALUE(RIGHT(LEFT(punkt_szczepień__13[[#This Row],[PESEL]],6),2))</f>
        <v>2</v>
      </c>
      <c r="I971" s="3">
        <f>DATE(punkt_szczepień__13[[#This Row],[rok]],punkt_szczepień__13[[#This Row],[miesiac]],punkt_szczepień__13[[#This Row],[dzień]])</f>
        <v>29984</v>
      </c>
      <c r="J971" s="1" t="str">
        <f>punkt_szczepień__13[[#This Row],[PESEL]]</f>
        <v>82020224149</v>
      </c>
      <c r="K971" s="1">
        <f>VALUE(MID(punkt_szczepień__13[[#This Row],[PESEL]],10,1))</f>
        <v>4</v>
      </c>
      <c r="L971" s="11" t="str">
        <f>IF(MOD(punkt_szczepień__13[[#This Row],[liczba płeć]],2)=0,"K","M")</f>
        <v>K</v>
      </c>
      <c r="M971" s="1"/>
      <c r="N971" s="1"/>
    </row>
    <row r="972" spans="1:14" x14ac:dyDescent="0.25">
      <c r="A972" s="1" t="s">
        <v>978</v>
      </c>
      <c r="B972" s="1" t="s">
        <v>5</v>
      </c>
      <c r="C972" s="2">
        <v>0.69681712962962961</v>
      </c>
      <c r="D972">
        <v>2</v>
      </c>
      <c r="E972">
        <f>VALUE(RIGHT(LEFT(punkt_szczepień__13[[#This Row],[PESEL]],4),2))</f>
        <v>10</v>
      </c>
      <c r="F972" s="11">
        <f>MOD(punkt_szczepień__13[[#This Row],[liczba miesiac]],20)</f>
        <v>10</v>
      </c>
      <c r="G972" s="11">
        <f>VLOOKUP(punkt_szczepień__13[[#This Row],[liczba miesiac]]-punkt_szczepień__13[[#This Row],[miesiac]],$O$3:$P$7,2,0)+VALUE(LEFT(punkt_szczepień__13[[#This Row],[PESEL]],2))</f>
        <v>1942</v>
      </c>
      <c r="H972" s="11">
        <f>VALUE(RIGHT(LEFT(punkt_szczepień__13[[#This Row],[PESEL]],6),2))</f>
        <v>12</v>
      </c>
      <c r="I972" s="3">
        <f>DATE(punkt_szczepień__13[[#This Row],[rok]],punkt_szczepień__13[[#This Row],[miesiac]],punkt_szczepień__13[[#This Row],[dzień]])</f>
        <v>15626</v>
      </c>
      <c r="J972" s="1" t="str">
        <f>punkt_szczepień__13[[#This Row],[PESEL]]</f>
        <v>42101274155</v>
      </c>
      <c r="K972" s="1">
        <f>VALUE(MID(punkt_szczepień__13[[#This Row],[PESEL]],10,1))</f>
        <v>5</v>
      </c>
      <c r="L972" s="11" t="str">
        <f>IF(MOD(punkt_szczepień__13[[#This Row],[liczba płeć]],2)=0,"K","M")</f>
        <v>M</v>
      </c>
      <c r="M972" s="1"/>
      <c r="N972" s="1"/>
    </row>
    <row r="973" spans="1:14" x14ac:dyDescent="0.25">
      <c r="A973" s="1" t="s">
        <v>979</v>
      </c>
      <c r="B973" s="1" t="s">
        <v>7</v>
      </c>
      <c r="C973" s="2">
        <v>0.69704861111111116</v>
      </c>
      <c r="D973">
        <v>1</v>
      </c>
      <c r="E973">
        <f>VALUE(RIGHT(LEFT(punkt_szczepień__13[[#This Row],[PESEL]],4),2))</f>
        <v>4</v>
      </c>
      <c r="F973" s="11">
        <f>MOD(punkt_szczepień__13[[#This Row],[liczba miesiac]],20)</f>
        <v>4</v>
      </c>
      <c r="G973" s="11">
        <f>VLOOKUP(punkt_szczepień__13[[#This Row],[liczba miesiac]]-punkt_szczepień__13[[#This Row],[miesiac]],$O$3:$P$7,2,0)+VALUE(LEFT(punkt_szczepień__13[[#This Row],[PESEL]],2))</f>
        <v>1942</v>
      </c>
      <c r="H973" s="11">
        <f>VALUE(RIGHT(LEFT(punkt_szczepień__13[[#This Row],[PESEL]],6),2))</f>
        <v>15</v>
      </c>
      <c r="I973" s="3">
        <f>DATE(punkt_szczepień__13[[#This Row],[rok]],punkt_szczepień__13[[#This Row],[miesiac]],punkt_szczepień__13[[#This Row],[dzień]])</f>
        <v>15446</v>
      </c>
      <c r="J973" s="1" t="str">
        <f>punkt_szczepień__13[[#This Row],[PESEL]]</f>
        <v>42041525276</v>
      </c>
      <c r="K973" s="1">
        <f>VALUE(MID(punkt_szczepień__13[[#This Row],[PESEL]],10,1))</f>
        <v>7</v>
      </c>
      <c r="L973" s="11" t="str">
        <f>IF(MOD(punkt_szczepień__13[[#This Row],[liczba płeć]],2)=0,"K","M")</f>
        <v>M</v>
      </c>
      <c r="M973" s="1"/>
      <c r="N973" s="1"/>
    </row>
    <row r="974" spans="1:14" x14ac:dyDescent="0.25">
      <c r="A974" s="1" t="s">
        <v>980</v>
      </c>
      <c r="B974" s="1" t="s">
        <v>5</v>
      </c>
      <c r="C974" s="2">
        <v>0.69733796296296291</v>
      </c>
      <c r="D974">
        <v>1</v>
      </c>
      <c r="E974">
        <f>VALUE(RIGHT(LEFT(punkt_szczepień__13[[#This Row],[PESEL]],4),2))</f>
        <v>7</v>
      </c>
      <c r="F974" s="11">
        <f>MOD(punkt_szczepień__13[[#This Row],[liczba miesiac]],20)</f>
        <v>7</v>
      </c>
      <c r="G974" s="11">
        <f>VLOOKUP(punkt_szczepień__13[[#This Row],[liczba miesiac]]-punkt_szczepień__13[[#This Row],[miesiac]],$O$3:$P$7,2,0)+VALUE(LEFT(punkt_szczepień__13[[#This Row],[PESEL]],2))</f>
        <v>1921</v>
      </c>
      <c r="H974" s="11">
        <f>VALUE(RIGHT(LEFT(punkt_szczepień__13[[#This Row],[PESEL]],6),2))</f>
        <v>16</v>
      </c>
      <c r="I974" s="3">
        <f>DATE(punkt_szczepień__13[[#This Row],[rok]],punkt_szczepień__13[[#This Row],[miesiac]],punkt_szczepień__13[[#This Row],[dzień]])</f>
        <v>7868</v>
      </c>
      <c r="J974" s="1" t="str">
        <f>punkt_szczepień__13[[#This Row],[PESEL]]</f>
        <v>21071654248</v>
      </c>
      <c r="K974" s="1">
        <f>VALUE(MID(punkt_szczepień__13[[#This Row],[PESEL]],10,1))</f>
        <v>4</v>
      </c>
      <c r="L974" s="11" t="str">
        <f>IF(MOD(punkt_szczepień__13[[#This Row],[liczba płeć]],2)=0,"K","M")</f>
        <v>K</v>
      </c>
      <c r="M974" s="1"/>
      <c r="N974" s="1"/>
    </row>
    <row r="975" spans="1:14" x14ac:dyDescent="0.25">
      <c r="A975" s="1" t="s">
        <v>981</v>
      </c>
      <c r="B975" s="1" t="s">
        <v>9</v>
      </c>
      <c r="C975" s="2">
        <v>0.69751157407407405</v>
      </c>
      <c r="D975">
        <v>2</v>
      </c>
      <c r="E975">
        <f>VALUE(RIGHT(LEFT(punkt_szczepień__13[[#This Row],[PESEL]],4),2))</f>
        <v>22</v>
      </c>
      <c r="F975" s="11">
        <f>MOD(punkt_szczepień__13[[#This Row],[liczba miesiac]],20)</f>
        <v>2</v>
      </c>
      <c r="G975" s="11">
        <f>VLOOKUP(punkt_szczepień__13[[#This Row],[liczba miesiac]]-punkt_szczepień__13[[#This Row],[miesiac]],$O$3:$P$7,2,0)+VALUE(LEFT(punkt_szczepień__13[[#This Row],[PESEL]],2))</f>
        <v>2001</v>
      </c>
      <c r="H975" s="11">
        <f>VALUE(RIGHT(LEFT(punkt_szczepień__13[[#This Row],[PESEL]],6),2))</f>
        <v>3</v>
      </c>
      <c r="I975" s="3">
        <f>DATE(punkt_szczepień__13[[#This Row],[rok]],punkt_szczepień__13[[#This Row],[miesiac]],punkt_szczepień__13[[#This Row],[dzień]])</f>
        <v>36925</v>
      </c>
      <c r="J975" s="1" t="str">
        <f>punkt_szczepień__13[[#This Row],[PESEL]]</f>
        <v>01220393556</v>
      </c>
      <c r="K975" s="1">
        <f>VALUE(MID(punkt_szczepień__13[[#This Row],[PESEL]],10,1))</f>
        <v>5</v>
      </c>
      <c r="L975" s="11" t="str">
        <f>IF(MOD(punkt_szczepień__13[[#This Row],[liczba płeć]],2)=0,"K","M")</f>
        <v>M</v>
      </c>
      <c r="M975" s="1"/>
      <c r="N975" s="1"/>
    </row>
    <row r="976" spans="1:14" x14ac:dyDescent="0.25">
      <c r="A976" s="1" t="s">
        <v>982</v>
      </c>
      <c r="B976" s="1" t="s">
        <v>9</v>
      </c>
      <c r="C976" s="2">
        <v>0.69768518518518519</v>
      </c>
      <c r="D976">
        <v>1</v>
      </c>
      <c r="E976">
        <f>VALUE(RIGHT(LEFT(punkt_szczepień__13[[#This Row],[PESEL]],4),2))</f>
        <v>12</v>
      </c>
      <c r="F976" s="11">
        <f>MOD(punkt_szczepień__13[[#This Row],[liczba miesiac]],20)</f>
        <v>12</v>
      </c>
      <c r="G976" s="11">
        <f>VLOOKUP(punkt_szczepień__13[[#This Row],[liczba miesiac]]-punkt_szczepień__13[[#This Row],[miesiac]],$O$3:$P$7,2,0)+VALUE(LEFT(punkt_szczepień__13[[#This Row],[PESEL]],2))</f>
        <v>1991</v>
      </c>
      <c r="H976" s="11">
        <f>VALUE(RIGHT(LEFT(punkt_szczepień__13[[#This Row],[PESEL]],6),2))</f>
        <v>10</v>
      </c>
      <c r="I976" s="3">
        <f>DATE(punkt_szczepień__13[[#This Row],[rok]],punkt_szczepień__13[[#This Row],[miesiac]],punkt_szczepień__13[[#This Row],[dzień]])</f>
        <v>33582</v>
      </c>
      <c r="J976" s="1" t="str">
        <f>punkt_szczepień__13[[#This Row],[PESEL]]</f>
        <v>91121039154</v>
      </c>
      <c r="K976" s="1">
        <f>VALUE(MID(punkt_szczepień__13[[#This Row],[PESEL]],10,1))</f>
        <v>5</v>
      </c>
      <c r="L976" s="11" t="str">
        <f>IF(MOD(punkt_szczepień__13[[#This Row],[liczba płeć]],2)=0,"K","M")</f>
        <v>M</v>
      </c>
      <c r="M976" s="1"/>
      <c r="N976" s="1"/>
    </row>
    <row r="977" spans="1:14" x14ac:dyDescent="0.25">
      <c r="A977" s="1" t="s">
        <v>983</v>
      </c>
      <c r="B977" s="1" t="s">
        <v>7</v>
      </c>
      <c r="C977" s="2">
        <v>0.69803240740740746</v>
      </c>
      <c r="D977">
        <v>1</v>
      </c>
      <c r="E977">
        <f>VALUE(RIGHT(LEFT(punkt_szczepień__13[[#This Row],[PESEL]],4),2))</f>
        <v>11</v>
      </c>
      <c r="F977" s="11">
        <f>MOD(punkt_szczepień__13[[#This Row],[liczba miesiac]],20)</f>
        <v>11</v>
      </c>
      <c r="G977" s="11">
        <f>VLOOKUP(punkt_szczepień__13[[#This Row],[liczba miesiac]]-punkt_szczepień__13[[#This Row],[miesiac]],$O$3:$P$7,2,0)+VALUE(LEFT(punkt_szczepień__13[[#This Row],[PESEL]],2))</f>
        <v>1947</v>
      </c>
      <c r="H977" s="11">
        <f>VALUE(RIGHT(LEFT(punkt_szczepień__13[[#This Row],[PESEL]],6),2))</f>
        <v>15</v>
      </c>
      <c r="I977" s="3">
        <f>DATE(punkt_szczepień__13[[#This Row],[rok]],punkt_szczepień__13[[#This Row],[miesiac]],punkt_szczepień__13[[#This Row],[dzień]])</f>
        <v>17486</v>
      </c>
      <c r="J977" s="1" t="str">
        <f>punkt_szczepień__13[[#This Row],[PESEL]]</f>
        <v>47111564494</v>
      </c>
      <c r="K977" s="1">
        <f>VALUE(MID(punkt_szczepień__13[[#This Row],[PESEL]],10,1))</f>
        <v>9</v>
      </c>
      <c r="L977" s="11" t="str">
        <f>IF(MOD(punkt_szczepień__13[[#This Row],[liczba płeć]],2)=0,"K","M")</f>
        <v>M</v>
      </c>
      <c r="M977" s="1"/>
      <c r="N977" s="1"/>
    </row>
    <row r="978" spans="1:14" x14ac:dyDescent="0.25">
      <c r="A978" s="1" t="s">
        <v>984</v>
      </c>
      <c r="B978" s="1" t="s">
        <v>9</v>
      </c>
      <c r="C978" s="2">
        <v>0.69820601851851849</v>
      </c>
      <c r="D978">
        <v>2</v>
      </c>
      <c r="E978">
        <f>VALUE(RIGHT(LEFT(punkt_szczepień__13[[#This Row],[PESEL]],4),2))</f>
        <v>27</v>
      </c>
      <c r="F978" s="11">
        <f>MOD(punkt_szczepień__13[[#This Row],[liczba miesiac]],20)</f>
        <v>7</v>
      </c>
      <c r="G978" s="11">
        <f>VLOOKUP(punkt_szczepień__13[[#This Row],[liczba miesiac]]-punkt_szczepień__13[[#This Row],[miesiac]],$O$3:$P$7,2,0)+VALUE(LEFT(punkt_szczepień__13[[#This Row],[PESEL]],2))</f>
        <v>2009</v>
      </c>
      <c r="H978" s="11">
        <f>VALUE(RIGHT(LEFT(punkt_szczepień__13[[#This Row],[PESEL]],6),2))</f>
        <v>23</v>
      </c>
      <c r="I978" s="3">
        <f>DATE(punkt_szczepień__13[[#This Row],[rok]],punkt_szczepień__13[[#This Row],[miesiac]],punkt_szczepień__13[[#This Row],[dzień]])</f>
        <v>40017</v>
      </c>
      <c r="J978" s="1" t="str">
        <f>punkt_szczepień__13[[#This Row],[PESEL]]</f>
        <v>09272335528</v>
      </c>
      <c r="K978" s="1">
        <f>VALUE(MID(punkt_szczepień__13[[#This Row],[PESEL]],10,1))</f>
        <v>2</v>
      </c>
      <c r="L978" s="11" t="str">
        <f>IF(MOD(punkt_szczepień__13[[#This Row],[liczba płeć]],2)=0,"K","M")</f>
        <v>K</v>
      </c>
      <c r="M978" s="1"/>
      <c r="N978" s="1"/>
    </row>
    <row r="979" spans="1:14" x14ac:dyDescent="0.25">
      <c r="A979" s="1" t="s">
        <v>985</v>
      </c>
      <c r="B979" s="1" t="s">
        <v>7</v>
      </c>
      <c r="C979" s="2">
        <v>0.69843750000000004</v>
      </c>
      <c r="D979">
        <v>1</v>
      </c>
      <c r="E979">
        <f>VALUE(RIGHT(LEFT(punkt_szczepień__13[[#This Row],[PESEL]],4),2))</f>
        <v>2</v>
      </c>
      <c r="F979" s="11">
        <f>MOD(punkt_szczepień__13[[#This Row],[liczba miesiac]],20)</f>
        <v>2</v>
      </c>
      <c r="G979" s="11">
        <f>VLOOKUP(punkt_szczepień__13[[#This Row],[liczba miesiac]]-punkt_szczepień__13[[#This Row],[miesiac]],$O$3:$P$7,2,0)+VALUE(LEFT(punkt_szczepień__13[[#This Row],[PESEL]],2))</f>
        <v>1925</v>
      </c>
      <c r="H979" s="11">
        <f>VALUE(RIGHT(LEFT(punkt_szczepień__13[[#This Row],[PESEL]],6),2))</f>
        <v>25</v>
      </c>
      <c r="I979" s="3">
        <f>DATE(punkt_szczepień__13[[#This Row],[rok]],punkt_szczepień__13[[#This Row],[miesiac]],punkt_szczepień__13[[#This Row],[dzień]])</f>
        <v>9188</v>
      </c>
      <c r="J979" s="1" t="str">
        <f>punkt_szczepień__13[[#This Row],[PESEL]]</f>
        <v>25022587856</v>
      </c>
      <c r="K979" s="1">
        <f>VALUE(MID(punkt_szczepień__13[[#This Row],[PESEL]],10,1))</f>
        <v>5</v>
      </c>
      <c r="L979" s="11" t="str">
        <f>IF(MOD(punkt_szczepień__13[[#This Row],[liczba płeć]],2)=0,"K","M")</f>
        <v>M</v>
      </c>
      <c r="M979" s="1"/>
      <c r="N979" s="1"/>
    </row>
    <row r="980" spans="1:14" x14ac:dyDescent="0.25">
      <c r="A980" s="1" t="s">
        <v>986</v>
      </c>
      <c r="B980" s="1" t="s">
        <v>5</v>
      </c>
      <c r="C980" s="2">
        <v>0.69890046296296293</v>
      </c>
      <c r="D980">
        <v>2</v>
      </c>
      <c r="E980">
        <f>VALUE(RIGHT(LEFT(punkt_szczepień__13[[#This Row],[PESEL]],4),2))</f>
        <v>3</v>
      </c>
      <c r="F980" s="11">
        <f>MOD(punkt_szczepień__13[[#This Row],[liczba miesiac]],20)</f>
        <v>3</v>
      </c>
      <c r="G980" s="11">
        <f>VLOOKUP(punkt_szczepień__13[[#This Row],[liczba miesiac]]-punkt_szczepień__13[[#This Row],[miesiac]],$O$3:$P$7,2,0)+VALUE(LEFT(punkt_szczepień__13[[#This Row],[PESEL]],2))</f>
        <v>1982</v>
      </c>
      <c r="H980" s="11">
        <f>VALUE(RIGHT(LEFT(punkt_szczepień__13[[#This Row],[PESEL]],6),2))</f>
        <v>27</v>
      </c>
      <c r="I980" s="3">
        <f>DATE(punkt_szczepień__13[[#This Row],[rok]],punkt_szczepień__13[[#This Row],[miesiac]],punkt_szczepień__13[[#This Row],[dzień]])</f>
        <v>30037</v>
      </c>
      <c r="J980" s="1" t="str">
        <f>punkt_szczepień__13[[#This Row],[PESEL]]</f>
        <v>82032729827</v>
      </c>
      <c r="K980" s="1">
        <f>VALUE(MID(punkt_szczepień__13[[#This Row],[PESEL]],10,1))</f>
        <v>2</v>
      </c>
      <c r="L980" s="11" t="str">
        <f>IF(MOD(punkt_szczepień__13[[#This Row],[liczba płeć]],2)=0,"K","M")</f>
        <v>K</v>
      </c>
      <c r="M980" s="1"/>
      <c r="N980" s="1"/>
    </row>
    <row r="981" spans="1:14" x14ac:dyDescent="0.25">
      <c r="A981" s="1" t="s">
        <v>987</v>
      </c>
      <c r="B981" s="1" t="s">
        <v>7</v>
      </c>
      <c r="C981" s="2">
        <v>0.69901620370370365</v>
      </c>
      <c r="D981">
        <v>1</v>
      </c>
      <c r="E981">
        <f>VALUE(RIGHT(LEFT(punkt_szczepień__13[[#This Row],[PESEL]],4),2))</f>
        <v>4</v>
      </c>
      <c r="F981" s="11">
        <f>MOD(punkt_szczepień__13[[#This Row],[liczba miesiac]],20)</f>
        <v>4</v>
      </c>
      <c r="G981" s="11">
        <f>VLOOKUP(punkt_szczepień__13[[#This Row],[liczba miesiac]]-punkt_szczepień__13[[#This Row],[miesiac]],$O$3:$P$7,2,0)+VALUE(LEFT(punkt_szczepień__13[[#This Row],[PESEL]],2))</f>
        <v>1934</v>
      </c>
      <c r="H981" s="11">
        <f>VALUE(RIGHT(LEFT(punkt_szczepień__13[[#This Row],[PESEL]],6),2))</f>
        <v>29</v>
      </c>
      <c r="I981" s="3">
        <f>DATE(punkt_szczepień__13[[#This Row],[rok]],punkt_szczepień__13[[#This Row],[miesiac]],punkt_szczepień__13[[#This Row],[dzień]])</f>
        <v>12538</v>
      </c>
      <c r="J981" s="1" t="str">
        <f>punkt_szczepień__13[[#This Row],[PESEL]]</f>
        <v>34042967111</v>
      </c>
      <c r="K981" s="1">
        <f>VALUE(MID(punkt_szczepień__13[[#This Row],[PESEL]],10,1))</f>
        <v>1</v>
      </c>
      <c r="L981" s="11" t="str">
        <f>IF(MOD(punkt_szczepień__13[[#This Row],[liczba płeć]],2)=0,"K","M")</f>
        <v>M</v>
      </c>
      <c r="M981" s="1"/>
      <c r="N981" s="1"/>
    </row>
    <row r="982" spans="1:14" x14ac:dyDescent="0.25">
      <c r="A982" s="1" t="s">
        <v>988</v>
      </c>
      <c r="B982" s="1" t="s">
        <v>9</v>
      </c>
      <c r="C982" s="2">
        <v>0.69930555555555551</v>
      </c>
      <c r="D982">
        <v>1</v>
      </c>
      <c r="E982">
        <f>VALUE(RIGHT(LEFT(punkt_szczepień__13[[#This Row],[PESEL]],4),2))</f>
        <v>5</v>
      </c>
      <c r="F982" s="11">
        <f>MOD(punkt_szczepień__13[[#This Row],[liczba miesiac]],20)</f>
        <v>5</v>
      </c>
      <c r="G982" s="11">
        <f>VLOOKUP(punkt_szczepień__13[[#This Row],[liczba miesiac]]-punkt_szczepień__13[[#This Row],[miesiac]],$O$3:$P$7,2,0)+VALUE(LEFT(punkt_szczepień__13[[#This Row],[PESEL]],2))</f>
        <v>1951</v>
      </c>
      <c r="H982" s="11">
        <f>VALUE(RIGHT(LEFT(punkt_szczepień__13[[#This Row],[PESEL]],6),2))</f>
        <v>2</v>
      </c>
      <c r="I982" s="3">
        <f>DATE(punkt_szczepień__13[[#This Row],[rok]],punkt_szczepień__13[[#This Row],[miesiac]],punkt_szczepień__13[[#This Row],[dzień]])</f>
        <v>18750</v>
      </c>
      <c r="J982" s="1" t="str">
        <f>punkt_szczepień__13[[#This Row],[PESEL]]</f>
        <v>51050267358</v>
      </c>
      <c r="K982" s="1">
        <f>VALUE(MID(punkt_szczepień__13[[#This Row],[PESEL]],10,1))</f>
        <v>5</v>
      </c>
      <c r="L982" s="11" t="str">
        <f>IF(MOD(punkt_szczepień__13[[#This Row],[liczba płeć]],2)=0,"K","M")</f>
        <v>M</v>
      </c>
      <c r="M982" s="1"/>
      <c r="N982" s="1"/>
    </row>
    <row r="983" spans="1:14" x14ac:dyDescent="0.25">
      <c r="A983" s="1" t="s">
        <v>989</v>
      </c>
      <c r="B983" s="1" t="s">
        <v>7</v>
      </c>
      <c r="C983" s="2">
        <v>0.69959490740740737</v>
      </c>
      <c r="D983">
        <v>1</v>
      </c>
      <c r="E983">
        <f>VALUE(RIGHT(LEFT(punkt_szczepień__13[[#This Row],[PESEL]],4),2))</f>
        <v>10</v>
      </c>
      <c r="F983" s="11">
        <f>MOD(punkt_szczepień__13[[#This Row],[liczba miesiac]],20)</f>
        <v>10</v>
      </c>
      <c r="G983" s="11">
        <f>VLOOKUP(punkt_szczepień__13[[#This Row],[liczba miesiac]]-punkt_szczepień__13[[#This Row],[miesiac]],$O$3:$P$7,2,0)+VALUE(LEFT(punkt_szczepień__13[[#This Row],[PESEL]],2))</f>
        <v>1927</v>
      </c>
      <c r="H983" s="11">
        <f>VALUE(RIGHT(LEFT(punkt_szczepień__13[[#This Row],[PESEL]],6),2))</f>
        <v>4</v>
      </c>
      <c r="I983" s="3">
        <f>DATE(punkt_szczepień__13[[#This Row],[rok]],punkt_szczepień__13[[#This Row],[miesiac]],punkt_szczepień__13[[#This Row],[dzień]])</f>
        <v>10139</v>
      </c>
      <c r="J983" s="1" t="str">
        <f>punkt_szczepień__13[[#This Row],[PESEL]]</f>
        <v>27100496667</v>
      </c>
      <c r="K983" s="1">
        <f>VALUE(MID(punkt_szczepień__13[[#This Row],[PESEL]],10,1))</f>
        <v>6</v>
      </c>
      <c r="L983" s="11" t="str">
        <f>IF(MOD(punkt_szczepień__13[[#This Row],[liczba płeć]],2)=0,"K","M")</f>
        <v>K</v>
      </c>
      <c r="M983" s="1"/>
      <c r="N983" s="1"/>
    </row>
    <row r="984" spans="1:14" x14ac:dyDescent="0.25">
      <c r="A984" s="1" t="s">
        <v>990</v>
      </c>
      <c r="B984" s="1" t="s">
        <v>5</v>
      </c>
      <c r="C984" s="2">
        <v>0.69982638888888893</v>
      </c>
      <c r="D984">
        <v>1</v>
      </c>
      <c r="E984">
        <f>VALUE(RIGHT(LEFT(punkt_szczepień__13[[#This Row],[PESEL]],4),2))</f>
        <v>1</v>
      </c>
      <c r="F984" s="11">
        <f>MOD(punkt_szczepień__13[[#This Row],[liczba miesiac]],20)</f>
        <v>1</v>
      </c>
      <c r="G984" s="11">
        <f>VLOOKUP(punkt_szczepień__13[[#This Row],[liczba miesiac]]-punkt_szczepień__13[[#This Row],[miesiac]],$O$3:$P$7,2,0)+VALUE(LEFT(punkt_szczepień__13[[#This Row],[PESEL]],2))</f>
        <v>1974</v>
      </c>
      <c r="H984" s="11">
        <f>VALUE(RIGHT(LEFT(punkt_szczepień__13[[#This Row],[PESEL]],6),2))</f>
        <v>24</v>
      </c>
      <c r="I984" s="3">
        <f>DATE(punkt_szczepień__13[[#This Row],[rok]],punkt_szczepień__13[[#This Row],[miesiac]],punkt_szczepień__13[[#This Row],[dzień]])</f>
        <v>27053</v>
      </c>
      <c r="J984" s="1" t="str">
        <f>punkt_szczepień__13[[#This Row],[PESEL]]</f>
        <v>74012446273</v>
      </c>
      <c r="K984" s="1">
        <f>VALUE(MID(punkt_szczepień__13[[#This Row],[PESEL]],10,1))</f>
        <v>7</v>
      </c>
      <c r="L984" s="11" t="str">
        <f>IF(MOD(punkt_szczepień__13[[#This Row],[liczba płeć]],2)=0,"K","M")</f>
        <v>M</v>
      </c>
      <c r="M984" s="1"/>
      <c r="N984" s="1"/>
    </row>
    <row r="985" spans="1:14" x14ac:dyDescent="0.25">
      <c r="A985" s="1" t="s">
        <v>991</v>
      </c>
      <c r="B985" s="1" t="s">
        <v>7</v>
      </c>
      <c r="C985" s="2">
        <v>0.70011574074074079</v>
      </c>
      <c r="D985">
        <v>1</v>
      </c>
      <c r="E985">
        <f>VALUE(RIGHT(LEFT(punkt_szczepień__13[[#This Row],[PESEL]],4),2))</f>
        <v>3</v>
      </c>
      <c r="F985" s="11">
        <f>MOD(punkt_szczepień__13[[#This Row],[liczba miesiac]],20)</f>
        <v>3</v>
      </c>
      <c r="G985" s="11">
        <f>VLOOKUP(punkt_szczepień__13[[#This Row],[liczba miesiac]]-punkt_szczepień__13[[#This Row],[miesiac]],$O$3:$P$7,2,0)+VALUE(LEFT(punkt_szczepień__13[[#This Row],[PESEL]],2))</f>
        <v>1939</v>
      </c>
      <c r="H985" s="11">
        <f>VALUE(RIGHT(LEFT(punkt_szczepień__13[[#This Row],[PESEL]],6),2))</f>
        <v>22</v>
      </c>
      <c r="I985" s="3">
        <f>DATE(punkt_szczepień__13[[#This Row],[rok]],punkt_szczepień__13[[#This Row],[miesiac]],punkt_szczepień__13[[#This Row],[dzień]])</f>
        <v>14326</v>
      </c>
      <c r="J985" s="1" t="str">
        <f>punkt_szczepień__13[[#This Row],[PESEL]]</f>
        <v>39032288946</v>
      </c>
      <c r="K985" s="1">
        <f>VALUE(MID(punkt_szczepień__13[[#This Row],[PESEL]],10,1))</f>
        <v>4</v>
      </c>
      <c r="L985" s="11" t="str">
        <f>IF(MOD(punkt_szczepień__13[[#This Row],[liczba płeć]],2)=0,"K","M")</f>
        <v>K</v>
      </c>
      <c r="M985" s="1"/>
      <c r="N985" s="1"/>
    </row>
    <row r="986" spans="1:14" x14ac:dyDescent="0.25">
      <c r="A986" s="1" t="s">
        <v>992</v>
      </c>
      <c r="B986" s="1" t="s">
        <v>9</v>
      </c>
      <c r="C986" s="2">
        <v>0.70028935185185182</v>
      </c>
      <c r="D986">
        <v>1</v>
      </c>
      <c r="E986">
        <f>VALUE(RIGHT(LEFT(punkt_szczepień__13[[#This Row],[PESEL]],4),2))</f>
        <v>12</v>
      </c>
      <c r="F986" s="11">
        <f>MOD(punkt_szczepień__13[[#This Row],[liczba miesiac]],20)</f>
        <v>12</v>
      </c>
      <c r="G986" s="11">
        <f>VLOOKUP(punkt_szczepień__13[[#This Row],[liczba miesiac]]-punkt_szczepień__13[[#This Row],[miesiac]],$O$3:$P$7,2,0)+VALUE(LEFT(punkt_szczepień__13[[#This Row],[PESEL]],2))</f>
        <v>1965</v>
      </c>
      <c r="H986" s="11">
        <f>VALUE(RIGHT(LEFT(punkt_szczepień__13[[#This Row],[PESEL]],6),2))</f>
        <v>29</v>
      </c>
      <c r="I986" s="3">
        <f>DATE(punkt_szczepień__13[[#This Row],[rok]],punkt_szczepień__13[[#This Row],[miesiac]],punkt_szczepień__13[[#This Row],[dzień]])</f>
        <v>24105</v>
      </c>
      <c r="J986" s="1" t="str">
        <f>punkt_szczepień__13[[#This Row],[PESEL]]</f>
        <v>65122963266</v>
      </c>
      <c r="K986" s="1">
        <f>VALUE(MID(punkt_szczepień__13[[#This Row],[PESEL]],10,1))</f>
        <v>6</v>
      </c>
      <c r="L986" s="11" t="str">
        <f>IF(MOD(punkt_szczepień__13[[#This Row],[liczba płeć]],2)=0,"K","M")</f>
        <v>K</v>
      </c>
      <c r="M986" s="1"/>
      <c r="N986" s="1"/>
    </row>
    <row r="987" spans="1:14" x14ac:dyDescent="0.25">
      <c r="A987" s="1" t="s">
        <v>993</v>
      </c>
      <c r="B987" s="1" t="s">
        <v>9</v>
      </c>
      <c r="C987" s="2">
        <v>0.70063657407407409</v>
      </c>
      <c r="D987">
        <v>2</v>
      </c>
      <c r="E987">
        <f>VALUE(RIGHT(LEFT(punkt_szczepień__13[[#This Row],[PESEL]],4),2))</f>
        <v>1</v>
      </c>
      <c r="F987" s="11">
        <f>MOD(punkt_szczepień__13[[#This Row],[liczba miesiac]],20)</f>
        <v>1</v>
      </c>
      <c r="G987" s="11">
        <f>VLOOKUP(punkt_szczepień__13[[#This Row],[liczba miesiac]]-punkt_szczepień__13[[#This Row],[miesiac]],$O$3:$P$7,2,0)+VALUE(LEFT(punkt_szczepień__13[[#This Row],[PESEL]],2))</f>
        <v>1985</v>
      </c>
      <c r="H987" s="11">
        <f>VALUE(RIGHT(LEFT(punkt_szczepień__13[[#This Row],[PESEL]],6),2))</f>
        <v>17</v>
      </c>
      <c r="I987" s="3">
        <f>DATE(punkt_szczepień__13[[#This Row],[rok]],punkt_szczepień__13[[#This Row],[miesiac]],punkt_szczepień__13[[#This Row],[dzień]])</f>
        <v>31064</v>
      </c>
      <c r="J987" s="1" t="str">
        <f>punkt_szczepień__13[[#This Row],[PESEL]]</f>
        <v>85011778463</v>
      </c>
      <c r="K987" s="1">
        <f>VALUE(MID(punkt_szczepień__13[[#This Row],[PESEL]],10,1))</f>
        <v>6</v>
      </c>
      <c r="L987" s="11" t="str">
        <f>IF(MOD(punkt_szczepień__13[[#This Row],[liczba płeć]],2)=0,"K","M")</f>
        <v>K</v>
      </c>
      <c r="M987" s="1"/>
      <c r="N987" s="1"/>
    </row>
    <row r="988" spans="1:14" x14ac:dyDescent="0.25">
      <c r="A988" s="1" t="s">
        <v>994</v>
      </c>
      <c r="B988" s="1" t="s">
        <v>27</v>
      </c>
      <c r="C988" s="2">
        <v>0.70092592592592595</v>
      </c>
      <c r="D988">
        <v>1</v>
      </c>
      <c r="E988">
        <f>VALUE(RIGHT(LEFT(punkt_szczepień__13[[#This Row],[PESEL]],4),2))</f>
        <v>10</v>
      </c>
      <c r="F988" s="11">
        <f>MOD(punkt_szczepień__13[[#This Row],[liczba miesiac]],20)</f>
        <v>10</v>
      </c>
      <c r="G988" s="11">
        <f>VLOOKUP(punkt_szczepień__13[[#This Row],[liczba miesiac]]-punkt_szczepień__13[[#This Row],[miesiac]],$O$3:$P$7,2,0)+VALUE(LEFT(punkt_szczepień__13[[#This Row],[PESEL]],2))</f>
        <v>1971</v>
      </c>
      <c r="H988" s="11">
        <f>VALUE(RIGHT(LEFT(punkt_szczepień__13[[#This Row],[PESEL]],6),2))</f>
        <v>31</v>
      </c>
      <c r="I988" s="3">
        <f>DATE(punkt_szczepień__13[[#This Row],[rok]],punkt_szczepień__13[[#This Row],[miesiac]],punkt_szczepień__13[[#This Row],[dzień]])</f>
        <v>26237</v>
      </c>
      <c r="J988" s="1" t="str">
        <f>punkt_szczepień__13[[#This Row],[PESEL]]</f>
        <v>71103132237</v>
      </c>
      <c r="K988" s="1">
        <f>VALUE(MID(punkt_szczepień__13[[#This Row],[PESEL]],10,1))</f>
        <v>3</v>
      </c>
      <c r="L988" s="11" t="str">
        <f>IF(MOD(punkt_szczepień__13[[#This Row],[liczba płeć]],2)=0,"K","M")</f>
        <v>M</v>
      </c>
      <c r="M988" s="1"/>
      <c r="N988" s="1"/>
    </row>
    <row r="989" spans="1:14" x14ac:dyDescent="0.25">
      <c r="A989" s="1" t="s">
        <v>995</v>
      </c>
      <c r="B989" s="1" t="s">
        <v>7</v>
      </c>
      <c r="C989" s="2">
        <v>0.7011574074074074</v>
      </c>
      <c r="D989">
        <v>1</v>
      </c>
      <c r="E989">
        <f>VALUE(RIGHT(LEFT(punkt_szczepień__13[[#This Row],[PESEL]],4),2))</f>
        <v>1</v>
      </c>
      <c r="F989" s="11">
        <f>MOD(punkt_szczepień__13[[#This Row],[liczba miesiac]],20)</f>
        <v>1</v>
      </c>
      <c r="G989" s="11">
        <f>VLOOKUP(punkt_szczepień__13[[#This Row],[liczba miesiac]]-punkt_szczepień__13[[#This Row],[miesiac]],$O$3:$P$7,2,0)+VALUE(LEFT(punkt_szczepień__13[[#This Row],[PESEL]],2))</f>
        <v>1978</v>
      </c>
      <c r="H989" s="11">
        <f>VALUE(RIGHT(LEFT(punkt_szczepień__13[[#This Row],[PESEL]],6),2))</f>
        <v>18</v>
      </c>
      <c r="I989" s="3">
        <f>DATE(punkt_szczepień__13[[#This Row],[rok]],punkt_szczepień__13[[#This Row],[miesiac]],punkt_szczepień__13[[#This Row],[dzień]])</f>
        <v>28508</v>
      </c>
      <c r="J989" s="1" t="str">
        <f>punkt_szczepień__13[[#This Row],[PESEL]]</f>
        <v>78011817784</v>
      </c>
      <c r="K989" s="1">
        <f>VALUE(MID(punkt_szczepień__13[[#This Row],[PESEL]],10,1))</f>
        <v>8</v>
      </c>
      <c r="L989" s="11" t="str">
        <f>IF(MOD(punkt_szczepień__13[[#This Row],[liczba płeć]],2)=0,"K","M")</f>
        <v>K</v>
      </c>
      <c r="M989" s="1"/>
      <c r="N989" s="1"/>
    </row>
    <row r="990" spans="1:14" x14ac:dyDescent="0.25">
      <c r="A990" s="1" t="s">
        <v>996</v>
      </c>
      <c r="B990" s="1" t="s">
        <v>27</v>
      </c>
      <c r="C990" s="2">
        <v>0.70150462962962967</v>
      </c>
      <c r="D990">
        <v>1</v>
      </c>
      <c r="E990">
        <f>VALUE(RIGHT(LEFT(punkt_szczepień__13[[#This Row],[PESEL]],4),2))</f>
        <v>1</v>
      </c>
      <c r="F990" s="11">
        <f>MOD(punkt_szczepień__13[[#This Row],[liczba miesiac]],20)</f>
        <v>1</v>
      </c>
      <c r="G990" s="11">
        <f>VLOOKUP(punkt_szczepień__13[[#This Row],[liczba miesiac]]-punkt_szczepień__13[[#This Row],[miesiac]],$O$3:$P$7,2,0)+VALUE(LEFT(punkt_szczepień__13[[#This Row],[PESEL]],2))</f>
        <v>1942</v>
      </c>
      <c r="H990" s="11">
        <f>VALUE(RIGHT(LEFT(punkt_szczepień__13[[#This Row],[PESEL]],6),2))</f>
        <v>18</v>
      </c>
      <c r="I990" s="3">
        <f>DATE(punkt_szczepień__13[[#This Row],[rok]],punkt_szczepień__13[[#This Row],[miesiac]],punkt_szczepień__13[[#This Row],[dzień]])</f>
        <v>15359</v>
      </c>
      <c r="J990" s="1" t="str">
        <f>punkt_szczepień__13[[#This Row],[PESEL]]</f>
        <v>42011867728</v>
      </c>
      <c r="K990" s="1">
        <f>VALUE(MID(punkt_szczepień__13[[#This Row],[PESEL]],10,1))</f>
        <v>2</v>
      </c>
      <c r="L990" s="11" t="str">
        <f>IF(MOD(punkt_szczepień__13[[#This Row],[liczba płeć]],2)=0,"K","M")</f>
        <v>K</v>
      </c>
      <c r="M990" s="1"/>
      <c r="N990" s="1"/>
    </row>
    <row r="991" spans="1:14" x14ac:dyDescent="0.25">
      <c r="A991" s="1" t="s">
        <v>997</v>
      </c>
      <c r="B991" s="1" t="s">
        <v>7</v>
      </c>
      <c r="C991" s="2">
        <v>0.70179398148148153</v>
      </c>
      <c r="D991">
        <v>1</v>
      </c>
      <c r="E991">
        <f>VALUE(RIGHT(LEFT(punkt_szczepień__13[[#This Row],[PESEL]],4),2))</f>
        <v>10</v>
      </c>
      <c r="F991" s="11">
        <f>MOD(punkt_szczepień__13[[#This Row],[liczba miesiac]],20)</f>
        <v>10</v>
      </c>
      <c r="G991" s="11">
        <f>VLOOKUP(punkt_szczepień__13[[#This Row],[liczba miesiac]]-punkt_szczepień__13[[#This Row],[miesiac]],$O$3:$P$7,2,0)+VALUE(LEFT(punkt_szczepień__13[[#This Row],[PESEL]],2))</f>
        <v>1975</v>
      </c>
      <c r="H991" s="11">
        <f>VALUE(RIGHT(LEFT(punkt_szczepień__13[[#This Row],[PESEL]],6),2))</f>
        <v>29</v>
      </c>
      <c r="I991" s="3">
        <f>DATE(punkt_szczepień__13[[#This Row],[rok]],punkt_szczepień__13[[#This Row],[miesiac]],punkt_szczepień__13[[#This Row],[dzień]])</f>
        <v>27696</v>
      </c>
      <c r="J991" s="1" t="str">
        <f>punkt_szczepień__13[[#This Row],[PESEL]]</f>
        <v>75102995219</v>
      </c>
      <c r="K991" s="1">
        <f>VALUE(MID(punkt_szczepień__13[[#This Row],[PESEL]],10,1))</f>
        <v>1</v>
      </c>
      <c r="L991" s="11" t="str">
        <f>IF(MOD(punkt_szczepień__13[[#This Row],[liczba płeć]],2)=0,"K","M")</f>
        <v>M</v>
      </c>
      <c r="M991" s="1"/>
      <c r="N991" s="1"/>
    </row>
    <row r="992" spans="1:14" x14ac:dyDescent="0.25">
      <c r="A992" s="1" t="s">
        <v>998</v>
      </c>
      <c r="B992" s="1" t="s">
        <v>5</v>
      </c>
      <c r="C992" s="2">
        <v>0.70208333333333328</v>
      </c>
      <c r="D992">
        <v>1</v>
      </c>
      <c r="E992">
        <f>VALUE(RIGHT(LEFT(punkt_szczepień__13[[#This Row],[PESEL]],4),2))</f>
        <v>9</v>
      </c>
      <c r="F992" s="11">
        <f>MOD(punkt_szczepień__13[[#This Row],[liczba miesiac]],20)</f>
        <v>9</v>
      </c>
      <c r="G992" s="11">
        <f>VLOOKUP(punkt_szczepień__13[[#This Row],[liczba miesiac]]-punkt_szczepień__13[[#This Row],[miesiac]],$O$3:$P$7,2,0)+VALUE(LEFT(punkt_szczepień__13[[#This Row],[PESEL]],2))</f>
        <v>1974</v>
      </c>
      <c r="H992" s="11">
        <f>VALUE(RIGHT(LEFT(punkt_szczepień__13[[#This Row],[PESEL]],6),2))</f>
        <v>4</v>
      </c>
      <c r="I992" s="3">
        <f>DATE(punkt_szczepień__13[[#This Row],[rok]],punkt_szczepień__13[[#This Row],[miesiac]],punkt_szczepień__13[[#This Row],[dzień]])</f>
        <v>27276</v>
      </c>
      <c r="J992" s="1" t="str">
        <f>punkt_szczepień__13[[#This Row],[PESEL]]</f>
        <v>74090463252</v>
      </c>
      <c r="K992" s="1">
        <f>VALUE(MID(punkt_szczepień__13[[#This Row],[PESEL]],10,1))</f>
        <v>5</v>
      </c>
      <c r="L992" s="11" t="str">
        <f>IF(MOD(punkt_szczepień__13[[#This Row],[liczba płeć]],2)=0,"K","M")</f>
        <v>M</v>
      </c>
      <c r="M992" s="1"/>
      <c r="N992" s="1"/>
    </row>
    <row r="993" spans="1:14" x14ac:dyDescent="0.25">
      <c r="A993" s="1" t="s">
        <v>999</v>
      </c>
      <c r="B993" s="1" t="s">
        <v>9</v>
      </c>
      <c r="C993" s="2">
        <v>0.70237268518518514</v>
      </c>
      <c r="D993">
        <v>1</v>
      </c>
      <c r="E993">
        <f>VALUE(RIGHT(LEFT(punkt_szczepień__13[[#This Row],[PESEL]],4),2))</f>
        <v>6</v>
      </c>
      <c r="F993" s="11">
        <f>MOD(punkt_szczepień__13[[#This Row],[liczba miesiac]],20)</f>
        <v>6</v>
      </c>
      <c r="G993" s="11">
        <f>VLOOKUP(punkt_szczepień__13[[#This Row],[liczba miesiac]]-punkt_szczepień__13[[#This Row],[miesiac]],$O$3:$P$7,2,0)+VALUE(LEFT(punkt_szczepień__13[[#This Row],[PESEL]],2))</f>
        <v>1980</v>
      </c>
      <c r="H993" s="11">
        <f>VALUE(RIGHT(LEFT(punkt_szczepień__13[[#This Row],[PESEL]],6),2))</f>
        <v>15</v>
      </c>
      <c r="I993" s="3">
        <f>DATE(punkt_szczepień__13[[#This Row],[rok]],punkt_szczepień__13[[#This Row],[miesiac]],punkt_szczepień__13[[#This Row],[dzień]])</f>
        <v>29387</v>
      </c>
      <c r="J993" s="1" t="str">
        <f>punkt_szczepień__13[[#This Row],[PESEL]]</f>
        <v>80061597297</v>
      </c>
      <c r="K993" s="1">
        <f>VALUE(MID(punkt_szczepień__13[[#This Row],[PESEL]],10,1))</f>
        <v>9</v>
      </c>
      <c r="L993" s="11" t="str">
        <f>IF(MOD(punkt_szczepień__13[[#This Row],[liczba płeć]],2)=0,"K","M")</f>
        <v>M</v>
      </c>
      <c r="M993" s="1"/>
      <c r="N993" s="1"/>
    </row>
    <row r="994" spans="1:14" x14ac:dyDescent="0.25">
      <c r="A994" s="1" t="s">
        <v>1000</v>
      </c>
      <c r="B994" s="1" t="s">
        <v>7</v>
      </c>
      <c r="C994" s="2">
        <v>0.7026041666666667</v>
      </c>
      <c r="D994">
        <v>1</v>
      </c>
      <c r="E994">
        <f>VALUE(RIGHT(LEFT(punkt_szczepień__13[[#This Row],[PESEL]],4),2))</f>
        <v>9</v>
      </c>
      <c r="F994" s="11">
        <f>MOD(punkt_szczepień__13[[#This Row],[liczba miesiac]],20)</f>
        <v>9</v>
      </c>
      <c r="G994" s="11">
        <f>VLOOKUP(punkt_szczepień__13[[#This Row],[liczba miesiac]]-punkt_szczepień__13[[#This Row],[miesiac]],$O$3:$P$7,2,0)+VALUE(LEFT(punkt_szczepień__13[[#This Row],[PESEL]],2))</f>
        <v>1979</v>
      </c>
      <c r="H994" s="11">
        <f>VALUE(RIGHT(LEFT(punkt_szczepień__13[[#This Row],[PESEL]],6),2))</f>
        <v>22</v>
      </c>
      <c r="I994" s="3">
        <f>DATE(punkt_szczepień__13[[#This Row],[rok]],punkt_szczepień__13[[#This Row],[miesiac]],punkt_szczepień__13[[#This Row],[dzień]])</f>
        <v>29120</v>
      </c>
      <c r="J994" s="1" t="str">
        <f>punkt_szczepień__13[[#This Row],[PESEL]]</f>
        <v>79092276738</v>
      </c>
      <c r="K994" s="1">
        <f>VALUE(MID(punkt_szczepień__13[[#This Row],[PESEL]],10,1))</f>
        <v>3</v>
      </c>
      <c r="L994" s="11" t="str">
        <f>IF(MOD(punkt_szczepień__13[[#This Row],[liczba płeć]],2)=0,"K","M")</f>
        <v>M</v>
      </c>
      <c r="M994" s="1"/>
      <c r="N994" s="1"/>
    </row>
    <row r="995" spans="1:14" x14ac:dyDescent="0.25">
      <c r="A995" s="1" t="s">
        <v>1001</v>
      </c>
      <c r="B995" s="1" t="s">
        <v>7</v>
      </c>
      <c r="C995" s="2">
        <v>0.70283564814814814</v>
      </c>
      <c r="D995">
        <v>1</v>
      </c>
      <c r="E995">
        <f>VALUE(RIGHT(LEFT(punkt_szczepień__13[[#This Row],[PESEL]],4),2))</f>
        <v>4</v>
      </c>
      <c r="F995" s="11">
        <f>MOD(punkt_szczepień__13[[#This Row],[liczba miesiac]],20)</f>
        <v>4</v>
      </c>
      <c r="G995" s="11">
        <f>VLOOKUP(punkt_szczepień__13[[#This Row],[liczba miesiac]]-punkt_szczepień__13[[#This Row],[miesiac]],$O$3:$P$7,2,0)+VALUE(LEFT(punkt_szczepień__13[[#This Row],[PESEL]],2))</f>
        <v>1989</v>
      </c>
      <c r="H995" s="11">
        <f>VALUE(RIGHT(LEFT(punkt_szczepień__13[[#This Row],[PESEL]],6),2))</f>
        <v>27</v>
      </c>
      <c r="I995" s="3">
        <f>DATE(punkt_szczepień__13[[#This Row],[rok]],punkt_szczepień__13[[#This Row],[miesiac]],punkt_szczepień__13[[#This Row],[dzień]])</f>
        <v>32625</v>
      </c>
      <c r="J995" s="1" t="str">
        <f>punkt_szczepień__13[[#This Row],[PESEL]]</f>
        <v>89042722899</v>
      </c>
      <c r="K995" s="1">
        <f>VALUE(MID(punkt_szczepień__13[[#This Row],[PESEL]],10,1))</f>
        <v>9</v>
      </c>
      <c r="L995" s="11" t="str">
        <f>IF(MOD(punkt_szczepień__13[[#This Row],[liczba płeć]],2)=0,"K","M")</f>
        <v>M</v>
      </c>
      <c r="M995" s="1"/>
      <c r="N995" s="1"/>
    </row>
    <row r="996" spans="1:14" x14ac:dyDescent="0.25">
      <c r="A996" s="1" t="s">
        <v>1002</v>
      </c>
      <c r="B996" s="1" t="s">
        <v>5</v>
      </c>
      <c r="C996" s="2">
        <v>0.70318287037037042</v>
      </c>
      <c r="D996">
        <v>2</v>
      </c>
      <c r="E996">
        <f>VALUE(RIGHT(LEFT(punkt_szczepień__13[[#This Row],[PESEL]],4),2))</f>
        <v>3</v>
      </c>
      <c r="F996" s="11">
        <f>MOD(punkt_szczepień__13[[#This Row],[liczba miesiac]],20)</f>
        <v>3</v>
      </c>
      <c r="G996" s="11">
        <f>VLOOKUP(punkt_szczepień__13[[#This Row],[liczba miesiac]]-punkt_szczepień__13[[#This Row],[miesiac]],$O$3:$P$7,2,0)+VALUE(LEFT(punkt_szczepień__13[[#This Row],[PESEL]],2))</f>
        <v>1995</v>
      </c>
      <c r="H996" s="11">
        <f>VALUE(RIGHT(LEFT(punkt_szczepień__13[[#This Row],[PESEL]],6),2))</f>
        <v>22</v>
      </c>
      <c r="I996" s="3">
        <f>DATE(punkt_szczepień__13[[#This Row],[rok]],punkt_szczepień__13[[#This Row],[miesiac]],punkt_szczepień__13[[#This Row],[dzień]])</f>
        <v>34780</v>
      </c>
      <c r="J996" s="1" t="str">
        <f>punkt_szczepień__13[[#This Row],[PESEL]]</f>
        <v>95032259654</v>
      </c>
      <c r="K996" s="1">
        <f>VALUE(MID(punkt_szczepień__13[[#This Row],[PESEL]],10,1))</f>
        <v>5</v>
      </c>
      <c r="L996" s="11" t="str">
        <f>IF(MOD(punkt_szczepień__13[[#This Row],[liczba płeć]],2)=0,"K","M")</f>
        <v>M</v>
      </c>
      <c r="M996" s="1"/>
      <c r="N996" s="1"/>
    </row>
    <row r="997" spans="1:14" x14ac:dyDescent="0.25">
      <c r="A997" s="1" t="s">
        <v>1003</v>
      </c>
      <c r="B997" s="1" t="s">
        <v>7</v>
      </c>
      <c r="C997" s="2">
        <v>0.70341435185185186</v>
      </c>
      <c r="D997">
        <v>1</v>
      </c>
      <c r="E997">
        <f>VALUE(RIGHT(LEFT(punkt_szczepień__13[[#This Row],[PESEL]],4),2))</f>
        <v>2</v>
      </c>
      <c r="F997" s="11">
        <f>MOD(punkt_szczepień__13[[#This Row],[liczba miesiac]],20)</f>
        <v>2</v>
      </c>
      <c r="G997" s="11">
        <f>VLOOKUP(punkt_szczepień__13[[#This Row],[liczba miesiac]]-punkt_szczepień__13[[#This Row],[miesiac]],$O$3:$P$7,2,0)+VALUE(LEFT(punkt_szczepień__13[[#This Row],[PESEL]],2))</f>
        <v>1961</v>
      </c>
      <c r="H997" s="11">
        <f>VALUE(RIGHT(LEFT(punkt_szczepień__13[[#This Row],[PESEL]],6),2))</f>
        <v>9</v>
      </c>
      <c r="I997" s="3">
        <f>DATE(punkt_szczepień__13[[#This Row],[rok]],punkt_szczepień__13[[#This Row],[miesiac]],punkt_szczepień__13[[#This Row],[dzień]])</f>
        <v>22321</v>
      </c>
      <c r="J997" s="1" t="str">
        <f>punkt_szczepień__13[[#This Row],[PESEL]]</f>
        <v>61020991356</v>
      </c>
      <c r="K997" s="1">
        <f>VALUE(MID(punkt_szczepień__13[[#This Row],[PESEL]],10,1))</f>
        <v>5</v>
      </c>
      <c r="L997" s="11" t="str">
        <f>IF(MOD(punkt_szczepień__13[[#This Row],[liczba płeć]],2)=0,"K","M")</f>
        <v>M</v>
      </c>
      <c r="M997" s="1"/>
      <c r="N997" s="1"/>
    </row>
    <row r="998" spans="1:14" x14ac:dyDescent="0.25">
      <c r="A998" s="1" t="s">
        <v>1004</v>
      </c>
      <c r="B998" s="1" t="s">
        <v>7</v>
      </c>
      <c r="C998" s="2">
        <v>0.7036458333333333</v>
      </c>
      <c r="D998">
        <v>1</v>
      </c>
      <c r="E998">
        <f>VALUE(RIGHT(LEFT(punkt_szczepień__13[[#This Row],[PESEL]],4),2))</f>
        <v>11</v>
      </c>
      <c r="F998" s="11">
        <f>MOD(punkt_szczepień__13[[#This Row],[liczba miesiac]],20)</f>
        <v>11</v>
      </c>
      <c r="G998" s="11">
        <f>VLOOKUP(punkt_szczepień__13[[#This Row],[liczba miesiac]]-punkt_szczepień__13[[#This Row],[miesiac]],$O$3:$P$7,2,0)+VALUE(LEFT(punkt_szczepień__13[[#This Row],[PESEL]],2))</f>
        <v>1951</v>
      </c>
      <c r="H998" s="11">
        <f>VALUE(RIGHT(LEFT(punkt_szczepień__13[[#This Row],[PESEL]],6),2))</f>
        <v>9</v>
      </c>
      <c r="I998" s="3">
        <f>DATE(punkt_szczepień__13[[#This Row],[rok]],punkt_szczepień__13[[#This Row],[miesiac]],punkt_szczepień__13[[#This Row],[dzień]])</f>
        <v>18941</v>
      </c>
      <c r="J998" s="1" t="str">
        <f>punkt_szczepień__13[[#This Row],[PESEL]]</f>
        <v>51110926445</v>
      </c>
      <c r="K998" s="1">
        <f>VALUE(MID(punkt_szczepień__13[[#This Row],[PESEL]],10,1))</f>
        <v>4</v>
      </c>
      <c r="L998" s="11" t="str">
        <f>IF(MOD(punkt_szczepień__13[[#This Row],[liczba płeć]],2)=0,"K","M")</f>
        <v>K</v>
      </c>
      <c r="M998" s="1"/>
      <c r="N998" s="1"/>
    </row>
    <row r="999" spans="1:14" x14ac:dyDescent="0.25">
      <c r="A999" s="1" t="s">
        <v>1005</v>
      </c>
      <c r="B999" s="1" t="s">
        <v>5</v>
      </c>
      <c r="C999" s="2">
        <v>0.70416666666666672</v>
      </c>
      <c r="D999">
        <v>1</v>
      </c>
      <c r="E999">
        <f>VALUE(RIGHT(LEFT(punkt_szczepień__13[[#This Row],[PESEL]],4),2))</f>
        <v>4</v>
      </c>
      <c r="F999" s="11">
        <f>MOD(punkt_szczepień__13[[#This Row],[liczba miesiac]],20)</f>
        <v>4</v>
      </c>
      <c r="G999" s="11">
        <f>VLOOKUP(punkt_szczepień__13[[#This Row],[liczba miesiac]]-punkt_szczepień__13[[#This Row],[miesiac]],$O$3:$P$7,2,0)+VALUE(LEFT(punkt_szczepień__13[[#This Row],[PESEL]],2))</f>
        <v>1992</v>
      </c>
      <c r="H999" s="11">
        <f>VALUE(RIGHT(LEFT(punkt_szczepień__13[[#This Row],[PESEL]],6),2))</f>
        <v>19</v>
      </c>
      <c r="I999" s="3">
        <f>DATE(punkt_szczepień__13[[#This Row],[rok]],punkt_szczepień__13[[#This Row],[miesiac]],punkt_szczepień__13[[#This Row],[dzień]])</f>
        <v>33713</v>
      </c>
      <c r="J999" s="1" t="str">
        <f>punkt_szczepień__13[[#This Row],[PESEL]]</f>
        <v>92041945695</v>
      </c>
      <c r="K999" s="1">
        <f>VALUE(MID(punkt_szczepień__13[[#This Row],[PESEL]],10,1))</f>
        <v>9</v>
      </c>
      <c r="L999" s="11" t="str">
        <f>IF(MOD(punkt_szczepień__13[[#This Row],[liczba płeć]],2)=0,"K","M")</f>
        <v>M</v>
      </c>
      <c r="M999" s="1"/>
      <c r="N999" s="1"/>
    </row>
    <row r="1000" spans="1:14" x14ac:dyDescent="0.25">
      <c r="A1000" s="1" t="s">
        <v>1006</v>
      </c>
      <c r="B1000" s="1" t="s">
        <v>5</v>
      </c>
      <c r="C1000" s="2">
        <v>0.70497685185185188</v>
      </c>
      <c r="D1000">
        <v>2</v>
      </c>
      <c r="E1000">
        <f>VALUE(RIGHT(LEFT(punkt_szczepień__13[[#This Row],[PESEL]],4),2))</f>
        <v>5</v>
      </c>
      <c r="F1000" s="11">
        <f>MOD(punkt_szczepień__13[[#This Row],[liczba miesiac]],20)</f>
        <v>5</v>
      </c>
      <c r="G1000" s="11">
        <f>VLOOKUP(punkt_szczepień__13[[#This Row],[liczba miesiac]]-punkt_szczepień__13[[#This Row],[miesiac]],$O$3:$P$7,2,0)+VALUE(LEFT(punkt_szczepień__13[[#This Row],[PESEL]],2))</f>
        <v>1973</v>
      </c>
      <c r="H1000" s="11">
        <f>VALUE(RIGHT(LEFT(punkt_szczepień__13[[#This Row],[PESEL]],6),2))</f>
        <v>18</v>
      </c>
      <c r="I1000" s="3">
        <f>DATE(punkt_szczepień__13[[#This Row],[rok]],punkt_szczepień__13[[#This Row],[miesiac]],punkt_szczepień__13[[#This Row],[dzień]])</f>
        <v>26802</v>
      </c>
      <c r="J1000" s="1" t="str">
        <f>punkt_szczepień__13[[#This Row],[PESEL]]</f>
        <v>73051881887</v>
      </c>
      <c r="K1000" s="1">
        <f>VALUE(MID(punkt_szczepień__13[[#This Row],[PESEL]],10,1))</f>
        <v>8</v>
      </c>
      <c r="L1000" s="11" t="str">
        <f>IF(MOD(punkt_szczepień__13[[#This Row],[liczba płeć]],2)=0,"K","M")</f>
        <v>K</v>
      </c>
      <c r="M1000" s="1"/>
      <c r="N1000" s="1"/>
    </row>
    <row r="1001" spans="1:14" x14ac:dyDescent="0.25">
      <c r="A1001" s="1" t="s">
        <v>1007</v>
      </c>
      <c r="B1001" s="1" t="s">
        <v>9</v>
      </c>
      <c r="C1001" s="2">
        <v>0.70625000000000004</v>
      </c>
      <c r="D1001">
        <v>2</v>
      </c>
      <c r="E1001">
        <f>VALUE(RIGHT(LEFT(punkt_szczepień__13[[#This Row],[PESEL]],4),2))</f>
        <v>8</v>
      </c>
      <c r="F1001" s="11">
        <f>MOD(punkt_szczepień__13[[#This Row],[liczba miesiac]],20)</f>
        <v>8</v>
      </c>
      <c r="G1001" s="11">
        <f>VLOOKUP(punkt_szczepień__13[[#This Row],[liczba miesiac]]-punkt_szczepień__13[[#This Row],[miesiac]],$O$3:$P$7,2,0)+VALUE(LEFT(punkt_szczepień__13[[#This Row],[PESEL]],2))</f>
        <v>1966</v>
      </c>
      <c r="H1001" s="11">
        <f>VALUE(RIGHT(LEFT(punkt_szczepień__13[[#This Row],[PESEL]],6),2))</f>
        <v>28</v>
      </c>
      <c r="I1001" s="3">
        <f>DATE(punkt_szczepień__13[[#This Row],[rok]],punkt_szczepień__13[[#This Row],[miesiac]],punkt_szczepień__13[[#This Row],[dzień]])</f>
        <v>24347</v>
      </c>
      <c r="J1001" s="1" t="str">
        <f>punkt_szczepień__13[[#This Row],[PESEL]]</f>
        <v>66082865834</v>
      </c>
      <c r="K1001" s="1">
        <f>VALUE(MID(punkt_szczepień__13[[#This Row],[PESEL]],10,1))</f>
        <v>3</v>
      </c>
      <c r="L1001" s="11" t="str">
        <f>IF(MOD(punkt_szczepień__13[[#This Row],[liczba płeć]],2)=0,"K","M")</f>
        <v>M</v>
      </c>
      <c r="M1001" s="1"/>
      <c r="N100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5A50-E2A3-4AFC-8C3F-AF3310C31B2C}">
  <dimension ref="A3:E13"/>
  <sheetViews>
    <sheetView workbookViewId="0">
      <selection activeCell="O11" sqref="O11"/>
    </sheetView>
  </sheetViews>
  <sheetFormatPr defaultRowHeight="15" x14ac:dyDescent="0.25"/>
  <cols>
    <col min="1" max="1" width="17.85546875" bestFit="1" customWidth="1"/>
    <col min="2" max="2" width="14" bestFit="1" customWidth="1"/>
  </cols>
  <sheetData>
    <row r="3" spans="1:5" x14ac:dyDescent="0.25">
      <c r="A3" s="5" t="s">
        <v>1019</v>
      </c>
      <c r="B3" t="s">
        <v>1021</v>
      </c>
    </row>
    <row r="4" spans="1:5" x14ac:dyDescent="0.25">
      <c r="A4" s="6" t="s">
        <v>1030</v>
      </c>
      <c r="B4" s="1">
        <v>103</v>
      </c>
      <c r="D4" s="6" t="s">
        <v>1030</v>
      </c>
      <c r="E4" s="1">
        <v>103</v>
      </c>
    </row>
    <row r="5" spans="1:5" x14ac:dyDescent="0.25">
      <c r="A5" s="6" t="s">
        <v>1031</v>
      </c>
      <c r="B5" s="1">
        <v>130</v>
      </c>
      <c r="D5" s="6" t="s">
        <v>1031</v>
      </c>
      <c r="E5" s="1">
        <v>130</v>
      </c>
    </row>
    <row r="6" spans="1:5" x14ac:dyDescent="0.25">
      <c r="A6" s="6" t="s">
        <v>1032</v>
      </c>
      <c r="B6" s="1">
        <v>95</v>
      </c>
      <c r="D6" s="6" t="s">
        <v>1032</v>
      </c>
      <c r="E6" s="1">
        <v>95</v>
      </c>
    </row>
    <row r="7" spans="1:5" x14ac:dyDescent="0.25">
      <c r="A7" s="6" t="s">
        <v>1033</v>
      </c>
      <c r="B7" s="1">
        <v>102</v>
      </c>
      <c r="D7" s="6" t="s">
        <v>1033</v>
      </c>
      <c r="E7" s="1">
        <v>102</v>
      </c>
    </row>
    <row r="8" spans="1:5" x14ac:dyDescent="0.25">
      <c r="A8" s="6" t="s">
        <v>1034</v>
      </c>
      <c r="B8" s="1">
        <v>105</v>
      </c>
      <c r="D8" s="6" t="s">
        <v>1034</v>
      </c>
      <c r="E8" s="1">
        <v>105</v>
      </c>
    </row>
    <row r="9" spans="1:5" x14ac:dyDescent="0.25">
      <c r="A9" s="6" t="s">
        <v>1035</v>
      </c>
      <c r="B9" s="1">
        <v>112</v>
      </c>
      <c r="D9" s="6" t="s">
        <v>1035</v>
      </c>
      <c r="E9" s="1">
        <v>112</v>
      </c>
    </row>
    <row r="10" spans="1:5" x14ac:dyDescent="0.25">
      <c r="A10" s="6" t="s">
        <v>1036</v>
      </c>
      <c r="B10" s="1">
        <v>115</v>
      </c>
      <c r="D10" s="6" t="s">
        <v>1036</v>
      </c>
      <c r="E10" s="1">
        <v>115</v>
      </c>
    </row>
    <row r="11" spans="1:5" x14ac:dyDescent="0.25">
      <c r="A11" s="6" t="s">
        <v>1037</v>
      </c>
      <c r="B11" s="1">
        <v>110</v>
      </c>
      <c r="D11" s="6" t="s">
        <v>1037</v>
      </c>
      <c r="E11" s="1">
        <v>110</v>
      </c>
    </row>
    <row r="12" spans="1:5" x14ac:dyDescent="0.25">
      <c r="A12" s="6" t="s">
        <v>1038</v>
      </c>
      <c r="B12" s="1">
        <v>128</v>
      </c>
      <c r="D12" s="6" t="s">
        <v>1038</v>
      </c>
      <c r="E12" s="1">
        <v>128</v>
      </c>
    </row>
    <row r="13" spans="1:5" x14ac:dyDescent="0.25">
      <c r="A13" s="6" t="s">
        <v>1020</v>
      </c>
      <c r="B13" s="1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F346-2752-4A82-BC38-CBD4D9D75F63}">
  <dimension ref="A3:D9"/>
  <sheetViews>
    <sheetView workbookViewId="0">
      <selection activeCell="F25" sqref="F25"/>
    </sheetView>
  </sheetViews>
  <sheetFormatPr defaultRowHeight="15" x14ac:dyDescent="0.25"/>
  <cols>
    <col min="1" max="2" width="17.85546875" bestFit="1" customWidth="1"/>
    <col min="3" max="3" width="4" bestFit="1" customWidth="1"/>
    <col min="4" max="4" width="14.42578125" bestFit="1" customWidth="1"/>
    <col min="5" max="5" width="6.140625" bestFit="1" customWidth="1"/>
    <col min="6" max="6" width="14.42578125" bestFit="1" customWidth="1"/>
  </cols>
  <sheetData>
    <row r="3" spans="1:4" x14ac:dyDescent="0.25">
      <c r="A3" s="5" t="s">
        <v>1021</v>
      </c>
      <c r="B3" s="5" t="s">
        <v>1026</v>
      </c>
    </row>
    <row r="4" spans="1:4" x14ac:dyDescent="0.25">
      <c r="A4" s="5" t="s">
        <v>1019</v>
      </c>
      <c r="B4" t="s">
        <v>1024</v>
      </c>
      <c r="C4" t="s">
        <v>1025</v>
      </c>
      <c r="D4" t="s">
        <v>1020</v>
      </c>
    </row>
    <row r="5" spans="1:4" x14ac:dyDescent="0.25">
      <c r="A5" s="6" t="s">
        <v>27</v>
      </c>
      <c r="B5" s="1">
        <v>49</v>
      </c>
      <c r="C5" s="1">
        <v>83</v>
      </c>
      <c r="D5" s="1">
        <v>132</v>
      </c>
    </row>
    <row r="6" spans="1:4" x14ac:dyDescent="0.25">
      <c r="A6" s="6" t="s">
        <v>7</v>
      </c>
      <c r="B6" s="1">
        <v>166</v>
      </c>
      <c r="C6" s="1">
        <v>215</v>
      </c>
      <c r="D6" s="1">
        <v>381</v>
      </c>
    </row>
    <row r="7" spans="1:4" x14ac:dyDescent="0.25">
      <c r="A7" s="6" t="s">
        <v>9</v>
      </c>
      <c r="B7" s="1">
        <v>117</v>
      </c>
      <c r="C7" s="1">
        <v>144</v>
      </c>
      <c r="D7" s="1">
        <v>261</v>
      </c>
    </row>
    <row r="8" spans="1:4" x14ac:dyDescent="0.25">
      <c r="A8" s="6" t="s">
        <v>5</v>
      </c>
      <c r="B8" s="1">
        <v>103</v>
      </c>
      <c r="C8" s="1">
        <v>123</v>
      </c>
      <c r="D8" s="1">
        <v>226</v>
      </c>
    </row>
    <row r="9" spans="1:4" x14ac:dyDescent="0.25">
      <c r="A9" s="6" t="s">
        <v>1020</v>
      </c>
      <c r="B9" s="1">
        <v>435</v>
      </c>
      <c r="C9" s="1">
        <v>565</v>
      </c>
      <c r="D9" s="1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00BC-E2F2-4B5E-9A70-46C3B29F2C47}">
  <dimension ref="A1:H1001"/>
  <sheetViews>
    <sheetView workbookViewId="0">
      <selection activeCell="G16" sqref="G16"/>
    </sheetView>
  </sheetViews>
  <sheetFormatPr defaultRowHeight="15" x14ac:dyDescent="0.25"/>
  <cols>
    <col min="1" max="1" width="12.42578125" bestFit="1" customWidth="1"/>
    <col min="2" max="2" width="23" bestFit="1" customWidth="1"/>
    <col min="3" max="3" width="26.42578125" bestFit="1" customWidth="1"/>
    <col min="4" max="4" width="17" bestFit="1" customWidth="1"/>
    <col min="5" max="6" width="10.5703125" customWidth="1"/>
    <col min="7" max="7" width="16.5703125" bestFit="1" customWidth="1"/>
    <col min="8" max="99" width="10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2" spans="1:8" x14ac:dyDescent="0.25">
      <c r="A2" s="1" t="s">
        <v>4</v>
      </c>
      <c r="B2" s="1" t="s">
        <v>5</v>
      </c>
      <c r="C2" s="2">
        <v>0.33333333333333331</v>
      </c>
      <c r="D2">
        <v>2</v>
      </c>
    </row>
    <row r="3" spans="1:8" x14ac:dyDescent="0.25">
      <c r="A3" s="1" t="s">
        <v>6</v>
      </c>
      <c r="B3" s="1" t="s">
        <v>7</v>
      </c>
      <c r="C3" s="2">
        <v>0.33362268518518517</v>
      </c>
      <c r="D3">
        <v>1</v>
      </c>
    </row>
    <row r="4" spans="1:8" x14ac:dyDescent="0.25">
      <c r="A4" s="1" t="s">
        <v>8</v>
      </c>
      <c r="B4" s="1" t="s">
        <v>9</v>
      </c>
      <c r="C4" s="2">
        <v>0.33391203703703703</v>
      </c>
      <c r="D4">
        <v>1</v>
      </c>
    </row>
    <row r="5" spans="1:8" x14ac:dyDescent="0.25">
      <c r="A5" s="1" t="s">
        <v>10</v>
      </c>
      <c r="B5" s="1" t="s">
        <v>5</v>
      </c>
      <c r="C5" s="2">
        <v>0.33449074074074076</v>
      </c>
      <c r="D5">
        <v>2</v>
      </c>
    </row>
    <row r="6" spans="1:8" x14ac:dyDescent="0.25">
      <c r="A6" s="1" t="s">
        <v>11</v>
      </c>
      <c r="B6" s="1" t="s">
        <v>5</v>
      </c>
      <c r="C6" s="2">
        <v>0.33506944444444442</v>
      </c>
      <c r="D6">
        <v>2</v>
      </c>
      <c r="G6" t="s">
        <v>1027</v>
      </c>
      <c r="H6">
        <f>COUNTIF(D:D,2)</f>
        <v>310</v>
      </c>
    </row>
    <row r="7" spans="1:8" x14ac:dyDescent="0.25">
      <c r="A7" s="1" t="s">
        <v>12</v>
      </c>
      <c r="B7" s="1" t="s">
        <v>5</v>
      </c>
      <c r="C7" s="2">
        <v>0.33535879629629628</v>
      </c>
      <c r="D7">
        <v>1</v>
      </c>
      <c r="G7" t="s">
        <v>1029</v>
      </c>
      <c r="H7">
        <f>COUNTIF(B:B,B3)</f>
        <v>381</v>
      </c>
    </row>
    <row r="8" spans="1:8" x14ac:dyDescent="0.25">
      <c r="A8" s="1" t="s">
        <v>13</v>
      </c>
      <c r="B8" s="1" t="s">
        <v>9</v>
      </c>
      <c r="C8" s="2">
        <v>0.3359375</v>
      </c>
      <c r="D8">
        <v>2</v>
      </c>
      <c r="G8" t="s">
        <v>1028</v>
      </c>
      <c r="H8" s="7">
        <f>H6+H7</f>
        <v>691</v>
      </c>
    </row>
    <row r="9" spans="1:8" x14ac:dyDescent="0.25">
      <c r="A9" s="1" t="s">
        <v>14</v>
      </c>
      <c r="B9" s="1" t="s">
        <v>9</v>
      </c>
      <c r="C9" s="2">
        <v>0.33622685185185186</v>
      </c>
      <c r="D9">
        <v>1</v>
      </c>
    </row>
    <row r="10" spans="1:8" x14ac:dyDescent="0.25">
      <c r="A10" s="1" t="s">
        <v>15</v>
      </c>
      <c r="B10" s="1" t="s">
        <v>9</v>
      </c>
      <c r="C10" s="2">
        <v>0.33651620370370372</v>
      </c>
      <c r="D10">
        <v>1</v>
      </c>
    </row>
    <row r="11" spans="1:8" x14ac:dyDescent="0.25">
      <c r="A11" s="1" t="s">
        <v>16</v>
      </c>
      <c r="B11" s="1" t="s">
        <v>9</v>
      </c>
      <c r="C11" s="2">
        <v>0.33680555555555558</v>
      </c>
      <c r="D11">
        <v>1</v>
      </c>
    </row>
    <row r="12" spans="1:8" x14ac:dyDescent="0.25">
      <c r="A12" s="1" t="s">
        <v>17</v>
      </c>
      <c r="B12" s="1" t="s">
        <v>9</v>
      </c>
      <c r="C12" s="2">
        <v>0.33709490740740738</v>
      </c>
      <c r="D12">
        <v>1</v>
      </c>
    </row>
    <row r="13" spans="1:8" x14ac:dyDescent="0.25">
      <c r="A13" s="1" t="s">
        <v>18</v>
      </c>
      <c r="B13" s="1" t="s">
        <v>5</v>
      </c>
      <c r="C13" s="2">
        <v>0.33738425925925924</v>
      </c>
      <c r="D13">
        <v>1</v>
      </c>
    </row>
    <row r="14" spans="1:8" x14ac:dyDescent="0.25">
      <c r="A14" s="1" t="s">
        <v>19</v>
      </c>
      <c r="B14" s="1" t="s">
        <v>7</v>
      </c>
      <c r="C14" s="2">
        <v>0.3376736111111111</v>
      </c>
      <c r="D14">
        <v>1</v>
      </c>
    </row>
    <row r="15" spans="1:8" x14ac:dyDescent="0.25">
      <c r="A15" s="1" t="s">
        <v>20</v>
      </c>
      <c r="B15" s="1" t="s">
        <v>5</v>
      </c>
      <c r="C15" s="2">
        <v>0.33825231481481483</v>
      </c>
      <c r="D15">
        <v>2</v>
      </c>
    </row>
    <row r="16" spans="1:8" x14ac:dyDescent="0.25">
      <c r="A16" s="1" t="s">
        <v>21</v>
      </c>
      <c r="B16" s="1" t="s">
        <v>9</v>
      </c>
      <c r="C16" s="2">
        <v>0.33854166666666669</v>
      </c>
      <c r="D16">
        <v>1</v>
      </c>
    </row>
    <row r="17" spans="1:4" x14ac:dyDescent="0.25">
      <c r="A17" s="1" t="s">
        <v>22</v>
      </c>
      <c r="B17" s="1" t="s">
        <v>7</v>
      </c>
      <c r="C17" s="2">
        <v>0.33883101851851855</v>
      </c>
      <c r="D17">
        <v>1</v>
      </c>
    </row>
    <row r="18" spans="1:4" x14ac:dyDescent="0.25">
      <c r="A18" s="1" t="s">
        <v>23</v>
      </c>
      <c r="B18" s="1" t="s">
        <v>5</v>
      </c>
      <c r="C18" s="2">
        <v>0.33912037037037035</v>
      </c>
      <c r="D18">
        <v>1</v>
      </c>
    </row>
    <row r="19" spans="1:4" x14ac:dyDescent="0.25">
      <c r="A19" s="1" t="s">
        <v>24</v>
      </c>
      <c r="B19" s="1" t="s">
        <v>7</v>
      </c>
      <c r="C19" s="2">
        <v>0.33940972222222221</v>
      </c>
      <c r="D19">
        <v>1</v>
      </c>
    </row>
    <row r="20" spans="1:4" x14ac:dyDescent="0.25">
      <c r="A20" s="1" t="s">
        <v>25</v>
      </c>
      <c r="B20" s="1" t="s">
        <v>7</v>
      </c>
      <c r="C20" s="2">
        <v>0.33969907407407407</v>
      </c>
      <c r="D20">
        <v>1</v>
      </c>
    </row>
    <row r="21" spans="1:4" x14ac:dyDescent="0.25">
      <c r="A21" s="1" t="s">
        <v>26</v>
      </c>
      <c r="B21" s="1" t="s">
        <v>27</v>
      </c>
      <c r="C21" s="2">
        <v>0.34027777777777779</v>
      </c>
      <c r="D21">
        <v>2</v>
      </c>
    </row>
    <row r="22" spans="1:4" x14ac:dyDescent="0.25">
      <c r="A22" s="1" t="s">
        <v>28</v>
      </c>
      <c r="B22" s="1" t="s">
        <v>27</v>
      </c>
      <c r="C22" s="2">
        <v>0.34085648148148145</v>
      </c>
      <c r="D22">
        <v>2</v>
      </c>
    </row>
    <row r="23" spans="1:4" x14ac:dyDescent="0.25">
      <c r="A23" s="1" t="s">
        <v>29</v>
      </c>
      <c r="B23" s="1" t="s">
        <v>7</v>
      </c>
      <c r="C23" s="2">
        <v>0.34114583333333331</v>
      </c>
      <c r="D23">
        <v>1</v>
      </c>
    </row>
    <row r="24" spans="1:4" x14ac:dyDescent="0.25">
      <c r="A24" s="1" t="s">
        <v>30</v>
      </c>
      <c r="B24" s="1" t="s">
        <v>7</v>
      </c>
      <c r="C24" s="2">
        <v>0.34143518518518517</v>
      </c>
      <c r="D24">
        <v>1</v>
      </c>
    </row>
    <row r="25" spans="1:4" x14ac:dyDescent="0.25">
      <c r="A25" s="1" t="s">
        <v>31</v>
      </c>
      <c r="B25" s="1" t="s">
        <v>5</v>
      </c>
      <c r="C25" s="2">
        <v>0.3420138888888889</v>
      </c>
      <c r="D25">
        <v>2</v>
      </c>
    </row>
    <row r="26" spans="1:4" x14ac:dyDescent="0.25">
      <c r="A26" s="1" t="s">
        <v>32</v>
      </c>
      <c r="B26" s="1" t="s">
        <v>5</v>
      </c>
      <c r="C26" s="2">
        <v>0.34230324074074076</v>
      </c>
      <c r="D26">
        <v>1</v>
      </c>
    </row>
    <row r="27" spans="1:4" x14ac:dyDescent="0.25">
      <c r="A27" s="1" t="s">
        <v>33</v>
      </c>
      <c r="B27" s="1" t="s">
        <v>9</v>
      </c>
      <c r="C27" s="2">
        <v>0.34288194444444442</v>
      </c>
      <c r="D27">
        <v>2</v>
      </c>
    </row>
    <row r="28" spans="1:4" x14ac:dyDescent="0.25">
      <c r="A28" s="1" t="s">
        <v>34</v>
      </c>
      <c r="B28" s="1" t="s">
        <v>27</v>
      </c>
      <c r="C28" s="2">
        <v>0.34317129629629628</v>
      </c>
      <c r="D28">
        <v>1</v>
      </c>
    </row>
    <row r="29" spans="1:4" x14ac:dyDescent="0.25">
      <c r="A29" s="1" t="s">
        <v>35</v>
      </c>
      <c r="B29" s="1" t="s">
        <v>7</v>
      </c>
      <c r="C29" s="2">
        <v>0.34346064814814814</v>
      </c>
      <c r="D29">
        <v>1</v>
      </c>
    </row>
    <row r="30" spans="1:4" x14ac:dyDescent="0.25">
      <c r="A30" s="1" t="s">
        <v>36</v>
      </c>
      <c r="B30" s="1" t="s">
        <v>9</v>
      </c>
      <c r="C30" s="2">
        <v>0.34403935185185186</v>
      </c>
      <c r="D30">
        <v>2</v>
      </c>
    </row>
    <row r="31" spans="1:4" x14ac:dyDescent="0.25">
      <c r="A31" s="1" t="s">
        <v>37</v>
      </c>
      <c r="B31" s="1" t="s">
        <v>27</v>
      </c>
      <c r="C31" s="2">
        <v>0.34461805555555558</v>
      </c>
      <c r="D31">
        <v>2</v>
      </c>
    </row>
    <row r="32" spans="1:4" x14ac:dyDescent="0.25">
      <c r="A32" s="1" t="s">
        <v>38</v>
      </c>
      <c r="B32" s="1" t="s">
        <v>7</v>
      </c>
      <c r="C32" s="2">
        <v>0.34490740740740738</v>
      </c>
      <c r="D32">
        <v>1</v>
      </c>
    </row>
    <row r="33" spans="1:4" x14ac:dyDescent="0.25">
      <c r="A33" s="1" t="s">
        <v>39</v>
      </c>
      <c r="B33" s="1" t="s">
        <v>7</v>
      </c>
      <c r="C33" s="2">
        <v>0.34519675925925924</v>
      </c>
      <c r="D33">
        <v>1</v>
      </c>
    </row>
    <row r="34" spans="1:4" x14ac:dyDescent="0.25">
      <c r="A34" s="1" t="s">
        <v>40</v>
      </c>
      <c r="B34" s="1" t="s">
        <v>9</v>
      </c>
      <c r="C34" s="2">
        <v>0.34577546296296297</v>
      </c>
      <c r="D34">
        <v>2</v>
      </c>
    </row>
    <row r="35" spans="1:4" x14ac:dyDescent="0.25">
      <c r="A35" s="1" t="s">
        <v>41</v>
      </c>
      <c r="B35" s="1" t="s">
        <v>7</v>
      </c>
      <c r="C35" s="2">
        <v>0.34606481481481483</v>
      </c>
      <c r="D35">
        <v>1</v>
      </c>
    </row>
    <row r="36" spans="1:4" x14ac:dyDescent="0.25">
      <c r="A36" s="1" t="s">
        <v>42</v>
      </c>
      <c r="B36" s="1" t="s">
        <v>27</v>
      </c>
      <c r="C36" s="2">
        <v>0.34664351851851855</v>
      </c>
      <c r="D36">
        <v>2</v>
      </c>
    </row>
    <row r="37" spans="1:4" x14ac:dyDescent="0.25">
      <c r="A37" s="1" t="s">
        <v>43</v>
      </c>
      <c r="B37" s="1" t="s">
        <v>27</v>
      </c>
      <c r="C37" s="2">
        <v>0.34693287037037035</v>
      </c>
      <c r="D37">
        <v>1</v>
      </c>
    </row>
    <row r="38" spans="1:4" x14ac:dyDescent="0.25">
      <c r="A38" s="1" t="s">
        <v>44</v>
      </c>
      <c r="B38" s="1" t="s">
        <v>7</v>
      </c>
      <c r="C38" s="2">
        <v>0.34722222222222221</v>
      </c>
      <c r="D38">
        <v>1</v>
      </c>
    </row>
    <row r="39" spans="1:4" x14ac:dyDescent="0.25">
      <c r="A39" s="1" t="s">
        <v>45</v>
      </c>
      <c r="B39" s="1" t="s">
        <v>7</v>
      </c>
      <c r="C39" s="2">
        <v>0.34751157407407407</v>
      </c>
      <c r="D39">
        <v>1</v>
      </c>
    </row>
    <row r="40" spans="1:4" x14ac:dyDescent="0.25">
      <c r="A40" s="1" t="s">
        <v>46</v>
      </c>
      <c r="B40" s="1" t="s">
        <v>5</v>
      </c>
      <c r="C40" s="2">
        <v>0.34780092592592593</v>
      </c>
      <c r="D40">
        <v>1</v>
      </c>
    </row>
    <row r="41" spans="1:4" x14ac:dyDescent="0.25">
      <c r="A41" s="1" t="s">
        <v>47</v>
      </c>
      <c r="B41" s="1" t="s">
        <v>27</v>
      </c>
      <c r="C41" s="2">
        <v>0.34837962962962965</v>
      </c>
      <c r="D41">
        <v>2</v>
      </c>
    </row>
    <row r="42" spans="1:4" x14ac:dyDescent="0.25">
      <c r="A42" s="1" t="s">
        <v>48</v>
      </c>
      <c r="B42" s="1" t="s">
        <v>27</v>
      </c>
      <c r="C42" s="2">
        <v>0.34866898148148145</v>
      </c>
      <c r="D42">
        <v>1</v>
      </c>
    </row>
    <row r="43" spans="1:4" x14ac:dyDescent="0.25">
      <c r="A43" s="1" t="s">
        <v>49</v>
      </c>
      <c r="B43" s="1" t="s">
        <v>7</v>
      </c>
      <c r="C43" s="2">
        <v>0.34895833333333331</v>
      </c>
      <c r="D43">
        <v>1</v>
      </c>
    </row>
    <row r="44" spans="1:4" x14ac:dyDescent="0.25">
      <c r="A44" s="1" t="s">
        <v>50</v>
      </c>
      <c r="B44" s="1" t="s">
        <v>9</v>
      </c>
      <c r="C44" s="2">
        <v>0.34924768518518517</v>
      </c>
      <c r="D44">
        <v>1</v>
      </c>
    </row>
    <row r="45" spans="1:4" x14ac:dyDescent="0.25">
      <c r="A45" s="1" t="s">
        <v>51</v>
      </c>
      <c r="B45" s="1" t="s">
        <v>9</v>
      </c>
      <c r="C45" s="2">
        <v>0.34953703703703703</v>
      </c>
      <c r="D45">
        <v>1</v>
      </c>
    </row>
    <row r="46" spans="1:4" x14ac:dyDescent="0.25">
      <c r="A46" s="1" t="s">
        <v>52</v>
      </c>
      <c r="B46" s="1" t="s">
        <v>7</v>
      </c>
      <c r="C46" s="2">
        <v>0.3498263888888889</v>
      </c>
      <c r="D46">
        <v>1</v>
      </c>
    </row>
    <row r="47" spans="1:4" x14ac:dyDescent="0.25">
      <c r="A47" s="1" t="s">
        <v>53</v>
      </c>
      <c r="B47" s="1" t="s">
        <v>27</v>
      </c>
      <c r="C47" s="2">
        <v>0.35040509259259262</v>
      </c>
      <c r="D47">
        <v>2</v>
      </c>
    </row>
    <row r="48" spans="1:4" x14ac:dyDescent="0.25">
      <c r="A48" s="1" t="s">
        <v>54</v>
      </c>
      <c r="B48" s="1" t="s">
        <v>7</v>
      </c>
      <c r="C48" s="2">
        <v>0.35069444444444442</v>
      </c>
      <c r="D48">
        <v>1</v>
      </c>
    </row>
    <row r="49" spans="1:4" x14ac:dyDescent="0.25">
      <c r="A49" s="1" t="s">
        <v>55</v>
      </c>
      <c r="B49" s="1" t="s">
        <v>9</v>
      </c>
      <c r="C49" s="2">
        <v>0.35127314814814814</v>
      </c>
      <c r="D49">
        <v>2</v>
      </c>
    </row>
    <row r="50" spans="1:4" x14ac:dyDescent="0.25">
      <c r="A50" s="1" t="s">
        <v>56</v>
      </c>
      <c r="B50" s="1" t="s">
        <v>9</v>
      </c>
      <c r="C50" s="2">
        <v>0.35185185185185186</v>
      </c>
      <c r="D50">
        <v>2</v>
      </c>
    </row>
    <row r="51" spans="1:4" x14ac:dyDescent="0.25">
      <c r="A51" s="1" t="s">
        <v>57</v>
      </c>
      <c r="B51" s="1" t="s">
        <v>7</v>
      </c>
      <c r="C51" s="2">
        <v>0.35214120370370372</v>
      </c>
      <c r="D51">
        <v>1</v>
      </c>
    </row>
    <row r="52" spans="1:4" x14ac:dyDescent="0.25">
      <c r="A52" s="1" t="s">
        <v>58</v>
      </c>
      <c r="B52" s="1" t="s">
        <v>27</v>
      </c>
      <c r="C52" s="2">
        <v>0.35243055555555558</v>
      </c>
      <c r="D52">
        <v>1</v>
      </c>
    </row>
    <row r="53" spans="1:4" x14ac:dyDescent="0.25">
      <c r="A53" s="1" t="s">
        <v>59</v>
      </c>
      <c r="B53" s="1" t="s">
        <v>7</v>
      </c>
      <c r="C53" s="2">
        <v>0.35271990740740738</v>
      </c>
      <c r="D53">
        <v>1</v>
      </c>
    </row>
    <row r="54" spans="1:4" x14ac:dyDescent="0.25">
      <c r="A54" s="1" t="s">
        <v>60</v>
      </c>
      <c r="B54" s="1" t="s">
        <v>9</v>
      </c>
      <c r="C54" s="2">
        <v>0.3532986111111111</v>
      </c>
      <c r="D54">
        <v>2</v>
      </c>
    </row>
    <row r="55" spans="1:4" x14ac:dyDescent="0.25">
      <c r="A55" s="1" t="s">
        <v>61</v>
      </c>
      <c r="B55" s="1" t="s">
        <v>7</v>
      </c>
      <c r="C55" s="2">
        <v>0.35358796296296297</v>
      </c>
      <c r="D55">
        <v>1</v>
      </c>
    </row>
    <row r="56" spans="1:4" x14ac:dyDescent="0.25">
      <c r="A56" s="1" t="s">
        <v>62</v>
      </c>
      <c r="B56" s="1" t="s">
        <v>27</v>
      </c>
      <c r="C56" s="2">
        <v>0.35416666666666669</v>
      </c>
      <c r="D56">
        <v>2</v>
      </c>
    </row>
    <row r="57" spans="1:4" x14ac:dyDescent="0.25">
      <c r="A57" s="1" t="s">
        <v>63</v>
      </c>
      <c r="B57" s="1" t="s">
        <v>27</v>
      </c>
      <c r="C57" s="2">
        <v>0.35474537037037035</v>
      </c>
      <c r="D57">
        <v>2</v>
      </c>
    </row>
    <row r="58" spans="1:4" x14ac:dyDescent="0.25">
      <c r="A58" s="1" t="s">
        <v>64</v>
      </c>
      <c r="B58" s="1" t="s">
        <v>7</v>
      </c>
      <c r="C58" s="2">
        <v>0.35503472222222221</v>
      </c>
      <c r="D58">
        <v>1</v>
      </c>
    </row>
    <row r="59" spans="1:4" x14ac:dyDescent="0.25">
      <c r="A59" s="1" t="s">
        <v>65</v>
      </c>
      <c r="B59" s="1" t="s">
        <v>5</v>
      </c>
      <c r="C59" s="2">
        <v>0.35561342592592593</v>
      </c>
      <c r="D59">
        <v>2</v>
      </c>
    </row>
    <row r="60" spans="1:4" x14ac:dyDescent="0.25">
      <c r="A60" s="1" t="s">
        <v>66</v>
      </c>
      <c r="B60" s="1" t="s">
        <v>5</v>
      </c>
      <c r="C60" s="2">
        <v>0.35590277777777779</v>
      </c>
      <c r="D60">
        <v>1</v>
      </c>
    </row>
    <row r="61" spans="1:4" x14ac:dyDescent="0.25">
      <c r="A61" s="1" t="s">
        <v>67</v>
      </c>
      <c r="B61" s="1" t="s">
        <v>27</v>
      </c>
      <c r="C61" s="2">
        <v>0.35648148148148145</v>
      </c>
      <c r="D61">
        <v>2</v>
      </c>
    </row>
    <row r="62" spans="1:4" x14ac:dyDescent="0.25">
      <c r="A62" s="1" t="s">
        <v>68</v>
      </c>
      <c r="B62" s="1" t="s">
        <v>27</v>
      </c>
      <c r="C62" s="2">
        <v>0.35677083333333331</v>
      </c>
      <c r="D62">
        <v>1</v>
      </c>
    </row>
    <row r="63" spans="1:4" x14ac:dyDescent="0.25">
      <c r="A63" s="1" t="s">
        <v>69</v>
      </c>
      <c r="B63" s="1" t="s">
        <v>7</v>
      </c>
      <c r="C63" s="2">
        <v>0.35706018518518517</v>
      </c>
      <c r="D63">
        <v>1</v>
      </c>
    </row>
    <row r="64" spans="1:4" x14ac:dyDescent="0.25">
      <c r="A64" s="1" t="s">
        <v>70</v>
      </c>
      <c r="B64" s="1" t="s">
        <v>9</v>
      </c>
      <c r="C64" s="2">
        <v>0.35734953703703703</v>
      </c>
      <c r="D64">
        <v>1</v>
      </c>
    </row>
    <row r="65" spans="1:4" x14ac:dyDescent="0.25">
      <c r="A65" s="1" t="s">
        <v>71</v>
      </c>
      <c r="B65" s="1" t="s">
        <v>5</v>
      </c>
      <c r="C65" s="2">
        <v>0.35792824074074076</v>
      </c>
      <c r="D65">
        <v>2</v>
      </c>
    </row>
    <row r="66" spans="1:4" x14ac:dyDescent="0.25">
      <c r="A66" s="1" t="s">
        <v>72</v>
      </c>
      <c r="B66" s="1" t="s">
        <v>27</v>
      </c>
      <c r="C66" s="2">
        <v>0.35850694444444442</v>
      </c>
      <c r="D66">
        <v>2</v>
      </c>
    </row>
    <row r="67" spans="1:4" x14ac:dyDescent="0.25">
      <c r="A67" s="1" t="s">
        <v>73</v>
      </c>
      <c r="B67" s="1" t="s">
        <v>7</v>
      </c>
      <c r="C67" s="2">
        <v>0.35879629629629628</v>
      </c>
      <c r="D67">
        <v>1</v>
      </c>
    </row>
    <row r="68" spans="1:4" x14ac:dyDescent="0.25">
      <c r="A68" s="1" t="s">
        <v>74</v>
      </c>
      <c r="B68" s="1" t="s">
        <v>27</v>
      </c>
      <c r="C68" s="2">
        <v>0.35908564814814814</v>
      </c>
      <c r="D68">
        <v>1</v>
      </c>
    </row>
    <row r="69" spans="1:4" x14ac:dyDescent="0.25">
      <c r="A69" s="1" t="s">
        <v>75</v>
      </c>
      <c r="B69" s="1" t="s">
        <v>27</v>
      </c>
      <c r="C69" s="2">
        <v>0.359375</v>
      </c>
      <c r="D69">
        <v>1</v>
      </c>
    </row>
    <row r="70" spans="1:4" x14ac:dyDescent="0.25">
      <c r="A70" s="1" t="s">
        <v>76</v>
      </c>
      <c r="B70" s="1" t="s">
        <v>7</v>
      </c>
      <c r="C70" s="2">
        <v>0.35966435185185186</v>
      </c>
      <c r="D70">
        <v>1</v>
      </c>
    </row>
    <row r="71" spans="1:4" x14ac:dyDescent="0.25">
      <c r="A71" s="1" t="s">
        <v>77</v>
      </c>
      <c r="B71" s="1" t="s">
        <v>7</v>
      </c>
      <c r="C71" s="2">
        <v>0.35995370370370372</v>
      </c>
      <c r="D71">
        <v>1</v>
      </c>
    </row>
    <row r="72" spans="1:4" x14ac:dyDescent="0.25">
      <c r="A72" s="1" t="s">
        <v>78</v>
      </c>
      <c r="B72" s="1" t="s">
        <v>9</v>
      </c>
      <c r="C72" s="2">
        <v>0.36024305555555558</v>
      </c>
      <c r="D72">
        <v>1</v>
      </c>
    </row>
    <row r="73" spans="1:4" x14ac:dyDescent="0.25">
      <c r="A73" s="1" t="s">
        <v>79</v>
      </c>
      <c r="B73" s="1" t="s">
        <v>5</v>
      </c>
      <c r="C73" s="2">
        <v>0.36053240740740738</v>
      </c>
      <c r="D73">
        <v>1</v>
      </c>
    </row>
    <row r="74" spans="1:4" x14ac:dyDescent="0.25">
      <c r="A74" s="1" t="s">
        <v>80</v>
      </c>
      <c r="B74" s="1" t="s">
        <v>5</v>
      </c>
      <c r="C74" s="2">
        <v>0.3611111111111111</v>
      </c>
      <c r="D74">
        <v>2</v>
      </c>
    </row>
    <row r="75" spans="1:4" x14ac:dyDescent="0.25">
      <c r="A75" s="1" t="s">
        <v>81</v>
      </c>
      <c r="B75" s="1" t="s">
        <v>5</v>
      </c>
      <c r="C75" s="2">
        <v>0.36168981481481483</v>
      </c>
      <c r="D75">
        <v>2</v>
      </c>
    </row>
    <row r="76" spans="1:4" x14ac:dyDescent="0.25">
      <c r="A76" s="1" t="s">
        <v>82</v>
      </c>
      <c r="B76" s="1" t="s">
        <v>27</v>
      </c>
      <c r="C76" s="2">
        <v>0.36226851851851855</v>
      </c>
      <c r="D76">
        <v>2</v>
      </c>
    </row>
    <row r="77" spans="1:4" x14ac:dyDescent="0.25">
      <c r="A77" s="1" t="s">
        <v>83</v>
      </c>
      <c r="B77" s="1" t="s">
        <v>7</v>
      </c>
      <c r="C77" s="2">
        <v>0.36255787037037035</v>
      </c>
      <c r="D77">
        <v>1</v>
      </c>
    </row>
    <row r="78" spans="1:4" x14ac:dyDescent="0.25">
      <c r="A78" s="1" t="s">
        <v>84</v>
      </c>
      <c r="B78" s="1" t="s">
        <v>7</v>
      </c>
      <c r="C78" s="2">
        <v>0.36284722222222221</v>
      </c>
      <c r="D78">
        <v>1</v>
      </c>
    </row>
    <row r="79" spans="1:4" x14ac:dyDescent="0.25">
      <c r="A79" s="1" t="s">
        <v>85</v>
      </c>
      <c r="B79" s="1" t="s">
        <v>7</v>
      </c>
      <c r="C79" s="2">
        <v>0.36313657407407407</v>
      </c>
      <c r="D79">
        <v>1</v>
      </c>
    </row>
    <row r="80" spans="1:4" x14ac:dyDescent="0.25">
      <c r="A80" s="1" t="s">
        <v>86</v>
      </c>
      <c r="B80" s="1" t="s">
        <v>7</v>
      </c>
      <c r="C80" s="2">
        <v>0.36342592592592593</v>
      </c>
      <c r="D80">
        <v>1</v>
      </c>
    </row>
    <row r="81" spans="1:4" x14ac:dyDescent="0.25">
      <c r="A81" s="1" t="s">
        <v>87</v>
      </c>
      <c r="B81" s="1" t="s">
        <v>5</v>
      </c>
      <c r="C81" s="2">
        <v>0.36371527777777779</v>
      </c>
      <c r="D81">
        <v>1</v>
      </c>
    </row>
    <row r="82" spans="1:4" x14ac:dyDescent="0.25">
      <c r="A82" s="1" t="s">
        <v>88</v>
      </c>
      <c r="B82" s="1" t="s">
        <v>5</v>
      </c>
      <c r="C82" s="2">
        <v>0.36400462962962965</v>
      </c>
      <c r="D82">
        <v>1</v>
      </c>
    </row>
    <row r="83" spans="1:4" x14ac:dyDescent="0.25">
      <c r="A83" s="1" t="s">
        <v>89</v>
      </c>
      <c r="B83" s="1" t="s">
        <v>5</v>
      </c>
      <c r="C83" s="2">
        <v>0.36429398148148145</v>
      </c>
      <c r="D83">
        <v>1</v>
      </c>
    </row>
    <row r="84" spans="1:4" x14ac:dyDescent="0.25">
      <c r="A84" s="1" t="s">
        <v>90</v>
      </c>
      <c r="B84" s="1" t="s">
        <v>5</v>
      </c>
      <c r="C84" s="2">
        <v>0.36487268518518517</v>
      </c>
      <c r="D84">
        <v>2</v>
      </c>
    </row>
    <row r="85" spans="1:4" x14ac:dyDescent="0.25">
      <c r="A85" s="1" t="s">
        <v>91</v>
      </c>
      <c r="B85" s="1" t="s">
        <v>7</v>
      </c>
      <c r="C85" s="2">
        <v>0.36516203703703703</v>
      </c>
      <c r="D85">
        <v>1</v>
      </c>
    </row>
    <row r="86" spans="1:4" x14ac:dyDescent="0.25">
      <c r="A86" s="1" t="s">
        <v>92</v>
      </c>
      <c r="B86" s="1" t="s">
        <v>7</v>
      </c>
      <c r="C86" s="2">
        <v>0.3654513888888889</v>
      </c>
      <c r="D86">
        <v>1</v>
      </c>
    </row>
    <row r="87" spans="1:4" x14ac:dyDescent="0.25">
      <c r="A87" s="1" t="s">
        <v>93</v>
      </c>
      <c r="B87" s="1" t="s">
        <v>9</v>
      </c>
      <c r="C87" s="2">
        <v>0.36603009259259262</v>
      </c>
      <c r="D87">
        <v>2</v>
      </c>
    </row>
    <row r="88" spans="1:4" x14ac:dyDescent="0.25">
      <c r="A88" s="1" t="s">
        <v>94</v>
      </c>
      <c r="B88" s="1" t="s">
        <v>5</v>
      </c>
      <c r="C88" s="2">
        <v>0.36660879629629628</v>
      </c>
      <c r="D88">
        <v>2</v>
      </c>
    </row>
    <row r="89" spans="1:4" x14ac:dyDescent="0.25">
      <c r="A89" s="1" t="s">
        <v>95</v>
      </c>
      <c r="B89" s="1" t="s">
        <v>7</v>
      </c>
      <c r="C89" s="2">
        <v>0.36689814814814814</v>
      </c>
      <c r="D89">
        <v>1</v>
      </c>
    </row>
    <row r="90" spans="1:4" x14ac:dyDescent="0.25">
      <c r="A90" s="1" t="s">
        <v>96</v>
      </c>
      <c r="B90" s="1" t="s">
        <v>5</v>
      </c>
      <c r="C90" s="2">
        <v>0.36747685185185186</v>
      </c>
      <c r="D90">
        <v>2</v>
      </c>
    </row>
    <row r="91" spans="1:4" x14ac:dyDescent="0.25">
      <c r="A91" s="1" t="s">
        <v>97</v>
      </c>
      <c r="B91" s="1" t="s">
        <v>27</v>
      </c>
      <c r="C91" s="2">
        <v>0.36805555555555558</v>
      </c>
      <c r="D91">
        <v>2</v>
      </c>
    </row>
    <row r="92" spans="1:4" x14ac:dyDescent="0.25">
      <c r="A92" s="1" t="s">
        <v>98</v>
      </c>
      <c r="B92" s="1" t="s">
        <v>7</v>
      </c>
      <c r="C92" s="2">
        <v>0.36834490740740738</v>
      </c>
      <c r="D92">
        <v>1</v>
      </c>
    </row>
    <row r="93" spans="1:4" x14ac:dyDescent="0.25">
      <c r="A93" s="1" t="s">
        <v>99</v>
      </c>
      <c r="B93" s="1" t="s">
        <v>9</v>
      </c>
      <c r="C93" s="2">
        <v>0.36863425925925924</v>
      </c>
      <c r="D93">
        <v>1</v>
      </c>
    </row>
    <row r="94" spans="1:4" x14ac:dyDescent="0.25">
      <c r="A94" s="1" t="s">
        <v>100</v>
      </c>
      <c r="B94" s="1" t="s">
        <v>9</v>
      </c>
      <c r="C94" s="2">
        <v>0.36921296296296297</v>
      </c>
      <c r="D94">
        <v>2</v>
      </c>
    </row>
    <row r="95" spans="1:4" x14ac:dyDescent="0.25">
      <c r="A95" s="1" t="s">
        <v>101</v>
      </c>
      <c r="B95" s="1" t="s">
        <v>7</v>
      </c>
      <c r="C95" s="2">
        <v>0.36950231481481483</v>
      </c>
      <c r="D95">
        <v>1</v>
      </c>
    </row>
    <row r="96" spans="1:4" x14ac:dyDescent="0.25">
      <c r="A96" s="1" t="s">
        <v>102</v>
      </c>
      <c r="B96" s="1" t="s">
        <v>9</v>
      </c>
      <c r="C96" s="2">
        <v>0.36979166666666669</v>
      </c>
      <c r="D96">
        <v>1</v>
      </c>
    </row>
    <row r="97" spans="1:4" x14ac:dyDescent="0.25">
      <c r="A97" s="1" t="s">
        <v>103</v>
      </c>
      <c r="B97" s="1" t="s">
        <v>7</v>
      </c>
      <c r="C97" s="2">
        <v>0.37008101851851855</v>
      </c>
      <c r="D97">
        <v>1</v>
      </c>
    </row>
    <row r="98" spans="1:4" x14ac:dyDescent="0.25">
      <c r="A98" s="1" t="s">
        <v>104</v>
      </c>
      <c r="B98" s="1" t="s">
        <v>5</v>
      </c>
      <c r="C98" s="2">
        <v>0.37065972222222221</v>
      </c>
      <c r="D98">
        <v>2</v>
      </c>
    </row>
    <row r="99" spans="1:4" x14ac:dyDescent="0.25">
      <c r="A99" s="1" t="s">
        <v>105</v>
      </c>
      <c r="B99" s="1" t="s">
        <v>5</v>
      </c>
      <c r="C99" s="2">
        <v>0.37123842592592593</v>
      </c>
      <c r="D99">
        <v>2</v>
      </c>
    </row>
    <row r="100" spans="1:4" x14ac:dyDescent="0.25">
      <c r="A100" s="1" t="s">
        <v>106</v>
      </c>
      <c r="B100" s="1" t="s">
        <v>7</v>
      </c>
      <c r="C100" s="2">
        <v>0.37152777777777779</v>
      </c>
      <c r="D100">
        <v>1</v>
      </c>
    </row>
    <row r="101" spans="1:4" x14ac:dyDescent="0.25">
      <c r="A101" s="1" t="s">
        <v>107</v>
      </c>
      <c r="B101" s="1" t="s">
        <v>7</v>
      </c>
      <c r="C101" s="2">
        <v>0.37181712962962965</v>
      </c>
      <c r="D101">
        <v>1</v>
      </c>
    </row>
    <row r="102" spans="1:4" x14ac:dyDescent="0.25">
      <c r="A102" s="1" t="s">
        <v>108</v>
      </c>
      <c r="B102" s="1" t="s">
        <v>7</v>
      </c>
      <c r="C102" s="2">
        <v>0.37210648148148145</v>
      </c>
      <c r="D102">
        <v>1</v>
      </c>
    </row>
    <row r="103" spans="1:4" x14ac:dyDescent="0.25">
      <c r="A103" s="1" t="s">
        <v>109</v>
      </c>
      <c r="B103" s="1" t="s">
        <v>9</v>
      </c>
      <c r="C103" s="2">
        <v>0.37268518518518517</v>
      </c>
      <c r="D103">
        <v>2</v>
      </c>
    </row>
    <row r="104" spans="1:4" x14ac:dyDescent="0.25">
      <c r="A104" s="1" t="s">
        <v>110</v>
      </c>
      <c r="B104" s="1" t="s">
        <v>27</v>
      </c>
      <c r="C104" s="2">
        <v>0.3732638888888889</v>
      </c>
      <c r="D104">
        <v>2</v>
      </c>
    </row>
    <row r="105" spans="1:4" x14ac:dyDescent="0.25">
      <c r="A105" s="1" t="s">
        <v>111</v>
      </c>
      <c r="B105" s="1" t="s">
        <v>7</v>
      </c>
      <c r="C105" s="2">
        <v>0.37355324074074076</v>
      </c>
      <c r="D105">
        <v>1</v>
      </c>
    </row>
    <row r="106" spans="1:4" x14ac:dyDescent="0.25">
      <c r="A106" s="1" t="s">
        <v>112</v>
      </c>
      <c r="B106" s="1" t="s">
        <v>9</v>
      </c>
      <c r="C106" s="2">
        <v>0.37384259259259262</v>
      </c>
      <c r="D106">
        <v>1</v>
      </c>
    </row>
    <row r="107" spans="1:4" x14ac:dyDescent="0.25">
      <c r="A107" s="1" t="s">
        <v>113</v>
      </c>
      <c r="B107" s="1" t="s">
        <v>7</v>
      </c>
      <c r="C107" s="2">
        <v>0.37413194444444442</v>
      </c>
      <c r="D107">
        <v>1</v>
      </c>
    </row>
    <row r="108" spans="1:4" x14ac:dyDescent="0.25">
      <c r="A108" s="1" t="s">
        <v>114</v>
      </c>
      <c r="B108" s="1" t="s">
        <v>5</v>
      </c>
      <c r="C108" s="2">
        <v>0.37442129629629628</v>
      </c>
      <c r="D108">
        <v>1</v>
      </c>
    </row>
    <row r="109" spans="1:4" x14ac:dyDescent="0.25">
      <c r="A109" s="1" t="s">
        <v>115</v>
      </c>
      <c r="B109" s="1" t="s">
        <v>7</v>
      </c>
      <c r="C109" s="2">
        <v>0.37471064814814814</v>
      </c>
      <c r="D109">
        <v>1</v>
      </c>
    </row>
    <row r="110" spans="1:4" x14ac:dyDescent="0.25">
      <c r="A110" s="1" t="s">
        <v>116</v>
      </c>
      <c r="B110" s="1" t="s">
        <v>27</v>
      </c>
      <c r="C110" s="2">
        <v>0.37528935185185186</v>
      </c>
      <c r="D110">
        <v>2</v>
      </c>
    </row>
    <row r="111" spans="1:4" x14ac:dyDescent="0.25">
      <c r="A111" s="1" t="s">
        <v>117</v>
      </c>
      <c r="B111" s="1" t="s">
        <v>27</v>
      </c>
      <c r="C111" s="2">
        <v>0.37586805555555558</v>
      </c>
      <c r="D111">
        <v>2</v>
      </c>
    </row>
    <row r="112" spans="1:4" x14ac:dyDescent="0.25">
      <c r="A112" s="1" t="s">
        <v>118</v>
      </c>
      <c r="B112" s="1" t="s">
        <v>27</v>
      </c>
      <c r="C112" s="2">
        <v>0.37615740740740738</v>
      </c>
      <c r="D112">
        <v>1</v>
      </c>
    </row>
    <row r="113" spans="1:4" x14ac:dyDescent="0.25">
      <c r="A113" s="1" t="s">
        <v>119</v>
      </c>
      <c r="B113" s="1" t="s">
        <v>27</v>
      </c>
      <c r="C113" s="2">
        <v>0.37644675925925924</v>
      </c>
      <c r="D113">
        <v>1</v>
      </c>
    </row>
    <row r="114" spans="1:4" x14ac:dyDescent="0.25">
      <c r="A114" s="1" t="s">
        <v>120</v>
      </c>
      <c r="B114" s="1" t="s">
        <v>7</v>
      </c>
      <c r="C114" s="2">
        <v>0.3767361111111111</v>
      </c>
      <c r="D114">
        <v>1</v>
      </c>
    </row>
    <row r="115" spans="1:4" x14ac:dyDescent="0.25">
      <c r="A115" s="1" t="s">
        <v>121</v>
      </c>
      <c r="B115" s="1" t="s">
        <v>5</v>
      </c>
      <c r="C115" s="2">
        <v>0.37702546296296297</v>
      </c>
      <c r="D115">
        <v>1</v>
      </c>
    </row>
    <row r="116" spans="1:4" x14ac:dyDescent="0.25">
      <c r="A116" s="1" t="s">
        <v>122</v>
      </c>
      <c r="B116" s="1" t="s">
        <v>7</v>
      </c>
      <c r="C116" s="2">
        <v>0.37731481481481483</v>
      </c>
      <c r="D116">
        <v>1</v>
      </c>
    </row>
    <row r="117" spans="1:4" x14ac:dyDescent="0.25">
      <c r="A117" s="1" t="s">
        <v>123</v>
      </c>
      <c r="B117" s="1" t="s">
        <v>9</v>
      </c>
      <c r="C117" s="2">
        <v>0.37789351851851855</v>
      </c>
      <c r="D117">
        <v>2</v>
      </c>
    </row>
    <row r="118" spans="1:4" x14ac:dyDescent="0.25">
      <c r="A118" s="1" t="s">
        <v>124</v>
      </c>
      <c r="B118" s="1" t="s">
        <v>9</v>
      </c>
      <c r="C118" s="2">
        <v>0.37847222222222221</v>
      </c>
      <c r="D118">
        <v>2</v>
      </c>
    </row>
    <row r="119" spans="1:4" x14ac:dyDescent="0.25">
      <c r="A119" s="1" t="s">
        <v>125</v>
      </c>
      <c r="B119" s="1" t="s">
        <v>9</v>
      </c>
      <c r="C119" s="2">
        <v>0.37876157407407407</v>
      </c>
      <c r="D119">
        <v>1</v>
      </c>
    </row>
    <row r="120" spans="1:4" x14ac:dyDescent="0.25">
      <c r="A120" s="1" t="s">
        <v>126</v>
      </c>
      <c r="B120" s="1" t="s">
        <v>5</v>
      </c>
      <c r="C120" s="2">
        <v>0.37934027777777779</v>
      </c>
      <c r="D120">
        <v>2</v>
      </c>
    </row>
    <row r="121" spans="1:4" x14ac:dyDescent="0.25">
      <c r="A121" s="1" t="s">
        <v>127</v>
      </c>
      <c r="B121" s="1" t="s">
        <v>7</v>
      </c>
      <c r="C121" s="2">
        <v>0.37962962962962965</v>
      </c>
      <c r="D121">
        <v>1</v>
      </c>
    </row>
    <row r="122" spans="1:4" x14ac:dyDescent="0.25">
      <c r="A122" s="1" t="s">
        <v>128</v>
      </c>
      <c r="B122" s="1" t="s">
        <v>9</v>
      </c>
      <c r="C122" s="2">
        <v>0.38020833333333331</v>
      </c>
      <c r="D122">
        <v>2</v>
      </c>
    </row>
    <row r="123" spans="1:4" x14ac:dyDescent="0.25">
      <c r="A123" s="1" t="s">
        <v>129</v>
      </c>
      <c r="B123" s="1" t="s">
        <v>7</v>
      </c>
      <c r="C123" s="2">
        <v>0.38049768518518517</v>
      </c>
      <c r="D123">
        <v>1</v>
      </c>
    </row>
    <row r="124" spans="1:4" x14ac:dyDescent="0.25">
      <c r="A124" s="1" t="s">
        <v>130</v>
      </c>
      <c r="B124" s="1" t="s">
        <v>9</v>
      </c>
      <c r="C124" s="2">
        <v>0.38078703703703703</v>
      </c>
      <c r="D124">
        <v>1</v>
      </c>
    </row>
    <row r="125" spans="1:4" x14ac:dyDescent="0.25">
      <c r="A125" s="1" t="s">
        <v>131</v>
      </c>
      <c r="B125" s="1" t="s">
        <v>7</v>
      </c>
      <c r="C125" s="2">
        <v>0.3810763888888889</v>
      </c>
      <c r="D125">
        <v>1</v>
      </c>
    </row>
    <row r="126" spans="1:4" x14ac:dyDescent="0.25">
      <c r="A126" s="1" t="s">
        <v>132</v>
      </c>
      <c r="B126" s="1" t="s">
        <v>9</v>
      </c>
      <c r="C126" s="2">
        <v>0.38165509259259262</v>
      </c>
      <c r="D126">
        <v>2</v>
      </c>
    </row>
    <row r="127" spans="1:4" x14ac:dyDescent="0.25">
      <c r="A127" s="1" t="s">
        <v>133</v>
      </c>
      <c r="B127" s="1" t="s">
        <v>7</v>
      </c>
      <c r="C127" s="2">
        <v>0.38194444444444442</v>
      </c>
      <c r="D127">
        <v>1</v>
      </c>
    </row>
    <row r="128" spans="1:4" x14ac:dyDescent="0.25">
      <c r="A128" s="1" t="s">
        <v>134</v>
      </c>
      <c r="B128" s="1" t="s">
        <v>9</v>
      </c>
      <c r="C128" s="2">
        <v>0.38252314814814814</v>
      </c>
      <c r="D128">
        <v>2</v>
      </c>
    </row>
    <row r="129" spans="1:4" x14ac:dyDescent="0.25">
      <c r="A129" s="1" t="s">
        <v>135</v>
      </c>
      <c r="B129" s="1" t="s">
        <v>7</v>
      </c>
      <c r="C129" s="2">
        <v>0.3828125</v>
      </c>
      <c r="D129">
        <v>1</v>
      </c>
    </row>
    <row r="130" spans="1:4" x14ac:dyDescent="0.25">
      <c r="A130" s="1" t="s">
        <v>136</v>
      </c>
      <c r="B130" s="1" t="s">
        <v>7</v>
      </c>
      <c r="C130" s="2">
        <v>0.38310185185185186</v>
      </c>
      <c r="D130">
        <v>1</v>
      </c>
    </row>
    <row r="131" spans="1:4" x14ac:dyDescent="0.25">
      <c r="A131" s="1" t="s">
        <v>137</v>
      </c>
      <c r="B131" s="1" t="s">
        <v>9</v>
      </c>
      <c r="C131" s="2">
        <v>0.38368055555555558</v>
      </c>
      <c r="D131">
        <v>2</v>
      </c>
    </row>
    <row r="132" spans="1:4" x14ac:dyDescent="0.25">
      <c r="A132" s="1" t="s">
        <v>138</v>
      </c>
      <c r="B132" s="1" t="s">
        <v>7</v>
      </c>
      <c r="C132" s="2">
        <v>0.38396990740740738</v>
      </c>
      <c r="D132">
        <v>1</v>
      </c>
    </row>
    <row r="133" spans="1:4" x14ac:dyDescent="0.25">
      <c r="A133" s="1" t="s">
        <v>139</v>
      </c>
      <c r="B133" s="1" t="s">
        <v>5</v>
      </c>
      <c r="C133" s="2">
        <v>0.3845486111111111</v>
      </c>
      <c r="D133">
        <v>2</v>
      </c>
    </row>
    <row r="134" spans="1:4" x14ac:dyDescent="0.25">
      <c r="A134" s="1" t="s">
        <v>140</v>
      </c>
      <c r="B134" s="1" t="s">
        <v>9</v>
      </c>
      <c r="C134" s="2">
        <v>0.38483796296296297</v>
      </c>
      <c r="D134">
        <v>1</v>
      </c>
    </row>
    <row r="135" spans="1:4" x14ac:dyDescent="0.25">
      <c r="A135" s="1" t="s">
        <v>141</v>
      </c>
      <c r="B135" s="1" t="s">
        <v>27</v>
      </c>
      <c r="C135" s="2">
        <v>0.38541666666666669</v>
      </c>
      <c r="D135">
        <v>2</v>
      </c>
    </row>
    <row r="136" spans="1:4" x14ac:dyDescent="0.25">
      <c r="A136" s="1" t="s">
        <v>142</v>
      </c>
      <c r="B136" s="1" t="s">
        <v>7</v>
      </c>
      <c r="C136" s="2">
        <v>0.38570601851851855</v>
      </c>
      <c r="D136">
        <v>1</v>
      </c>
    </row>
    <row r="137" spans="1:4" x14ac:dyDescent="0.25">
      <c r="A137" s="1" t="s">
        <v>143</v>
      </c>
      <c r="B137" s="1" t="s">
        <v>9</v>
      </c>
      <c r="C137" s="2">
        <v>0.38599537037037035</v>
      </c>
      <c r="D137">
        <v>1</v>
      </c>
    </row>
    <row r="138" spans="1:4" x14ac:dyDescent="0.25">
      <c r="A138" s="1" t="s">
        <v>144</v>
      </c>
      <c r="B138" s="1" t="s">
        <v>7</v>
      </c>
      <c r="C138" s="2">
        <v>0.38628472222222221</v>
      </c>
      <c r="D138">
        <v>1</v>
      </c>
    </row>
    <row r="139" spans="1:4" x14ac:dyDescent="0.25">
      <c r="A139" s="1" t="s">
        <v>145</v>
      </c>
      <c r="B139" s="1" t="s">
        <v>9</v>
      </c>
      <c r="C139" s="2">
        <v>0.38657407407407407</v>
      </c>
      <c r="D139">
        <v>1</v>
      </c>
    </row>
    <row r="140" spans="1:4" x14ac:dyDescent="0.25">
      <c r="A140" s="1" t="s">
        <v>146</v>
      </c>
      <c r="B140" s="1" t="s">
        <v>27</v>
      </c>
      <c r="C140" s="2">
        <v>0.38686342592592593</v>
      </c>
      <c r="D140">
        <v>1</v>
      </c>
    </row>
    <row r="141" spans="1:4" x14ac:dyDescent="0.25">
      <c r="A141" s="1" t="s">
        <v>147</v>
      </c>
      <c r="B141" s="1" t="s">
        <v>7</v>
      </c>
      <c r="C141" s="2">
        <v>0.38715277777777779</v>
      </c>
      <c r="D141">
        <v>1</v>
      </c>
    </row>
    <row r="142" spans="1:4" x14ac:dyDescent="0.25">
      <c r="A142" s="1" t="s">
        <v>148</v>
      </c>
      <c r="B142" s="1" t="s">
        <v>5</v>
      </c>
      <c r="C142" s="2">
        <v>0.38773148148148145</v>
      </c>
      <c r="D142">
        <v>2</v>
      </c>
    </row>
    <row r="143" spans="1:4" x14ac:dyDescent="0.25">
      <c r="A143" s="1" t="s">
        <v>149</v>
      </c>
      <c r="B143" s="1" t="s">
        <v>5</v>
      </c>
      <c r="C143" s="2">
        <v>0.38802083333333331</v>
      </c>
      <c r="D143">
        <v>1</v>
      </c>
    </row>
    <row r="144" spans="1:4" x14ac:dyDescent="0.25">
      <c r="A144" s="1" t="s">
        <v>150</v>
      </c>
      <c r="B144" s="1" t="s">
        <v>7</v>
      </c>
      <c r="C144" s="2">
        <v>0.38831018518518517</v>
      </c>
      <c r="D144">
        <v>1</v>
      </c>
    </row>
    <row r="145" spans="1:4" x14ac:dyDescent="0.25">
      <c r="A145" s="1" t="s">
        <v>151</v>
      </c>
      <c r="B145" s="1" t="s">
        <v>7</v>
      </c>
      <c r="C145" s="2">
        <v>0.38859953703703703</v>
      </c>
      <c r="D145">
        <v>1</v>
      </c>
    </row>
    <row r="146" spans="1:4" x14ac:dyDescent="0.25">
      <c r="A146" s="1" t="s">
        <v>152</v>
      </c>
      <c r="B146" s="1" t="s">
        <v>9</v>
      </c>
      <c r="C146" s="2">
        <v>0.38917824074074076</v>
      </c>
      <c r="D146">
        <v>2</v>
      </c>
    </row>
    <row r="147" spans="1:4" x14ac:dyDescent="0.25">
      <c r="A147" s="1" t="s">
        <v>153</v>
      </c>
      <c r="B147" s="1" t="s">
        <v>7</v>
      </c>
      <c r="C147" s="2">
        <v>0.38946759259259262</v>
      </c>
      <c r="D147">
        <v>1</v>
      </c>
    </row>
    <row r="148" spans="1:4" x14ac:dyDescent="0.25">
      <c r="A148" s="1" t="s">
        <v>154</v>
      </c>
      <c r="B148" s="1" t="s">
        <v>9</v>
      </c>
      <c r="C148" s="2">
        <v>0.38975694444444442</v>
      </c>
      <c r="D148">
        <v>1</v>
      </c>
    </row>
    <row r="149" spans="1:4" x14ac:dyDescent="0.25">
      <c r="A149" s="1" t="s">
        <v>155</v>
      </c>
      <c r="B149" s="1" t="s">
        <v>27</v>
      </c>
      <c r="C149" s="2">
        <v>0.39004629629629628</v>
      </c>
      <c r="D149">
        <v>1</v>
      </c>
    </row>
    <row r="150" spans="1:4" x14ac:dyDescent="0.25">
      <c r="A150" s="1" t="s">
        <v>156</v>
      </c>
      <c r="B150" s="1" t="s">
        <v>7</v>
      </c>
      <c r="C150" s="2">
        <v>0.39033564814814814</v>
      </c>
      <c r="D150">
        <v>1</v>
      </c>
    </row>
    <row r="151" spans="1:4" x14ac:dyDescent="0.25">
      <c r="A151" s="1" t="s">
        <v>157</v>
      </c>
      <c r="B151" s="1" t="s">
        <v>5</v>
      </c>
      <c r="C151" s="2">
        <v>0.390625</v>
      </c>
      <c r="D151">
        <v>1</v>
      </c>
    </row>
    <row r="152" spans="1:4" x14ac:dyDescent="0.25">
      <c r="A152" s="1" t="s">
        <v>158</v>
      </c>
      <c r="B152" s="1" t="s">
        <v>9</v>
      </c>
      <c r="C152" s="2">
        <v>0.39120370370370372</v>
      </c>
      <c r="D152">
        <v>2</v>
      </c>
    </row>
    <row r="153" spans="1:4" x14ac:dyDescent="0.25">
      <c r="A153" s="1" t="s">
        <v>159</v>
      </c>
      <c r="B153" s="1" t="s">
        <v>7</v>
      </c>
      <c r="C153" s="2">
        <v>0.39149305555555558</v>
      </c>
      <c r="D153">
        <v>1</v>
      </c>
    </row>
    <row r="154" spans="1:4" x14ac:dyDescent="0.25">
      <c r="A154" s="1" t="s">
        <v>160</v>
      </c>
      <c r="B154" s="1" t="s">
        <v>7</v>
      </c>
      <c r="C154" s="2">
        <v>0.39178240740740738</v>
      </c>
      <c r="D154">
        <v>1</v>
      </c>
    </row>
    <row r="155" spans="1:4" x14ac:dyDescent="0.25">
      <c r="A155" s="1" t="s">
        <v>161</v>
      </c>
      <c r="B155" s="1" t="s">
        <v>9</v>
      </c>
      <c r="C155" s="2">
        <v>0.39207175925925924</v>
      </c>
      <c r="D155">
        <v>1</v>
      </c>
    </row>
    <row r="156" spans="1:4" x14ac:dyDescent="0.25">
      <c r="A156" s="1" t="s">
        <v>162</v>
      </c>
      <c r="B156" s="1" t="s">
        <v>5</v>
      </c>
      <c r="C156" s="2">
        <v>0.3923611111111111</v>
      </c>
      <c r="D156">
        <v>1</v>
      </c>
    </row>
    <row r="157" spans="1:4" x14ac:dyDescent="0.25">
      <c r="A157" s="1" t="s">
        <v>163</v>
      </c>
      <c r="B157" s="1" t="s">
        <v>5</v>
      </c>
      <c r="C157" s="2">
        <v>0.39293981481481483</v>
      </c>
      <c r="D157">
        <v>2</v>
      </c>
    </row>
    <row r="158" spans="1:4" x14ac:dyDescent="0.25">
      <c r="A158" s="1" t="s">
        <v>164</v>
      </c>
      <c r="B158" s="1" t="s">
        <v>27</v>
      </c>
      <c r="C158" s="2">
        <v>0.39351851851851855</v>
      </c>
      <c r="D158">
        <v>2</v>
      </c>
    </row>
    <row r="159" spans="1:4" x14ac:dyDescent="0.25">
      <c r="A159" s="1" t="s">
        <v>165</v>
      </c>
      <c r="B159" s="1" t="s">
        <v>27</v>
      </c>
      <c r="C159" s="2">
        <v>0.39409722222222221</v>
      </c>
      <c r="D159">
        <v>2</v>
      </c>
    </row>
    <row r="160" spans="1:4" x14ac:dyDescent="0.25">
      <c r="A160" s="1" t="s">
        <v>166</v>
      </c>
      <c r="B160" s="1" t="s">
        <v>7</v>
      </c>
      <c r="C160" s="2">
        <v>0.39438657407407407</v>
      </c>
      <c r="D160">
        <v>1</v>
      </c>
    </row>
    <row r="161" spans="1:4" x14ac:dyDescent="0.25">
      <c r="A161" s="1" t="s">
        <v>167</v>
      </c>
      <c r="B161" s="1" t="s">
        <v>5</v>
      </c>
      <c r="C161" s="2">
        <v>0.39467592592592593</v>
      </c>
      <c r="D161">
        <v>1</v>
      </c>
    </row>
    <row r="162" spans="1:4" x14ac:dyDescent="0.25">
      <c r="A162" s="1" t="s">
        <v>168</v>
      </c>
      <c r="B162" s="1" t="s">
        <v>9</v>
      </c>
      <c r="C162" s="2">
        <v>0.39525462962962965</v>
      </c>
      <c r="D162">
        <v>2</v>
      </c>
    </row>
    <row r="163" spans="1:4" x14ac:dyDescent="0.25">
      <c r="A163" s="1" t="s">
        <v>169</v>
      </c>
      <c r="B163" s="1" t="s">
        <v>9</v>
      </c>
      <c r="C163" s="2">
        <v>0.39554398148148145</v>
      </c>
      <c r="D163">
        <v>1</v>
      </c>
    </row>
    <row r="164" spans="1:4" x14ac:dyDescent="0.25">
      <c r="A164" s="1" t="s">
        <v>170</v>
      </c>
      <c r="B164" s="1" t="s">
        <v>9</v>
      </c>
      <c r="C164" s="2">
        <v>0.39612268518518517</v>
      </c>
      <c r="D164">
        <v>2</v>
      </c>
    </row>
    <row r="165" spans="1:4" x14ac:dyDescent="0.25">
      <c r="A165" s="1" t="s">
        <v>171</v>
      </c>
      <c r="B165" s="1" t="s">
        <v>7</v>
      </c>
      <c r="C165" s="2">
        <v>0.39641203703703703</v>
      </c>
      <c r="D165">
        <v>1</v>
      </c>
    </row>
    <row r="166" spans="1:4" x14ac:dyDescent="0.25">
      <c r="A166" s="1" t="s">
        <v>172</v>
      </c>
      <c r="B166" s="1" t="s">
        <v>5</v>
      </c>
      <c r="C166" s="2">
        <v>0.39699074074074076</v>
      </c>
      <c r="D166">
        <v>2</v>
      </c>
    </row>
    <row r="167" spans="1:4" x14ac:dyDescent="0.25">
      <c r="A167" s="1" t="s">
        <v>173</v>
      </c>
      <c r="B167" s="1" t="s">
        <v>9</v>
      </c>
      <c r="C167" s="2">
        <v>0.39756944444444442</v>
      </c>
      <c r="D167">
        <v>2</v>
      </c>
    </row>
    <row r="168" spans="1:4" x14ac:dyDescent="0.25">
      <c r="A168" s="1" t="s">
        <v>174</v>
      </c>
      <c r="B168" s="1" t="s">
        <v>9</v>
      </c>
      <c r="C168" s="2">
        <v>0.39785879629629628</v>
      </c>
      <c r="D168">
        <v>1</v>
      </c>
    </row>
    <row r="169" spans="1:4" x14ac:dyDescent="0.25">
      <c r="A169" s="1" t="s">
        <v>175</v>
      </c>
      <c r="B169" s="1" t="s">
        <v>9</v>
      </c>
      <c r="C169" s="2">
        <v>0.3984375</v>
      </c>
      <c r="D169">
        <v>2</v>
      </c>
    </row>
    <row r="170" spans="1:4" x14ac:dyDescent="0.25">
      <c r="A170" s="1" t="s">
        <v>176</v>
      </c>
      <c r="B170" s="1" t="s">
        <v>7</v>
      </c>
      <c r="C170" s="2">
        <v>0.39872685185185186</v>
      </c>
      <c r="D170">
        <v>1</v>
      </c>
    </row>
    <row r="171" spans="1:4" x14ac:dyDescent="0.25">
      <c r="A171" s="1" t="s">
        <v>177</v>
      </c>
      <c r="B171" s="1" t="s">
        <v>5</v>
      </c>
      <c r="C171" s="2">
        <v>0.39930555555555558</v>
      </c>
      <c r="D171">
        <v>2</v>
      </c>
    </row>
    <row r="172" spans="1:4" x14ac:dyDescent="0.25">
      <c r="A172" s="1" t="s">
        <v>178</v>
      </c>
      <c r="B172" s="1" t="s">
        <v>5</v>
      </c>
      <c r="C172" s="2">
        <v>0.39959490740740738</v>
      </c>
      <c r="D172">
        <v>1</v>
      </c>
    </row>
    <row r="173" spans="1:4" x14ac:dyDescent="0.25">
      <c r="A173" s="1" t="s">
        <v>179</v>
      </c>
      <c r="B173" s="1" t="s">
        <v>5</v>
      </c>
      <c r="C173" s="2">
        <v>0.4001736111111111</v>
      </c>
      <c r="D173">
        <v>2</v>
      </c>
    </row>
    <row r="174" spans="1:4" x14ac:dyDescent="0.25">
      <c r="A174" s="1" t="s">
        <v>180</v>
      </c>
      <c r="B174" s="1" t="s">
        <v>27</v>
      </c>
      <c r="C174" s="2">
        <v>0.40075231481481483</v>
      </c>
      <c r="D174">
        <v>2</v>
      </c>
    </row>
    <row r="175" spans="1:4" x14ac:dyDescent="0.25">
      <c r="A175" s="1" t="s">
        <v>181</v>
      </c>
      <c r="B175" s="1" t="s">
        <v>27</v>
      </c>
      <c r="C175" s="2">
        <v>0.40104166666666669</v>
      </c>
      <c r="D175">
        <v>1</v>
      </c>
    </row>
    <row r="176" spans="1:4" x14ac:dyDescent="0.25">
      <c r="A176" s="1" t="s">
        <v>182</v>
      </c>
      <c r="B176" s="1" t="s">
        <v>27</v>
      </c>
      <c r="C176" s="2">
        <v>0.40162037037037035</v>
      </c>
      <c r="D176">
        <v>2</v>
      </c>
    </row>
    <row r="177" spans="1:4" x14ac:dyDescent="0.25">
      <c r="A177" s="1" t="s">
        <v>183</v>
      </c>
      <c r="B177" s="1" t="s">
        <v>7</v>
      </c>
      <c r="C177" s="2">
        <v>0.40190972222222221</v>
      </c>
      <c r="D177">
        <v>1</v>
      </c>
    </row>
    <row r="178" spans="1:4" x14ac:dyDescent="0.25">
      <c r="A178" s="1" t="s">
        <v>184</v>
      </c>
      <c r="B178" s="1" t="s">
        <v>27</v>
      </c>
      <c r="C178" s="2">
        <v>0.40219907407407407</v>
      </c>
      <c r="D178">
        <v>1</v>
      </c>
    </row>
    <row r="179" spans="1:4" x14ac:dyDescent="0.25">
      <c r="A179" s="1" t="s">
        <v>185</v>
      </c>
      <c r="B179" s="1" t="s">
        <v>7</v>
      </c>
      <c r="C179" s="2">
        <v>0.40248842592592593</v>
      </c>
      <c r="D179">
        <v>1</v>
      </c>
    </row>
    <row r="180" spans="1:4" x14ac:dyDescent="0.25">
      <c r="A180" s="1" t="s">
        <v>186</v>
      </c>
      <c r="B180" s="1" t="s">
        <v>9</v>
      </c>
      <c r="C180" s="2">
        <v>0.40306712962962965</v>
      </c>
      <c r="D180">
        <v>2</v>
      </c>
    </row>
    <row r="181" spans="1:4" x14ac:dyDescent="0.25">
      <c r="A181" s="1" t="s">
        <v>187</v>
      </c>
      <c r="B181" s="1" t="s">
        <v>9</v>
      </c>
      <c r="C181" s="2">
        <v>0.40364583333333331</v>
      </c>
      <c r="D181">
        <v>2</v>
      </c>
    </row>
    <row r="182" spans="1:4" x14ac:dyDescent="0.25">
      <c r="A182" s="1" t="s">
        <v>188</v>
      </c>
      <c r="B182" s="1" t="s">
        <v>7</v>
      </c>
      <c r="C182" s="2">
        <v>0.40393518518518517</v>
      </c>
      <c r="D182">
        <v>1</v>
      </c>
    </row>
    <row r="183" spans="1:4" x14ac:dyDescent="0.25">
      <c r="A183" s="1" t="s">
        <v>189</v>
      </c>
      <c r="B183" s="1" t="s">
        <v>7</v>
      </c>
      <c r="C183" s="2">
        <v>0.40422453703703703</v>
      </c>
      <c r="D183">
        <v>1</v>
      </c>
    </row>
    <row r="184" spans="1:4" x14ac:dyDescent="0.25">
      <c r="A184" s="1" t="s">
        <v>190</v>
      </c>
      <c r="B184" s="1" t="s">
        <v>5</v>
      </c>
      <c r="C184" s="2">
        <v>0.40480324074074076</v>
      </c>
      <c r="D184">
        <v>2</v>
      </c>
    </row>
    <row r="185" spans="1:4" x14ac:dyDescent="0.25">
      <c r="A185" s="1" t="s">
        <v>191</v>
      </c>
      <c r="B185" s="1" t="s">
        <v>7</v>
      </c>
      <c r="C185" s="2">
        <v>0.40509259259259262</v>
      </c>
      <c r="D185">
        <v>1</v>
      </c>
    </row>
    <row r="186" spans="1:4" x14ac:dyDescent="0.25">
      <c r="A186" s="1" t="s">
        <v>192</v>
      </c>
      <c r="B186" s="1" t="s">
        <v>9</v>
      </c>
      <c r="C186" s="2">
        <v>0.40567129629629628</v>
      </c>
      <c r="D186">
        <v>2</v>
      </c>
    </row>
    <row r="187" spans="1:4" x14ac:dyDescent="0.25">
      <c r="A187" s="1" t="s">
        <v>193</v>
      </c>
      <c r="B187" s="1" t="s">
        <v>7</v>
      </c>
      <c r="C187" s="2">
        <v>0.40596064814814814</v>
      </c>
      <c r="D187">
        <v>1</v>
      </c>
    </row>
    <row r="188" spans="1:4" x14ac:dyDescent="0.25">
      <c r="A188" s="1" t="s">
        <v>194</v>
      </c>
      <c r="B188" s="1" t="s">
        <v>9</v>
      </c>
      <c r="C188" s="2">
        <v>0.40653935185185186</v>
      </c>
      <c r="D188">
        <v>2</v>
      </c>
    </row>
    <row r="189" spans="1:4" x14ac:dyDescent="0.25">
      <c r="A189" s="1" t="s">
        <v>195</v>
      </c>
      <c r="B189" s="1" t="s">
        <v>7</v>
      </c>
      <c r="C189" s="2">
        <v>0.40682870370370372</v>
      </c>
      <c r="D189">
        <v>1</v>
      </c>
    </row>
    <row r="190" spans="1:4" x14ac:dyDescent="0.25">
      <c r="A190" s="1" t="s">
        <v>196</v>
      </c>
      <c r="B190" s="1" t="s">
        <v>9</v>
      </c>
      <c r="C190" s="2">
        <v>0.40711805555555558</v>
      </c>
      <c r="D190">
        <v>1</v>
      </c>
    </row>
    <row r="191" spans="1:4" x14ac:dyDescent="0.25">
      <c r="A191" s="1" t="s">
        <v>197</v>
      </c>
      <c r="B191" s="1" t="s">
        <v>7</v>
      </c>
      <c r="C191" s="2">
        <v>0.40740740740740738</v>
      </c>
      <c r="D191">
        <v>1</v>
      </c>
    </row>
    <row r="192" spans="1:4" x14ac:dyDescent="0.25">
      <c r="A192" s="1" t="s">
        <v>198</v>
      </c>
      <c r="B192" s="1" t="s">
        <v>27</v>
      </c>
      <c r="C192" s="2">
        <v>0.40769675925925924</v>
      </c>
      <c r="D192">
        <v>1</v>
      </c>
    </row>
    <row r="193" spans="1:4" x14ac:dyDescent="0.25">
      <c r="A193" s="1" t="s">
        <v>199</v>
      </c>
      <c r="B193" s="1" t="s">
        <v>7</v>
      </c>
      <c r="C193" s="2">
        <v>0.4079861111111111</v>
      </c>
      <c r="D193">
        <v>1</v>
      </c>
    </row>
    <row r="194" spans="1:4" x14ac:dyDescent="0.25">
      <c r="A194" s="1" t="s">
        <v>200</v>
      </c>
      <c r="B194" s="1" t="s">
        <v>9</v>
      </c>
      <c r="C194" s="2">
        <v>0.40827546296296297</v>
      </c>
      <c r="D194">
        <v>1</v>
      </c>
    </row>
    <row r="195" spans="1:4" x14ac:dyDescent="0.25">
      <c r="A195" s="1" t="s">
        <v>201</v>
      </c>
      <c r="B195" s="1" t="s">
        <v>27</v>
      </c>
      <c r="C195" s="2">
        <v>0.40885416666666669</v>
      </c>
      <c r="D195">
        <v>2</v>
      </c>
    </row>
    <row r="196" spans="1:4" x14ac:dyDescent="0.25">
      <c r="A196" s="1" t="s">
        <v>202</v>
      </c>
      <c r="B196" s="1" t="s">
        <v>27</v>
      </c>
      <c r="C196" s="2">
        <v>0.40943287037037035</v>
      </c>
      <c r="D196">
        <v>2</v>
      </c>
    </row>
    <row r="197" spans="1:4" x14ac:dyDescent="0.25">
      <c r="A197" s="1" t="s">
        <v>203</v>
      </c>
      <c r="B197" s="1" t="s">
        <v>7</v>
      </c>
      <c r="C197" s="2">
        <v>0.40972222222222221</v>
      </c>
      <c r="D197">
        <v>1</v>
      </c>
    </row>
    <row r="198" spans="1:4" x14ac:dyDescent="0.25">
      <c r="A198" s="1" t="s">
        <v>204</v>
      </c>
      <c r="B198" s="1" t="s">
        <v>27</v>
      </c>
      <c r="C198" s="2">
        <v>0.41001157407407407</v>
      </c>
      <c r="D198">
        <v>1</v>
      </c>
    </row>
    <row r="199" spans="1:4" x14ac:dyDescent="0.25">
      <c r="A199" s="1" t="s">
        <v>205</v>
      </c>
      <c r="B199" s="1" t="s">
        <v>7</v>
      </c>
      <c r="C199" s="2">
        <v>0.41030092592592593</v>
      </c>
      <c r="D199">
        <v>1</v>
      </c>
    </row>
    <row r="200" spans="1:4" x14ac:dyDescent="0.25">
      <c r="A200" s="1" t="s">
        <v>206</v>
      </c>
      <c r="B200" s="1" t="s">
        <v>5</v>
      </c>
      <c r="C200" s="2">
        <v>0.41059027777777779</v>
      </c>
      <c r="D200">
        <v>1</v>
      </c>
    </row>
    <row r="201" spans="1:4" x14ac:dyDescent="0.25">
      <c r="A201" s="1" t="s">
        <v>207</v>
      </c>
      <c r="B201" s="1" t="s">
        <v>9</v>
      </c>
      <c r="C201" s="2">
        <v>0.41087962962962965</v>
      </c>
      <c r="D201">
        <v>1</v>
      </c>
    </row>
    <row r="202" spans="1:4" x14ac:dyDescent="0.25">
      <c r="A202" s="1" t="s">
        <v>208</v>
      </c>
      <c r="B202" s="1" t="s">
        <v>5</v>
      </c>
      <c r="C202" s="2">
        <v>0.41116898148148145</v>
      </c>
      <c r="D202">
        <v>1</v>
      </c>
    </row>
    <row r="203" spans="1:4" x14ac:dyDescent="0.25">
      <c r="A203" s="1" t="s">
        <v>209</v>
      </c>
      <c r="B203" s="1" t="s">
        <v>27</v>
      </c>
      <c r="C203" s="2">
        <v>0.41174768518518517</v>
      </c>
      <c r="D203">
        <v>2</v>
      </c>
    </row>
    <row r="204" spans="1:4" x14ac:dyDescent="0.25">
      <c r="A204" s="1" t="s">
        <v>210</v>
      </c>
      <c r="B204" s="1" t="s">
        <v>7</v>
      </c>
      <c r="C204" s="2">
        <v>0.41203703703703703</v>
      </c>
      <c r="D204">
        <v>1</v>
      </c>
    </row>
    <row r="205" spans="1:4" x14ac:dyDescent="0.25">
      <c r="A205" s="1" t="s">
        <v>211</v>
      </c>
      <c r="B205" s="1" t="s">
        <v>9</v>
      </c>
      <c r="C205" s="2">
        <v>0.4123263888888889</v>
      </c>
      <c r="D205">
        <v>1</v>
      </c>
    </row>
    <row r="206" spans="1:4" x14ac:dyDescent="0.25">
      <c r="A206" s="1" t="s">
        <v>212</v>
      </c>
      <c r="B206" s="1" t="s">
        <v>9</v>
      </c>
      <c r="C206" s="2">
        <v>0.41261574074074076</v>
      </c>
      <c r="D206">
        <v>1</v>
      </c>
    </row>
    <row r="207" spans="1:4" x14ac:dyDescent="0.25">
      <c r="A207" s="1" t="s">
        <v>213</v>
      </c>
      <c r="B207" s="1" t="s">
        <v>7</v>
      </c>
      <c r="C207" s="2">
        <v>0.41290509259259262</v>
      </c>
      <c r="D207">
        <v>1</v>
      </c>
    </row>
    <row r="208" spans="1:4" x14ac:dyDescent="0.25">
      <c r="A208" s="1" t="s">
        <v>214</v>
      </c>
      <c r="B208" s="1" t="s">
        <v>5</v>
      </c>
      <c r="C208" s="2">
        <v>0.41319444444444442</v>
      </c>
      <c r="D208">
        <v>1</v>
      </c>
    </row>
    <row r="209" spans="1:4" x14ac:dyDescent="0.25">
      <c r="A209" s="1" t="s">
        <v>215</v>
      </c>
      <c r="B209" s="1" t="s">
        <v>9</v>
      </c>
      <c r="C209" s="2">
        <v>0.41377314814814814</v>
      </c>
      <c r="D209">
        <v>2</v>
      </c>
    </row>
    <row r="210" spans="1:4" x14ac:dyDescent="0.25">
      <c r="A210" s="1" t="s">
        <v>216</v>
      </c>
      <c r="B210" s="1" t="s">
        <v>27</v>
      </c>
      <c r="C210" s="2">
        <v>0.4140625</v>
      </c>
      <c r="D210">
        <v>1</v>
      </c>
    </row>
    <row r="211" spans="1:4" x14ac:dyDescent="0.25">
      <c r="A211" s="1" t="s">
        <v>217</v>
      </c>
      <c r="B211" s="1" t="s">
        <v>7</v>
      </c>
      <c r="C211" s="2">
        <v>0.41435185185185186</v>
      </c>
      <c r="D211">
        <v>1</v>
      </c>
    </row>
    <row r="212" spans="1:4" x14ac:dyDescent="0.25">
      <c r="A212" s="1" t="s">
        <v>218</v>
      </c>
      <c r="B212" s="1" t="s">
        <v>9</v>
      </c>
      <c r="C212" s="2">
        <v>0.41493055555555558</v>
      </c>
      <c r="D212">
        <v>2</v>
      </c>
    </row>
    <row r="213" spans="1:4" x14ac:dyDescent="0.25">
      <c r="A213" s="1" t="s">
        <v>219</v>
      </c>
      <c r="B213" s="1" t="s">
        <v>5</v>
      </c>
      <c r="C213" s="2">
        <v>0.41521990740740738</v>
      </c>
      <c r="D213">
        <v>1</v>
      </c>
    </row>
    <row r="214" spans="1:4" x14ac:dyDescent="0.25">
      <c r="A214" s="1" t="s">
        <v>220</v>
      </c>
      <c r="B214" s="1" t="s">
        <v>9</v>
      </c>
      <c r="C214" s="2">
        <v>0.41550925925925924</v>
      </c>
      <c r="D214">
        <v>1</v>
      </c>
    </row>
    <row r="215" spans="1:4" x14ac:dyDescent="0.25">
      <c r="A215" s="1" t="s">
        <v>221</v>
      </c>
      <c r="B215" s="1" t="s">
        <v>7</v>
      </c>
      <c r="C215" s="2">
        <v>0.4157986111111111</v>
      </c>
      <c r="D215">
        <v>1</v>
      </c>
    </row>
    <row r="216" spans="1:4" x14ac:dyDescent="0.25">
      <c r="A216" s="1" t="s">
        <v>222</v>
      </c>
      <c r="B216" s="1" t="s">
        <v>9</v>
      </c>
      <c r="C216" s="2">
        <v>0.41608796296296297</v>
      </c>
      <c r="D216">
        <v>1</v>
      </c>
    </row>
    <row r="217" spans="1:4" x14ac:dyDescent="0.25">
      <c r="A217" s="1" t="s">
        <v>223</v>
      </c>
      <c r="B217" s="1" t="s">
        <v>7</v>
      </c>
      <c r="C217" s="2">
        <v>0.41637731481481483</v>
      </c>
      <c r="D217">
        <v>1</v>
      </c>
    </row>
    <row r="218" spans="1:4" x14ac:dyDescent="0.25">
      <c r="A218" s="1" t="s">
        <v>224</v>
      </c>
      <c r="B218" s="1" t="s">
        <v>7</v>
      </c>
      <c r="C218" s="2">
        <v>0.41666666666666669</v>
      </c>
      <c r="D218">
        <v>1</v>
      </c>
    </row>
    <row r="219" spans="1:4" x14ac:dyDescent="0.25">
      <c r="A219" s="1" t="s">
        <v>225</v>
      </c>
      <c r="B219" s="1" t="s">
        <v>9</v>
      </c>
      <c r="C219" s="2">
        <v>0.41724537037037035</v>
      </c>
      <c r="D219">
        <v>2</v>
      </c>
    </row>
    <row r="220" spans="1:4" x14ac:dyDescent="0.25">
      <c r="A220" s="1" t="s">
        <v>226</v>
      </c>
      <c r="B220" s="1" t="s">
        <v>9</v>
      </c>
      <c r="C220" s="2">
        <v>0.41782407407407407</v>
      </c>
      <c r="D220">
        <v>2</v>
      </c>
    </row>
    <row r="221" spans="1:4" x14ac:dyDescent="0.25">
      <c r="A221" s="1" t="s">
        <v>227</v>
      </c>
      <c r="B221" s="1" t="s">
        <v>7</v>
      </c>
      <c r="C221" s="2">
        <v>0.41811342592592593</v>
      </c>
      <c r="D221">
        <v>1</v>
      </c>
    </row>
    <row r="222" spans="1:4" x14ac:dyDescent="0.25">
      <c r="A222" s="1" t="s">
        <v>228</v>
      </c>
      <c r="B222" s="1" t="s">
        <v>7</v>
      </c>
      <c r="C222" s="2">
        <v>0.41840277777777779</v>
      </c>
      <c r="D222">
        <v>1</v>
      </c>
    </row>
    <row r="223" spans="1:4" x14ac:dyDescent="0.25">
      <c r="A223" s="1" t="s">
        <v>229</v>
      </c>
      <c r="B223" s="1" t="s">
        <v>27</v>
      </c>
      <c r="C223" s="2">
        <v>0.41869212962962965</v>
      </c>
      <c r="D223">
        <v>1</v>
      </c>
    </row>
    <row r="224" spans="1:4" x14ac:dyDescent="0.25">
      <c r="A224" s="1" t="s">
        <v>230</v>
      </c>
      <c r="B224" s="1" t="s">
        <v>7</v>
      </c>
      <c r="C224" s="2">
        <v>0.41898148148148145</v>
      </c>
      <c r="D224">
        <v>1</v>
      </c>
    </row>
    <row r="225" spans="1:4" x14ac:dyDescent="0.25">
      <c r="A225" s="1" t="s">
        <v>231</v>
      </c>
      <c r="B225" s="1" t="s">
        <v>5</v>
      </c>
      <c r="C225" s="2">
        <v>0.41956018518518517</v>
      </c>
      <c r="D225">
        <v>2</v>
      </c>
    </row>
    <row r="226" spans="1:4" x14ac:dyDescent="0.25">
      <c r="A226" s="1" t="s">
        <v>232</v>
      </c>
      <c r="B226" s="1" t="s">
        <v>9</v>
      </c>
      <c r="C226" s="2">
        <v>0.41984953703703703</v>
      </c>
      <c r="D226">
        <v>1</v>
      </c>
    </row>
    <row r="227" spans="1:4" x14ac:dyDescent="0.25">
      <c r="A227" s="1" t="s">
        <v>233</v>
      </c>
      <c r="B227" s="1" t="s">
        <v>9</v>
      </c>
      <c r="C227" s="2">
        <v>0.42042824074074076</v>
      </c>
      <c r="D227">
        <v>2</v>
      </c>
    </row>
    <row r="228" spans="1:4" x14ac:dyDescent="0.25">
      <c r="A228" s="1" t="s">
        <v>234</v>
      </c>
      <c r="B228" s="1" t="s">
        <v>9</v>
      </c>
      <c r="C228" s="2">
        <v>0.42100694444444442</v>
      </c>
      <c r="D228">
        <v>2</v>
      </c>
    </row>
    <row r="229" spans="1:4" x14ac:dyDescent="0.25">
      <c r="A229" s="1" t="s">
        <v>235</v>
      </c>
      <c r="B229" s="1" t="s">
        <v>7</v>
      </c>
      <c r="C229" s="2">
        <v>0.42129629629629628</v>
      </c>
      <c r="D229">
        <v>1</v>
      </c>
    </row>
    <row r="230" spans="1:4" x14ac:dyDescent="0.25">
      <c r="A230" s="1" t="s">
        <v>236</v>
      </c>
      <c r="B230" s="1" t="s">
        <v>5</v>
      </c>
      <c r="C230" s="2">
        <v>0.42158564814814814</v>
      </c>
      <c r="D230">
        <v>1</v>
      </c>
    </row>
    <row r="231" spans="1:4" x14ac:dyDescent="0.25">
      <c r="A231" s="1" t="s">
        <v>237</v>
      </c>
      <c r="B231" s="1" t="s">
        <v>7</v>
      </c>
      <c r="C231" s="2">
        <v>0.421875</v>
      </c>
      <c r="D231">
        <v>1</v>
      </c>
    </row>
    <row r="232" spans="1:4" x14ac:dyDescent="0.25">
      <c r="A232" s="1" t="s">
        <v>238</v>
      </c>
      <c r="B232" s="1" t="s">
        <v>9</v>
      </c>
      <c r="C232" s="2">
        <v>0.42216435185185186</v>
      </c>
      <c r="D232">
        <v>1</v>
      </c>
    </row>
    <row r="233" spans="1:4" x14ac:dyDescent="0.25">
      <c r="A233" s="1" t="s">
        <v>239</v>
      </c>
      <c r="B233" s="1" t="s">
        <v>5</v>
      </c>
      <c r="C233" s="2">
        <v>0.42245370370370372</v>
      </c>
      <c r="D233">
        <v>1</v>
      </c>
    </row>
    <row r="234" spans="1:4" x14ac:dyDescent="0.25">
      <c r="A234" s="1" t="s">
        <v>240</v>
      </c>
      <c r="B234" s="1" t="s">
        <v>9</v>
      </c>
      <c r="C234" s="2">
        <v>0.42303240740740738</v>
      </c>
      <c r="D234">
        <v>2</v>
      </c>
    </row>
    <row r="235" spans="1:4" x14ac:dyDescent="0.25">
      <c r="A235" s="1" t="s">
        <v>241</v>
      </c>
      <c r="B235" s="1" t="s">
        <v>5</v>
      </c>
      <c r="C235" s="2">
        <v>0.4236111111111111</v>
      </c>
      <c r="D235">
        <v>2</v>
      </c>
    </row>
    <row r="236" spans="1:4" x14ac:dyDescent="0.25">
      <c r="A236" s="1" t="s">
        <v>242</v>
      </c>
      <c r="B236" s="1" t="s">
        <v>7</v>
      </c>
      <c r="C236" s="2">
        <v>0.42390046296296297</v>
      </c>
      <c r="D236">
        <v>1</v>
      </c>
    </row>
    <row r="237" spans="1:4" x14ac:dyDescent="0.25">
      <c r="A237" s="1" t="s">
        <v>243</v>
      </c>
      <c r="B237" s="1" t="s">
        <v>27</v>
      </c>
      <c r="C237" s="2">
        <v>0.42418981481481483</v>
      </c>
      <c r="D237">
        <v>1</v>
      </c>
    </row>
    <row r="238" spans="1:4" x14ac:dyDescent="0.25">
      <c r="A238" s="1" t="s">
        <v>244</v>
      </c>
      <c r="B238" s="1" t="s">
        <v>7</v>
      </c>
      <c r="C238" s="2">
        <v>0.42447916666666669</v>
      </c>
      <c r="D238">
        <v>1</v>
      </c>
    </row>
    <row r="239" spans="1:4" x14ac:dyDescent="0.25">
      <c r="A239" s="1" t="s">
        <v>245</v>
      </c>
      <c r="B239" s="1" t="s">
        <v>5</v>
      </c>
      <c r="C239" s="2">
        <v>0.42476851851851855</v>
      </c>
      <c r="D239">
        <v>1</v>
      </c>
    </row>
    <row r="240" spans="1:4" x14ac:dyDescent="0.25">
      <c r="A240" s="1" t="s">
        <v>246</v>
      </c>
      <c r="B240" s="1" t="s">
        <v>5</v>
      </c>
      <c r="C240" s="2">
        <v>0.42505787037037035</v>
      </c>
      <c r="D240">
        <v>1</v>
      </c>
    </row>
    <row r="241" spans="1:4" x14ac:dyDescent="0.25">
      <c r="A241" s="1" t="s">
        <v>247</v>
      </c>
      <c r="B241" s="1" t="s">
        <v>5</v>
      </c>
      <c r="C241" s="2">
        <v>0.42563657407407407</v>
      </c>
      <c r="D241">
        <v>2</v>
      </c>
    </row>
    <row r="242" spans="1:4" x14ac:dyDescent="0.25">
      <c r="A242" s="1" t="s">
        <v>248</v>
      </c>
      <c r="B242" s="1" t="s">
        <v>7</v>
      </c>
      <c r="C242" s="2">
        <v>0.42592592592592593</v>
      </c>
      <c r="D242">
        <v>1</v>
      </c>
    </row>
    <row r="243" spans="1:4" x14ac:dyDescent="0.25">
      <c r="A243" s="1" t="s">
        <v>249</v>
      </c>
      <c r="B243" s="1" t="s">
        <v>7</v>
      </c>
      <c r="C243" s="2">
        <v>0.42621527777777779</v>
      </c>
      <c r="D243">
        <v>1</v>
      </c>
    </row>
    <row r="244" spans="1:4" x14ac:dyDescent="0.25">
      <c r="A244" s="1" t="s">
        <v>250</v>
      </c>
      <c r="B244" s="1" t="s">
        <v>7</v>
      </c>
      <c r="C244" s="2">
        <v>0.42650462962962965</v>
      </c>
      <c r="D244">
        <v>1</v>
      </c>
    </row>
    <row r="245" spans="1:4" x14ac:dyDescent="0.25">
      <c r="A245" s="1" t="s">
        <v>251</v>
      </c>
      <c r="B245" s="1" t="s">
        <v>7</v>
      </c>
      <c r="C245" s="2">
        <v>0.42679398148148145</v>
      </c>
      <c r="D245">
        <v>1</v>
      </c>
    </row>
    <row r="246" spans="1:4" x14ac:dyDescent="0.25">
      <c r="A246" s="1" t="s">
        <v>252</v>
      </c>
      <c r="B246" s="1" t="s">
        <v>5</v>
      </c>
      <c r="C246" s="2">
        <v>0.42737268518518517</v>
      </c>
      <c r="D246">
        <v>2</v>
      </c>
    </row>
    <row r="247" spans="1:4" x14ac:dyDescent="0.25">
      <c r="A247" s="1" t="s">
        <v>253</v>
      </c>
      <c r="B247" s="1" t="s">
        <v>5</v>
      </c>
      <c r="C247" s="2">
        <v>0.42766203703703703</v>
      </c>
      <c r="D247">
        <v>1</v>
      </c>
    </row>
    <row r="248" spans="1:4" x14ac:dyDescent="0.25">
      <c r="A248" s="1" t="s">
        <v>254</v>
      </c>
      <c r="B248" s="1" t="s">
        <v>9</v>
      </c>
      <c r="C248" s="2">
        <v>0.42824074074074076</v>
      </c>
      <c r="D248">
        <v>2</v>
      </c>
    </row>
    <row r="249" spans="1:4" x14ac:dyDescent="0.25">
      <c r="A249" s="1" t="s">
        <v>255</v>
      </c>
      <c r="B249" s="1" t="s">
        <v>7</v>
      </c>
      <c r="C249" s="2">
        <v>0.42853009259259262</v>
      </c>
      <c r="D249">
        <v>1</v>
      </c>
    </row>
    <row r="250" spans="1:4" x14ac:dyDescent="0.25">
      <c r="A250" s="1" t="s">
        <v>256</v>
      </c>
      <c r="B250" s="1" t="s">
        <v>5</v>
      </c>
      <c r="C250" s="2">
        <v>0.42910879629629628</v>
      </c>
      <c r="D250">
        <v>2</v>
      </c>
    </row>
    <row r="251" spans="1:4" x14ac:dyDescent="0.25">
      <c r="A251" s="1" t="s">
        <v>257</v>
      </c>
      <c r="B251" s="1" t="s">
        <v>27</v>
      </c>
      <c r="C251" s="2">
        <v>0.42939814814814814</v>
      </c>
      <c r="D251">
        <v>1</v>
      </c>
    </row>
    <row r="252" spans="1:4" x14ac:dyDescent="0.25">
      <c r="A252" s="1" t="s">
        <v>258</v>
      </c>
      <c r="B252" s="1" t="s">
        <v>27</v>
      </c>
      <c r="C252" s="2">
        <v>0.4296875</v>
      </c>
      <c r="D252">
        <v>1</v>
      </c>
    </row>
    <row r="253" spans="1:4" x14ac:dyDescent="0.25">
      <c r="A253" s="1" t="s">
        <v>259</v>
      </c>
      <c r="B253" s="1" t="s">
        <v>27</v>
      </c>
      <c r="C253" s="2">
        <v>0.42997685185185186</v>
      </c>
      <c r="D253">
        <v>1</v>
      </c>
    </row>
    <row r="254" spans="1:4" x14ac:dyDescent="0.25">
      <c r="A254" s="1" t="s">
        <v>260</v>
      </c>
      <c r="B254" s="1" t="s">
        <v>7</v>
      </c>
      <c r="C254" s="2">
        <v>0.43026620370370372</v>
      </c>
      <c r="D254">
        <v>1</v>
      </c>
    </row>
    <row r="255" spans="1:4" x14ac:dyDescent="0.25">
      <c r="A255" s="1" t="s">
        <v>261</v>
      </c>
      <c r="B255" s="1" t="s">
        <v>9</v>
      </c>
      <c r="C255" s="2">
        <v>0.43055555555555558</v>
      </c>
      <c r="D255">
        <v>1</v>
      </c>
    </row>
    <row r="256" spans="1:4" x14ac:dyDescent="0.25">
      <c r="A256" s="1" t="s">
        <v>262</v>
      </c>
      <c r="B256" s="1" t="s">
        <v>5</v>
      </c>
      <c r="C256" s="2">
        <v>0.43113425925925924</v>
      </c>
      <c r="D256">
        <v>2</v>
      </c>
    </row>
    <row r="257" spans="1:4" x14ac:dyDescent="0.25">
      <c r="A257" s="1" t="s">
        <v>263</v>
      </c>
      <c r="B257" s="1" t="s">
        <v>7</v>
      </c>
      <c r="C257" s="2">
        <v>0.4314236111111111</v>
      </c>
      <c r="D257">
        <v>1</v>
      </c>
    </row>
    <row r="258" spans="1:4" x14ac:dyDescent="0.25">
      <c r="A258" s="1" t="s">
        <v>264</v>
      </c>
      <c r="B258" s="1" t="s">
        <v>5</v>
      </c>
      <c r="C258" s="2">
        <v>0.43200231481481483</v>
      </c>
      <c r="D258">
        <v>2</v>
      </c>
    </row>
    <row r="259" spans="1:4" x14ac:dyDescent="0.25">
      <c r="A259" s="1" t="s">
        <v>265</v>
      </c>
      <c r="B259" s="1" t="s">
        <v>7</v>
      </c>
      <c r="C259" s="2">
        <v>0.43229166666666669</v>
      </c>
      <c r="D259">
        <v>1</v>
      </c>
    </row>
    <row r="260" spans="1:4" x14ac:dyDescent="0.25">
      <c r="A260" s="1" t="s">
        <v>266</v>
      </c>
      <c r="B260" s="1" t="s">
        <v>5</v>
      </c>
      <c r="C260" s="2">
        <v>0.43287037037037035</v>
      </c>
      <c r="D260">
        <v>2</v>
      </c>
    </row>
    <row r="261" spans="1:4" x14ac:dyDescent="0.25">
      <c r="A261" s="1" t="s">
        <v>267</v>
      </c>
      <c r="B261" s="1" t="s">
        <v>5</v>
      </c>
      <c r="C261" s="2">
        <v>0.43344907407407407</v>
      </c>
      <c r="D261">
        <v>2</v>
      </c>
    </row>
    <row r="262" spans="1:4" x14ac:dyDescent="0.25">
      <c r="A262" s="1" t="s">
        <v>268</v>
      </c>
      <c r="B262" s="1" t="s">
        <v>5</v>
      </c>
      <c r="C262" s="2">
        <v>0.43373842592592593</v>
      </c>
      <c r="D262">
        <v>1</v>
      </c>
    </row>
    <row r="263" spans="1:4" x14ac:dyDescent="0.25">
      <c r="A263" s="1" t="s">
        <v>269</v>
      </c>
      <c r="B263" s="1" t="s">
        <v>9</v>
      </c>
      <c r="C263" s="2">
        <v>0.43402777777777779</v>
      </c>
      <c r="D263">
        <v>1</v>
      </c>
    </row>
    <row r="264" spans="1:4" x14ac:dyDescent="0.25">
      <c r="A264" s="1" t="s">
        <v>270</v>
      </c>
      <c r="B264" s="1" t="s">
        <v>27</v>
      </c>
      <c r="C264" s="2">
        <v>0.43460648148148145</v>
      </c>
      <c r="D264">
        <v>2</v>
      </c>
    </row>
    <row r="265" spans="1:4" x14ac:dyDescent="0.25">
      <c r="A265" s="1" t="s">
        <v>271</v>
      </c>
      <c r="B265" s="1" t="s">
        <v>7</v>
      </c>
      <c r="C265" s="2">
        <v>0.43489583333333331</v>
      </c>
      <c r="D265">
        <v>1</v>
      </c>
    </row>
    <row r="266" spans="1:4" x14ac:dyDescent="0.25">
      <c r="A266" s="1" t="s">
        <v>272</v>
      </c>
      <c r="B266" s="1" t="s">
        <v>5</v>
      </c>
      <c r="C266" s="2">
        <v>0.43518518518518517</v>
      </c>
      <c r="D266">
        <v>1</v>
      </c>
    </row>
    <row r="267" spans="1:4" x14ac:dyDescent="0.25">
      <c r="A267" s="1" t="s">
        <v>273</v>
      </c>
      <c r="B267" s="1" t="s">
        <v>9</v>
      </c>
      <c r="C267" s="2">
        <v>0.43547453703703703</v>
      </c>
      <c r="D267">
        <v>1</v>
      </c>
    </row>
    <row r="268" spans="1:4" x14ac:dyDescent="0.25">
      <c r="A268" s="1" t="s">
        <v>274</v>
      </c>
      <c r="B268" s="1" t="s">
        <v>5</v>
      </c>
      <c r="C268" s="2">
        <v>0.43605324074074076</v>
      </c>
      <c r="D268">
        <v>2</v>
      </c>
    </row>
    <row r="269" spans="1:4" x14ac:dyDescent="0.25">
      <c r="A269" s="1" t="s">
        <v>275</v>
      </c>
      <c r="B269" s="1" t="s">
        <v>9</v>
      </c>
      <c r="C269" s="2">
        <v>0.43634259259259262</v>
      </c>
      <c r="D269">
        <v>1</v>
      </c>
    </row>
    <row r="270" spans="1:4" x14ac:dyDescent="0.25">
      <c r="A270" s="1" t="s">
        <v>276</v>
      </c>
      <c r="B270" s="1" t="s">
        <v>5</v>
      </c>
      <c r="C270" s="2">
        <v>0.43692129629629628</v>
      </c>
      <c r="D270">
        <v>2</v>
      </c>
    </row>
    <row r="271" spans="1:4" x14ac:dyDescent="0.25">
      <c r="A271" s="1" t="s">
        <v>277</v>
      </c>
      <c r="B271" s="1" t="s">
        <v>5</v>
      </c>
      <c r="C271" s="2">
        <v>0.4375</v>
      </c>
      <c r="D271">
        <v>2</v>
      </c>
    </row>
    <row r="272" spans="1:4" x14ac:dyDescent="0.25">
      <c r="A272" s="1" t="s">
        <v>278</v>
      </c>
      <c r="B272" s="1" t="s">
        <v>7</v>
      </c>
      <c r="C272" s="2">
        <v>0.43778935185185186</v>
      </c>
      <c r="D272">
        <v>1</v>
      </c>
    </row>
    <row r="273" spans="1:4" x14ac:dyDescent="0.25">
      <c r="A273" s="1" t="s">
        <v>279</v>
      </c>
      <c r="B273" s="1" t="s">
        <v>5</v>
      </c>
      <c r="C273" s="2">
        <v>0.43836805555555558</v>
      </c>
      <c r="D273">
        <v>2</v>
      </c>
    </row>
    <row r="274" spans="1:4" x14ac:dyDescent="0.25">
      <c r="A274" s="1" t="s">
        <v>280</v>
      </c>
      <c r="B274" s="1" t="s">
        <v>5</v>
      </c>
      <c r="C274" s="2">
        <v>0.43865740740740738</v>
      </c>
      <c r="D274">
        <v>1</v>
      </c>
    </row>
    <row r="275" spans="1:4" x14ac:dyDescent="0.25">
      <c r="A275" s="1" t="s">
        <v>281</v>
      </c>
      <c r="B275" s="1" t="s">
        <v>9</v>
      </c>
      <c r="C275" s="2">
        <v>0.43894675925925924</v>
      </c>
      <c r="D275">
        <v>1</v>
      </c>
    </row>
    <row r="276" spans="1:4" x14ac:dyDescent="0.25">
      <c r="A276" s="1" t="s">
        <v>282</v>
      </c>
      <c r="B276" s="1" t="s">
        <v>27</v>
      </c>
      <c r="C276" s="2">
        <v>0.4392361111111111</v>
      </c>
      <c r="D276">
        <v>1</v>
      </c>
    </row>
    <row r="277" spans="1:4" x14ac:dyDescent="0.25">
      <c r="A277" s="1" t="s">
        <v>283</v>
      </c>
      <c r="B277" s="1" t="s">
        <v>7</v>
      </c>
      <c r="C277" s="2">
        <v>0.43952546296296297</v>
      </c>
      <c r="D277">
        <v>1</v>
      </c>
    </row>
    <row r="278" spans="1:4" x14ac:dyDescent="0.25">
      <c r="A278" s="1" t="s">
        <v>284</v>
      </c>
      <c r="B278" s="1" t="s">
        <v>9</v>
      </c>
      <c r="C278" s="2">
        <v>0.43981481481481483</v>
      </c>
      <c r="D278">
        <v>1</v>
      </c>
    </row>
    <row r="279" spans="1:4" x14ac:dyDescent="0.25">
      <c r="A279" s="1" t="s">
        <v>285</v>
      </c>
      <c r="B279" s="1" t="s">
        <v>5</v>
      </c>
      <c r="C279" s="2">
        <v>0.44010416666666669</v>
      </c>
      <c r="D279">
        <v>1</v>
      </c>
    </row>
    <row r="280" spans="1:4" x14ac:dyDescent="0.25">
      <c r="A280" s="1" t="s">
        <v>286</v>
      </c>
      <c r="B280" s="1" t="s">
        <v>7</v>
      </c>
      <c r="C280" s="2">
        <v>0.44039351851851855</v>
      </c>
      <c r="D280">
        <v>1</v>
      </c>
    </row>
    <row r="281" spans="1:4" x14ac:dyDescent="0.25">
      <c r="A281" s="1" t="s">
        <v>287</v>
      </c>
      <c r="B281" s="1" t="s">
        <v>5</v>
      </c>
      <c r="C281" s="2">
        <v>0.44068287037037035</v>
      </c>
      <c r="D281">
        <v>1</v>
      </c>
    </row>
    <row r="282" spans="1:4" x14ac:dyDescent="0.25">
      <c r="A282" s="1" t="s">
        <v>288</v>
      </c>
      <c r="B282" s="1" t="s">
        <v>7</v>
      </c>
      <c r="C282" s="2">
        <v>0.44097222222222221</v>
      </c>
      <c r="D282">
        <v>1</v>
      </c>
    </row>
    <row r="283" spans="1:4" x14ac:dyDescent="0.25">
      <c r="A283" s="1" t="s">
        <v>289</v>
      </c>
      <c r="B283" s="1" t="s">
        <v>5</v>
      </c>
      <c r="C283" s="2">
        <v>0.44155092592592593</v>
      </c>
      <c r="D283">
        <v>2</v>
      </c>
    </row>
    <row r="284" spans="1:4" x14ac:dyDescent="0.25">
      <c r="A284" s="1" t="s">
        <v>290</v>
      </c>
      <c r="B284" s="1" t="s">
        <v>7</v>
      </c>
      <c r="C284" s="2">
        <v>0.44184027777777779</v>
      </c>
      <c r="D284">
        <v>1</v>
      </c>
    </row>
    <row r="285" spans="1:4" x14ac:dyDescent="0.25">
      <c r="A285" s="1" t="s">
        <v>291</v>
      </c>
      <c r="B285" s="1" t="s">
        <v>27</v>
      </c>
      <c r="C285" s="2">
        <v>0.44241898148148145</v>
      </c>
      <c r="D285">
        <v>2</v>
      </c>
    </row>
    <row r="286" spans="1:4" x14ac:dyDescent="0.25">
      <c r="A286" s="1" t="s">
        <v>292</v>
      </c>
      <c r="B286" s="1" t="s">
        <v>27</v>
      </c>
      <c r="C286" s="2">
        <v>0.44299768518518517</v>
      </c>
      <c r="D286">
        <v>2</v>
      </c>
    </row>
    <row r="287" spans="1:4" x14ac:dyDescent="0.25">
      <c r="A287" s="1" t="s">
        <v>293</v>
      </c>
      <c r="B287" s="1" t="s">
        <v>7</v>
      </c>
      <c r="C287" s="2">
        <v>0.44328703703703703</v>
      </c>
      <c r="D287">
        <v>1</v>
      </c>
    </row>
    <row r="288" spans="1:4" x14ac:dyDescent="0.25">
      <c r="A288" s="1" t="s">
        <v>294</v>
      </c>
      <c r="B288" s="1" t="s">
        <v>7</v>
      </c>
      <c r="C288" s="2">
        <v>0.4435763888888889</v>
      </c>
      <c r="D288">
        <v>1</v>
      </c>
    </row>
    <row r="289" spans="1:4" x14ac:dyDescent="0.25">
      <c r="A289" s="1" t="s">
        <v>295</v>
      </c>
      <c r="B289" s="1" t="s">
        <v>9</v>
      </c>
      <c r="C289" s="2">
        <v>0.44386574074074076</v>
      </c>
      <c r="D289">
        <v>1</v>
      </c>
    </row>
    <row r="290" spans="1:4" x14ac:dyDescent="0.25">
      <c r="A290" s="1" t="s">
        <v>296</v>
      </c>
      <c r="B290" s="1" t="s">
        <v>5</v>
      </c>
      <c r="C290" s="2">
        <v>0.44444444444444442</v>
      </c>
      <c r="D290">
        <v>2</v>
      </c>
    </row>
    <row r="291" spans="1:4" x14ac:dyDescent="0.25">
      <c r="A291" s="1" t="s">
        <v>297</v>
      </c>
      <c r="B291" s="1" t="s">
        <v>5</v>
      </c>
      <c r="C291" s="2">
        <v>0.44502314814814814</v>
      </c>
      <c r="D291">
        <v>2</v>
      </c>
    </row>
    <row r="292" spans="1:4" x14ac:dyDescent="0.25">
      <c r="A292" s="1" t="s">
        <v>298</v>
      </c>
      <c r="B292" s="1" t="s">
        <v>5</v>
      </c>
      <c r="C292" s="2">
        <v>0.4453125</v>
      </c>
      <c r="D292">
        <v>1</v>
      </c>
    </row>
    <row r="293" spans="1:4" x14ac:dyDescent="0.25">
      <c r="A293" s="1" t="s">
        <v>299</v>
      </c>
      <c r="B293" s="1" t="s">
        <v>7</v>
      </c>
      <c r="C293" s="2">
        <v>0.44560185185185186</v>
      </c>
      <c r="D293">
        <v>1</v>
      </c>
    </row>
    <row r="294" spans="1:4" x14ac:dyDescent="0.25">
      <c r="A294" s="1" t="s">
        <v>300</v>
      </c>
      <c r="B294" s="1" t="s">
        <v>5</v>
      </c>
      <c r="C294" s="2">
        <v>0.44589120370370372</v>
      </c>
      <c r="D294">
        <v>1</v>
      </c>
    </row>
    <row r="295" spans="1:4" x14ac:dyDescent="0.25">
      <c r="A295" s="1" t="s">
        <v>301</v>
      </c>
      <c r="B295" s="1" t="s">
        <v>5</v>
      </c>
      <c r="C295" s="2">
        <v>0.44618055555555558</v>
      </c>
      <c r="D295">
        <v>1</v>
      </c>
    </row>
    <row r="296" spans="1:4" x14ac:dyDescent="0.25">
      <c r="A296" s="1" t="s">
        <v>302</v>
      </c>
      <c r="B296" s="1" t="s">
        <v>7</v>
      </c>
      <c r="C296" s="2">
        <v>0.44646990740740738</v>
      </c>
      <c r="D296">
        <v>1</v>
      </c>
    </row>
    <row r="297" spans="1:4" x14ac:dyDescent="0.25">
      <c r="A297" s="1" t="s">
        <v>303</v>
      </c>
      <c r="B297" s="1" t="s">
        <v>5</v>
      </c>
      <c r="C297" s="2">
        <v>0.44675925925925924</v>
      </c>
      <c r="D297">
        <v>1</v>
      </c>
    </row>
    <row r="298" spans="1:4" x14ac:dyDescent="0.25">
      <c r="A298" s="1" t="s">
        <v>304</v>
      </c>
      <c r="B298" s="1" t="s">
        <v>27</v>
      </c>
      <c r="C298" s="2">
        <v>0.44733796296296297</v>
      </c>
      <c r="D298">
        <v>2</v>
      </c>
    </row>
    <row r="299" spans="1:4" x14ac:dyDescent="0.25">
      <c r="A299" s="1" t="s">
        <v>305</v>
      </c>
      <c r="B299" s="1" t="s">
        <v>7</v>
      </c>
      <c r="C299" s="2">
        <v>0.44762731481481483</v>
      </c>
      <c r="D299">
        <v>1</v>
      </c>
    </row>
    <row r="300" spans="1:4" x14ac:dyDescent="0.25">
      <c r="A300" s="1" t="s">
        <v>306</v>
      </c>
      <c r="B300" s="1" t="s">
        <v>7</v>
      </c>
      <c r="C300" s="2">
        <v>0.44791666666666669</v>
      </c>
      <c r="D300">
        <v>1</v>
      </c>
    </row>
    <row r="301" spans="1:4" x14ac:dyDescent="0.25">
      <c r="A301" s="1" t="s">
        <v>307</v>
      </c>
      <c r="B301" s="1" t="s">
        <v>27</v>
      </c>
      <c r="C301" s="2">
        <v>0.44820601851851855</v>
      </c>
      <c r="D301">
        <v>1</v>
      </c>
    </row>
    <row r="302" spans="1:4" x14ac:dyDescent="0.25">
      <c r="A302" s="1" t="s">
        <v>308</v>
      </c>
      <c r="B302" s="1" t="s">
        <v>7</v>
      </c>
      <c r="C302" s="2">
        <v>0.44849537037037035</v>
      </c>
      <c r="D302">
        <v>1</v>
      </c>
    </row>
    <row r="303" spans="1:4" x14ac:dyDescent="0.25">
      <c r="A303" s="1" t="s">
        <v>309</v>
      </c>
      <c r="B303" s="1" t="s">
        <v>27</v>
      </c>
      <c r="C303" s="2">
        <v>0.44907407407407407</v>
      </c>
      <c r="D303">
        <v>2</v>
      </c>
    </row>
    <row r="304" spans="1:4" x14ac:dyDescent="0.25">
      <c r="A304" s="1" t="s">
        <v>310</v>
      </c>
      <c r="B304" s="1" t="s">
        <v>7</v>
      </c>
      <c r="C304" s="2">
        <v>0.44936342592592593</v>
      </c>
      <c r="D304">
        <v>1</v>
      </c>
    </row>
    <row r="305" spans="1:4" x14ac:dyDescent="0.25">
      <c r="A305" s="1" t="s">
        <v>311</v>
      </c>
      <c r="B305" s="1" t="s">
        <v>9</v>
      </c>
      <c r="C305" s="2">
        <v>0.44965277777777779</v>
      </c>
      <c r="D305">
        <v>1</v>
      </c>
    </row>
    <row r="306" spans="1:4" x14ac:dyDescent="0.25">
      <c r="A306" s="1" t="s">
        <v>312</v>
      </c>
      <c r="B306" s="1" t="s">
        <v>7</v>
      </c>
      <c r="C306" s="2">
        <v>0.44994212962962965</v>
      </c>
      <c r="D306">
        <v>1</v>
      </c>
    </row>
    <row r="307" spans="1:4" x14ac:dyDescent="0.25">
      <c r="A307" s="1" t="s">
        <v>313</v>
      </c>
      <c r="B307" s="1" t="s">
        <v>7</v>
      </c>
      <c r="C307" s="2">
        <v>0.45023148148148145</v>
      </c>
      <c r="D307">
        <v>1</v>
      </c>
    </row>
    <row r="308" spans="1:4" x14ac:dyDescent="0.25">
      <c r="A308" s="1" t="s">
        <v>314</v>
      </c>
      <c r="B308" s="1" t="s">
        <v>9</v>
      </c>
      <c r="C308" s="2">
        <v>0.45052083333333331</v>
      </c>
      <c r="D308">
        <v>1</v>
      </c>
    </row>
    <row r="309" spans="1:4" x14ac:dyDescent="0.25">
      <c r="A309" s="1" t="s">
        <v>315</v>
      </c>
      <c r="B309" s="1" t="s">
        <v>7</v>
      </c>
      <c r="C309" s="2">
        <v>0.45081018518518517</v>
      </c>
      <c r="D309">
        <v>1</v>
      </c>
    </row>
    <row r="310" spans="1:4" x14ac:dyDescent="0.25">
      <c r="A310" s="1" t="s">
        <v>316</v>
      </c>
      <c r="B310" s="1" t="s">
        <v>5</v>
      </c>
      <c r="C310" s="2">
        <v>0.4513888888888889</v>
      </c>
      <c r="D310">
        <v>2</v>
      </c>
    </row>
    <row r="311" spans="1:4" x14ac:dyDescent="0.25">
      <c r="A311" s="1" t="s">
        <v>317</v>
      </c>
      <c r="B311" s="1" t="s">
        <v>7</v>
      </c>
      <c r="C311" s="2">
        <v>0.45167824074074076</v>
      </c>
      <c r="D311">
        <v>1</v>
      </c>
    </row>
    <row r="312" spans="1:4" x14ac:dyDescent="0.25">
      <c r="A312" s="1" t="s">
        <v>318</v>
      </c>
      <c r="B312" s="1" t="s">
        <v>7</v>
      </c>
      <c r="C312" s="2">
        <v>0.45196759259259262</v>
      </c>
      <c r="D312">
        <v>1</v>
      </c>
    </row>
    <row r="313" spans="1:4" x14ac:dyDescent="0.25">
      <c r="A313" s="1" t="s">
        <v>319</v>
      </c>
      <c r="B313" s="1" t="s">
        <v>5</v>
      </c>
      <c r="C313" s="2">
        <v>0.45254629629629628</v>
      </c>
      <c r="D313">
        <v>2</v>
      </c>
    </row>
    <row r="314" spans="1:4" x14ac:dyDescent="0.25">
      <c r="A314" s="1" t="s">
        <v>320</v>
      </c>
      <c r="B314" s="1" t="s">
        <v>27</v>
      </c>
      <c r="C314" s="2">
        <v>0.45283564814814814</v>
      </c>
      <c r="D314">
        <v>1</v>
      </c>
    </row>
    <row r="315" spans="1:4" x14ac:dyDescent="0.25">
      <c r="A315" s="1" t="s">
        <v>321</v>
      </c>
      <c r="B315" s="1" t="s">
        <v>7</v>
      </c>
      <c r="C315" s="2">
        <v>0.453125</v>
      </c>
      <c r="D315">
        <v>1</v>
      </c>
    </row>
    <row r="316" spans="1:4" x14ac:dyDescent="0.25">
      <c r="A316" s="1" t="s">
        <v>322</v>
      </c>
      <c r="B316" s="1" t="s">
        <v>27</v>
      </c>
      <c r="C316" s="2">
        <v>0.45370370370370372</v>
      </c>
      <c r="D316">
        <v>2</v>
      </c>
    </row>
    <row r="317" spans="1:4" x14ac:dyDescent="0.25">
      <c r="A317" s="1" t="s">
        <v>323</v>
      </c>
      <c r="B317" s="1" t="s">
        <v>27</v>
      </c>
      <c r="C317" s="2">
        <v>0.45428240740740738</v>
      </c>
      <c r="D317">
        <v>2</v>
      </c>
    </row>
    <row r="318" spans="1:4" x14ac:dyDescent="0.25">
      <c r="A318" s="1" t="s">
        <v>324</v>
      </c>
      <c r="B318" s="1" t="s">
        <v>7</v>
      </c>
      <c r="C318" s="2">
        <v>0.45457175925925924</v>
      </c>
      <c r="D318">
        <v>1</v>
      </c>
    </row>
    <row r="319" spans="1:4" x14ac:dyDescent="0.25">
      <c r="A319" s="1" t="s">
        <v>325</v>
      </c>
      <c r="B319" s="1" t="s">
        <v>7</v>
      </c>
      <c r="C319" s="2">
        <v>0.4548611111111111</v>
      </c>
      <c r="D319">
        <v>1</v>
      </c>
    </row>
    <row r="320" spans="1:4" x14ac:dyDescent="0.25">
      <c r="A320" s="1" t="s">
        <v>326</v>
      </c>
      <c r="B320" s="1" t="s">
        <v>7</v>
      </c>
      <c r="C320" s="2">
        <v>0.45515046296296297</v>
      </c>
      <c r="D320">
        <v>1</v>
      </c>
    </row>
    <row r="321" spans="1:4" x14ac:dyDescent="0.25">
      <c r="A321" s="1" t="s">
        <v>327</v>
      </c>
      <c r="B321" s="1" t="s">
        <v>9</v>
      </c>
      <c r="C321" s="2">
        <v>0.45572916666666669</v>
      </c>
      <c r="D321">
        <v>2</v>
      </c>
    </row>
    <row r="322" spans="1:4" x14ac:dyDescent="0.25">
      <c r="A322" s="1" t="s">
        <v>328</v>
      </c>
      <c r="B322" s="1" t="s">
        <v>9</v>
      </c>
      <c r="C322" s="2">
        <v>0.45630787037037035</v>
      </c>
      <c r="D322">
        <v>2</v>
      </c>
    </row>
    <row r="323" spans="1:4" x14ac:dyDescent="0.25">
      <c r="A323" s="1" t="s">
        <v>329</v>
      </c>
      <c r="B323" s="1" t="s">
        <v>5</v>
      </c>
      <c r="C323" s="2">
        <v>0.45688657407407407</v>
      </c>
      <c r="D323">
        <v>2</v>
      </c>
    </row>
    <row r="324" spans="1:4" x14ac:dyDescent="0.25">
      <c r="A324" s="1" t="s">
        <v>330</v>
      </c>
      <c r="B324" s="1" t="s">
        <v>7</v>
      </c>
      <c r="C324" s="2">
        <v>0.45717592592592593</v>
      </c>
      <c r="D324">
        <v>1</v>
      </c>
    </row>
    <row r="325" spans="1:4" x14ac:dyDescent="0.25">
      <c r="A325" s="1" t="s">
        <v>331</v>
      </c>
      <c r="B325" s="1" t="s">
        <v>9</v>
      </c>
      <c r="C325" s="2">
        <v>0.45775462962962965</v>
      </c>
      <c r="D325">
        <v>2</v>
      </c>
    </row>
    <row r="326" spans="1:4" x14ac:dyDescent="0.25">
      <c r="A326" s="1" t="s">
        <v>332</v>
      </c>
      <c r="B326" s="1" t="s">
        <v>9</v>
      </c>
      <c r="C326" s="2">
        <v>0.45804398148148145</v>
      </c>
      <c r="D326">
        <v>1</v>
      </c>
    </row>
    <row r="327" spans="1:4" x14ac:dyDescent="0.25">
      <c r="A327" s="1" t="s">
        <v>333</v>
      </c>
      <c r="B327" s="1" t="s">
        <v>7</v>
      </c>
      <c r="C327" s="2">
        <v>0.45833333333333331</v>
      </c>
      <c r="D327">
        <v>1</v>
      </c>
    </row>
    <row r="328" spans="1:4" x14ac:dyDescent="0.25">
      <c r="A328" s="1" t="s">
        <v>334</v>
      </c>
      <c r="B328" s="1" t="s">
        <v>9</v>
      </c>
      <c r="C328" s="2">
        <v>0.45891203703703703</v>
      </c>
      <c r="D328">
        <v>2</v>
      </c>
    </row>
    <row r="329" spans="1:4" x14ac:dyDescent="0.25">
      <c r="A329" s="1" t="s">
        <v>335</v>
      </c>
      <c r="B329" s="1" t="s">
        <v>5</v>
      </c>
      <c r="C329" s="2">
        <v>0.4592013888888889</v>
      </c>
      <c r="D329">
        <v>1</v>
      </c>
    </row>
    <row r="330" spans="1:4" x14ac:dyDescent="0.25">
      <c r="A330" s="1" t="s">
        <v>336</v>
      </c>
      <c r="B330" s="1" t="s">
        <v>7</v>
      </c>
      <c r="C330" s="2">
        <v>0.45949074074074076</v>
      </c>
      <c r="D330">
        <v>1</v>
      </c>
    </row>
    <row r="331" spans="1:4" x14ac:dyDescent="0.25">
      <c r="A331" s="1" t="s">
        <v>337</v>
      </c>
      <c r="B331" s="1" t="s">
        <v>5</v>
      </c>
      <c r="C331" s="2">
        <v>0.46006944444444442</v>
      </c>
      <c r="D331">
        <v>2</v>
      </c>
    </row>
    <row r="332" spans="1:4" x14ac:dyDescent="0.25">
      <c r="A332" s="1" t="s">
        <v>338</v>
      </c>
      <c r="B332" s="1" t="s">
        <v>9</v>
      </c>
      <c r="C332" s="2">
        <v>0.46064814814814814</v>
      </c>
      <c r="D332">
        <v>2</v>
      </c>
    </row>
    <row r="333" spans="1:4" x14ac:dyDescent="0.25">
      <c r="A333" s="1" t="s">
        <v>339</v>
      </c>
      <c r="B333" s="1" t="s">
        <v>27</v>
      </c>
      <c r="C333" s="2">
        <v>0.46122685185185186</v>
      </c>
      <c r="D333">
        <v>2</v>
      </c>
    </row>
    <row r="334" spans="1:4" x14ac:dyDescent="0.25">
      <c r="A334" s="1" t="s">
        <v>340</v>
      </c>
      <c r="B334" s="1" t="s">
        <v>7</v>
      </c>
      <c r="C334" s="2">
        <v>0.46151620370370372</v>
      </c>
      <c r="D334">
        <v>1</v>
      </c>
    </row>
    <row r="335" spans="1:4" x14ac:dyDescent="0.25">
      <c r="A335" s="1" t="s">
        <v>341</v>
      </c>
      <c r="B335" s="1" t="s">
        <v>7</v>
      </c>
      <c r="C335" s="2">
        <v>0.46180555555555558</v>
      </c>
      <c r="D335">
        <v>1</v>
      </c>
    </row>
    <row r="336" spans="1:4" x14ac:dyDescent="0.25">
      <c r="A336" s="1" t="s">
        <v>342</v>
      </c>
      <c r="B336" s="1" t="s">
        <v>7</v>
      </c>
      <c r="C336" s="2">
        <v>0.46209490740740738</v>
      </c>
      <c r="D336">
        <v>1</v>
      </c>
    </row>
    <row r="337" spans="1:4" x14ac:dyDescent="0.25">
      <c r="A337" s="1" t="s">
        <v>343</v>
      </c>
      <c r="B337" s="1" t="s">
        <v>5</v>
      </c>
      <c r="C337" s="2">
        <v>0.4626736111111111</v>
      </c>
      <c r="D337">
        <v>2</v>
      </c>
    </row>
    <row r="338" spans="1:4" x14ac:dyDescent="0.25">
      <c r="A338" s="1" t="s">
        <v>344</v>
      </c>
      <c r="B338" s="1" t="s">
        <v>5</v>
      </c>
      <c r="C338" s="2">
        <v>0.46325231481481483</v>
      </c>
      <c r="D338">
        <v>2</v>
      </c>
    </row>
    <row r="339" spans="1:4" x14ac:dyDescent="0.25">
      <c r="A339" s="1" t="s">
        <v>345</v>
      </c>
      <c r="B339" s="1" t="s">
        <v>7</v>
      </c>
      <c r="C339" s="2">
        <v>0.46354166666666669</v>
      </c>
      <c r="D339">
        <v>1</v>
      </c>
    </row>
    <row r="340" spans="1:4" x14ac:dyDescent="0.25">
      <c r="A340" s="1" t="s">
        <v>346</v>
      </c>
      <c r="B340" s="1" t="s">
        <v>7</v>
      </c>
      <c r="C340" s="2">
        <v>0.46383101851851855</v>
      </c>
      <c r="D340">
        <v>1</v>
      </c>
    </row>
    <row r="341" spans="1:4" x14ac:dyDescent="0.25">
      <c r="A341" s="1" t="s">
        <v>347</v>
      </c>
      <c r="B341" s="1" t="s">
        <v>27</v>
      </c>
      <c r="C341" s="2">
        <v>0.46412037037037035</v>
      </c>
      <c r="D341">
        <v>1</v>
      </c>
    </row>
    <row r="342" spans="1:4" x14ac:dyDescent="0.25">
      <c r="A342" s="1" t="s">
        <v>348</v>
      </c>
      <c r="B342" s="1" t="s">
        <v>27</v>
      </c>
      <c r="C342" s="2">
        <v>0.46440972222222221</v>
      </c>
      <c r="D342">
        <v>1</v>
      </c>
    </row>
    <row r="343" spans="1:4" x14ac:dyDescent="0.25">
      <c r="A343" s="1" t="s">
        <v>349</v>
      </c>
      <c r="B343" s="1" t="s">
        <v>7</v>
      </c>
      <c r="C343" s="2">
        <v>0.46469907407407407</v>
      </c>
      <c r="D343">
        <v>1</v>
      </c>
    </row>
    <row r="344" spans="1:4" x14ac:dyDescent="0.25">
      <c r="A344" s="1" t="s">
        <v>350</v>
      </c>
      <c r="B344" s="1" t="s">
        <v>7</v>
      </c>
      <c r="C344" s="2">
        <v>0.46498842592592593</v>
      </c>
      <c r="D344">
        <v>1</v>
      </c>
    </row>
    <row r="345" spans="1:4" x14ac:dyDescent="0.25">
      <c r="A345" s="1" t="s">
        <v>351</v>
      </c>
      <c r="B345" s="1" t="s">
        <v>5</v>
      </c>
      <c r="C345" s="2">
        <v>0.46527777777777779</v>
      </c>
      <c r="D345">
        <v>1</v>
      </c>
    </row>
    <row r="346" spans="1:4" x14ac:dyDescent="0.25">
      <c r="A346" s="1" t="s">
        <v>352</v>
      </c>
      <c r="B346" s="1" t="s">
        <v>5</v>
      </c>
      <c r="C346" s="2">
        <v>0.46556712962962965</v>
      </c>
      <c r="D346">
        <v>1</v>
      </c>
    </row>
    <row r="347" spans="1:4" x14ac:dyDescent="0.25">
      <c r="A347" s="1" t="s">
        <v>353</v>
      </c>
      <c r="B347" s="1" t="s">
        <v>5</v>
      </c>
      <c r="C347" s="2">
        <v>0.46614583333333331</v>
      </c>
      <c r="D347">
        <v>2</v>
      </c>
    </row>
    <row r="348" spans="1:4" x14ac:dyDescent="0.25">
      <c r="A348" s="1" t="s">
        <v>354</v>
      </c>
      <c r="B348" s="1" t="s">
        <v>5</v>
      </c>
      <c r="C348" s="2">
        <v>0.46672453703703703</v>
      </c>
      <c r="D348">
        <v>2</v>
      </c>
    </row>
    <row r="349" spans="1:4" x14ac:dyDescent="0.25">
      <c r="A349" s="1" t="s">
        <v>355</v>
      </c>
      <c r="B349" s="1" t="s">
        <v>7</v>
      </c>
      <c r="C349" s="2">
        <v>0.4670138888888889</v>
      </c>
      <c r="D349">
        <v>1</v>
      </c>
    </row>
    <row r="350" spans="1:4" x14ac:dyDescent="0.25">
      <c r="A350" s="1" t="s">
        <v>356</v>
      </c>
      <c r="B350" s="1" t="s">
        <v>5</v>
      </c>
      <c r="C350" s="2">
        <v>0.46759259259259262</v>
      </c>
      <c r="D350">
        <v>2</v>
      </c>
    </row>
    <row r="351" spans="1:4" x14ac:dyDescent="0.25">
      <c r="A351" s="1" t="s">
        <v>357</v>
      </c>
      <c r="B351" s="1" t="s">
        <v>9</v>
      </c>
      <c r="C351" s="2">
        <v>0.46788194444444442</v>
      </c>
      <c r="D351">
        <v>1</v>
      </c>
    </row>
    <row r="352" spans="1:4" x14ac:dyDescent="0.25">
      <c r="A352" s="1" t="s">
        <v>358</v>
      </c>
      <c r="B352" s="1" t="s">
        <v>9</v>
      </c>
      <c r="C352" s="2">
        <v>0.46817129629629628</v>
      </c>
      <c r="D352">
        <v>1</v>
      </c>
    </row>
    <row r="353" spans="1:4" x14ac:dyDescent="0.25">
      <c r="A353" s="1" t="s">
        <v>359</v>
      </c>
      <c r="B353" s="1" t="s">
        <v>7</v>
      </c>
      <c r="C353" s="2">
        <v>0.46846064814814814</v>
      </c>
      <c r="D353">
        <v>1</v>
      </c>
    </row>
    <row r="354" spans="1:4" x14ac:dyDescent="0.25">
      <c r="A354" s="1" t="s">
        <v>360</v>
      </c>
      <c r="B354" s="1" t="s">
        <v>9</v>
      </c>
      <c r="C354" s="2">
        <v>0.46903935185185186</v>
      </c>
      <c r="D354">
        <v>2</v>
      </c>
    </row>
    <row r="355" spans="1:4" x14ac:dyDescent="0.25">
      <c r="A355" s="1" t="s">
        <v>361</v>
      </c>
      <c r="B355" s="1" t="s">
        <v>27</v>
      </c>
      <c r="C355" s="2">
        <v>0.46961805555555558</v>
      </c>
      <c r="D355">
        <v>2</v>
      </c>
    </row>
    <row r="356" spans="1:4" x14ac:dyDescent="0.25">
      <c r="A356" s="1" t="s">
        <v>362</v>
      </c>
      <c r="B356" s="1" t="s">
        <v>27</v>
      </c>
      <c r="C356" s="2">
        <v>0.47019675925925924</v>
      </c>
      <c r="D356">
        <v>2</v>
      </c>
    </row>
    <row r="357" spans="1:4" x14ac:dyDescent="0.25">
      <c r="A357" s="1" t="s">
        <v>363</v>
      </c>
      <c r="B357" s="1" t="s">
        <v>7</v>
      </c>
      <c r="C357" s="2">
        <v>0.4704861111111111</v>
      </c>
      <c r="D357">
        <v>1</v>
      </c>
    </row>
    <row r="358" spans="1:4" x14ac:dyDescent="0.25">
      <c r="A358" s="1" t="s">
        <v>364</v>
      </c>
      <c r="B358" s="1" t="s">
        <v>9</v>
      </c>
      <c r="C358" s="2">
        <v>0.47077546296296297</v>
      </c>
      <c r="D358">
        <v>1</v>
      </c>
    </row>
    <row r="359" spans="1:4" x14ac:dyDescent="0.25">
      <c r="A359" s="1" t="s">
        <v>365</v>
      </c>
      <c r="B359" s="1" t="s">
        <v>27</v>
      </c>
      <c r="C359" s="2">
        <v>0.47135416666666669</v>
      </c>
      <c r="D359">
        <v>2</v>
      </c>
    </row>
    <row r="360" spans="1:4" x14ac:dyDescent="0.25">
      <c r="A360" s="1" t="s">
        <v>366</v>
      </c>
      <c r="B360" s="1" t="s">
        <v>27</v>
      </c>
      <c r="C360" s="2">
        <v>0.47193287037037035</v>
      </c>
      <c r="D360">
        <v>2</v>
      </c>
    </row>
    <row r="361" spans="1:4" x14ac:dyDescent="0.25">
      <c r="A361" s="1" t="s">
        <v>367</v>
      </c>
      <c r="B361" s="1" t="s">
        <v>7</v>
      </c>
      <c r="C361" s="2">
        <v>0.47222222222222221</v>
      </c>
      <c r="D361">
        <v>1</v>
      </c>
    </row>
    <row r="362" spans="1:4" x14ac:dyDescent="0.25">
      <c r="A362" s="1" t="s">
        <v>368</v>
      </c>
      <c r="B362" s="1" t="s">
        <v>5</v>
      </c>
      <c r="C362" s="2">
        <v>0.47280092592592593</v>
      </c>
      <c r="D362">
        <v>2</v>
      </c>
    </row>
    <row r="363" spans="1:4" x14ac:dyDescent="0.25">
      <c r="A363" s="1" t="s">
        <v>369</v>
      </c>
      <c r="B363" s="1" t="s">
        <v>7</v>
      </c>
      <c r="C363" s="2">
        <v>0.47309027777777779</v>
      </c>
      <c r="D363">
        <v>1</v>
      </c>
    </row>
    <row r="364" spans="1:4" x14ac:dyDescent="0.25">
      <c r="A364" s="1" t="s">
        <v>370</v>
      </c>
      <c r="B364" s="1" t="s">
        <v>9</v>
      </c>
      <c r="C364" s="2">
        <v>0.47337962962962965</v>
      </c>
      <c r="D364">
        <v>1</v>
      </c>
    </row>
    <row r="365" spans="1:4" x14ac:dyDescent="0.25">
      <c r="A365" s="1" t="s">
        <v>371</v>
      </c>
      <c r="B365" s="1" t="s">
        <v>9</v>
      </c>
      <c r="C365" s="2">
        <v>0.47395833333333331</v>
      </c>
      <c r="D365">
        <v>2</v>
      </c>
    </row>
    <row r="366" spans="1:4" x14ac:dyDescent="0.25">
      <c r="A366" s="1" t="s">
        <v>372</v>
      </c>
      <c r="B366" s="1" t="s">
        <v>5</v>
      </c>
      <c r="C366" s="2">
        <v>0.47424768518518517</v>
      </c>
      <c r="D366">
        <v>1</v>
      </c>
    </row>
    <row r="367" spans="1:4" x14ac:dyDescent="0.25">
      <c r="A367" s="1" t="s">
        <v>373</v>
      </c>
      <c r="B367" s="1" t="s">
        <v>7</v>
      </c>
      <c r="C367" s="2">
        <v>0.47453703703703703</v>
      </c>
      <c r="D367">
        <v>1</v>
      </c>
    </row>
    <row r="368" spans="1:4" x14ac:dyDescent="0.25">
      <c r="A368" s="1" t="s">
        <v>374</v>
      </c>
      <c r="B368" s="1" t="s">
        <v>27</v>
      </c>
      <c r="C368" s="2">
        <v>0.47511574074074076</v>
      </c>
      <c r="D368">
        <v>2</v>
      </c>
    </row>
    <row r="369" spans="1:4" x14ac:dyDescent="0.25">
      <c r="A369" s="1" t="s">
        <v>375</v>
      </c>
      <c r="B369" s="1" t="s">
        <v>7</v>
      </c>
      <c r="C369" s="2">
        <v>0.47540509259259262</v>
      </c>
      <c r="D369">
        <v>1</v>
      </c>
    </row>
    <row r="370" spans="1:4" x14ac:dyDescent="0.25">
      <c r="A370" s="1" t="s">
        <v>376</v>
      </c>
      <c r="B370" s="1" t="s">
        <v>9</v>
      </c>
      <c r="C370" s="2">
        <v>0.47569444444444442</v>
      </c>
      <c r="D370">
        <v>1</v>
      </c>
    </row>
    <row r="371" spans="1:4" x14ac:dyDescent="0.25">
      <c r="A371" s="1" t="s">
        <v>377</v>
      </c>
      <c r="B371" s="1" t="s">
        <v>7</v>
      </c>
      <c r="C371" s="2">
        <v>0.47598379629629628</v>
      </c>
      <c r="D371">
        <v>1</v>
      </c>
    </row>
    <row r="372" spans="1:4" x14ac:dyDescent="0.25">
      <c r="A372" s="1" t="s">
        <v>378</v>
      </c>
      <c r="B372" s="1" t="s">
        <v>7</v>
      </c>
      <c r="C372" s="2">
        <v>0.47627314814814814</v>
      </c>
      <c r="D372">
        <v>1</v>
      </c>
    </row>
    <row r="373" spans="1:4" x14ac:dyDescent="0.25">
      <c r="A373" s="1" t="s">
        <v>379</v>
      </c>
      <c r="B373" s="1" t="s">
        <v>5</v>
      </c>
      <c r="C373" s="2">
        <v>0.47685185185185186</v>
      </c>
      <c r="D373">
        <v>2</v>
      </c>
    </row>
    <row r="374" spans="1:4" x14ac:dyDescent="0.25">
      <c r="A374" s="1" t="s">
        <v>380</v>
      </c>
      <c r="B374" s="1" t="s">
        <v>9</v>
      </c>
      <c r="C374" s="2">
        <v>0.47743055555555558</v>
      </c>
      <c r="D374">
        <v>2</v>
      </c>
    </row>
    <row r="375" spans="1:4" x14ac:dyDescent="0.25">
      <c r="A375" s="1" t="s">
        <v>381</v>
      </c>
      <c r="B375" s="1" t="s">
        <v>9</v>
      </c>
      <c r="C375" s="2">
        <v>0.47771990740740738</v>
      </c>
      <c r="D375">
        <v>1</v>
      </c>
    </row>
    <row r="376" spans="1:4" x14ac:dyDescent="0.25">
      <c r="A376" s="1" t="s">
        <v>382</v>
      </c>
      <c r="B376" s="1" t="s">
        <v>9</v>
      </c>
      <c r="C376" s="2">
        <v>0.4782986111111111</v>
      </c>
      <c r="D376">
        <v>2</v>
      </c>
    </row>
    <row r="377" spans="1:4" x14ac:dyDescent="0.25">
      <c r="A377" s="1" t="s">
        <v>383</v>
      </c>
      <c r="B377" s="1" t="s">
        <v>5</v>
      </c>
      <c r="C377" s="2">
        <v>0.47887731481481483</v>
      </c>
      <c r="D377">
        <v>2</v>
      </c>
    </row>
    <row r="378" spans="1:4" x14ac:dyDescent="0.25">
      <c r="A378" s="1" t="s">
        <v>384</v>
      </c>
      <c r="B378" s="1" t="s">
        <v>9</v>
      </c>
      <c r="C378" s="2">
        <v>0.47916666666666669</v>
      </c>
      <c r="D378">
        <v>1</v>
      </c>
    </row>
    <row r="379" spans="1:4" x14ac:dyDescent="0.25">
      <c r="A379" s="1" t="s">
        <v>385</v>
      </c>
      <c r="B379" s="1" t="s">
        <v>27</v>
      </c>
      <c r="C379" s="2">
        <v>0.47974537037037035</v>
      </c>
      <c r="D379">
        <v>2</v>
      </c>
    </row>
    <row r="380" spans="1:4" x14ac:dyDescent="0.25">
      <c r="A380" s="1" t="s">
        <v>386</v>
      </c>
      <c r="B380" s="1" t="s">
        <v>7</v>
      </c>
      <c r="C380" s="2">
        <v>0.48003472222222221</v>
      </c>
      <c r="D380">
        <v>1</v>
      </c>
    </row>
    <row r="381" spans="1:4" x14ac:dyDescent="0.25">
      <c r="A381" s="1" t="s">
        <v>387</v>
      </c>
      <c r="B381" s="1" t="s">
        <v>5</v>
      </c>
      <c r="C381" s="2">
        <v>0.48032407407407407</v>
      </c>
      <c r="D381">
        <v>1</v>
      </c>
    </row>
    <row r="382" spans="1:4" x14ac:dyDescent="0.25">
      <c r="A382" s="1" t="s">
        <v>388</v>
      </c>
      <c r="B382" s="1" t="s">
        <v>27</v>
      </c>
      <c r="C382" s="2">
        <v>0.48090277777777779</v>
      </c>
      <c r="D382">
        <v>2</v>
      </c>
    </row>
    <row r="383" spans="1:4" x14ac:dyDescent="0.25">
      <c r="A383" s="1" t="s">
        <v>389</v>
      </c>
      <c r="B383" s="1" t="s">
        <v>7</v>
      </c>
      <c r="C383" s="2">
        <v>0.48119212962962965</v>
      </c>
      <c r="D383">
        <v>1</v>
      </c>
    </row>
    <row r="384" spans="1:4" x14ac:dyDescent="0.25">
      <c r="A384" s="1" t="s">
        <v>390</v>
      </c>
      <c r="B384" s="1" t="s">
        <v>5</v>
      </c>
      <c r="C384" s="2">
        <v>0.48177083333333331</v>
      </c>
      <c r="D384">
        <v>2</v>
      </c>
    </row>
    <row r="385" spans="1:4" x14ac:dyDescent="0.25">
      <c r="A385" s="1" t="s">
        <v>391</v>
      </c>
      <c r="B385" s="1" t="s">
        <v>7</v>
      </c>
      <c r="C385" s="2">
        <v>0.48206018518518517</v>
      </c>
      <c r="D385">
        <v>1</v>
      </c>
    </row>
    <row r="386" spans="1:4" x14ac:dyDescent="0.25">
      <c r="A386" s="1" t="s">
        <v>392</v>
      </c>
      <c r="B386" s="1" t="s">
        <v>5</v>
      </c>
      <c r="C386" s="2">
        <v>0.4826388888888889</v>
      </c>
      <c r="D386">
        <v>2</v>
      </c>
    </row>
    <row r="387" spans="1:4" x14ac:dyDescent="0.25">
      <c r="A387" s="1" t="s">
        <v>393</v>
      </c>
      <c r="B387" s="1" t="s">
        <v>5</v>
      </c>
      <c r="C387" s="2">
        <v>0.48321759259259262</v>
      </c>
      <c r="D387">
        <v>2</v>
      </c>
    </row>
    <row r="388" spans="1:4" x14ac:dyDescent="0.25">
      <c r="A388" s="1" t="s">
        <v>394</v>
      </c>
      <c r="B388" s="1" t="s">
        <v>7</v>
      </c>
      <c r="C388" s="2">
        <v>0.48350694444444442</v>
      </c>
      <c r="D388">
        <v>1</v>
      </c>
    </row>
    <row r="389" spans="1:4" x14ac:dyDescent="0.25">
      <c r="A389" s="1" t="s">
        <v>395</v>
      </c>
      <c r="B389" s="1" t="s">
        <v>5</v>
      </c>
      <c r="C389" s="2">
        <v>0.48379629629629628</v>
      </c>
      <c r="D389">
        <v>1</v>
      </c>
    </row>
    <row r="390" spans="1:4" x14ac:dyDescent="0.25">
      <c r="A390" s="1" t="s">
        <v>396</v>
      </c>
      <c r="B390" s="1" t="s">
        <v>5</v>
      </c>
      <c r="C390" s="2">
        <v>0.48408564814814814</v>
      </c>
      <c r="D390">
        <v>1</v>
      </c>
    </row>
    <row r="391" spans="1:4" x14ac:dyDescent="0.25">
      <c r="A391" s="1" t="s">
        <v>397</v>
      </c>
      <c r="B391" s="1" t="s">
        <v>7</v>
      </c>
      <c r="C391" s="2">
        <v>0.484375</v>
      </c>
      <c r="D391">
        <v>1</v>
      </c>
    </row>
    <row r="392" spans="1:4" x14ac:dyDescent="0.25">
      <c r="A392" s="1" t="s">
        <v>398</v>
      </c>
      <c r="B392" s="1" t="s">
        <v>7</v>
      </c>
      <c r="C392" s="2">
        <v>0.48466435185185186</v>
      </c>
      <c r="D392">
        <v>1</v>
      </c>
    </row>
    <row r="393" spans="1:4" x14ac:dyDescent="0.25">
      <c r="A393" s="1" t="s">
        <v>399</v>
      </c>
      <c r="B393" s="1" t="s">
        <v>9</v>
      </c>
      <c r="C393" s="2">
        <v>0.48524305555555558</v>
      </c>
      <c r="D393">
        <v>2</v>
      </c>
    </row>
    <row r="394" spans="1:4" x14ac:dyDescent="0.25">
      <c r="A394" s="1" t="s">
        <v>400</v>
      </c>
      <c r="B394" s="1" t="s">
        <v>5</v>
      </c>
      <c r="C394" s="2">
        <v>0.48553240740740738</v>
      </c>
      <c r="D394">
        <v>1</v>
      </c>
    </row>
    <row r="395" spans="1:4" x14ac:dyDescent="0.25">
      <c r="A395" s="1" t="s">
        <v>401</v>
      </c>
      <c r="B395" s="1" t="s">
        <v>5</v>
      </c>
      <c r="C395" s="2">
        <v>0.48582175925925924</v>
      </c>
      <c r="D395">
        <v>1</v>
      </c>
    </row>
    <row r="396" spans="1:4" x14ac:dyDescent="0.25">
      <c r="A396" s="1" t="s">
        <v>402</v>
      </c>
      <c r="B396" s="1" t="s">
        <v>7</v>
      </c>
      <c r="C396" s="2">
        <v>0.4861111111111111</v>
      </c>
      <c r="D396">
        <v>1</v>
      </c>
    </row>
    <row r="397" spans="1:4" x14ac:dyDescent="0.25">
      <c r="A397" s="1" t="s">
        <v>403</v>
      </c>
      <c r="B397" s="1" t="s">
        <v>9</v>
      </c>
      <c r="C397" s="2">
        <v>0.48668981481481483</v>
      </c>
      <c r="D397">
        <v>2</v>
      </c>
    </row>
    <row r="398" spans="1:4" x14ac:dyDescent="0.25">
      <c r="A398" s="1" t="s">
        <v>404</v>
      </c>
      <c r="B398" s="1" t="s">
        <v>9</v>
      </c>
      <c r="C398" s="2">
        <v>0.48697916666666669</v>
      </c>
      <c r="D398">
        <v>1</v>
      </c>
    </row>
    <row r="399" spans="1:4" x14ac:dyDescent="0.25">
      <c r="A399" s="1" t="s">
        <v>405</v>
      </c>
      <c r="B399" s="1" t="s">
        <v>9</v>
      </c>
      <c r="C399" s="2">
        <v>0.48726851851851855</v>
      </c>
      <c r="D399">
        <v>1</v>
      </c>
    </row>
    <row r="400" spans="1:4" x14ac:dyDescent="0.25">
      <c r="A400" s="1" t="s">
        <v>406</v>
      </c>
      <c r="B400" s="1" t="s">
        <v>5</v>
      </c>
      <c r="C400" s="2">
        <v>0.48784722222222221</v>
      </c>
      <c r="D400">
        <v>2</v>
      </c>
    </row>
    <row r="401" spans="1:4" x14ac:dyDescent="0.25">
      <c r="A401" s="1" t="s">
        <v>407</v>
      </c>
      <c r="B401" s="1" t="s">
        <v>5</v>
      </c>
      <c r="C401" s="2">
        <v>0.48813657407407407</v>
      </c>
      <c r="D401">
        <v>1</v>
      </c>
    </row>
    <row r="402" spans="1:4" x14ac:dyDescent="0.25">
      <c r="A402" s="1" t="s">
        <v>408</v>
      </c>
      <c r="B402" s="1" t="s">
        <v>7</v>
      </c>
      <c r="C402" s="2">
        <v>0.48842592592592593</v>
      </c>
      <c r="D402">
        <v>1</v>
      </c>
    </row>
    <row r="403" spans="1:4" x14ac:dyDescent="0.25">
      <c r="A403" s="1" t="s">
        <v>409</v>
      </c>
      <c r="B403" s="1" t="s">
        <v>7</v>
      </c>
      <c r="C403" s="2">
        <v>0.48871527777777779</v>
      </c>
      <c r="D403">
        <v>1</v>
      </c>
    </row>
    <row r="404" spans="1:4" x14ac:dyDescent="0.25">
      <c r="A404" s="1" t="s">
        <v>410</v>
      </c>
      <c r="B404" s="1" t="s">
        <v>5</v>
      </c>
      <c r="C404" s="2">
        <v>0.48929398148148145</v>
      </c>
      <c r="D404">
        <v>2</v>
      </c>
    </row>
    <row r="405" spans="1:4" x14ac:dyDescent="0.25">
      <c r="A405" s="1" t="s">
        <v>411</v>
      </c>
      <c r="B405" s="1" t="s">
        <v>7</v>
      </c>
      <c r="C405" s="2">
        <v>0.48958333333333331</v>
      </c>
      <c r="D405">
        <v>1</v>
      </c>
    </row>
    <row r="406" spans="1:4" x14ac:dyDescent="0.25">
      <c r="A406" s="1" t="s">
        <v>412</v>
      </c>
      <c r="B406" s="1" t="s">
        <v>5</v>
      </c>
      <c r="C406" s="2">
        <v>0.48987268518518517</v>
      </c>
      <c r="D406">
        <v>1</v>
      </c>
    </row>
    <row r="407" spans="1:4" x14ac:dyDescent="0.25">
      <c r="A407" s="1" t="s">
        <v>413</v>
      </c>
      <c r="B407" s="1" t="s">
        <v>7</v>
      </c>
      <c r="C407" s="2">
        <v>0.49016203703703703</v>
      </c>
      <c r="D407">
        <v>1</v>
      </c>
    </row>
    <row r="408" spans="1:4" x14ac:dyDescent="0.25">
      <c r="A408" s="1" t="s">
        <v>414</v>
      </c>
      <c r="B408" s="1" t="s">
        <v>9</v>
      </c>
      <c r="C408" s="2">
        <v>0.4904513888888889</v>
      </c>
      <c r="D408">
        <v>1</v>
      </c>
    </row>
    <row r="409" spans="1:4" x14ac:dyDescent="0.25">
      <c r="A409" s="1" t="s">
        <v>415</v>
      </c>
      <c r="B409" s="1" t="s">
        <v>5</v>
      </c>
      <c r="C409" s="2">
        <v>0.49074074074074076</v>
      </c>
      <c r="D409">
        <v>1</v>
      </c>
    </row>
    <row r="410" spans="1:4" x14ac:dyDescent="0.25">
      <c r="A410" s="1" t="s">
        <v>416</v>
      </c>
      <c r="B410" s="1" t="s">
        <v>9</v>
      </c>
      <c r="C410" s="2">
        <v>0.49131944444444442</v>
      </c>
      <c r="D410">
        <v>2</v>
      </c>
    </row>
    <row r="411" spans="1:4" x14ac:dyDescent="0.25">
      <c r="A411" s="1" t="s">
        <v>417</v>
      </c>
      <c r="B411" s="1" t="s">
        <v>9</v>
      </c>
      <c r="C411" s="2">
        <v>0.49160879629629628</v>
      </c>
      <c r="D411">
        <v>1</v>
      </c>
    </row>
    <row r="412" spans="1:4" x14ac:dyDescent="0.25">
      <c r="A412" s="1" t="s">
        <v>418</v>
      </c>
      <c r="B412" s="1" t="s">
        <v>7</v>
      </c>
      <c r="C412" s="2">
        <v>0.49189814814814814</v>
      </c>
      <c r="D412">
        <v>1</v>
      </c>
    </row>
    <row r="413" spans="1:4" x14ac:dyDescent="0.25">
      <c r="A413" s="1" t="s">
        <v>419</v>
      </c>
      <c r="B413" s="1" t="s">
        <v>7</v>
      </c>
      <c r="C413" s="2">
        <v>0.4921875</v>
      </c>
      <c r="D413">
        <v>1</v>
      </c>
    </row>
    <row r="414" spans="1:4" x14ac:dyDescent="0.25">
      <c r="A414" s="1" t="s">
        <v>420</v>
      </c>
      <c r="B414" s="1" t="s">
        <v>9</v>
      </c>
      <c r="C414" s="2">
        <v>0.49276620370370372</v>
      </c>
      <c r="D414">
        <v>2</v>
      </c>
    </row>
    <row r="415" spans="1:4" x14ac:dyDescent="0.25">
      <c r="A415" s="1" t="s">
        <v>421</v>
      </c>
      <c r="B415" s="1" t="s">
        <v>9</v>
      </c>
      <c r="C415" s="2">
        <v>0.49305555555555558</v>
      </c>
      <c r="D415">
        <v>1</v>
      </c>
    </row>
    <row r="416" spans="1:4" x14ac:dyDescent="0.25">
      <c r="A416" s="1" t="s">
        <v>422</v>
      </c>
      <c r="B416" s="1" t="s">
        <v>9</v>
      </c>
      <c r="C416" s="2">
        <v>0.49363425925925924</v>
      </c>
      <c r="D416">
        <v>2</v>
      </c>
    </row>
    <row r="417" spans="1:4" x14ac:dyDescent="0.25">
      <c r="A417" s="1" t="s">
        <v>423</v>
      </c>
      <c r="B417" s="1" t="s">
        <v>5</v>
      </c>
      <c r="C417" s="2">
        <v>0.49421296296296297</v>
      </c>
      <c r="D417">
        <v>2</v>
      </c>
    </row>
    <row r="418" spans="1:4" x14ac:dyDescent="0.25">
      <c r="A418" s="1" t="s">
        <v>424</v>
      </c>
      <c r="B418" s="1" t="s">
        <v>7</v>
      </c>
      <c r="C418" s="2">
        <v>0.49450231481481483</v>
      </c>
      <c r="D418">
        <v>1</v>
      </c>
    </row>
    <row r="419" spans="1:4" x14ac:dyDescent="0.25">
      <c r="A419" s="1" t="s">
        <v>425</v>
      </c>
      <c r="B419" s="1" t="s">
        <v>5</v>
      </c>
      <c r="C419" s="2">
        <v>0.49479166666666669</v>
      </c>
      <c r="D419">
        <v>1</v>
      </c>
    </row>
    <row r="420" spans="1:4" x14ac:dyDescent="0.25">
      <c r="A420" s="1" t="s">
        <v>426</v>
      </c>
      <c r="B420" s="1" t="s">
        <v>27</v>
      </c>
      <c r="C420" s="2">
        <v>0.49537037037037035</v>
      </c>
      <c r="D420">
        <v>2</v>
      </c>
    </row>
    <row r="421" spans="1:4" x14ac:dyDescent="0.25">
      <c r="A421" s="1" t="s">
        <v>427</v>
      </c>
      <c r="B421" s="1" t="s">
        <v>7</v>
      </c>
      <c r="C421" s="2">
        <v>0.49565972222222221</v>
      </c>
      <c r="D421">
        <v>1</v>
      </c>
    </row>
    <row r="422" spans="1:4" x14ac:dyDescent="0.25">
      <c r="A422" s="1" t="s">
        <v>428</v>
      </c>
      <c r="B422" s="1" t="s">
        <v>5</v>
      </c>
      <c r="C422" s="2">
        <v>0.49623842592592593</v>
      </c>
      <c r="D422">
        <v>2</v>
      </c>
    </row>
    <row r="423" spans="1:4" x14ac:dyDescent="0.25">
      <c r="A423" s="1" t="s">
        <v>429</v>
      </c>
      <c r="B423" s="1" t="s">
        <v>7</v>
      </c>
      <c r="C423" s="2">
        <v>0.49652777777777779</v>
      </c>
      <c r="D423">
        <v>1</v>
      </c>
    </row>
    <row r="424" spans="1:4" x14ac:dyDescent="0.25">
      <c r="A424" s="1" t="s">
        <v>430</v>
      </c>
      <c r="B424" s="1" t="s">
        <v>9</v>
      </c>
      <c r="C424" s="2">
        <v>0.49681712962962965</v>
      </c>
      <c r="D424">
        <v>1</v>
      </c>
    </row>
    <row r="425" spans="1:4" x14ac:dyDescent="0.25">
      <c r="A425" s="1" t="s">
        <v>431</v>
      </c>
      <c r="B425" s="1" t="s">
        <v>7</v>
      </c>
      <c r="C425" s="2">
        <v>0.49710648148148145</v>
      </c>
      <c r="D425">
        <v>1</v>
      </c>
    </row>
    <row r="426" spans="1:4" x14ac:dyDescent="0.25">
      <c r="A426" s="1" t="s">
        <v>432</v>
      </c>
      <c r="B426" s="1" t="s">
        <v>7</v>
      </c>
      <c r="C426" s="2">
        <v>0.49739583333333331</v>
      </c>
      <c r="D426">
        <v>1</v>
      </c>
    </row>
    <row r="427" spans="1:4" x14ac:dyDescent="0.25">
      <c r="A427" s="1" t="s">
        <v>433</v>
      </c>
      <c r="B427" s="1" t="s">
        <v>9</v>
      </c>
      <c r="C427" s="2">
        <v>0.49768518518518517</v>
      </c>
      <c r="D427">
        <v>1</v>
      </c>
    </row>
    <row r="428" spans="1:4" x14ac:dyDescent="0.25">
      <c r="A428" s="1" t="s">
        <v>434</v>
      </c>
      <c r="B428" s="1" t="s">
        <v>7</v>
      </c>
      <c r="C428" s="2">
        <v>0.49797453703703703</v>
      </c>
      <c r="D428">
        <v>1</v>
      </c>
    </row>
    <row r="429" spans="1:4" x14ac:dyDescent="0.25">
      <c r="A429" s="1" t="s">
        <v>435</v>
      </c>
      <c r="B429" s="1" t="s">
        <v>5</v>
      </c>
      <c r="C429" s="2">
        <v>0.4982638888888889</v>
      </c>
      <c r="D429">
        <v>1</v>
      </c>
    </row>
    <row r="430" spans="1:4" x14ac:dyDescent="0.25">
      <c r="A430" s="1" t="s">
        <v>436</v>
      </c>
      <c r="B430" s="1" t="s">
        <v>7</v>
      </c>
      <c r="C430" s="2">
        <v>0.49855324074074076</v>
      </c>
      <c r="D430">
        <v>1</v>
      </c>
    </row>
    <row r="431" spans="1:4" x14ac:dyDescent="0.25">
      <c r="A431" s="1" t="s">
        <v>437</v>
      </c>
      <c r="B431" s="1" t="s">
        <v>7</v>
      </c>
      <c r="C431" s="2">
        <v>0.49884259259259262</v>
      </c>
      <c r="D431">
        <v>1</v>
      </c>
    </row>
    <row r="432" spans="1:4" x14ac:dyDescent="0.25">
      <c r="A432" s="1" t="s">
        <v>438</v>
      </c>
      <c r="B432" s="1" t="s">
        <v>9</v>
      </c>
      <c r="C432" s="2">
        <v>0.49942129629629628</v>
      </c>
      <c r="D432">
        <v>2</v>
      </c>
    </row>
    <row r="433" spans="1:4" x14ac:dyDescent="0.25">
      <c r="A433" s="1" t="s">
        <v>439</v>
      </c>
      <c r="B433" s="1" t="s">
        <v>7</v>
      </c>
      <c r="C433" s="2">
        <v>0.49971064814814814</v>
      </c>
      <c r="D433">
        <v>1</v>
      </c>
    </row>
    <row r="434" spans="1:4" x14ac:dyDescent="0.25">
      <c r="A434" s="1" t="s">
        <v>440</v>
      </c>
      <c r="B434" s="1" t="s">
        <v>9</v>
      </c>
      <c r="C434" s="2">
        <v>0.50028935185185186</v>
      </c>
      <c r="D434">
        <v>2</v>
      </c>
    </row>
    <row r="435" spans="1:4" x14ac:dyDescent="0.25">
      <c r="A435" s="1" t="s">
        <v>441</v>
      </c>
      <c r="B435" s="1" t="s">
        <v>5</v>
      </c>
      <c r="C435" s="2">
        <v>0.50057870370370372</v>
      </c>
      <c r="D435">
        <v>1</v>
      </c>
    </row>
    <row r="436" spans="1:4" x14ac:dyDescent="0.25">
      <c r="A436" s="1" t="s">
        <v>442</v>
      </c>
      <c r="B436" s="1" t="s">
        <v>7</v>
      </c>
      <c r="C436" s="2">
        <v>0.50086805555555558</v>
      </c>
      <c r="D436">
        <v>1</v>
      </c>
    </row>
    <row r="437" spans="1:4" x14ac:dyDescent="0.25">
      <c r="A437" s="1" t="s">
        <v>443</v>
      </c>
      <c r="B437" s="1" t="s">
        <v>5</v>
      </c>
      <c r="C437" s="2">
        <v>0.50115740740740744</v>
      </c>
      <c r="D437">
        <v>1</v>
      </c>
    </row>
    <row r="438" spans="1:4" x14ac:dyDescent="0.25">
      <c r="A438" s="1" t="s">
        <v>444</v>
      </c>
      <c r="B438" s="1" t="s">
        <v>9</v>
      </c>
      <c r="C438" s="2">
        <v>0.5014467592592593</v>
      </c>
      <c r="D438">
        <v>1</v>
      </c>
    </row>
    <row r="439" spans="1:4" x14ac:dyDescent="0.25">
      <c r="A439" s="1" t="s">
        <v>445</v>
      </c>
      <c r="B439" s="1" t="s">
        <v>27</v>
      </c>
      <c r="C439" s="2">
        <v>0.50173611111111116</v>
      </c>
      <c r="D439">
        <v>1</v>
      </c>
    </row>
    <row r="440" spans="1:4" x14ac:dyDescent="0.25">
      <c r="A440" s="1" t="s">
        <v>446</v>
      </c>
      <c r="B440" s="1" t="s">
        <v>7</v>
      </c>
      <c r="C440" s="2">
        <v>0.50202546296296291</v>
      </c>
      <c r="D440">
        <v>1</v>
      </c>
    </row>
    <row r="441" spans="1:4" x14ac:dyDescent="0.25">
      <c r="A441" s="1" t="s">
        <v>447</v>
      </c>
      <c r="B441" s="1" t="s">
        <v>9</v>
      </c>
      <c r="C441" s="2">
        <v>0.50260416666666663</v>
      </c>
      <c r="D441">
        <v>2</v>
      </c>
    </row>
    <row r="442" spans="1:4" x14ac:dyDescent="0.25">
      <c r="A442" s="1" t="s">
        <v>448</v>
      </c>
      <c r="B442" s="1" t="s">
        <v>7</v>
      </c>
      <c r="C442" s="2">
        <v>0.50289351851851849</v>
      </c>
      <c r="D442">
        <v>1</v>
      </c>
    </row>
    <row r="443" spans="1:4" x14ac:dyDescent="0.25">
      <c r="A443" s="1" t="s">
        <v>449</v>
      </c>
      <c r="B443" s="1" t="s">
        <v>5</v>
      </c>
      <c r="C443" s="2">
        <v>0.50347222222222221</v>
      </c>
      <c r="D443">
        <v>2</v>
      </c>
    </row>
    <row r="444" spans="1:4" x14ac:dyDescent="0.25">
      <c r="A444" s="1" t="s">
        <v>450</v>
      </c>
      <c r="B444" s="1" t="s">
        <v>7</v>
      </c>
      <c r="C444" s="2">
        <v>0.50376157407407407</v>
      </c>
      <c r="D444">
        <v>1</v>
      </c>
    </row>
    <row r="445" spans="1:4" x14ac:dyDescent="0.25">
      <c r="A445" s="1" t="s">
        <v>451</v>
      </c>
      <c r="B445" s="1" t="s">
        <v>9</v>
      </c>
      <c r="C445" s="2">
        <v>0.50405092592592593</v>
      </c>
      <c r="D445">
        <v>1</v>
      </c>
    </row>
    <row r="446" spans="1:4" x14ac:dyDescent="0.25">
      <c r="A446" s="1" t="s">
        <v>452</v>
      </c>
      <c r="B446" s="1" t="s">
        <v>27</v>
      </c>
      <c r="C446" s="2">
        <v>0.50434027777777779</v>
      </c>
      <c r="D446">
        <v>1</v>
      </c>
    </row>
    <row r="447" spans="1:4" x14ac:dyDescent="0.25">
      <c r="A447" s="1" t="s">
        <v>453</v>
      </c>
      <c r="B447" s="1" t="s">
        <v>7</v>
      </c>
      <c r="C447" s="2">
        <v>0.50462962962962965</v>
      </c>
      <c r="D447">
        <v>1</v>
      </c>
    </row>
    <row r="448" spans="1:4" x14ac:dyDescent="0.25">
      <c r="A448" s="1" t="s">
        <v>454</v>
      </c>
      <c r="B448" s="1" t="s">
        <v>7</v>
      </c>
      <c r="C448" s="2">
        <v>0.50491898148148151</v>
      </c>
      <c r="D448">
        <v>1</v>
      </c>
    </row>
    <row r="449" spans="1:4" x14ac:dyDescent="0.25">
      <c r="A449" s="1" t="s">
        <v>455</v>
      </c>
      <c r="B449" s="1" t="s">
        <v>9</v>
      </c>
      <c r="C449" s="2">
        <v>0.50549768518518523</v>
      </c>
      <c r="D449">
        <v>2</v>
      </c>
    </row>
    <row r="450" spans="1:4" x14ac:dyDescent="0.25">
      <c r="A450" s="1" t="s">
        <v>456</v>
      </c>
      <c r="B450" s="1" t="s">
        <v>9</v>
      </c>
      <c r="C450" s="2">
        <v>0.50607638888888884</v>
      </c>
      <c r="D450">
        <v>2</v>
      </c>
    </row>
    <row r="451" spans="1:4" x14ac:dyDescent="0.25">
      <c r="A451" s="1" t="s">
        <v>457</v>
      </c>
      <c r="B451" s="1" t="s">
        <v>5</v>
      </c>
      <c r="C451" s="2">
        <v>0.5063657407407407</v>
      </c>
      <c r="D451">
        <v>1</v>
      </c>
    </row>
    <row r="452" spans="1:4" x14ac:dyDescent="0.25">
      <c r="A452" s="1" t="s">
        <v>458</v>
      </c>
      <c r="B452" s="1" t="s">
        <v>7</v>
      </c>
      <c r="C452" s="2">
        <v>0.50665509259259256</v>
      </c>
      <c r="D452">
        <v>1</v>
      </c>
    </row>
    <row r="453" spans="1:4" x14ac:dyDescent="0.25">
      <c r="A453" s="1" t="s">
        <v>459</v>
      </c>
      <c r="B453" s="1" t="s">
        <v>7</v>
      </c>
      <c r="C453" s="2">
        <v>0.50694444444444442</v>
      </c>
      <c r="D453">
        <v>1</v>
      </c>
    </row>
    <row r="454" spans="1:4" x14ac:dyDescent="0.25">
      <c r="A454" s="1" t="s">
        <v>460</v>
      </c>
      <c r="B454" s="1" t="s">
        <v>9</v>
      </c>
      <c r="C454" s="2">
        <v>0.50752314814814814</v>
      </c>
      <c r="D454">
        <v>2</v>
      </c>
    </row>
    <row r="455" spans="1:4" x14ac:dyDescent="0.25">
      <c r="A455" s="1" t="s">
        <v>461</v>
      </c>
      <c r="B455" s="1" t="s">
        <v>5</v>
      </c>
      <c r="C455" s="2">
        <v>0.50810185185185186</v>
      </c>
      <c r="D455">
        <v>2</v>
      </c>
    </row>
    <row r="456" spans="1:4" x14ac:dyDescent="0.25">
      <c r="A456" s="1" t="s">
        <v>462</v>
      </c>
      <c r="B456" s="1" t="s">
        <v>9</v>
      </c>
      <c r="C456" s="2">
        <v>0.50868055555555558</v>
      </c>
      <c r="D456">
        <v>2</v>
      </c>
    </row>
    <row r="457" spans="1:4" x14ac:dyDescent="0.25">
      <c r="A457" s="1" t="s">
        <v>463</v>
      </c>
      <c r="B457" s="1" t="s">
        <v>5</v>
      </c>
      <c r="C457" s="2">
        <v>0.5092592592592593</v>
      </c>
      <c r="D457">
        <v>2</v>
      </c>
    </row>
    <row r="458" spans="1:4" x14ac:dyDescent="0.25">
      <c r="A458" s="1" t="s">
        <v>464</v>
      </c>
      <c r="B458" s="1" t="s">
        <v>7</v>
      </c>
      <c r="C458" s="2">
        <v>0.50954861111111116</v>
      </c>
      <c r="D458">
        <v>1</v>
      </c>
    </row>
    <row r="459" spans="1:4" x14ac:dyDescent="0.25">
      <c r="A459" s="1" t="s">
        <v>465</v>
      </c>
      <c r="B459" s="1" t="s">
        <v>5</v>
      </c>
      <c r="C459" s="2">
        <v>0.51012731481481477</v>
      </c>
      <c r="D459">
        <v>2</v>
      </c>
    </row>
    <row r="460" spans="1:4" x14ac:dyDescent="0.25">
      <c r="A460" s="1" t="s">
        <v>466</v>
      </c>
      <c r="B460" s="1" t="s">
        <v>7</v>
      </c>
      <c r="C460" s="2">
        <v>0.51041666666666663</v>
      </c>
      <c r="D460">
        <v>1</v>
      </c>
    </row>
    <row r="461" spans="1:4" x14ac:dyDescent="0.25">
      <c r="A461" s="1" t="s">
        <v>467</v>
      </c>
      <c r="B461" s="1" t="s">
        <v>7</v>
      </c>
      <c r="C461" s="2">
        <v>0.51070601851851849</v>
      </c>
      <c r="D461">
        <v>1</v>
      </c>
    </row>
    <row r="462" spans="1:4" x14ac:dyDescent="0.25">
      <c r="A462" s="1" t="s">
        <v>468</v>
      </c>
      <c r="B462" s="1" t="s">
        <v>5</v>
      </c>
      <c r="C462" s="2">
        <v>0.51099537037037035</v>
      </c>
      <c r="D462">
        <v>1</v>
      </c>
    </row>
    <row r="463" spans="1:4" x14ac:dyDescent="0.25">
      <c r="A463" s="1" t="s">
        <v>469</v>
      </c>
      <c r="B463" s="1" t="s">
        <v>5</v>
      </c>
      <c r="C463" s="2">
        <v>0.51128472222222221</v>
      </c>
      <c r="D463">
        <v>1</v>
      </c>
    </row>
    <row r="464" spans="1:4" x14ac:dyDescent="0.25">
      <c r="A464" s="1" t="s">
        <v>470</v>
      </c>
      <c r="B464" s="1" t="s">
        <v>7</v>
      </c>
      <c r="C464" s="2">
        <v>0.51157407407407407</v>
      </c>
      <c r="D464">
        <v>1</v>
      </c>
    </row>
    <row r="465" spans="1:4" x14ac:dyDescent="0.25">
      <c r="A465" s="1" t="s">
        <v>471</v>
      </c>
      <c r="B465" s="1" t="s">
        <v>5</v>
      </c>
      <c r="C465" s="2">
        <v>0.51186342592592593</v>
      </c>
      <c r="D465">
        <v>1</v>
      </c>
    </row>
    <row r="466" spans="1:4" x14ac:dyDescent="0.25">
      <c r="A466" s="1" t="s">
        <v>472</v>
      </c>
      <c r="B466" s="1" t="s">
        <v>7</v>
      </c>
      <c r="C466" s="2">
        <v>0.51215277777777779</v>
      </c>
      <c r="D466">
        <v>1</v>
      </c>
    </row>
    <row r="467" spans="1:4" x14ac:dyDescent="0.25">
      <c r="A467" s="1" t="s">
        <v>473</v>
      </c>
      <c r="B467" s="1" t="s">
        <v>5</v>
      </c>
      <c r="C467" s="2">
        <v>0.51273148148148151</v>
      </c>
      <c r="D467">
        <v>2</v>
      </c>
    </row>
    <row r="468" spans="1:4" x14ac:dyDescent="0.25">
      <c r="A468" s="1" t="s">
        <v>474</v>
      </c>
      <c r="B468" s="1" t="s">
        <v>7</v>
      </c>
      <c r="C468" s="2">
        <v>0.51302083333333337</v>
      </c>
      <c r="D468">
        <v>1</v>
      </c>
    </row>
    <row r="469" spans="1:4" x14ac:dyDescent="0.25">
      <c r="A469" s="1" t="s">
        <v>475</v>
      </c>
      <c r="B469" s="1" t="s">
        <v>7</v>
      </c>
      <c r="C469" s="2">
        <v>0.51331018518518523</v>
      </c>
      <c r="D469">
        <v>1</v>
      </c>
    </row>
    <row r="470" spans="1:4" x14ac:dyDescent="0.25">
      <c r="A470" s="1" t="s">
        <v>476</v>
      </c>
      <c r="B470" s="1" t="s">
        <v>7</v>
      </c>
      <c r="C470" s="2">
        <v>0.51359953703703709</v>
      </c>
      <c r="D470">
        <v>1</v>
      </c>
    </row>
    <row r="471" spans="1:4" x14ac:dyDescent="0.25">
      <c r="A471" s="1" t="s">
        <v>477</v>
      </c>
      <c r="B471" s="1" t="s">
        <v>7</v>
      </c>
      <c r="C471" s="2">
        <v>0.51388888888888884</v>
      </c>
      <c r="D471">
        <v>1</v>
      </c>
    </row>
    <row r="472" spans="1:4" x14ac:dyDescent="0.25">
      <c r="A472" s="1" t="s">
        <v>478</v>
      </c>
      <c r="B472" s="1" t="s">
        <v>5</v>
      </c>
      <c r="C472" s="2">
        <v>0.51446759259259256</v>
      </c>
      <c r="D472">
        <v>2</v>
      </c>
    </row>
    <row r="473" spans="1:4" x14ac:dyDescent="0.25">
      <c r="A473" s="1" t="s">
        <v>479</v>
      </c>
      <c r="B473" s="1" t="s">
        <v>9</v>
      </c>
      <c r="C473" s="2">
        <v>0.51475694444444442</v>
      </c>
      <c r="D473">
        <v>1</v>
      </c>
    </row>
    <row r="474" spans="1:4" x14ac:dyDescent="0.25">
      <c r="A474" s="1" t="s">
        <v>480</v>
      </c>
      <c r="B474" s="1" t="s">
        <v>7</v>
      </c>
      <c r="C474" s="2">
        <v>0.51504629629629628</v>
      </c>
      <c r="D474">
        <v>1</v>
      </c>
    </row>
    <row r="475" spans="1:4" x14ac:dyDescent="0.25">
      <c r="A475" s="1" t="s">
        <v>481</v>
      </c>
      <c r="B475" s="1" t="s">
        <v>9</v>
      </c>
      <c r="C475" s="2">
        <v>0.515625</v>
      </c>
      <c r="D475">
        <v>2</v>
      </c>
    </row>
    <row r="476" spans="1:4" x14ac:dyDescent="0.25">
      <c r="A476" s="1" t="s">
        <v>482</v>
      </c>
      <c r="B476" s="1" t="s">
        <v>7</v>
      </c>
      <c r="C476" s="2">
        <v>0.51591435185185186</v>
      </c>
      <c r="D476">
        <v>1</v>
      </c>
    </row>
    <row r="477" spans="1:4" x14ac:dyDescent="0.25">
      <c r="A477" s="1" t="s">
        <v>483</v>
      </c>
      <c r="B477" s="1" t="s">
        <v>7</v>
      </c>
      <c r="C477" s="2">
        <v>0.51620370370370372</v>
      </c>
      <c r="D477">
        <v>1</v>
      </c>
    </row>
    <row r="478" spans="1:4" x14ac:dyDescent="0.25">
      <c r="A478" s="1" t="s">
        <v>484</v>
      </c>
      <c r="B478" s="1" t="s">
        <v>7</v>
      </c>
      <c r="C478" s="2">
        <v>0.51649305555555558</v>
      </c>
      <c r="D478">
        <v>1</v>
      </c>
    </row>
    <row r="479" spans="1:4" x14ac:dyDescent="0.25">
      <c r="A479" s="1" t="s">
        <v>485</v>
      </c>
      <c r="B479" s="1" t="s">
        <v>5</v>
      </c>
      <c r="C479" s="2">
        <v>0.51678240740740744</v>
      </c>
      <c r="D479">
        <v>1</v>
      </c>
    </row>
    <row r="480" spans="1:4" x14ac:dyDescent="0.25">
      <c r="A480" s="1" t="s">
        <v>486</v>
      </c>
      <c r="B480" s="1" t="s">
        <v>7</v>
      </c>
      <c r="C480" s="2">
        <v>0.5170717592592593</v>
      </c>
      <c r="D480">
        <v>1</v>
      </c>
    </row>
    <row r="481" spans="1:4" x14ac:dyDescent="0.25">
      <c r="A481" s="1" t="s">
        <v>487</v>
      </c>
      <c r="B481" s="1" t="s">
        <v>7</v>
      </c>
      <c r="C481" s="2">
        <v>0.51736111111111116</v>
      </c>
      <c r="D481">
        <v>1</v>
      </c>
    </row>
    <row r="482" spans="1:4" x14ac:dyDescent="0.25">
      <c r="A482" s="1" t="s">
        <v>488</v>
      </c>
      <c r="B482" s="1" t="s">
        <v>7</v>
      </c>
      <c r="C482" s="2">
        <v>0.51765046296296291</v>
      </c>
      <c r="D482">
        <v>1</v>
      </c>
    </row>
    <row r="483" spans="1:4" x14ac:dyDescent="0.25">
      <c r="A483" s="1" t="s">
        <v>489</v>
      </c>
      <c r="B483" s="1" t="s">
        <v>7</v>
      </c>
      <c r="C483" s="2">
        <v>0.51793981481481477</v>
      </c>
      <c r="D483">
        <v>1</v>
      </c>
    </row>
    <row r="484" spans="1:4" x14ac:dyDescent="0.25">
      <c r="A484" s="1" t="s">
        <v>490</v>
      </c>
      <c r="B484" s="1" t="s">
        <v>7</v>
      </c>
      <c r="C484" s="2">
        <v>0.51822916666666663</v>
      </c>
      <c r="D484">
        <v>1</v>
      </c>
    </row>
    <row r="485" spans="1:4" x14ac:dyDescent="0.25">
      <c r="A485" s="1" t="s">
        <v>491</v>
      </c>
      <c r="B485" s="1" t="s">
        <v>9</v>
      </c>
      <c r="C485" s="2">
        <v>0.51880787037037035</v>
      </c>
      <c r="D485">
        <v>2</v>
      </c>
    </row>
    <row r="486" spans="1:4" x14ac:dyDescent="0.25">
      <c r="A486" s="1" t="s">
        <v>492</v>
      </c>
      <c r="B486" s="1" t="s">
        <v>9</v>
      </c>
      <c r="C486" s="2">
        <v>0.51938657407407407</v>
      </c>
      <c r="D486">
        <v>2</v>
      </c>
    </row>
    <row r="487" spans="1:4" x14ac:dyDescent="0.25">
      <c r="A487" s="1" t="s">
        <v>493</v>
      </c>
      <c r="B487" s="1" t="s">
        <v>9</v>
      </c>
      <c r="C487" s="2">
        <v>0.51996527777777779</v>
      </c>
      <c r="D487">
        <v>2</v>
      </c>
    </row>
    <row r="488" spans="1:4" x14ac:dyDescent="0.25">
      <c r="A488" s="1" t="s">
        <v>494</v>
      </c>
      <c r="B488" s="1" t="s">
        <v>9</v>
      </c>
      <c r="C488" s="2">
        <v>0.52025462962962965</v>
      </c>
      <c r="D488">
        <v>1</v>
      </c>
    </row>
    <row r="489" spans="1:4" x14ac:dyDescent="0.25">
      <c r="A489" s="1" t="s">
        <v>495</v>
      </c>
      <c r="B489" s="1" t="s">
        <v>5</v>
      </c>
      <c r="C489" s="2">
        <v>0.52054398148148151</v>
      </c>
      <c r="D489">
        <v>1</v>
      </c>
    </row>
    <row r="490" spans="1:4" x14ac:dyDescent="0.25">
      <c r="A490" s="1" t="s">
        <v>496</v>
      </c>
      <c r="B490" s="1" t="s">
        <v>9</v>
      </c>
      <c r="C490" s="2">
        <v>0.52083333333333337</v>
      </c>
      <c r="D490">
        <v>1</v>
      </c>
    </row>
    <row r="491" spans="1:4" x14ac:dyDescent="0.25">
      <c r="A491" s="1" t="s">
        <v>497</v>
      </c>
      <c r="B491" s="1" t="s">
        <v>9</v>
      </c>
      <c r="C491" s="2">
        <v>0.52141203703703709</v>
      </c>
      <c r="D491">
        <v>2</v>
      </c>
    </row>
    <row r="492" spans="1:4" x14ac:dyDescent="0.25">
      <c r="A492" s="1" t="s">
        <v>498</v>
      </c>
      <c r="B492" s="1" t="s">
        <v>9</v>
      </c>
      <c r="C492" s="2">
        <v>0.52170138888888884</v>
      </c>
      <c r="D492">
        <v>1</v>
      </c>
    </row>
    <row r="493" spans="1:4" x14ac:dyDescent="0.25">
      <c r="A493" s="1" t="s">
        <v>499</v>
      </c>
      <c r="B493" s="1" t="s">
        <v>5</v>
      </c>
      <c r="C493" s="2">
        <v>0.5219907407407407</v>
      </c>
      <c r="D493">
        <v>1</v>
      </c>
    </row>
    <row r="494" spans="1:4" x14ac:dyDescent="0.25">
      <c r="A494" s="1" t="s">
        <v>500</v>
      </c>
      <c r="B494" s="1" t="s">
        <v>5</v>
      </c>
      <c r="C494" s="2">
        <v>0.52256944444444442</v>
      </c>
      <c r="D494">
        <v>2</v>
      </c>
    </row>
    <row r="495" spans="1:4" x14ac:dyDescent="0.25">
      <c r="A495" s="1" t="s">
        <v>501</v>
      </c>
      <c r="B495" s="1" t="s">
        <v>7</v>
      </c>
      <c r="C495" s="2">
        <v>0.52285879629629628</v>
      </c>
      <c r="D495">
        <v>1</v>
      </c>
    </row>
    <row r="496" spans="1:4" x14ac:dyDescent="0.25">
      <c r="A496" s="1" t="s">
        <v>502</v>
      </c>
      <c r="B496" s="1" t="s">
        <v>9</v>
      </c>
      <c r="C496" s="2">
        <v>0.5234375</v>
      </c>
      <c r="D496">
        <v>2</v>
      </c>
    </row>
    <row r="497" spans="1:4" x14ac:dyDescent="0.25">
      <c r="A497" s="1" t="s">
        <v>503</v>
      </c>
      <c r="B497" s="1" t="s">
        <v>7</v>
      </c>
      <c r="C497" s="2">
        <v>0.52372685185185186</v>
      </c>
      <c r="D497">
        <v>1</v>
      </c>
    </row>
    <row r="498" spans="1:4" x14ac:dyDescent="0.25">
      <c r="A498" s="1" t="s">
        <v>504</v>
      </c>
      <c r="B498" s="1" t="s">
        <v>9</v>
      </c>
      <c r="C498" s="2">
        <v>0.52401620370370372</v>
      </c>
      <c r="D498">
        <v>1</v>
      </c>
    </row>
    <row r="499" spans="1:4" x14ac:dyDescent="0.25">
      <c r="A499" s="1" t="s">
        <v>505</v>
      </c>
      <c r="B499" s="1" t="s">
        <v>9</v>
      </c>
      <c r="C499" s="2">
        <v>0.52459490740740744</v>
      </c>
      <c r="D499">
        <v>2</v>
      </c>
    </row>
    <row r="500" spans="1:4" x14ac:dyDescent="0.25">
      <c r="A500" s="1" t="s">
        <v>506</v>
      </c>
      <c r="B500" s="1" t="s">
        <v>7</v>
      </c>
      <c r="C500" s="2">
        <v>0.5248842592592593</v>
      </c>
      <c r="D500">
        <v>1</v>
      </c>
    </row>
    <row r="501" spans="1:4" x14ac:dyDescent="0.25">
      <c r="A501" s="1" t="s">
        <v>507</v>
      </c>
      <c r="B501" s="1" t="s">
        <v>7</v>
      </c>
      <c r="C501" s="2">
        <v>0.52517361111111116</v>
      </c>
      <c r="D501">
        <v>1</v>
      </c>
    </row>
    <row r="502" spans="1:4" x14ac:dyDescent="0.25">
      <c r="A502" s="1" t="s">
        <v>508</v>
      </c>
      <c r="B502" s="1" t="s">
        <v>27</v>
      </c>
      <c r="C502" s="2">
        <v>0.52575231481481477</v>
      </c>
      <c r="D502">
        <v>2</v>
      </c>
    </row>
    <row r="503" spans="1:4" x14ac:dyDescent="0.25">
      <c r="A503" s="1" t="s">
        <v>509</v>
      </c>
      <c r="B503" s="1" t="s">
        <v>27</v>
      </c>
      <c r="C503" s="2">
        <v>0.52604166666666663</v>
      </c>
      <c r="D503">
        <v>1</v>
      </c>
    </row>
    <row r="504" spans="1:4" x14ac:dyDescent="0.25">
      <c r="A504" s="1" t="s">
        <v>510</v>
      </c>
      <c r="B504" s="1" t="s">
        <v>27</v>
      </c>
      <c r="C504" s="2">
        <v>0.52633101851851849</v>
      </c>
      <c r="D504">
        <v>1</v>
      </c>
    </row>
    <row r="505" spans="1:4" x14ac:dyDescent="0.25">
      <c r="A505" s="1" t="s">
        <v>511</v>
      </c>
      <c r="B505" s="1" t="s">
        <v>7</v>
      </c>
      <c r="C505" s="2">
        <v>0.52662037037037035</v>
      </c>
      <c r="D505">
        <v>1</v>
      </c>
    </row>
    <row r="506" spans="1:4" x14ac:dyDescent="0.25">
      <c r="A506" s="1" t="s">
        <v>512</v>
      </c>
      <c r="B506" s="1" t="s">
        <v>9</v>
      </c>
      <c r="C506" s="2">
        <v>0.52690972222222221</v>
      </c>
      <c r="D506">
        <v>1</v>
      </c>
    </row>
    <row r="507" spans="1:4" x14ac:dyDescent="0.25">
      <c r="A507" s="1" t="s">
        <v>513</v>
      </c>
      <c r="B507" s="1" t="s">
        <v>5</v>
      </c>
      <c r="C507" s="2">
        <v>0.52748842592592593</v>
      </c>
      <c r="D507">
        <v>2</v>
      </c>
    </row>
    <row r="508" spans="1:4" x14ac:dyDescent="0.25">
      <c r="A508" s="1" t="s">
        <v>514</v>
      </c>
      <c r="B508" s="1" t="s">
        <v>7</v>
      </c>
      <c r="C508" s="2">
        <v>0.52777777777777779</v>
      </c>
      <c r="D508">
        <v>1</v>
      </c>
    </row>
    <row r="509" spans="1:4" x14ac:dyDescent="0.25">
      <c r="A509" s="1" t="s">
        <v>515</v>
      </c>
      <c r="B509" s="1" t="s">
        <v>5</v>
      </c>
      <c r="C509" s="2">
        <v>0.52835648148148151</v>
      </c>
      <c r="D509">
        <v>2</v>
      </c>
    </row>
    <row r="510" spans="1:4" x14ac:dyDescent="0.25">
      <c r="A510" s="1" t="s">
        <v>516</v>
      </c>
      <c r="B510" s="1" t="s">
        <v>9</v>
      </c>
      <c r="C510" s="2">
        <v>0.52864583333333337</v>
      </c>
      <c r="D510">
        <v>1</v>
      </c>
    </row>
    <row r="511" spans="1:4" x14ac:dyDescent="0.25">
      <c r="A511" s="1" t="s">
        <v>517</v>
      </c>
      <c r="B511" s="1" t="s">
        <v>9</v>
      </c>
      <c r="C511" s="2">
        <v>0.52922453703703709</v>
      </c>
      <c r="D511">
        <v>2</v>
      </c>
    </row>
    <row r="512" spans="1:4" x14ac:dyDescent="0.25">
      <c r="A512" s="1" t="s">
        <v>518</v>
      </c>
      <c r="B512" s="1" t="s">
        <v>27</v>
      </c>
      <c r="C512" s="2">
        <v>0.5298032407407407</v>
      </c>
      <c r="D512">
        <v>2</v>
      </c>
    </row>
    <row r="513" spans="1:4" x14ac:dyDescent="0.25">
      <c r="A513" s="1" t="s">
        <v>519</v>
      </c>
      <c r="B513" s="1" t="s">
        <v>7</v>
      </c>
      <c r="C513" s="2">
        <v>0.53009259259259256</v>
      </c>
      <c r="D513">
        <v>1</v>
      </c>
    </row>
    <row r="514" spans="1:4" x14ac:dyDescent="0.25">
      <c r="A514" s="1" t="s">
        <v>520</v>
      </c>
      <c r="B514" s="1" t="s">
        <v>9</v>
      </c>
      <c r="C514" s="2">
        <v>0.53038194444444442</v>
      </c>
      <c r="D514">
        <v>1</v>
      </c>
    </row>
    <row r="515" spans="1:4" x14ac:dyDescent="0.25">
      <c r="A515" s="1" t="s">
        <v>521</v>
      </c>
      <c r="B515" s="1" t="s">
        <v>7</v>
      </c>
      <c r="C515" s="2">
        <v>0.53067129629629628</v>
      </c>
      <c r="D515">
        <v>1</v>
      </c>
    </row>
    <row r="516" spans="1:4" x14ac:dyDescent="0.25">
      <c r="A516" s="1" t="s">
        <v>522</v>
      </c>
      <c r="B516" s="1" t="s">
        <v>5</v>
      </c>
      <c r="C516" s="2">
        <v>0.53125</v>
      </c>
      <c r="D516">
        <v>2</v>
      </c>
    </row>
    <row r="517" spans="1:4" x14ac:dyDescent="0.25">
      <c r="A517" s="1" t="s">
        <v>523</v>
      </c>
      <c r="B517" s="1" t="s">
        <v>5</v>
      </c>
      <c r="C517" s="2">
        <v>0.53182870370370372</v>
      </c>
      <c r="D517">
        <v>2</v>
      </c>
    </row>
    <row r="518" spans="1:4" x14ac:dyDescent="0.25">
      <c r="A518" s="1" t="s">
        <v>524</v>
      </c>
      <c r="B518" s="1" t="s">
        <v>9</v>
      </c>
      <c r="C518" s="2">
        <v>0.53240740740740744</v>
      </c>
      <c r="D518">
        <v>2</v>
      </c>
    </row>
    <row r="519" spans="1:4" x14ac:dyDescent="0.25">
      <c r="A519" s="1" t="s">
        <v>525</v>
      </c>
      <c r="B519" s="1" t="s">
        <v>9</v>
      </c>
      <c r="C519" s="2">
        <v>0.5326967592592593</v>
      </c>
      <c r="D519">
        <v>1</v>
      </c>
    </row>
    <row r="520" spans="1:4" x14ac:dyDescent="0.25">
      <c r="A520" s="1" t="s">
        <v>526</v>
      </c>
      <c r="B520" s="1" t="s">
        <v>9</v>
      </c>
      <c r="C520" s="2">
        <v>0.53327546296296291</v>
      </c>
      <c r="D520">
        <v>2</v>
      </c>
    </row>
    <row r="521" spans="1:4" x14ac:dyDescent="0.25">
      <c r="A521" s="1" t="s">
        <v>527</v>
      </c>
      <c r="B521" s="1" t="s">
        <v>7</v>
      </c>
      <c r="C521" s="2">
        <v>0.53356481481481477</v>
      </c>
      <c r="D521">
        <v>1</v>
      </c>
    </row>
    <row r="522" spans="1:4" x14ac:dyDescent="0.25">
      <c r="A522" s="1" t="s">
        <v>528</v>
      </c>
      <c r="B522" s="1" t="s">
        <v>9</v>
      </c>
      <c r="C522" s="2">
        <v>0.53385416666666663</v>
      </c>
      <c r="D522">
        <v>1</v>
      </c>
    </row>
    <row r="523" spans="1:4" x14ac:dyDescent="0.25">
      <c r="A523" s="1" t="s">
        <v>529</v>
      </c>
      <c r="B523" s="1" t="s">
        <v>27</v>
      </c>
      <c r="C523" s="2">
        <v>0.53443287037037035</v>
      </c>
      <c r="D523">
        <v>2</v>
      </c>
    </row>
    <row r="524" spans="1:4" x14ac:dyDescent="0.25">
      <c r="A524" s="1" t="s">
        <v>530</v>
      </c>
      <c r="B524" s="1" t="s">
        <v>7</v>
      </c>
      <c r="C524" s="2">
        <v>0.53472222222222221</v>
      </c>
      <c r="D524">
        <v>1</v>
      </c>
    </row>
    <row r="525" spans="1:4" x14ac:dyDescent="0.25">
      <c r="A525" s="1" t="s">
        <v>531</v>
      </c>
      <c r="B525" s="1" t="s">
        <v>7</v>
      </c>
      <c r="C525" s="2">
        <v>0.53501157407407407</v>
      </c>
      <c r="D525">
        <v>1</v>
      </c>
    </row>
    <row r="526" spans="1:4" x14ac:dyDescent="0.25">
      <c r="A526" s="1" t="s">
        <v>532</v>
      </c>
      <c r="B526" s="1" t="s">
        <v>9</v>
      </c>
      <c r="C526" s="2">
        <v>0.53530092592592593</v>
      </c>
      <c r="D526">
        <v>1</v>
      </c>
    </row>
    <row r="527" spans="1:4" x14ac:dyDescent="0.25">
      <c r="A527" s="1" t="s">
        <v>533</v>
      </c>
      <c r="B527" s="1" t="s">
        <v>7</v>
      </c>
      <c r="C527" s="2">
        <v>0.53559027777777779</v>
      </c>
      <c r="D527">
        <v>1</v>
      </c>
    </row>
    <row r="528" spans="1:4" x14ac:dyDescent="0.25">
      <c r="A528" s="1" t="s">
        <v>534</v>
      </c>
      <c r="B528" s="1" t="s">
        <v>5</v>
      </c>
      <c r="C528" s="2">
        <v>0.53587962962962965</v>
      </c>
      <c r="D528">
        <v>1</v>
      </c>
    </row>
    <row r="529" spans="1:4" x14ac:dyDescent="0.25">
      <c r="A529" s="1" t="s">
        <v>535</v>
      </c>
      <c r="B529" s="1" t="s">
        <v>7</v>
      </c>
      <c r="C529" s="2">
        <v>0.53616898148148151</v>
      </c>
      <c r="D529">
        <v>1</v>
      </c>
    </row>
    <row r="530" spans="1:4" x14ac:dyDescent="0.25">
      <c r="A530" s="1" t="s">
        <v>536</v>
      </c>
      <c r="B530" s="1" t="s">
        <v>9</v>
      </c>
      <c r="C530" s="2">
        <v>0.53674768518518523</v>
      </c>
      <c r="D530">
        <v>2</v>
      </c>
    </row>
    <row r="531" spans="1:4" x14ac:dyDescent="0.25">
      <c r="A531" s="1" t="s">
        <v>537</v>
      </c>
      <c r="B531" s="1" t="s">
        <v>27</v>
      </c>
      <c r="C531" s="2">
        <v>0.53703703703703709</v>
      </c>
      <c r="D531">
        <v>1</v>
      </c>
    </row>
    <row r="532" spans="1:4" x14ac:dyDescent="0.25">
      <c r="A532" s="1" t="s">
        <v>538</v>
      </c>
      <c r="B532" s="1" t="s">
        <v>27</v>
      </c>
      <c r="C532" s="2">
        <v>0.53732638888888884</v>
      </c>
      <c r="D532">
        <v>1</v>
      </c>
    </row>
    <row r="533" spans="1:4" x14ac:dyDescent="0.25">
      <c r="A533" s="1" t="s">
        <v>539</v>
      </c>
      <c r="B533" s="1" t="s">
        <v>7</v>
      </c>
      <c r="C533" s="2">
        <v>0.5376157407407407</v>
      </c>
      <c r="D533">
        <v>1</v>
      </c>
    </row>
    <row r="534" spans="1:4" x14ac:dyDescent="0.25">
      <c r="A534" s="1" t="s">
        <v>540</v>
      </c>
      <c r="B534" s="1" t="s">
        <v>9</v>
      </c>
      <c r="C534" s="2">
        <v>0.53790509259259256</v>
      </c>
      <c r="D534">
        <v>1</v>
      </c>
    </row>
    <row r="535" spans="1:4" x14ac:dyDescent="0.25">
      <c r="A535" s="1" t="s">
        <v>541</v>
      </c>
      <c r="B535" s="1" t="s">
        <v>9</v>
      </c>
      <c r="C535" s="2">
        <v>0.53848379629629628</v>
      </c>
      <c r="D535">
        <v>2</v>
      </c>
    </row>
    <row r="536" spans="1:4" x14ac:dyDescent="0.25">
      <c r="A536" s="1" t="s">
        <v>542</v>
      </c>
      <c r="B536" s="1" t="s">
        <v>7</v>
      </c>
      <c r="C536" s="2">
        <v>0.53877314814814814</v>
      </c>
      <c r="D536">
        <v>1</v>
      </c>
    </row>
    <row r="537" spans="1:4" x14ac:dyDescent="0.25">
      <c r="A537" s="1" t="s">
        <v>543</v>
      </c>
      <c r="B537" s="1" t="s">
        <v>9</v>
      </c>
      <c r="C537" s="2">
        <v>0.53935185185185186</v>
      </c>
      <c r="D537">
        <v>2</v>
      </c>
    </row>
    <row r="538" spans="1:4" x14ac:dyDescent="0.25">
      <c r="A538" s="1" t="s">
        <v>544</v>
      </c>
      <c r="B538" s="1" t="s">
        <v>7</v>
      </c>
      <c r="C538" s="2">
        <v>0.53964120370370372</v>
      </c>
      <c r="D538">
        <v>1</v>
      </c>
    </row>
    <row r="539" spans="1:4" x14ac:dyDescent="0.25">
      <c r="A539" s="1" t="s">
        <v>545</v>
      </c>
      <c r="B539" s="1" t="s">
        <v>5</v>
      </c>
      <c r="C539" s="2">
        <v>0.54021990740740744</v>
      </c>
      <c r="D539">
        <v>2</v>
      </c>
    </row>
    <row r="540" spans="1:4" x14ac:dyDescent="0.25">
      <c r="A540" s="1" t="s">
        <v>546</v>
      </c>
      <c r="B540" s="1" t="s">
        <v>9</v>
      </c>
      <c r="C540" s="2">
        <v>0.5405092592592593</v>
      </c>
      <c r="D540">
        <v>1</v>
      </c>
    </row>
    <row r="541" spans="1:4" x14ac:dyDescent="0.25">
      <c r="A541" s="1" t="s">
        <v>547</v>
      </c>
      <c r="B541" s="1" t="s">
        <v>7</v>
      </c>
      <c r="C541" s="2">
        <v>0.54079861111111116</v>
      </c>
      <c r="D541">
        <v>1</v>
      </c>
    </row>
    <row r="542" spans="1:4" x14ac:dyDescent="0.25">
      <c r="A542" s="1" t="s">
        <v>548</v>
      </c>
      <c r="B542" s="1" t="s">
        <v>5</v>
      </c>
      <c r="C542" s="2">
        <v>0.54108796296296291</v>
      </c>
      <c r="D542">
        <v>1</v>
      </c>
    </row>
    <row r="543" spans="1:4" x14ac:dyDescent="0.25">
      <c r="A543" s="1" t="s">
        <v>549</v>
      </c>
      <c r="B543" s="1" t="s">
        <v>7</v>
      </c>
      <c r="C543" s="2">
        <v>0.54137731481481477</v>
      </c>
      <c r="D543">
        <v>1</v>
      </c>
    </row>
    <row r="544" spans="1:4" x14ac:dyDescent="0.25">
      <c r="A544" s="1" t="s">
        <v>550</v>
      </c>
      <c r="B544" s="1" t="s">
        <v>9</v>
      </c>
      <c r="C544" s="2">
        <v>0.54166666666666663</v>
      </c>
      <c r="D544">
        <v>1</v>
      </c>
    </row>
    <row r="545" spans="1:4" x14ac:dyDescent="0.25">
      <c r="A545" s="1" t="s">
        <v>551</v>
      </c>
      <c r="B545" s="1" t="s">
        <v>27</v>
      </c>
      <c r="C545" s="2">
        <v>0.54224537037037035</v>
      </c>
      <c r="D545">
        <v>2</v>
      </c>
    </row>
    <row r="546" spans="1:4" x14ac:dyDescent="0.25">
      <c r="A546" s="1" t="s">
        <v>552</v>
      </c>
      <c r="B546" s="1" t="s">
        <v>7</v>
      </c>
      <c r="C546" s="2">
        <v>0.54253472222222221</v>
      </c>
      <c r="D546">
        <v>1</v>
      </c>
    </row>
    <row r="547" spans="1:4" x14ac:dyDescent="0.25">
      <c r="A547" s="1" t="s">
        <v>553</v>
      </c>
      <c r="B547" s="1" t="s">
        <v>7</v>
      </c>
      <c r="C547" s="2">
        <v>0.54282407407407407</v>
      </c>
      <c r="D547">
        <v>1</v>
      </c>
    </row>
    <row r="548" spans="1:4" x14ac:dyDescent="0.25">
      <c r="A548" s="1" t="s">
        <v>554</v>
      </c>
      <c r="B548" s="1" t="s">
        <v>5</v>
      </c>
      <c r="C548" s="2">
        <v>0.54340277777777779</v>
      </c>
      <c r="D548">
        <v>2</v>
      </c>
    </row>
    <row r="549" spans="1:4" x14ac:dyDescent="0.25">
      <c r="A549" s="1" t="s">
        <v>555</v>
      </c>
      <c r="B549" s="1" t="s">
        <v>9</v>
      </c>
      <c r="C549" s="2">
        <v>0.54398148148148151</v>
      </c>
      <c r="D549">
        <v>2</v>
      </c>
    </row>
    <row r="550" spans="1:4" x14ac:dyDescent="0.25">
      <c r="A550" s="1" t="s">
        <v>556</v>
      </c>
      <c r="B550" s="1" t="s">
        <v>9</v>
      </c>
      <c r="C550" s="2">
        <v>0.54427083333333337</v>
      </c>
      <c r="D550">
        <v>1</v>
      </c>
    </row>
    <row r="551" spans="1:4" x14ac:dyDescent="0.25">
      <c r="A551" s="1" t="s">
        <v>557</v>
      </c>
      <c r="B551" s="1" t="s">
        <v>7</v>
      </c>
      <c r="C551" s="2">
        <v>0.54456018518518523</v>
      </c>
      <c r="D551">
        <v>1</v>
      </c>
    </row>
    <row r="552" spans="1:4" x14ac:dyDescent="0.25">
      <c r="A552" s="1" t="s">
        <v>558</v>
      </c>
      <c r="B552" s="1" t="s">
        <v>9</v>
      </c>
      <c r="C552" s="2">
        <v>0.54513888888888884</v>
      </c>
      <c r="D552">
        <v>2</v>
      </c>
    </row>
    <row r="553" spans="1:4" x14ac:dyDescent="0.25">
      <c r="A553" s="1" t="s">
        <v>559</v>
      </c>
      <c r="B553" s="1" t="s">
        <v>5</v>
      </c>
      <c r="C553" s="2">
        <v>0.5454282407407407</v>
      </c>
      <c r="D553">
        <v>1</v>
      </c>
    </row>
    <row r="554" spans="1:4" x14ac:dyDescent="0.25">
      <c r="A554" s="1" t="s">
        <v>560</v>
      </c>
      <c r="B554" s="1" t="s">
        <v>5</v>
      </c>
      <c r="C554" s="2">
        <v>0.54600694444444442</v>
      </c>
      <c r="D554">
        <v>2</v>
      </c>
    </row>
    <row r="555" spans="1:4" x14ac:dyDescent="0.25">
      <c r="A555" s="1" t="s">
        <v>561</v>
      </c>
      <c r="B555" s="1" t="s">
        <v>27</v>
      </c>
      <c r="C555" s="2">
        <v>0.54658564814814814</v>
      </c>
      <c r="D555">
        <v>2</v>
      </c>
    </row>
    <row r="556" spans="1:4" x14ac:dyDescent="0.25">
      <c r="A556" s="1" t="s">
        <v>562</v>
      </c>
      <c r="B556" s="1" t="s">
        <v>7</v>
      </c>
      <c r="C556" s="2">
        <v>0.546875</v>
      </c>
      <c r="D556">
        <v>1</v>
      </c>
    </row>
    <row r="557" spans="1:4" x14ac:dyDescent="0.25">
      <c r="A557" s="1" t="s">
        <v>563</v>
      </c>
      <c r="B557" s="1" t="s">
        <v>7</v>
      </c>
      <c r="C557" s="2">
        <v>0.54716435185185186</v>
      </c>
      <c r="D557">
        <v>1</v>
      </c>
    </row>
    <row r="558" spans="1:4" x14ac:dyDescent="0.25">
      <c r="A558" s="1" t="s">
        <v>564</v>
      </c>
      <c r="B558" s="1" t="s">
        <v>27</v>
      </c>
      <c r="C558" s="2">
        <v>0.54774305555555558</v>
      </c>
      <c r="D558">
        <v>2</v>
      </c>
    </row>
    <row r="559" spans="1:4" x14ac:dyDescent="0.25">
      <c r="A559" s="1" t="s">
        <v>565</v>
      </c>
      <c r="B559" s="1" t="s">
        <v>7</v>
      </c>
      <c r="C559" s="2">
        <v>0.54803240740740744</v>
      </c>
      <c r="D559">
        <v>1</v>
      </c>
    </row>
    <row r="560" spans="1:4" x14ac:dyDescent="0.25">
      <c r="A560" s="1" t="s">
        <v>566</v>
      </c>
      <c r="B560" s="1" t="s">
        <v>5</v>
      </c>
      <c r="C560" s="2">
        <v>0.5483217592592593</v>
      </c>
      <c r="D560">
        <v>1</v>
      </c>
    </row>
    <row r="561" spans="1:4" x14ac:dyDescent="0.25">
      <c r="A561" s="1" t="s">
        <v>567</v>
      </c>
      <c r="B561" s="1" t="s">
        <v>9</v>
      </c>
      <c r="C561" s="2">
        <v>0.54890046296296291</v>
      </c>
      <c r="D561">
        <v>2</v>
      </c>
    </row>
    <row r="562" spans="1:4" x14ac:dyDescent="0.25">
      <c r="A562" s="1" t="s">
        <v>568</v>
      </c>
      <c r="B562" s="1" t="s">
        <v>7</v>
      </c>
      <c r="C562" s="2">
        <v>0.54918981481481477</v>
      </c>
      <c r="D562">
        <v>1</v>
      </c>
    </row>
    <row r="563" spans="1:4" x14ac:dyDescent="0.25">
      <c r="A563" s="1" t="s">
        <v>569</v>
      </c>
      <c r="B563" s="1" t="s">
        <v>9</v>
      </c>
      <c r="C563" s="2">
        <v>0.54976851851851849</v>
      </c>
      <c r="D563">
        <v>2</v>
      </c>
    </row>
    <row r="564" spans="1:4" x14ac:dyDescent="0.25">
      <c r="A564" s="1" t="s">
        <v>570</v>
      </c>
      <c r="B564" s="1" t="s">
        <v>5</v>
      </c>
      <c r="C564" s="2">
        <v>0.55005787037037035</v>
      </c>
      <c r="D564">
        <v>1</v>
      </c>
    </row>
    <row r="565" spans="1:4" x14ac:dyDescent="0.25">
      <c r="A565" s="1" t="s">
        <v>571</v>
      </c>
      <c r="B565" s="1" t="s">
        <v>7</v>
      </c>
      <c r="C565" s="2">
        <v>0.55034722222222221</v>
      </c>
      <c r="D565">
        <v>1</v>
      </c>
    </row>
    <row r="566" spans="1:4" x14ac:dyDescent="0.25">
      <c r="A566" s="1" t="s">
        <v>572</v>
      </c>
      <c r="B566" s="1" t="s">
        <v>9</v>
      </c>
      <c r="C566" s="2">
        <v>0.55092592592592593</v>
      </c>
      <c r="D566">
        <v>2</v>
      </c>
    </row>
    <row r="567" spans="1:4" x14ac:dyDescent="0.25">
      <c r="A567" s="1" t="s">
        <v>573</v>
      </c>
      <c r="B567" s="1" t="s">
        <v>9</v>
      </c>
      <c r="C567" s="2">
        <v>0.55121527777777779</v>
      </c>
      <c r="D567">
        <v>1</v>
      </c>
    </row>
    <row r="568" spans="1:4" x14ac:dyDescent="0.25">
      <c r="A568" s="1" t="s">
        <v>574</v>
      </c>
      <c r="B568" s="1" t="s">
        <v>9</v>
      </c>
      <c r="C568" s="2">
        <v>0.55179398148148151</v>
      </c>
      <c r="D568">
        <v>2</v>
      </c>
    </row>
    <row r="569" spans="1:4" x14ac:dyDescent="0.25">
      <c r="A569" s="1" t="s">
        <v>575</v>
      </c>
      <c r="B569" s="1" t="s">
        <v>9</v>
      </c>
      <c r="C569" s="2">
        <v>0.55208333333333337</v>
      </c>
      <c r="D569">
        <v>1</v>
      </c>
    </row>
    <row r="570" spans="1:4" x14ac:dyDescent="0.25">
      <c r="A570" s="1" t="s">
        <v>576</v>
      </c>
      <c r="B570" s="1" t="s">
        <v>27</v>
      </c>
      <c r="C570" s="2">
        <v>0.55237268518518523</v>
      </c>
      <c r="D570">
        <v>1</v>
      </c>
    </row>
    <row r="571" spans="1:4" x14ac:dyDescent="0.25">
      <c r="A571" s="1" t="s">
        <v>577</v>
      </c>
      <c r="B571" s="1" t="s">
        <v>7</v>
      </c>
      <c r="C571" s="2">
        <v>0.55266203703703709</v>
      </c>
      <c r="D571">
        <v>1</v>
      </c>
    </row>
    <row r="572" spans="1:4" x14ac:dyDescent="0.25">
      <c r="A572" s="1" t="s">
        <v>578</v>
      </c>
      <c r="B572" s="1" t="s">
        <v>7</v>
      </c>
      <c r="C572" s="2">
        <v>0.55295138888888884</v>
      </c>
      <c r="D572">
        <v>1</v>
      </c>
    </row>
    <row r="573" spans="1:4" x14ac:dyDescent="0.25">
      <c r="A573" s="1" t="s">
        <v>579</v>
      </c>
      <c r="B573" s="1" t="s">
        <v>7</v>
      </c>
      <c r="C573" s="2">
        <v>0.5532407407407407</v>
      </c>
      <c r="D573">
        <v>1</v>
      </c>
    </row>
    <row r="574" spans="1:4" x14ac:dyDescent="0.25">
      <c r="A574" s="1" t="s">
        <v>580</v>
      </c>
      <c r="B574" s="1" t="s">
        <v>7</v>
      </c>
      <c r="C574" s="2">
        <v>0.55353009259259256</v>
      </c>
      <c r="D574">
        <v>1</v>
      </c>
    </row>
    <row r="575" spans="1:4" x14ac:dyDescent="0.25">
      <c r="A575" s="1" t="s">
        <v>581</v>
      </c>
      <c r="B575" s="1" t="s">
        <v>27</v>
      </c>
      <c r="C575" s="2">
        <v>0.55410879629629628</v>
      </c>
      <c r="D575">
        <v>2</v>
      </c>
    </row>
    <row r="576" spans="1:4" x14ac:dyDescent="0.25">
      <c r="A576" s="1" t="s">
        <v>582</v>
      </c>
      <c r="B576" s="1" t="s">
        <v>27</v>
      </c>
      <c r="C576" s="2">
        <v>0.55439814814814814</v>
      </c>
      <c r="D576">
        <v>1</v>
      </c>
    </row>
    <row r="577" spans="1:4" x14ac:dyDescent="0.25">
      <c r="A577" s="1" t="s">
        <v>583</v>
      </c>
      <c r="B577" s="1" t="s">
        <v>27</v>
      </c>
      <c r="C577" s="2">
        <v>0.55497685185185186</v>
      </c>
      <c r="D577">
        <v>2</v>
      </c>
    </row>
    <row r="578" spans="1:4" x14ac:dyDescent="0.25">
      <c r="A578" s="1" t="s">
        <v>584</v>
      </c>
      <c r="B578" s="1" t="s">
        <v>7</v>
      </c>
      <c r="C578" s="2">
        <v>0.55526620370370372</v>
      </c>
      <c r="D578">
        <v>1</v>
      </c>
    </row>
    <row r="579" spans="1:4" x14ac:dyDescent="0.25">
      <c r="A579" s="1" t="s">
        <v>585</v>
      </c>
      <c r="B579" s="1" t="s">
        <v>5</v>
      </c>
      <c r="C579" s="2">
        <v>0.55555555555555558</v>
      </c>
      <c r="D579">
        <v>1</v>
      </c>
    </row>
    <row r="580" spans="1:4" x14ac:dyDescent="0.25">
      <c r="A580" s="1" t="s">
        <v>586</v>
      </c>
      <c r="B580" s="1" t="s">
        <v>5</v>
      </c>
      <c r="C580" s="2">
        <v>0.5561342592592593</v>
      </c>
      <c r="D580">
        <v>2</v>
      </c>
    </row>
    <row r="581" spans="1:4" x14ac:dyDescent="0.25">
      <c r="A581" s="1" t="s">
        <v>587</v>
      </c>
      <c r="B581" s="1" t="s">
        <v>27</v>
      </c>
      <c r="C581" s="2">
        <v>0.55642361111111116</v>
      </c>
      <c r="D581">
        <v>1</v>
      </c>
    </row>
    <row r="582" spans="1:4" x14ac:dyDescent="0.25">
      <c r="A582" s="1" t="s">
        <v>588</v>
      </c>
      <c r="B582" s="1" t="s">
        <v>7</v>
      </c>
      <c r="C582" s="2">
        <v>0.55671296296296291</v>
      </c>
      <c r="D582">
        <v>1</v>
      </c>
    </row>
    <row r="583" spans="1:4" x14ac:dyDescent="0.25">
      <c r="A583" s="1" t="s">
        <v>589</v>
      </c>
      <c r="B583" s="1" t="s">
        <v>7</v>
      </c>
      <c r="C583" s="2">
        <v>0.55700231481481477</v>
      </c>
      <c r="D583">
        <v>1</v>
      </c>
    </row>
    <row r="584" spans="1:4" x14ac:dyDescent="0.25">
      <c r="A584" s="1" t="s">
        <v>590</v>
      </c>
      <c r="B584" s="1" t="s">
        <v>5</v>
      </c>
      <c r="C584" s="2">
        <v>0.55729166666666663</v>
      </c>
      <c r="D584">
        <v>1</v>
      </c>
    </row>
    <row r="585" spans="1:4" x14ac:dyDescent="0.25">
      <c r="A585" s="1" t="s">
        <v>591</v>
      </c>
      <c r="B585" s="1" t="s">
        <v>9</v>
      </c>
      <c r="C585" s="2">
        <v>0.55787037037037035</v>
      </c>
      <c r="D585">
        <v>2</v>
      </c>
    </row>
    <row r="586" spans="1:4" x14ac:dyDescent="0.25">
      <c r="A586" s="1" t="s">
        <v>592</v>
      </c>
      <c r="B586" s="1" t="s">
        <v>9</v>
      </c>
      <c r="C586" s="2">
        <v>0.55815972222222221</v>
      </c>
      <c r="D586">
        <v>1</v>
      </c>
    </row>
    <row r="587" spans="1:4" x14ac:dyDescent="0.25">
      <c r="A587" s="1" t="s">
        <v>593</v>
      </c>
      <c r="B587" s="1" t="s">
        <v>27</v>
      </c>
      <c r="C587" s="2">
        <v>0.55873842592592593</v>
      </c>
      <c r="D587">
        <v>2</v>
      </c>
    </row>
    <row r="588" spans="1:4" x14ac:dyDescent="0.25">
      <c r="A588" s="1" t="s">
        <v>594</v>
      </c>
      <c r="B588" s="1" t="s">
        <v>7</v>
      </c>
      <c r="C588" s="2">
        <v>0.55902777777777779</v>
      </c>
      <c r="D588">
        <v>1</v>
      </c>
    </row>
    <row r="589" spans="1:4" x14ac:dyDescent="0.25">
      <c r="A589" s="1" t="s">
        <v>595</v>
      </c>
      <c r="B589" s="1" t="s">
        <v>9</v>
      </c>
      <c r="C589" s="2">
        <v>0.55931712962962965</v>
      </c>
      <c r="D589">
        <v>1</v>
      </c>
    </row>
    <row r="590" spans="1:4" x14ac:dyDescent="0.25">
      <c r="A590" s="1" t="s">
        <v>596</v>
      </c>
      <c r="B590" s="1" t="s">
        <v>5</v>
      </c>
      <c r="C590" s="2">
        <v>0.55960648148148151</v>
      </c>
      <c r="D590">
        <v>1</v>
      </c>
    </row>
    <row r="591" spans="1:4" x14ac:dyDescent="0.25">
      <c r="A591" s="1" t="s">
        <v>597</v>
      </c>
      <c r="B591" s="1" t="s">
        <v>5</v>
      </c>
      <c r="C591" s="2">
        <v>0.56018518518518523</v>
      </c>
      <c r="D591">
        <v>2</v>
      </c>
    </row>
    <row r="592" spans="1:4" x14ac:dyDescent="0.25">
      <c r="A592" s="1" t="s">
        <v>598</v>
      </c>
      <c r="B592" s="1" t="s">
        <v>7</v>
      </c>
      <c r="C592" s="2">
        <v>0.56047453703703709</v>
      </c>
      <c r="D592">
        <v>1</v>
      </c>
    </row>
    <row r="593" spans="1:4" x14ac:dyDescent="0.25">
      <c r="A593" s="1" t="s">
        <v>599</v>
      </c>
      <c r="B593" s="1" t="s">
        <v>5</v>
      </c>
      <c r="C593" s="2">
        <v>0.56076388888888884</v>
      </c>
      <c r="D593">
        <v>1</v>
      </c>
    </row>
    <row r="594" spans="1:4" x14ac:dyDescent="0.25">
      <c r="A594" s="1" t="s">
        <v>600</v>
      </c>
      <c r="B594" s="1" t="s">
        <v>9</v>
      </c>
      <c r="C594" s="2">
        <v>0.56134259259259256</v>
      </c>
      <c r="D594">
        <v>2</v>
      </c>
    </row>
    <row r="595" spans="1:4" x14ac:dyDescent="0.25">
      <c r="A595" s="1" t="s">
        <v>601</v>
      </c>
      <c r="B595" s="1" t="s">
        <v>27</v>
      </c>
      <c r="C595" s="2">
        <v>0.56192129629629628</v>
      </c>
      <c r="D595">
        <v>2</v>
      </c>
    </row>
    <row r="596" spans="1:4" x14ac:dyDescent="0.25">
      <c r="A596" s="1" t="s">
        <v>602</v>
      </c>
      <c r="B596" s="1" t="s">
        <v>7</v>
      </c>
      <c r="C596" s="2">
        <v>0.56221064814814814</v>
      </c>
      <c r="D596">
        <v>1</v>
      </c>
    </row>
    <row r="597" spans="1:4" x14ac:dyDescent="0.25">
      <c r="A597" s="1" t="s">
        <v>603</v>
      </c>
      <c r="B597" s="1" t="s">
        <v>7</v>
      </c>
      <c r="C597" s="2">
        <v>0.5625</v>
      </c>
      <c r="D597">
        <v>1</v>
      </c>
    </row>
    <row r="598" spans="1:4" x14ac:dyDescent="0.25">
      <c r="A598" s="1" t="s">
        <v>604</v>
      </c>
      <c r="B598" s="1" t="s">
        <v>7</v>
      </c>
      <c r="C598" s="2">
        <v>0.56278935185185186</v>
      </c>
      <c r="D598">
        <v>1</v>
      </c>
    </row>
    <row r="599" spans="1:4" x14ac:dyDescent="0.25">
      <c r="A599" s="1" t="s">
        <v>605</v>
      </c>
      <c r="B599" s="1" t="s">
        <v>27</v>
      </c>
      <c r="C599" s="2">
        <v>0.56336805555555558</v>
      </c>
      <c r="D599">
        <v>2</v>
      </c>
    </row>
    <row r="600" spans="1:4" x14ac:dyDescent="0.25">
      <c r="A600" s="1" t="s">
        <v>606</v>
      </c>
      <c r="B600" s="1" t="s">
        <v>7</v>
      </c>
      <c r="C600" s="2">
        <v>0.56365740740740744</v>
      </c>
      <c r="D600">
        <v>1</v>
      </c>
    </row>
    <row r="601" spans="1:4" x14ac:dyDescent="0.25">
      <c r="A601" s="1" t="s">
        <v>607</v>
      </c>
      <c r="B601" s="1" t="s">
        <v>9</v>
      </c>
      <c r="C601" s="2">
        <v>0.56423611111111116</v>
      </c>
      <c r="D601">
        <v>2</v>
      </c>
    </row>
    <row r="602" spans="1:4" x14ac:dyDescent="0.25">
      <c r="A602" s="1" t="s">
        <v>608</v>
      </c>
      <c r="B602" s="1" t="s">
        <v>9</v>
      </c>
      <c r="C602" s="2">
        <v>0.56452546296296291</v>
      </c>
      <c r="D602">
        <v>1</v>
      </c>
    </row>
    <row r="603" spans="1:4" x14ac:dyDescent="0.25">
      <c r="A603" s="1" t="s">
        <v>609</v>
      </c>
      <c r="B603" s="1" t="s">
        <v>7</v>
      </c>
      <c r="C603" s="2">
        <v>0.56481481481481477</v>
      </c>
      <c r="D603">
        <v>1</v>
      </c>
    </row>
    <row r="604" spans="1:4" x14ac:dyDescent="0.25">
      <c r="A604" s="1" t="s">
        <v>610</v>
      </c>
      <c r="B604" s="1" t="s">
        <v>7</v>
      </c>
      <c r="C604" s="2">
        <v>0.56510416666666663</v>
      </c>
      <c r="D604">
        <v>1</v>
      </c>
    </row>
    <row r="605" spans="1:4" x14ac:dyDescent="0.25">
      <c r="A605" s="1" t="s">
        <v>611</v>
      </c>
      <c r="B605" s="1" t="s">
        <v>9</v>
      </c>
      <c r="C605" s="2">
        <v>0.56539351851851849</v>
      </c>
      <c r="D605">
        <v>1</v>
      </c>
    </row>
    <row r="606" spans="1:4" x14ac:dyDescent="0.25">
      <c r="A606" s="1" t="s">
        <v>612</v>
      </c>
      <c r="B606" s="1" t="s">
        <v>7</v>
      </c>
      <c r="C606" s="2">
        <v>0.56568287037037035</v>
      </c>
      <c r="D606">
        <v>1</v>
      </c>
    </row>
    <row r="607" spans="1:4" x14ac:dyDescent="0.25">
      <c r="A607" s="1" t="s">
        <v>613</v>
      </c>
      <c r="B607" s="1" t="s">
        <v>27</v>
      </c>
      <c r="C607" s="2">
        <v>0.56597222222222221</v>
      </c>
      <c r="D607">
        <v>1</v>
      </c>
    </row>
    <row r="608" spans="1:4" x14ac:dyDescent="0.25">
      <c r="A608" s="1" t="s">
        <v>614</v>
      </c>
      <c r="B608" s="1" t="s">
        <v>7</v>
      </c>
      <c r="C608" s="2">
        <v>0.56626157407407407</v>
      </c>
      <c r="D608">
        <v>1</v>
      </c>
    </row>
    <row r="609" spans="1:4" x14ac:dyDescent="0.25">
      <c r="A609" s="1" t="s">
        <v>615</v>
      </c>
      <c r="B609" s="1" t="s">
        <v>9</v>
      </c>
      <c r="C609" s="2">
        <v>0.56684027777777779</v>
      </c>
      <c r="D609">
        <v>2</v>
      </c>
    </row>
    <row r="610" spans="1:4" x14ac:dyDescent="0.25">
      <c r="A610" s="1" t="s">
        <v>616</v>
      </c>
      <c r="B610" s="1" t="s">
        <v>9</v>
      </c>
      <c r="C610" s="2">
        <v>0.56712962962962965</v>
      </c>
      <c r="D610">
        <v>1</v>
      </c>
    </row>
    <row r="611" spans="1:4" x14ac:dyDescent="0.25">
      <c r="A611" s="1" t="s">
        <v>617</v>
      </c>
      <c r="B611" s="1" t="s">
        <v>9</v>
      </c>
      <c r="C611" s="2">
        <v>0.56741898148148151</v>
      </c>
      <c r="D611">
        <v>1</v>
      </c>
    </row>
    <row r="612" spans="1:4" x14ac:dyDescent="0.25">
      <c r="A612" s="1" t="s">
        <v>618</v>
      </c>
      <c r="B612" s="1" t="s">
        <v>5</v>
      </c>
      <c r="C612" s="2">
        <v>0.56770833333333337</v>
      </c>
      <c r="D612">
        <v>1</v>
      </c>
    </row>
    <row r="613" spans="1:4" x14ac:dyDescent="0.25">
      <c r="A613" s="1" t="s">
        <v>619</v>
      </c>
      <c r="B613" s="1" t="s">
        <v>7</v>
      </c>
      <c r="C613" s="2">
        <v>0.56799768518518523</v>
      </c>
      <c r="D613">
        <v>1</v>
      </c>
    </row>
    <row r="614" spans="1:4" x14ac:dyDescent="0.25">
      <c r="A614" s="1" t="s">
        <v>620</v>
      </c>
      <c r="B614" s="1" t="s">
        <v>9</v>
      </c>
      <c r="C614" s="2">
        <v>0.56828703703703709</v>
      </c>
      <c r="D614">
        <v>1</v>
      </c>
    </row>
    <row r="615" spans="1:4" x14ac:dyDescent="0.25">
      <c r="A615" s="1" t="s">
        <v>621</v>
      </c>
      <c r="B615" s="1" t="s">
        <v>7</v>
      </c>
      <c r="C615" s="2">
        <v>0.56857638888888884</v>
      </c>
      <c r="D615">
        <v>1</v>
      </c>
    </row>
    <row r="616" spans="1:4" x14ac:dyDescent="0.25">
      <c r="A616" s="1" t="s">
        <v>622</v>
      </c>
      <c r="B616" s="1" t="s">
        <v>5</v>
      </c>
      <c r="C616" s="2">
        <v>0.56915509259259256</v>
      </c>
      <c r="D616">
        <v>2</v>
      </c>
    </row>
    <row r="617" spans="1:4" x14ac:dyDescent="0.25">
      <c r="A617" s="1" t="s">
        <v>623</v>
      </c>
      <c r="B617" s="1" t="s">
        <v>9</v>
      </c>
      <c r="C617" s="2">
        <v>0.56944444444444442</v>
      </c>
      <c r="D617">
        <v>1</v>
      </c>
    </row>
    <row r="618" spans="1:4" x14ac:dyDescent="0.25">
      <c r="A618" s="1" t="s">
        <v>624</v>
      </c>
      <c r="B618" s="1" t="s">
        <v>7</v>
      </c>
      <c r="C618" s="2">
        <v>0.56973379629629628</v>
      </c>
      <c r="D618">
        <v>1</v>
      </c>
    </row>
    <row r="619" spans="1:4" x14ac:dyDescent="0.25">
      <c r="A619" s="1" t="s">
        <v>625</v>
      </c>
      <c r="B619" s="1" t="s">
        <v>5</v>
      </c>
      <c r="C619" s="2">
        <v>0.5703125</v>
      </c>
      <c r="D619">
        <v>2</v>
      </c>
    </row>
    <row r="620" spans="1:4" x14ac:dyDescent="0.25">
      <c r="A620" s="1" t="s">
        <v>626</v>
      </c>
      <c r="B620" s="1" t="s">
        <v>5</v>
      </c>
      <c r="C620" s="2">
        <v>0.57060185185185186</v>
      </c>
      <c r="D620">
        <v>1</v>
      </c>
    </row>
    <row r="621" spans="1:4" x14ac:dyDescent="0.25">
      <c r="A621" s="1" t="s">
        <v>627</v>
      </c>
      <c r="B621" s="1" t="s">
        <v>7</v>
      </c>
      <c r="C621" s="2">
        <v>0.57089120370370372</v>
      </c>
      <c r="D621">
        <v>1</v>
      </c>
    </row>
    <row r="622" spans="1:4" x14ac:dyDescent="0.25">
      <c r="A622" s="1" t="s">
        <v>628</v>
      </c>
      <c r="B622" s="1" t="s">
        <v>9</v>
      </c>
      <c r="C622" s="2">
        <v>0.57118055555555558</v>
      </c>
      <c r="D622">
        <v>1</v>
      </c>
    </row>
    <row r="623" spans="1:4" x14ac:dyDescent="0.25">
      <c r="A623" s="1" t="s">
        <v>629</v>
      </c>
      <c r="B623" s="1" t="s">
        <v>7</v>
      </c>
      <c r="C623" s="2">
        <v>0.57146990740740744</v>
      </c>
      <c r="D623">
        <v>1</v>
      </c>
    </row>
    <row r="624" spans="1:4" x14ac:dyDescent="0.25">
      <c r="A624" s="1" t="s">
        <v>630</v>
      </c>
      <c r="B624" s="1" t="s">
        <v>9</v>
      </c>
      <c r="C624" s="2">
        <v>0.57204861111111116</v>
      </c>
      <c r="D624">
        <v>2</v>
      </c>
    </row>
    <row r="625" spans="1:4" x14ac:dyDescent="0.25">
      <c r="A625" s="1" t="s">
        <v>631</v>
      </c>
      <c r="B625" s="1" t="s">
        <v>7</v>
      </c>
      <c r="C625" s="2">
        <v>0.57233796296296291</v>
      </c>
      <c r="D625">
        <v>1</v>
      </c>
    </row>
    <row r="626" spans="1:4" x14ac:dyDescent="0.25">
      <c r="A626" s="1" t="s">
        <v>632</v>
      </c>
      <c r="B626" s="1" t="s">
        <v>5</v>
      </c>
      <c r="C626" s="2">
        <v>0.57291666666666663</v>
      </c>
      <c r="D626">
        <v>2</v>
      </c>
    </row>
    <row r="627" spans="1:4" x14ac:dyDescent="0.25">
      <c r="A627" s="1" t="s">
        <v>633</v>
      </c>
      <c r="B627" s="1" t="s">
        <v>5</v>
      </c>
      <c r="C627" s="2">
        <v>0.57320601851851849</v>
      </c>
      <c r="D627">
        <v>1</v>
      </c>
    </row>
    <row r="628" spans="1:4" x14ac:dyDescent="0.25">
      <c r="A628" s="1" t="s">
        <v>634</v>
      </c>
      <c r="B628" s="1" t="s">
        <v>7</v>
      </c>
      <c r="C628" s="2">
        <v>0.57349537037037035</v>
      </c>
      <c r="D628">
        <v>1</v>
      </c>
    </row>
    <row r="629" spans="1:4" x14ac:dyDescent="0.25">
      <c r="A629" s="1" t="s">
        <v>635</v>
      </c>
      <c r="B629" s="1" t="s">
        <v>9</v>
      </c>
      <c r="C629" s="2">
        <v>0.57378472222222221</v>
      </c>
      <c r="D629">
        <v>1</v>
      </c>
    </row>
    <row r="630" spans="1:4" x14ac:dyDescent="0.25">
      <c r="A630" s="1" t="s">
        <v>636</v>
      </c>
      <c r="B630" s="1" t="s">
        <v>7</v>
      </c>
      <c r="C630" s="2">
        <v>0.57407407407407407</v>
      </c>
      <c r="D630">
        <v>1</v>
      </c>
    </row>
    <row r="631" spans="1:4" x14ac:dyDescent="0.25">
      <c r="A631" s="1" t="s">
        <v>637</v>
      </c>
      <c r="B631" s="1" t="s">
        <v>7</v>
      </c>
      <c r="C631" s="2">
        <v>0.57436342592592593</v>
      </c>
      <c r="D631">
        <v>1</v>
      </c>
    </row>
    <row r="632" spans="1:4" x14ac:dyDescent="0.25">
      <c r="A632" s="1" t="s">
        <v>638</v>
      </c>
      <c r="B632" s="1" t="s">
        <v>9</v>
      </c>
      <c r="C632" s="2">
        <v>0.57494212962962965</v>
      </c>
      <c r="D632">
        <v>2</v>
      </c>
    </row>
    <row r="633" spans="1:4" x14ac:dyDescent="0.25">
      <c r="A633" s="1" t="s">
        <v>639</v>
      </c>
      <c r="B633" s="1" t="s">
        <v>7</v>
      </c>
      <c r="C633" s="2">
        <v>0.57523148148148151</v>
      </c>
      <c r="D633">
        <v>1</v>
      </c>
    </row>
    <row r="634" spans="1:4" x14ac:dyDescent="0.25">
      <c r="A634" s="1" t="s">
        <v>640</v>
      </c>
      <c r="B634" s="1" t="s">
        <v>5</v>
      </c>
      <c r="C634" s="2">
        <v>0.57581018518518523</v>
      </c>
      <c r="D634">
        <v>2</v>
      </c>
    </row>
    <row r="635" spans="1:4" x14ac:dyDescent="0.25">
      <c r="A635" s="1" t="s">
        <v>641</v>
      </c>
      <c r="B635" s="1" t="s">
        <v>7</v>
      </c>
      <c r="C635" s="2">
        <v>0.57609953703703709</v>
      </c>
      <c r="D635">
        <v>1</v>
      </c>
    </row>
    <row r="636" spans="1:4" x14ac:dyDescent="0.25">
      <c r="A636" s="1" t="s">
        <v>642</v>
      </c>
      <c r="B636" s="1" t="s">
        <v>7</v>
      </c>
      <c r="C636" s="2">
        <v>0.57638888888888884</v>
      </c>
      <c r="D636">
        <v>1</v>
      </c>
    </row>
    <row r="637" spans="1:4" x14ac:dyDescent="0.25">
      <c r="A637" s="1" t="s">
        <v>643</v>
      </c>
      <c r="B637" s="1" t="s">
        <v>5</v>
      </c>
      <c r="C637" s="2">
        <v>0.57696759259259256</v>
      </c>
      <c r="D637">
        <v>2</v>
      </c>
    </row>
    <row r="638" spans="1:4" x14ac:dyDescent="0.25">
      <c r="A638" s="1" t="s">
        <v>644</v>
      </c>
      <c r="B638" s="1" t="s">
        <v>27</v>
      </c>
      <c r="C638" s="2">
        <v>0.57754629629629628</v>
      </c>
      <c r="D638">
        <v>2</v>
      </c>
    </row>
    <row r="639" spans="1:4" x14ac:dyDescent="0.25">
      <c r="A639" s="1" t="s">
        <v>645</v>
      </c>
      <c r="B639" s="1" t="s">
        <v>7</v>
      </c>
      <c r="C639" s="2">
        <v>0.57783564814814814</v>
      </c>
      <c r="D639">
        <v>1</v>
      </c>
    </row>
    <row r="640" spans="1:4" x14ac:dyDescent="0.25">
      <c r="A640" s="1" t="s">
        <v>646</v>
      </c>
      <c r="B640" s="1" t="s">
        <v>7</v>
      </c>
      <c r="C640" s="2">
        <v>0.578125</v>
      </c>
      <c r="D640">
        <v>1</v>
      </c>
    </row>
    <row r="641" spans="1:4" x14ac:dyDescent="0.25">
      <c r="A641" s="1" t="s">
        <v>647</v>
      </c>
      <c r="B641" s="1" t="s">
        <v>9</v>
      </c>
      <c r="C641" s="2">
        <v>0.57841435185185186</v>
      </c>
      <c r="D641">
        <v>1</v>
      </c>
    </row>
    <row r="642" spans="1:4" x14ac:dyDescent="0.25">
      <c r="A642" s="1" t="s">
        <v>648</v>
      </c>
      <c r="B642" s="1" t="s">
        <v>9</v>
      </c>
      <c r="C642" s="2">
        <v>0.57899305555555558</v>
      </c>
      <c r="D642">
        <v>2</v>
      </c>
    </row>
    <row r="643" spans="1:4" x14ac:dyDescent="0.25">
      <c r="A643" s="1" t="s">
        <v>649</v>
      </c>
      <c r="B643" s="1" t="s">
        <v>27</v>
      </c>
      <c r="C643" s="2">
        <v>0.5795717592592593</v>
      </c>
      <c r="D643">
        <v>2</v>
      </c>
    </row>
    <row r="644" spans="1:4" x14ac:dyDescent="0.25">
      <c r="A644" s="1" t="s">
        <v>650</v>
      </c>
      <c r="B644" s="1" t="s">
        <v>27</v>
      </c>
      <c r="C644" s="2">
        <v>0.58015046296296291</v>
      </c>
      <c r="D644">
        <v>2</v>
      </c>
    </row>
    <row r="645" spans="1:4" x14ac:dyDescent="0.25">
      <c r="A645" s="1" t="s">
        <v>651</v>
      </c>
      <c r="B645" s="1" t="s">
        <v>7</v>
      </c>
      <c r="C645" s="2">
        <v>0.58043981481481477</v>
      </c>
      <c r="D645">
        <v>1</v>
      </c>
    </row>
    <row r="646" spans="1:4" x14ac:dyDescent="0.25">
      <c r="A646" s="1" t="s">
        <v>652</v>
      </c>
      <c r="B646" s="1" t="s">
        <v>7</v>
      </c>
      <c r="C646" s="2">
        <v>0.58072916666666663</v>
      </c>
      <c r="D646">
        <v>1</v>
      </c>
    </row>
    <row r="647" spans="1:4" x14ac:dyDescent="0.25">
      <c r="A647" s="1" t="s">
        <v>653</v>
      </c>
      <c r="B647" s="1" t="s">
        <v>27</v>
      </c>
      <c r="C647" s="2">
        <v>0.58130787037037035</v>
      </c>
      <c r="D647">
        <v>2</v>
      </c>
    </row>
    <row r="648" spans="1:4" x14ac:dyDescent="0.25">
      <c r="A648" s="1" t="s">
        <v>654</v>
      </c>
      <c r="B648" s="1" t="s">
        <v>27</v>
      </c>
      <c r="C648" s="2">
        <v>0.58188657407407407</v>
      </c>
      <c r="D648">
        <v>2</v>
      </c>
    </row>
    <row r="649" spans="1:4" x14ac:dyDescent="0.25">
      <c r="A649" s="1" t="s">
        <v>655</v>
      </c>
      <c r="B649" s="1" t="s">
        <v>27</v>
      </c>
      <c r="C649" s="2">
        <v>0.58246527777777779</v>
      </c>
      <c r="D649">
        <v>2</v>
      </c>
    </row>
    <row r="650" spans="1:4" x14ac:dyDescent="0.25">
      <c r="A650" s="1" t="s">
        <v>656</v>
      </c>
      <c r="B650" s="1" t="s">
        <v>7</v>
      </c>
      <c r="C650" s="2">
        <v>0.58275462962962965</v>
      </c>
      <c r="D650">
        <v>1</v>
      </c>
    </row>
    <row r="651" spans="1:4" x14ac:dyDescent="0.25">
      <c r="A651" s="1" t="s">
        <v>657</v>
      </c>
      <c r="B651" s="1" t="s">
        <v>5</v>
      </c>
      <c r="C651" s="2">
        <v>0.58333333333333337</v>
      </c>
      <c r="D651">
        <v>2</v>
      </c>
    </row>
    <row r="652" spans="1:4" x14ac:dyDescent="0.25">
      <c r="A652" s="1" t="s">
        <v>658</v>
      </c>
      <c r="B652" s="1" t="s">
        <v>5</v>
      </c>
      <c r="C652" s="2">
        <v>0.58391203703703709</v>
      </c>
      <c r="D652">
        <v>2</v>
      </c>
    </row>
    <row r="653" spans="1:4" x14ac:dyDescent="0.25">
      <c r="A653" s="1" t="s">
        <v>659</v>
      </c>
      <c r="B653" s="1" t="s">
        <v>5</v>
      </c>
      <c r="C653" s="2">
        <v>0.5844907407407407</v>
      </c>
      <c r="D653">
        <v>2</v>
      </c>
    </row>
    <row r="654" spans="1:4" x14ac:dyDescent="0.25">
      <c r="A654" s="1" t="s">
        <v>660</v>
      </c>
      <c r="B654" s="1" t="s">
        <v>9</v>
      </c>
      <c r="C654" s="2">
        <v>0.58478009259259256</v>
      </c>
      <c r="D654">
        <v>1</v>
      </c>
    </row>
    <row r="655" spans="1:4" x14ac:dyDescent="0.25">
      <c r="A655" s="1" t="s">
        <v>661</v>
      </c>
      <c r="B655" s="1" t="s">
        <v>9</v>
      </c>
      <c r="C655" s="2">
        <v>0.58535879629629628</v>
      </c>
      <c r="D655">
        <v>2</v>
      </c>
    </row>
    <row r="656" spans="1:4" x14ac:dyDescent="0.25">
      <c r="A656" s="1" t="s">
        <v>662</v>
      </c>
      <c r="B656" s="1" t="s">
        <v>7</v>
      </c>
      <c r="C656" s="2">
        <v>0.58564814814814814</v>
      </c>
      <c r="D656">
        <v>1</v>
      </c>
    </row>
    <row r="657" spans="1:4" x14ac:dyDescent="0.25">
      <c r="A657" s="1" t="s">
        <v>663</v>
      </c>
      <c r="B657" s="1" t="s">
        <v>9</v>
      </c>
      <c r="C657" s="2">
        <v>0.58622685185185186</v>
      </c>
      <c r="D657">
        <v>2</v>
      </c>
    </row>
    <row r="658" spans="1:4" x14ac:dyDescent="0.25">
      <c r="A658" s="1" t="s">
        <v>664</v>
      </c>
      <c r="B658" s="1" t="s">
        <v>7</v>
      </c>
      <c r="C658" s="2">
        <v>0.58651620370370372</v>
      </c>
      <c r="D658">
        <v>1</v>
      </c>
    </row>
    <row r="659" spans="1:4" x14ac:dyDescent="0.25">
      <c r="A659" s="1" t="s">
        <v>665</v>
      </c>
      <c r="B659" s="1" t="s">
        <v>7</v>
      </c>
      <c r="C659" s="2">
        <v>0.58680555555555558</v>
      </c>
      <c r="D659">
        <v>1</v>
      </c>
    </row>
    <row r="660" spans="1:4" x14ac:dyDescent="0.25">
      <c r="A660" s="1" t="s">
        <v>666</v>
      </c>
      <c r="B660" s="1" t="s">
        <v>27</v>
      </c>
      <c r="C660" s="2">
        <v>0.58709490740740744</v>
      </c>
      <c r="D660">
        <v>1</v>
      </c>
    </row>
    <row r="661" spans="1:4" x14ac:dyDescent="0.25">
      <c r="A661" s="1" t="s">
        <v>667</v>
      </c>
      <c r="B661" s="1" t="s">
        <v>27</v>
      </c>
      <c r="C661" s="2">
        <v>0.5873842592592593</v>
      </c>
      <c r="D661">
        <v>1</v>
      </c>
    </row>
    <row r="662" spans="1:4" x14ac:dyDescent="0.25">
      <c r="A662" s="1" t="s">
        <v>668</v>
      </c>
      <c r="B662" s="1" t="s">
        <v>7</v>
      </c>
      <c r="C662" s="2">
        <v>0.58767361111111116</v>
      </c>
      <c r="D662">
        <v>1</v>
      </c>
    </row>
    <row r="663" spans="1:4" x14ac:dyDescent="0.25">
      <c r="A663" s="1" t="s">
        <v>669</v>
      </c>
      <c r="B663" s="1" t="s">
        <v>9</v>
      </c>
      <c r="C663" s="2">
        <v>0.58796296296296291</v>
      </c>
      <c r="D663">
        <v>1</v>
      </c>
    </row>
    <row r="664" spans="1:4" x14ac:dyDescent="0.25">
      <c r="A664" s="1" t="s">
        <v>670</v>
      </c>
      <c r="B664" s="1" t="s">
        <v>9</v>
      </c>
      <c r="C664" s="2">
        <v>0.58854166666666663</v>
      </c>
      <c r="D664">
        <v>2</v>
      </c>
    </row>
    <row r="665" spans="1:4" x14ac:dyDescent="0.25">
      <c r="A665" s="1" t="s">
        <v>671</v>
      </c>
      <c r="B665" s="1" t="s">
        <v>9</v>
      </c>
      <c r="C665" s="2">
        <v>0.58883101851851849</v>
      </c>
      <c r="D665">
        <v>1</v>
      </c>
    </row>
    <row r="666" spans="1:4" x14ac:dyDescent="0.25">
      <c r="A666" s="1" t="s">
        <v>672</v>
      </c>
      <c r="B666" s="1" t="s">
        <v>5</v>
      </c>
      <c r="C666" s="2">
        <v>0.58940972222222221</v>
      </c>
      <c r="D666">
        <v>2</v>
      </c>
    </row>
    <row r="667" spans="1:4" x14ac:dyDescent="0.25">
      <c r="A667" s="1" t="s">
        <v>673</v>
      </c>
      <c r="B667" s="1" t="s">
        <v>9</v>
      </c>
      <c r="C667" s="2">
        <v>0.58998842592592593</v>
      </c>
      <c r="D667">
        <v>2</v>
      </c>
    </row>
    <row r="668" spans="1:4" x14ac:dyDescent="0.25">
      <c r="A668" s="1" t="s">
        <v>674</v>
      </c>
      <c r="B668" s="1" t="s">
        <v>7</v>
      </c>
      <c r="C668" s="2">
        <v>0.59027777777777779</v>
      </c>
      <c r="D668">
        <v>1</v>
      </c>
    </row>
    <row r="669" spans="1:4" x14ac:dyDescent="0.25">
      <c r="A669" s="1" t="s">
        <v>675</v>
      </c>
      <c r="B669" s="1" t="s">
        <v>9</v>
      </c>
      <c r="C669" s="2">
        <v>0.59056712962962965</v>
      </c>
      <c r="D669">
        <v>1</v>
      </c>
    </row>
    <row r="670" spans="1:4" x14ac:dyDescent="0.25">
      <c r="A670" s="1" t="s">
        <v>676</v>
      </c>
      <c r="B670" s="1" t="s">
        <v>9</v>
      </c>
      <c r="C670" s="2">
        <v>0.59114583333333337</v>
      </c>
      <c r="D670">
        <v>2</v>
      </c>
    </row>
    <row r="671" spans="1:4" x14ac:dyDescent="0.25">
      <c r="A671" s="1" t="s">
        <v>677</v>
      </c>
      <c r="B671" s="1" t="s">
        <v>9</v>
      </c>
      <c r="C671" s="2">
        <v>0.59143518518518523</v>
      </c>
      <c r="D671">
        <v>1</v>
      </c>
    </row>
    <row r="672" spans="1:4" x14ac:dyDescent="0.25">
      <c r="A672" s="1" t="s">
        <v>678</v>
      </c>
      <c r="B672" s="1" t="s">
        <v>7</v>
      </c>
      <c r="C672" s="2">
        <v>0.59172453703703709</v>
      </c>
      <c r="D672">
        <v>1</v>
      </c>
    </row>
    <row r="673" spans="1:4" x14ac:dyDescent="0.25">
      <c r="A673" s="1" t="s">
        <v>679</v>
      </c>
      <c r="B673" s="1" t="s">
        <v>9</v>
      </c>
      <c r="C673" s="2">
        <v>0.5923032407407407</v>
      </c>
      <c r="D673">
        <v>2</v>
      </c>
    </row>
    <row r="674" spans="1:4" x14ac:dyDescent="0.25">
      <c r="A674" s="1" t="s">
        <v>680</v>
      </c>
      <c r="B674" s="1" t="s">
        <v>7</v>
      </c>
      <c r="C674" s="2">
        <v>0.59259259259259256</v>
      </c>
      <c r="D674">
        <v>1</v>
      </c>
    </row>
    <row r="675" spans="1:4" x14ac:dyDescent="0.25">
      <c r="A675" s="1" t="s">
        <v>681</v>
      </c>
      <c r="B675" s="1" t="s">
        <v>5</v>
      </c>
      <c r="C675" s="2">
        <v>0.59288194444444442</v>
      </c>
      <c r="D675">
        <v>1</v>
      </c>
    </row>
    <row r="676" spans="1:4" x14ac:dyDescent="0.25">
      <c r="A676" s="1" t="s">
        <v>682</v>
      </c>
      <c r="B676" s="1" t="s">
        <v>27</v>
      </c>
      <c r="C676" s="2">
        <v>0.59317129629629628</v>
      </c>
      <c r="D676">
        <v>1</v>
      </c>
    </row>
    <row r="677" spans="1:4" x14ac:dyDescent="0.25">
      <c r="A677" s="1" t="s">
        <v>683</v>
      </c>
      <c r="B677" s="1" t="s">
        <v>27</v>
      </c>
      <c r="C677" s="2">
        <v>0.59346064814814814</v>
      </c>
      <c r="D677">
        <v>1</v>
      </c>
    </row>
    <row r="678" spans="1:4" x14ac:dyDescent="0.25">
      <c r="A678" s="1" t="s">
        <v>684</v>
      </c>
      <c r="B678" s="1" t="s">
        <v>7</v>
      </c>
      <c r="C678" s="2">
        <v>0.59375</v>
      </c>
      <c r="D678">
        <v>1</v>
      </c>
    </row>
    <row r="679" spans="1:4" x14ac:dyDescent="0.25">
      <c r="A679" s="1" t="s">
        <v>685</v>
      </c>
      <c r="B679" s="1" t="s">
        <v>9</v>
      </c>
      <c r="C679" s="2">
        <v>0.59432870370370372</v>
      </c>
      <c r="D679">
        <v>2</v>
      </c>
    </row>
    <row r="680" spans="1:4" x14ac:dyDescent="0.25">
      <c r="A680" s="1" t="s">
        <v>686</v>
      </c>
      <c r="B680" s="1" t="s">
        <v>5</v>
      </c>
      <c r="C680" s="2">
        <v>0.59461805555555558</v>
      </c>
      <c r="D680">
        <v>1</v>
      </c>
    </row>
    <row r="681" spans="1:4" x14ac:dyDescent="0.25">
      <c r="A681" s="1" t="s">
        <v>687</v>
      </c>
      <c r="B681" s="1" t="s">
        <v>7</v>
      </c>
      <c r="C681" s="2">
        <v>0.59490740740740744</v>
      </c>
      <c r="D681">
        <v>1</v>
      </c>
    </row>
    <row r="682" spans="1:4" x14ac:dyDescent="0.25">
      <c r="A682" s="1" t="s">
        <v>688</v>
      </c>
      <c r="B682" s="1" t="s">
        <v>7</v>
      </c>
      <c r="C682" s="2">
        <v>0.5951967592592593</v>
      </c>
      <c r="D682">
        <v>1</v>
      </c>
    </row>
    <row r="683" spans="1:4" x14ac:dyDescent="0.25">
      <c r="A683" s="1" t="s">
        <v>689</v>
      </c>
      <c r="B683" s="1" t="s">
        <v>27</v>
      </c>
      <c r="C683" s="2">
        <v>0.59577546296296291</v>
      </c>
      <c r="D683">
        <v>2</v>
      </c>
    </row>
    <row r="684" spans="1:4" x14ac:dyDescent="0.25">
      <c r="A684" s="1" t="s">
        <v>690</v>
      </c>
      <c r="B684" s="1" t="s">
        <v>7</v>
      </c>
      <c r="C684" s="2">
        <v>0.59606481481481477</v>
      </c>
      <c r="D684">
        <v>1</v>
      </c>
    </row>
    <row r="685" spans="1:4" x14ac:dyDescent="0.25">
      <c r="A685" s="1" t="s">
        <v>691</v>
      </c>
      <c r="B685" s="1" t="s">
        <v>9</v>
      </c>
      <c r="C685" s="2">
        <v>0.59635416666666663</v>
      </c>
      <c r="D685">
        <v>1</v>
      </c>
    </row>
    <row r="686" spans="1:4" x14ac:dyDescent="0.25">
      <c r="A686" s="1" t="s">
        <v>692</v>
      </c>
      <c r="B686" s="1" t="s">
        <v>9</v>
      </c>
      <c r="C686" s="2">
        <v>0.59664351851851849</v>
      </c>
      <c r="D686">
        <v>1</v>
      </c>
    </row>
    <row r="687" spans="1:4" x14ac:dyDescent="0.25">
      <c r="A687" s="1" t="s">
        <v>693</v>
      </c>
      <c r="B687" s="1" t="s">
        <v>27</v>
      </c>
      <c r="C687" s="2">
        <v>0.59722222222222221</v>
      </c>
      <c r="D687">
        <v>2</v>
      </c>
    </row>
    <row r="688" spans="1:4" x14ac:dyDescent="0.25">
      <c r="A688" s="1" t="s">
        <v>694</v>
      </c>
      <c r="B688" s="1" t="s">
        <v>7</v>
      </c>
      <c r="C688" s="2">
        <v>0.59751157407407407</v>
      </c>
      <c r="D688">
        <v>1</v>
      </c>
    </row>
    <row r="689" spans="1:4" x14ac:dyDescent="0.25">
      <c r="A689" s="1" t="s">
        <v>695</v>
      </c>
      <c r="B689" s="1" t="s">
        <v>27</v>
      </c>
      <c r="C689" s="2">
        <v>0.59809027777777779</v>
      </c>
      <c r="D689">
        <v>2</v>
      </c>
    </row>
    <row r="690" spans="1:4" x14ac:dyDescent="0.25">
      <c r="A690" s="1" t="s">
        <v>696</v>
      </c>
      <c r="B690" s="1" t="s">
        <v>7</v>
      </c>
      <c r="C690" s="2">
        <v>0.59837962962962965</v>
      </c>
      <c r="D690">
        <v>1</v>
      </c>
    </row>
    <row r="691" spans="1:4" x14ac:dyDescent="0.25">
      <c r="A691" s="1" t="s">
        <v>697</v>
      </c>
      <c r="B691" s="1" t="s">
        <v>9</v>
      </c>
      <c r="C691" s="2">
        <v>0.59866898148148151</v>
      </c>
      <c r="D691">
        <v>1</v>
      </c>
    </row>
    <row r="692" spans="1:4" x14ac:dyDescent="0.25">
      <c r="A692" s="1" t="s">
        <v>698</v>
      </c>
      <c r="B692" s="1" t="s">
        <v>5</v>
      </c>
      <c r="C692" s="2">
        <v>0.59895833333333337</v>
      </c>
      <c r="D692">
        <v>1</v>
      </c>
    </row>
    <row r="693" spans="1:4" x14ac:dyDescent="0.25">
      <c r="A693" s="1" t="s">
        <v>699</v>
      </c>
      <c r="B693" s="1" t="s">
        <v>27</v>
      </c>
      <c r="C693" s="2">
        <v>0.59924768518518523</v>
      </c>
      <c r="D693">
        <v>1</v>
      </c>
    </row>
    <row r="694" spans="1:4" x14ac:dyDescent="0.25">
      <c r="A694" s="1" t="s">
        <v>700</v>
      </c>
      <c r="B694" s="1" t="s">
        <v>7</v>
      </c>
      <c r="C694" s="2">
        <v>0.59953703703703709</v>
      </c>
      <c r="D694">
        <v>1</v>
      </c>
    </row>
    <row r="695" spans="1:4" x14ac:dyDescent="0.25">
      <c r="A695" s="1" t="s">
        <v>701</v>
      </c>
      <c r="B695" s="1" t="s">
        <v>27</v>
      </c>
      <c r="C695" s="2">
        <v>0.6001157407407407</v>
      </c>
      <c r="D695">
        <v>2</v>
      </c>
    </row>
    <row r="696" spans="1:4" x14ac:dyDescent="0.25">
      <c r="A696" s="1" t="s">
        <v>702</v>
      </c>
      <c r="B696" s="1" t="s">
        <v>7</v>
      </c>
      <c r="C696" s="2">
        <v>0.60040509259259256</v>
      </c>
      <c r="D696">
        <v>1</v>
      </c>
    </row>
    <row r="697" spans="1:4" x14ac:dyDescent="0.25">
      <c r="A697" s="1" t="s">
        <v>703</v>
      </c>
      <c r="B697" s="1" t="s">
        <v>9</v>
      </c>
      <c r="C697" s="2">
        <v>0.60069444444444442</v>
      </c>
      <c r="D697">
        <v>1</v>
      </c>
    </row>
    <row r="698" spans="1:4" x14ac:dyDescent="0.25">
      <c r="A698" s="1" t="s">
        <v>704</v>
      </c>
      <c r="B698" s="1" t="s">
        <v>7</v>
      </c>
      <c r="C698" s="2">
        <v>0.60098379629629628</v>
      </c>
      <c r="D698">
        <v>1</v>
      </c>
    </row>
    <row r="699" spans="1:4" x14ac:dyDescent="0.25">
      <c r="A699" s="1" t="s">
        <v>705</v>
      </c>
      <c r="B699" s="1" t="s">
        <v>9</v>
      </c>
      <c r="C699" s="2">
        <v>0.60127314814814814</v>
      </c>
      <c r="D699">
        <v>1</v>
      </c>
    </row>
    <row r="700" spans="1:4" x14ac:dyDescent="0.25">
      <c r="A700" s="1" t="s">
        <v>706</v>
      </c>
      <c r="B700" s="1" t="s">
        <v>7</v>
      </c>
      <c r="C700" s="2">
        <v>0.6015625</v>
      </c>
      <c r="D700">
        <v>1</v>
      </c>
    </row>
    <row r="701" spans="1:4" x14ac:dyDescent="0.25">
      <c r="A701" s="1" t="s">
        <v>707</v>
      </c>
      <c r="B701" s="1" t="s">
        <v>5</v>
      </c>
      <c r="C701" s="2">
        <v>0.60214120370370372</v>
      </c>
      <c r="D701">
        <v>2</v>
      </c>
    </row>
    <row r="702" spans="1:4" x14ac:dyDescent="0.25">
      <c r="A702" s="1" t="s">
        <v>708</v>
      </c>
      <c r="B702" s="1" t="s">
        <v>7</v>
      </c>
      <c r="C702" s="2">
        <v>0.60243055555555558</v>
      </c>
      <c r="D702">
        <v>1</v>
      </c>
    </row>
    <row r="703" spans="1:4" x14ac:dyDescent="0.25">
      <c r="A703" s="1" t="s">
        <v>709</v>
      </c>
      <c r="B703" s="1" t="s">
        <v>27</v>
      </c>
      <c r="C703" s="2">
        <v>0.60271990740740744</v>
      </c>
      <c r="D703">
        <v>1</v>
      </c>
    </row>
    <row r="704" spans="1:4" x14ac:dyDescent="0.25">
      <c r="A704" s="1" t="s">
        <v>710</v>
      </c>
      <c r="B704" s="1" t="s">
        <v>27</v>
      </c>
      <c r="C704" s="2">
        <v>0.60329861111111116</v>
      </c>
      <c r="D704">
        <v>2</v>
      </c>
    </row>
    <row r="705" spans="1:4" x14ac:dyDescent="0.25">
      <c r="A705" s="1" t="s">
        <v>711</v>
      </c>
      <c r="B705" s="1" t="s">
        <v>7</v>
      </c>
      <c r="C705" s="2">
        <v>0.60358796296296291</v>
      </c>
      <c r="D705">
        <v>1</v>
      </c>
    </row>
    <row r="706" spans="1:4" x14ac:dyDescent="0.25">
      <c r="A706" s="1" t="s">
        <v>712</v>
      </c>
      <c r="B706" s="1" t="s">
        <v>7</v>
      </c>
      <c r="C706" s="2">
        <v>0.60387731481481477</v>
      </c>
      <c r="D706">
        <v>1</v>
      </c>
    </row>
    <row r="707" spans="1:4" x14ac:dyDescent="0.25">
      <c r="A707" s="1" t="s">
        <v>713</v>
      </c>
      <c r="B707" s="1" t="s">
        <v>7</v>
      </c>
      <c r="C707" s="2">
        <v>0.60416666666666663</v>
      </c>
      <c r="D707">
        <v>1</v>
      </c>
    </row>
    <row r="708" spans="1:4" x14ac:dyDescent="0.25">
      <c r="A708" s="1" t="s">
        <v>714</v>
      </c>
      <c r="B708" s="1" t="s">
        <v>9</v>
      </c>
      <c r="C708" s="2">
        <v>0.60445601851851849</v>
      </c>
      <c r="D708">
        <v>1</v>
      </c>
    </row>
    <row r="709" spans="1:4" x14ac:dyDescent="0.25">
      <c r="A709" s="1" t="s">
        <v>715</v>
      </c>
      <c r="B709" s="1" t="s">
        <v>7</v>
      </c>
      <c r="C709" s="2">
        <v>0.60474537037037035</v>
      </c>
      <c r="D709">
        <v>1</v>
      </c>
    </row>
    <row r="710" spans="1:4" x14ac:dyDescent="0.25">
      <c r="A710" s="1" t="s">
        <v>716</v>
      </c>
      <c r="B710" s="1" t="s">
        <v>9</v>
      </c>
      <c r="C710" s="2">
        <v>0.60532407407407407</v>
      </c>
      <c r="D710">
        <v>2</v>
      </c>
    </row>
    <row r="711" spans="1:4" x14ac:dyDescent="0.25">
      <c r="A711" s="1" t="s">
        <v>717</v>
      </c>
      <c r="B711" s="1" t="s">
        <v>7</v>
      </c>
      <c r="C711" s="2">
        <v>0.60561342592592593</v>
      </c>
      <c r="D711">
        <v>1</v>
      </c>
    </row>
    <row r="712" spans="1:4" x14ac:dyDescent="0.25">
      <c r="A712" s="1" t="s">
        <v>718</v>
      </c>
      <c r="B712" s="1" t="s">
        <v>27</v>
      </c>
      <c r="C712" s="2">
        <v>0.60619212962962965</v>
      </c>
      <c r="D712">
        <v>2</v>
      </c>
    </row>
    <row r="713" spans="1:4" x14ac:dyDescent="0.25">
      <c r="A713" s="1" t="s">
        <v>719</v>
      </c>
      <c r="B713" s="1" t="s">
        <v>7</v>
      </c>
      <c r="C713" s="2">
        <v>0.60648148148148151</v>
      </c>
      <c r="D713">
        <v>1</v>
      </c>
    </row>
    <row r="714" spans="1:4" x14ac:dyDescent="0.25">
      <c r="A714" s="1" t="s">
        <v>720</v>
      </c>
      <c r="B714" s="1" t="s">
        <v>7</v>
      </c>
      <c r="C714" s="2">
        <v>0.60677083333333337</v>
      </c>
      <c r="D714">
        <v>1</v>
      </c>
    </row>
    <row r="715" spans="1:4" x14ac:dyDescent="0.25">
      <c r="A715" s="1" t="s">
        <v>721</v>
      </c>
      <c r="B715" s="1" t="s">
        <v>7</v>
      </c>
      <c r="C715" s="2">
        <v>0.60706018518518523</v>
      </c>
      <c r="D715">
        <v>1</v>
      </c>
    </row>
    <row r="716" spans="1:4" x14ac:dyDescent="0.25">
      <c r="A716" s="1" t="s">
        <v>722</v>
      </c>
      <c r="B716" s="1" t="s">
        <v>9</v>
      </c>
      <c r="C716" s="2">
        <v>0.60734953703703709</v>
      </c>
      <c r="D716">
        <v>1</v>
      </c>
    </row>
    <row r="717" spans="1:4" x14ac:dyDescent="0.25">
      <c r="A717" s="1" t="s">
        <v>723</v>
      </c>
      <c r="B717" s="1" t="s">
        <v>27</v>
      </c>
      <c r="C717" s="2">
        <v>0.60763888888888884</v>
      </c>
      <c r="D717">
        <v>1</v>
      </c>
    </row>
    <row r="718" spans="1:4" x14ac:dyDescent="0.25">
      <c r="A718" s="1" t="s">
        <v>724</v>
      </c>
      <c r="B718" s="1" t="s">
        <v>7</v>
      </c>
      <c r="C718" s="2">
        <v>0.6079282407407407</v>
      </c>
      <c r="D718">
        <v>1</v>
      </c>
    </row>
    <row r="719" spans="1:4" x14ac:dyDescent="0.25">
      <c r="A719" s="1" t="s">
        <v>725</v>
      </c>
      <c r="B719" s="1" t="s">
        <v>5</v>
      </c>
      <c r="C719" s="2">
        <v>0.60821759259259256</v>
      </c>
      <c r="D719">
        <v>1</v>
      </c>
    </row>
    <row r="720" spans="1:4" x14ac:dyDescent="0.25">
      <c r="A720" s="1" t="s">
        <v>726</v>
      </c>
      <c r="B720" s="1" t="s">
        <v>7</v>
      </c>
      <c r="C720" s="2">
        <v>0.60850694444444442</v>
      </c>
      <c r="D720">
        <v>1</v>
      </c>
    </row>
    <row r="721" spans="1:4" x14ac:dyDescent="0.25">
      <c r="A721" s="1" t="s">
        <v>727</v>
      </c>
      <c r="B721" s="1" t="s">
        <v>9</v>
      </c>
      <c r="C721" s="2">
        <v>0.60879629629629628</v>
      </c>
      <c r="D721">
        <v>1</v>
      </c>
    </row>
    <row r="722" spans="1:4" x14ac:dyDescent="0.25">
      <c r="A722" s="1" t="s">
        <v>728</v>
      </c>
      <c r="B722" s="1" t="s">
        <v>9</v>
      </c>
      <c r="C722" s="2">
        <v>0.609375</v>
      </c>
      <c r="D722">
        <v>2</v>
      </c>
    </row>
    <row r="723" spans="1:4" x14ac:dyDescent="0.25">
      <c r="A723" s="1" t="s">
        <v>729</v>
      </c>
      <c r="B723" s="1" t="s">
        <v>5</v>
      </c>
      <c r="C723" s="2">
        <v>0.60995370370370372</v>
      </c>
      <c r="D723">
        <v>2</v>
      </c>
    </row>
    <row r="724" spans="1:4" x14ac:dyDescent="0.25">
      <c r="A724" s="1" t="s">
        <v>730</v>
      </c>
      <c r="B724" s="1" t="s">
        <v>27</v>
      </c>
      <c r="C724" s="2">
        <v>0.61024305555555558</v>
      </c>
      <c r="D724">
        <v>1</v>
      </c>
    </row>
    <row r="725" spans="1:4" x14ac:dyDescent="0.25">
      <c r="A725" s="1" t="s">
        <v>731</v>
      </c>
      <c r="B725" s="1" t="s">
        <v>7</v>
      </c>
      <c r="C725" s="2">
        <v>0.61053240740740744</v>
      </c>
      <c r="D725">
        <v>1</v>
      </c>
    </row>
    <row r="726" spans="1:4" x14ac:dyDescent="0.25">
      <c r="A726" s="1" t="s">
        <v>732</v>
      </c>
      <c r="B726" s="1" t="s">
        <v>9</v>
      </c>
      <c r="C726" s="2">
        <v>0.6108217592592593</v>
      </c>
      <c r="D726">
        <v>1</v>
      </c>
    </row>
    <row r="727" spans="1:4" x14ac:dyDescent="0.25">
      <c r="A727" s="1" t="s">
        <v>733</v>
      </c>
      <c r="B727" s="1" t="s">
        <v>9</v>
      </c>
      <c r="C727" s="2">
        <v>0.61111111111111116</v>
      </c>
      <c r="D727">
        <v>1</v>
      </c>
    </row>
    <row r="728" spans="1:4" x14ac:dyDescent="0.25">
      <c r="A728" s="1" t="s">
        <v>734</v>
      </c>
      <c r="B728" s="1" t="s">
        <v>7</v>
      </c>
      <c r="C728" s="2">
        <v>0.61140046296296291</v>
      </c>
      <c r="D728">
        <v>1</v>
      </c>
    </row>
    <row r="729" spans="1:4" x14ac:dyDescent="0.25">
      <c r="A729" s="1" t="s">
        <v>735</v>
      </c>
      <c r="B729" s="1" t="s">
        <v>5</v>
      </c>
      <c r="C729" s="2">
        <v>0.61197916666666663</v>
      </c>
      <c r="D729">
        <v>2</v>
      </c>
    </row>
    <row r="730" spans="1:4" x14ac:dyDescent="0.25">
      <c r="A730" s="1" t="s">
        <v>736</v>
      </c>
      <c r="B730" s="1" t="s">
        <v>27</v>
      </c>
      <c r="C730" s="2">
        <v>0.61255787037037035</v>
      </c>
      <c r="D730">
        <v>2</v>
      </c>
    </row>
    <row r="731" spans="1:4" x14ac:dyDescent="0.25">
      <c r="A731" s="1" t="s">
        <v>737</v>
      </c>
      <c r="B731" s="1" t="s">
        <v>27</v>
      </c>
      <c r="C731" s="2">
        <v>0.61313657407407407</v>
      </c>
      <c r="D731">
        <v>2</v>
      </c>
    </row>
    <row r="732" spans="1:4" x14ac:dyDescent="0.25">
      <c r="A732" s="1" t="s">
        <v>738</v>
      </c>
      <c r="B732" s="1" t="s">
        <v>27</v>
      </c>
      <c r="C732" s="2">
        <v>0.61342592592592593</v>
      </c>
      <c r="D732">
        <v>1</v>
      </c>
    </row>
    <row r="733" spans="1:4" x14ac:dyDescent="0.25">
      <c r="A733" s="1" t="s">
        <v>739</v>
      </c>
      <c r="B733" s="1" t="s">
        <v>7</v>
      </c>
      <c r="C733" s="2">
        <v>0.61371527777777779</v>
      </c>
      <c r="D733">
        <v>1</v>
      </c>
    </row>
    <row r="734" spans="1:4" x14ac:dyDescent="0.25">
      <c r="A734" s="1" t="s">
        <v>740</v>
      </c>
      <c r="B734" s="1" t="s">
        <v>7</v>
      </c>
      <c r="C734" s="2">
        <v>0.61400462962962965</v>
      </c>
      <c r="D734">
        <v>1</v>
      </c>
    </row>
    <row r="735" spans="1:4" x14ac:dyDescent="0.25">
      <c r="A735" s="1" t="s">
        <v>741</v>
      </c>
      <c r="B735" s="1" t="s">
        <v>9</v>
      </c>
      <c r="C735" s="2">
        <v>0.61429398148148151</v>
      </c>
      <c r="D735">
        <v>1</v>
      </c>
    </row>
    <row r="736" spans="1:4" x14ac:dyDescent="0.25">
      <c r="A736" s="1" t="s">
        <v>742</v>
      </c>
      <c r="B736" s="1" t="s">
        <v>9</v>
      </c>
      <c r="C736" s="2">
        <v>0.61487268518518523</v>
      </c>
      <c r="D736">
        <v>2</v>
      </c>
    </row>
    <row r="737" spans="1:4" x14ac:dyDescent="0.25">
      <c r="A737" s="1" t="s">
        <v>743</v>
      </c>
      <c r="B737" s="1" t="s">
        <v>27</v>
      </c>
      <c r="C737" s="2">
        <v>0.61545138888888884</v>
      </c>
      <c r="D737">
        <v>2</v>
      </c>
    </row>
    <row r="738" spans="1:4" x14ac:dyDescent="0.25">
      <c r="A738" s="1" t="s">
        <v>744</v>
      </c>
      <c r="B738" s="1" t="s">
        <v>7</v>
      </c>
      <c r="C738" s="2">
        <v>0.6157407407407407</v>
      </c>
      <c r="D738">
        <v>1</v>
      </c>
    </row>
    <row r="739" spans="1:4" x14ac:dyDescent="0.25">
      <c r="A739" s="1" t="s">
        <v>745</v>
      </c>
      <c r="B739" s="1" t="s">
        <v>7</v>
      </c>
      <c r="C739" s="2">
        <v>0.61603009259259256</v>
      </c>
      <c r="D739">
        <v>1</v>
      </c>
    </row>
    <row r="740" spans="1:4" x14ac:dyDescent="0.25">
      <c r="A740" s="1" t="s">
        <v>746</v>
      </c>
      <c r="B740" s="1" t="s">
        <v>5</v>
      </c>
      <c r="C740" s="2">
        <v>0.61631944444444442</v>
      </c>
      <c r="D740">
        <v>1</v>
      </c>
    </row>
    <row r="741" spans="1:4" x14ac:dyDescent="0.25">
      <c r="A741" s="1" t="s">
        <v>747</v>
      </c>
      <c r="B741" s="1" t="s">
        <v>5</v>
      </c>
      <c r="C741" s="2">
        <v>0.61660879629629628</v>
      </c>
      <c r="D741">
        <v>1</v>
      </c>
    </row>
    <row r="742" spans="1:4" x14ac:dyDescent="0.25">
      <c r="A742" s="1" t="s">
        <v>748</v>
      </c>
      <c r="B742" s="1" t="s">
        <v>9</v>
      </c>
      <c r="C742" s="2">
        <v>0.61689814814814814</v>
      </c>
      <c r="D742">
        <v>1</v>
      </c>
    </row>
    <row r="743" spans="1:4" x14ac:dyDescent="0.25">
      <c r="A743" s="1" t="s">
        <v>749</v>
      </c>
      <c r="B743" s="1" t="s">
        <v>5</v>
      </c>
      <c r="C743" s="2">
        <v>0.61747685185185186</v>
      </c>
      <c r="D743">
        <v>2</v>
      </c>
    </row>
    <row r="744" spans="1:4" x14ac:dyDescent="0.25">
      <c r="A744" s="1" t="s">
        <v>750</v>
      </c>
      <c r="B744" s="1" t="s">
        <v>27</v>
      </c>
      <c r="C744" s="2">
        <v>0.61805555555555558</v>
      </c>
      <c r="D744">
        <v>2</v>
      </c>
    </row>
    <row r="745" spans="1:4" x14ac:dyDescent="0.25">
      <c r="A745" s="1" t="s">
        <v>751</v>
      </c>
      <c r="B745" s="1" t="s">
        <v>7</v>
      </c>
      <c r="C745" s="2">
        <v>0.61834490740740744</v>
      </c>
      <c r="D745">
        <v>1</v>
      </c>
    </row>
    <row r="746" spans="1:4" x14ac:dyDescent="0.25">
      <c r="A746" s="1" t="s">
        <v>752</v>
      </c>
      <c r="B746" s="1" t="s">
        <v>9</v>
      </c>
      <c r="C746" s="2">
        <v>0.61892361111111116</v>
      </c>
      <c r="D746">
        <v>2</v>
      </c>
    </row>
    <row r="747" spans="1:4" x14ac:dyDescent="0.25">
      <c r="A747" s="1" t="s">
        <v>753</v>
      </c>
      <c r="B747" s="1" t="s">
        <v>7</v>
      </c>
      <c r="C747" s="2">
        <v>0.61921296296296291</v>
      </c>
      <c r="D747">
        <v>1</v>
      </c>
    </row>
    <row r="748" spans="1:4" x14ac:dyDescent="0.25">
      <c r="A748" s="1" t="s">
        <v>754</v>
      </c>
      <c r="B748" s="1" t="s">
        <v>7</v>
      </c>
      <c r="C748" s="2">
        <v>0.61950231481481477</v>
      </c>
      <c r="D748">
        <v>1</v>
      </c>
    </row>
    <row r="749" spans="1:4" x14ac:dyDescent="0.25">
      <c r="A749" s="1" t="s">
        <v>755</v>
      </c>
      <c r="B749" s="1" t="s">
        <v>7</v>
      </c>
      <c r="C749" s="2">
        <v>0.61979166666666663</v>
      </c>
      <c r="D749">
        <v>1</v>
      </c>
    </row>
    <row r="750" spans="1:4" x14ac:dyDescent="0.25">
      <c r="A750" s="1" t="s">
        <v>756</v>
      </c>
      <c r="B750" s="1" t="s">
        <v>7</v>
      </c>
      <c r="C750" s="2">
        <v>0.62008101851851849</v>
      </c>
      <c r="D750">
        <v>1</v>
      </c>
    </row>
    <row r="751" spans="1:4" x14ac:dyDescent="0.25">
      <c r="A751" s="1" t="s">
        <v>757</v>
      </c>
      <c r="B751" s="1" t="s">
        <v>5</v>
      </c>
      <c r="C751" s="2">
        <v>0.62037037037037035</v>
      </c>
      <c r="D751">
        <v>1</v>
      </c>
    </row>
    <row r="752" spans="1:4" x14ac:dyDescent="0.25">
      <c r="A752" s="1" t="s">
        <v>758</v>
      </c>
      <c r="B752" s="1" t="s">
        <v>5</v>
      </c>
      <c r="C752" s="2">
        <v>0.62065972222222221</v>
      </c>
      <c r="D752">
        <v>1</v>
      </c>
    </row>
    <row r="753" spans="1:4" x14ac:dyDescent="0.25">
      <c r="A753" s="1" t="s">
        <v>759</v>
      </c>
      <c r="B753" s="1" t="s">
        <v>7</v>
      </c>
      <c r="C753" s="2">
        <v>0.62094907407407407</v>
      </c>
      <c r="D753">
        <v>1</v>
      </c>
    </row>
    <row r="754" spans="1:4" x14ac:dyDescent="0.25">
      <c r="A754" s="1" t="s">
        <v>760</v>
      </c>
      <c r="B754" s="1" t="s">
        <v>7</v>
      </c>
      <c r="C754" s="2">
        <v>0.62123842592592593</v>
      </c>
      <c r="D754">
        <v>1</v>
      </c>
    </row>
    <row r="755" spans="1:4" x14ac:dyDescent="0.25">
      <c r="A755" s="1" t="s">
        <v>761</v>
      </c>
      <c r="B755" s="1" t="s">
        <v>7</v>
      </c>
      <c r="C755" s="2">
        <v>0.62152777777777779</v>
      </c>
      <c r="D755">
        <v>1</v>
      </c>
    </row>
    <row r="756" spans="1:4" x14ac:dyDescent="0.25">
      <c r="A756" s="1" t="s">
        <v>762</v>
      </c>
      <c r="B756" s="1" t="s">
        <v>7</v>
      </c>
      <c r="C756" s="2">
        <v>0.62181712962962965</v>
      </c>
      <c r="D756">
        <v>1</v>
      </c>
    </row>
    <row r="757" spans="1:4" x14ac:dyDescent="0.25">
      <c r="A757" s="1" t="s">
        <v>763</v>
      </c>
      <c r="B757" s="1" t="s">
        <v>27</v>
      </c>
      <c r="C757" s="2">
        <v>0.62239583333333337</v>
      </c>
      <c r="D757">
        <v>2</v>
      </c>
    </row>
    <row r="758" spans="1:4" x14ac:dyDescent="0.25">
      <c r="A758" s="1" t="s">
        <v>764</v>
      </c>
      <c r="B758" s="1" t="s">
        <v>7</v>
      </c>
      <c r="C758" s="2">
        <v>0.62268518518518523</v>
      </c>
      <c r="D758">
        <v>1</v>
      </c>
    </row>
    <row r="759" spans="1:4" x14ac:dyDescent="0.25">
      <c r="A759" s="1" t="s">
        <v>765</v>
      </c>
      <c r="B759" s="1" t="s">
        <v>9</v>
      </c>
      <c r="C759" s="2">
        <v>0.62297453703703709</v>
      </c>
      <c r="D759">
        <v>1</v>
      </c>
    </row>
    <row r="760" spans="1:4" x14ac:dyDescent="0.25">
      <c r="A760" s="1" t="s">
        <v>766</v>
      </c>
      <c r="B760" s="1" t="s">
        <v>9</v>
      </c>
      <c r="C760" s="2">
        <v>0.62326388888888884</v>
      </c>
      <c r="D760">
        <v>1</v>
      </c>
    </row>
    <row r="761" spans="1:4" x14ac:dyDescent="0.25">
      <c r="A761" s="1" t="s">
        <v>767</v>
      </c>
      <c r="B761" s="1" t="s">
        <v>5</v>
      </c>
      <c r="C761" s="2">
        <v>0.6235532407407407</v>
      </c>
      <c r="D761">
        <v>1</v>
      </c>
    </row>
    <row r="762" spans="1:4" x14ac:dyDescent="0.25">
      <c r="A762" s="1" t="s">
        <v>768</v>
      </c>
      <c r="B762" s="1" t="s">
        <v>5</v>
      </c>
      <c r="C762" s="2">
        <v>0.62384259259259256</v>
      </c>
      <c r="D762">
        <v>1</v>
      </c>
    </row>
    <row r="763" spans="1:4" x14ac:dyDescent="0.25">
      <c r="A763" s="1" t="s">
        <v>769</v>
      </c>
      <c r="B763" s="1" t="s">
        <v>7</v>
      </c>
      <c r="C763" s="2">
        <v>0.62413194444444442</v>
      </c>
      <c r="D763">
        <v>1</v>
      </c>
    </row>
    <row r="764" spans="1:4" x14ac:dyDescent="0.25">
      <c r="A764" s="1" t="s">
        <v>770</v>
      </c>
      <c r="B764" s="1" t="s">
        <v>7</v>
      </c>
      <c r="C764" s="2">
        <v>0.62442129629629628</v>
      </c>
      <c r="D764">
        <v>1</v>
      </c>
    </row>
    <row r="765" spans="1:4" x14ac:dyDescent="0.25">
      <c r="A765" s="1" t="s">
        <v>771</v>
      </c>
      <c r="B765" s="1" t="s">
        <v>7</v>
      </c>
      <c r="C765" s="2">
        <v>0.62471064814814814</v>
      </c>
      <c r="D765">
        <v>1</v>
      </c>
    </row>
    <row r="766" spans="1:4" x14ac:dyDescent="0.25">
      <c r="A766" s="1" t="s">
        <v>772</v>
      </c>
      <c r="B766" s="1" t="s">
        <v>5</v>
      </c>
      <c r="C766" s="2">
        <v>0.62528935185185186</v>
      </c>
      <c r="D766">
        <v>2</v>
      </c>
    </row>
    <row r="767" spans="1:4" x14ac:dyDescent="0.25">
      <c r="A767" s="1" t="s">
        <v>773</v>
      </c>
      <c r="B767" s="1" t="s">
        <v>27</v>
      </c>
      <c r="C767" s="2">
        <v>0.62557870370370372</v>
      </c>
      <c r="D767">
        <v>1</v>
      </c>
    </row>
    <row r="768" spans="1:4" x14ac:dyDescent="0.25">
      <c r="A768" s="1" t="s">
        <v>774</v>
      </c>
      <c r="B768" s="1" t="s">
        <v>7</v>
      </c>
      <c r="C768" s="2">
        <v>0.62586805555555558</v>
      </c>
      <c r="D768">
        <v>1</v>
      </c>
    </row>
    <row r="769" spans="1:4" x14ac:dyDescent="0.25">
      <c r="A769" s="1" t="s">
        <v>775</v>
      </c>
      <c r="B769" s="1" t="s">
        <v>9</v>
      </c>
      <c r="C769" s="2">
        <v>0.6264467592592593</v>
      </c>
      <c r="D769">
        <v>2</v>
      </c>
    </row>
    <row r="770" spans="1:4" x14ac:dyDescent="0.25">
      <c r="A770" s="1" t="s">
        <v>776</v>
      </c>
      <c r="B770" s="1" t="s">
        <v>7</v>
      </c>
      <c r="C770" s="2">
        <v>0.62673611111111116</v>
      </c>
      <c r="D770">
        <v>1</v>
      </c>
    </row>
    <row r="771" spans="1:4" x14ac:dyDescent="0.25">
      <c r="A771" s="1" t="s">
        <v>777</v>
      </c>
      <c r="B771" s="1" t="s">
        <v>9</v>
      </c>
      <c r="C771" s="2">
        <v>0.62702546296296291</v>
      </c>
      <c r="D771">
        <v>1</v>
      </c>
    </row>
    <row r="772" spans="1:4" x14ac:dyDescent="0.25">
      <c r="A772" s="1" t="s">
        <v>778</v>
      </c>
      <c r="B772" s="1" t="s">
        <v>5</v>
      </c>
      <c r="C772" s="2">
        <v>0.62731481481481477</v>
      </c>
      <c r="D772">
        <v>1</v>
      </c>
    </row>
    <row r="773" spans="1:4" x14ac:dyDescent="0.25">
      <c r="A773" s="1" t="s">
        <v>779</v>
      </c>
      <c r="B773" s="1" t="s">
        <v>27</v>
      </c>
      <c r="C773" s="2">
        <v>0.62789351851851849</v>
      </c>
      <c r="D773">
        <v>2</v>
      </c>
    </row>
    <row r="774" spans="1:4" x14ac:dyDescent="0.25">
      <c r="A774" s="1" t="s">
        <v>780</v>
      </c>
      <c r="B774" s="1" t="s">
        <v>7</v>
      </c>
      <c r="C774" s="2">
        <v>0.62818287037037035</v>
      </c>
      <c r="D774">
        <v>1</v>
      </c>
    </row>
    <row r="775" spans="1:4" x14ac:dyDescent="0.25">
      <c r="A775" s="1" t="s">
        <v>781</v>
      </c>
      <c r="B775" s="1" t="s">
        <v>5</v>
      </c>
      <c r="C775" s="2">
        <v>0.62847222222222221</v>
      </c>
      <c r="D775">
        <v>1</v>
      </c>
    </row>
    <row r="776" spans="1:4" x14ac:dyDescent="0.25">
      <c r="A776" s="1" t="s">
        <v>782</v>
      </c>
      <c r="B776" s="1" t="s">
        <v>9</v>
      </c>
      <c r="C776" s="2">
        <v>0.62876157407407407</v>
      </c>
      <c r="D776">
        <v>1</v>
      </c>
    </row>
    <row r="777" spans="1:4" x14ac:dyDescent="0.25">
      <c r="A777" s="1" t="s">
        <v>783</v>
      </c>
      <c r="B777" s="1" t="s">
        <v>7</v>
      </c>
      <c r="C777" s="2">
        <v>0.62905092592592593</v>
      </c>
      <c r="D777">
        <v>1</v>
      </c>
    </row>
    <row r="778" spans="1:4" x14ac:dyDescent="0.25">
      <c r="A778" s="1" t="s">
        <v>784</v>
      </c>
      <c r="B778" s="1" t="s">
        <v>7</v>
      </c>
      <c r="C778" s="2">
        <v>0.62934027777777779</v>
      </c>
      <c r="D778">
        <v>1</v>
      </c>
    </row>
    <row r="779" spans="1:4" x14ac:dyDescent="0.25">
      <c r="A779" s="1" t="s">
        <v>785</v>
      </c>
      <c r="B779" s="1" t="s">
        <v>9</v>
      </c>
      <c r="C779" s="2">
        <v>0.62991898148148151</v>
      </c>
      <c r="D779">
        <v>2</v>
      </c>
    </row>
    <row r="780" spans="1:4" x14ac:dyDescent="0.25">
      <c r="A780" s="1" t="s">
        <v>786</v>
      </c>
      <c r="B780" s="1" t="s">
        <v>9</v>
      </c>
      <c r="C780" s="2">
        <v>0.63020833333333337</v>
      </c>
      <c r="D780">
        <v>1</v>
      </c>
    </row>
    <row r="781" spans="1:4" x14ac:dyDescent="0.25">
      <c r="A781" s="1" t="s">
        <v>787</v>
      </c>
      <c r="B781" s="1" t="s">
        <v>7</v>
      </c>
      <c r="C781" s="2">
        <v>0.63049768518518523</v>
      </c>
      <c r="D781">
        <v>1</v>
      </c>
    </row>
    <row r="782" spans="1:4" x14ac:dyDescent="0.25">
      <c r="A782" s="1" t="s">
        <v>788</v>
      </c>
      <c r="B782" s="1" t="s">
        <v>9</v>
      </c>
      <c r="C782" s="2">
        <v>0.63107638888888884</v>
      </c>
      <c r="D782">
        <v>2</v>
      </c>
    </row>
    <row r="783" spans="1:4" x14ac:dyDescent="0.25">
      <c r="A783" s="1" t="s">
        <v>789</v>
      </c>
      <c r="B783" s="1" t="s">
        <v>9</v>
      </c>
      <c r="C783" s="2">
        <v>0.63165509259259256</v>
      </c>
      <c r="D783">
        <v>2</v>
      </c>
    </row>
    <row r="784" spans="1:4" x14ac:dyDescent="0.25">
      <c r="A784" s="1" t="s">
        <v>790</v>
      </c>
      <c r="B784" s="1" t="s">
        <v>5</v>
      </c>
      <c r="C784" s="2">
        <v>0.63194444444444442</v>
      </c>
      <c r="D784">
        <v>1</v>
      </c>
    </row>
    <row r="785" spans="1:4" x14ac:dyDescent="0.25">
      <c r="A785" s="1" t="s">
        <v>791</v>
      </c>
      <c r="B785" s="1" t="s">
        <v>5</v>
      </c>
      <c r="C785" s="2">
        <v>0.63223379629629628</v>
      </c>
      <c r="D785">
        <v>1</v>
      </c>
    </row>
    <row r="786" spans="1:4" x14ac:dyDescent="0.25">
      <c r="A786" s="1" t="s">
        <v>792</v>
      </c>
      <c r="B786" s="1" t="s">
        <v>7</v>
      </c>
      <c r="C786" s="2">
        <v>0.63252314814814814</v>
      </c>
      <c r="D786">
        <v>1</v>
      </c>
    </row>
    <row r="787" spans="1:4" x14ac:dyDescent="0.25">
      <c r="A787" s="1" t="s">
        <v>793</v>
      </c>
      <c r="B787" s="1" t="s">
        <v>9</v>
      </c>
      <c r="C787" s="2">
        <v>0.6328125</v>
      </c>
      <c r="D787">
        <v>1</v>
      </c>
    </row>
    <row r="788" spans="1:4" x14ac:dyDescent="0.25">
      <c r="A788" s="1" t="s">
        <v>794</v>
      </c>
      <c r="B788" s="1" t="s">
        <v>9</v>
      </c>
      <c r="C788" s="2">
        <v>0.63339120370370372</v>
      </c>
      <c r="D788">
        <v>2</v>
      </c>
    </row>
    <row r="789" spans="1:4" x14ac:dyDescent="0.25">
      <c r="A789" s="1" t="s">
        <v>795</v>
      </c>
      <c r="B789" s="1" t="s">
        <v>9</v>
      </c>
      <c r="C789" s="2">
        <v>0.63368055555555558</v>
      </c>
      <c r="D789">
        <v>1</v>
      </c>
    </row>
    <row r="790" spans="1:4" x14ac:dyDescent="0.25">
      <c r="A790" s="1" t="s">
        <v>796</v>
      </c>
      <c r="B790" s="1" t="s">
        <v>7</v>
      </c>
      <c r="C790" s="2">
        <v>0.63396990740740744</v>
      </c>
      <c r="D790">
        <v>1</v>
      </c>
    </row>
    <row r="791" spans="1:4" x14ac:dyDescent="0.25">
      <c r="A791" s="1" t="s">
        <v>797</v>
      </c>
      <c r="B791" s="1" t="s">
        <v>27</v>
      </c>
      <c r="C791" s="2">
        <v>0.6342592592592593</v>
      </c>
      <c r="D791">
        <v>1</v>
      </c>
    </row>
    <row r="792" spans="1:4" x14ac:dyDescent="0.25">
      <c r="A792" s="1" t="s">
        <v>798</v>
      </c>
      <c r="B792" s="1" t="s">
        <v>7</v>
      </c>
      <c r="C792" s="2">
        <v>0.63454861111111116</v>
      </c>
      <c r="D792">
        <v>1</v>
      </c>
    </row>
    <row r="793" spans="1:4" x14ac:dyDescent="0.25">
      <c r="A793" s="1" t="s">
        <v>799</v>
      </c>
      <c r="B793" s="1" t="s">
        <v>5</v>
      </c>
      <c r="C793" s="2">
        <v>0.63483796296296291</v>
      </c>
      <c r="D793">
        <v>1</v>
      </c>
    </row>
    <row r="794" spans="1:4" x14ac:dyDescent="0.25">
      <c r="A794" s="1" t="s">
        <v>800</v>
      </c>
      <c r="B794" s="1" t="s">
        <v>7</v>
      </c>
      <c r="C794" s="2">
        <v>0.63512731481481477</v>
      </c>
      <c r="D794">
        <v>1</v>
      </c>
    </row>
    <row r="795" spans="1:4" x14ac:dyDescent="0.25">
      <c r="A795" s="1" t="s">
        <v>801</v>
      </c>
      <c r="B795" s="1" t="s">
        <v>5</v>
      </c>
      <c r="C795" s="2">
        <v>0.63570601851851849</v>
      </c>
      <c r="D795">
        <v>2</v>
      </c>
    </row>
    <row r="796" spans="1:4" x14ac:dyDescent="0.25">
      <c r="A796" s="1" t="s">
        <v>802</v>
      </c>
      <c r="B796" s="1" t="s">
        <v>7</v>
      </c>
      <c r="C796" s="2">
        <v>0.63599537037037035</v>
      </c>
      <c r="D796">
        <v>1</v>
      </c>
    </row>
    <row r="797" spans="1:4" x14ac:dyDescent="0.25">
      <c r="A797" s="1" t="s">
        <v>803</v>
      </c>
      <c r="B797" s="1" t="s">
        <v>9</v>
      </c>
      <c r="C797" s="2">
        <v>0.63657407407407407</v>
      </c>
      <c r="D797">
        <v>2</v>
      </c>
    </row>
    <row r="798" spans="1:4" x14ac:dyDescent="0.25">
      <c r="A798" s="1" t="s">
        <v>804</v>
      </c>
      <c r="B798" s="1" t="s">
        <v>7</v>
      </c>
      <c r="C798" s="2">
        <v>0.63686342592592593</v>
      </c>
      <c r="D798">
        <v>1</v>
      </c>
    </row>
    <row r="799" spans="1:4" x14ac:dyDescent="0.25">
      <c r="A799" s="1" t="s">
        <v>805</v>
      </c>
      <c r="B799" s="1" t="s">
        <v>5</v>
      </c>
      <c r="C799" s="2">
        <v>0.63744212962962965</v>
      </c>
      <c r="D799">
        <v>2</v>
      </c>
    </row>
    <row r="800" spans="1:4" x14ac:dyDescent="0.25">
      <c r="A800" s="1" t="s">
        <v>806</v>
      </c>
      <c r="B800" s="1" t="s">
        <v>27</v>
      </c>
      <c r="C800" s="2">
        <v>0.63773148148148151</v>
      </c>
      <c r="D800">
        <v>1</v>
      </c>
    </row>
    <row r="801" spans="1:4" x14ac:dyDescent="0.25">
      <c r="A801" s="1" t="s">
        <v>807</v>
      </c>
      <c r="B801" s="1" t="s">
        <v>7</v>
      </c>
      <c r="C801" s="2">
        <v>0.63802083333333337</v>
      </c>
      <c r="D801">
        <v>1</v>
      </c>
    </row>
    <row r="802" spans="1:4" x14ac:dyDescent="0.25">
      <c r="A802" s="1" t="s">
        <v>808</v>
      </c>
      <c r="B802" s="1" t="s">
        <v>5</v>
      </c>
      <c r="C802" s="2">
        <v>0.63831018518518523</v>
      </c>
      <c r="D802">
        <v>1</v>
      </c>
    </row>
    <row r="803" spans="1:4" x14ac:dyDescent="0.25">
      <c r="A803" s="1" t="s">
        <v>809</v>
      </c>
      <c r="B803" s="1" t="s">
        <v>9</v>
      </c>
      <c r="C803" s="2">
        <v>0.63888888888888884</v>
      </c>
      <c r="D803">
        <v>2</v>
      </c>
    </row>
    <row r="804" spans="1:4" x14ac:dyDescent="0.25">
      <c r="A804" s="1" t="s">
        <v>810</v>
      </c>
      <c r="B804" s="1" t="s">
        <v>27</v>
      </c>
      <c r="C804" s="2">
        <v>0.6391782407407407</v>
      </c>
      <c r="D804">
        <v>1</v>
      </c>
    </row>
    <row r="805" spans="1:4" x14ac:dyDescent="0.25">
      <c r="A805" s="1" t="s">
        <v>811</v>
      </c>
      <c r="B805" s="1" t="s">
        <v>7</v>
      </c>
      <c r="C805" s="2">
        <v>0.63946759259259256</v>
      </c>
      <c r="D805">
        <v>1</v>
      </c>
    </row>
    <row r="806" spans="1:4" x14ac:dyDescent="0.25">
      <c r="A806" s="1" t="s">
        <v>812</v>
      </c>
      <c r="B806" s="1" t="s">
        <v>9</v>
      </c>
      <c r="C806" s="2">
        <v>0.63975694444444442</v>
      </c>
      <c r="D806">
        <v>1</v>
      </c>
    </row>
    <row r="807" spans="1:4" x14ac:dyDescent="0.25">
      <c r="A807" s="1" t="s">
        <v>813</v>
      </c>
      <c r="B807" s="1" t="s">
        <v>5</v>
      </c>
      <c r="C807" s="2">
        <v>0.64033564814814814</v>
      </c>
      <c r="D807">
        <v>2</v>
      </c>
    </row>
    <row r="808" spans="1:4" x14ac:dyDescent="0.25">
      <c r="A808" s="1" t="s">
        <v>814</v>
      </c>
      <c r="B808" s="1" t="s">
        <v>5</v>
      </c>
      <c r="C808" s="2">
        <v>0.640625</v>
      </c>
      <c r="D808">
        <v>1</v>
      </c>
    </row>
    <row r="809" spans="1:4" x14ac:dyDescent="0.25">
      <c r="A809" s="1" t="s">
        <v>815</v>
      </c>
      <c r="B809" s="1" t="s">
        <v>9</v>
      </c>
      <c r="C809" s="2">
        <v>0.64091435185185186</v>
      </c>
      <c r="D809">
        <v>1</v>
      </c>
    </row>
    <row r="810" spans="1:4" x14ac:dyDescent="0.25">
      <c r="A810" s="1" t="s">
        <v>816</v>
      </c>
      <c r="B810" s="1" t="s">
        <v>9</v>
      </c>
      <c r="C810" s="2">
        <v>0.64120370370370372</v>
      </c>
      <c r="D810">
        <v>1</v>
      </c>
    </row>
    <row r="811" spans="1:4" x14ac:dyDescent="0.25">
      <c r="A811" s="1" t="s">
        <v>817</v>
      </c>
      <c r="B811" s="1" t="s">
        <v>5</v>
      </c>
      <c r="C811" s="2">
        <v>0.64178240740740744</v>
      </c>
      <c r="D811">
        <v>2</v>
      </c>
    </row>
    <row r="812" spans="1:4" x14ac:dyDescent="0.25">
      <c r="A812" s="1" t="s">
        <v>818</v>
      </c>
      <c r="B812" s="1" t="s">
        <v>27</v>
      </c>
      <c r="C812" s="2">
        <v>0.6420717592592593</v>
      </c>
      <c r="D812">
        <v>1</v>
      </c>
    </row>
    <row r="813" spans="1:4" x14ac:dyDescent="0.25">
      <c r="A813" s="1" t="s">
        <v>819</v>
      </c>
      <c r="B813" s="1" t="s">
        <v>7</v>
      </c>
      <c r="C813" s="2">
        <v>0.64236111111111116</v>
      </c>
      <c r="D813">
        <v>1</v>
      </c>
    </row>
    <row r="814" spans="1:4" x14ac:dyDescent="0.25">
      <c r="A814" s="1" t="s">
        <v>820</v>
      </c>
      <c r="B814" s="1" t="s">
        <v>9</v>
      </c>
      <c r="C814" s="2">
        <v>0.64293981481481477</v>
      </c>
      <c r="D814">
        <v>2</v>
      </c>
    </row>
    <row r="815" spans="1:4" x14ac:dyDescent="0.25">
      <c r="A815" s="1" t="s">
        <v>821</v>
      </c>
      <c r="B815" s="1" t="s">
        <v>7</v>
      </c>
      <c r="C815" s="2">
        <v>0.64322916666666663</v>
      </c>
      <c r="D815">
        <v>1</v>
      </c>
    </row>
    <row r="816" spans="1:4" x14ac:dyDescent="0.25">
      <c r="A816" s="1" t="s">
        <v>822</v>
      </c>
      <c r="B816" s="1" t="s">
        <v>9</v>
      </c>
      <c r="C816" s="2">
        <v>0.64351851851851849</v>
      </c>
      <c r="D816">
        <v>1</v>
      </c>
    </row>
    <row r="817" spans="1:4" x14ac:dyDescent="0.25">
      <c r="A817" s="1" t="s">
        <v>823</v>
      </c>
      <c r="B817" s="1" t="s">
        <v>7</v>
      </c>
      <c r="C817" s="2">
        <v>0.64380787037037035</v>
      </c>
      <c r="D817">
        <v>1</v>
      </c>
    </row>
    <row r="818" spans="1:4" x14ac:dyDescent="0.25">
      <c r="A818" s="1" t="s">
        <v>824</v>
      </c>
      <c r="B818" s="1" t="s">
        <v>27</v>
      </c>
      <c r="C818" s="2">
        <v>0.64409722222222221</v>
      </c>
      <c r="D818">
        <v>1</v>
      </c>
    </row>
    <row r="819" spans="1:4" x14ac:dyDescent="0.25">
      <c r="A819" s="1" t="s">
        <v>825</v>
      </c>
      <c r="B819" s="1" t="s">
        <v>7</v>
      </c>
      <c r="C819" s="2">
        <v>0.64438657407407407</v>
      </c>
      <c r="D819">
        <v>1</v>
      </c>
    </row>
    <row r="820" spans="1:4" x14ac:dyDescent="0.25">
      <c r="A820" s="1" t="s">
        <v>826</v>
      </c>
      <c r="B820" s="1" t="s">
        <v>9</v>
      </c>
      <c r="C820" s="2">
        <v>0.64496527777777779</v>
      </c>
      <c r="D820">
        <v>2</v>
      </c>
    </row>
    <row r="821" spans="1:4" x14ac:dyDescent="0.25">
      <c r="A821" s="1" t="s">
        <v>827</v>
      </c>
      <c r="B821" s="1" t="s">
        <v>7</v>
      </c>
      <c r="C821" s="2">
        <v>0.64525462962962965</v>
      </c>
      <c r="D821">
        <v>1</v>
      </c>
    </row>
    <row r="822" spans="1:4" x14ac:dyDescent="0.25">
      <c r="A822" s="1" t="s">
        <v>828</v>
      </c>
      <c r="B822" s="1" t="s">
        <v>9</v>
      </c>
      <c r="C822" s="2">
        <v>0.64554398148148151</v>
      </c>
      <c r="D822">
        <v>1</v>
      </c>
    </row>
    <row r="823" spans="1:4" x14ac:dyDescent="0.25">
      <c r="A823" s="1" t="s">
        <v>829</v>
      </c>
      <c r="B823" s="1" t="s">
        <v>7</v>
      </c>
      <c r="C823" s="2">
        <v>0.64583333333333337</v>
      </c>
      <c r="D823">
        <v>1</v>
      </c>
    </row>
    <row r="824" spans="1:4" x14ac:dyDescent="0.25">
      <c r="A824" s="1" t="s">
        <v>830</v>
      </c>
      <c r="B824" s="1" t="s">
        <v>5</v>
      </c>
      <c r="C824" s="2">
        <v>0.64612268518518523</v>
      </c>
      <c r="D824">
        <v>1</v>
      </c>
    </row>
    <row r="825" spans="1:4" x14ac:dyDescent="0.25">
      <c r="A825" s="1" t="s">
        <v>831</v>
      </c>
      <c r="B825" s="1" t="s">
        <v>7</v>
      </c>
      <c r="C825" s="2">
        <v>0.64641203703703709</v>
      </c>
      <c r="D825">
        <v>1</v>
      </c>
    </row>
    <row r="826" spans="1:4" x14ac:dyDescent="0.25">
      <c r="A826" s="1" t="s">
        <v>832</v>
      </c>
      <c r="B826" s="1" t="s">
        <v>5</v>
      </c>
      <c r="C826" s="2">
        <v>0.64670138888888884</v>
      </c>
      <c r="D826">
        <v>1</v>
      </c>
    </row>
    <row r="827" spans="1:4" x14ac:dyDescent="0.25">
      <c r="A827" s="1" t="s">
        <v>833</v>
      </c>
      <c r="B827" s="1" t="s">
        <v>5</v>
      </c>
      <c r="C827" s="2">
        <v>0.6469907407407407</v>
      </c>
      <c r="D827">
        <v>1</v>
      </c>
    </row>
    <row r="828" spans="1:4" x14ac:dyDescent="0.25">
      <c r="A828" s="1" t="s">
        <v>834</v>
      </c>
      <c r="B828" s="1" t="s">
        <v>7</v>
      </c>
      <c r="C828" s="2">
        <v>0.64728009259259256</v>
      </c>
      <c r="D828">
        <v>1</v>
      </c>
    </row>
    <row r="829" spans="1:4" x14ac:dyDescent="0.25">
      <c r="A829" s="1" t="s">
        <v>835</v>
      </c>
      <c r="B829" s="1" t="s">
        <v>9</v>
      </c>
      <c r="C829" s="2">
        <v>0.64785879629629628</v>
      </c>
      <c r="D829">
        <v>2</v>
      </c>
    </row>
    <row r="830" spans="1:4" x14ac:dyDescent="0.25">
      <c r="A830" s="1" t="s">
        <v>836</v>
      </c>
      <c r="B830" s="1" t="s">
        <v>5</v>
      </c>
      <c r="C830" s="2">
        <v>0.6484375</v>
      </c>
      <c r="D830">
        <v>2</v>
      </c>
    </row>
    <row r="831" spans="1:4" x14ac:dyDescent="0.25">
      <c r="A831" s="1" t="s">
        <v>837</v>
      </c>
      <c r="B831" s="1" t="s">
        <v>7</v>
      </c>
      <c r="C831" s="2">
        <v>0.64872685185185186</v>
      </c>
      <c r="D831">
        <v>1</v>
      </c>
    </row>
    <row r="832" spans="1:4" x14ac:dyDescent="0.25">
      <c r="A832" s="1" t="s">
        <v>838</v>
      </c>
      <c r="B832" s="1" t="s">
        <v>5</v>
      </c>
      <c r="C832" s="2">
        <v>0.64901620370370372</v>
      </c>
      <c r="D832">
        <v>1</v>
      </c>
    </row>
    <row r="833" spans="1:4" x14ac:dyDescent="0.25">
      <c r="A833" s="1" t="s">
        <v>839</v>
      </c>
      <c r="B833" s="1" t="s">
        <v>7</v>
      </c>
      <c r="C833" s="2">
        <v>0.64930555555555558</v>
      </c>
      <c r="D833">
        <v>1</v>
      </c>
    </row>
    <row r="834" spans="1:4" x14ac:dyDescent="0.25">
      <c r="A834" s="1" t="s">
        <v>840</v>
      </c>
      <c r="B834" s="1" t="s">
        <v>9</v>
      </c>
      <c r="C834" s="2">
        <v>0.6498842592592593</v>
      </c>
      <c r="D834">
        <v>2</v>
      </c>
    </row>
    <row r="835" spans="1:4" x14ac:dyDescent="0.25">
      <c r="A835" s="1" t="s">
        <v>841</v>
      </c>
      <c r="B835" s="1" t="s">
        <v>7</v>
      </c>
      <c r="C835" s="2">
        <v>0.65017361111111116</v>
      </c>
      <c r="D835">
        <v>1</v>
      </c>
    </row>
    <row r="836" spans="1:4" x14ac:dyDescent="0.25">
      <c r="A836" s="1" t="s">
        <v>842</v>
      </c>
      <c r="B836" s="1" t="s">
        <v>9</v>
      </c>
      <c r="C836" s="2">
        <v>0.65046296296296291</v>
      </c>
      <c r="D836">
        <v>1</v>
      </c>
    </row>
    <row r="837" spans="1:4" x14ac:dyDescent="0.25">
      <c r="A837" s="1" t="s">
        <v>843</v>
      </c>
      <c r="B837" s="1" t="s">
        <v>9</v>
      </c>
      <c r="C837" s="2">
        <v>0.65104166666666663</v>
      </c>
      <c r="D837">
        <v>2</v>
      </c>
    </row>
    <row r="838" spans="1:4" x14ac:dyDescent="0.25">
      <c r="A838" s="1" t="s">
        <v>844</v>
      </c>
      <c r="B838" s="1" t="s">
        <v>7</v>
      </c>
      <c r="C838" s="2">
        <v>0.65133101851851849</v>
      </c>
      <c r="D838">
        <v>1</v>
      </c>
    </row>
    <row r="839" spans="1:4" x14ac:dyDescent="0.25">
      <c r="A839" s="1" t="s">
        <v>845</v>
      </c>
      <c r="B839" s="1" t="s">
        <v>9</v>
      </c>
      <c r="C839" s="2">
        <v>0.65162037037037035</v>
      </c>
      <c r="D839">
        <v>1</v>
      </c>
    </row>
    <row r="840" spans="1:4" x14ac:dyDescent="0.25">
      <c r="A840" s="1" t="s">
        <v>846</v>
      </c>
      <c r="B840" s="1" t="s">
        <v>7</v>
      </c>
      <c r="C840" s="2">
        <v>0.65190972222222221</v>
      </c>
      <c r="D840">
        <v>1</v>
      </c>
    </row>
    <row r="841" spans="1:4" x14ac:dyDescent="0.25">
      <c r="A841" s="1" t="s">
        <v>847</v>
      </c>
      <c r="B841" s="1" t="s">
        <v>9</v>
      </c>
      <c r="C841" s="2">
        <v>0.65248842592592593</v>
      </c>
      <c r="D841">
        <v>2</v>
      </c>
    </row>
    <row r="842" spans="1:4" x14ac:dyDescent="0.25">
      <c r="A842" s="1" t="s">
        <v>848</v>
      </c>
      <c r="B842" s="1" t="s">
        <v>27</v>
      </c>
      <c r="C842" s="2">
        <v>0.65277777777777779</v>
      </c>
      <c r="D842">
        <v>1</v>
      </c>
    </row>
    <row r="843" spans="1:4" x14ac:dyDescent="0.25">
      <c r="A843" s="1" t="s">
        <v>849</v>
      </c>
      <c r="B843" s="1" t="s">
        <v>7</v>
      </c>
      <c r="C843" s="2">
        <v>0.65306712962962965</v>
      </c>
      <c r="D843">
        <v>1</v>
      </c>
    </row>
    <row r="844" spans="1:4" x14ac:dyDescent="0.25">
      <c r="A844" s="1" t="s">
        <v>850</v>
      </c>
      <c r="B844" s="1" t="s">
        <v>5</v>
      </c>
      <c r="C844" s="2">
        <v>0.65364583333333337</v>
      </c>
      <c r="D844">
        <v>2</v>
      </c>
    </row>
    <row r="845" spans="1:4" x14ac:dyDescent="0.25">
      <c r="A845" s="1" t="s">
        <v>851</v>
      </c>
      <c r="B845" s="1" t="s">
        <v>5</v>
      </c>
      <c r="C845" s="2">
        <v>0.65422453703703709</v>
      </c>
      <c r="D845">
        <v>2</v>
      </c>
    </row>
    <row r="846" spans="1:4" x14ac:dyDescent="0.25">
      <c r="A846" s="1" t="s">
        <v>852</v>
      </c>
      <c r="B846" s="1" t="s">
        <v>5</v>
      </c>
      <c r="C846" s="2">
        <v>0.65451388888888884</v>
      </c>
      <c r="D846">
        <v>1</v>
      </c>
    </row>
    <row r="847" spans="1:4" x14ac:dyDescent="0.25">
      <c r="A847" s="1" t="s">
        <v>853</v>
      </c>
      <c r="B847" s="1" t="s">
        <v>7</v>
      </c>
      <c r="C847" s="2">
        <v>0.6548032407407407</v>
      </c>
      <c r="D847">
        <v>1</v>
      </c>
    </row>
    <row r="848" spans="1:4" x14ac:dyDescent="0.25">
      <c r="A848" s="1" t="s">
        <v>854</v>
      </c>
      <c r="B848" s="1" t="s">
        <v>5</v>
      </c>
      <c r="C848" s="2">
        <v>0.65538194444444442</v>
      </c>
      <c r="D848">
        <v>2</v>
      </c>
    </row>
    <row r="849" spans="1:4" x14ac:dyDescent="0.25">
      <c r="A849" s="1" t="s">
        <v>855</v>
      </c>
      <c r="B849" s="1" t="s">
        <v>9</v>
      </c>
      <c r="C849" s="2">
        <v>0.65596064814814814</v>
      </c>
      <c r="D849">
        <v>2</v>
      </c>
    </row>
    <row r="850" spans="1:4" x14ac:dyDescent="0.25">
      <c r="A850" s="1" t="s">
        <v>856</v>
      </c>
      <c r="B850" s="1" t="s">
        <v>5</v>
      </c>
      <c r="C850" s="2">
        <v>0.65625</v>
      </c>
      <c r="D850">
        <v>1</v>
      </c>
    </row>
    <row r="851" spans="1:4" x14ac:dyDescent="0.25">
      <c r="A851" s="1" t="s">
        <v>857</v>
      </c>
      <c r="B851" s="1" t="s">
        <v>9</v>
      </c>
      <c r="C851" s="2">
        <v>0.65682870370370372</v>
      </c>
      <c r="D851">
        <v>2</v>
      </c>
    </row>
    <row r="852" spans="1:4" x14ac:dyDescent="0.25">
      <c r="A852" s="1" t="s">
        <v>858</v>
      </c>
      <c r="B852" s="1" t="s">
        <v>7</v>
      </c>
      <c r="C852" s="2">
        <v>0.65711805555555558</v>
      </c>
      <c r="D852">
        <v>1</v>
      </c>
    </row>
    <row r="853" spans="1:4" x14ac:dyDescent="0.25">
      <c r="A853" s="1" t="s">
        <v>859</v>
      </c>
      <c r="B853" s="1" t="s">
        <v>5</v>
      </c>
      <c r="C853" s="2">
        <v>0.6576967592592593</v>
      </c>
      <c r="D853">
        <v>2</v>
      </c>
    </row>
    <row r="854" spans="1:4" x14ac:dyDescent="0.25">
      <c r="A854" s="1" t="s">
        <v>860</v>
      </c>
      <c r="B854" s="1" t="s">
        <v>5</v>
      </c>
      <c r="C854" s="2">
        <v>0.65798611111111116</v>
      </c>
      <c r="D854">
        <v>1</v>
      </c>
    </row>
    <row r="855" spans="1:4" x14ac:dyDescent="0.25">
      <c r="A855" s="1" t="s">
        <v>861</v>
      </c>
      <c r="B855" s="1" t="s">
        <v>5</v>
      </c>
      <c r="C855" s="2">
        <v>0.65856481481481477</v>
      </c>
      <c r="D855">
        <v>2</v>
      </c>
    </row>
    <row r="856" spans="1:4" x14ac:dyDescent="0.25">
      <c r="A856" s="1" t="s">
        <v>862</v>
      </c>
      <c r="B856" s="1" t="s">
        <v>7</v>
      </c>
      <c r="C856" s="2">
        <v>0.65885416666666663</v>
      </c>
      <c r="D856">
        <v>1</v>
      </c>
    </row>
    <row r="857" spans="1:4" x14ac:dyDescent="0.25">
      <c r="A857" s="1" t="s">
        <v>863</v>
      </c>
      <c r="B857" s="1" t="s">
        <v>5</v>
      </c>
      <c r="C857" s="2">
        <v>0.65943287037037035</v>
      </c>
      <c r="D857">
        <v>2</v>
      </c>
    </row>
    <row r="858" spans="1:4" x14ac:dyDescent="0.25">
      <c r="A858" s="1" t="s">
        <v>864</v>
      </c>
      <c r="B858" s="1" t="s">
        <v>7</v>
      </c>
      <c r="C858" s="2">
        <v>0.65972222222222221</v>
      </c>
      <c r="D858">
        <v>1</v>
      </c>
    </row>
    <row r="859" spans="1:4" x14ac:dyDescent="0.25">
      <c r="A859" s="1" t="s">
        <v>865</v>
      </c>
      <c r="B859" s="1" t="s">
        <v>9</v>
      </c>
      <c r="C859" s="2">
        <v>0.66030092592592593</v>
      </c>
      <c r="D859">
        <v>2</v>
      </c>
    </row>
    <row r="860" spans="1:4" x14ac:dyDescent="0.25">
      <c r="A860" s="1" t="s">
        <v>866</v>
      </c>
      <c r="B860" s="1" t="s">
        <v>27</v>
      </c>
      <c r="C860" s="2">
        <v>0.66059027777777779</v>
      </c>
      <c r="D860">
        <v>1</v>
      </c>
    </row>
    <row r="861" spans="1:4" x14ac:dyDescent="0.25">
      <c r="A861" s="1" t="s">
        <v>867</v>
      </c>
      <c r="B861" s="1" t="s">
        <v>7</v>
      </c>
      <c r="C861" s="2">
        <v>0.66087962962962965</v>
      </c>
      <c r="D861">
        <v>1</v>
      </c>
    </row>
    <row r="862" spans="1:4" x14ac:dyDescent="0.25">
      <c r="A862" s="1" t="s">
        <v>868</v>
      </c>
      <c r="B862" s="1" t="s">
        <v>7</v>
      </c>
      <c r="C862" s="2">
        <v>0.66116898148148151</v>
      </c>
      <c r="D862">
        <v>1</v>
      </c>
    </row>
    <row r="863" spans="1:4" x14ac:dyDescent="0.25">
      <c r="A863" s="1" t="s">
        <v>869</v>
      </c>
      <c r="B863" s="1" t="s">
        <v>5</v>
      </c>
      <c r="C863" s="2">
        <v>0.66174768518518523</v>
      </c>
      <c r="D863">
        <v>2</v>
      </c>
    </row>
    <row r="864" spans="1:4" x14ac:dyDescent="0.25">
      <c r="A864" s="1" t="s">
        <v>870</v>
      </c>
      <c r="B864" s="1" t="s">
        <v>9</v>
      </c>
      <c r="C864" s="2">
        <v>0.66203703703703709</v>
      </c>
      <c r="D864">
        <v>1</v>
      </c>
    </row>
    <row r="865" spans="1:4" x14ac:dyDescent="0.25">
      <c r="A865" s="1" t="s">
        <v>871</v>
      </c>
      <c r="B865" s="1" t="s">
        <v>7</v>
      </c>
      <c r="C865" s="2">
        <v>0.66232638888888884</v>
      </c>
      <c r="D865">
        <v>1</v>
      </c>
    </row>
    <row r="866" spans="1:4" x14ac:dyDescent="0.25">
      <c r="A866" s="1" t="s">
        <v>872</v>
      </c>
      <c r="B866" s="1" t="s">
        <v>9</v>
      </c>
      <c r="C866" s="2">
        <v>0.66290509259259256</v>
      </c>
      <c r="D866">
        <v>2</v>
      </c>
    </row>
    <row r="867" spans="1:4" x14ac:dyDescent="0.25">
      <c r="A867" s="1" t="s">
        <v>873</v>
      </c>
      <c r="B867" s="1" t="s">
        <v>9</v>
      </c>
      <c r="C867" s="2">
        <v>0.66319444444444442</v>
      </c>
      <c r="D867">
        <v>1</v>
      </c>
    </row>
    <row r="868" spans="1:4" x14ac:dyDescent="0.25">
      <c r="A868" s="1" t="s">
        <v>874</v>
      </c>
      <c r="B868" s="1" t="s">
        <v>9</v>
      </c>
      <c r="C868" s="2">
        <v>0.66348379629629628</v>
      </c>
      <c r="D868">
        <v>1</v>
      </c>
    </row>
    <row r="869" spans="1:4" x14ac:dyDescent="0.25">
      <c r="A869" s="1" t="s">
        <v>875</v>
      </c>
      <c r="B869" s="1" t="s">
        <v>7</v>
      </c>
      <c r="C869" s="2">
        <v>0.66377314814814814</v>
      </c>
      <c r="D869">
        <v>1</v>
      </c>
    </row>
    <row r="870" spans="1:4" x14ac:dyDescent="0.25">
      <c r="A870" s="1" t="s">
        <v>876</v>
      </c>
      <c r="B870" s="1" t="s">
        <v>5</v>
      </c>
      <c r="C870" s="2">
        <v>0.6640625</v>
      </c>
      <c r="D870">
        <v>1</v>
      </c>
    </row>
    <row r="871" spans="1:4" x14ac:dyDescent="0.25">
      <c r="A871" s="1" t="s">
        <v>877</v>
      </c>
      <c r="B871" s="1" t="s">
        <v>7</v>
      </c>
      <c r="C871" s="2">
        <v>0.66435185185185186</v>
      </c>
      <c r="D871">
        <v>1</v>
      </c>
    </row>
    <row r="872" spans="1:4" x14ac:dyDescent="0.25">
      <c r="A872" s="1" t="s">
        <v>878</v>
      </c>
      <c r="B872" s="1" t="s">
        <v>7</v>
      </c>
      <c r="C872" s="2">
        <v>0.66464120370370372</v>
      </c>
      <c r="D872">
        <v>1</v>
      </c>
    </row>
    <row r="873" spans="1:4" x14ac:dyDescent="0.25">
      <c r="A873" s="1" t="s">
        <v>879</v>
      </c>
      <c r="B873" s="1" t="s">
        <v>5</v>
      </c>
      <c r="C873" s="2">
        <v>0.66493055555555558</v>
      </c>
      <c r="D873">
        <v>1</v>
      </c>
    </row>
    <row r="874" spans="1:4" x14ac:dyDescent="0.25">
      <c r="A874" s="1" t="s">
        <v>880</v>
      </c>
      <c r="B874" s="1" t="s">
        <v>5</v>
      </c>
      <c r="C874" s="2">
        <v>0.6655092592592593</v>
      </c>
      <c r="D874">
        <v>2</v>
      </c>
    </row>
    <row r="875" spans="1:4" x14ac:dyDescent="0.25">
      <c r="A875" s="1" t="s">
        <v>881</v>
      </c>
      <c r="B875" s="1" t="s">
        <v>5</v>
      </c>
      <c r="C875" s="2">
        <v>0.66608796296296291</v>
      </c>
      <c r="D875">
        <v>2</v>
      </c>
    </row>
    <row r="876" spans="1:4" x14ac:dyDescent="0.25">
      <c r="A876" s="1" t="s">
        <v>882</v>
      </c>
      <c r="B876" s="1" t="s">
        <v>7</v>
      </c>
      <c r="C876" s="2">
        <v>0.66637731481481477</v>
      </c>
      <c r="D876">
        <v>1</v>
      </c>
    </row>
    <row r="877" spans="1:4" x14ac:dyDescent="0.25">
      <c r="A877" s="1" t="s">
        <v>883</v>
      </c>
      <c r="B877" s="1" t="s">
        <v>9</v>
      </c>
      <c r="C877" s="2">
        <v>0.66666666666666663</v>
      </c>
      <c r="D877">
        <v>1</v>
      </c>
    </row>
    <row r="878" spans="1:4" x14ac:dyDescent="0.25">
      <c r="A878" s="1" t="s">
        <v>884</v>
      </c>
      <c r="B878" s="1" t="s">
        <v>7</v>
      </c>
      <c r="C878" s="2">
        <v>0.66695601851851849</v>
      </c>
      <c r="D878">
        <v>1</v>
      </c>
    </row>
    <row r="879" spans="1:4" x14ac:dyDescent="0.25">
      <c r="A879" s="1" t="s">
        <v>885</v>
      </c>
      <c r="B879" s="1" t="s">
        <v>7</v>
      </c>
      <c r="C879" s="2">
        <v>0.66724537037037035</v>
      </c>
      <c r="D879">
        <v>1</v>
      </c>
    </row>
    <row r="880" spans="1:4" x14ac:dyDescent="0.25">
      <c r="A880" s="1" t="s">
        <v>886</v>
      </c>
      <c r="B880" s="1" t="s">
        <v>5</v>
      </c>
      <c r="C880" s="2">
        <v>0.66753472222222221</v>
      </c>
      <c r="D880">
        <v>1</v>
      </c>
    </row>
    <row r="881" spans="1:4" x14ac:dyDescent="0.25">
      <c r="A881" s="1" t="s">
        <v>887</v>
      </c>
      <c r="B881" s="1" t="s">
        <v>5</v>
      </c>
      <c r="C881" s="2">
        <v>0.66782407407407407</v>
      </c>
      <c r="D881">
        <v>1</v>
      </c>
    </row>
    <row r="882" spans="1:4" x14ac:dyDescent="0.25">
      <c r="A882" s="1" t="s">
        <v>888</v>
      </c>
      <c r="B882" s="1" t="s">
        <v>27</v>
      </c>
      <c r="C882" s="2">
        <v>0.66840277777777779</v>
      </c>
      <c r="D882">
        <v>2</v>
      </c>
    </row>
    <row r="883" spans="1:4" x14ac:dyDescent="0.25">
      <c r="A883" s="1" t="s">
        <v>889</v>
      </c>
      <c r="B883" s="1" t="s">
        <v>7</v>
      </c>
      <c r="C883" s="2">
        <v>0.66869212962962965</v>
      </c>
      <c r="D883">
        <v>1</v>
      </c>
    </row>
    <row r="884" spans="1:4" x14ac:dyDescent="0.25">
      <c r="A884" s="1" t="s">
        <v>890</v>
      </c>
      <c r="B884" s="1" t="s">
        <v>5</v>
      </c>
      <c r="C884" s="2">
        <v>0.66927083333333337</v>
      </c>
      <c r="D884">
        <v>2</v>
      </c>
    </row>
    <row r="885" spans="1:4" x14ac:dyDescent="0.25">
      <c r="A885" s="1" t="s">
        <v>891</v>
      </c>
      <c r="B885" s="1" t="s">
        <v>7</v>
      </c>
      <c r="C885" s="2">
        <v>0.66956018518518523</v>
      </c>
      <c r="D885">
        <v>1</v>
      </c>
    </row>
    <row r="886" spans="1:4" x14ac:dyDescent="0.25">
      <c r="A886" s="1" t="s">
        <v>892</v>
      </c>
      <c r="B886" s="1" t="s">
        <v>5</v>
      </c>
      <c r="C886" s="2">
        <v>0.66984953703703709</v>
      </c>
      <c r="D886">
        <v>1</v>
      </c>
    </row>
    <row r="887" spans="1:4" x14ac:dyDescent="0.25">
      <c r="A887" s="1" t="s">
        <v>893</v>
      </c>
      <c r="B887" s="1" t="s">
        <v>9</v>
      </c>
      <c r="C887" s="2">
        <v>0.67013888888888884</v>
      </c>
      <c r="D887">
        <v>1</v>
      </c>
    </row>
    <row r="888" spans="1:4" x14ac:dyDescent="0.25">
      <c r="A888" s="1" t="s">
        <v>894</v>
      </c>
      <c r="B888" s="1" t="s">
        <v>9</v>
      </c>
      <c r="C888" s="2">
        <v>0.67071759259259256</v>
      </c>
      <c r="D888">
        <v>2</v>
      </c>
    </row>
    <row r="889" spans="1:4" x14ac:dyDescent="0.25">
      <c r="A889" s="1" t="s">
        <v>895</v>
      </c>
      <c r="B889" s="1" t="s">
        <v>27</v>
      </c>
      <c r="C889" s="2">
        <v>0.67129629629629628</v>
      </c>
      <c r="D889">
        <v>2</v>
      </c>
    </row>
    <row r="890" spans="1:4" x14ac:dyDescent="0.25">
      <c r="A890" s="1" t="s">
        <v>896</v>
      </c>
      <c r="B890" s="1" t="s">
        <v>7</v>
      </c>
      <c r="C890" s="2">
        <v>0.67158564814814814</v>
      </c>
      <c r="D890">
        <v>1</v>
      </c>
    </row>
    <row r="891" spans="1:4" x14ac:dyDescent="0.25">
      <c r="A891" s="1" t="s">
        <v>897</v>
      </c>
      <c r="B891" s="1" t="s">
        <v>5</v>
      </c>
      <c r="C891" s="2">
        <v>0.67216435185185186</v>
      </c>
      <c r="D891">
        <v>2</v>
      </c>
    </row>
    <row r="892" spans="1:4" x14ac:dyDescent="0.25">
      <c r="A892" s="1" t="s">
        <v>898</v>
      </c>
      <c r="B892" s="1" t="s">
        <v>7</v>
      </c>
      <c r="C892" s="2">
        <v>0.67245370370370372</v>
      </c>
      <c r="D892">
        <v>1</v>
      </c>
    </row>
    <row r="893" spans="1:4" x14ac:dyDescent="0.25">
      <c r="A893" s="1" t="s">
        <v>899</v>
      </c>
      <c r="B893" s="1" t="s">
        <v>5</v>
      </c>
      <c r="C893" s="2">
        <v>0.67274305555555558</v>
      </c>
      <c r="D893">
        <v>1</v>
      </c>
    </row>
    <row r="894" spans="1:4" x14ac:dyDescent="0.25">
      <c r="A894" s="1" t="s">
        <v>900</v>
      </c>
      <c r="B894" s="1" t="s">
        <v>7</v>
      </c>
      <c r="C894" s="2">
        <v>0.67303240740740744</v>
      </c>
      <c r="D894">
        <v>1</v>
      </c>
    </row>
    <row r="895" spans="1:4" x14ac:dyDescent="0.25">
      <c r="A895" s="1" t="s">
        <v>901</v>
      </c>
      <c r="B895" s="1" t="s">
        <v>5</v>
      </c>
      <c r="C895" s="2">
        <v>0.67361111111111116</v>
      </c>
      <c r="D895">
        <v>2</v>
      </c>
    </row>
    <row r="896" spans="1:4" x14ac:dyDescent="0.25">
      <c r="A896" s="1" t="s">
        <v>902</v>
      </c>
      <c r="B896" s="1" t="s">
        <v>7</v>
      </c>
      <c r="C896" s="2">
        <v>0.67390046296296291</v>
      </c>
      <c r="D896">
        <v>1</v>
      </c>
    </row>
    <row r="897" spans="1:4" x14ac:dyDescent="0.25">
      <c r="A897" s="1" t="s">
        <v>903</v>
      </c>
      <c r="B897" s="1" t="s">
        <v>5</v>
      </c>
      <c r="C897" s="2">
        <v>0.67447916666666663</v>
      </c>
      <c r="D897">
        <v>2</v>
      </c>
    </row>
    <row r="898" spans="1:4" x14ac:dyDescent="0.25">
      <c r="A898" s="1" t="s">
        <v>904</v>
      </c>
      <c r="B898" s="1" t="s">
        <v>7</v>
      </c>
      <c r="C898" s="2">
        <v>0.67476851851851849</v>
      </c>
      <c r="D898">
        <v>1</v>
      </c>
    </row>
    <row r="899" spans="1:4" x14ac:dyDescent="0.25">
      <c r="A899" s="1" t="s">
        <v>905</v>
      </c>
      <c r="B899" s="1" t="s">
        <v>9</v>
      </c>
      <c r="C899" s="2">
        <v>0.67505787037037035</v>
      </c>
      <c r="D899">
        <v>1</v>
      </c>
    </row>
    <row r="900" spans="1:4" x14ac:dyDescent="0.25">
      <c r="A900" s="1" t="s">
        <v>906</v>
      </c>
      <c r="B900" s="1" t="s">
        <v>7</v>
      </c>
      <c r="C900" s="2">
        <v>0.67534722222222221</v>
      </c>
      <c r="D900">
        <v>1</v>
      </c>
    </row>
    <row r="901" spans="1:4" x14ac:dyDescent="0.25">
      <c r="A901" s="1" t="s">
        <v>907</v>
      </c>
      <c r="B901" s="1" t="s">
        <v>7</v>
      </c>
      <c r="C901" s="2">
        <v>0.67563657407407407</v>
      </c>
      <c r="D901">
        <v>1</v>
      </c>
    </row>
    <row r="902" spans="1:4" x14ac:dyDescent="0.25">
      <c r="A902" s="1" t="s">
        <v>908</v>
      </c>
      <c r="B902" s="1" t="s">
        <v>5</v>
      </c>
      <c r="C902" s="2">
        <v>0.67592592592592593</v>
      </c>
      <c r="D902">
        <v>1</v>
      </c>
    </row>
    <row r="903" spans="1:4" x14ac:dyDescent="0.25">
      <c r="A903" s="1" t="s">
        <v>909</v>
      </c>
      <c r="B903" s="1" t="s">
        <v>27</v>
      </c>
      <c r="C903" s="2">
        <v>0.67621527777777779</v>
      </c>
      <c r="D903">
        <v>1</v>
      </c>
    </row>
    <row r="904" spans="1:4" x14ac:dyDescent="0.25">
      <c r="A904" s="1" t="s">
        <v>910</v>
      </c>
      <c r="B904" s="1" t="s">
        <v>27</v>
      </c>
      <c r="C904" s="2">
        <v>0.67650462962962965</v>
      </c>
      <c r="D904">
        <v>1</v>
      </c>
    </row>
    <row r="905" spans="1:4" x14ac:dyDescent="0.25">
      <c r="A905" s="1" t="s">
        <v>911</v>
      </c>
      <c r="B905" s="1" t="s">
        <v>7</v>
      </c>
      <c r="C905" s="2">
        <v>0.67679398148148151</v>
      </c>
      <c r="D905">
        <v>1</v>
      </c>
    </row>
    <row r="906" spans="1:4" x14ac:dyDescent="0.25">
      <c r="A906" s="1" t="s">
        <v>912</v>
      </c>
      <c r="B906" s="1" t="s">
        <v>9</v>
      </c>
      <c r="C906" s="2">
        <v>0.67708333333333337</v>
      </c>
      <c r="D906">
        <v>1</v>
      </c>
    </row>
    <row r="907" spans="1:4" x14ac:dyDescent="0.25">
      <c r="A907" s="1" t="s">
        <v>913</v>
      </c>
      <c r="B907" s="1" t="s">
        <v>7</v>
      </c>
      <c r="C907" s="2">
        <v>0.67737268518518523</v>
      </c>
      <c r="D907">
        <v>1</v>
      </c>
    </row>
    <row r="908" spans="1:4" x14ac:dyDescent="0.25">
      <c r="A908" s="1" t="s">
        <v>914</v>
      </c>
      <c r="B908" s="1" t="s">
        <v>9</v>
      </c>
      <c r="C908" s="2">
        <v>0.67766203703703709</v>
      </c>
      <c r="D908">
        <v>1</v>
      </c>
    </row>
    <row r="909" spans="1:4" x14ac:dyDescent="0.25">
      <c r="A909" s="1" t="s">
        <v>915</v>
      </c>
      <c r="B909" s="1" t="s">
        <v>5</v>
      </c>
      <c r="C909" s="2">
        <v>0.6782407407407407</v>
      </c>
      <c r="D909">
        <v>2</v>
      </c>
    </row>
    <row r="910" spans="1:4" x14ac:dyDescent="0.25">
      <c r="A910" s="1" t="s">
        <v>916</v>
      </c>
      <c r="B910" s="1" t="s">
        <v>5</v>
      </c>
      <c r="C910" s="2">
        <v>0.67853009259259256</v>
      </c>
      <c r="D910">
        <v>1</v>
      </c>
    </row>
    <row r="911" spans="1:4" x14ac:dyDescent="0.25">
      <c r="A911" s="1" t="s">
        <v>917</v>
      </c>
      <c r="B911" s="1" t="s">
        <v>7</v>
      </c>
      <c r="C911" s="2">
        <v>0.67881944444444442</v>
      </c>
      <c r="D911">
        <v>1</v>
      </c>
    </row>
    <row r="912" spans="1:4" x14ac:dyDescent="0.25">
      <c r="A912" s="1" t="s">
        <v>918</v>
      </c>
      <c r="B912" s="1" t="s">
        <v>5</v>
      </c>
      <c r="C912" s="2">
        <v>0.67939814814814814</v>
      </c>
      <c r="D912">
        <v>2</v>
      </c>
    </row>
    <row r="913" spans="1:4" x14ac:dyDescent="0.25">
      <c r="A913" s="1" t="s">
        <v>919</v>
      </c>
      <c r="B913" s="1" t="s">
        <v>9</v>
      </c>
      <c r="C913" s="2">
        <v>0.6796875</v>
      </c>
      <c r="D913">
        <v>1</v>
      </c>
    </row>
    <row r="914" spans="1:4" x14ac:dyDescent="0.25">
      <c r="A914" s="1" t="s">
        <v>920</v>
      </c>
      <c r="B914" s="1" t="s">
        <v>7</v>
      </c>
      <c r="C914" s="2">
        <v>0.67997685185185186</v>
      </c>
      <c r="D914">
        <v>1</v>
      </c>
    </row>
    <row r="915" spans="1:4" x14ac:dyDescent="0.25">
      <c r="A915" s="1" t="s">
        <v>921</v>
      </c>
      <c r="B915" s="1" t="s">
        <v>7</v>
      </c>
      <c r="C915" s="2">
        <v>0.68026620370370372</v>
      </c>
      <c r="D915">
        <v>1</v>
      </c>
    </row>
    <row r="916" spans="1:4" x14ac:dyDescent="0.25">
      <c r="A916" s="1" t="s">
        <v>922</v>
      </c>
      <c r="B916" s="1" t="s">
        <v>7</v>
      </c>
      <c r="C916" s="2">
        <v>0.68055555555555558</v>
      </c>
      <c r="D916">
        <v>1</v>
      </c>
    </row>
    <row r="917" spans="1:4" x14ac:dyDescent="0.25">
      <c r="A917" s="1" t="s">
        <v>923</v>
      </c>
      <c r="B917" s="1" t="s">
        <v>27</v>
      </c>
      <c r="C917" s="2">
        <v>0.68084490740740744</v>
      </c>
      <c r="D917">
        <v>1</v>
      </c>
    </row>
    <row r="918" spans="1:4" x14ac:dyDescent="0.25">
      <c r="A918" s="1" t="s">
        <v>924</v>
      </c>
      <c r="B918" s="1" t="s">
        <v>7</v>
      </c>
      <c r="C918" s="2">
        <v>0.6811342592592593</v>
      </c>
      <c r="D918">
        <v>1</v>
      </c>
    </row>
    <row r="919" spans="1:4" x14ac:dyDescent="0.25">
      <c r="A919" s="1" t="s">
        <v>925</v>
      </c>
      <c r="B919" s="1" t="s">
        <v>7</v>
      </c>
      <c r="C919" s="2">
        <v>0.68142361111111116</v>
      </c>
      <c r="D919">
        <v>1</v>
      </c>
    </row>
    <row r="920" spans="1:4" x14ac:dyDescent="0.25">
      <c r="A920" s="1" t="s">
        <v>926</v>
      </c>
      <c r="B920" s="1" t="s">
        <v>9</v>
      </c>
      <c r="C920" s="2">
        <v>0.68171296296296291</v>
      </c>
      <c r="D920">
        <v>1</v>
      </c>
    </row>
    <row r="921" spans="1:4" x14ac:dyDescent="0.25">
      <c r="A921" s="1" t="s">
        <v>927</v>
      </c>
      <c r="B921" s="1" t="s">
        <v>9</v>
      </c>
      <c r="C921" s="2">
        <v>0.68200231481481477</v>
      </c>
      <c r="D921">
        <v>1</v>
      </c>
    </row>
    <row r="922" spans="1:4" x14ac:dyDescent="0.25">
      <c r="A922" s="1" t="s">
        <v>928</v>
      </c>
      <c r="B922" s="1" t="s">
        <v>7</v>
      </c>
      <c r="C922" s="2">
        <v>0.68229166666666663</v>
      </c>
      <c r="D922">
        <v>1</v>
      </c>
    </row>
    <row r="923" spans="1:4" x14ac:dyDescent="0.25">
      <c r="A923" s="1" t="s">
        <v>929</v>
      </c>
      <c r="B923" s="1" t="s">
        <v>27</v>
      </c>
      <c r="C923" s="2">
        <v>0.68287037037037035</v>
      </c>
      <c r="D923">
        <v>2</v>
      </c>
    </row>
    <row r="924" spans="1:4" x14ac:dyDescent="0.25">
      <c r="A924" s="1" t="s">
        <v>930</v>
      </c>
      <c r="B924" s="1" t="s">
        <v>7</v>
      </c>
      <c r="C924" s="2">
        <v>0.68315972222222221</v>
      </c>
      <c r="D924">
        <v>1</v>
      </c>
    </row>
    <row r="925" spans="1:4" x14ac:dyDescent="0.25">
      <c r="A925" s="1" t="s">
        <v>931</v>
      </c>
      <c r="B925" s="1" t="s">
        <v>27</v>
      </c>
      <c r="C925" s="2">
        <v>0.68344907407407407</v>
      </c>
      <c r="D925">
        <v>1</v>
      </c>
    </row>
    <row r="926" spans="1:4" x14ac:dyDescent="0.25">
      <c r="A926" s="1" t="s">
        <v>932</v>
      </c>
      <c r="B926" s="1" t="s">
        <v>27</v>
      </c>
      <c r="C926" s="2">
        <v>0.68402777777777779</v>
      </c>
      <c r="D926">
        <v>2</v>
      </c>
    </row>
    <row r="927" spans="1:4" x14ac:dyDescent="0.25">
      <c r="A927" s="1" t="s">
        <v>933</v>
      </c>
      <c r="B927" s="1" t="s">
        <v>7</v>
      </c>
      <c r="C927" s="2">
        <v>0.68431712962962965</v>
      </c>
      <c r="D927">
        <v>1</v>
      </c>
    </row>
    <row r="928" spans="1:4" x14ac:dyDescent="0.25">
      <c r="A928" s="1" t="s">
        <v>934</v>
      </c>
      <c r="B928" s="1" t="s">
        <v>9</v>
      </c>
      <c r="C928" s="2">
        <v>0.68489583333333337</v>
      </c>
      <c r="D928">
        <v>2</v>
      </c>
    </row>
    <row r="929" spans="1:4" x14ac:dyDescent="0.25">
      <c r="A929" s="1" t="s">
        <v>935</v>
      </c>
      <c r="B929" s="1" t="s">
        <v>7</v>
      </c>
      <c r="C929" s="2">
        <v>0.68518518518518523</v>
      </c>
      <c r="D929">
        <v>1</v>
      </c>
    </row>
    <row r="930" spans="1:4" x14ac:dyDescent="0.25">
      <c r="A930" s="1" t="s">
        <v>936</v>
      </c>
      <c r="B930" s="1" t="s">
        <v>7</v>
      </c>
      <c r="C930" s="2">
        <v>0.68547453703703709</v>
      </c>
      <c r="D930">
        <v>1</v>
      </c>
    </row>
    <row r="931" spans="1:4" x14ac:dyDescent="0.25">
      <c r="A931" s="1" t="s">
        <v>937</v>
      </c>
      <c r="B931" s="1" t="s">
        <v>5</v>
      </c>
      <c r="C931" s="2">
        <v>0.68576388888888884</v>
      </c>
      <c r="D931">
        <v>1</v>
      </c>
    </row>
    <row r="932" spans="1:4" x14ac:dyDescent="0.25">
      <c r="A932" s="1" t="s">
        <v>938</v>
      </c>
      <c r="B932" s="1" t="s">
        <v>7</v>
      </c>
      <c r="C932" s="2">
        <v>0.6860532407407407</v>
      </c>
      <c r="D932">
        <v>1</v>
      </c>
    </row>
    <row r="933" spans="1:4" x14ac:dyDescent="0.25">
      <c r="A933" s="1" t="s">
        <v>939</v>
      </c>
      <c r="B933" s="1" t="s">
        <v>5</v>
      </c>
      <c r="C933" s="2">
        <v>0.68634259259259256</v>
      </c>
      <c r="D933">
        <v>1</v>
      </c>
    </row>
    <row r="934" spans="1:4" x14ac:dyDescent="0.25">
      <c r="A934" s="1" t="s">
        <v>940</v>
      </c>
      <c r="B934" s="1" t="s">
        <v>7</v>
      </c>
      <c r="C934" s="2">
        <v>0.68663194444444442</v>
      </c>
      <c r="D934">
        <v>1</v>
      </c>
    </row>
    <row r="935" spans="1:4" x14ac:dyDescent="0.25">
      <c r="A935" s="1" t="s">
        <v>941</v>
      </c>
      <c r="B935" s="1" t="s">
        <v>7</v>
      </c>
      <c r="C935" s="2">
        <v>0.68692129629629628</v>
      </c>
      <c r="D935">
        <v>1</v>
      </c>
    </row>
    <row r="936" spans="1:4" x14ac:dyDescent="0.25">
      <c r="A936" s="1" t="s">
        <v>942</v>
      </c>
      <c r="B936" s="1" t="s">
        <v>7</v>
      </c>
      <c r="C936" s="2">
        <v>0.68721064814814814</v>
      </c>
      <c r="D936">
        <v>1</v>
      </c>
    </row>
    <row r="937" spans="1:4" x14ac:dyDescent="0.25">
      <c r="A937" s="1" t="s">
        <v>943</v>
      </c>
      <c r="B937" s="1" t="s">
        <v>7</v>
      </c>
      <c r="C937" s="2">
        <v>0.6875</v>
      </c>
      <c r="D937">
        <v>1</v>
      </c>
    </row>
    <row r="938" spans="1:4" x14ac:dyDescent="0.25">
      <c r="A938" s="1" t="s">
        <v>944</v>
      </c>
      <c r="B938" s="1" t="s">
        <v>7</v>
      </c>
      <c r="C938" s="2">
        <v>0.68778935185185186</v>
      </c>
      <c r="D938">
        <v>1</v>
      </c>
    </row>
    <row r="939" spans="1:4" x14ac:dyDescent="0.25">
      <c r="A939" s="1" t="s">
        <v>945</v>
      </c>
      <c r="B939" s="1" t="s">
        <v>9</v>
      </c>
      <c r="C939" s="2">
        <v>0.68807870370370372</v>
      </c>
      <c r="D939">
        <v>1</v>
      </c>
    </row>
    <row r="940" spans="1:4" x14ac:dyDescent="0.25">
      <c r="A940" s="1" t="s">
        <v>946</v>
      </c>
      <c r="B940" s="1" t="s">
        <v>9</v>
      </c>
      <c r="C940" s="2">
        <v>0.68865740740740744</v>
      </c>
      <c r="D940">
        <v>2</v>
      </c>
    </row>
    <row r="941" spans="1:4" x14ac:dyDescent="0.25">
      <c r="A941" s="1" t="s">
        <v>947</v>
      </c>
      <c r="B941" s="1" t="s">
        <v>7</v>
      </c>
      <c r="C941" s="2">
        <v>0.6889467592592593</v>
      </c>
      <c r="D941">
        <v>1</v>
      </c>
    </row>
    <row r="942" spans="1:4" x14ac:dyDescent="0.25">
      <c r="A942" s="1" t="s">
        <v>948</v>
      </c>
      <c r="B942" s="1" t="s">
        <v>9</v>
      </c>
      <c r="C942" s="2">
        <v>0.68952546296296291</v>
      </c>
      <c r="D942">
        <v>2</v>
      </c>
    </row>
    <row r="943" spans="1:4" x14ac:dyDescent="0.25">
      <c r="A943" s="1" t="s">
        <v>949</v>
      </c>
      <c r="B943" s="1" t="s">
        <v>5</v>
      </c>
      <c r="C943" s="2">
        <v>0.69010416666666663</v>
      </c>
      <c r="D943">
        <v>2</v>
      </c>
    </row>
    <row r="944" spans="1:4" x14ac:dyDescent="0.25">
      <c r="A944" s="1" t="s">
        <v>950</v>
      </c>
      <c r="B944" s="1" t="s">
        <v>5</v>
      </c>
      <c r="C944" s="2">
        <v>0.69068287037037035</v>
      </c>
      <c r="D944">
        <v>2</v>
      </c>
    </row>
    <row r="945" spans="1:4" x14ac:dyDescent="0.25">
      <c r="A945" s="1" t="s">
        <v>951</v>
      </c>
      <c r="B945" s="1" t="s">
        <v>9</v>
      </c>
      <c r="C945" s="2">
        <v>0.69097222222222221</v>
      </c>
      <c r="D945">
        <v>1</v>
      </c>
    </row>
    <row r="946" spans="1:4" x14ac:dyDescent="0.25">
      <c r="A946" s="1" t="s">
        <v>952</v>
      </c>
      <c r="B946" s="1" t="s">
        <v>9</v>
      </c>
      <c r="C946" s="2">
        <v>0.69126157407407407</v>
      </c>
      <c r="D946">
        <v>1</v>
      </c>
    </row>
    <row r="947" spans="1:4" x14ac:dyDescent="0.25">
      <c r="A947" s="1" t="s">
        <v>953</v>
      </c>
      <c r="B947" s="1" t="s">
        <v>9</v>
      </c>
      <c r="C947" s="2">
        <v>0.69155092592592593</v>
      </c>
      <c r="D947">
        <v>1</v>
      </c>
    </row>
    <row r="948" spans="1:4" x14ac:dyDescent="0.25">
      <c r="A948" s="1" t="s">
        <v>954</v>
      </c>
      <c r="B948" s="1" t="s">
        <v>9</v>
      </c>
      <c r="C948" s="2">
        <v>0.69184027777777779</v>
      </c>
      <c r="D948">
        <v>1</v>
      </c>
    </row>
    <row r="949" spans="1:4" x14ac:dyDescent="0.25">
      <c r="A949" s="1" t="s">
        <v>955</v>
      </c>
      <c r="B949" s="1" t="s">
        <v>7</v>
      </c>
      <c r="C949" s="2">
        <v>0.69212962962962965</v>
      </c>
      <c r="D949">
        <v>1</v>
      </c>
    </row>
    <row r="950" spans="1:4" x14ac:dyDescent="0.25">
      <c r="A950" s="1" t="s">
        <v>956</v>
      </c>
      <c r="B950" s="1" t="s">
        <v>9</v>
      </c>
      <c r="C950" s="2">
        <v>0.69270833333333337</v>
      </c>
      <c r="D950">
        <v>2</v>
      </c>
    </row>
    <row r="951" spans="1:4" x14ac:dyDescent="0.25">
      <c r="A951" s="1" t="s">
        <v>957</v>
      </c>
      <c r="B951" s="1" t="s">
        <v>9</v>
      </c>
      <c r="C951" s="2">
        <v>0.69282407407407409</v>
      </c>
      <c r="D951">
        <v>2</v>
      </c>
    </row>
    <row r="952" spans="1:4" x14ac:dyDescent="0.25">
      <c r="A952" s="1" t="s">
        <v>958</v>
      </c>
      <c r="B952" s="1" t="s">
        <v>9</v>
      </c>
      <c r="C952" s="2">
        <v>0.69305555555555554</v>
      </c>
      <c r="D952">
        <v>1</v>
      </c>
    </row>
    <row r="953" spans="1:4" x14ac:dyDescent="0.25">
      <c r="A953" s="1" t="s">
        <v>959</v>
      </c>
      <c r="B953" s="1" t="s">
        <v>27</v>
      </c>
      <c r="C953" s="2">
        <v>0.69322916666666667</v>
      </c>
      <c r="D953">
        <v>1</v>
      </c>
    </row>
    <row r="954" spans="1:4" x14ac:dyDescent="0.25">
      <c r="A954" s="1" t="s">
        <v>960</v>
      </c>
      <c r="B954" s="1" t="s">
        <v>7</v>
      </c>
      <c r="C954" s="2">
        <v>0.6933449074074074</v>
      </c>
      <c r="D954">
        <v>1</v>
      </c>
    </row>
    <row r="955" spans="1:4" x14ac:dyDescent="0.25">
      <c r="A955" s="1" t="s">
        <v>961</v>
      </c>
      <c r="B955" s="1" t="s">
        <v>9</v>
      </c>
      <c r="C955" s="2">
        <v>0.69351851851851853</v>
      </c>
      <c r="D955">
        <v>2</v>
      </c>
    </row>
    <row r="956" spans="1:4" x14ac:dyDescent="0.25">
      <c r="A956" s="1" t="s">
        <v>962</v>
      </c>
      <c r="B956" s="1" t="s">
        <v>7</v>
      </c>
      <c r="C956" s="2">
        <v>0.69374999999999998</v>
      </c>
      <c r="D956">
        <v>1</v>
      </c>
    </row>
    <row r="957" spans="1:4" x14ac:dyDescent="0.25">
      <c r="A957" s="1" t="s">
        <v>963</v>
      </c>
      <c r="B957" s="1" t="s">
        <v>5</v>
      </c>
      <c r="C957" s="2">
        <v>0.6938657407407407</v>
      </c>
      <c r="D957">
        <v>2</v>
      </c>
    </row>
    <row r="958" spans="1:4" x14ac:dyDescent="0.25">
      <c r="A958" s="1" t="s">
        <v>964</v>
      </c>
      <c r="B958" s="1" t="s">
        <v>7</v>
      </c>
      <c r="C958" s="2">
        <v>0.69403935185185184</v>
      </c>
      <c r="D958">
        <v>1</v>
      </c>
    </row>
    <row r="959" spans="1:4" x14ac:dyDescent="0.25">
      <c r="A959" s="1" t="s">
        <v>965</v>
      </c>
      <c r="B959" s="1" t="s">
        <v>9</v>
      </c>
      <c r="C959" s="2">
        <v>0.69415509259259256</v>
      </c>
      <c r="D959">
        <v>2</v>
      </c>
    </row>
    <row r="960" spans="1:4" x14ac:dyDescent="0.25">
      <c r="A960" s="1" t="s">
        <v>966</v>
      </c>
      <c r="B960" s="1" t="s">
        <v>7</v>
      </c>
      <c r="C960" s="2">
        <v>0.6943287037037037</v>
      </c>
      <c r="D960">
        <v>1</v>
      </c>
    </row>
    <row r="961" spans="1:4" x14ac:dyDescent="0.25">
      <c r="A961" s="1" t="s">
        <v>967</v>
      </c>
      <c r="B961" s="1" t="s">
        <v>5</v>
      </c>
      <c r="C961" s="2">
        <v>0.69450231481481484</v>
      </c>
      <c r="D961">
        <v>1</v>
      </c>
    </row>
    <row r="962" spans="1:4" x14ac:dyDescent="0.25">
      <c r="A962" s="1" t="s">
        <v>968</v>
      </c>
      <c r="B962" s="1" t="s">
        <v>7</v>
      </c>
      <c r="C962" s="2">
        <v>0.69461805555555556</v>
      </c>
      <c r="D962">
        <v>1</v>
      </c>
    </row>
    <row r="963" spans="1:4" x14ac:dyDescent="0.25">
      <c r="A963" s="1" t="s">
        <v>969</v>
      </c>
      <c r="B963" s="1" t="s">
        <v>5</v>
      </c>
      <c r="C963" s="2">
        <v>0.69490740740740742</v>
      </c>
      <c r="D963">
        <v>2</v>
      </c>
    </row>
    <row r="964" spans="1:4" x14ac:dyDescent="0.25">
      <c r="A964" s="1" t="s">
        <v>970</v>
      </c>
      <c r="B964" s="1" t="s">
        <v>7</v>
      </c>
      <c r="C964" s="2">
        <v>0.69513888888888886</v>
      </c>
      <c r="D964">
        <v>1</v>
      </c>
    </row>
    <row r="965" spans="1:4" x14ac:dyDescent="0.25">
      <c r="A965" s="1" t="s">
        <v>971</v>
      </c>
      <c r="B965" s="1" t="s">
        <v>5</v>
      </c>
      <c r="C965" s="2">
        <v>0.6953125</v>
      </c>
      <c r="D965">
        <v>2</v>
      </c>
    </row>
    <row r="966" spans="1:4" x14ac:dyDescent="0.25">
      <c r="A966" s="1" t="s">
        <v>972</v>
      </c>
      <c r="B966" s="1" t="s">
        <v>9</v>
      </c>
      <c r="C966" s="2">
        <v>0.69554398148148144</v>
      </c>
      <c r="D966">
        <v>2</v>
      </c>
    </row>
    <row r="967" spans="1:4" x14ac:dyDescent="0.25">
      <c r="A967" s="1" t="s">
        <v>973</v>
      </c>
      <c r="B967" s="1" t="s">
        <v>9</v>
      </c>
      <c r="C967" s="2">
        <v>0.695775462962963</v>
      </c>
      <c r="D967">
        <v>1</v>
      </c>
    </row>
    <row r="968" spans="1:4" x14ac:dyDescent="0.25">
      <c r="A968" s="1" t="s">
        <v>974</v>
      </c>
      <c r="B968" s="1" t="s">
        <v>7</v>
      </c>
      <c r="C968" s="2">
        <v>0.69600694444444444</v>
      </c>
      <c r="D968">
        <v>1</v>
      </c>
    </row>
    <row r="969" spans="1:4" x14ac:dyDescent="0.25">
      <c r="A969" s="1" t="s">
        <v>975</v>
      </c>
      <c r="B969" s="1" t="s">
        <v>5</v>
      </c>
      <c r="C969" s="2">
        <v>0.69623842592592589</v>
      </c>
      <c r="D969">
        <v>1</v>
      </c>
    </row>
    <row r="970" spans="1:4" x14ac:dyDescent="0.25">
      <c r="A970" s="1" t="s">
        <v>976</v>
      </c>
      <c r="B970" s="1" t="s">
        <v>9</v>
      </c>
      <c r="C970" s="2">
        <v>0.69646990740740744</v>
      </c>
      <c r="D970">
        <v>1</v>
      </c>
    </row>
    <row r="971" spans="1:4" x14ac:dyDescent="0.25">
      <c r="A971" s="1" t="s">
        <v>977</v>
      </c>
      <c r="B971" s="1" t="s">
        <v>7</v>
      </c>
      <c r="C971" s="2">
        <v>0.69664351851851847</v>
      </c>
      <c r="D971">
        <v>1</v>
      </c>
    </row>
    <row r="972" spans="1:4" x14ac:dyDescent="0.25">
      <c r="A972" s="1" t="s">
        <v>978</v>
      </c>
      <c r="B972" s="1" t="s">
        <v>5</v>
      </c>
      <c r="C972" s="2">
        <v>0.69681712962962961</v>
      </c>
      <c r="D972">
        <v>2</v>
      </c>
    </row>
    <row r="973" spans="1:4" x14ac:dyDescent="0.25">
      <c r="A973" s="1" t="s">
        <v>979</v>
      </c>
      <c r="B973" s="1" t="s">
        <v>7</v>
      </c>
      <c r="C973" s="2">
        <v>0.69704861111111116</v>
      </c>
      <c r="D973">
        <v>1</v>
      </c>
    </row>
    <row r="974" spans="1:4" x14ac:dyDescent="0.25">
      <c r="A974" s="1" t="s">
        <v>980</v>
      </c>
      <c r="B974" s="1" t="s">
        <v>5</v>
      </c>
      <c r="C974" s="2">
        <v>0.69733796296296291</v>
      </c>
      <c r="D974">
        <v>1</v>
      </c>
    </row>
    <row r="975" spans="1:4" x14ac:dyDescent="0.25">
      <c r="A975" s="1" t="s">
        <v>981</v>
      </c>
      <c r="B975" s="1" t="s">
        <v>9</v>
      </c>
      <c r="C975" s="2">
        <v>0.69751157407407405</v>
      </c>
      <c r="D975">
        <v>2</v>
      </c>
    </row>
    <row r="976" spans="1:4" x14ac:dyDescent="0.25">
      <c r="A976" s="1" t="s">
        <v>982</v>
      </c>
      <c r="B976" s="1" t="s">
        <v>9</v>
      </c>
      <c r="C976" s="2">
        <v>0.69768518518518519</v>
      </c>
      <c r="D976">
        <v>1</v>
      </c>
    </row>
    <row r="977" spans="1:4" x14ac:dyDescent="0.25">
      <c r="A977" s="1" t="s">
        <v>983</v>
      </c>
      <c r="B977" s="1" t="s">
        <v>7</v>
      </c>
      <c r="C977" s="2">
        <v>0.69803240740740746</v>
      </c>
      <c r="D977">
        <v>1</v>
      </c>
    </row>
    <row r="978" spans="1:4" x14ac:dyDescent="0.25">
      <c r="A978" s="1" t="s">
        <v>984</v>
      </c>
      <c r="B978" s="1" t="s">
        <v>9</v>
      </c>
      <c r="C978" s="2">
        <v>0.69820601851851849</v>
      </c>
      <c r="D978">
        <v>2</v>
      </c>
    </row>
    <row r="979" spans="1:4" x14ac:dyDescent="0.25">
      <c r="A979" s="1" t="s">
        <v>985</v>
      </c>
      <c r="B979" s="1" t="s">
        <v>7</v>
      </c>
      <c r="C979" s="2">
        <v>0.69843750000000004</v>
      </c>
      <c r="D979">
        <v>1</v>
      </c>
    </row>
    <row r="980" spans="1:4" x14ac:dyDescent="0.25">
      <c r="A980" s="1" t="s">
        <v>986</v>
      </c>
      <c r="B980" s="1" t="s">
        <v>5</v>
      </c>
      <c r="C980" s="2">
        <v>0.69890046296296293</v>
      </c>
      <c r="D980">
        <v>2</v>
      </c>
    </row>
    <row r="981" spans="1:4" x14ac:dyDescent="0.25">
      <c r="A981" s="1" t="s">
        <v>987</v>
      </c>
      <c r="B981" s="1" t="s">
        <v>7</v>
      </c>
      <c r="C981" s="2">
        <v>0.69901620370370365</v>
      </c>
      <c r="D981">
        <v>1</v>
      </c>
    </row>
    <row r="982" spans="1:4" x14ac:dyDescent="0.25">
      <c r="A982" s="1" t="s">
        <v>988</v>
      </c>
      <c r="B982" s="1" t="s">
        <v>9</v>
      </c>
      <c r="C982" s="2">
        <v>0.69930555555555551</v>
      </c>
      <c r="D982">
        <v>1</v>
      </c>
    </row>
    <row r="983" spans="1:4" x14ac:dyDescent="0.25">
      <c r="A983" s="1" t="s">
        <v>989</v>
      </c>
      <c r="B983" s="1" t="s">
        <v>7</v>
      </c>
      <c r="C983" s="2">
        <v>0.69959490740740737</v>
      </c>
      <c r="D983">
        <v>1</v>
      </c>
    </row>
    <row r="984" spans="1:4" x14ac:dyDescent="0.25">
      <c r="A984" s="1" t="s">
        <v>990</v>
      </c>
      <c r="B984" s="1" t="s">
        <v>5</v>
      </c>
      <c r="C984" s="2">
        <v>0.69982638888888893</v>
      </c>
      <c r="D984">
        <v>1</v>
      </c>
    </row>
    <row r="985" spans="1:4" x14ac:dyDescent="0.25">
      <c r="A985" s="1" t="s">
        <v>991</v>
      </c>
      <c r="B985" s="1" t="s">
        <v>7</v>
      </c>
      <c r="C985" s="2">
        <v>0.70011574074074079</v>
      </c>
      <c r="D985">
        <v>1</v>
      </c>
    </row>
    <row r="986" spans="1:4" x14ac:dyDescent="0.25">
      <c r="A986" s="1" t="s">
        <v>992</v>
      </c>
      <c r="B986" s="1" t="s">
        <v>9</v>
      </c>
      <c r="C986" s="2">
        <v>0.70028935185185182</v>
      </c>
      <c r="D986">
        <v>1</v>
      </c>
    </row>
    <row r="987" spans="1:4" x14ac:dyDescent="0.25">
      <c r="A987" s="1" t="s">
        <v>993</v>
      </c>
      <c r="B987" s="1" t="s">
        <v>9</v>
      </c>
      <c r="C987" s="2">
        <v>0.70063657407407409</v>
      </c>
      <c r="D987">
        <v>2</v>
      </c>
    </row>
    <row r="988" spans="1:4" x14ac:dyDescent="0.25">
      <c r="A988" s="1" t="s">
        <v>994</v>
      </c>
      <c r="B988" s="1" t="s">
        <v>27</v>
      </c>
      <c r="C988" s="2">
        <v>0.70092592592592595</v>
      </c>
      <c r="D988">
        <v>1</v>
      </c>
    </row>
    <row r="989" spans="1:4" x14ac:dyDescent="0.25">
      <c r="A989" s="1" t="s">
        <v>995</v>
      </c>
      <c r="B989" s="1" t="s">
        <v>7</v>
      </c>
      <c r="C989" s="2">
        <v>0.7011574074074074</v>
      </c>
      <c r="D989">
        <v>1</v>
      </c>
    </row>
    <row r="990" spans="1:4" x14ac:dyDescent="0.25">
      <c r="A990" s="1" t="s">
        <v>996</v>
      </c>
      <c r="B990" s="1" t="s">
        <v>27</v>
      </c>
      <c r="C990" s="2">
        <v>0.70150462962962967</v>
      </c>
      <c r="D990">
        <v>1</v>
      </c>
    </row>
    <row r="991" spans="1:4" x14ac:dyDescent="0.25">
      <c r="A991" s="1" t="s">
        <v>997</v>
      </c>
      <c r="B991" s="1" t="s">
        <v>7</v>
      </c>
      <c r="C991" s="2">
        <v>0.70179398148148153</v>
      </c>
      <c r="D991">
        <v>1</v>
      </c>
    </row>
    <row r="992" spans="1:4" x14ac:dyDescent="0.25">
      <c r="A992" s="1" t="s">
        <v>998</v>
      </c>
      <c r="B992" s="1" t="s">
        <v>5</v>
      </c>
      <c r="C992" s="2">
        <v>0.70208333333333328</v>
      </c>
      <c r="D992">
        <v>1</v>
      </c>
    </row>
    <row r="993" spans="1:4" x14ac:dyDescent="0.25">
      <c r="A993" s="1" t="s">
        <v>999</v>
      </c>
      <c r="B993" s="1" t="s">
        <v>9</v>
      </c>
      <c r="C993" s="2">
        <v>0.70237268518518514</v>
      </c>
      <c r="D993">
        <v>1</v>
      </c>
    </row>
    <row r="994" spans="1:4" x14ac:dyDescent="0.25">
      <c r="A994" s="1" t="s">
        <v>1000</v>
      </c>
      <c r="B994" s="1" t="s">
        <v>7</v>
      </c>
      <c r="C994" s="2">
        <v>0.7026041666666667</v>
      </c>
      <c r="D994">
        <v>1</v>
      </c>
    </row>
    <row r="995" spans="1:4" x14ac:dyDescent="0.25">
      <c r="A995" s="1" t="s">
        <v>1001</v>
      </c>
      <c r="B995" s="1" t="s">
        <v>7</v>
      </c>
      <c r="C995" s="2">
        <v>0.70283564814814814</v>
      </c>
      <c r="D995">
        <v>1</v>
      </c>
    </row>
    <row r="996" spans="1:4" x14ac:dyDescent="0.25">
      <c r="A996" s="1" t="s">
        <v>1002</v>
      </c>
      <c r="B996" s="1" t="s">
        <v>5</v>
      </c>
      <c r="C996" s="2">
        <v>0.70318287037037042</v>
      </c>
      <c r="D996">
        <v>2</v>
      </c>
    </row>
    <row r="997" spans="1:4" x14ac:dyDescent="0.25">
      <c r="A997" s="1" t="s">
        <v>1003</v>
      </c>
      <c r="B997" s="1" t="s">
        <v>7</v>
      </c>
      <c r="C997" s="2">
        <v>0.70341435185185186</v>
      </c>
      <c r="D997">
        <v>1</v>
      </c>
    </row>
    <row r="998" spans="1:4" x14ac:dyDescent="0.25">
      <c r="A998" s="1" t="s">
        <v>1004</v>
      </c>
      <c r="B998" s="1" t="s">
        <v>7</v>
      </c>
      <c r="C998" s="2">
        <v>0.7036458333333333</v>
      </c>
      <c r="D998">
        <v>1</v>
      </c>
    </row>
    <row r="999" spans="1:4" x14ac:dyDescent="0.25">
      <c r="A999" s="1" t="s">
        <v>1005</v>
      </c>
      <c r="B999" s="1" t="s">
        <v>5</v>
      </c>
      <c r="C999" s="2">
        <v>0.70416666666666672</v>
      </c>
      <c r="D999">
        <v>1</v>
      </c>
    </row>
    <row r="1000" spans="1:4" x14ac:dyDescent="0.25">
      <c r="A1000" s="1" t="s">
        <v>1006</v>
      </c>
      <c r="B1000" s="1" t="s">
        <v>5</v>
      </c>
      <c r="C1000" s="2">
        <v>0.70497685185185188</v>
      </c>
      <c r="D1000">
        <v>2</v>
      </c>
    </row>
    <row r="1001" spans="1:4" x14ac:dyDescent="0.25">
      <c r="A1001" s="1" t="s">
        <v>1007</v>
      </c>
      <c r="B1001" s="1" t="s">
        <v>9</v>
      </c>
      <c r="C1001" s="2">
        <v>0.70625000000000004</v>
      </c>
      <c r="D1001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DA30-B3AC-4DAA-A731-AD3A3A944AA9}">
  <dimension ref="A2:G18"/>
  <sheetViews>
    <sheetView tabSelected="1" workbookViewId="0">
      <selection activeCell="L12" sqref="L12"/>
    </sheetView>
  </sheetViews>
  <sheetFormatPr defaultRowHeight="15" x14ac:dyDescent="0.25"/>
  <cols>
    <col min="1" max="1" width="17.85546875" bestFit="1" customWidth="1"/>
    <col min="2" max="2" width="14" bestFit="1" customWidth="1"/>
    <col min="3" max="5" width="8.140625" bestFit="1" customWidth="1"/>
    <col min="6" max="6" width="18.5703125" customWidth="1"/>
    <col min="7" max="8" width="8.140625" bestFit="1" customWidth="1"/>
    <col min="9" max="9" width="17.5703125" customWidth="1"/>
    <col min="10" max="1000" width="8.140625" bestFit="1" customWidth="1"/>
    <col min="1001" max="1001" width="14.42578125" bestFit="1" customWidth="1"/>
  </cols>
  <sheetData>
    <row r="2" spans="1:7" x14ac:dyDescent="0.25">
      <c r="E2" s="12" t="s">
        <v>1051</v>
      </c>
      <c r="F2" s="12" t="s">
        <v>1052</v>
      </c>
    </row>
    <row r="3" spans="1:7" x14ac:dyDescent="0.25">
      <c r="A3" s="5" t="s">
        <v>1019</v>
      </c>
      <c r="B3" t="s">
        <v>1021</v>
      </c>
      <c r="E3" s="12"/>
      <c r="F3" s="12" t="s">
        <v>1053</v>
      </c>
    </row>
    <row r="4" spans="1:7" x14ac:dyDescent="0.25">
      <c r="A4" s="6" t="s">
        <v>1039</v>
      </c>
      <c r="B4" s="1">
        <v>108</v>
      </c>
    </row>
    <row r="5" spans="1:7" x14ac:dyDescent="0.25">
      <c r="A5" s="6" t="s">
        <v>1040</v>
      </c>
      <c r="B5" s="1">
        <v>108</v>
      </c>
    </row>
    <row r="6" spans="1:7" x14ac:dyDescent="0.25">
      <c r="A6" s="6" t="s">
        <v>1041</v>
      </c>
      <c r="B6" s="1">
        <v>109</v>
      </c>
      <c r="F6" t="s">
        <v>1048</v>
      </c>
      <c r="G6">
        <f>MAX(B4:B12)</f>
        <v>125</v>
      </c>
    </row>
    <row r="7" spans="1:7" x14ac:dyDescent="0.25">
      <c r="A7" s="6" t="s">
        <v>1042</v>
      </c>
      <c r="B7" s="1">
        <v>107</v>
      </c>
    </row>
    <row r="8" spans="1:7" x14ac:dyDescent="0.25">
      <c r="A8" s="6" t="s">
        <v>1043</v>
      </c>
      <c r="B8" s="1">
        <v>110</v>
      </c>
    </row>
    <row r="9" spans="1:7" x14ac:dyDescent="0.25">
      <c r="A9" s="6" t="s">
        <v>1044</v>
      </c>
      <c r="B9" s="1">
        <v>107</v>
      </c>
      <c r="F9" t="s">
        <v>1049</v>
      </c>
      <c r="G9" t="s">
        <v>1050</v>
      </c>
    </row>
    <row r="10" spans="1:7" x14ac:dyDescent="0.25">
      <c r="A10" s="6" t="s">
        <v>1045</v>
      </c>
      <c r="B10" s="1">
        <v>115</v>
      </c>
      <c r="F10">
        <v>1</v>
      </c>
      <c r="G10">
        <v>8</v>
      </c>
    </row>
    <row r="11" spans="1:7" x14ac:dyDescent="0.25">
      <c r="A11" s="6" t="s">
        <v>1046</v>
      </c>
      <c r="B11" s="1">
        <v>111</v>
      </c>
      <c r="F11">
        <v>2</v>
      </c>
      <c r="G11">
        <v>9</v>
      </c>
    </row>
    <row r="12" spans="1:7" x14ac:dyDescent="0.25">
      <c r="A12" s="6" t="s">
        <v>1047</v>
      </c>
      <c r="B12" s="1">
        <v>125</v>
      </c>
      <c r="F12">
        <v>3</v>
      </c>
      <c r="G12">
        <v>10</v>
      </c>
    </row>
    <row r="13" spans="1:7" x14ac:dyDescent="0.25">
      <c r="A13" s="6" t="s">
        <v>1020</v>
      </c>
      <c r="B13" s="1">
        <v>1000</v>
      </c>
      <c r="F13">
        <v>4</v>
      </c>
      <c r="G13">
        <v>11</v>
      </c>
    </row>
    <row r="14" spans="1:7" x14ac:dyDescent="0.25">
      <c r="F14">
        <v>5</v>
      </c>
      <c r="G14">
        <v>12</v>
      </c>
    </row>
    <row r="15" spans="1:7" x14ac:dyDescent="0.25">
      <c r="F15">
        <v>6</v>
      </c>
      <c r="G15">
        <v>13</v>
      </c>
    </row>
    <row r="16" spans="1:7" x14ac:dyDescent="0.25">
      <c r="F16">
        <v>7</v>
      </c>
      <c r="G16">
        <v>14</v>
      </c>
    </row>
    <row r="17" spans="6:7" x14ac:dyDescent="0.25">
      <c r="F17">
        <v>8</v>
      </c>
      <c r="G17">
        <v>15</v>
      </c>
    </row>
    <row r="18" spans="6:7" x14ac:dyDescent="0.25">
      <c r="F18" s="7">
        <v>9</v>
      </c>
      <c r="G18" s="7">
        <v>16</v>
      </c>
    </row>
  </sheetData>
  <conditionalFormatting pivot="1" sqref="B4:B12">
    <cfRule type="top10" dxfId="0" priority="1" rank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574755-0B5D-44B7-A593-2C37E9B4BC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punkt szczepień DANE</vt:lpstr>
      <vt:lpstr>4_1</vt:lpstr>
      <vt:lpstr>4_2</vt:lpstr>
      <vt:lpstr>4_3</vt:lpstr>
      <vt:lpstr>4_4</vt:lpstr>
      <vt:lpstr>4_5</vt:lpstr>
    </vt:vector>
  </TitlesOfParts>
  <Company>XLLO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Bartos</dc:creator>
  <cp:lastModifiedBy>Natalia Bartos</cp:lastModifiedBy>
  <dcterms:created xsi:type="dcterms:W3CDTF">2026-02-10T10:50:30Z</dcterms:created>
  <dcterms:modified xsi:type="dcterms:W3CDTF">2026-03-18T11:40:18Z</dcterms:modified>
</cp:coreProperties>
</file>